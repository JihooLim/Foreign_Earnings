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924cf84bb7f716/바탕 화면/툴 개발/finchat 키인/"/>
    </mc:Choice>
  </mc:AlternateContent>
  <xr:revisionPtr revIDLastSave="339" documentId="11_8E596E1C63DB93C4ED56CC3A623CF638B64E2030" xr6:coauthVersionLast="47" xr6:coauthVersionMax="47" xr10:uidLastSave="{23B2D8FC-28F1-4A4D-89CE-0D532401DD02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Income'!$B$2:$AA$215</definedName>
    <definedName name="_xlnm._FilterDatabase" localSheetId="1" hidden="1">Revenue!$B$2:$AA$216</definedName>
    <definedName name="_xlnm._FilterDatabase" localSheetId="0" hidden="1">기업리스트!$B$3:$G$410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8" i="3" l="1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5" i="3"/>
  <c r="D187" i="3"/>
  <c r="D186" i="3"/>
  <c r="D188" i="3"/>
  <c r="D184" i="3"/>
  <c r="D183" i="3"/>
  <c r="D182" i="3"/>
  <c r="D181" i="3"/>
  <c r="D180" i="3"/>
  <c r="D179" i="3"/>
  <c r="D178" i="3"/>
  <c r="D177" i="3"/>
  <c r="D176" i="3"/>
  <c r="D171" i="3"/>
  <c r="D174" i="3"/>
  <c r="D173" i="3"/>
  <c r="D172" i="3"/>
  <c r="D165" i="3"/>
  <c r="D175" i="3"/>
  <c r="D170" i="3"/>
  <c r="D169" i="3"/>
  <c r="D168" i="3"/>
  <c r="D167" i="3"/>
  <c r="D166" i="3"/>
  <c r="D164" i="3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AA171" i="3"/>
  <c r="F171" i="3" s="1"/>
  <c r="AA208" i="3"/>
  <c r="F208" i="3" s="1"/>
  <c r="AA188" i="3"/>
  <c r="F188" i="3" s="1"/>
  <c r="AA165" i="3"/>
  <c r="F165" i="3" s="1"/>
  <c r="AA37" i="3"/>
  <c r="F37" i="3" s="1"/>
  <c r="AA116" i="3"/>
  <c r="F116" i="3" s="1"/>
  <c r="AA17" i="3"/>
  <c r="F17" i="3" s="1"/>
  <c r="C8" i="4"/>
  <c r="C7" i="4"/>
  <c r="Q10" i="4" l="1"/>
  <c r="Q9" i="4"/>
  <c r="M9" i="4"/>
  <c r="M10" i="4"/>
  <c r="P9" i="4"/>
  <c r="P10" i="4"/>
  <c r="O10" i="4"/>
  <c r="O9" i="4"/>
  <c r="L10" i="4"/>
  <c r="L9" i="4"/>
  <c r="M11" i="4" s="1"/>
  <c r="N9" i="4"/>
  <c r="N10" i="4"/>
  <c r="K10" i="4"/>
  <c r="K9" i="4"/>
  <c r="J9" i="4"/>
  <c r="J10" i="4"/>
  <c r="I9" i="4"/>
  <c r="I10" i="4"/>
  <c r="H10" i="4"/>
  <c r="H9" i="4"/>
  <c r="S10" i="4"/>
  <c r="S9" i="4"/>
  <c r="G10" i="4"/>
  <c r="G9" i="4"/>
  <c r="C10" i="4"/>
  <c r="D10" i="4"/>
  <c r="F9" i="4"/>
  <c r="E9" i="4"/>
  <c r="D9" i="4"/>
  <c r="F10" i="4"/>
  <c r="E10" i="4"/>
  <c r="C9" i="4"/>
  <c r="R10" i="4"/>
  <c r="R9" i="4"/>
  <c r="S13" i="4"/>
  <c r="L14" i="4"/>
  <c r="O14" i="4"/>
  <c r="R14" i="4"/>
  <c r="Q14" i="4"/>
  <c r="Q13" i="4"/>
  <c r="R13" i="4"/>
  <c r="M14" i="4"/>
  <c r="N14" i="4"/>
  <c r="P14" i="4"/>
  <c r="M12" i="4"/>
  <c r="S14" i="4"/>
  <c r="H14" i="4"/>
  <c r="I14" i="4"/>
  <c r="J14" i="4"/>
  <c r="K14" i="4"/>
  <c r="H13" i="4"/>
  <c r="G14" i="4"/>
  <c r="N12" i="4"/>
  <c r="I13" i="4"/>
  <c r="C12" i="4"/>
  <c r="O12" i="4"/>
  <c r="J13" i="4"/>
  <c r="D12" i="4"/>
  <c r="P12" i="4"/>
  <c r="K13" i="4"/>
  <c r="E12" i="4"/>
  <c r="Q12" i="4"/>
  <c r="L13" i="4"/>
  <c r="F12" i="4"/>
  <c r="R12" i="4"/>
  <c r="M13" i="4"/>
  <c r="G12" i="4"/>
  <c r="S12" i="4"/>
  <c r="N13" i="4"/>
  <c r="H12" i="4"/>
  <c r="C13" i="4"/>
  <c r="O13" i="4"/>
  <c r="I12" i="4"/>
  <c r="D13" i="4"/>
  <c r="P13" i="4"/>
  <c r="J12" i="4"/>
  <c r="E13" i="4"/>
  <c r="K12" i="4"/>
  <c r="F13" i="4"/>
  <c r="L12" i="4"/>
  <c r="G13" i="4"/>
  <c r="D11" i="4" l="1"/>
  <c r="S11" i="4"/>
  <c r="H11" i="4"/>
  <c r="J11" i="4"/>
  <c r="O11" i="4"/>
  <c r="Q11" i="4"/>
  <c r="N11" i="4"/>
  <c r="P11" i="4"/>
  <c r="I11" i="4"/>
  <c r="G11" i="4"/>
  <c r="K11" i="4"/>
  <c r="E11" i="4"/>
  <c r="R11" i="4"/>
  <c r="F11" i="4"/>
  <c r="L11" i="4"/>
</calcChain>
</file>

<file path=xl/sharedStrings.xml><?xml version="1.0" encoding="utf-8"?>
<sst xmlns="http://schemas.openxmlformats.org/spreadsheetml/2006/main" count="3494" uniqueCount="934">
  <si>
    <t>실적 기업 정보</t>
  </si>
  <si>
    <t>Ticker</t>
  </si>
  <si>
    <t>Company</t>
  </si>
  <si>
    <t>Date</t>
  </si>
  <si>
    <t>Time</t>
  </si>
  <si>
    <t>Quarter Ending</t>
  </si>
  <si>
    <t>Market Cap (mil$)</t>
  </si>
  <si>
    <t>HSBA</t>
  </si>
  <si>
    <t>HSBC Holdings plc</t>
  </si>
  <si>
    <t>18-Feb-26</t>
  </si>
  <si>
    <t>Dec-25</t>
  </si>
  <si>
    <t>BHP</t>
  </si>
  <si>
    <t>BHP Group Limited</t>
  </si>
  <si>
    <t>16-Feb-26</t>
  </si>
  <si>
    <t>ADI</t>
  </si>
  <si>
    <t>Analog Devices, Inc.</t>
  </si>
  <si>
    <t>Pre Market</t>
  </si>
  <si>
    <t>Jan-26</t>
  </si>
  <si>
    <t>BKNG</t>
  </si>
  <si>
    <t>Booking Holdings Inc.</t>
  </si>
  <si>
    <t>After Hours</t>
  </si>
  <si>
    <t>MDT</t>
  </si>
  <si>
    <t>Medtronic plc</t>
  </si>
  <si>
    <t>17-Feb-26</t>
  </si>
  <si>
    <t>PANW</t>
  </si>
  <si>
    <t>Palo Alto Networks, Inc.</t>
  </si>
  <si>
    <t>CEG</t>
  </si>
  <si>
    <t>Constellation Energy Corporation</t>
  </si>
  <si>
    <t>CDNS</t>
  </si>
  <si>
    <t>Cadence Design Systems, Inc.</t>
  </si>
  <si>
    <t>BA.</t>
  </si>
  <si>
    <t>BAE Systems plc</t>
  </si>
  <si>
    <t>GLEN</t>
  </si>
  <si>
    <t>Glencore plc</t>
  </si>
  <si>
    <t>MCO</t>
  </si>
  <si>
    <t>Moody's Corporation</t>
  </si>
  <si>
    <t>WES</t>
  </si>
  <si>
    <t>Wesfarmers Limited</t>
  </si>
  <si>
    <t>DASH</t>
  </si>
  <si>
    <t>DoorDash, Inc.</t>
  </si>
  <si>
    <t>RSG</t>
  </si>
  <si>
    <t>Republic Services, Inc.</t>
  </si>
  <si>
    <t>ET</t>
  </si>
  <si>
    <t>Energy Transfer LP</t>
  </si>
  <si>
    <t>Saudi Telecom Company</t>
  </si>
  <si>
    <t>ORA</t>
  </si>
  <si>
    <t>Orange S.A.</t>
  </si>
  <si>
    <t>ANTO</t>
  </si>
  <si>
    <t>Antofagasta plc</t>
  </si>
  <si>
    <t>CVNA</t>
  </si>
  <si>
    <t>Carvana Co.</t>
  </si>
  <si>
    <t>OXY</t>
  </si>
  <si>
    <t>Occidental Petroleum Corporation</t>
  </si>
  <si>
    <t>CCEP</t>
  </si>
  <si>
    <t>Coca-Cola Europacific Partners PLC</t>
  </si>
  <si>
    <t>VMC</t>
  </si>
  <si>
    <t>Vulcan Materials Company</t>
  </si>
  <si>
    <t>GRMN</t>
  </si>
  <si>
    <t>Garmin Ltd.</t>
  </si>
  <si>
    <t>K</t>
  </si>
  <si>
    <t>Kinross Gold Corporation</t>
  </si>
  <si>
    <t>TLS</t>
  </si>
  <si>
    <t>Telstra Group Limited</t>
  </si>
  <si>
    <t>Hang Seng Bank Limited</t>
  </si>
  <si>
    <t>KVUE</t>
  </si>
  <si>
    <t>Kenvue Inc.</t>
  </si>
  <si>
    <t>NTR</t>
  </si>
  <si>
    <t>Nutrien Ltd.</t>
  </si>
  <si>
    <t>EQT</t>
  </si>
  <si>
    <t>EQT Corporation</t>
  </si>
  <si>
    <t>VRSK</t>
  </si>
  <si>
    <t>Verisk Analytics, Inc.</t>
  </si>
  <si>
    <t>AMRZ</t>
  </si>
  <si>
    <t>Amrize AG</t>
  </si>
  <si>
    <t>TCL</t>
  </si>
  <si>
    <t>Transurban Group</t>
  </si>
  <si>
    <t>Bridgestone Corporation</t>
  </si>
  <si>
    <t>NTGY</t>
  </si>
  <si>
    <t>Naturgy Energy Group, S.A.</t>
  </si>
  <si>
    <t>DTE</t>
  </si>
  <si>
    <t>DTE Energy Company</t>
  </si>
  <si>
    <t>FE</t>
  </si>
  <si>
    <t>FirstEnergy Corp.</t>
  </si>
  <si>
    <t>AWK</t>
  </si>
  <si>
    <t>American Water Works Company, Inc.</t>
  </si>
  <si>
    <t>LDOS</t>
  </si>
  <si>
    <t>Leidos Holdings, Inc.</t>
  </si>
  <si>
    <t>EIX</t>
  </si>
  <si>
    <t>Edison International</t>
  </si>
  <si>
    <t>EXE</t>
  </si>
  <si>
    <t>Expand Energy Corporation</t>
  </si>
  <si>
    <t>TPL</t>
  </si>
  <si>
    <t>Texas Pacific Land Corporation</t>
  </si>
  <si>
    <t>DVN</t>
  </si>
  <si>
    <t>Devon Energy Corporation</t>
  </si>
  <si>
    <t>LH</t>
  </si>
  <si>
    <t>Labcorp Holdings Inc.</t>
  </si>
  <si>
    <t>GPN</t>
  </si>
  <si>
    <t>Global Payments Inc.</t>
  </si>
  <si>
    <t>GMAB</t>
  </si>
  <si>
    <t>Genmab A/S</t>
  </si>
  <si>
    <t>PODD</t>
  </si>
  <si>
    <t>Insulet Corporation</t>
  </si>
  <si>
    <t>RBA</t>
  </si>
  <si>
    <t>RB Global, Inc.</t>
  </si>
  <si>
    <t>GULF</t>
  </si>
  <si>
    <t>Gulf Development Public Company Limited</t>
  </si>
  <si>
    <t>TEN</t>
  </si>
  <si>
    <t>Tenaris S.A.</t>
  </si>
  <si>
    <t>IHG</t>
  </si>
  <si>
    <t>InterContinental Hotels Group PLC</t>
  </si>
  <si>
    <t>Elm Company</t>
  </si>
  <si>
    <t>STMN</t>
  </si>
  <si>
    <t>Straumann Holding AG</t>
  </si>
  <si>
    <t>SGI</t>
  </si>
  <si>
    <t>Somnigroup International Inc.</t>
  </si>
  <si>
    <t>INVH</t>
  </si>
  <si>
    <t>Invitation Homes Inc.</t>
  </si>
  <si>
    <t>GPC</t>
  </si>
  <si>
    <t>Genuine Parts Company</t>
  </si>
  <si>
    <t>MONC</t>
  </si>
  <si>
    <t>Moncler S.p.A.</t>
  </si>
  <si>
    <t>PAAS</t>
  </si>
  <si>
    <t>Pan American Silver Corp.</t>
  </si>
  <si>
    <t>MB</t>
  </si>
  <si>
    <t>Mediobanca Banca di Credito Finanziario S.p.A.</t>
  </si>
  <si>
    <t>WSO</t>
  </si>
  <si>
    <t>Watsco, Inc.</t>
  </si>
  <si>
    <t>ALLE</t>
  </si>
  <si>
    <t>Allegion plc</t>
  </si>
  <si>
    <t>ICLR</t>
  </si>
  <si>
    <t>ICON Public Limited Company</t>
  </si>
  <si>
    <t>RS</t>
  </si>
  <si>
    <t>Reliance, Inc.</t>
  </si>
  <si>
    <t>Western Midstream Partners, LP</t>
  </si>
  <si>
    <t>FIG</t>
  </si>
  <si>
    <t>Figma, Inc.</t>
  </si>
  <si>
    <t>CF</t>
  </si>
  <si>
    <t>CF Industries Holdings, Inc.</t>
  </si>
  <si>
    <t>IVN</t>
  </si>
  <si>
    <t>Ivanhoe Mines Ltd.</t>
  </si>
  <si>
    <t>SUN</t>
  </si>
  <si>
    <t>Suncorp Group Limited</t>
  </si>
  <si>
    <t>KRZ</t>
  </si>
  <si>
    <t>Kerry Group plc</t>
  </si>
  <si>
    <t>AGI</t>
  </si>
  <si>
    <t>Alamos Gold Inc.</t>
  </si>
  <si>
    <t>STO</t>
  </si>
  <si>
    <t>Santos Limited</t>
  </si>
  <si>
    <t>BLDR</t>
  </si>
  <si>
    <t>Builders FirstSource, Inc.</t>
  </si>
  <si>
    <t>JLL</t>
  </si>
  <si>
    <t>Jones Lang LaSalle Incorporated</t>
  </si>
  <si>
    <t>ASRNL</t>
  </si>
  <si>
    <t>ASR Nederland N.V.</t>
  </si>
  <si>
    <t>TOL</t>
  </si>
  <si>
    <t>Toll Brothers, Inc.</t>
  </si>
  <si>
    <t>CNH</t>
  </si>
  <si>
    <t>CNH Industrial N.V.</t>
  </si>
  <si>
    <t>HRL</t>
  </si>
  <si>
    <t>Hormel Foods Corporation</t>
  </si>
  <si>
    <t>LUND B</t>
  </si>
  <si>
    <t>L E Lundbergföretagen AB (publ)</t>
  </si>
  <si>
    <t>HL</t>
  </si>
  <si>
    <t>Hecla Mining Company</t>
  </si>
  <si>
    <t>RGLD</t>
  </si>
  <si>
    <t>Royal Gold, Inc.</t>
  </si>
  <si>
    <t>ADP</t>
  </si>
  <si>
    <t>Aeroports de Paris SA</t>
  </si>
  <si>
    <t>NDSN</t>
  </si>
  <si>
    <t>Nordson Corporation</t>
  </si>
  <si>
    <t>CLH</t>
  </si>
  <si>
    <t>Clean Harbors, Inc.</t>
  </si>
  <si>
    <t>HST</t>
  </si>
  <si>
    <t>Host Hotels &amp; Resorts, Inc.</t>
  </si>
  <si>
    <t>RNO</t>
  </si>
  <si>
    <t>Renault SA</t>
  </si>
  <si>
    <t>SMPH</t>
  </si>
  <si>
    <t>SM Prime Holdings, Inc.</t>
  </si>
  <si>
    <t>PEN</t>
  </si>
  <si>
    <t>Penumbra, Inc.</t>
  </si>
  <si>
    <t>CA</t>
  </si>
  <si>
    <t>Carrefour SA</t>
  </si>
  <si>
    <t>King Slide Works Co., Ltd.</t>
  </si>
  <si>
    <t>IAG</t>
  </si>
  <si>
    <t>iA Financial Corporation Inc.</t>
  </si>
  <si>
    <t>COKE</t>
  </si>
  <si>
    <t>Coca-Cola Consolidated, Inc.</t>
  </si>
  <si>
    <t>CDE</t>
  </si>
  <si>
    <t>Coeur Mining, Inc.</t>
  </si>
  <si>
    <t>DINO</t>
  </si>
  <si>
    <t>HF Sinclair Corporation</t>
  </si>
  <si>
    <t>OGE</t>
  </si>
  <si>
    <t>OGE Energy Corp.</t>
  </si>
  <si>
    <t>TAP</t>
  </si>
  <si>
    <t>Molson Coors Beverage Company</t>
  </si>
  <si>
    <t>YTLPOWR</t>
  </si>
  <si>
    <t>YTL Power International Berhad</t>
  </si>
  <si>
    <t>CRL</t>
  </si>
  <si>
    <t>Charles River Laboratories International, Inc.</t>
  </si>
  <si>
    <t>TLC</t>
  </si>
  <si>
    <t>The Lottery Corporation Limited</t>
  </si>
  <si>
    <t>IMG</t>
  </si>
  <si>
    <t>IAMGOLD Corporation</t>
  </si>
  <si>
    <t>EQX</t>
  </si>
  <si>
    <t>Equinox Gold Corp.</t>
  </si>
  <si>
    <t>Nippon Building Fund Inc.</t>
  </si>
  <si>
    <t>HALO</t>
  </si>
  <si>
    <t>Halozyme Therapeutics, Inc.</t>
  </si>
  <si>
    <t>ICL</t>
  </si>
  <si>
    <t>ICL Group Ltd</t>
  </si>
  <si>
    <t>VCX</t>
  </si>
  <si>
    <t>Vicinity Centres</t>
  </si>
  <si>
    <t>AIA</t>
  </si>
  <si>
    <t>Auckland International Airport Limited</t>
  </si>
  <si>
    <t>Chang Hwa Commercial Bank, Ltd.</t>
  </si>
  <si>
    <t>APA</t>
  </si>
  <si>
    <t>APA Group</t>
  </si>
  <si>
    <t>VMI</t>
  </si>
  <si>
    <t>Valmont Industries, Inc.</t>
  </si>
  <si>
    <t>BC</t>
  </si>
  <si>
    <t>Brunello Cucinelli S.p.A.</t>
  </si>
  <si>
    <t>EFGN</t>
  </si>
  <si>
    <t>EFG International AG</t>
  </si>
  <si>
    <t>JXN</t>
  </si>
  <si>
    <t>Jackson Financial Inc.</t>
  </si>
  <si>
    <t>SHL</t>
  </si>
  <si>
    <t>Sonic Healthcare Limited</t>
  </si>
  <si>
    <t>TX</t>
  </si>
  <si>
    <t>Ternium S.A.</t>
  </si>
  <si>
    <t>COV</t>
  </si>
  <si>
    <t>Covivio</t>
  </si>
  <si>
    <t>TFII</t>
  </si>
  <si>
    <t>TFI International Inc.</t>
  </si>
  <si>
    <t>PLS</t>
  </si>
  <si>
    <t>PLS Group Limited</t>
  </si>
  <si>
    <t>FLR</t>
  </si>
  <si>
    <t>Fluor Corporation</t>
  </si>
  <si>
    <t>NGD</t>
  </si>
  <si>
    <t>New Gold Inc.</t>
  </si>
  <si>
    <t>WING</t>
  </si>
  <si>
    <t>Wingstop Inc.</t>
  </si>
  <si>
    <t>KRYS</t>
  </si>
  <si>
    <t>Krystal Biotech, Inc.</t>
  </si>
  <si>
    <t>2888</t>
  </si>
  <si>
    <t>Shin Kong Financial Holding Co., Ltd.</t>
  </si>
  <si>
    <t>Sunoco LP</t>
  </si>
  <si>
    <t>CWAN</t>
  </si>
  <si>
    <t>Clearwater Analytics Holdings, Inc.</t>
  </si>
  <si>
    <t>TFPM</t>
  </si>
  <si>
    <t>Triple Flag Precious Metals Corp.</t>
  </si>
  <si>
    <t>OR</t>
  </si>
  <si>
    <t>OR Royalties Inc.</t>
  </si>
  <si>
    <t>OGC</t>
  </si>
  <si>
    <t>OceanaGold Corporation</t>
  </si>
  <si>
    <t>GLBE</t>
  </si>
  <si>
    <t>Global-E Online Ltd.</t>
  </si>
  <si>
    <t>ESI</t>
  </si>
  <si>
    <t>Element Solutions Inc</t>
  </si>
  <si>
    <t>ARTG</t>
  </si>
  <si>
    <t>Artemis Gold Inc.</t>
  </si>
  <si>
    <t>BTO</t>
  </si>
  <si>
    <t>B2Gold Corp.</t>
  </si>
  <si>
    <t>WAY</t>
  </si>
  <si>
    <t>Waystar Holding Corp.</t>
  </si>
  <si>
    <t>GRUMA B</t>
  </si>
  <si>
    <t>Gruma, S.A.B. de C.V.</t>
  </si>
  <si>
    <t>BLCO</t>
  </si>
  <si>
    <t>Bausch + Lomb Corporation</t>
  </si>
  <si>
    <t>WH</t>
  </si>
  <si>
    <t>Wyndham Hotels &amp; Resorts, Inc.</t>
  </si>
  <si>
    <t>CAST</t>
  </si>
  <si>
    <t>Castellum AB (publ)</t>
  </si>
  <si>
    <t>SEK</t>
  </si>
  <si>
    <t>SEEK Limited</t>
  </si>
  <si>
    <t>PETDAG</t>
  </si>
  <si>
    <t>PETRONAS Dagangan Berhad</t>
  </si>
  <si>
    <t>LPX</t>
  </si>
  <si>
    <t>Louisiana-Pacific Corporation</t>
  </si>
  <si>
    <t>ZEAL</t>
  </si>
  <si>
    <t>Zealand Pharma A/S</t>
  </si>
  <si>
    <t>Trend Micro Incorporated</t>
  </si>
  <si>
    <t>MGR</t>
  </si>
  <si>
    <t>Mirvac Group</t>
  </si>
  <si>
    <t>GKOS</t>
  </si>
  <si>
    <t>Glaukos Corporation</t>
  </si>
  <si>
    <t>COGT</t>
  </si>
  <si>
    <t>Cogent Biosciences, Inc.</t>
  </si>
  <si>
    <t>DXS</t>
  </si>
  <si>
    <t>DEXUS</t>
  </si>
  <si>
    <t>ENLT</t>
  </si>
  <si>
    <t>Enlight Renewable Energy Ltd</t>
  </si>
  <si>
    <t>Taiwan High Speed Rail Corporation</t>
  </si>
  <si>
    <t>CAR</t>
  </si>
  <si>
    <t>Avis Budget Group, Inc.</t>
  </si>
  <si>
    <t>HRI</t>
  </si>
  <si>
    <t>Herc Holdings Inc.</t>
  </si>
  <si>
    <t>KRG</t>
  </si>
  <si>
    <t>Kite Realty Group Trust</t>
  </si>
  <si>
    <t>NWL</t>
  </si>
  <si>
    <t>Netwealth Group Limited</t>
  </si>
  <si>
    <t>MCY</t>
  </si>
  <si>
    <t>Mercury General Corporation</t>
  </si>
  <si>
    <t>NPO</t>
  </si>
  <si>
    <t>Enpro Inc.</t>
  </si>
  <si>
    <t>CZR</t>
  </si>
  <si>
    <t>Caesars Entertainment, Inc.</t>
  </si>
  <si>
    <t>OGS</t>
  </si>
  <si>
    <t>ONE Gas, Inc.</t>
  </si>
  <si>
    <t>SSRM</t>
  </si>
  <si>
    <t>SSR Mining Inc.</t>
  </si>
  <si>
    <t>CE</t>
  </si>
  <si>
    <t>Celanese Corporation</t>
  </si>
  <si>
    <t>POR</t>
  </si>
  <si>
    <t>Portland General Electric Company</t>
  </si>
  <si>
    <t>RDN</t>
  </si>
  <si>
    <t>Radian Group Inc.</t>
  </si>
  <si>
    <t>CAMT</t>
  </si>
  <si>
    <t>Camtek Ltd.</t>
  </si>
  <si>
    <t>ITRI</t>
  </si>
  <si>
    <t>Itron, Inc.</t>
  </si>
  <si>
    <t>COVH</t>
  </si>
  <si>
    <t>Covivio Hotels</t>
  </si>
  <si>
    <t>LOPE</t>
  </si>
  <si>
    <t>Grand Canyon Education, Inc.</t>
  </si>
  <si>
    <t>ALI</t>
  </si>
  <si>
    <t>Ayala Land, Inc.</t>
  </si>
  <si>
    <t>GMD</t>
  </si>
  <si>
    <t>Genesis Minerals Limited</t>
  </si>
  <si>
    <t>MAC</t>
  </si>
  <si>
    <t>The Macerich Company</t>
  </si>
  <si>
    <t>RUSH.A</t>
  </si>
  <si>
    <t>Rush Enterprises, Inc.</t>
  </si>
  <si>
    <t>TXG</t>
  </si>
  <si>
    <t>Torex Gold Resources Inc.</t>
  </si>
  <si>
    <t>KNF</t>
  </si>
  <si>
    <t>Knife River Corporation</t>
  </si>
  <si>
    <t>FELE</t>
  </si>
  <si>
    <t>Franklin Electric Co., Inc.</t>
  </si>
  <si>
    <t>ITAUCL</t>
  </si>
  <si>
    <t>Banco Itaú Chile</t>
  </si>
  <si>
    <t>SON</t>
  </si>
  <si>
    <t>Sonoco Products Company</t>
  </si>
  <si>
    <t>ENG</t>
  </si>
  <si>
    <t>Enagás, S.A.</t>
  </si>
  <si>
    <t>CGF</t>
  </si>
  <si>
    <t>Challenger Limited</t>
  </si>
  <si>
    <t>DNB</t>
  </si>
  <si>
    <t>Dun &amp; Bradstreet Holdings, Inc.</t>
  </si>
  <si>
    <t>REI.UN</t>
  </si>
  <si>
    <t>RioCan Real Estate Investment Trust</t>
  </si>
  <si>
    <t>TKBP</t>
  </si>
  <si>
    <t>Thurgauer Kantonalbank</t>
  </si>
  <si>
    <t>LBTY.A</t>
  </si>
  <si>
    <t>Liberty Global Ltd.</t>
  </si>
  <si>
    <t>TNL</t>
  </si>
  <si>
    <t>Travel + Leisure Co.</t>
  </si>
  <si>
    <t>VCT</t>
  </si>
  <si>
    <t>Vicat S.A.</t>
  </si>
  <si>
    <t>FLY</t>
  </si>
  <si>
    <t>Société Foncière Lyonnaise</t>
  </si>
  <si>
    <t>FLS</t>
  </si>
  <si>
    <t>FLSmidth &amp; Co. A/S</t>
  </si>
  <si>
    <t>IGO</t>
  </si>
  <si>
    <t>IGO Limited</t>
  </si>
  <si>
    <t>OPL</t>
  </si>
  <si>
    <t>Orange Polska S.A.</t>
  </si>
  <si>
    <t>OTTR</t>
  </si>
  <si>
    <t>Otter Tail Corporation</t>
  </si>
  <si>
    <t>CHP.UN</t>
  </si>
  <si>
    <t>Choice Properties Real Estate Investment Trust</t>
  </si>
  <si>
    <t>KAI</t>
  </si>
  <si>
    <t>Kadant Inc.</t>
  </si>
  <si>
    <t>BNL</t>
  </si>
  <si>
    <t>Broadstone Net Lease, Inc.</t>
  </si>
  <si>
    <t>ALSN</t>
  </si>
  <si>
    <t>ALSO Holding AG</t>
  </si>
  <si>
    <t>CVI</t>
  </si>
  <si>
    <t>CVR Energy, Inc.</t>
  </si>
  <si>
    <t>VNT</t>
  </si>
  <si>
    <t>Ventia Services Group Limited</t>
  </si>
  <si>
    <t>WIE</t>
  </si>
  <si>
    <t>Wienerberger AG</t>
  </si>
  <si>
    <t>CCC</t>
  </si>
  <si>
    <t>CCC S.A.</t>
  </si>
  <si>
    <t>CRFB3</t>
  </si>
  <si>
    <t>Atacadão S.A.</t>
  </si>
  <si>
    <t>ETOR</t>
  </si>
  <si>
    <t>eToro Group Ltd.</t>
  </si>
  <si>
    <t>PAF</t>
  </si>
  <si>
    <t>Pan African Resources PLC</t>
  </si>
  <si>
    <t>FVI</t>
  </si>
  <si>
    <t>Fortuna Mining Corp.</t>
  </si>
  <si>
    <t>BIOA B</t>
  </si>
  <si>
    <t>BioArctic AB (publ)</t>
  </si>
  <si>
    <t>LCII</t>
  </si>
  <si>
    <t>LCI Industries</t>
  </si>
  <si>
    <t>ERA</t>
  </si>
  <si>
    <t>ERAMET S.A.</t>
  </si>
  <si>
    <t>CNK</t>
  </si>
  <si>
    <t>Cinemark Holdings, Inc.</t>
  </si>
  <si>
    <t>GEI</t>
  </si>
  <si>
    <t>Gibson Energy Inc.</t>
  </si>
  <si>
    <t>Astra Industrial Group Company</t>
  </si>
  <si>
    <t>Vector Limited</t>
  </si>
  <si>
    <t>AWR</t>
  </si>
  <si>
    <t>American States Water Company</t>
  </si>
  <si>
    <t>TKO</t>
  </si>
  <si>
    <t>Taseko Mines Limited</t>
  </si>
  <si>
    <t>RNW</t>
  </si>
  <si>
    <t>ReNew Energy Global Plc</t>
  </si>
  <si>
    <t>CRT.UN</t>
  </si>
  <si>
    <t>CT Real Estate Investment Trust</t>
  </si>
  <si>
    <t>DRD</t>
  </si>
  <si>
    <t>DRDGOLD Limited</t>
  </si>
  <si>
    <t>CARM</t>
  </si>
  <si>
    <t>Carmila S.A.</t>
  </si>
  <si>
    <t>SAPR11</t>
  </si>
  <si>
    <t>Companhia de Saneamento do Paraná - SANEPAR</t>
  </si>
  <si>
    <t>Japan Prime Realty Investment Corporation</t>
  </si>
  <si>
    <t>SGM</t>
  </si>
  <si>
    <t>Sims Limited</t>
  </si>
  <si>
    <t>DAN</t>
  </si>
  <si>
    <t>Dana Incorporated</t>
  </si>
  <si>
    <t>SINCH</t>
  </si>
  <si>
    <t>Sinch AB (publ)</t>
  </si>
  <si>
    <t>BNGA</t>
  </si>
  <si>
    <t>PT Bank CIMB Niaga Tbk</t>
  </si>
  <si>
    <t>BHC</t>
  </si>
  <si>
    <t>Bausch Health Companies Inc.</t>
  </si>
  <si>
    <t>ZIP</t>
  </si>
  <si>
    <t>Zip Co Limited</t>
  </si>
  <si>
    <t>RELY</t>
  </si>
  <si>
    <t>Remitly Global, Inc.</t>
  </si>
  <si>
    <t>FOLD</t>
  </si>
  <si>
    <t>Amicus Therapeutics, Inc.</t>
  </si>
  <si>
    <t>WKBN</t>
  </si>
  <si>
    <t>Walliser Kantonalbank</t>
  </si>
  <si>
    <t>TXAR</t>
  </si>
  <si>
    <t>Ternium Argentina S.A.</t>
  </si>
  <si>
    <t>GOR</t>
  </si>
  <si>
    <t>Gold Road Resources Limited</t>
  </si>
  <si>
    <t>ACLS</t>
  </si>
  <si>
    <t>Axcelis Technologies, Inc.</t>
  </si>
  <si>
    <t>BJC</t>
  </si>
  <si>
    <t>Berli Jucker Public Company Limited</t>
  </si>
  <si>
    <t>CAKE</t>
  </si>
  <si>
    <t>The Cheesecake Factory Incorporated</t>
  </si>
  <si>
    <t>BELF.A</t>
  </si>
  <si>
    <t>Bel Fuse Inc.</t>
  </si>
  <si>
    <t>FBU</t>
  </si>
  <si>
    <t>Fletcher Building Limited</t>
  </si>
  <si>
    <t>DIR.UN</t>
  </si>
  <si>
    <t>Dream Industrial Real Estate Investment Trust</t>
  </si>
  <si>
    <t>COCO</t>
  </si>
  <si>
    <t>The Vita Coco Company, Inc.</t>
  </si>
  <si>
    <t>OII</t>
  </si>
  <si>
    <t>Oceaneering International, Inc.</t>
  </si>
  <si>
    <t>SPNS</t>
  </si>
  <si>
    <t>Sapiens International Corporation N.V.</t>
  </si>
  <si>
    <t>SPNT</t>
  </si>
  <si>
    <t>SiriusPoint Ltd.</t>
  </si>
  <si>
    <t>SPK</t>
  </si>
  <si>
    <t>Spark New Zealand Limited</t>
  </si>
  <si>
    <t>TAVHL</t>
  </si>
  <si>
    <t>TAV Havalimanlari Holding A.S.</t>
  </si>
  <si>
    <t>STBP3</t>
  </si>
  <si>
    <t>Santos Brasil Participações S.A.</t>
  </si>
  <si>
    <t>MTC</t>
  </si>
  <si>
    <t>Muangthai Capital Public Company Limited</t>
  </si>
  <si>
    <t>OEM B</t>
  </si>
  <si>
    <t>OEM International AB (publ)</t>
  </si>
  <si>
    <t>TNK</t>
  </si>
  <si>
    <t>Teekay Tankers Ltd.</t>
  </si>
  <si>
    <t>CSTM</t>
  </si>
  <si>
    <t>Constellium SE</t>
  </si>
  <si>
    <t>SAH</t>
  </si>
  <si>
    <t>Sonic Automotive, Inc.</t>
  </si>
  <si>
    <t>MCEMENT</t>
  </si>
  <si>
    <t>Malayan Cement Berhad</t>
  </si>
  <si>
    <t>SEDG</t>
  </si>
  <si>
    <t>SolarEdge Technologies, Inc.</t>
  </si>
  <si>
    <t>ILU</t>
  </si>
  <si>
    <t>Iluka Resources Limited</t>
  </si>
  <si>
    <t>OSW</t>
  </si>
  <si>
    <t>OneSpaWorld Holdings Limited</t>
  </si>
  <si>
    <t>IOSP</t>
  </si>
  <si>
    <t>Innospec Inc.</t>
  </si>
  <si>
    <t>GOAU4</t>
  </si>
  <si>
    <t>Metalurgica Gerdau S.A.</t>
  </si>
  <si>
    <t>RWC</t>
  </si>
  <si>
    <t>Reliance Worldwide Corporation Limited</t>
  </si>
  <si>
    <t>BKD</t>
  </si>
  <si>
    <t>Brookdale Senior Living Inc.</t>
  </si>
  <si>
    <t>PBI</t>
  </si>
  <si>
    <t>Pitney Bowes Inc.</t>
  </si>
  <si>
    <t>CXB</t>
  </si>
  <si>
    <t>Calibre Mining Corp.</t>
  </si>
  <si>
    <t>SHOT</t>
  </si>
  <si>
    <t>Scandic Hotels Group AB (publ)</t>
  </si>
  <si>
    <t>BRAV</t>
  </si>
  <si>
    <t>Bravida Holding AB (publ)</t>
  </si>
  <si>
    <t>HUN</t>
  </si>
  <si>
    <t>Huntsman Corporation</t>
  </si>
  <si>
    <t>FMTY 14</t>
  </si>
  <si>
    <t>Fibra Mty, S.A.P.I. de C.V.</t>
  </si>
  <si>
    <t>MCW</t>
  </si>
  <si>
    <t>Mister Car Wash, Inc.</t>
  </si>
  <si>
    <t>HLMN</t>
  </si>
  <si>
    <t>Hillman Solutions Corp.</t>
  </si>
  <si>
    <t>FDP</t>
  </si>
  <si>
    <t>Fresh Del Monte Produce Inc.</t>
  </si>
  <si>
    <t>ANDE</t>
  </si>
  <si>
    <t>The Andersons, Inc.</t>
  </si>
  <si>
    <t>ICAD</t>
  </si>
  <si>
    <t>Icade</t>
  </si>
  <si>
    <t>HAVAS</t>
  </si>
  <si>
    <t>Havas N.V.</t>
  </si>
  <si>
    <t>NNE</t>
  </si>
  <si>
    <t>NANO Nuclear Energy Inc.</t>
  </si>
  <si>
    <t>MMT</t>
  </si>
  <si>
    <t>Métropole Télévision S.A.</t>
  </si>
  <si>
    <t>KALU</t>
  </si>
  <si>
    <t>Kaiser Aluminum Corporation</t>
  </si>
  <si>
    <t>ATRC</t>
  </si>
  <si>
    <t>AtriCure, Inc.</t>
  </si>
  <si>
    <t>GSHD</t>
  </si>
  <si>
    <t>Goosehead Insurance, Inc.</t>
  </si>
  <si>
    <t>ROG</t>
  </si>
  <si>
    <t>Rogers Corporation</t>
  </si>
  <si>
    <t>CIE Automotive India Limited</t>
  </si>
  <si>
    <t>NWH</t>
  </si>
  <si>
    <t>NRW Holdings Limited</t>
  </si>
  <si>
    <t>RSI</t>
  </si>
  <si>
    <t>Rush Street Interactive, Inc.</t>
  </si>
  <si>
    <t>NEO</t>
  </si>
  <si>
    <t>NeoGenomics, Inc.</t>
  </si>
  <si>
    <t>TU</t>
  </si>
  <si>
    <t>Thai Union Group Public Company Limited</t>
  </si>
  <si>
    <t>RHLD</t>
  </si>
  <si>
    <t>Resolute Holdings Management, Inc.</t>
  </si>
  <si>
    <t>EKTR4</t>
  </si>
  <si>
    <t>Elektro Redes S.A.</t>
  </si>
  <si>
    <t>WINA</t>
  </si>
  <si>
    <t>Winmark Corporation</t>
  </si>
  <si>
    <t>Frontier Real Estate Investment Corporation</t>
  </si>
  <si>
    <t>LZB</t>
  </si>
  <si>
    <t>La-Z-Boy Incorporated</t>
  </si>
  <si>
    <t>LILA</t>
  </si>
  <si>
    <t>Liberty Latin America Ltd.</t>
  </si>
  <si>
    <t>CTD</t>
  </si>
  <si>
    <t>Corporate Travel Management Limited</t>
  </si>
  <si>
    <t>FIBRAMQ 12</t>
  </si>
  <si>
    <t>FIBRA Macquarie México</t>
  </si>
  <si>
    <t>AMPL</t>
  </si>
  <si>
    <t>Amplitude, Inc.</t>
  </si>
  <si>
    <t>ELCO</t>
  </si>
  <si>
    <t>Elco Ltd.</t>
  </si>
  <si>
    <t>DELG</t>
  </si>
  <si>
    <t>Delta Galil Industries Ltd.</t>
  </si>
  <si>
    <t>DRR</t>
  </si>
  <si>
    <t>Deterra Royalties Limited</t>
  </si>
  <si>
    <t>BDMN</t>
  </si>
  <si>
    <t>PT Bank Danamon Indonesia Tbk</t>
  </si>
  <si>
    <t>IGTI11</t>
  </si>
  <si>
    <t>Iguatemi S.A.</t>
  </si>
  <si>
    <t>TNC</t>
  </si>
  <si>
    <t>Tennant Company</t>
  </si>
  <si>
    <t>HERDEZ *</t>
  </si>
  <si>
    <t>Grupo Herdez, S.A.B. de C.V.</t>
  </si>
  <si>
    <t>PeptiDream Inc.</t>
  </si>
  <si>
    <t>HLF</t>
  </si>
  <si>
    <t>Herbalife Ltd.</t>
  </si>
  <si>
    <t>GASMSIA</t>
  </si>
  <si>
    <t>Gas Malaysia Berhad</t>
  </si>
  <si>
    <t>CIBUS</t>
  </si>
  <si>
    <t>Cibus Nordic Real Estate AB (publ)</t>
  </si>
  <si>
    <t>BBNX</t>
  </si>
  <si>
    <t>Beta Bionics, Inc.</t>
  </si>
  <si>
    <t>ENGCON B</t>
  </si>
  <si>
    <t>engcon AB (publ)</t>
  </si>
  <si>
    <t>0QSA</t>
  </si>
  <si>
    <t>Tarkett S.A.</t>
  </si>
  <si>
    <t>RATO B</t>
  </si>
  <si>
    <t>Ratos AB (publ)</t>
  </si>
  <si>
    <t>OET</t>
  </si>
  <si>
    <t>Okeanis Eco Tankers Corp.</t>
  </si>
  <si>
    <t>SECURITY</t>
  </si>
  <si>
    <t>Grupo Security S.A.</t>
  </si>
  <si>
    <t>JDO</t>
  </si>
  <si>
    <t>Judo Capital Holdings Limited</t>
  </si>
  <si>
    <t>YAMAMA Cement Company</t>
  </si>
  <si>
    <t>Walton Advanced Engineering, Inc.</t>
  </si>
  <si>
    <t>DFIN</t>
  </si>
  <si>
    <t>Donnelley Financial Solutions, Inc.</t>
  </si>
  <si>
    <t>BORR</t>
  </si>
  <si>
    <t>Borr Drilling Limited</t>
  </si>
  <si>
    <t>BGA</t>
  </si>
  <si>
    <t>Bega Cheese Limited</t>
  </si>
  <si>
    <t>PRG</t>
  </si>
  <si>
    <t>PROG Holdings, Inc.</t>
  </si>
  <si>
    <t>SRG</t>
  </si>
  <si>
    <t>SRG Global Limited</t>
  </si>
  <si>
    <t>ESRT</t>
  </si>
  <si>
    <t>Empire State Realty Trust, Inc.</t>
  </si>
  <si>
    <t>MINEROS</t>
  </si>
  <si>
    <t>Mineros S.A.</t>
  </si>
  <si>
    <t>ORIC</t>
  </si>
  <si>
    <t>ORIC Pharmaceuticals, Inc.</t>
  </si>
  <si>
    <t>MERY</t>
  </si>
  <si>
    <t>Mercialys SA</t>
  </si>
  <si>
    <t>WTTR</t>
  </si>
  <si>
    <t>Select Water Solutions, Inc.</t>
  </si>
  <si>
    <t>A084370</t>
  </si>
  <si>
    <t>Eugene Technology Co.,Ltd.</t>
  </si>
  <si>
    <t>NIPPON REIT Investment Corporation</t>
  </si>
  <si>
    <t>GREATEC</t>
  </si>
  <si>
    <t>Greatech Technology Berhad</t>
  </si>
  <si>
    <t>LGIH</t>
  </si>
  <si>
    <t>LGI Homes, Inc.</t>
  </si>
  <si>
    <t>ATX</t>
  </si>
  <si>
    <t>ATEX Resources Inc.</t>
  </si>
  <si>
    <t>CSR</t>
  </si>
  <si>
    <t>Centerspace</t>
  </si>
  <si>
    <t>NGI</t>
  </si>
  <si>
    <t>Navigator Global Investments Limited</t>
  </si>
  <si>
    <t>WHART</t>
  </si>
  <si>
    <t>WHA Premium Growth Freehold And Leasehold Real Estate Investment Trust</t>
  </si>
  <si>
    <t>MFG</t>
  </si>
  <si>
    <t>Magellan Financial Group Limited</t>
  </si>
  <si>
    <t>MGH</t>
  </si>
  <si>
    <t>MAAS Group Holdings Limited</t>
  </si>
  <si>
    <t>A161890</t>
  </si>
  <si>
    <t>Kolmar Korea Co., Ltd.</t>
  </si>
  <si>
    <t>USAC</t>
  </si>
  <si>
    <t>USA Compression Partners, LP</t>
  </si>
  <si>
    <t>GLOBAL</t>
  </si>
  <si>
    <t>Siam Global House Public Company Limited</t>
  </si>
  <si>
    <t>VBG B</t>
  </si>
  <si>
    <t>VBG Group AB (publ)</t>
  </si>
  <si>
    <t>TCW</t>
  </si>
  <si>
    <t>Trican Well Service Ltd.</t>
  </si>
  <si>
    <t>PUMP</t>
  </si>
  <si>
    <t>ProPetro Holding Corp.</t>
  </si>
  <si>
    <t>GLDD</t>
  </si>
  <si>
    <t>Great Lakes Dredge &amp; Dock Corporation</t>
  </si>
  <si>
    <t>JBGS</t>
  </si>
  <si>
    <t>JBG SMITH Properties</t>
  </si>
  <si>
    <t>UAN</t>
  </si>
  <si>
    <t>CVR Partners, LP</t>
  </si>
  <si>
    <t>MAH</t>
  </si>
  <si>
    <t>Macmahon Holdings Limited</t>
  </si>
  <si>
    <t>TROX</t>
  </si>
  <si>
    <t>Tronox Holdings plc</t>
  </si>
  <si>
    <t>RDX</t>
  </si>
  <si>
    <t>Redox Limited</t>
  </si>
  <si>
    <t>MFA</t>
  </si>
  <si>
    <t>MFA Financial, Inc.</t>
  </si>
  <si>
    <t>Ai Holdings Corporation</t>
  </si>
  <si>
    <t>AUI</t>
  </si>
  <si>
    <t>Australian United Investment Company Limited</t>
  </si>
  <si>
    <t>SSM</t>
  </si>
  <si>
    <t>Service Stream Limited</t>
  </si>
  <si>
    <t>VHP</t>
  </si>
  <si>
    <t>Vital Healthcare Property Trust</t>
  </si>
  <si>
    <t>DJCO</t>
  </si>
  <si>
    <t>Daily Journal Corporation</t>
  </si>
  <si>
    <t>PON1V</t>
  </si>
  <si>
    <t>Ponsse Oyj</t>
  </si>
  <si>
    <t>BSLN</t>
  </si>
  <si>
    <t>Basilea Pharmaceutica AG</t>
  </si>
  <si>
    <t>AALI</t>
  </si>
  <si>
    <t>PT Astra Agro Lestari Tbk</t>
  </si>
  <si>
    <t>GNK</t>
  </si>
  <si>
    <t>Genco Shipping &amp; Trading Limited</t>
  </si>
  <si>
    <t>APZ</t>
  </si>
  <si>
    <t>Aspen Group</t>
  </si>
  <si>
    <t>ARU</t>
  </si>
  <si>
    <t>Arafura Rare Earths Limited</t>
  </si>
  <si>
    <t>SLC</t>
  </si>
  <si>
    <t>Superloop Limited</t>
  </si>
  <si>
    <t>GSM</t>
  </si>
  <si>
    <t>Ferroglobe PLC</t>
  </si>
  <si>
    <t>ROYAL HOLDINGS Co., Ltd.</t>
  </si>
  <si>
    <t>ELANTAS Beck India Limited</t>
  </si>
  <si>
    <t>MMGR B</t>
  </si>
  <si>
    <t>Momentum Group AB (publ)</t>
  </si>
  <si>
    <t>UEMS</t>
  </si>
  <si>
    <t>UEM Sunrise Berhad</t>
  </si>
  <si>
    <t>TK</t>
  </si>
  <si>
    <t>Teekay Corporation Ltd.</t>
  </si>
  <si>
    <t>NXDR</t>
  </si>
  <si>
    <t>Nextdoor Holdings, Inc.</t>
  </si>
  <si>
    <t>DUI</t>
  </si>
  <si>
    <t>Diversified United Investment Limited</t>
  </si>
  <si>
    <t>BRSP</t>
  </si>
  <si>
    <t>BrightSpire Capital, Inc.</t>
  </si>
  <si>
    <t>FAG</t>
  </si>
  <si>
    <t>Fagerhult Group AB</t>
  </si>
  <si>
    <t>CRE</t>
  </si>
  <si>
    <t>Conduit Holdings Limited</t>
  </si>
  <si>
    <t>Alamos Gold, Inc.</t>
  </si>
  <si>
    <t>TASCO</t>
  </si>
  <si>
    <t>Tipco Asphalt Public Company Limited</t>
  </si>
  <si>
    <t>PB</t>
  </si>
  <si>
    <t>President Bakery Public Company Limited</t>
  </si>
  <si>
    <t>ASPI</t>
  </si>
  <si>
    <t>ASP Isotopes Inc.</t>
  </si>
  <si>
    <t>HSN</t>
  </si>
  <si>
    <t>Hansen Technologies Limited</t>
  </si>
  <si>
    <t>TRTX</t>
  </si>
  <si>
    <t>TPG RE Finance Trust, Inc.</t>
  </si>
  <si>
    <t>QAL</t>
  </si>
  <si>
    <t>Qualitas Limited</t>
  </si>
  <si>
    <t>KOSSAN</t>
  </si>
  <si>
    <t>Kossan Rubber Industries Bhd</t>
  </si>
  <si>
    <t>DAB</t>
  </si>
  <si>
    <t>Danske Andelskassers Bank A/S</t>
  </si>
  <si>
    <t>IPH</t>
  </si>
  <si>
    <t>IPH Limited</t>
  </si>
  <si>
    <t>3487</t>
  </si>
  <si>
    <t>CRE Logistics REIT, Inc.</t>
  </si>
  <si>
    <t>IRPC</t>
  </si>
  <si>
    <t>IRPC Public Company Limited</t>
  </si>
  <si>
    <t>MATV</t>
  </si>
  <si>
    <t>Mativ Holdings, Inc.</t>
  </si>
  <si>
    <t>LINK</t>
  </si>
  <si>
    <t>PT Link Net Tbk</t>
  </si>
  <si>
    <t>ADAM</t>
  </si>
  <si>
    <t>Adamas Trust, Inc.</t>
  </si>
  <si>
    <t>Toyo Tanso Co., Ltd.</t>
  </si>
  <si>
    <t>RIC</t>
  </si>
  <si>
    <t>Ridley Corporation Limited</t>
  </si>
  <si>
    <t>TCMD</t>
  </si>
  <si>
    <t>Tactile Systems Technology, Inc.</t>
  </si>
  <si>
    <t>SMWB</t>
  </si>
  <si>
    <t>Similarweb Ltd.</t>
  </si>
  <si>
    <t>Advanced Wireless Semiconductor Company</t>
  </si>
  <si>
    <t>AIP</t>
  </si>
  <si>
    <t>Adcock Ingram Holdings Limited</t>
  </si>
  <si>
    <t>GCS Holdings, Inc.</t>
  </si>
  <si>
    <t>CEVA</t>
  </si>
  <si>
    <t>CEVA, Inc.</t>
  </si>
  <si>
    <t>P52</t>
  </si>
  <si>
    <t>Pan-United Corporation Ltd</t>
  </si>
  <si>
    <t>CKP</t>
  </si>
  <si>
    <t>CK Power Public Company Limited</t>
  </si>
  <si>
    <t>PRAA</t>
  </si>
  <si>
    <t>PRA Group, Inc.</t>
  </si>
  <si>
    <t>STA</t>
  </si>
  <si>
    <t>Sri Trang Agro-Industry Public Company Limited</t>
  </si>
  <si>
    <t>SXC</t>
  </si>
  <si>
    <t>SunCoke Energy, Inc.</t>
  </si>
  <si>
    <t>IRES</t>
  </si>
  <si>
    <t>Irish Residential Properties REIT Plc</t>
  </si>
  <si>
    <t>A137400</t>
  </si>
  <si>
    <t>People &amp; Technology Inc.</t>
  </si>
  <si>
    <t>KeePer Technical Laboratory Co., Ltd.</t>
  </si>
  <si>
    <t>FVRR</t>
  </si>
  <si>
    <t>Fiverr International Ltd.</t>
  </si>
  <si>
    <t>Arabian Cement Company</t>
  </si>
  <si>
    <t>CRN</t>
  </si>
  <si>
    <t>Coronado Global Resources Inc.</t>
  </si>
  <si>
    <t>SRV</t>
  </si>
  <si>
    <t>Servcorp Limited</t>
  </si>
  <si>
    <t>AHH</t>
  </si>
  <si>
    <t>Armada Hoffler Properties, Inc.</t>
  </si>
  <si>
    <t>A006730</t>
  </si>
  <si>
    <t>Seobu T&amp;D Co., Ltd.</t>
  </si>
  <si>
    <t>SABR</t>
  </si>
  <si>
    <t>Sabre Corporation</t>
  </si>
  <si>
    <t>A036830</t>
  </si>
  <si>
    <t>Soulbrain Holdings Co., Ltd.</t>
  </si>
  <si>
    <t>HCKT</t>
  </si>
  <si>
    <t>The Hackett Group, Inc.</t>
  </si>
  <si>
    <t>PWH</t>
  </si>
  <si>
    <t>PWR Holdings Limited</t>
  </si>
  <si>
    <t>BMGB4</t>
  </si>
  <si>
    <t>Banco BMG S.A.</t>
  </si>
  <si>
    <t>ELTP</t>
  </si>
  <si>
    <t>Elite Pharmaceuticals, Inc.</t>
  </si>
  <si>
    <t>SKC</t>
  </si>
  <si>
    <t>SkyCity Entertainment Group Limited</t>
  </si>
  <si>
    <t>SB</t>
  </si>
  <si>
    <t>Safe Bulkers, Inc.</t>
  </si>
  <si>
    <t>ASG</t>
  </si>
  <si>
    <t>Autosports Group Limited</t>
  </si>
  <si>
    <t>GOOD</t>
  </si>
  <si>
    <t>Gladstone Commercial Corporation</t>
  </si>
  <si>
    <t>Saudi Steel Pipes Company</t>
  </si>
  <si>
    <t>TAL1T</t>
  </si>
  <si>
    <t>AS Tallink Grupp</t>
  </si>
  <si>
    <t>MYS</t>
  </si>
  <si>
    <t>MyState Limited</t>
  </si>
  <si>
    <t>DLADY</t>
  </si>
  <si>
    <t>Dutch Lady Milk Industries Berhad</t>
  </si>
  <si>
    <t>A008730</t>
  </si>
  <si>
    <t>Youlchon Chemical Co.,Ltd.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</si>
  <si>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</si>
  <si>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</si>
  <si>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</si>
  <si>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</si>
  <si>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</si>
  <si>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</si>
  <si>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</si>
  <si>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</si>
  <si>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</si>
  <si>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</si>
  <si>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</si>
  <si>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</si>
  <si>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</si>
  <si>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</si>
  <si>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</si>
  <si>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</si>
  <si>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</si>
  <si>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</si>
  <si>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</si>
  <si>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</si>
  <si>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</si>
  <si>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</si>
  <si>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REIT - Mortgage</t>
  </si>
  <si>
    <t>Dec'25</t>
  </si>
  <si>
    <t>Insurance - Life</t>
  </si>
  <si>
    <t>Consulting Services</t>
  </si>
  <si>
    <t>Gold</t>
  </si>
  <si>
    <t>Other Precious Metals &amp; Mining</t>
  </si>
  <si>
    <t>Oil &amp; Gas Refining &amp; Marketing</t>
  </si>
  <si>
    <t>Oil &amp; Gas E&amp;P</t>
  </si>
  <si>
    <t>Software - Application</t>
  </si>
  <si>
    <t>Biotechnology</t>
  </si>
  <si>
    <t>Insurance - Reinsurance</t>
  </si>
  <si>
    <t>Auto &amp; Truck Dealerships</t>
  </si>
  <si>
    <t>Furnishings, Fixtures &amp; Appliances</t>
  </si>
  <si>
    <t>Internet Retail</t>
  </si>
  <si>
    <t>Medical Devices</t>
  </si>
  <si>
    <t>Oil &amp; Gas Midstream</t>
  </si>
  <si>
    <t>Semiconductors</t>
  </si>
  <si>
    <t>Utilities - Regulated Electric</t>
  </si>
  <si>
    <t>Utilities - Renewable</t>
  </si>
  <si>
    <t>Mar'26</t>
  </si>
  <si>
    <t>Rental &amp; Leasing Services</t>
  </si>
  <si>
    <t>Software - Infrastructure</t>
  </si>
  <si>
    <t>Health Information Services</t>
  </si>
  <si>
    <t>Packaging &amp; Containers</t>
  </si>
  <si>
    <t>Sep'26</t>
  </si>
  <si>
    <t>Agricultural Inputs</t>
  </si>
  <si>
    <t>Scientific &amp; Technical Instruments</t>
  </si>
  <si>
    <t>REIT - Diversified</t>
  </si>
  <si>
    <t>Jun'26</t>
  </si>
  <si>
    <t>Recreational Vehicles</t>
  </si>
  <si>
    <t>Travel Services</t>
  </si>
  <si>
    <t>Specialty Industrial Machinery</t>
  </si>
  <si>
    <t>Utilities - Regulated Water</t>
  </si>
  <si>
    <t>Insurance - Property &amp; Casualty</t>
  </si>
  <si>
    <t>Marine Shipping</t>
  </si>
  <si>
    <t>Building Materials</t>
  </si>
  <si>
    <t>Real Estate Services</t>
  </si>
  <si>
    <t>Asset Management</t>
  </si>
  <si>
    <t>Financial Data &amp; Stock Exchanges</t>
  </si>
  <si>
    <t>REIT - Hotel &amp; Motel</t>
  </si>
  <si>
    <t>Steel</t>
  </si>
  <si>
    <t>Residential Construction</t>
  </si>
  <si>
    <t>Medical Instruments &amp; Supplies</t>
  </si>
  <si>
    <t>Utilities - Regulated Gas</t>
  </si>
  <si>
    <t>Drug Manufacturers - Specialty &amp; Generic</t>
  </si>
  <si>
    <t>Beverages - Non-Alcoholic</t>
  </si>
  <si>
    <t>Semiconductor Equipment &amp; Materials</t>
  </si>
  <si>
    <t>Security &amp; Protection Services</t>
  </si>
  <si>
    <t>Specialty Chemicals</t>
  </si>
  <si>
    <t>Restaurants</t>
  </si>
  <si>
    <t>Chemicals</t>
  </si>
  <si>
    <t>Internet Content &amp; Information</t>
  </si>
  <si>
    <t>Farm &amp; Heavy Construction Machinery</t>
  </si>
  <si>
    <t>Packaged Foods</t>
  </si>
  <si>
    <t>Banks - Regional</t>
  </si>
  <si>
    <t>Education &amp; Training Services</t>
  </si>
  <si>
    <t>Diagnostics &amp; Research</t>
  </si>
  <si>
    <t>Specialty Business Services</t>
  </si>
  <si>
    <t>REIT - Residential</t>
  </si>
  <si>
    <t>Waste Management</t>
  </si>
  <si>
    <t>Resorts &amp; Casinos</t>
  </si>
  <si>
    <t>Auto Parts</t>
  </si>
  <si>
    <t>Household &amp; Personal Products</t>
  </si>
  <si>
    <t>Oil &amp; Gas Equipment &amp; Services</t>
  </si>
  <si>
    <t>Conglomerates</t>
  </si>
  <si>
    <t>Coking Coal</t>
  </si>
  <si>
    <t>Oil &amp; Gas Drilling</t>
  </si>
  <si>
    <t>Lodging</t>
  </si>
  <si>
    <t>Engineering &amp; Construction</t>
  </si>
  <si>
    <t>Beverages - Brewers</t>
  </si>
  <si>
    <t>Information Technology Services</t>
  </si>
  <si>
    <t>REIT - Retail</t>
  </si>
  <si>
    <t>Entertainment</t>
  </si>
  <si>
    <t>REIT - Office</t>
  </si>
  <si>
    <t>Insurance - Specialty</t>
  </si>
  <si>
    <t>Trucking</t>
  </si>
  <si>
    <t>Industrial Distribution</t>
  </si>
  <si>
    <t>Building Products &amp; Equipment</t>
  </si>
  <si>
    <t>Capital Markets</t>
  </si>
  <si>
    <t>Japan</t>
  </si>
  <si>
    <t>N/A</t>
  </si>
  <si>
    <t>Unknown</t>
  </si>
  <si>
    <t>Other Industrial Metals &amp; Mining</t>
  </si>
  <si>
    <t>Sep'25</t>
  </si>
  <si>
    <t>H1 2026</t>
  </si>
  <si>
    <t>H2 2025</t>
  </si>
  <si>
    <t>H1 2025</t>
  </si>
  <si>
    <t>Jun'25</t>
  </si>
  <si>
    <t>TTM</t>
  </si>
  <si>
    <t>Auto Manufacturers</t>
  </si>
  <si>
    <t>Electronic Components</t>
  </si>
  <si>
    <t>France</t>
  </si>
  <si>
    <t>Hong Kong</t>
  </si>
  <si>
    <t>opm</t>
  </si>
  <si>
    <t>(단위: mil $)</t>
    <phoneticPr fontId="7" type="noConversion"/>
  </si>
  <si>
    <t>4Q21</t>
    <phoneticPr fontId="12" type="noConversion"/>
  </si>
  <si>
    <t>1Q22</t>
    <phoneticPr fontId="12" type="noConversion"/>
  </si>
  <si>
    <t>2Q22</t>
    <phoneticPr fontId="12" type="noConversion"/>
  </si>
  <si>
    <t>3Q22</t>
    <phoneticPr fontId="12" type="noConversion"/>
  </si>
  <si>
    <t>4Q22</t>
    <phoneticPr fontId="12" type="noConversion"/>
  </si>
  <si>
    <t>2Q23</t>
    <phoneticPr fontId="12" type="noConversion"/>
  </si>
  <si>
    <t>3Q23</t>
    <phoneticPr fontId="12" type="noConversion"/>
  </si>
  <si>
    <t>4Q23</t>
    <phoneticPr fontId="12" type="noConversion"/>
  </si>
  <si>
    <t>1Q26</t>
    <phoneticPr fontId="12" type="noConversion"/>
  </si>
  <si>
    <t>2Q26</t>
    <phoneticPr fontId="12" type="noConversion"/>
  </si>
  <si>
    <t>3Q26</t>
    <phoneticPr fontId="12" type="noConversion"/>
  </si>
  <si>
    <t>4Q26</t>
    <phoneticPr fontId="12" type="noConversion"/>
  </si>
  <si>
    <t>Revenue</t>
    <phoneticPr fontId="12" type="noConversion"/>
  </si>
  <si>
    <t>OP</t>
    <phoneticPr fontId="12" type="noConversion"/>
  </si>
  <si>
    <t>Trailing 4Q OP avg.</t>
    <phoneticPr fontId="12" type="noConversion"/>
  </si>
  <si>
    <t>Trailing 4Q OP sum.</t>
    <phoneticPr fontId="12" type="noConversion"/>
  </si>
  <si>
    <t>Trailing OP Delta</t>
    <phoneticPr fontId="12" type="noConversion"/>
  </si>
  <si>
    <t>op yoy</t>
    <phoneticPr fontId="12" type="noConversion"/>
  </si>
  <si>
    <t>rv yoy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</si>
</sst>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3" borderId="1" xfId="0" applyNumberFormat="1" applyFont="1" applyFill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0" borderId="1" xfId="0" applyNumberFormat="1" applyFont="1" applyBorder="1"/>
    <xf numFmtId="0" fontId="3" fillId="0" borderId="1" xfId="0" applyFont="1" applyBorder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6" fillId="0" borderId="0" xfId="0" quotePrefix="1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0" fillId="4" borderId="2" xfId="0" applyFont="1" applyFill="1" applyBorder="1" applyAlignment="1">
      <alignment vertical="center"/>
    </xf>
    <xf numFmtId="0" fontId="11" fillId="4" borderId="0" xfId="0" applyFont="1" applyFill="1" applyAlignment="1">
      <alignment horizontal="right" vertical="center"/>
    </xf>
    <xf numFmtId="0" fontId="11" fillId="4" borderId="2" xfId="0" applyFont="1" applyFill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178" fontId="8" fillId="0" borderId="0" xfId="0" applyNumberFormat="1" applyFont="1" applyAlignment="1">
      <alignment vertical="center"/>
    </xf>
    <xf numFmtId="178" fontId="8" fillId="0" borderId="2" xfId="0" applyNumberFormat="1" applyFont="1" applyBorder="1" applyAlignment="1">
      <alignment vertical="center"/>
    </xf>
    <xf numFmtId="177" fontId="8" fillId="0" borderId="0" xfId="1" applyNumberFormat="1" applyFont="1" applyFill="1">
      <alignment vertical="center"/>
    </xf>
    <xf numFmtId="177" fontId="8" fillId="0" borderId="0" xfId="1" applyNumberFormat="1" applyFont="1" applyFill="1" applyBorder="1">
      <alignment vertical="center"/>
    </xf>
    <xf numFmtId="177" fontId="8" fillId="0" borderId="2" xfId="1" applyNumberFormat="1" applyFont="1" applyFill="1" applyBorder="1">
      <alignment vertical="center"/>
    </xf>
    <xf numFmtId="9" fontId="8" fillId="0" borderId="0" xfId="1" applyFont="1" applyFill="1">
      <alignment vertical="center"/>
    </xf>
    <xf numFmtId="9" fontId="8" fillId="0" borderId="0" xfId="1" applyFont="1" applyAlignment="1">
      <alignment horizontal="right" vertical="center"/>
    </xf>
    <xf numFmtId="9" fontId="8" fillId="0" borderId="2" xfId="1" applyFont="1" applyBorder="1" applyAlignment="1">
      <alignment horizontal="right" vertical="center"/>
    </xf>
    <xf numFmtId="9" fontId="8" fillId="0" borderId="0" xfId="1" applyFont="1">
      <alignment vertical="center"/>
    </xf>
    <xf numFmtId="9" fontId="8" fillId="0" borderId="0" xfId="1" applyFont="1" applyBorder="1">
      <alignment vertical="center"/>
    </xf>
    <xf numFmtId="9" fontId="8" fillId="0" borderId="2" xfId="1" applyFont="1" applyBorder="1">
      <alignment vertical="center"/>
    </xf>
    <xf numFmtId="177" fontId="3" fillId="0" borderId="0" xfId="0" applyNumberFormat="1" applyFont="1" applyFill="1"/>
    <xf numFmtId="177" fontId="3" fillId="5" borderId="0" xfId="0" applyNumberFormat="1" applyFont="1" applyFill="1"/>
    <xf numFmtId="177" fontId="3" fillId="5" borderId="1" xfId="0" applyNumberFormat="1" applyFont="1" applyFill="1" applyBorder="1"/>
    <xf numFmtId="176" fontId="2" fillId="5" borderId="0" xfId="0" applyNumberFormat="1" applyFont="1" applyFill="1"/>
    <xf numFmtId="0" fontId="3" fillId="0" borderId="3" xfId="0" applyFont="1" applyBorder="1"/>
    <xf numFmtId="176" fontId="3" fillId="0" borderId="3" xfId="0" applyNumberFormat="1" applyFont="1" applyBorder="1"/>
    <xf numFmtId="3" fontId="3" fillId="0" borderId="3" xfId="0" applyNumberFormat="1" applyFont="1" applyBorder="1"/>
    <xf numFmtId="3" fontId="3" fillId="3" borderId="3" xfId="0" applyNumberFormat="1" applyFont="1" applyFill="1" applyBorder="1"/>
    <xf numFmtId="177" fontId="3" fillId="0" borderId="4" xfId="0" applyNumberFormat="1" applyFont="1" applyBorder="1"/>
    <xf numFmtId="177" fontId="3" fillId="0" borderId="3" xfId="0" applyNumberFormat="1" applyFont="1" applyBorder="1"/>
    <xf numFmtId="177" fontId="3" fillId="3" borderId="3" xfId="0" applyNumberFormat="1" applyFont="1" applyFill="1" applyBorder="1"/>
    <xf numFmtId="0" fontId="2" fillId="2" borderId="5" xfId="0" applyFont="1" applyFill="1" applyBorder="1" applyAlignment="1">
      <alignment horizontal="center"/>
    </xf>
    <xf numFmtId="0" fontId="2" fillId="0" borderId="3" xfId="0" applyFont="1" applyBorder="1"/>
    <xf numFmtId="0" fontId="3" fillId="0" borderId="0" xfId="0" applyFont="1" applyBorder="1"/>
    <xf numFmtId="176" fontId="3" fillId="0" borderId="0" xfId="0" applyNumberFormat="1" applyFont="1" applyBorder="1"/>
    <xf numFmtId="177" fontId="3" fillId="0" borderId="0" xfId="0" applyNumberFormat="1" applyFont="1" applyBorder="1"/>
    <xf numFmtId="177" fontId="3" fillId="3" borderId="0" xfId="0" applyNumberFormat="1" applyFont="1" applyFill="1" applyBorder="1"/>
    <xf numFmtId="0" fontId="2" fillId="0" borderId="0" xfId="0" applyFont="1" applyBorder="1"/>
    <xf numFmtId="178" fontId="3" fillId="0" borderId="0" xfId="0" applyNumberFormat="1" applyFont="1"/>
    <xf numFmtId="178" fontId="3" fillId="3" borderId="0" xfId="0" applyNumberFormat="1" applyFont="1" applyFill="1"/>
    <xf numFmtId="178" fontId="0" fillId="0" borderId="0" xfId="0" applyNumberFormat="1"/>
    <xf numFmtId="178" fontId="3" fillId="0" borderId="0" xfId="0" applyNumberFormat="1" applyFont="1" applyBorder="1"/>
    <xf numFmtId="178" fontId="3" fillId="3" borderId="0" xfId="0" applyNumberFormat="1" applyFont="1" applyFill="1" applyBorder="1"/>
    <xf numFmtId="178" fontId="3" fillId="0" borderId="3" xfId="0" applyNumberFormat="1" applyFont="1" applyBorder="1"/>
    <xf numFmtId="178" fontId="3" fillId="3" borderId="3" xfId="0" applyNumberFormat="1" applyFont="1" applyFill="1" applyBorder="1"/>
  </cellXfs>
  <cellStyles count="2">
    <cellStyle name="백분율" xfId="1" builtinId="5"/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10"/>
  <sheetViews>
    <sheetView workbookViewId="0">
      <selection activeCell="F396" sqref="F396"/>
    </sheetView>
  </sheetViews>
  <sheetFormatPr defaultRowHeight="16.5" x14ac:dyDescent="0.3"/>
  <cols>
    <col min="1" max="1" width="3" customWidth="1"/>
    <col min="2" max="2" width="12" style="13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12" t="s">
        <v>7</v>
      </c>
      <c r="C4" s="3" t="s">
        <v>8</v>
      </c>
      <c r="D4" s="3" t="s">
        <v>9</v>
      </c>
      <c r="E4" s="3"/>
      <c r="F4" s="3" t="s">
        <v>10</v>
      </c>
      <c r="G4" s="4">
        <v>290025</v>
      </c>
    </row>
    <row r="5" spans="2:7" x14ac:dyDescent="0.3">
      <c r="B5" s="12" t="s">
        <v>11</v>
      </c>
      <c r="C5" s="3" t="s">
        <v>12</v>
      </c>
      <c r="D5" s="3" t="s">
        <v>13</v>
      </c>
      <c r="E5" s="3"/>
      <c r="F5" s="3" t="s">
        <v>10</v>
      </c>
      <c r="G5" s="4">
        <v>183629</v>
      </c>
    </row>
    <row r="6" spans="2:7" x14ac:dyDescent="0.3">
      <c r="B6" s="12" t="s">
        <v>14</v>
      </c>
      <c r="C6" s="3" t="s">
        <v>15</v>
      </c>
      <c r="D6" s="3" t="s">
        <v>9</v>
      </c>
      <c r="E6" s="3" t="s">
        <v>16</v>
      </c>
      <c r="F6" s="3" t="s">
        <v>17</v>
      </c>
      <c r="G6" s="4">
        <v>164717</v>
      </c>
    </row>
    <row r="7" spans="2:7" x14ac:dyDescent="0.3">
      <c r="B7" s="12" t="s">
        <v>18</v>
      </c>
      <c r="C7" s="3" t="s">
        <v>19</v>
      </c>
      <c r="D7" s="3" t="s">
        <v>9</v>
      </c>
      <c r="E7" s="3" t="s">
        <v>20</v>
      </c>
      <c r="F7" s="3" t="s">
        <v>10</v>
      </c>
      <c r="G7" s="4">
        <v>133467</v>
      </c>
    </row>
    <row r="8" spans="2:7" x14ac:dyDescent="0.3">
      <c r="B8" s="12" t="s">
        <v>21</v>
      </c>
      <c r="C8" s="3" t="s">
        <v>22</v>
      </c>
      <c r="D8" s="3" t="s">
        <v>23</v>
      </c>
      <c r="E8" s="3" t="s">
        <v>16</v>
      </c>
      <c r="F8" s="3" t="s">
        <v>17</v>
      </c>
      <c r="G8" s="4">
        <v>127548</v>
      </c>
    </row>
    <row r="9" spans="2:7" x14ac:dyDescent="0.3">
      <c r="B9" s="12" t="s">
        <v>24</v>
      </c>
      <c r="C9" s="3" t="s">
        <v>25</v>
      </c>
      <c r="D9" s="3" t="s">
        <v>23</v>
      </c>
      <c r="E9" s="3" t="s">
        <v>20</v>
      </c>
      <c r="F9" s="3" t="s">
        <v>17</v>
      </c>
      <c r="G9" s="4">
        <v>116364</v>
      </c>
    </row>
    <row r="10" spans="2:7" x14ac:dyDescent="0.3">
      <c r="B10" s="12" t="s">
        <v>26</v>
      </c>
      <c r="C10" s="3" t="s">
        <v>27</v>
      </c>
      <c r="D10" s="3" t="s">
        <v>23</v>
      </c>
      <c r="E10" s="3"/>
      <c r="F10" s="3" t="s">
        <v>10</v>
      </c>
      <c r="G10" s="4">
        <v>104514</v>
      </c>
    </row>
    <row r="11" spans="2:7" x14ac:dyDescent="0.3">
      <c r="B11" s="12" t="s">
        <v>28</v>
      </c>
      <c r="C11" s="3" t="s">
        <v>29</v>
      </c>
      <c r="D11" s="3" t="s">
        <v>23</v>
      </c>
      <c r="E11" s="3" t="s">
        <v>20</v>
      </c>
      <c r="F11" s="3" t="s">
        <v>10</v>
      </c>
      <c r="G11" s="4">
        <v>81513.31</v>
      </c>
    </row>
    <row r="12" spans="2:7" x14ac:dyDescent="0.3">
      <c r="B12" s="12" t="s">
        <v>30</v>
      </c>
      <c r="C12" s="3" t="s">
        <v>31</v>
      </c>
      <c r="D12" s="3" t="s">
        <v>9</v>
      </c>
      <c r="E12" s="3"/>
      <c r="F12" s="3" t="s">
        <v>10</v>
      </c>
      <c r="G12" s="4">
        <v>79948.55</v>
      </c>
    </row>
    <row r="13" spans="2:7" x14ac:dyDescent="0.3">
      <c r="B13" s="12" t="s">
        <v>32</v>
      </c>
      <c r="C13" s="3" t="s">
        <v>33</v>
      </c>
      <c r="D13" s="3" t="s">
        <v>9</v>
      </c>
      <c r="E13" s="3"/>
      <c r="F13" s="3" t="s">
        <v>10</v>
      </c>
      <c r="G13" s="4">
        <v>79047.570000000007</v>
      </c>
    </row>
    <row r="14" spans="2:7" x14ac:dyDescent="0.3">
      <c r="B14" s="12" t="s">
        <v>34</v>
      </c>
      <c r="C14" s="3" t="s">
        <v>35</v>
      </c>
      <c r="D14" s="3" t="s">
        <v>9</v>
      </c>
      <c r="E14" s="3" t="s">
        <v>16</v>
      </c>
      <c r="F14" s="3" t="s">
        <v>10</v>
      </c>
      <c r="G14" s="4">
        <v>76074.86</v>
      </c>
    </row>
    <row r="15" spans="2:7" x14ac:dyDescent="0.3">
      <c r="B15" s="12" t="s">
        <v>36</v>
      </c>
      <c r="C15" s="3" t="s">
        <v>37</v>
      </c>
      <c r="D15" s="3" t="s">
        <v>9</v>
      </c>
      <c r="E15" s="3"/>
      <c r="F15" s="3" t="s">
        <v>10</v>
      </c>
      <c r="G15" s="4">
        <v>70410.17</v>
      </c>
    </row>
    <row r="16" spans="2:7" x14ac:dyDescent="0.3">
      <c r="B16" s="12" t="s">
        <v>38</v>
      </c>
      <c r="C16" s="3" t="s">
        <v>39</v>
      </c>
      <c r="D16" s="3" t="s">
        <v>9</v>
      </c>
      <c r="E16" s="3" t="s">
        <v>20</v>
      </c>
      <c r="F16" s="3" t="s">
        <v>10</v>
      </c>
      <c r="G16" s="4">
        <v>69106.3</v>
      </c>
    </row>
    <row r="17" spans="2:7" x14ac:dyDescent="0.3">
      <c r="B17" s="12" t="s">
        <v>40</v>
      </c>
      <c r="C17" s="3" t="s">
        <v>41</v>
      </c>
      <c r="D17" s="3" t="s">
        <v>23</v>
      </c>
      <c r="E17" s="3" t="s">
        <v>20</v>
      </c>
      <c r="F17" s="3" t="s">
        <v>10</v>
      </c>
      <c r="G17" s="4">
        <v>69085.31</v>
      </c>
    </row>
    <row r="18" spans="2:7" x14ac:dyDescent="0.3">
      <c r="B18" s="12" t="s">
        <v>42</v>
      </c>
      <c r="C18" s="3" t="s">
        <v>43</v>
      </c>
      <c r="D18" s="3" t="s">
        <v>23</v>
      </c>
      <c r="E18" s="3"/>
      <c r="F18" s="3" t="s">
        <v>10</v>
      </c>
      <c r="G18" s="4">
        <v>64376</v>
      </c>
    </row>
    <row r="19" spans="2:7" x14ac:dyDescent="0.3">
      <c r="B19" s="12">
        <v>7010</v>
      </c>
      <c r="C19" s="3" t="s">
        <v>44</v>
      </c>
      <c r="D19" s="3" t="s">
        <v>23</v>
      </c>
      <c r="E19" s="3"/>
      <c r="F19" s="3" t="s">
        <v>10</v>
      </c>
      <c r="G19" s="4">
        <v>59583.199999999997</v>
      </c>
    </row>
    <row r="20" spans="2:7" x14ac:dyDescent="0.3">
      <c r="B20" s="12" t="s">
        <v>45</v>
      </c>
      <c r="C20" s="3" t="s">
        <v>46</v>
      </c>
      <c r="D20" s="3" t="s">
        <v>9</v>
      </c>
      <c r="E20" s="3"/>
      <c r="F20" s="3" t="s">
        <v>10</v>
      </c>
      <c r="G20" s="4">
        <v>54140.88</v>
      </c>
    </row>
    <row r="21" spans="2:7" x14ac:dyDescent="0.3">
      <c r="B21" s="12" t="s">
        <v>47</v>
      </c>
      <c r="C21" s="3" t="s">
        <v>48</v>
      </c>
      <c r="D21" s="3" t="s">
        <v>23</v>
      </c>
      <c r="E21" s="3"/>
      <c r="F21" s="3" t="s">
        <v>10</v>
      </c>
      <c r="G21" s="4">
        <v>49961.27</v>
      </c>
    </row>
    <row r="22" spans="2:7" x14ac:dyDescent="0.3">
      <c r="B22" s="12" t="s">
        <v>49</v>
      </c>
      <c r="C22" s="3" t="s">
        <v>50</v>
      </c>
      <c r="D22" s="3" t="s">
        <v>9</v>
      </c>
      <c r="E22" s="3" t="s">
        <v>20</v>
      </c>
      <c r="F22" s="3" t="s">
        <v>10</v>
      </c>
      <c r="G22" s="4">
        <v>48489.77</v>
      </c>
    </row>
    <row r="23" spans="2:7" x14ac:dyDescent="0.3">
      <c r="B23" s="12" t="s">
        <v>51</v>
      </c>
      <c r="C23" s="3" t="s">
        <v>52</v>
      </c>
      <c r="D23" s="3" t="s">
        <v>9</v>
      </c>
      <c r="E23" s="3" t="s">
        <v>20</v>
      </c>
      <c r="F23" s="3" t="s">
        <v>10</v>
      </c>
      <c r="G23" s="4">
        <v>45388.639999999999</v>
      </c>
    </row>
    <row r="24" spans="2:7" x14ac:dyDescent="0.3">
      <c r="B24" s="12" t="s">
        <v>53</v>
      </c>
      <c r="C24" s="3" t="s">
        <v>54</v>
      </c>
      <c r="D24" s="3" t="s">
        <v>23</v>
      </c>
      <c r="E24" s="3"/>
      <c r="F24" s="3" t="s">
        <v>10</v>
      </c>
      <c r="G24" s="4">
        <v>43206.46</v>
      </c>
    </row>
    <row r="25" spans="2:7" x14ac:dyDescent="0.3">
      <c r="B25" s="12" t="s">
        <v>55</v>
      </c>
      <c r="C25" s="3" t="s">
        <v>56</v>
      </c>
      <c r="D25" s="3" t="s">
        <v>23</v>
      </c>
      <c r="E25" s="3" t="s">
        <v>16</v>
      </c>
      <c r="F25" s="3" t="s">
        <v>10</v>
      </c>
      <c r="G25" s="4">
        <v>42773.42</v>
      </c>
    </row>
    <row r="26" spans="2:7" x14ac:dyDescent="0.3">
      <c r="B26" s="12" t="s">
        <v>57</v>
      </c>
      <c r="C26" s="3" t="s">
        <v>58</v>
      </c>
      <c r="D26" s="3" t="s">
        <v>9</v>
      </c>
      <c r="E26" s="3" t="s">
        <v>16</v>
      </c>
      <c r="F26" s="3" t="s">
        <v>10</v>
      </c>
      <c r="G26" s="4">
        <v>38915.1</v>
      </c>
    </row>
    <row r="27" spans="2:7" x14ac:dyDescent="0.3">
      <c r="B27" s="12" t="s">
        <v>59</v>
      </c>
      <c r="C27" s="3" t="s">
        <v>60</v>
      </c>
      <c r="D27" s="3" t="s">
        <v>9</v>
      </c>
      <c r="E27" s="3" t="s">
        <v>20</v>
      </c>
      <c r="F27" s="3" t="s">
        <v>10</v>
      </c>
      <c r="G27" s="4">
        <v>38728.26</v>
      </c>
    </row>
    <row r="28" spans="2:7" x14ac:dyDescent="0.3">
      <c r="B28" s="12" t="s">
        <v>61</v>
      </c>
      <c r="C28" s="3" t="s">
        <v>62</v>
      </c>
      <c r="D28" s="3" t="s">
        <v>9</v>
      </c>
      <c r="E28" s="3"/>
      <c r="F28" s="3" t="s">
        <v>10</v>
      </c>
      <c r="G28" s="4">
        <v>38180.449999999997</v>
      </c>
    </row>
    <row r="29" spans="2:7" x14ac:dyDescent="0.3">
      <c r="B29" s="12">
        <v>11</v>
      </c>
      <c r="C29" s="3" t="s">
        <v>63</v>
      </c>
      <c r="D29" s="3" t="s">
        <v>23</v>
      </c>
      <c r="E29" s="3"/>
      <c r="F29" s="3" t="s">
        <v>10</v>
      </c>
      <c r="G29" s="4">
        <v>37063.519999999997</v>
      </c>
    </row>
    <row r="30" spans="2:7" x14ac:dyDescent="0.3">
      <c r="B30" s="12" t="s">
        <v>64</v>
      </c>
      <c r="C30" s="3" t="s">
        <v>65</v>
      </c>
      <c r="D30" s="3" t="s">
        <v>23</v>
      </c>
      <c r="E30" s="3" t="s">
        <v>20</v>
      </c>
      <c r="F30" s="3" t="s">
        <v>10</v>
      </c>
      <c r="G30" s="4">
        <v>34736.800000000003</v>
      </c>
    </row>
    <row r="31" spans="2:7" x14ac:dyDescent="0.3">
      <c r="B31" s="12" t="s">
        <v>66</v>
      </c>
      <c r="C31" s="3" t="s">
        <v>67</v>
      </c>
      <c r="D31" s="3" t="s">
        <v>9</v>
      </c>
      <c r="E31" s="3" t="s">
        <v>20</v>
      </c>
      <c r="F31" s="3" t="s">
        <v>10</v>
      </c>
      <c r="G31" s="4">
        <v>32143.14</v>
      </c>
    </row>
    <row r="32" spans="2:7" x14ac:dyDescent="0.3">
      <c r="B32" s="12" t="s">
        <v>68</v>
      </c>
      <c r="C32" s="3" t="s">
        <v>69</v>
      </c>
      <c r="D32" s="3" t="s">
        <v>23</v>
      </c>
      <c r="E32" s="3" t="s">
        <v>20</v>
      </c>
      <c r="F32" s="3" t="s">
        <v>10</v>
      </c>
      <c r="G32" s="4">
        <v>31540.54</v>
      </c>
    </row>
    <row r="33" spans="2:7" x14ac:dyDescent="0.3">
      <c r="B33" s="12" t="s">
        <v>70</v>
      </c>
      <c r="C33" s="3" t="s">
        <v>71</v>
      </c>
      <c r="D33" s="3" t="s">
        <v>9</v>
      </c>
      <c r="E33" s="3" t="s">
        <v>16</v>
      </c>
      <c r="F33" s="3" t="s">
        <v>10</v>
      </c>
      <c r="G33" s="4">
        <v>30719.11</v>
      </c>
    </row>
    <row r="34" spans="2:7" x14ac:dyDescent="0.3">
      <c r="B34" s="12" t="s">
        <v>72</v>
      </c>
      <c r="C34" s="3" t="s">
        <v>73</v>
      </c>
      <c r="D34" s="3" t="s">
        <v>23</v>
      </c>
      <c r="E34" s="3"/>
      <c r="F34" s="3" t="s">
        <v>10</v>
      </c>
      <c r="G34" s="4">
        <v>30054.17</v>
      </c>
    </row>
    <row r="35" spans="2:7" x14ac:dyDescent="0.3">
      <c r="B35" s="12" t="s">
        <v>74</v>
      </c>
      <c r="C35" s="3" t="s">
        <v>75</v>
      </c>
      <c r="D35" s="3" t="s">
        <v>9</v>
      </c>
      <c r="E35" s="3"/>
      <c r="F35" s="3" t="s">
        <v>10</v>
      </c>
      <c r="G35" s="4">
        <v>28898.62</v>
      </c>
    </row>
    <row r="36" spans="2:7" x14ac:dyDescent="0.3">
      <c r="B36" s="12">
        <v>5108</v>
      </c>
      <c r="C36" s="3" t="s">
        <v>76</v>
      </c>
      <c r="D36" s="3" t="s">
        <v>13</v>
      </c>
      <c r="E36" s="3"/>
      <c r="F36" s="3" t="s">
        <v>10</v>
      </c>
      <c r="G36" s="4">
        <v>28685.07</v>
      </c>
    </row>
    <row r="37" spans="2:7" x14ac:dyDescent="0.3">
      <c r="B37" s="12" t="s">
        <v>77</v>
      </c>
      <c r="C37" s="3" t="s">
        <v>78</v>
      </c>
      <c r="D37" s="3" t="s">
        <v>9</v>
      </c>
      <c r="E37" s="3"/>
      <c r="F37" s="3" t="s">
        <v>10</v>
      </c>
      <c r="G37" s="4">
        <v>28647.02</v>
      </c>
    </row>
    <row r="38" spans="2:7" x14ac:dyDescent="0.3">
      <c r="B38" s="12" t="s">
        <v>79</v>
      </c>
      <c r="C38" s="3" t="s">
        <v>80</v>
      </c>
      <c r="D38" s="3" t="s">
        <v>23</v>
      </c>
      <c r="E38" s="3" t="s">
        <v>16</v>
      </c>
      <c r="F38" s="3" t="s">
        <v>10</v>
      </c>
      <c r="G38" s="4">
        <v>27999.82</v>
      </c>
    </row>
    <row r="39" spans="2:7" x14ac:dyDescent="0.3">
      <c r="B39" s="12" t="s">
        <v>81</v>
      </c>
      <c r="C39" s="3" t="s">
        <v>82</v>
      </c>
      <c r="D39" s="3" t="s">
        <v>23</v>
      </c>
      <c r="E39" s="3" t="s">
        <v>20</v>
      </c>
      <c r="F39" s="3" t="s">
        <v>10</v>
      </c>
      <c r="G39" s="4">
        <v>27346.69</v>
      </c>
    </row>
    <row r="40" spans="2:7" x14ac:dyDescent="0.3">
      <c r="B40" s="12" t="s">
        <v>83</v>
      </c>
      <c r="C40" s="3" t="s">
        <v>84</v>
      </c>
      <c r="D40" s="3" t="s">
        <v>9</v>
      </c>
      <c r="E40" s="3"/>
      <c r="F40" s="3" t="s">
        <v>10</v>
      </c>
      <c r="G40" s="4">
        <v>26017.78</v>
      </c>
    </row>
    <row r="41" spans="2:7" x14ac:dyDescent="0.3">
      <c r="B41" s="12" t="s">
        <v>85</v>
      </c>
      <c r="C41" s="3" t="s">
        <v>86</v>
      </c>
      <c r="D41" s="3" t="s">
        <v>23</v>
      </c>
      <c r="E41" s="3" t="s">
        <v>16</v>
      </c>
      <c r="F41" s="3" t="s">
        <v>10</v>
      </c>
      <c r="G41" s="4">
        <v>24893.4</v>
      </c>
    </row>
    <row r="42" spans="2:7" x14ac:dyDescent="0.3">
      <c r="B42" s="12" t="s">
        <v>87</v>
      </c>
      <c r="C42" s="3" t="s">
        <v>88</v>
      </c>
      <c r="D42" s="3" t="s">
        <v>9</v>
      </c>
      <c r="E42" s="3" t="s">
        <v>20</v>
      </c>
      <c r="F42" s="3" t="s">
        <v>10</v>
      </c>
      <c r="G42" s="4">
        <v>24006.86</v>
      </c>
    </row>
    <row r="43" spans="2:7" x14ac:dyDescent="0.3">
      <c r="B43" s="12" t="s">
        <v>89</v>
      </c>
      <c r="C43" s="3" t="s">
        <v>90</v>
      </c>
      <c r="D43" s="3" t="s">
        <v>23</v>
      </c>
      <c r="E43" s="3" t="s">
        <v>20</v>
      </c>
      <c r="F43" s="3" t="s">
        <v>10</v>
      </c>
      <c r="G43" s="4">
        <v>23788.39</v>
      </c>
    </row>
    <row r="44" spans="2:7" x14ac:dyDescent="0.3">
      <c r="B44" s="12" t="s">
        <v>91</v>
      </c>
      <c r="C44" s="3" t="s">
        <v>92</v>
      </c>
      <c r="D44" s="3" t="s">
        <v>9</v>
      </c>
      <c r="E44" s="3" t="s">
        <v>20</v>
      </c>
      <c r="F44" s="3" t="s">
        <v>10</v>
      </c>
      <c r="G44" s="4">
        <v>23265.27</v>
      </c>
    </row>
    <row r="45" spans="2:7" x14ac:dyDescent="0.3">
      <c r="B45" s="12" t="s">
        <v>93</v>
      </c>
      <c r="C45" s="3" t="s">
        <v>94</v>
      </c>
      <c r="D45" s="3" t="s">
        <v>23</v>
      </c>
      <c r="E45" s="3" t="s">
        <v>20</v>
      </c>
      <c r="F45" s="3" t="s">
        <v>10</v>
      </c>
      <c r="G45" s="4">
        <v>22708.26</v>
      </c>
    </row>
    <row r="46" spans="2:7" x14ac:dyDescent="0.3">
      <c r="B46" s="12" t="s">
        <v>95</v>
      </c>
      <c r="C46" s="3" t="s">
        <v>96</v>
      </c>
      <c r="D46" s="3" t="s">
        <v>23</v>
      </c>
      <c r="E46" s="3" t="s">
        <v>16</v>
      </c>
      <c r="F46" s="3" t="s">
        <v>10</v>
      </c>
      <c r="G46" s="4">
        <v>22455.119999999999</v>
      </c>
    </row>
    <row r="47" spans="2:7" x14ac:dyDescent="0.3">
      <c r="B47" s="12" t="s">
        <v>97</v>
      </c>
      <c r="C47" s="3" t="s">
        <v>98</v>
      </c>
      <c r="D47" s="3" t="s">
        <v>9</v>
      </c>
      <c r="E47" s="3" t="s">
        <v>16</v>
      </c>
      <c r="F47" s="3" t="s">
        <v>10</v>
      </c>
      <c r="G47" s="4">
        <v>20664.87</v>
      </c>
    </row>
    <row r="48" spans="2:7" x14ac:dyDescent="0.3">
      <c r="B48" s="12" t="s">
        <v>99</v>
      </c>
      <c r="C48" s="3" t="s">
        <v>100</v>
      </c>
      <c r="D48" s="3" t="s">
        <v>23</v>
      </c>
      <c r="E48" s="3" t="s">
        <v>16</v>
      </c>
      <c r="F48" s="3" t="s">
        <v>10</v>
      </c>
      <c r="G48" s="4">
        <v>20328.349999999999</v>
      </c>
    </row>
    <row r="49" spans="2:7" x14ac:dyDescent="0.3">
      <c r="B49" s="12" t="s">
        <v>101</v>
      </c>
      <c r="C49" s="3" t="s">
        <v>102</v>
      </c>
      <c r="D49" s="3" t="s">
        <v>9</v>
      </c>
      <c r="E49" s="3" t="s">
        <v>16</v>
      </c>
      <c r="F49" s="3" t="s">
        <v>10</v>
      </c>
      <c r="G49" s="4">
        <v>20238.8</v>
      </c>
    </row>
    <row r="50" spans="2:7" x14ac:dyDescent="0.3">
      <c r="B50" s="12" t="s">
        <v>103</v>
      </c>
      <c r="C50" s="3" t="s">
        <v>104</v>
      </c>
      <c r="D50" s="3" t="s">
        <v>23</v>
      </c>
      <c r="E50" s="3" t="s">
        <v>20</v>
      </c>
      <c r="F50" s="3" t="s">
        <v>10</v>
      </c>
      <c r="G50" s="4">
        <v>20118.97</v>
      </c>
    </row>
    <row r="51" spans="2:7" x14ac:dyDescent="0.3">
      <c r="B51" s="12" t="s">
        <v>105</v>
      </c>
      <c r="C51" s="3" t="s">
        <v>106</v>
      </c>
      <c r="D51" s="3" t="s">
        <v>23</v>
      </c>
      <c r="E51" s="3"/>
      <c r="F51" s="3" t="s">
        <v>10</v>
      </c>
      <c r="G51" s="4">
        <v>19989.11</v>
      </c>
    </row>
    <row r="52" spans="2:7" x14ac:dyDescent="0.3">
      <c r="B52" s="12" t="s">
        <v>107</v>
      </c>
      <c r="C52" s="3" t="s">
        <v>108</v>
      </c>
      <c r="D52" s="3" t="s">
        <v>9</v>
      </c>
      <c r="E52" s="3" t="s">
        <v>20</v>
      </c>
      <c r="F52" s="3" t="s">
        <v>10</v>
      </c>
      <c r="G52" s="4">
        <v>18875.310000000001</v>
      </c>
    </row>
    <row r="53" spans="2:7" x14ac:dyDescent="0.3">
      <c r="B53" s="12" t="s">
        <v>109</v>
      </c>
      <c r="C53" s="3" t="s">
        <v>110</v>
      </c>
      <c r="D53" s="3" t="s">
        <v>23</v>
      </c>
      <c r="E53" s="3"/>
      <c r="F53" s="3" t="s">
        <v>10</v>
      </c>
      <c r="G53" s="4">
        <v>18685.490000000002</v>
      </c>
    </row>
    <row r="54" spans="2:7" x14ac:dyDescent="0.3">
      <c r="B54" s="12">
        <v>7203</v>
      </c>
      <c r="C54" s="3" t="s">
        <v>111</v>
      </c>
      <c r="D54" s="3" t="s">
        <v>9</v>
      </c>
      <c r="E54" s="3"/>
      <c r="F54" s="3" t="s">
        <v>10</v>
      </c>
      <c r="G54" s="4">
        <v>18523.61</v>
      </c>
    </row>
    <row r="55" spans="2:7" x14ac:dyDescent="0.3">
      <c r="B55" s="12" t="s">
        <v>112</v>
      </c>
      <c r="C55" s="3" t="s">
        <v>113</v>
      </c>
      <c r="D55" s="3" t="s">
        <v>9</v>
      </c>
      <c r="E55" s="3"/>
      <c r="F55" s="3" t="s">
        <v>10</v>
      </c>
      <c r="G55" s="4">
        <v>17796.09</v>
      </c>
    </row>
    <row r="56" spans="2:7" x14ac:dyDescent="0.3">
      <c r="B56" s="12" t="s">
        <v>114</v>
      </c>
      <c r="C56" s="3" t="s">
        <v>115</v>
      </c>
      <c r="D56" s="3" t="s">
        <v>23</v>
      </c>
      <c r="E56" s="3" t="s">
        <v>16</v>
      </c>
      <c r="F56" s="3" t="s">
        <v>10</v>
      </c>
      <c r="G56" s="4">
        <v>17680.97</v>
      </c>
    </row>
    <row r="57" spans="2:7" x14ac:dyDescent="0.3">
      <c r="B57" s="12" t="s">
        <v>116</v>
      </c>
      <c r="C57" s="3" t="s">
        <v>117</v>
      </c>
      <c r="D57" s="3" t="s">
        <v>9</v>
      </c>
      <c r="E57" s="3" t="s">
        <v>20</v>
      </c>
      <c r="F57" s="3" t="s">
        <v>10</v>
      </c>
      <c r="G57" s="4">
        <v>17556.560000000001</v>
      </c>
    </row>
    <row r="58" spans="2:7" x14ac:dyDescent="0.3">
      <c r="B58" s="12" t="s">
        <v>118</v>
      </c>
      <c r="C58" s="3" t="s">
        <v>119</v>
      </c>
      <c r="D58" s="3" t="s">
        <v>23</v>
      </c>
      <c r="E58" s="3" t="s">
        <v>16</v>
      </c>
      <c r="F58" s="3" t="s">
        <v>10</v>
      </c>
      <c r="G58" s="4">
        <v>17067.47</v>
      </c>
    </row>
    <row r="59" spans="2:7" x14ac:dyDescent="0.3">
      <c r="B59" s="12" t="s">
        <v>120</v>
      </c>
      <c r="C59" s="3" t="s">
        <v>121</v>
      </c>
      <c r="D59" s="3" t="s">
        <v>9</v>
      </c>
      <c r="E59" s="3"/>
      <c r="F59" s="3" t="s">
        <v>10</v>
      </c>
      <c r="G59" s="4">
        <v>16267.19</v>
      </c>
    </row>
    <row r="60" spans="2:7" x14ac:dyDescent="0.3">
      <c r="B60" s="12" t="s">
        <v>122</v>
      </c>
      <c r="C60" s="3" t="s">
        <v>123</v>
      </c>
      <c r="D60" s="3" t="s">
        <v>9</v>
      </c>
      <c r="E60" s="3" t="s">
        <v>20</v>
      </c>
      <c r="F60" s="3" t="s">
        <v>10</v>
      </c>
      <c r="G60" s="4">
        <v>16196.38</v>
      </c>
    </row>
    <row r="61" spans="2:7" x14ac:dyDescent="0.3">
      <c r="B61" s="12" t="s">
        <v>124</v>
      </c>
      <c r="C61" s="3" t="s">
        <v>125</v>
      </c>
      <c r="D61" s="3" t="s">
        <v>9</v>
      </c>
      <c r="E61" s="3"/>
      <c r="F61" s="3" t="s">
        <v>10</v>
      </c>
      <c r="G61" s="4">
        <v>15721.18</v>
      </c>
    </row>
    <row r="62" spans="2:7" x14ac:dyDescent="0.3">
      <c r="B62" s="12" t="s">
        <v>126</v>
      </c>
      <c r="C62" s="3" t="s">
        <v>127</v>
      </c>
      <c r="D62" s="3" t="s">
        <v>23</v>
      </c>
      <c r="E62" s="3" t="s">
        <v>16</v>
      </c>
      <c r="F62" s="3" t="s">
        <v>10</v>
      </c>
      <c r="G62" s="4">
        <v>15663.46</v>
      </c>
    </row>
    <row r="63" spans="2:7" x14ac:dyDescent="0.3">
      <c r="B63" s="12" t="s">
        <v>128</v>
      </c>
      <c r="C63" s="3" t="s">
        <v>129</v>
      </c>
      <c r="D63" s="3" t="s">
        <v>23</v>
      </c>
      <c r="E63" s="3" t="s">
        <v>16</v>
      </c>
      <c r="F63" s="3" t="s">
        <v>10</v>
      </c>
      <c r="G63" s="4">
        <v>15219.73</v>
      </c>
    </row>
    <row r="64" spans="2:7" x14ac:dyDescent="0.3">
      <c r="B64" s="12" t="s">
        <v>130</v>
      </c>
      <c r="C64" s="3" t="s">
        <v>131</v>
      </c>
      <c r="D64" s="3" t="s">
        <v>9</v>
      </c>
      <c r="E64" s="3"/>
      <c r="F64" s="3" t="s">
        <v>10</v>
      </c>
      <c r="G64" s="4">
        <v>15079.24</v>
      </c>
    </row>
    <row r="65" spans="2:7" x14ac:dyDescent="0.3">
      <c r="B65" s="12" t="s">
        <v>132</v>
      </c>
      <c r="C65" s="3" t="s">
        <v>133</v>
      </c>
      <c r="D65" s="3" t="s">
        <v>9</v>
      </c>
      <c r="E65" s="3" t="s">
        <v>20</v>
      </c>
      <c r="F65" s="3" t="s">
        <v>10</v>
      </c>
      <c r="G65" s="4">
        <v>14942.35</v>
      </c>
    </row>
    <row r="66" spans="2:7" x14ac:dyDescent="0.3">
      <c r="B66" s="12" t="s">
        <v>36</v>
      </c>
      <c r="C66" s="3" t="s">
        <v>134</v>
      </c>
      <c r="D66" s="3" t="s">
        <v>9</v>
      </c>
      <c r="E66" s="3" t="s">
        <v>20</v>
      </c>
      <c r="F66" s="3" t="s">
        <v>10</v>
      </c>
      <c r="G66" s="4">
        <v>14723.19</v>
      </c>
    </row>
    <row r="67" spans="2:7" x14ac:dyDescent="0.3">
      <c r="B67" s="12" t="s">
        <v>135</v>
      </c>
      <c r="C67" s="3" t="s">
        <v>136</v>
      </c>
      <c r="D67" s="3" t="s">
        <v>9</v>
      </c>
      <c r="E67" s="3" t="s">
        <v>20</v>
      </c>
      <c r="F67" s="3" t="s">
        <v>10</v>
      </c>
      <c r="G67" s="4">
        <v>14654.65</v>
      </c>
    </row>
    <row r="68" spans="2:7" x14ac:dyDescent="0.3">
      <c r="B68" s="12" t="s">
        <v>137</v>
      </c>
      <c r="C68" s="3" t="s">
        <v>138</v>
      </c>
      <c r="D68" s="3" t="s">
        <v>9</v>
      </c>
      <c r="E68" s="3" t="s">
        <v>20</v>
      </c>
      <c r="F68" s="3" t="s">
        <v>10</v>
      </c>
      <c r="G68" s="4">
        <v>14592.14</v>
      </c>
    </row>
    <row r="69" spans="2:7" x14ac:dyDescent="0.3">
      <c r="B69" s="12" t="s">
        <v>139</v>
      </c>
      <c r="C69" s="3" t="s">
        <v>140</v>
      </c>
      <c r="D69" s="3" t="s">
        <v>9</v>
      </c>
      <c r="E69" s="3"/>
      <c r="F69" s="3" t="s">
        <v>10</v>
      </c>
      <c r="G69" s="4">
        <v>14587.25</v>
      </c>
    </row>
    <row r="70" spans="2:7" x14ac:dyDescent="0.3">
      <c r="B70" s="12" t="s">
        <v>141</v>
      </c>
      <c r="C70" s="3" t="s">
        <v>142</v>
      </c>
      <c r="D70" s="3" t="s">
        <v>23</v>
      </c>
      <c r="E70" s="3"/>
      <c r="F70" s="3" t="s">
        <v>10</v>
      </c>
      <c r="G70" s="4">
        <v>14577.68</v>
      </c>
    </row>
    <row r="71" spans="2:7" x14ac:dyDescent="0.3">
      <c r="B71" s="12" t="s">
        <v>143</v>
      </c>
      <c r="C71" s="3" t="s">
        <v>144</v>
      </c>
      <c r="D71" s="3" t="s">
        <v>23</v>
      </c>
      <c r="E71" s="3"/>
      <c r="F71" s="3" t="s">
        <v>10</v>
      </c>
      <c r="G71" s="4">
        <v>14500.07</v>
      </c>
    </row>
    <row r="72" spans="2:7" x14ac:dyDescent="0.3">
      <c r="B72" s="12" t="s">
        <v>145</v>
      </c>
      <c r="C72" s="3" t="s">
        <v>146</v>
      </c>
      <c r="D72" s="3" t="s">
        <v>9</v>
      </c>
      <c r="E72" s="3" t="s">
        <v>20</v>
      </c>
      <c r="F72" s="3" t="s">
        <v>10</v>
      </c>
      <c r="G72" s="4">
        <v>14297.81</v>
      </c>
    </row>
    <row r="73" spans="2:7" x14ac:dyDescent="0.3">
      <c r="B73" s="12" t="s">
        <v>147</v>
      </c>
      <c r="C73" s="3" t="s">
        <v>148</v>
      </c>
      <c r="D73" s="3" t="s">
        <v>13</v>
      </c>
      <c r="E73" s="3"/>
      <c r="F73" s="3" t="s">
        <v>10</v>
      </c>
      <c r="G73" s="4">
        <v>14294.92</v>
      </c>
    </row>
    <row r="74" spans="2:7" x14ac:dyDescent="0.3">
      <c r="B74" s="12" t="s">
        <v>149</v>
      </c>
      <c r="C74" s="3" t="s">
        <v>150</v>
      </c>
      <c r="D74" s="3" t="s">
        <v>23</v>
      </c>
      <c r="E74" s="3" t="s">
        <v>16</v>
      </c>
      <c r="F74" s="3" t="s">
        <v>10</v>
      </c>
      <c r="G74" s="4">
        <v>14210.81</v>
      </c>
    </row>
    <row r="75" spans="2:7" x14ac:dyDescent="0.3">
      <c r="B75" s="12" t="s">
        <v>151</v>
      </c>
      <c r="C75" s="3" t="s">
        <v>152</v>
      </c>
      <c r="D75" s="3" t="s">
        <v>9</v>
      </c>
      <c r="E75" s="3" t="s">
        <v>16</v>
      </c>
      <c r="F75" s="3" t="s">
        <v>10</v>
      </c>
      <c r="G75" s="4">
        <v>13985.52</v>
      </c>
    </row>
    <row r="76" spans="2:7" x14ac:dyDescent="0.3">
      <c r="B76" s="12" t="s">
        <v>153</v>
      </c>
      <c r="C76" s="3" t="s">
        <v>154</v>
      </c>
      <c r="D76" s="3" t="s">
        <v>9</v>
      </c>
      <c r="E76" s="3"/>
      <c r="F76" s="3" t="s">
        <v>10</v>
      </c>
      <c r="G76" s="4">
        <v>13879.6</v>
      </c>
    </row>
    <row r="77" spans="2:7" x14ac:dyDescent="0.3">
      <c r="B77" s="12" t="s">
        <v>155</v>
      </c>
      <c r="C77" s="3" t="s">
        <v>156</v>
      </c>
      <c r="D77" s="3" t="s">
        <v>23</v>
      </c>
      <c r="E77" s="3" t="s">
        <v>20</v>
      </c>
      <c r="F77" s="3" t="s">
        <v>17</v>
      </c>
      <c r="G77" s="4">
        <v>13755.78</v>
      </c>
    </row>
    <row r="78" spans="2:7" x14ac:dyDescent="0.3">
      <c r="B78" s="12" t="s">
        <v>157</v>
      </c>
      <c r="C78" s="3" t="s">
        <v>158</v>
      </c>
      <c r="D78" s="3" t="s">
        <v>23</v>
      </c>
      <c r="E78" s="3" t="s">
        <v>16</v>
      </c>
      <c r="F78" s="3" t="s">
        <v>10</v>
      </c>
      <c r="G78" s="4">
        <v>13646.45</v>
      </c>
    </row>
    <row r="79" spans="2:7" x14ac:dyDescent="0.3">
      <c r="B79" s="12" t="s">
        <v>159</v>
      </c>
      <c r="C79" s="3" t="s">
        <v>160</v>
      </c>
      <c r="D79" s="3" t="s">
        <v>9</v>
      </c>
      <c r="E79" s="3" t="s">
        <v>20</v>
      </c>
      <c r="F79" s="3" t="s">
        <v>17</v>
      </c>
      <c r="G79" s="4">
        <v>13551.96</v>
      </c>
    </row>
    <row r="80" spans="2:7" x14ac:dyDescent="0.3">
      <c r="B80" s="12" t="s">
        <v>161</v>
      </c>
      <c r="C80" s="3" t="s">
        <v>162</v>
      </c>
      <c r="D80" s="3" t="s">
        <v>9</v>
      </c>
      <c r="E80" s="3"/>
      <c r="F80" s="3" t="s">
        <v>10</v>
      </c>
      <c r="G80" s="4">
        <v>13221.21</v>
      </c>
    </row>
    <row r="81" spans="2:7" x14ac:dyDescent="0.3">
      <c r="B81" s="12" t="s">
        <v>163</v>
      </c>
      <c r="C81" s="3" t="s">
        <v>164</v>
      </c>
      <c r="D81" s="3" t="s">
        <v>23</v>
      </c>
      <c r="E81" s="3" t="s">
        <v>20</v>
      </c>
      <c r="F81" s="3" t="s">
        <v>10</v>
      </c>
      <c r="G81" s="4">
        <v>13221.05</v>
      </c>
    </row>
    <row r="82" spans="2:7" x14ac:dyDescent="0.3">
      <c r="B82" s="12" t="s">
        <v>165</v>
      </c>
      <c r="C82" s="3" t="s">
        <v>166</v>
      </c>
      <c r="D82" s="3" t="s">
        <v>9</v>
      </c>
      <c r="E82" s="3" t="s">
        <v>20</v>
      </c>
      <c r="F82" s="3" t="s">
        <v>10</v>
      </c>
      <c r="G82" s="4">
        <v>13188.59</v>
      </c>
    </row>
    <row r="83" spans="2:7" x14ac:dyDescent="0.3">
      <c r="B83" s="12" t="s">
        <v>167</v>
      </c>
      <c r="C83" s="3" t="s">
        <v>168</v>
      </c>
      <c r="D83" s="3" t="s">
        <v>9</v>
      </c>
      <c r="E83" s="3"/>
      <c r="F83" s="3" t="s">
        <v>10</v>
      </c>
      <c r="G83" s="4">
        <v>13173.29</v>
      </c>
    </row>
    <row r="84" spans="2:7" x14ac:dyDescent="0.3">
      <c r="B84" s="12" t="s">
        <v>169</v>
      </c>
      <c r="C84" s="3" t="s">
        <v>170</v>
      </c>
      <c r="D84" s="3" t="s">
        <v>9</v>
      </c>
      <c r="E84" s="3" t="s">
        <v>20</v>
      </c>
      <c r="F84" s="3" t="s">
        <v>17</v>
      </c>
      <c r="G84" s="4">
        <v>13116.69</v>
      </c>
    </row>
    <row r="85" spans="2:7" x14ac:dyDescent="0.3">
      <c r="B85" s="12" t="s">
        <v>171</v>
      </c>
      <c r="C85" s="3" t="s">
        <v>172</v>
      </c>
      <c r="D85" s="3" t="s">
        <v>9</v>
      </c>
      <c r="E85" s="3" t="s">
        <v>16</v>
      </c>
      <c r="F85" s="3" t="s">
        <v>10</v>
      </c>
      <c r="G85" s="4">
        <v>12246.47</v>
      </c>
    </row>
    <row r="86" spans="2:7" x14ac:dyDescent="0.3">
      <c r="B86" s="12" t="s">
        <v>173</v>
      </c>
      <c r="C86" s="3" t="s">
        <v>174</v>
      </c>
      <c r="D86" s="3" t="s">
        <v>9</v>
      </c>
      <c r="E86" s="3" t="s">
        <v>20</v>
      </c>
      <c r="F86" s="3" t="s">
        <v>10</v>
      </c>
      <c r="G86" s="4">
        <v>11626.35</v>
      </c>
    </row>
    <row r="87" spans="2:7" x14ac:dyDescent="0.3">
      <c r="B87" s="12" t="s">
        <v>175</v>
      </c>
      <c r="C87" s="3" t="s">
        <v>176</v>
      </c>
      <c r="D87" s="3" t="s">
        <v>9</v>
      </c>
      <c r="E87" s="3"/>
      <c r="F87" s="3" t="s">
        <v>10</v>
      </c>
      <c r="G87" s="4">
        <v>11342.72</v>
      </c>
    </row>
    <row r="88" spans="2:7" x14ac:dyDescent="0.3">
      <c r="B88" s="12" t="s">
        <v>177</v>
      </c>
      <c r="C88" s="3" t="s">
        <v>178</v>
      </c>
      <c r="D88" s="3" t="s">
        <v>13</v>
      </c>
      <c r="E88" s="3"/>
      <c r="F88" s="3" t="s">
        <v>10</v>
      </c>
      <c r="G88" s="4">
        <v>11282.77</v>
      </c>
    </row>
    <row r="89" spans="2:7" x14ac:dyDescent="0.3">
      <c r="B89" s="12" t="s">
        <v>179</v>
      </c>
      <c r="C89" s="3" t="s">
        <v>180</v>
      </c>
      <c r="D89" s="3" t="s">
        <v>23</v>
      </c>
      <c r="E89" s="3"/>
      <c r="F89" s="3" t="s">
        <v>10</v>
      </c>
      <c r="G89" s="4">
        <v>10976.77</v>
      </c>
    </row>
    <row r="90" spans="2:7" x14ac:dyDescent="0.3">
      <c r="B90" s="12" t="s">
        <v>181</v>
      </c>
      <c r="C90" s="3" t="s">
        <v>182</v>
      </c>
      <c r="D90" s="3" t="s">
        <v>23</v>
      </c>
      <c r="E90" s="3"/>
      <c r="F90" s="3" t="s">
        <v>10</v>
      </c>
      <c r="G90" s="4">
        <v>10871.42</v>
      </c>
    </row>
    <row r="91" spans="2:7" x14ac:dyDescent="0.3">
      <c r="B91" s="12">
        <v>2059</v>
      </c>
      <c r="C91" s="3" t="s">
        <v>183</v>
      </c>
      <c r="D91" s="3" t="s">
        <v>9</v>
      </c>
      <c r="E91" s="3"/>
      <c r="F91" s="3" t="s">
        <v>10</v>
      </c>
      <c r="G91" s="4">
        <v>10702.08</v>
      </c>
    </row>
    <row r="92" spans="2:7" x14ac:dyDescent="0.3">
      <c r="B92" s="12" t="s">
        <v>184</v>
      </c>
      <c r="C92" s="3" t="s">
        <v>185</v>
      </c>
      <c r="D92" s="3" t="s">
        <v>23</v>
      </c>
      <c r="E92" s="3"/>
      <c r="F92" s="3" t="s">
        <v>10</v>
      </c>
      <c r="G92" s="4">
        <v>10612.13</v>
      </c>
    </row>
    <row r="93" spans="2:7" x14ac:dyDescent="0.3">
      <c r="B93" s="12" t="s">
        <v>186</v>
      </c>
      <c r="C93" s="3" t="s">
        <v>187</v>
      </c>
      <c r="D93" s="3" t="s">
        <v>9</v>
      </c>
      <c r="E93" s="3" t="s">
        <v>20</v>
      </c>
      <c r="F93" s="3" t="s">
        <v>10</v>
      </c>
      <c r="G93" s="4">
        <v>10482.780000000001</v>
      </c>
    </row>
    <row r="94" spans="2:7" x14ac:dyDescent="0.3">
      <c r="B94" s="12" t="s">
        <v>188</v>
      </c>
      <c r="C94" s="3" t="s">
        <v>189</v>
      </c>
      <c r="D94" s="3" t="s">
        <v>9</v>
      </c>
      <c r="E94" s="3" t="s">
        <v>20</v>
      </c>
      <c r="F94" s="3" t="s">
        <v>10</v>
      </c>
      <c r="G94" s="4">
        <v>10037.870000000001</v>
      </c>
    </row>
    <row r="95" spans="2:7" x14ac:dyDescent="0.3">
      <c r="B95" s="12" t="s">
        <v>190</v>
      </c>
      <c r="C95" s="3" t="s">
        <v>191</v>
      </c>
      <c r="D95" s="3" t="s">
        <v>9</v>
      </c>
      <c r="E95" s="3" t="s">
        <v>16</v>
      </c>
      <c r="F95" s="3" t="s">
        <v>10</v>
      </c>
      <c r="G95" s="4">
        <v>9670.19</v>
      </c>
    </row>
    <row r="96" spans="2:7" x14ac:dyDescent="0.3">
      <c r="B96" s="12" t="s">
        <v>192</v>
      </c>
      <c r="C96" s="3" t="s">
        <v>193</v>
      </c>
      <c r="D96" s="3" t="s">
        <v>9</v>
      </c>
      <c r="E96" s="3"/>
      <c r="F96" s="3" t="s">
        <v>10</v>
      </c>
      <c r="G96" s="4">
        <v>9248.06</v>
      </c>
    </row>
    <row r="97" spans="2:7" x14ac:dyDescent="0.3">
      <c r="B97" s="12" t="s">
        <v>194</v>
      </c>
      <c r="C97" s="3" t="s">
        <v>195</v>
      </c>
      <c r="D97" s="3" t="s">
        <v>9</v>
      </c>
      <c r="E97" s="3" t="s">
        <v>20</v>
      </c>
      <c r="F97" s="3" t="s">
        <v>10</v>
      </c>
      <c r="G97" s="4">
        <v>9183.9</v>
      </c>
    </row>
    <row r="98" spans="2:7" x14ac:dyDescent="0.3">
      <c r="B98" s="12" t="s">
        <v>196</v>
      </c>
      <c r="C98" s="3" t="s">
        <v>197</v>
      </c>
      <c r="D98" s="3" t="s">
        <v>9</v>
      </c>
      <c r="E98" s="3"/>
      <c r="F98" s="3" t="s">
        <v>10</v>
      </c>
      <c r="G98" s="4">
        <v>8825.35</v>
      </c>
    </row>
    <row r="99" spans="2:7" x14ac:dyDescent="0.3">
      <c r="B99" s="12" t="s">
        <v>198</v>
      </c>
      <c r="C99" s="3" t="s">
        <v>199</v>
      </c>
      <c r="D99" s="3" t="s">
        <v>9</v>
      </c>
      <c r="E99" s="3" t="s">
        <v>16</v>
      </c>
      <c r="F99" s="3" t="s">
        <v>10</v>
      </c>
      <c r="G99" s="4">
        <v>8727.15</v>
      </c>
    </row>
    <row r="100" spans="2:7" x14ac:dyDescent="0.3">
      <c r="B100" s="12" t="s">
        <v>200</v>
      </c>
      <c r="C100" s="3" t="s">
        <v>201</v>
      </c>
      <c r="D100" s="3" t="s">
        <v>23</v>
      </c>
      <c r="E100" s="3"/>
      <c r="F100" s="3" t="s">
        <v>10</v>
      </c>
      <c r="G100" s="4">
        <v>8464.51</v>
      </c>
    </row>
    <row r="101" spans="2:7" x14ac:dyDescent="0.3">
      <c r="B101" s="12" t="s">
        <v>202</v>
      </c>
      <c r="C101" s="3" t="s">
        <v>203</v>
      </c>
      <c r="D101" s="3" t="s">
        <v>23</v>
      </c>
      <c r="E101" s="3"/>
      <c r="F101" s="3" t="s">
        <v>10</v>
      </c>
      <c r="G101" s="4">
        <v>8303.68</v>
      </c>
    </row>
    <row r="102" spans="2:7" x14ac:dyDescent="0.3">
      <c r="B102" s="12" t="s">
        <v>204</v>
      </c>
      <c r="C102" s="3" t="s">
        <v>205</v>
      </c>
      <c r="D102" s="3" t="s">
        <v>9</v>
      </c>
      <c r="E102" s="3" t="s">
        <v>20</v>
      </c>
      <c r="F102" s="3" t="s">
        <v>10</v>
      </c>
      <c r="G102" s="4">
        <v>8269.1200000000008</v>
      </c>
    </row>
    <row r="103" spans="2:7" x14ac:dyDescent="0.3">
      <c r="B103" s="12">
        <v>8951</v>
      </c>
      <c r="C103" s="3" t="s">
        <v>206</v>
      </c>
      <c r="D103" s="3" t="s">
        <v>13</v>
      </c>
      <c r="E103" s="3"/>
      <c r="F103" s="3" t="s">
        <v>10</v>
      </c>
      <c r="G103" s="4">
        <v>8126.61</v>
      </c>
    </row>
    <row r="104" spans="2:7" x14ac:dyDescent="0.3">
      <c r="B104" s="12" t="s">
        <v>207</v>
      </c>
      <c r="C104" s="3" t="s">
        <v>208</v>
      </c>
      <c r="D104" s="3" t="s">
        <v>23</v>
      </c>
      <c r="E104" s="3" t="s">
        <v>20</v>
      </c>
      <c r="F104" s="3" t="s">
        <v>10</v>
      </c>
      <c r="G104" s="4">
        <v>8068.31</v>
      </c>
    </row>
    <row r="105" spans="2:7" x14ac:dyDescent="0.3">
      <c r="B105" s="12" t="s">
        <v>209</v>
      </c>
      <c r="C105" s="3" t="s">
        <v>210</v>
      </c>
      <c r="D105" s="3" t="s">
        <v>9</v>
      </c>
      <c r="E105" s="3"/>
      <c r="F105" s="3" t="s">
        <v>10</v>
      </c>
      <c r="G105" s="4">
        <v>8040.89</v>
      </c>
    </row>
    <row r="106" spans="2:7" x14ac:dyDescent="0.3">
      <c r="B106" s="12" t="s">
        <v>211</v>
      </c>
      <c r="C106" s="3" t="s">
        <v>212</v>
      </c>
      <c r="D106" s="3" t="s">
        <v>23</v>
      </c>
      <c r="E106" s="3"/>
      <c r="F106" s="3" t="s">
        <v>10</v>
      </c>
      <c r="G106" s="4">
        <v>7899.96</v>
      </c>
    </row>
    <row r="107" spans="2:7" x14ac:dyDescent="0.3">
      <c r="B107" s="12" t="s">
        <v>213</v>
      </c>
      <c r="C107" s="3" t="s">
        <v>214</v>
      </c>
      <c r="D107" s="3" t="s">
        <v>9</v>
      </c>
      <c r="E107" s="3"/>
      <c r="F107" s="3" t="s">
        <v>10</v>
      </c>
      <c r="G107" s="4">
        <v>7817.63</v>
      </c>
    </row>
    <row r="108" spans="2:7" x14ac:dyDescent="0.3">
      <c r="B108" s="12">
        <v>2801</v>
      </c>
      <c r="C108" s="3" t="s">
        <v>215</v>
      </c>
      <c r="D108" s="3" t="s">
        <v>9</v>
      </c>
      <c r="E108" s="3"/>
      <c r="F108" s="3" t="s">
        <v>10</v>
      </c>
      <c r="G108" s="4">
        <v>7796.57</v>
      </c>
    </row>
    <row r="109" spans="2:7" x14ac:dyDescent="0.3">
      <c r="B109" s="12" t="s">
        <v>216</v>
      </c>
      <c r="C109" s="3" t="s">
        <v>217</v>
      </c>
      <c r="D109" s="3" t="s">
        <v>9</v>
      </c>
      <c r="E109" s="3"/>
      <c r="F109" s="3" t="s">
        <v>10</v>
      </c>
      <c r="G109" s="4">
        <v>7792.06</v>
      </c>
    </row>
    <row r="110" spans="2:7" x14ac:dyDescent="0.3">
      <c r="B110" s="12" t="s">
        <v>218</v>
      </c>
      <c r="C110" s="3" t="s">
        <v>219</v>
      </c>
      <c r="D110" s="3" t="s">
        <v>23</v>
      </c>
      <c r="E110" s="3" t="s">
        <v>16</v>
      </c>
      <c r="F110" s="3" t="s">
        <v>10</v>
      </c>
      <c r="G110" s="4">
        <v>7789.2</v>
      </c>
    </row>
    <row r="111" spans="2:7" x14ac:dyDescent="0.3">
      <c r="B111" s="12" t="s">
        <v>220</v>
      </c>
      <c r="C111" s="3" t="s">
        <v>221</v>
      </c>
      <c r="D111" s="3" t="s">
        <v>9</v>
      </c>
      <c r="E111" s="3"/>
      <c r="F111" s="3" t="s">
        <v>10</v>
      </c>
      <c r="G111" s="4">
        <v>7604.97</v>
      </c>
    </row>
    <row r="112" spans="2:7" x14ac:dyDescent="0.3">
      <c r="B112" s="12" t="s">
        <v>222</v>
      </c>
      <c r="C112" s="3" t="s">
        <v>223</v>
      </c>
      <c r="D112" s="3" t="s">
        <v>9</v>
      </c>
      <c r="E112" s="3"/>
      <c r="F112" s="3" t="s">
        <v>10</v>
      </c>
      <c r="G112" s="4">
        <v>7568.38</v>
      </c>
    </row>
    <row r="113" spans="2:7" x14ac:dyDescent="0.3">
      <c r="B113" s="12" t="s">
        <v>224</v>
      </c>
      <c r="C113" s="3" t="s">
        <v>225</v>
      </c>
      <c r="D113" s="3" t="s">
        <v>9</v>
      </c>
      <c r="E113" s="3" t="s">
        <v>20</v>
      </c>
      <c r="F113" s="3" t="s">
        <v>10</v>
      </c>
      <c r="G113" s="4">
        <v>7456.97</v>
      </c>
    </row>
    <row r="114" spans="2:7" x14ac:dyDescent="0.3">
      <c r="B114" s="12" t="s">
        <v>226</v>
      </c>
      <c r="C114" s="3" t="s">
        <v>227</v>
      </c>
      <c r="D114" s="3" t="s">
        <v>9</v>
      </c>
      <c r="E114" s="3"/>
      <c r="F114" s="3" t="s">
        <v>10</v>
      </c>
      <c r="G114" s="4">
        <v>7336.96</v>
      </c>
    </row>
    <row r="115" spans="2:7" x14ac:dyDescent="0.3">
      <c r="B115" s="12" t="s">
        <v>228</v>
      </c>
      <c r="C115" s="3" t="s">
        <v>229</v>
      </c>
      <c r="D115" s="3" t="s">
        <v>9</v>
      </c>
      <c r="E115" s="3" t="s">
        <v>16</v>
      </c>
      <c r="F115" s="3" t="s">
        <v>10</v>
      </c>
      <c r="G115" s="4">
        <v>7241.79</v>
      </c>
    </row>
    <row r="116" spans="2:7" x14ac:dyDescent="0.3">
      <c r="B116" s="12" t="s">
        <v>230</v>
      </c>
      <c r="C116" s="3" t="s">
        <v>231</v>
      </c>
      <c r="D116" s="3" t="s">
        <v>9</v>
      </c>
      <c r="E116" s="3"/>
      <c r="F116" s="3" t="s">
        <v>10</v>
      </c>
      <c r="G116" s="4">
        <v>7225.71</v>
      </c>
    </row>
    <row r="117" spans="2:7" x14ac:dyDescent="0.3">
      <c r="B117" s="12" t="s">
        <v>232</v>
      </c>
      <c r="C117" s="3" t="s">
        <v>233</v>
      </c>
      <c r="D117" s="3" t="s">
        <v>23</v>
      </c>
      <c r="E117" s="3" t="s">
        <v>20</v>
      </c>
      <c r="F117" s="3" t="s">
        <v>10</v>
      </c>
      <c r="G117" s="4">
        <v>7224.43</v>
      </c>
    </row>
    <row r="118" spans="2:7" x14ac:dyDescent="0.3">
      <c r="B118" s="12" t="s">
        <v>234</v>
      </c>
      <c r="C118" s="3" t="s">
        <v>235</v>
      </c>
      <c r="D118" s="3" t="s">
        <v>9</v>
      </c>
      <c r="E118" s="3"/>
      <c r="F118" s="3" t="s">
        <v>10</v>
      </c>
      <c r="G118" s="4">
        <v>7211.02</v>
      </c>
    </row>
    <row r="119" spans="2:7" x14ac:dyDescent="0.3">
      <c r="B119" s="12" t="s">
        <v>236</v>
      </c>
      <c r="C119" s="3" t="s">
        <v>237</v>
      </c>
      <c r="D119" s="3" t="s">
        <v>23</v>
      </c>
      <c r="E119" s="3" t="s">
        <v>16</v>
      </c>
      <c r="F119" s="3" t="s">
        <v>10</v>
      </c>
      <c r="G119" s="4">
        <v>7191.96</v>
      </c>
    </row>
    <row r="120" spans="2:7" x14ac:dyDescent="0.3">
      <c r="B120" s="12" t="s">
        <v>238</v>
      </c>
      <c r="C120" s="3" t="s">
        <v>239</v>
      </c>
      <c r="D120" s="3" t="s">
        <v>9</v>
      </c>
      <c r="E120" s="3"/>
      <c r="F120" s="3" t="s">
        <v>10</v>
      </c>
      <c r="G120" s="4">
        <v>7186.24</v>
      </c>
    </row>
    <row r="121" spans="2:7" x14ac:dyDescent="0.3">
      <c r="B121" s="12" t="s">
        <v>240</v>
      </c>
      <c r="C121" s="3" t="s">
        <v>241</v>
      </c>
      <c r="D121" s="3" t="s">
        <v>9</v>
      </c>
      <c r="E121" s="3" t="s">
        <v>16</v>
      </c>
      <c r="F121" s="3" t="s">
        <v>10</v>
      </c>
      <c r="G121" s="4">
        <v>7164.01</v>
      </c>
    </row>
    <row r="122" spans="2:7" x14ac:dyDescent="0.3">
      <c r="B122" s="12" t="s">
        <v>242</v>
      </c>
      <c r="C122" s="3" t="s">
        <v>243</v>
      </c>
      <c r="D122" s="3" t="s">
        <v>23</v>
      </c>
      <c r="E122" s="3" t="s">
        <v>16</v>
      </c>
      <c r="F122" s="3" t="s">
        <v>10</v>
      </c>
      <c r="G122" s="4">
        <v>7095.98</v>
      </c>
    </row>
    <row r="123" spans="2:7" x14ac:dyDescent="0.3">
      <c r="B123" s="12">
        <v>2888</v>
      </c>
      <c r="C123" s="3" t="s">
        <v>245</v>
      </c>
      <c r="D123" s="3" t="s">
        <v>9</v>
      </c>
      <c r="E123" s="3"/>
      <c r="F123" s="3" t="s">
        <v>10</v>
      </c>
      <c r="G123" s="4">
        <v>7092.47</v>
      </c>
    </row>
    <row r="124" spans="2:7" x14ac:dyDescent="0.3">
      <c r="B124" s="12" t="s">
        <v>141</v>
      </c>
      <c r="C124" s="3" t="s">
        <v>246</v>
      </c>
      <c r="D124" s="3" t="s">
        <v>23</v>
      </c>
      <c r="E124" s="3" t="s">
        <v>16</v>
      </c>
      <c r="F124" s="3" t="s">
        <v>10</v>
      </c>
      <c r="G124" s="4">
        <v>6975.46</v>
      </c>
    </row>
    <row r="125" spans="2:7" x14ac:dyDescent="0.3">
      <c r="B125" s="12" t="s">
        <v>247</v>
      </c>
      <c r="C125" s="3" t="s">
        <v>248</v>
      </c>
      <c r="D125" s="3" t="s">
        <v>9</v>
      </c>
      <c r="E125" s="3" t="s">
        <v>20</v>
      </c>
      <c r="F125" s="3" t="s">
        <v>10</v>
      </c>
      <c r="G125" s="4">
        <v>6944.51</v>
      </c>
    </row>
    <row r="126" spans="2:7" x14ac:dyDescent="0.3">
      <c r="B126" s="12" t="s">
        <v>249</v>
      </c>
      <c r="C126" s="3" t="s">
        <v>250</v>
      </c>
      <c r="D126" s="3" t="s">
        <v>9</v>
      </c>
      <c r="E126" s="3" t="s">
        <v>20</v>
      </c>
      <c r="F126" s="3" t="s">
        <v>10</v>
      </c>
      <c r="G126" s="4">
        <v>6909.23</v>
      </c>
    </row>
    <row r="127" spans="2:7" x14ac:dyDescent="0.3">
      <c r="B127" s="12" t="s">
        <v>251</v>
      </c>
      <c r="C127" s="3" t="s">
        <v>252</v>
      </c>
      <c r="D127" s="3" t="s">
        <v>9</v>
      </c>
      <c r="E127" s="3"/>
      <c r="F127" s="3" t="s">
        <v>10</v>
      </c>
      <c r="G127" s="4">
        <v>6707.27</v>
      </c>
    </row>
    <row r="128" spans="2:7" x14ac:dyDescent="0.3">
      <c r="B128" s="12" t="s">
        <v>253</v>
      </c>
      <c r="C128" s="3" t="s">
        <v>254</v>
      </c>
      <c r="D128" s="3" t="s">
        <v>9</v>
      </c>
      <c r="E128" s="3"/>
      <c r="F128" s="3" t="s">
        <v>10</v>
      </c>
      <c r="G128" s="4">
        <v>6701.68</v>
      </c>
    </row>
    <row r="129" spans="2:7" x14ac:dyDescent="0.3">
      <c r="B129" s="12" t="s">
        <v>255</v>
      </c>
      <c r="C129" s="3" t="s">
        <v>256</v>
      </c>
      <c r="D129" s="3" t="s">
        <v>9</v>
      </c>
      <c r="E129" s="3" t="s">
        <v>16</v>
      </c>
      <c r="F129" s="3" t="s">
        <v>10</v>
      </c>
      <c r="G129" s="4">
        <v>6517.48</v>
      </c>
    </row>
    <row r="130" spans="2:7" x14ac:dyDescent="0.3">
      <c r="B130" s="12" t="s">
        <v>257</v>
      </c>
      <c r="C130" s="3" t="s">
        <v>258</v>
      </c>
      <c r="D130" s="3" t="s">
        <v>23</v>
      </c>
      <c r="E130" s="3"/>
      <c r="F130" s="3" t="s">
        <v>10</v>
      </c>
      <c r="G130" s="4">
        <v>6413</v>
      </c>
    </row>
    <row r="131" spans="2:7" x14ac:dyDescent="0.3">
      <c r="B131" s="12" t="s">
        <v>259</v>
      </c>
      <c r="C131" s="3" t="s">
        <v>260</v>
      </c>
      <c r="D131" s="3" t="s">
        <v>9</v>
      </c>
      <c r="E131" s="3"/>
      <c r="F131" s="3" t="s">
        <v>10</v>
      </c>
      <c r="G131" s="4">
        <v>6155.99</v>
      </c>
    </row>
    <row r="132" spans="2:7" x14ac:dyDescent="0.3">
      <c r="B132" s="12" t="s">
        <v>261</v>
      </c>
      <c r="C132" s="3" t="s">
        <v>262</v>
      </c>
      <c r="D132" s="3" t="s">
        <v>9</v>
      </c>
      <c r="E132" s="3"/>
      <c r="F132" s="3" t="s">
        <v>10</v>
      </c>
      <c r="G132" s="4">
        <v>6117.41</v>
      </c>
    </row>
    <row r="133" spans="2:7" x14ac:dyDescent="0.3">
      <c r="B133" s="12" t="s">
        <v>263</v>
      </c>
      <c r="C133" s="3" t="s">
        <v>264</v>
      </c>
      <c r="D133" s="3" t="s">
        <v>23</v>
      </c>
      <c r="E133" s="3" t="s">
        <v>16</v>
      </c>
      <c r="F133" s="3" t="s">
        <v>10</v>
      </c>
      <c r="G133" s="4">
        <v>6080.04</v>
      </c>
    </row>
    <row r="134" spans="2:7" x14ac:dyDescent="0.3">
      <c r="B134" s="12" t="s">
        <v>265</v>
      </c>
      <c r="C134" s="3" t="s">
        <v>266</v>
      </c>
      <c r="D134" s="3" t="s">
        <v>9</v>
      </c>
      <c r="E134" s="3"/>
      <c r="F134" s="3" t="s">
        <v>10</v>
      </c>
      <c r="G134" s="4">
        <v>5987.44</v>
      </c>
    </row>
    <row r="135" spans="2:7" x14ac:dyDescent="0.3">
      <c r="B135" s="12" t="s">
        <v>267</v>
      </c>
      <c r="C135" s="3" t="s">
        <v>268</v>
      </c>
      <c r="D135" s="3" t="s">
        <v>9</v>
      </c>
      <c r="E135" s="3" t="s">
        <v>16</v>
      </c>
      <c r="F135" s="3" t="s">
        <v>10</v>
      </c>
      <c r="G135" s="4">
        <v>5950.39</v>
      </c>
    </row>
    <row r="136" spans="2:7" x14ac:dyDescent="0.3">
      <c r="B136" s="12" t="s">
        <v>269</v>
      </c>
      <c r="C136" s="3" t="s">
        <v>270</v>
      </c>
      <c r="D136" s="3" t="s">
        <v>9</v>
      </c>
      <c r="E136" s="3" t="s">
        <v>20</v>
      </c>
      <c r="F136" s="3" t="s">
        <v>10</v>
      </c>
      <c r="G136" s="4">
        <v>5827.32</v>
      </c>
    </row>
    <row r="137" spans="2:7" x14ac:dyDescent="0.3">
      <c r="B137" s="12" t="s">
        <v>271</v>
      </c>
      <c r="C137" s="3" t="s">
        <v>272</v>
      </c>
      <c r="D137" s="3" t="s">
        <v>9</v>
      </c>
      <c r="E137" s="3"/>
      <c r="F137" s="3" t="s">
        <v>10</v>
      </c>
      <c r="G137" s="4">
        <v>5626.49</v>
      </c>
    </row>
    <row r="138" spans="2:7" x14ac:dyDescent="0.3">
      <c r="B138" s="12" t="s">
        <v>273</v>
      </c>
      <c r="C138" s="3" t="s">
        <v>274</v>
      </c>
      <c r="D138" s="3" t="s">
        <v>13</v>
      </c>
      <c r="E138" s="3"/>
      <c r="F138" s="3" t="s">
        <v>10</v>
      </c>
      <c r="G138" s="4">
        <v>5476.17</v>
      </c>
    </row>
    <row r="139" spans="2:7" x14ac:dyDescent="0.3">
      <c r="B139" s="12" t="s">
        <v>275</v>
      </c>
      <c r="C139" s="3" t="s">
        <v>276</v>
      </c>
      <c r="D139" s="3" t="s">
        <v>9</v>
      </c>
      <c r="E139" s="3"/>
      <c r="F139" s="3" t="s">
        <v>10</v>
      </c>
      <c r="G139" s="4">
        <v>5446.42</v>
      </c>
    </row>
    <row r="140" spans="2:7" x14ac:dyDescent="0.3">
      <c r="B140" s="12" t="s">
        <v>277</v>
      </c>
      <c r="C140" s="3" t="s">
        <v>278</v>
      </c>
      <c r="D140" s="3" t="s">
        <v>23</v>
      </c>
      <c r="E140" s="3" t="s">
        <v>16</v>
      </c>
      <c r="F140" s="3" t="s">
        <v>10</v>
      </c>
      <c r="G140" s="4">
        <v>5423.14</v>
      </c>
    </row>
    <row r="141" spans="2:7" x14ac:dyDescent="0.3">
      <c r="B141" s="12" t="s">
        <v>279</v>
      </c>
      <c r="C141" s="3" t="s">
        <v>280</v>
      </c>
      <c r="D141" s="3" t="s">
        <v>9</v>
      </c>
      <c r="E141" s="3"/>
      <c r="F141" s="3" t="s">
        <v>10</v>
      </c>
      <c r="G141" s="4">
        <v>5412.11</v>
      </c>
    </row>
    <row r="142" spans="2:7" x14ac:dyDescent="0.3">
      <c r="B142" s="12">
        <v>4704</v>
      </c>
      <c r="C142" s="3" t="s">
        <v>281</v>
      </c>
      <c r="D142" s="3" t="s">
        <v>9</v>
      </c>
      <c r="E142" s="3"/>
      <c r="F142" s="3" t="s">
        <v>10</v>
      </c>
      <c r="G142" s="4">
        <v>5354.97</v>
      </c>
    </row>
    <row r="143" spans="2:7" x14ac:dyDescent="0.3">
      <c r="B143" s="12" t="s">
        <v>282</v>
      </c>
      <c r="C143" s="3" t="s">
        <v>283</v>
      </c>
      <c r="D143" s="3" t="s">
        <v>23</v>
      </c>
      <c r="E143" s="3"/>
      <c r="F143" s="3" t="s">
        <v>10</v>
      </c>
      <c r="G143" s="4">
        <v>5351.48</v>
      </c>
    </row>
    <row r="144" spans="2:7" x14ac:dyDescent="0.3">
      <c r="B144" s="12" t="s">
        <v>284</v>
      </c>
      <c r="C144" s="3" t="s">
        <v>285</v>
      </c>
      <c r="D144" s="3" t="s">
        <v>23</v>
      </c>
      <c r="E144" s="3" t="s">
        <v>20</v>
      </c>
      <c r="F144" s="3" t="s">
        <v>10</v>
      </c>
      <c r="G144" s="4">
        <v>5316.44</v>
      </c>
    </row>
    <row r="145" spans="2:7" x14ac:dyDescent="0.3">
      <c r="B145" s="12" t="s">
        <v>286</v>
      </c>
      <c r="C145" s="3" t="s">
        <v>287</v>
      </c>
      <c r="D145" s="3" t="s">
        <v>23</v>
      </c>
      <c r="E145" s="3"/>
      <c r="F145" s="3" t="s">
        <v>10</v>
      </c>
      <c r="G145" s="4">
        <v>5211.91</v>
      </c>
    </row>
    <row r="146" spans="2:7" x14ac:dyDescent="0.3">
      <c r="B146" s="12" t="s">
        <v>288</v>
      </c>
      <c r="C146" s="3" t="s">
        <v>289</v>
      </c>
      <c r="D146" s="3" t="s">
        <v>23</v>
      </c>
      <c r="E146" s="3"/>
      <c r="F146" s="3" t="s">
        <v>10</v>
      </c>
      <c r="G146" s="4">
        <v>5196.6899999999996</v>
      </c>
    </row>
    <row r="147" spans="2:7" x14ac:dyDescent="0.3">
      <c r="B147" s="12" t="s">
        <v>290</v>
      </c>
      <c r="C147" s="3" t="s">
        <v>291</v>
      </c>
      <c r="D147" s="3" t="s">
        <v>23</v>
      </c>
      <c r="E147" s="3"/>
      <c r="F147" s="3" t="s">
        <v>10</v>
      </c>
      <c r="G147" s="4">
        <v>5185</v>
      </c>
    </row>
    <row r="148" spans="2:7" x14ac:dyDescent="0.3">
      <c r="B148" s="12">
        <v>2633</v>
      </c>
      <c r="C148" s="3" t="s">
        <v>292</v>
      </c>
      <c r="D148" s="3" t="s">
        <v>23</v>
      </c>
      <c r="E148" s="3"/>
      <c r="F148" s="3" t="s">
        <v>10</v>
      </c>
      <c r="G148" s="4">
        <v>5148.88</v>
      </c>
    </row>
    <row r="149" spans="2:7" x14ac:dyDescent="0.3">
      <c r="B149" s="12" t="s">
        <v>293</v>
      </c>
      <c r="C149" s="3" t="s">
        <v>294</v>
      </c>
      <c r="D149" s="3" t="s">
        <v>9</v>
      </c>
      <c r="E149" s="3" t="s">
        <v>20</v>
      </c>
      <c r="F149" s="3" t="s">
        <v>10</v>
      </c>
      <c r="G149" s="4">
        <v>5040.21</v>
      </c>
    </row>
    <row r="150" spans="2:7" x14ac:dyDescent="0.3">
      <c r="B150" s="12" t="s">
        <v>295</v>
      </c>
      <c r="C150" s="3" t="s">
        <v>296</v>
      </c>
      <c r="D150" s="3" t="s">
        <v>23</v>
      </c>
      <c r="E150" s="3" t="s">
        <v>16</v>
      </c>
      <c r="F150" s="3" t="s">
        <v>10</v>
      </c>
      <c r="G150" s="4">
        <v>5007.42</v>
      </c>
    </row>
    <row r="151" spans="2:7" x14ac:dyDescent="0.3">
      <c r="B151" s="12" t="s">
        <v>297</v>
      </c>
      <c r="C151" s="3" t="s">
        <v>298</v>
      </c>
      <c r="D151" s="3" t="s">
        <v>23</v>
      </c>
      <c r="E151" s="3" t="s">
        <v>16</v>
      </c>
      <c r="F151" s="3" t="s">
        <v>10</v>
      </c>
      <c r="G151" s="4">
        <v>4878.6499999999996</v>
      </c>
    </row>
    <row r="152" spans="2:7" x14ac:dyDescent="0.3">
      <c r="B152" s="12" t="s">
        <v>299</v>
      </c>
      <c r="C152" s="3" t="s">
        <v>300</v>
      </c>
      <c r="D152" s="3" t="s">
        <v>23</v>
      </c>
      <c r="E152" s="3"/>
      <c r="F152" s="3" t="s">
        <v>10</v>
      </c>
      <c r="G152" s="4">
        <v>4822.8900000000003</v>
      </c>
    </row>
    <row r="153" spans="2:7" x14ac:dyDescent="0.3">
      <c r="B153" s="12" t="s">
        <v>301</v>
      </c>
      <c r="C153" s="3" t="s">
        <v>302</v>
      </c>
      <c r="D153" s="3" t="s">
        <v>23</v>
      </c>
      <c r="E153" s="3" t="s">
        <v>20</v>
      </c>
      <c r="F153" s="3" t="s">
        <v>10</v>
      </c>
      <c r="G153" s="4">
        <v>4814.93</v>
      </c>
    </row>
    <row r="154" spans="2:7" x14ac:dyDescent="0.3">
      <c r="B154" s="12" t="s">
        <v>303</v>
      </c>
      <c r="C154" s="3" t="s">
        <v>304</v>
      </c>
      <c r="D154" s="3" t="s">
        <v>9</v>
      </c>
      <c r="E154" s="3" t="s">
        <v>16</v>
      </c>
      <c r="F154" s="3" t="s">
        <v>10</v>
      </c>
      <c r="G154" s="4">
        <v>4805.04</v>
      </c>
    </row>
    <row r="155" spans="2:7" x14ac:dyDescent="0.3">
      <c r="B155" s="12" t="s">
        <v>305</v>
      </c>
      <c r="C155" s="3" t="s">
        <v>306</v>
      </c>
      <c r="D155" s="3" t="s">
        <v>23</v>
      </c>
      <c r="E155" s="3" t="s">
        <v>20</v>
      </c>
      <c r="F155" s="3" t="s">
        <v>10</v>
      </c>
      <c r="G155" s="4">
        <v>4792.45</v>
      </c>
    </row>
    <row r="156" spans="2:7" x14ac:dyDescent="0.3">
      <c r="B156" s="12" t="s">
        <v>307</v>
      </c>
      <c r="C156" s="3" t="s">
        <v>308</v>
      </c>
      <c r="D156" s="3" t="s">
        <v>9</v>
      </c>
      <c r="E156" s="3" t="s">
        <v>20</v>
      </c>
      <c r="F156" s="3" t="s">
        <v>10</v>
      </c>
      <c r="G156" s="4">
        <v>4783.67</v>
      </c>
    </row>
    <row r="157" spans="2:7" x14ac:dyDescent="0.3">
      <c r="B157" s="12" t="s">
        <v>309</v>
      </c>
      <c r="C157" s="3" t="s">
        <v>310</v>
      </c>
      <c r="D157" s="3" t="s">
        <v>23</v>
      </c>
      <c r="E157" s="3" t="s">
        <v>20</v>
      </c>
      <c r="F157" s="3" t="s">
        <v>10</v>
      </c>
      <c r="G157" s="4">
        <v>4738.87</v>
      </c>
    </row>
    <row r="158" spans="2:7" x14ac:dyDescent="0.3">
      <c r="B158" s="12" t="s">
        <v>311</v>
      </c>
      <c r="C158" s="3" t="s">
        <v>312</v>
      </c>
      <c r="D158" s="3" t="s">
        <v>23</v>
      </c>
      <c r="E158" s="3" t="s">
        <v>20</v>
      </c>
      <c r="F158" s="3" t="s">
        <v>10</v>
      </c>
      <c r="G158" s="4">
        <v>4737.18</v>
      </c>
    </row>
    <row r="159" spans="2:7" x14ac:dyDescent="0.3">
      <c r="B159" s="12" t="s">
        <v>313</v>
      </c>
      <c r="C159" s="3" t="s">
        <v>314</v>
      </c>
      <c r="D159" s="3" t="s">
        <v>23</v>
      </c>
      <c r="E159" s="3"/>
      <c r="F159" s="3" t="s">
        <v>10</v>
      </c>
      <c r="G159" s="4">
        <v>4729.8100000000004</v>
      </c>
    </row>
    <row r="160" spans="2:7" x14ac:dyDescent="0.3">
      <c r="B160" s="12" t="s">
        <v>315</v>
      </c>
      <c r="C160" s="3" t="s">
        <v>316</v>
      </c>
      <c r="D160" s="3" t="s">
        <v>9</v>
      </c>
      <c r="E160" s="3" t="s">
        <v>20</v>
      </c>
      <c r="F160" s="3" t="s">
        <v>10</v>
      </c>
      <c r="G160" s="4">
        <v>4720.45</v>
      </c>
    </row>
    <row r="161" spans="2:7" x14ac:dyDescent="0.3">
      <c r="B161" s="12" t="s">
        <v>317</v>
      </c>
      <c r="C161" s="3" t="s">
        <v>318</v>
      </c>
      <c r="D161" s="3" t="s">
        <v>9</v>
      </c>
      <c r="E161" s="3" t="s">
        <v>16</v>
      </c>
      <c r="F161" s="3" t="s">
        <v>10</v>
      </c>
      <c r="G161" s="4">
        <v>4710.09</v>
      </c>
    </row>
    <row r="162" spans="2:7" x14ac:dyDescent="0.3">
      <c r="B162" s="12" t="s">
        <v>319</v>
      </c>
      <c r="C162" s="3" t="s">
        <v>320</v>
      </c>
      <c r="D162" s="3" t="s">
        <v>23</v>
      </c>
      <c r="E162" s="3" t="s">
        <v>16</v>
      </c>
      <c r="F162" s="3" t="s">
        <v>10</v>
      </c>
      <c r="G162" s="4">
        <v>4704.79</v>
      </c>
    </row>
    <row r="163" spans="2:7" x14ac:dyDescent="0.3">
      <c r="B163" s="12" t="s">
        <v>321</v>
      </c>
      <c r="C163" s="3" t="s">
        <v>322</v>
      </c>
      <c r="D163" s="3" t="s">
        <v>9</v>
      </c>
      <c r="E163" s="3"/>
      <c r="F163" s="3" t="s">
        <v>10</v>
      </c>
      <c r="G163" s="4">
        <v>4694.25</v>
      </c>
    </row>
    <row r="164" spans="2:7" x14ac:dyDescent="0.3">
      <c r="B164" s="12" t="s">
        <v>323</v>
      </c>
      <c r="C164" s="3" t="s">
        <v>324</v>
      </c>
      <c r="D164" s="3" t="s">
        <v>9</v>
      </c>
      <c r="E164" s="3" t="s">
        <v>20</v>
      </c>
      <c r="F164" s="3" t="s">
        <v>10</v>
      </c>
      <c r="G164" s="4">
        <v>4692.38</v>
      </c>
    </row>
    <row r="165" spans="2:7" x14ac:dyDescent="0.3">
      <c r="B165" s="12" t="s">
        <v>325</v>
      </c>
      <c r="C165" s="3" t="s">
        <v>326</v>
      </c>
      <c r="D165" s="3" t="s">
        <v>9</v>
      </c>
      <c r="E165" s="3"/>
      <c r="F165" s="3" t="s">
        <v>10</v>
      </c>
      <c r="G165" s="4">
        <v>4681.26</v>
      </c>
    </row>
    <row r="166" spans="2:7" x14ac:dyDescent="0.3">
      <c r="B166" s="12" t="s">
        <v>327</v>
      </c>
      <c r="C166" s="3" t="s">
        <v>328</v>
      </c>
      <c r="D166" s="3" t="s">
        <v>9</v>
      </c>
      <c r="E166" s="3"/>
      <c r="F166" s="3" t="s">
        <v>10</v>
      </c>
      <c r="G166" s="4">
        <v>4630.88</v>
      </c>
    </row>
    <row r="167" spans="2:7" x14ac:dyDescent="0.3">
      <c r="B167" s="12" t="s">
        <v>329</v>
      </c>
      <c r="C167" s="3" t="s">
        <v>330</v>
      </c>
      <c r="D167" s="3" t="s">
        <v>9</v>
      </c>
      <c r="E167" s="3"/>
      <c r="F167" s="3" t="s">
        <v>10</v>
      </c>
      <c r="G167" s="4">
        <v>4628.05</v>
      </c>
    </row>
    <row r="168" spans="2:7" x14ac:dyDescent="0.3">
      <c r="B168" s="12" t="s">
        <v>331</v>
      </c>
      <c r="C168" s="3" t="s">
        <v>332</v>
      </c>
      <c r="D168" s="3" t="s">
        <v>23</v>
      </c>
      <c r="E168" s="3" t="s">
        <v>20</v>
      </c>
      <c r="F168" s="3" t="s">
        <v>10</v>
      </c>
      <c r="G168" s="4">
        <v>4532.28</v>
      </c>
    </row>
    <row r="169" spans="2:7" x14ac:dyDescent="0.3">
      <c r="B169" s="12" t="s">
        <v>333</v>
      </c>
      <c r="C169" s="3" t="s">
        <v>334</v>
      </c>
      <c r="D169" s="3" t="s">
        <v>9</v>
      </c>
      <c r="E169" s="3"/>
      <c r="F169" s="3" t="s">
        <v>10</v>
      </c>
      <c r="G169" s="4">
        <v>4325.59</v>
      </c>
    </row>
    <row r="170" spans="2:7" x14ac:dyDescent="0.3">
      <c r="B170" s="12" t="s">
        <v>335</v>
      </c>
      <c r="C170" s="3" t="s">
        <v>336</v>
      </c>
      <c r="D170" s="3" t="s">
        <v>23</v>
      </c>
      <c r="E170" s="3"/>
      <c r="F170" s="3" t="s">
        <v>10</v>
      </c>
      <c r="G170" s="4">
        <v>4311.01</v>
      </c>
    </row>
    <row r="171" spans="2:7" x14ac:dyDescent="0.3">
      <c r="B171" s="12" t="s">
        <v>337</v>
      </c>
      <c r="C171" s="3" t="s">
        <v>338</v>
      </c>
      <c r="D171" s="3" t="s">
        <v>23</v>
      </c>
      <c r="E171" s="3" t="s">
        <v>16</v>
      </c>
      <c r="F171" s="3" t="s">
        <v>10</v>
      </c>
      <c r="G171" s="4">
        <v>4250.74</v>
      </c>
    </row>
    <row r="172" spans="2:7" x14ac:dyDescent="0.3">
      <c r="B172" s="12" t="s">
        <v>339</v>
      </c>
      <c r="C172" s="3" t="s">
        <v>340</v>
      </c>
      <c r="D172" s="3" t="s">
        <v>13</v>
      </c>
      <c r="E172" s="3"/>
      <c r="F172" s="3" t="s">
        <v>10</v>
      </c>
      <c r="G172" s="4">
        <v>4198.6000000000004</v>
      </c>
    </row>
    <row r="173" spans="2:7" x14ac:dyDescent="0.3">
      <c r="B173" s="12" t="s">
        <v>341</v>
      </c>
      <c r="C173" s="3" t="s">
        <v>342</v>
      </c>
      <c r="D173" s="3" t="s">
        <v>13</v>
      </c>
      <c r="E173" s="3"/>
      <c r="F173" s="3" t="s">
        <v>10</v>
      </c>
      <c r="G173" s="4">
        <v>4135.68</v>
      </c>
    </row>
    <row r="174" spans="2:7" x14ac:dyDescent="0.3">
      <c r="B174" s="12" t="s">
        <v>343</v>
      </c>
      <c r="C174" s="3" t="s">
        <v>344</v>
      </c>
      <c r="D174" s="3" t="s">
        <v>23</v>
      </c>
      <c r="E174" s="3"/>
      <c r="F174" s="3" t="s">
        <v>10</v>
      </c>
      <c r="G174" s="4">
        <v>4110.54</v>
      </c>
    </row>
    <row r="175" spans="2:7" x14ac:dyDescent="0.3">
      <c r="B175" s="12" t="s">
        <v>345</v>
      </c>
      <c r="C175" s="3" t="s">
        <v>346</v>
      </c>
      <c r="D175" s="3" t="s">
        <v>23</v>
      </c>
      <c r="E175" s="3"/>
      <c r="F175" s="3" t="s">
        <v>10</v>
      </c>
      <c r="G175" s="4">
        <v>4097.16</v>
      </c>
    </row>
    <row r="176" spans="2:7" x14ac:dyDescent="0.3">
      <c r="B176" s="12" t="s">
        <v>347</v>
      </c>
      <c r="C176" s="3" t="s">
        <v>348</v>
      </c>
      <c r="D176" s="3" t="s">
        <v>9</v>
      </c>
      <c r="E176" s="3"/>
      <c r="F176" s="3" t="s">
        <v>10</v>
      </c>
      <c r="G176" s="4">
        <v>4064.78</v>
      </c>
    </row>
    <row r="177" spans="2:7" x14ac:dyDescent="0.3">
      <c r="B177" s="12" t="s">
        <v>349</v>
      </c>
      <c r="C177" s="3" t="s">
        <v>350</v>
      </c>
      <c r="D177" s="3" t="s">
        <v>23</v>
      </c>
      <c r="E177" s="3"/>
      <c r="F177" s="3" t="s">
        <v>10</v>
      </c>
      <c r="G177" s="4">
        <v>4059.42</v>
      </c>
    </row>
    <row r="178" spans="2:7" x14ac:dyDescent="0.3">
      <c r="B178" s="12" t="s">
        <v>351</v>
      </c>
      <c r="C178" s="3" t="s">
        <v>352</v>
      </c>
      <c r="D178" s="3" t="s">
        <v>9</v>
      </c>
      <c r="E178" s="3"/>
      <c r="F178" s="3" t="s">
        <v>10</v>
      </c>
      <c r="G178" s="4">
        <v>4048.03</v>
      </c>
    </row>
    <row r="179" spans="2:7" x14ac:dyDescent="0.3">
      <c r="B179" s="12" t="s">
        <v>353</v>
      </c>
      <c r="C179" s="3" t="s">
        <v>354</v>
      </c>
      <c r="D179" s="3" t="s">
        <v>9</v>
      </c>
      <c r="E179" s="3" t="s">
        <v>16</v>
      </c>
      <c r="F179" s="3" t="s">
        <v>10</v>
      </c>
      <c r="G179" s="4">
        <v>4021.17</v>
      </c>
    </row>
    <row r="180" spans="2:7" x14ac:dyDescent="0.3">
      <c r="B180" s="12" t="s">
        <v>355</v>
      </c>
      <c r="C180" s="3" t="s">
        <v>356</v>
      </c>
      <c r="D180" s="3" t="s">
        <v>9</v>
      </c>
      <c r="E180" s="3"/>
      <c r="F180" s="3" t="s">
        <v>10</v>
      </c>
      <c r="G180" s="4">
        <v>4019.41</v>
      </c>
    </row>
    <row r="181" spans="2:7" x14ac:dyDescent="0.3">
      <c r="B181" s="12" t="s">
        <v>357</v>
      </c>
      <c r="C181" s="3" t="s">
        <v>358</v>
      </c>
      <c r="D181" s="3" t="s">
        <v>13</v>
      </c>
      <c r="E181" s="3"/>
      <c r="F181" s="3" t="s">
        <v>10</v>
      </c>
      <c r="G181" s="4">
        <v>3776.32</v>
      </c>
    </row>
    <row r="182" spans="2:7" x14ac:dyDescent="0.3">
      <c r="B182" s="12" t="s">
        <v>359</v>
      </c>
      <c r="C182" s="3" t="s">
        <v>360</v>
      </c>
      <c r="D182" s="3" t="s">
        <v>13</v>
      </c>
      <c r="E182" s="3"/>
      <c r="F182" s="3" t="s">
        <v>10</v>
      </c>
      <c r="G182" s="4">
        <v>3601.09</v>
      </c>
    </row>
    <row r="183" spans="2:7" x14ac:dyDescent="0.3">
      <c r="B183" s="12" t="s">
        <v>361</v>
      </c>
      <c r="C183" s="3" t="s">
        <v>362</v>
      </c>
      <c r="D183" s="3" t="s">
        <v>9</v>
      </c>
      <c r="E183" s="3"/>
      <c r="F183" s="3" t="s">
        <v>10</v>
      </c>
      <c r="G183" s="4">
        <v>3590.01</v>
      </c>
    </row>
    <row r="184" spans="2:7" x14ac:dyDescent="0.3">
      <c r="B184" s="12" t="s">
        <v>363</v>
      </c>
      <c r="C184" s="3" t="s">
        <v>364</v>
      </c>
      <c r="D184" s="3" t="s">
        <v>9</v>
      </c>
      <c r="E184" s="3"/>
      <c r="F184" s="3" t="s">
        <v>10</v>
      </c>
      <c r="G184" s="4">
        <v>3576.71</v>
      </c>
    </row>
    <row r="185" spans="2:7" x14ac:dyDescent="0.3">
      <c r="B185" s="12" t="s">
        <v>365</v>
      </c>
      <c r="C185" s="3" t="s">
        <v>366</v>
      </c>
      <c r="D185" s="3" t="s">
        <v>9</v>
      </c>
      <c r="E185" s="3"/>
      <c r="F185" s="3" t="s">
        <v>10</v>
      </c>
      <c r="G185" s="4">
        <v>3537.94</v>
      </c>
    </row>
    <row r="186" spans="2:7" x14ac:dyDescent="0.3">
      <c r="B186" s="12" t="s">
        <v>367</v>
      </c>
      <c r="C186" s="3" t="s">
        <v>368</v>
      </c>
      <c r="D186" s="3" t="s">
        <v>13</v>
      </c>
      <c r="E186" s="3"/>
      <c r="F186" s="3" t="s">
        <v>10</v>
      </c>
      <c r="G186" s="4">
        <v>3491.57</v>
      </c>
    </row>
    <row r="187" spans="2:7" x14ac:dyDescent="0.3">
      <c r="B187" s="12" t="s">
        <v>369</v>
      </c>
      <c r="C187" s="3" t="s">
        <v>370</v>
      </c>
      <c r="D187" s="3" t="s">
        <v>9</v>
      </c>
      <c r="E187" s="3"/>
      <c r="F187" s="3" t="s">
        <v>10</v>
      </c>
      <c r="G187" s="4">
        <v>3457.02</v>
      </c>
    </row>
    <row r="188" spans="2:7" x14ac:dyDescent="0.3">
      <c r="B188" s="12" t="s">
        <v>371</v>
      </c>
      <c r="C188" s="3" t="s">
        <v>372</v>
      </c>
      <c r="D188" s="3" t="s">
        <v>9</v>
      </c>
      <c r="E188" s="3"/>
      <c r="F188" s="3" t="s">
        <v>17</v>
      </c>
      <c r="G188" s="4">
        <v>3439.57</v>
      </c>
    </row>
    <row r="189" spans="2:7" x14ac:dyDescent="0.3">
      <c r="B189" s="12" t="s">
        <v>373</v>
      </c>
      <c r="C189" s="3" t="s">
        <v>374</v>
      </c>
      <c r="D189" s="3" t="s">
        <v>9</v>
      </c>
      <c r="E189" s="3" t="s">
        <v>20</v>
      </c>
      <c r="F189" s="3" t="s">
        <v>10</v>
      </c>
      <c r="G189" s="4">
        <v>3330.2</v>
      </c>
    </row>
    <row r="190" spans="2:7" x14ac:dyDescent="0.3">
      <c r="B190" s="12" t="s">
        <v>375</v>
      </c>
      <c r="C190" s="3" t="s">
        <v>376</v>
      </c>
      <c r="D190" s="3" t="s">
        <v>9</v>
      </c>
      <c r="E190" s="3"/>
      <c r="F190" s="3" t="s">
        <v>10</v>
      </c>
      <c r="G190" s="4">
        <v>3240.55</v>
      </c>
    </row>
    <row r="191" spans="2:7" x14ac:dyDescent="0.3">
      <c r="B191" s="12" t="s">
        <v>377</v>
      </c>
      <c r="C191" s="3" t="s">
        <v>378</v>
      </c>
      <c r="D191" s="3" t="s">
        <v>9</v>
      </c>
      <c r="E191" s="3"/>
      <c r="F191" s="3" t="s">
        <v>10</v>
      </c>
      <c r="G191" s="4">
        <v>3185.81</v>
      </c>
    </row>
    <row r="192" spans="2:7" x14ac:dyDescent="0.3">
      <c r="B192" s="12" t="s">
        <v>379</v>
      </c>
      <c r="C192" s="3" t="s">
        <v>380</v>
      </c>
      <c r="D192" s="3" t="s">
        <v>9</v>
      </c>
      <c r="E192" s="3"/>
      <c r="F192" s="3" t="s">
        <v>10</v>
      </c>
      <c r="G192" s="4">
        <v>3172.26</v>
      </c>
    </row>
    <row r="193" spans="2:7" x14ac:dyDescent="0.3">
      <c r="B193" s="12" t="s">
        <v>381</v>
      </c>
      <c r="C193" s="3" t="s">
        <v>382</v>
      </c>
      <c r="D193" s="3" t="s">
        <v>9</v>
      </c>
      <c r="E193" s="3"/>
      <c r="F193" s="3" t="s">
        <v>10</v>
      </c>
      <c r="G193" s="4">
        <v>3163.75</v>
      </c>
    </row>
    <row r="194" spans="2:7" x14ac:dyDescent="0.3">
      <c r="B194" s="12" t="s">
        <v>383</v>
      </c>
      <c r="C194" s="3" t="s">
        <v>384</v>
      </c>
      <c r="D194" s="3" t="s">
        <v>13</v>
      </c>
      <c r="E194" s="3"/>
      <c r="F194" s="3" t="s">
        <v>17</v>
      </c>
      <c r="G194" s="4">
        <v>3141.86</v>
      </c>
    </row>
    <row r="195" spans="2:7" x14ac:dyDescent="0.3">
      <c r="B195" s="12" t="s">
        <v>385</v>
      </c>
      <c r="C195" s="3" t="s">
        <v>386</v>
      </c>
      <c r="D195" s="3" t="s">
        <v>13</v>
      </c>
      <c r="E195" s="3"/>
      <c r="F195" s="3" t="s">
        <v>10</v>
      </c>
      <c r="G195" s="4">
        <v>3115.6</v>
      </c>
    </row>
    <row r="196" spans="2:7" x14ac:dyDescent="0.3">
      <c r="B196" s="12" t="s">
        <v>387</v>
      </c>
      <c r="C196" s="3" t="s">
        <v>388</v>
      </c>
      <c r="D196" s="3" t="s">
        <v>23</v>
      </c>
      <c r="E196" s="3"/>
      <c r="F196" s="3" t="s">
        <v>10</v>
      </c>
      <c r="G196" s="4">
        <v>3079.47</v>
      </c>
    </row>
    <row r="197" spans="2:7" x14ac:dyDescent="0.3">
      <c r="B197" s="12" t="s">
        <v>389</v>
      </c>
      <c r="C197" s="3" t="s">
        <v>390</v>
      </c>
      <c r="D197" s="3" t="s">
        <v>9</v>
      </c>
      <c r="E197" s="3"/>
      <c r="F197" s="3" t="s">
        <v>10</v>
      </c>
      <c r="G197" s="4">
        <v>3006.87</v>
      </c>
    </row>
    <row r="198" spans="2:7" x14ac:dyDescent="0.3">
      <c r="B198" s="12" t="s">
        <v>391</v>
      </c>
      <c r="C198" s="3" t="s">
        <v>392</v>
      </c>
      <c r="D198" s="3" t="s">
        <v>9</v>
      </c>
      <c r="E198" s="3" t="s">
        <v>20</v>
      </c>
      <c r="F198" s="3" t="s">
        <v>10</v>
      </c>
      <c r="G198" s="4">
        <v>2978</v>
      </c>
    </row>
    <row r="199" spans="2:7" x14ac:dyDescent="0.3">
      <c r="B199" s="12" t="s">
        <v>393</v>
      </c>
      <c r="C199" s="3" t="s">
        <v>394</v>
      </c>
      <c r="D199" s="3" t="s">
        <v>9</v>
      </c>
      <c r="E199" s="3"/>
      <c r="F199" s="3" t="s">
        <v>10</v>
      </c>
      <c r="G199" s="4">
        <v>2966.62</v>
      </c>
    </row>
    <row r="200" spans="2:7" x14ac:dyDescent="0.3">
      <c r="B200" s="12" t="s">
        <v>395</v>
      </c>
      <c r="C200" s="3" t="s">
        <v>396</v>
      </c>
      <c r="D200" s="3" t="s">
        <v>9</v>
      </c>
      <c r="E200" s="3"/>
      <c r="F200" s="3" t="s">
        <v>10</v>
      </c>
      <c r="G200" s="4">
        <v>2946.35</v>
      </c>
    </row>
    <row r="201" spans="2:7" x14ac:dyDescent="0.3">
      <c r="B201" s="12" t="s">
        <v>397</v>
      </c>
      <c r="C201" s="3" t="s">
        <v>398</v>
      </c>
      <c r="D201" s="3" t="s">
        <v>9</v>
      </c>
      <c r="E201" s="3"/>
      <c r="F201" s="3" t="s">
        <v>10</v>
      </c>
      <c r="G201" s="4">
        <v>2916.74</v>
      </c>
    </row>
    <row r="202" spans="2:7" x14ac:dyDescent="0.3">
      <c r="B202" s="12" t="s">
        <v>399</v>
      </c>
      <c r="C202" s="3" t="s">
        <v>400</v>
      </c>
      <c r="D202" s="3" t="s">
        <v>9</v>
      </c>
      <c r="E202" s="3"/>
      <c r="F202" s="3" t="s">
        <v>10</v>
      </c>
      <c r="G202" s="4">
        <v>2913.72</v>
      </c>
    </row>
    <row r="203" spans="2:7" x14ac:dyDescent="0.3">
      <c r="B203" s="12" t="s">
        <v>401</v>
      </c>
      <c r="C203" s="3" t="s">
        <v>402</v>
      </c>
      <c r="D203" s="3" t="s">
        <v>23</v>
      </c>
      <c r="E203" s="3"/>
      <c r="F203" s="3" t="s">
        <v>10</v>
      </c>
      <c r="G203" s="4">
        <v>2912.33</v>
      </c>
    </row>
    <row r="204" spans="2:7" x14ac:dyDescent="0.3">
      <c r="B204" s="12">
        <v>1212</v>
      </c>
      <c r="C204" s="3" t="s">
        <v>403</v>
      </c>
      <c r="D204" s="3" t="s">
        <v>9</v>
      </c>
      <c r="E204" s="3"/>
      <c r="F204" s="3" t="s">
        <v>10</v>
      </c>
      <c r="G204" s="4">
        <v>2888.66</v>
      </c>
    </row>
    <row r="205" spans="2:7" x14ac:dyDescent="0.3">
      <c r="B205" s="12" t="s">
        <v>357</v>
      </c>
      <c r="C205" s="3" t="s">
        <v>404</v>
      </c>
      <c r="D205" s="3" t="s">
        <v>9</v>
      </c>
      <c r="E205" s="3"/>
      <c r="F205" s="3" t="s">
        <v>10</v>
      </c>
      <c r="G205" s="4">
        <v>2880.39</v>
      </c>
    </row>
    <row r="206" spans="2:7" x14ac:dyDescent="0.3">
      <c r="B206" s="12" t="s">
        <v>405</v>
      </c>
      <c r="C206" s="3" t="s">
        <v>406</v>
      </c>
      <c r="D206" s="3" t="s">
        <v>9</v>
      </c>
      <c r="E206" s="3" t="s">
        <v>20</v>
      </c>
      <c r="F206" s="3" t="s">
        <v>10</v>
      </c>
      <c r="G206" s="4">
        <v>2872</v>
      </c>
    </row>
    <row r="207" spans="2:7" x14ac:dyDescent="0.3">
      <c r="B207" s="12" t="s">
        <v>407</v>
      </c>
      <c r="C207" s="3" t="s">
        <v>408</v>
      </c>
      <c r="D207" s="3" t="s">
        <v>9</v>
      </c>
      <c r="E207" s="3" t="s">
        <v>20</v>
      </c>
      <c r="F207" s="3" t="s">
        <v>10</v>
      </c>
      <c r="G207" s="4">
        <v>2750.22</v>
      </c>
    </row>
    <row r="208" spans="2:7" x14ac:dyDescent="0.3">
      <c r="B208" s="12" t="s">
        <v>409</v>
      </c>
      <c r="C208" s="3" t="s">
        <v>410</v>
      </c>
      <c r="D208" s="3" t="s">
        <v>13</v>
      </c>
      <c r="E208" s="3"/>
      <c r="F208" s="3" t="s">
        <v>10</v>
      </c>
      <c r="G208" s="4">
        <v>2749.69</v>
      </c>
    </row>
    <row r="209" spans="2:7" x14ac:dyDescent="0.3">
      <c r="B209" s="12" t="s">
        <v>411</v>
      </c>
      <c r="C209" s="3" t="s">
        <v>412</v>
      </c>
      <c r="D209" s="3" t="s">
        <v>23</v>
      </c>
      <c r="E209" s="3"/>
      <c r="F209" s="3" t="s">
        <v>10</v>
      </c>
      <c r="G209" s="4">
        <v>2729.54</v>
      </c>
    </row>
    <row r="210" spans="2:7" x14ac:dyDescent="0.3">
      <c r="B210" s="12" t="s">
        <v>413</v>
      </c>
      <c r="C210" s="3" t="s">
        <v>414</v>
      </c>
      <c r="D210" s="3" t="s">
        <v>9</v>
      </c>
      <c r="E210" s="3"/>
      <c r="F210" s="3" t="s">
        <v>10</v>
      </c>
      <c r="G210" s="4">
        <v>2716.87</v>
      </c>
    </row>
    <row r="211" spans="2:7" x14ac:dyDescent="0.3">
      <c r="B211" s="12" t="s">
        <v>415</v>
      </c>
      <c r="C211" s="3" t="s">
        <v>416</v>
      </c>
      <c r="D211" s="3" t="s">
        <v>9</v>
      </c>
      <c r="E211" s="3"/>
      <c r="F211" s="3" t="s">
        <v>10</v>
      </c>
      <c r="G211" s="4">
        <v>2710.7</v>
      </c>
    </row>
    <row r="212" spans="2:7" x14ac:dyDescent="0.3">
      <c r="B212" s="12" t="s">
        <v>417</v>
      </c>
      <c r="C212" s="3" t="s">
        <v>418</v>
      </c>
      <c r="D212" s="3" t="s">
        <v>9</v>
      </c>
      <c r="E212" s="3"/>
      <c r="F212" s="3" t="s">
        <v>10</v>
      </c>
      <c r="G212" s="4">
        <v>2668.89</v>
      </c>
    </row>
    <row r="213" spans="2:7" x14ac:dyDescent="0.3">
      <c r="B213" s="12">
        <v>8955</v>
      </c>
      <c r="C213" s="3" t="s">
        <v>419</v>
      </c>
      <c r="D213" s="3" t="s">
        <v>13</v>
      </c>
      <c r="E213" s="3"/>
      <c r="F213" s="3" t="s">
        <v>10</v>
      </c>
      <c r="G213" s="4">
        <v>2667.29</v>
      </c>
    </row>
    <row r="214" spans="2:7" x14ac:dyDescent="0.3">
      <c r="B214" s="12" t="s">
        <v>420</v>
      </c>
      <c r="C214" s="3" t="s">
        <v>421</v>
      </c>
      <c r="D214" s="3" t="s">
        <v>13</v>
      </c>
      <c r="E214" s="3"/>
      <c r="F214" s="3" t="s">
        <v>10</v>
      </c>
      <c r="G214" s="4">
        <v>2666.47</v>
      </c>
    </row>
    <row r="215" spans="2:7" x14ac:dyDescent="0.3">
      <c r="B215" s="12" t="s">
        <v>422</v>
      </c>
      <c r="C215" s="3" t="s">
        <v>423</v>
      </c>
      <c r="D215" s="3" t="s">
        <v>9</v>
      </c>
      <c r="E215" s="3" t="s">
        <v>16</v>
      </c>
      <c r="F215" s="3" t="s">
        <v>10</v>
      </c>
      <c r="G215" s="4">
        <v>2656.88</v>
      </c>
    </row>
    <row r="216" spans="2:7" x14ac:dyDescent="0.3">
      <c r="B216" s="12" t="s">
        <v>424</v>
      </c>
      <c r="C216" s="3" t="s">
        <v>425</v>
      </c>
      <c r="D216" s="3" t="s">
        <v>23</v>
      </c>
      <c r="E216" s="3"/>
      <c r="F216" s="3" t="s">
        <v>10</v>
      </c>
      <c r="G216" s="4">
        <v>2649.98</v>
      </c>
    </row>
    <row r="217" spans="2:7" x14ac:dyDescent="0.3">
      <c r="B217" s="12" t="s">
        <v>426</v>
      </c>
      <c r="C217" s="3" t="s">
        <v>427</v>
      </c>
      <c r="D217" s="3" t="s">
        <v>9</v>
      </c>
      <c r="E217" s="3"/>
      <c r="F217" s="3" t="s">
        <v>10</v>
      </c>
      <c r="G217" s="4">
        <v>2620.6799999999998</v>
      </c>
    </row>
    <row r="218" spans="2:7" x14ac:dyDescent="0.3">
      <c r="B218" s="12" t="s">
        <v>428</v>
      </c>
      <c r="C218" s="3" t="s">
        <v>429</v>
      </c>
      <c r="D218" s="3" t="s">
        <v>9</v>
      </c>
      <c r="E218" s="3" t="s">
        <v>20</v>
      </c>
      <c r="F218" s="3" t="s">
        <v>10</v>
      </c>
      <c r="G218" s="4">
        <v>2563.98</v>
      </c>
    </row>
    <row r="219" spans="2:7" x14ac:dyDescent="0.3">
      <c r="B219" s="12" t="s">
        <v>430</v>
      </c>
      <c r="C219" s="3" t="s">
        <v>431</v>
      </c>
      <c r="D219" s="3" t="s">
        <v>9</v>
      </c>
      <c r="E219" s="3"/>
      <c r="F219" s="3" t="s">
        <v>10</v>
      </c>
      <c r="G219" s="4">
        <v>2555.86</v>
      </c>
    </row>
    <row r="220" spans="2:7" x14ac:dyDescent="0.3">
      <c r="B220" s="12" t="s">
        <v>432</v>
      </c>
      <c r="C220" s="3" t="s">
        <v>433</v>
      </c>
      <c r="D220" s="3" t="s">
        <v>9</v>
      </c>
      <c r="E220" s="3" t="s">
        <v>20</v>
      </c>
      <c r="F220" s="3" t="s">
        <v>10</v>
      </c>
      <c r="G220" s="4">
        <v>2550.36</v>
      </c>
    </row>
    <row r="221" spans="2:7" x14ac:dyDescent="0.3">
      <c r="B221" s="12" t="s">
        <v>434</v>
      </c>
      <c r="C221" s="3" t="s">
        <v>435</v>
      </c>
      <c r="D221" s="3" t="s">
        <v>9</v>
      </c>
      <c r="E221" s="3"/>
      <c r="F221" s="3" t="s">
        <v>10</v>
      </c>
      <c r="G221" s="4">
        <v>2527.56</v>
      </c>
    </row>
    <row r="222" spans="2:7" x14ac:dyDescent="0.3">
      <c r="B222" s="12" t="s">
        <v>436</v>
      </c>
      <c r="C222" s="3" t="s">
        <v>437</v>
      </c>
      <c r="D222" s="3" t="s">
        <v>13</v>
      </c>
      <c r="E222" s="3"/>
      <c r="F222" s="3" t="s">
        <v>10</v>
      </c>
      <c r="G222" s="4">
        <v>2524.31</v>
      </c>
    </row>
    <row r="223" spans="2:7" x14ac:dyDescent="0.3">
      <c r="B223" s="12" t="s">
        <v>438</v>
      </c>
      <c r="C223" s="3" t="s">
        <v>439</v>
      </c>
      <c r="D223" s="3" t="s">
        <v>9</v>
      </c>
      <c r="E223" s="3"/>
      <c r="F223" s="3" t="s">
        <v>10</v>
      </c>
      <c r="G223" s="4">
        <v>2511.4299999999998</v>
      </c>
    </row>
    <row r="224" spans="2:7" x14ac:dyDescent="0.3">
      <c r="B224" s="12" t="s">
        <v>440</v>
      </c>
      <c r="C224" s="3" t="s">
        <v>441</v>
      </c>
      <c r="D224" s="3" t="s">
        <v>9</v>
      </c>
      <c r="E224" s="3"/>
      <c r="F224" s="3" t="s">
        <v>10</v>
      </c>
      <c r="G224" s="4">
        <v>2497.14</v>
      </c>
    </row>
    <row r="225" spans="2:7" x14ac:dyDescent="0.3">
      <c r="B225" s="12" t="s">
        <v>442</v>
      </c>
      <c r="C225" s="3" t="s">
        <v>443</v>
      </c>
      <c r="D225" s="3" t="s">
        <v>23</v>
      </c>
      <c r="E225" s="3" t="s">
        <v>20</v>
      </c>
      <c r="F225" s="3" t="s">
        <v>10</v>
      </c>
      <c r="G225" s="4">
        <v>2495.61</v>
      </c>
    </row>
    <row r="226" spans="2:7" x14ac:dyDescent="0.3">
      <c r="B226" s="12" t="s">
        <v>444</v>
      </c>
      <c r="C226" s="3" t="s">
        <v>445</v>
      </c>
      <c r="D226" s="3" t="s">
        <v>23</v>
      </c>
      <c r="E226" s="3"/>
      <c r="F226" s="3" t="s">
        <v>10</v>
      </c>
      <c r="G226" s="4">
        <v>2492.09</v>
      </c>
    </row>
    <row r="227" spans="2:7" x14ac:dyDescent="0.3">
      <c r="B227" s="12" t="s">
        <v>446</v>
      </c>
      <c r="C227" s="3" t="s">
        <v>447</v>
      </c>
      <c r="D227" s="3" t="s">
        <v>9</v>
      </c>
      <c r="E227" s="3" t="s">
        <v>20</v>
      </c>
      <c r="F227" s="3" t="s">
        <v>10</v>
      </c>
      <c r="G227" s="4">
        <v>2485.11</v>
      </c>
    </row>
    <row r="228" spans="2:7" x14ac:dyDescent="0.3">
      <c r="B228" s="12" t="s">
        <v>448</v>
      </c>
      <c r="C228" s="3" t="s">
        <v>449</v>
      </c>
      <c r="D228" s="3" t="s">
        <v>23</v>
      </c>
      <c r="E228" s="3" t="s">
        <v>20</v>
      </c>
      <c r="F228" s="3" t="s">
        <v>10</v>
      </c>
      <c r="G228" s="4">
        <v>2454.9699999999998</v>
      </c>
    </row>
    <row r="229" spans="2:7" x14ac:dyDescent="0.3">
      <c r="B229" s="12" t="s">
        <v>450</v>
      </c>
      <c r="C229" s="3" t="s">
        <v>451</v>
      </c>
      <c r="D229" s="3" t="s">
        <v>23</v>
      </c>
      <c r="E229" s="3"/>
      <c r="F229" s="3" t="s">
        <v>10</v>
      </c>
      <c r="G229" s="4">
        <v>2454.7399999999998</v>
      </c>
    </row>
    <row r="230" spans="2:7" x14ac:dyDescent="0.3">
      <c r="B230" s="12" t="s">
        <v>452</v>
      </c>
      <c r="C230" s="3" t="s">
        <v>453</v>
      </c>
      <c r="D230" s="3" t="s">
        <v>23</v>
      </c>
      <c r="E230" s="3"/>
      <c r="F230" s="3" t="s">
        <v>10</v>
      </c>
      <c r="G230" s="4">
        <v>2424.3200000000002</v>
      </c>
    </row>
    <row r="231" spans="2:7" x14ac:dyDescent="0.3">
      <c r="B231" s="12" t="s">
        <v>454</v>
      </c>
      <c r="C231" s="3" t="s">
        <v>455</v>
      </c>
      <c r="D231" s="3" t="s">
        <v>9</v>
      </c>
      <c r="E231" s="3" t="s">
        <v>16</v>
      </c>
      <c r="F231" s="3" t="s">
        <v>10</v>
      </c>
      <c r="G231" s="4">
        <v>2416.11</v>
      </c>
    </row>
    <row r="232" spans="2:7" x14ac:dyDescent="0.3">
      <c r="B232" s="12" t="s">
        <v>456</v>
      </c>
      <c r="C232" s="3" t="s">
        <v>457</v>
      </c>
      <c r="D232" s="3" t="s">
        <v>9</v>
      </c>
      <c r="E232" s="3" t="s">
        <v>20</v>
      </c>
      <c r="F232" s="3" t="s">
        <v>10</v>
      </c>
      <c r="G232" s="4">
        <v>2409.5700000000002</v>
      </c>
    </row>
    <row r="233" spans="2:7" x14ac:dyDescent="0.3">
      <c r="B233" s="12" t="s">
        <v>458</v>
      </c>
      <c r="C233" s="3" t="s">
        <v>459</v>
      </c>
      <c r="D233" s="3" t="s">
        <v>23</v>
      </c>
      <c r="E233" s="3"/>
      <c r="F233" s="3" t="s">
        <v>10</v>
      </c>
      <c r="G233" s="4">
        <v>2406.52</v>
      </c>
    </row>
    <row r="234" spans="2:7" x14ac:dyDescent="0.3">
      <c r="B234" s="12" t="s">
        <v>460</v>
      </c>
      <c r="C234" s="3" t="s">
        <v>461</v>
      </c>
      <c r="D234" s="3" t="s">
        <v>9</v>
      </c>
      <c r="E234" s="3" t="s">
        <v>20</v>
      </c>
      <c r="F234" s="3" t="s">
        <v>10</v>
      </c>
      <c r="G234" s="4">
        <v>2383.02</v>
      </c>
    </row>
    <row r="235" spans="2:7" x14ac:dyDescent="0.3">
      <c r="B235" s="12" t="s">
        <v>462</v>
      </c>
      <c r="C235" s="3" t="s">
        <v>463</v>
      </c>
      <c r="D235" s="3" t="s">
        <v>23</v>
      </c>
      <c r="E235" s="3"/>
      <c r="F235" s="3" t="s">
        <v>10</v>
      </c>
      <c r="G235" s="4">
        <v>2381.56</v>
      </c>
    </row>
    <row r="236" spans="2:7" x14ac:dyDescent="0.3">
      <c r="B236" s="12" t="s">
        <v>464</v>
      </c>
      <c r="C236" s="3" t="s">
        <v>465</v>
      </c>
      <c r="D236" s="3" t="s">
        <v>23</v>
      </c>
      <c r="E236" s="3"/>
      <c r="F236" s="3" t="s">
        <v>10</v>
      </c>
      <c r="G236" s="4">
        <v>2330.31</v>
      </c>
    </row>
    <row r="237" spans="2:7" x14ac:dyDescent="0.3">
      <c r="B237" s="12" t="s">
        <v>466</v>
      </c>
      <c r="C237" s="3" t="s">
        <v>467</v>
      </c>
      <c r="D237" s="3" t="s">
        <v>9</v>
      </c>
      <c r="E237" s="3"/>
      <c r="F237" s="3" t="s">
        <v>10</v>
      </c>
      <c r="G237" s="4">
        <v>2328.44</v>
      </c>
    </row>
    <row r="238" spans="2:7" x14ac:dyDescent="0.3">
      <c r="B238" s="12" t="s">
        <v>468</v>
      </c>
      <c r="C238" s="3" t="s">
        <v>469</v>
      </c>
      <c r="D238" s="3" t="s">
        <v>23</v>
      </c>
      <c r="E238" s="3"/>
      <c r="F238" s="3" t="s">
        <v>10</v>
      </c>
      <c r="G238" s="4">
        <v>2187.86</v>
      </c>
    </row>
    <row r="239" spans="2:7" x14ac:dyDescent="0.3">
      <c r="B239" s="12" t="s">
        <v>470</v>
      </c>
      <c r="C239" s="3" t="s">
        <v>471</v>
      </c>
      <c r="D239" s="3" t="s">
        <v>9</v>
      </c>
      <c r="E239" s="3"/>
      <c r="F239" s="3" t="s">
        <v>10</v>
      </c>
      <c r="G239" s="4">
        <v>2156.9499999999998</v>
      </c>
    </row>
    <row r="240" spans="2:7" x14ac:dyDescent="0.3">
      <c r="B240" s="12" t="s">
        <v>472</v>
      </c>
      <c r="C240" s="3" t="s">
        <v>473</v>
      </c>
      <c r="D240" s="3" t="s">
        <v>9</v>
      </c>
      <c r="E240" s="3" t="s">
        <v>20</v>
      </c>
      <c r="F240" s="3" t="s">
        <v>10</v>
      </c>
      <c r="G240" s="4">
        <v>2150.0500000000002</v>
      </c>
    </row>
    <row r="241" spans="2:7" x14ac:dyDescent="0.3">
      <c r="B241" s="12" t="s">
        <v>474</v>
      </c>
      <c r="C241" s="3" t="s">
        <v>475</v>
      </c>
      <c r="D241" s="3" t="s">
        <v>9</v>
      </c>
      <c r="E241" s="3" t="s">
        <v>16</v>
      </c>
      <c r="F241" s="3" t="s">
        <v>10</v>
      </c>
      <c r="G241" s="4">
        <v>2122.15</v>
      </c>
    </row>
    <row r="242" spans="2:7" x14ac:dyDescent="0.3">
      <c r="B242" s="12" t="s">
        <v>476</v>
      </c>
      <c r="C242" s="3" t="s">
        <v>477</v>
      </c>
      <c r="D242" s="3" t="s">
        <v>9</v>
      </c>
      <c r="E242" s="3" t="s">
        <v>16</v>
      </c>
      <c r="F242" s="3" t="s">
        <v>10</v>
      </c>
      <c r="G242" s="4">
        <v>2116.31</v>
      </c>
    </row>
    <row r="243" spans="2:7" x14ac:dyDescent="0.3">
      <c r="B243" s="12" t="s">
        <v>478</v>
      </c>
      <c r="C243" s="3" t="s">
        <v>479</v>
      </c>
      <c r="D243" s="3" t="s">
        <v>9</v>
      </c>
      <c r="E243" s="3"/>
      <c r="F243" s="3" t="s">
        <v>10</v>
      </c>
      <c r="G243" s="4">
        <v>2105.9</v>
      </c>
    </row>
    <row r="244" spans="2:7" x14ac:dyDescent="0.3">
      <c r="B244" s="12" t="s">
        <v>480</v>
      </c>
      <c r="C244" s="3" t="s">
        <v>481</v>
      </c>
      <c r="D244" s="3" t="s">
        <v>9</v>
      </c>
      <c r="E244" s="3" t="s">
        <v>16</v>
      </c>
      <c r="F244" s="3" t="s">
        <v>10</v>
      </c>
      <c r="G244" s="4">
        <v>2069.08</v>
      </c>
    </row>
    <row r="245" spans="2:7" x14ac:dyDescent="0.3">
      <c r="B245" s="12" t="s">
        <v>482</v>
      </c>
      <c r="C245" s="3" t="s">
        <v>483</v>
      </c>
      <c r="D245" s="3" t="s">
        <v>23</v>
      </c>
      <c r="E245" s="3"/>
      <c r="F245" s="3" t="s">
        <v>10</v>
      </c>
      <c r="G245" s="4">
        <v>2044.27</v>
      </c>
    </row>
    <row r="246" spans="2:7" x14ac:dyDescent="0.3">
      <c r="B246" s="12" t="s">
        <v>484</v>
      </c>
      <c r="C246" s="3" t="s">
        <v>485</v>
      </c>
      <c r="D246" s="3" t="s">
        <v>9</v>
      </c>
      <c r="E246" s="3" t="s">
        <v>16</v>
      </c>
      <c r="F246" s="3" t="s">
        <v>10</v>
      </c>
      <c r="G246" s="4">
        <v>2039.05</v>
      </c>
    </row>
    <row r="247" spans="2:7" x14ac:dyDescent="0.3">
      <c r="B247" s="12" t="s">
        <v>486</v>
      </c>
      <c r="C247" s="3" t="s">
        <v>487</v>
      </c>
      <c r="D247" s="3" t="s">
        <v>23</v>
      </c>
      <c r="E247" s="3" t="s">
        <v>20</v>
      </c>
      <c r="F247" s="3" t="s">
        <v>10</v>
      </c>
      <c r="G247" s="4">
        <v>2002.77</v>
      </c>
    </row>
    <row r="248" spans="2:7" x14ac:dyDescent="0.3">
      <c r="B248" s="12" t="s">
        <v>488</v>
      </c>
      <c r="C248" s="3" t="s">
        <v>489</v>
      </c>
      <c r="D248" s="3" t="s">
        <v>23</v>
      </c>
      <c r="E248" s="3"/>
      <c r="F248" s="3" t="s">
        <v>10</v>
      </c>
      <c r="G248" s="4">
        <v>1995.87</v>
      </c>
    </row>
    <row r="249" spans="2:7" x14ac:dyDescent="0.3">
      <c r="B249" s="12" t="s">
        <v>490</v>
      </c>
      <c r="C249" s="3" t="s">
        <v>491</v>
      </c>
      <c r="D249" s="3" t="s">
        <v>13</v>
      </c>
      <c r="E249" s="3"/>
      <c r="F249" s="3" t="s">
        <v>10</v>
      </c>
      <c r="G249" s="4">
        <v>1926.7</v>
      </c>
    </row>
    <row r="250" spans="2:7" x14ac:dyDescent="0.3">
      <c r="B250" s="12" t="s">
        <v>492</v>
      </c>
      <c r="C250" s="3" t="s">
        <v>493</v>
      </c>
      <c r="D250" s="3" t="s">
        <v>9</v>
      </c>
      <c r="E250" s="3" t="s">
        <v>20</v>
      </c>
      <c r="F250" s="3" t="s">
        <v>10</v>
      </c>
      <c r="G250" s="4">
        <v>1914.17</v>
      </c>
    </row>
    <row r="251" spans="2:7" x14ac:dyDescent="0.3">
      <c r="B251" s="12" t="s">
        <v>494</v>
      </c>
      <c r="C251" s="3" t="s">
        <v>495</v>
      </c>
      <c r="D251" s="3" t="s">
        <v>23</v>
      </c>
      <c r="E251" s="3" t="s">
        <v>20</v>
      </c>
      <c r="F251" s="3" t="s">
        <v>10</v>
      </c>
      <c r="G251" s="4">
        <v>1914.01</v>
      </c>
    </row>
    <row r="252" spans="2:7" x14ac:dyDescent="0.3">
      <c r="B252" s="12" t="s">
        <v>496</v>
      </c>
      <c r="C252" s="3" t="s">
        <v>497</v>
      </c>
      <c r="D252" s="3" t="s">
        <v>9</v>
      </c>
      <c r="E252" s="3"/>
      <c r="F252" s="3" t="s">
        <v>10</v>
      </c>
      <c r="G252" s="4">
        <v>1910.81</v>
      </c>
    </row>
    <row r="253" spans="2:7" x14ac:dyDescent="0.3">
      <c r="B253" s="12" t="s">
        <v>498</v>
      </c>
      <c r="C253" s="3" t="s">
        <v>499</v>
      </c>
      <c r="D253" s="3" t="s">
        <v>9</v>
      </c>
      <c r="E253" s="3"/>
      <c r="F253" s="3" t="s">
        <v>10</v>
      </c>
      <c r="G253" s="4">
        <v>1903.14</v>
      </c>
    </row>
    <row r="254" spans="2:7" x14ac:dyDescent="0.3">
      <c r="B254" s="12" t="s">
        <v>500</v>
      </c>
      <c r="C254" s="3" t="s">
        <v>501</v>
      </c>
      <c r="D254" s="3" t="s">
        <v>9</v>
      </c>
      <c r="E254" s="3"/>
      <c r="F254" s="3" t="s">
        <v>10</v>
      </c>
      <c r="G254" s="4">
        <v>1879.12</v>
      </c>
    </row>
    <row r="255" spans="2:7" x14ac:dyDescent="0.3">
      <c r="B255" s="12" t="s">
        <v>502</v>
      </c>
      <c r="C255" s="3" t="s">
        <v>503</v>
      </c>
      <c r="D255" s="3" t="s">
        <v>23</v>
      </c>
      <c r="E255" s="3" t="s">
        <v>20</v>
      </c>
      <c r="F255" s="3" t="s">
        <v>10</v>
      </c>
      <c r="G255" s="4">
        <v>1852.19</v>
      </c>
    </row>
    <row r="256" spans="2:7" x14ac:dyDescent="0.3">
      <c r="B256" s="12" t="s">
        <v>504</v>
      </c>
      <c r="C256" s="3" t="s">
        <v>505</v>
      </c>
      <c r="D256" s="3" t="s">
        <v>23</v>
      </c>
      <c r="E256" s="3"/>
      <c r="F256" s="3" t="s">
        <v>10</v>
      </c>
      <c r="G256" s="4">
        <v>1841.86</v>
      </c>
    </row>
    <row r="257" spans="2:7" x14ac:dyDescent="0.3">
      <c r="B257" s="12" t="s">
        <v>506</v>
      </c>
      <c r="C257" s="3" t="s">
        <v>507</v>
      </c>
      <c r="D257" s="3" t="s">
        <v>9</v>
      </c>
      <c r="E257" s="3" t="s">
        <v>20</v>
      </c>
      <c r="F257" s="3" t="s">
        <v>10</v>
      </c>
      <c r="G257" s="4">
        <v>1840.93</v>
      </c>
    </row>
    <row r="258" spans="2:7" x14ac:dyDescent="0.3">
      <c r="B258" s="12" t="s">
        <v>508</v>
      </c>
      <c r="C258" s="3" t="s">
        <v>509</v>
      </c>
      <c r="D258" s="3" t="s">
        <v>23</v>
      </c>
      <c r="E258" s="3" t="s">
        <v>16</v>
      </c>
      <c r="F258" s="3" t="s">
        <v>10</v>
      </c>
      <c r="G258" s="4">
        <v>1822.96</v>
      </c>
    </row>
    <row r="259" spans="2:7" x14ac:dyDescent="0.3">
      <c r="B259" s="12" t="s">
        <v>510</v>
      </c>
      <c r="C259" s="3" t="s">
        <v>511</v>
      </c>
      <c r="D259" s="3" t="s">
        <v>9</v>
      </c>
      <c r="E259" s="3"/>
      <c r="F259" s="3" t="s">
        <v>10</v>
      </c>
      <c r="G259" s="4">
        <v>1820.7</v>
      </c>
    </row>
    <row r="260" spans="2:7" x14ac:dyDescent="0.3">
      <c r="B260" s="12" t="s">
        <v>512</v>
      </c>
      <c r="C260" s="3" t="s">
        <v>513</v>
      </c>
      <c r="D260" s="3" t="s">
        <v>23</v>
      </c>
      <c r="E260" s="3" t="s">
        <v>20</v>
      </c>
      <c r="F260" s="3" t="s">
        <v>10</v>
      </c>
      <c r="G260" s="4">
        <v>1813.85</v>
      </c>
    </row>
    <row r="261" spans="2:7" x14ac:dyDescent="0.3">
      <c r="B261" s="12" t="s">
        <v>514</v>
      </c>
      <c r="C261" s="3" t="s">
        <v>515</v>
      </c>
      <c r="D261" s="3" t="s">
        <v>23</v>
      </c>
      <c r="E261" s="3"/>
      <c r="F261" s="3" t="s">
        <v>10</v>
      </c>
      <c r="G261" s="4">
        <v>1799.88</v>
      </c>
    </row>
    <row r="262" spans="2:7" x14ac:dyDescent="0.3">
      <c r="B262" s="12" t="s">
        <v>516</v>
      </c>
      <c r="C262" s="3" t="s">
        <v>517</v>
      </c>
      <c r="D262" s="3" t="s">
        <v>23</v>
      </c>
      <c r="E262" s="3"/>
      <c r="F262" s="3" t="s">
        <v>10</v>
      </c>
      <c r="G262" s="4">
        <v>1776.3</v>
      </c>
    </row>
    <row r="263" spans="2:7" x14ac:dyDescent="0.3">
      <c r="B263" s="12" t="s">
        <v>518</v>
      </c>
      <c r="C263" s="3" t="s">
        <v>519</v>
      </c>
      <c r="D263" s="3" t="s">
        <v>23</v>
      </c>
      <c r="E263" s="3"/>
      <c r="F263" s="3" t="s">
        <v>10</v>
      </c>
      <c r="G263" s="4">
        <v>1773.03</v>
      </c>
    </row>
    <row r="264" spans="2:7" x14ac:dyDescent="0.3">
      <c r="B264" s="12" t="s">
        <v>520</v>
      </c>
      <c r="C264" s="3" t="s">
        <v>521</v>
      </c>
      <c r="D264" s="3" t="s">
        <v>23</v>
      </c>
      <c r="E264" s="3"/>
      <c r="F264" s="3" t="s">
        <v>10</v>
      </c>
      <c r="G264" s="4">
        <v>1747.58</v>
      </c>
    </row>
    <row r="265" spans="2:7" x14ac:dyDescent="0.3">
      <c r="B265" s="12" t="s">
        <v>522</v>
      </c>
      <c r="C265" s="3" t="s">
        <v>523</v>
      </c>
      <c r="D265" s="3" t="s">
        <v>9</v>
      </c>
      <c r="E265" s="3" t="s">
        <v>20</v>
      </c>
      <c r="F265" s="3" t="s">
        <v>10</v>
      </c>
      <c r="G265" s="4">
        <v>1746.63</v>
      </c>
    </row>
    <row r="266" spans="2:7" x14ac:dyDescent="0.3">
      <c r="B266" s="12" t="s">
        <v>524</v>
      </c>
      <c r="C266" s="3" t="s">
        <v>525</v>
      </c>
      <c r="D266" s="3" t="s">
        <v>23</v>
      </c>
      <c r="E266" s="3" t="s">
        <v>20</v>
      </c>
      <c r="F266" s="3" t="s">
        <v>10</v>
      </c>
      <c r="G266" s="4">
        <v>1730.11</v>
      </c>
    </row>
    <row r="267" spans="2:7" x14ac:dyDescent="0.3">
      <c r="B267" s="12" t="s">
        <v>526</v>
      </c>
      <c r="C267" s="3" t="s">
        <v>527</v>
      </c>
      <c r="D267" s="3" t="s">
        <v>23</v>
      </c>
      <c r="E267" s="3" t="s">
        <v>20</v>
      </c>
      <c r="F267" s="3" t="s">
        <v>10</v>
      </c>
      <c r="G267" s="4">
        <v>1709.25</v>
      </c>
    </row>
    <row r="268" spans="2:7" x14ac:dyDescent="0.3">
      <c r="B268" s="12" t="s">
        <v>528</v>
      </c>
      <c r="C268" s="3" t="s">
        <v>529</v>
      </c>
      <c r="D268" s="3" t="s">
        <v>23</v>
      </c>
      <c r="E268" s="3" t="s">
        <v>20</v>
      </c>
      <c r="F268" s="3" t="s">
        <v>10</v>
      </c>
      <c r="G268" s="4">
        <v>1706.73</v>
      </c>
    </row>
    <row r="269" spans="2:7" x14ac:dyDescent="0.3">
      <c r="B269" s="12">
        <v>532756</v>
      </c>
      <c r="C269" s="3" t="s">
        <v>530</v>
      </c>
      <c r="D269" s="3" t="s">
        <v>9</v>
      </c>
      <c r="E269" s="3"/>
      <c r="F269" s="3" t="s">
        <v>10</v>
      </c>
      <c r="G269" s="4">
        <v>1702.89</v>
      </c>
    </row>
    <row r="270" spans="2:7" x14ac:dyDescent="0.3">
      <c r="B270" s="12" t="s">
        <v>531</v>
      </c>
      <c r="C270" s="3" t="s">
        <v>532</v>
      </c>
      <c r="D270" s="3" t="s">
        <v>9</v>
      </c>
      <c r="E270" s="3"/>
      <c r="F270" s="3" t="s">
        <v>10</v>
      </c>
      <c r="G270" s="4">
        <v>1699.98</v>
      </c>
    </row>
    <row r="271" spans="2:7" x14ac:dyDescent="0.3">
      <c r="B271" s="12" t="s">
        <v>533</v>
      </c>
      <c r="C271" s="3" t="s">
        <v>534</v>
      </c>
      <c r="D271" s="3" t="s">
        <v>23</v>
      </c>
      <c r="E271" s="3" t="s">
        <v>20</v>
      </c>
      <c r="F271" s="3" t="s">
        <v>10</v>
      </c>
      <c r="G271" s="4">
        <v>1681.15</v>
      </c>
    </row>
    <row r="272" spans="2:7" x14ac:dyDescent="0.3">
      <c r="B272" s="12" t="s">
        <v>535</v>
      </c>
      <c r="C272" s="3" t="s">
        <v>536</v>
      </c>
      <c r="D272" s="3" t="s">
        <v>23</v>
      </c>
      <c r="E272" s="3" t="s">
        <v>16</v>
      </c>
      <c r="F272" s="3" t="s">
        <v>10</v>
      </c>
      <c r="G272" s="4">
        <v>1657.46</v>
      </c>
    </row>
    <row r="273" spans="2:7" x14ac:dyDescent="0.3">
      <c r="B273" s="12" t="s">
        <v>537</v>
      </c>
      <c r="C273" s="3" t="s">
        <v>538</v>
      </c>
      <c r="D273" s="3" t="s">
        <v>9</v>
      </c>
      <c r="E273" s="3"/>
      <c r="F273" s="3" t="s">
        <v>10</v>
      </c>
      <c r="G273" s="4">
        <v>1629.31</v>
      </c>
    </row>
    <row r="274" spans="2:7" x14ac:dyDescent="0.3">
      <c r="B274" s="12" t="s">
        <v>539</v>
      </c>
      <c r="C274" s="3" t="s">
        <v>540</v>
      </c>
      <c r="D274" s="3" t="s">
        <v>13</v>
      </c>
      <c r="E274" s="3"/>
      <c r="F274" s="3" t="s">
        <v>10</v>
      </c>
      <c r="G274" s="4">
        <v>1627.87</v>
      </c>
    </row>
    <row r="275" spans="2:7" x14ac:dyDescent="0.3">
      <c r="B275" s="12" t="s">
        <v>541</v>
      </c>
      <c r="C275" s="3" t="s">
        <v>542</v>
      </c>
      <c r="D275" s="3" t="s">
        <v>13</v>
      </c>
      <c r="E275" s="3"/>
      <c r="F275" s="3" t="s">
        <v>10</v>
      </c>
      <c r="G275" s="4">
        <v>1626.17</v>
      </c>
    </row>
    <row r="276" spans="2:7" x14ac:dyDescent="0.3">
      <c r="B276" s="12" t="s">
        <v>543</v>
      </c>
      <c r="C276" s="3" t="s">
        <v>544</v>
      </c>
      <c r="D276" s="3" t="s">
        <v>9</v>
      </c>
      <c r="E276" s="3"/>
      <c r="F276" s="3" t="s">
        <v>10</v>
      </c>
      <c r="G276" s="4">
        <v>1613.43</v>
      </c>
    </row>
    <row r="277" spans="2:7" x14ac:dyDescent="0.3">
      <c r="B277" s="12">
        <v>8964</v>
      </c>
      <c r="C277" s="3" t="s">
        <v>545</v>
      </c>
      <c r="D277" s="3" t="s">
        <v>13</v>
      </c>
      <c r="E277" s="3"/>
      <c r="F277" s="3" t="s">
        <v>10</v>
      </c>
      <c r="G277" s="4">
        <v>1593.63</v>
      </c>
    </row>
    <row r="278" spans="2:7" x14ac:dyDescent="0.3">
      <c r="B278" s="12" t="s">
        <v>546</v>
      </c>
      <c r="C278" s="3" t="s">
        <v>547</v>
      </c>
      <c r="D278" s="3" t="s">
        <v>23</v>
      </c>
      <c r="E278" s="3" t="s">
        <v>20</v>
      </c>
      <c r="F278" s="3" t="s">
        <v>17</v>
      </c>
      <c r="G278" s="4">
        <v>1571.59</v>
      </c>
    </row>
    <row r="279" spans="2:7" x14ac:dyDescent="0.3">
      <c r="B279" s="12" t="s">
        <v>548</v>
      </c>
      <c r="C279" s="3" t="s">
        <v>549</v>
      </c>
      <c r="D279" s="3" t="s">
        <v>9</v>
      </c>
      <c r="E279" s="3" t="s">
        <v>20</v>
      </c>
      <c r="F279" s="3" t="s">
        <v>10</v>
      </c>
      <c r="G279" s="4">
        <v>1540.78</v>
      </c>
    </row>
    <row r="280" spans="2:7" x14ac:dyDescent="0.3">
      <c r="B280" s="12" t="s">
        <v>550</v>
      </c>
      <c r="C280" s="3" t="s">
        <v>551</v>
      </c>
      <c r="D280" s="3" t="s">
        <v>9</v>
      </c>
      <c r="E280" s="3"/>
      <c r="F280" s="3" t="s">
        <v>10</v>
      </c>
      <c r="G280" s="4">
        <v>1529.49</v>
      </c>
    </row>
    <row r="281" spans="2:7" x14ac:dyDescent="0.3">
      <c r="B281" s="12" t="s">
        <v>552</v>
      </c>
      <c r="C281" s="3" t="s">
        <v>553</v>
      </c>
      <c r="D281" s="3" t="s">
        <v>13</v>
      </c>
      <c r="E281" s="3"/>
      <c r="F281" s="3" t="s">
        <v>10</v>
      </c>
      <c r="G281" s="4">
        <v>1499.18</v>
      </c>
    </row>
    <row r="282" spans="2:7" x14ac:dyDescent="0.3">
      <c r="B282" s="12" t="s">
        <v>554</v>
      </c>
      <c r="C282" s="3" t="s">
        <v>555</v>
      </c>
      <c r="D282" s="3" t="s">
        <v>9</v>
      </c>
      <c r="E282" s="3" t="s">
        <v>20</v>
      </c>
      <c r="F282" s="3" t="s">
        <v>10</v>
      </c>
      <c r="G282" s="4">
        <v>1469.21</v>
      </c>
    </row>
    <row r="283" spans="2:7" x14ac:dyDescent="0.3">
      <c r="B283" s="12" t="s">
        <v>556</v>
      </c>
      <c r="C283" s="3" t="s">
        <v>557</v>
      </c>
      <c r="D283" s="3" t="s">
        <v>13</v>
      </c>
      <c r="E283" s="3"/>
      <c r="F283" s="3" t="s">
        <v>10</v>
      </c>
      <c r="G283" s="4">
        <v>1458</v>
      </c>
    </row>
    <row r="284" spans="2:7" x14ac:dyDescent="0.3">
      <c r="B284" s="12" t="s">
        <v>558</v>
      </c>
      <c r="C284" s="3" t="s">
        <v>559</v>
      </c>
      <c r="D284" s="3" t="s">
        <v>9</v>
      </c>
      <c r="E284" s="3"/>
      <c r="F284" s="3" t="s">
        <v>10</v>
      </c>
      <c r="G284" s="4">
        <v>1446.88</v>
      </c>
    </row>
    <row r="285" spans="2:7" x14ac:dyDescent="0.3">
      <c r="B285" s="12" t="s">
        <v>560</v>
      </c>
      <c r="C285" s="3" t="s">
        <v>561</v>
      </c>
      <c r="D285" s="3" t="s">
        <v>13</v>
      </c>
      <c r="E285" s="3"/>
      <c r="F285" s="3" t="s">
        <v>10</v>
      </c>
      <c r="G285" s="4">
        <v>1445.29</v>
      </c>
    </row>
    <row r="286" spans="2:7" x14ac:dyDescent="0.3">
      <c r="B286" s="12" t="s">
        <v>562</v>
      </c>
      <c r="C286" s="3" t="s">
        <v>563</v>
      </c>
      <c r="D286" s="3" t="s">
        <v>13</v>
      </c>
      <c r="E286" s="3"/>
      <c r="F286" s="3" t="s">
        <v>10</v>
      </c>
      <c r="G286" s="4">
        <v>1428.68</v>
      </c>
    </row>
    <row r="287" spans="2:7" x14ac:dyDescent="0.3">
      <c r="B287" s="12" t="s">
        <v>564</v>
      </c>
      <c r="C287" s="3" t="s">
        <v>565</v>
      </c>
      <c r="D287" s="3" t="s">
        <v>13</v>
      </c>
      <c r="E287" s="3"/>
      <c r="F287" s="3" t="s">
        <v>10</v>
      </c>
      <c r="G287" s="4">
        <v>1419.23</v>
      </c>
    </row>
    <row r="288" spans="2:7" x14ac:dyDescent="0.3">
      <c r="B288" s="12" t="s">
        <v>566</v>
      </c>
      <c r="C288" s="3" t="s">
        <v>567</v>
      </c>
      <c r="D288" s="3" t="s">
        <v>13</v>
      </c>
      <c r="E288" s="3"/>
      <c r="F288" s="3" t="s">
        <v>10</v>
      </c>
      <c r="G288" s="4">
        <v>1407.66</v>
      </c>
    </row>
    <row r="289" spans="2:7" x14ac:dyDescent="0.3">
      <c r="B289" s="12" t="s">
        <v>568</v>
      </c>
      <c r="C289" s="3" t="s">
        <v>569</v>
      </c>
      <c r="D289" s="3" t="s">
        <v>23</v>
      </c>
      <c r="E289" s="3"/>
      <c r="F289" s="3" t="s">
        <v>10</v>
      </c>
      <c r="G289" s="4">
        <v>1378.8</v>
      </c>
    </row>
    <row r="290" spans="2:7" x14ac:dyDescent="0.3">
      <c r="B290" s="12">
        <v>4587</v>
      </c>
      <c r="C290" s="3" t="s">
        <v>570</v>
      </c>
      <c r="D290" s="3" t="s">
        <v>13</v>
      </c>
      <c r="E290" s="3"/>
      <c r="F290" s="3" t="s">
        <v>10</v>
      </c>
      <c r="G290" s="4">
        <v>1334.84</v>
      </c>
    </row>
    <row r="291" spans="2:7" x14ac:dyDescent="0.3">
      <c r="B291" s="12" t="s">
        <v>571</v>
      </c>
      <c r="C291" s="3" t="s">
        <v>572</v>
      </c>
      <c r="D291" s="3" t="s">
        <v>9</v>
      </c>
      <c r="E291" s="3" t="s">
        <v>20</v>
      </c>
      <c r="F291" s="3" t="s">
        <v>10</v>
      </c>
      <c r="G291" s="4">
        <v>1333.74</v>
      </c>
    </row>
    <row r="292" spans="2:7" x14ac:dyDescent="0.3">
      <c r="B292" s="12" t="s">
        <v>573</v>
      </c>
      <c r="C292" s="3" t="s">
        <v>574</v>
      </c>
      <c r="D292" s="3" t="s">
        <v>13</v>
      </c>
      <c r="E292" s="3"/>
      <c r="F292" s="3" t="s">
        <v>10</v>
      </c>
      <c r="G292" s="4">
        <v>1311.7</v>
      </c>
    </row>
    <row r="293" spans="2:7" x14ac:dyDescent="0.3">
      <c r="B293" s="12" t="s">
        <v>575</v>
      </c>
      <c r="C293" s="3" t="s">
        <v>576</v>
      </c>
      <c r="D293" s="3" t="s">
        <v>9</v>
      </c>
      <c r="E293" s="3"/>
      <c r="F293" s="3" t="s">
        <v>10</v>
      </c>
      <c r="G293" s="4">
        <v>1310.5</v>
      </c>
    </row>
    <row r="294" spans="2:7" x14ac:dyDescent="0.3">
      <c r="B294" s="12" t="s">
        <v>577</v>
      </c>
      <c r="C294" s="3" t="s">
        <v>578</v>
      </c>
      <c r="D294" s="3" t="s">
        <v>23</v>
      </c>
      <c r="E294" s="3" t="s">
        <v>20</v>
      </c>
      <c r="F294" s="3" t="s">
        <v>10</v>
      </c>
      <c r="G294" s="4">
        <v>1310.17</v>
      </c>
    </row>
    <row r="295" spans="2:7" x14ac:dyDescent="0.3">
      <c r="B295" s="12" t="s">
        <v>579</v>
      </c>
      <c r="C295" s="3" t="s">
        <v>580</v>
      </c>
      <c r="D295" s="3" t="s">
        <v>23</v>
      </c>
      <c r="E295" s="3"/>
      <c r="F295" s="3" t="s">
        <v>10</v>
      </c>
      <c r="G295" s="4">
        <v>1302.24</v>
      </c>
    </row>
    <row r="296" spans="2:7" x14ac:dyDescent="0.3">
      <c r="B296" s="12" t="s">
        <v>581</v>
      </c>
      <c r="C296" s="3" t="s">
        <v>582</v>
      </c>
      <c r="D296" s="3" t="s">
        <v>9</v>
      </c>
      <c r="E296" s="3"/>
      <c r="F296" s="3" t="s">
        <v>10</v>
      </c>
      <c r="G296" s="4">
        <v>1297.51</v>
      </c>
    </row>
    <row r="297" spans="2:7" x14ac:dyDescent="0.3">
      <c r="B297" s="12" t="s">
        <v>583</v>
      </c>
      <c r="C297" s="3" t="s">
        <v>584</v>
      </c>
      <c r="D297" s="3" t="s">
        <v>13</v>
      </c>
      <c r="E297" s="3"/>
      <c r="F297" s="3" t="s">
        <v>10</v>
      </c>
      <c r="G297" s="4">
        <v>1279.6400000000001</v>
      </c>
    </row>
    <row r="298" spans="2:7" x14ac:dyDescent="0.3">
      <c r="B298" s="12" t="s">
        <v>585</v>
      </c>
      <c r="C298" s="3" t="s">
        <v>586</v>
      </c>
      <c r="D298" s="3" t="s">
        <v>9</v>
      </c>
      <c r="E298" s="3" t="s">
        <v>20</v>
      </c>
      <c r="F298" s="3" t="s">
        <v>10</v>
      </c>
      <c r="G298" s="4">
        <v>1277.22</v>
      </c>
    </row>
    <row r="299" spans="2:7" x14ac:dyDescent="0.3">
      <c r="B299" s="12" t="s">
        <v>587</v>
      </c>
      <c r="C299" s="3" t="s">
        <v>588</v>
      </c>
      <c r="D299" s="3" t="s">
        <v>23</v>
      </c>
      <c r="E299" s="3"/>
      <c r="F299" s="3" t="s">
        <v>10</v>
      </c>
      <c r="G299" s="4">
        <v>1264.3499999999999</v>
      </c>
    </row>
    <row r="300" spans="2:7" x14ac:dyDescent="0.3">
      <c r="B300" s="12" t="s">
        <v>589</v>
      </c>
      <c r="C300" s="3" t="s">
        <v>590</v>
      </c>
      <c r="D300" s="3" t="s">
        <v>13</v>
      </c>
      <c r="E300" s="3"/>
      <c r="F300" s="3" t="s">
        <v>10</v>
      </c>
      <c r="G300" s="4">
        <v>1262.8399999999999</v>
      </c>
    </row>
    <row r="301" spans="2:7" x14ac:dyDescent="0.3">
      <c r="B301" s="12">
        <v>3020</v>
      </c>
      <c r="C301" s="3" t="s">
        <v>591</v>
      </c>
      <c r="D301" s="3" t="s">
        <v>23</v>
      </c>
      <c r="E301" s="3"/>
      <c r="F301" s="3" t="s">
        <v>10</v>
      </c>
      <c r="G301" s="4">
        <v>1247.33</v>
      </c>
    </row>
    <row r="302" spans="2:7" x14ac:dyDescent="0.3">
      <c r="B302" s="12">
        <v>8110</v>
      </c>
      <c r="C302" s="3" t="s">
        <v>592</v>
      </c>
      <c r="D302" s="3" t="s">
        <v>9</v>
      </c>
      <c r="E302" s="3"/>
      <c r="F302" s="3" t="s">
        <v>10</v>
      </c>
      <c r="G302" s="4">
        <v>1220.81</v>
      </c>
    </row>
    <row r="303" spans="2:7" x14ac:dyDescent="0.3">
      <c r="B303" s="12" t="s">
        <v>593</v>
      </c>
      <c r="C303" s="3" t="s">
        <v>594</v>
      </c>
      <c r="D303" s="3" t="s">
        <v>23</v>
      </c>
      <c r="E303" s="3" t="s">
        <v>16</v>
      </c>
      <c r="F303" s="3" t="s">
        <v>10</v>
      </c>
      <c r="G303" s="4">
        <v>1216.99</v>
      </c>
    </row>
    <row r="304" spans="2:7" x14ac:dyDescent="0.3">
      <c r="B304" s="12" t="s">
        <v>595</v>
      </c>
      <c r="C304" s="3" t="s">
        <v>596</v>
      </c>
      <c r="D304" s="3" t="s">
        <v>9</v>
      </c>
      <c r="E304" s="3" t="s">
        <v>20</v>
      </c>
      <c r="F304" s="3" t="s">
        <v>10</v>
      </c>
      <c r="G304" s="4">
        <v>1209.08</v>
      </c>
    </row>
    <row r="305" spans="2:7" x14ac:dyDescent="0.3">
      <c r="B305" s="12" t="s">
        <v>597</v>
      </c>
      <c r="C305" s="3" t="s">
        <v>598</v>
      </c>
      <c r="D305" s="3" t="s">
        <v>9</v>
      </c>
      <c r="E305" s="3"/>
      <c r="F305" s="3" t="s">
        <v>10</v>
      </c>
      <c r="G305" s="4">
        <v>1201.46</v>
      </c>
    </row>
    <row r="306" spans="2:7" x14ac:dyDescent="0.3">
      <c r="B306" s="12" t="s">
        <v>599</v>
      </c>
      <c r="C306" s="3" t="s">
        <v>600</v>
      </c>
      <c r="D306" s="3" t="s">
        <v>9</v>
      </c>
      <c r="E306" s="3" t="s">
        <v>16</v>
      </c>
      <c r="F306" s="3" t="s">
        <v>10</v>
      </c>
      <c r="G306" s="4">
        <v>1200.5999999999999</v>
      </c>
    </row>
    <row r="307" spans="2:7" x14ac:dyDescent="0.3">
      <c r="B307" s="12" t="s">
        <v>601</v>
      </c>
      <c r="C307" s="3" t="s">
        <v>602</v>
      </c>
      <c r="D307" s="3" t="s">
        <v>13</v>
      </c>
      <c r="E307" s="3"/>
      <c r="F307" s="3" t="s">
        <v>10</v>
      </c>
      <c r="G307" s="4">
        <v>1190.97</v>
      </c>
    </row>
    <row r="308" spans="2:7" x14ac:dyDescent="0.3">
      <c r="B308" s="12" t="s">
        <v>603</v>
      </c>
      <c r="C308" s="3" t="s">
        <v>604</v>
      </c>
      <c r="D308" s="3" t="s">
        <v>23</v>
      </c>
      <c r="E308" s="3" t="s">
        <v>20</v>
      </c>
      <c r="F308" s="3" t="s">
        <v>10</v>
      </c>
      <c r="G308" s="4">
        <v>1181.1400000000001</v>
      </c>
    </row>
    <row r="309" spans="2:7" x14ac:dyDescent="0.3">
      <c r="B309" s="12" t="s">
        <v>605</v>
      </c>
      <c r="C309" s="3" t="s">
        <v>606</v>
      </c>
      <c r="D309" s="3" t="s">
        <v>9</v>
      </c>
      <c r="E309" s="3"/>
      <c r="F309" s="3" t="s">
        <v>10</v>
      </c>
      <c r="G309" s="4">
        <v>1178.94</v>
      </c>
    </row>
    <row r="310" spans="2:7" x14ac:dyDescent="0.3">
      <c r="B310" s="12" t="s">
        <v>607</v>
      </c>
      <c r="C310" s="3" t="s">
        <v>608</v>
      </c>
      <c r="D310" s="3" t="s">
        <v>23</v>
      </c>
      <c r="E310" s="3"/>
      <c r="F310" s="3" t="s">
        <v>10</v>
      </c>
      <c r="G310" s="4">
        <v>1167.7</v>
      </c>
    </row>
    <row r="311" spans="2:7" x14ac:dyDescent="0.3">
      <c r="B311" s="12" t="s">
        <v>609</v>
      </c>
      <c r="C311" s="3" t="s">
        <v>610</v>
      </c>
      <c r="D311" s="3" t="s">
        <v>23</v>
      </c>
      <c r="E311" s="3"/>
      <c r="F311" s="3" t="s">
        <v>10</v>
      </c>
      <c r="G311" s="4">
        <v>1141.3399999999999</v>
      </c>
    </row>
    <row r="312" spans="2:7" x14ac:dyDescent="0.3">
      <c r="B312" s="12" t="s">
        <v>611</v>
      </c>
      <c r="C312" s="3" t="s">
        <v>612</v>
      </c>
      <c r="D312" s="3" t="s">
        <v>23</v>
      </c>
      <c r="E312" s="3" t="s">
        <v>20</v>
      </c>
      <c r="F312" s="3" t="s">
        <v>10</v>
      </c>
      <c r="G312" s="4">
        <v>1138.26</v>
      </c>
    </row>
    <row r="313" spans="2:7" x14ac:dyDescent="0.3">
      <c r="B313" s="12" t="s">
        <v>613</v>
      </c>
      <c r="C313" s="3" t="s">
        <v>614</v>
      </c>
      <c r="D313" s="3" t="s">
        <v>13</v>
      </c>
      <c r="E313" s="3"/>
      <c r="F313" s="3" t="s">
        <v>10</v>
      </c>
      <c r="G313" s="4">
        <v>1135.69</v>
      </c>
    </row>
    <row r="314" spans="2:7" x14ac:dyDescent="0.3">
      <c r="B314" s="12">
        <v>3296</v>
      </c>
      <c r="C314" s="3" t="s">
        <v>615</v>
      </c>
      <c r="D314" s="3" t="s">
        <v>9</v>
      </c>
      <c r="E314" s="3"/>
      <c r="F314" s="3" t="s">
        <v>10</v>
      </c>
      <c r="G314" s="4">
        <v>1128.46</v>
      </c>
    </row>
    <row r="315" spans="2:7" x14ac:dyDescent="0.3">
      <c r="B315" s="12" t="s">
        <v>616</v>
      </c>
      <c r="C315" s="3" t="s">
        <v>617</v>
      </c>
      <c r="D315" s="3" t="s">
        <v>13</v>
      </c>
      <c r="E315" s="3"/>
      <c r="F315" s="3" t="s">
        <v>10</v>
      </c>
      <c r="G315" s="4">
        <v>1124.81</v>
      </c>
    </row>
    <row r="316" spans="2:7" x14ac:dyDescent="0.3">
      <c r="B316" s="12" t="s">
        <v>618</v>
      </c>
      <c r="C316" s="3" t="s">
        <v>619</v>
      </c>
      <c r="D316" s="3" t="s">
        <v>23</v>
      </c>
      <c r="E316" s="3" t="s">
        <v>16</v>
      </c>
      <c r="F316" s="3" t="s">
        <v>10</v>
      </c>
      <c r="G316" s="4">
        <v>1123.95</v>
      </c>
    </row>
    <row r="317" spans="2:7" x14ac:dyDescent="0.3">
      <c r="B317" s="12" t="s">
        <v>620</v>
      </c>
      <c r="C317" s="3" t="s">
        <v>621</v>
      </c>
      <c r="D317" s="3" t="s">
        <v>9</v>
      </c>
      <c r="E317" s="3"/>
      <c r="F317" s="3" t="s">
        <v>10</v>
      </c>
      <c r="G317" s="4">
        <v>1097.22</v>
      </c>
    </row>
    <row r="318" spans="2:7" x14ac:dyDescent="0.3">
      <c r="B318" s="12" t="s">
        <v>622</v>
      </c>
      <c r="C318" s="3" t="s">
        <v>623</v>
      </c>
      <c r="D318" s="3" t="s">
        <v>23</v>
      </c>
      <c r="E318" s="3"/>
      <c r="F318" s="3" t="s">
        <v>10</v>
      </c>
      <c r="G318" s="4">
        <v>1094.08</v>
      </c>
    </row>
    <row r="319" spans="2:7" x14ac:dyDescent="0.3">
      <c r="B319" s="12" t="s">
        <v>624</v>
      </c>
      <c r="C319" s="3" t="s">
        <v>625</v>
      </c>
      <c r="D319" s="3" t="s">
        <v>23</v>
      </c>
      <c r="E319" s="3"/>
      <c r="F319" s="3" t="s">
        <v>10</v>
      </c>
      <c r="G319" s="4">
        <v>1086.8900000000001</v>
      </c>
    </row>
    <row r="320" spans="2:7" x14ac:dyDescent="0.3">
      <c r="B320" s="12" t="s">
        <v>626</v>
      </c>
      <c r="C320" s="3" t="s">
        <v>627</v>
      </c>
      <c r="D320" s="3" t="s">
        <v>23</v>
      </c>
      <c r="E320" s="3"/>
      <c r="F320" s="3" t="s">
        <v>10</v>
      </c>
      <c r="G320" s="4">
        <v>1084.6199999999999</v>
      </c>
    </row>
    <row r="321" spans="2:7" x14ac:dyDescent="0.3">
      <c r="B321" s="12" t="s">
        <v>628</v>
      </c>
      <c r="C321" s="3" t="s">
        <v>629</v>
      </c>
      <c r="D321" s="3" t="s">
        <v>23</v>
      </c>
      <c r="E321" s="3"/>
      <c r="F321" s="3" t="s">
        <v>10</v>
      </c>
      <c r="G321" s="4">
        <v>1081.08</v>
      </c>
    </row>
    <row r="322" spans="2:7" x14ac:dyDescent="0.3">
      <c r="B322" s="12" t="s">
        <v>630</v>
      </c>
      <c r="C322" s="3" t="s">
        <v>631</v>
      </c>
      <c r="D322" s="3" t="s">
        <v>9</v>
      </c>
      <c r="E322" s="3"/>
      <c r="F322" s="3" t="s">
        <v>10</v>
      </c>
      <c r="G322" s="4">
        <v>1080.6600000000001</v>
      </c>
    </row>
    <row r="323" spans="2:7" x14ac:dyDescent="0.3">
      <c r="B323" s="12" t="s">
        <v>632</v>
      </c>
      <c r="C323" s="3" t="s">
        <v>633</v>
      </c>
      <c r="D323" s="3" t="s">
        <v>9</v>
      </c>
      <c r="E323" s="3"/>
      <c r="F323" s="3" t="s">
        <v>10</v>
      </c>
      <c r="G323" s="4">
        <v>1074.25</v>
      </c>
    </row>
    <row r="324" spans="2:7" x14ac:dyDescent="0.3">
      <c r="B324" s="12" t="s">
        <v>634</v>
      </c>
      <c r="C324" s="3" t="s">
        <v>635</v>
      </c>
      <c r="D324" s="3" t="s">
        <v>23</v>
      </c>
      <c r="E324" s="3" t="s">
        <v>16</v>
      </c>
      <c r="F324" s="3" t="s">
        <v>10</v>
      </c>
      <c r="G324" s="4">
        <v>1060.4100000000001</v>
      </c>
    </row>
    <row r="325" spans="2:7" x14ac:dyDescent="0.3">
      <c r="B325" s="12" t="s">
        <v>636</v>
      </c>
      <c r="C325" s="3" t="s">
        <v>637</v>
      </c>
      <c r="D325" s="3" t="s">
        <v>9</v>
      </c>
      <c r="E325" s="3"/>
      <c r="F325" s="3" t="s">
        <v>10</v>
      </c>
      <c r="G325" s="4">
        <v>1052.48</v>
      </c>
    </row>
    <row r="326" spans="2:7" x14ac:dyDescent="0.3">
      <c r="B326" s="12" t="s">
        <v>638</v>
      </c>
      <c r="C326" s="3" t="s">
        <v>639</v>
      </c>
      <c r="D326" s="3" t="s">
        <v>9</v>
      </c>
      <c r="E326" s="3"/>
      <c r="F326" s="3" t="s">
        <v>10</v>
      </c>
      <c r="G326" s="4">
        <v>1048.49</v>
      </c>
    </row>
    <row r="327" spans="2:7" x14ac:dyDescent="0.3">
      <c r="B327" s="12" t="s">
        <v>640</v>
      </c>
      <c r="C327" s="3" t="s">
        <v>641</v>
      </c>
      <c r="D327" s="3" t="s">
        <v>9</v>
      </c>
      <c r="E327" s="3"/>
      <c r="F327" s="3" t="s">
        <v>10</v>
      </c>
      <c r="G327" s="4">
        <v>1038.6400000000001</v>
      </c>
    </row>
    <row r="328" spans="2:7" x14ac:dyDescent="0.3">
      <c r="B328" s="12" t="s">
        <v>642</v>
      </c>
      <c r="C328" s="3" t="s">
        <v>643</v>
      </c>
      <c r="D328" s="3" t="s">
        <v>9</v>
      </c>
      <c r="E328" s="3" t="s">
        <v>16</v>
      </c>
      <c r="F328" s="3" t="s">
        <v>10</v>
      </c>
      <c r="G328" s="4">
        <v>1029.54</v>
      </c>
    </row>
    <row r="329" spans="2:7" x14ac:dyDescent="0.3">
      <c r="B329" s="12" t="s">
        <v>644</v>
      </c>
      <c r="C329" s="3" t="s">
        <v>645</v>
      </c>
      <c r="D329" s="3" t="s">
        <v>23</v>
      </c>
      <c r="E329" s="3" t="s">
        <v>16</v>
      </c>
      <c r="F329" s="3" t="s">
        <v>10</v>
      </c>
      <c r="G329" s="4">
        <v>1027.6500000000001</v>
      </c>
    </row>
    <row r="330" spans="2:7" x14ac:dyDescent="0.3">
      <c r="B330" s="12" t="s">
        <v>646</v>
      </c>
      <c r="C330" s="3" t="s">
        <v>647</v>
      </c>
      <c r="D330" s="3" t="s">
        <v>23</v>
      </c>
      <c r="E330" s="3" t="s">
        <v>20</v>
      </c>
      <c r="F330" s="3" t="s">
        <v>10</v>
      </c>
      <c r="G330" s="4">
        <v>1021.47</v>
      </c>
    </row>
    <row r="331" spans="2:7" x14ac:dyDescent="0.3">
      <c r="B331" s="12" t="s">
        <v>648</v>
      </c>
      <c r="C331" s="3" t="s">
        <v>649</v>
      </c>
      <c r="D331" s="3" t="s">
        <v>9</v>
      </c>
      <c r="E331" s="3" t="s">
        <v>20</v>
      </c>
      <c r="F331" s="3" t="s">
        <v>10</v>
      </c>
      <c r="G331" s="4">
        <v>1009.29</v>
      </c>
    </row>
    <row r="332" spans="2:7" x14ac:dyDescent="0.3">
      <c r="B332" s="12" t="s">
        <v>650</v>
      </c>
      <c r="C332" s="3" t="s">
        <v>651</v>
      </c>
      <c r="D332" s="3" t="s">
        <v>13</v>
      </c>
      <c r="E332" s="3"/>
      <c r="F332" s="3" t="s">
        <v>10</v>
      </c>
      <c r="G332" s="4">
        <v>1008.54</v>
      </c>
    </row>
    <row r="333" spans="2:7" x14ac:dyDescent="0.3">
      <c r="B333" s="12" t="s">
        <v>652</v>
      </c>
      <c r="C333" s="3" t="s">
        <v>653</v>
      </c>
      <c r="D333" s="3" t="s">
        <v>9</v>
      </c>
      <c r="E333" s="3" t="s">
        <v>20</v>
      </c>
      <c r="F333" s="3" t="s">
        <v>10</v>
      </c>
      <c r="G333" s="4">
        <v>997.29</v>
      </c>
    </row>
    <row r="334" spans="2:7" x14ac:dyDescent="0.3">
      <c r="B334" s="12" t="s">
        <v>654</v>
      </c>
      <c r="C334" s="3" t="s">
        <v>655</v>
      </c>
      <c r="D334" s="3" t="s">
        <v>9</v>
      </c>
      <c r="E334" s="3"/>
      <c r="F334" s="3" t="s">
        <v>10</v>
      </c>
      <c r="G334" s="4">
        <v>984.07</v>
      </c>
    </row>
    <row r="335" spans="2:7" x14ac:dyDescent="0.3">
      <c r="B335" s="12" t="s">
        <v>656</v>
      </c>
      <c r="C335" s="3" t="s">
        <v>657</v>
      </c>
      <c r="D335" s="3" t="s">
        <v>9</v>
      </c>
      <c r="E335" s="3"/>
      <c r="F335" s="3" t="s">
        <v>10</v>
      </c>
      <c r="G335" s="4">
        <v>981.08</v>
      </c>
    </row>
    <row r="336" spans="2:7" x14ac:dyDescent="0.3">
      <c r="B336" s="12">
        <v>3076</v>
      </c>
      <c r="C336" s="3" t="s">
        <v>658</v>
      </c>
      <c r="D336" s="3" t="s">
        <v>13</v>
      </c>
      <c r="E336" s="3"/>
      <c r="F336" s="3" t="s">
        <v>10</v>
      </c>
      <c r="G336" s="4">
        <v>957.3</v>
      </c>
    </row>
    <row r="337" spans="2:7" x14ac:dyDescent="0.3">
      <c r="B337" s="12" t="s">
        <v>659</v>
      </c>
      <c r="C337" s="3" t="s">
        <v>660</v>
      </c>
      <c r="D337" s="3" t="s">
        <v>9</v>
      </c>
      <c r="E337" s="3"/>
      <c r="F337" s="3" t="s">
        <v>10</v>
      </c>
      <c r="G337" s="4">
        <v>953.94</v>
      </c>
    </row>
    <row r="338" spans="2:7" x14ac:dyDescent="0.3">
      <c r="B338" s="12" t="s">
        <v>661</v>
      </c>
      <c r="C338" s="3" t="s">
        <v>662</v>
      </c>
      <c r="D338" s="3" t="s">
        <v>23</v>
      </c>
      <c r="E338" s="3"/>
      <c r="F338" s="3" t="s">
        <v>10</v>
      </c>
      <c r="G338" s="4">
        <v>948.58</v>
      </c>
    </row>
    <row r="339" spans="2:7" x14ac:dyDescent="0.3">
      <c r="B339" s="12" t="s">
        <v>663</v>
      </c>
      <c r="C339" s="3" t="s">
        <v>664</v>
      </c>
      <c r="D339" s="3" t="s">
        <v>9</v>
      </c>
      <c r="E339" s="3"/>
      <c r="F339" s="3" t="s">
        <v>10</v>
      </c>
      <c r="G339" s="4">
        <v>938.13</v>
      </c>
    </row>
    <row r="340" spans="2:7" x14ac:dyDescent="0.3">
      <c r="B340" s="12" t="s">
        <v>665</v>
      </c>
      <c r="C340" s="3" t="s">
        <v>666</v>
      </c>
      <c r="D340" s="3" t="s">
        <v>23</v>
      </c>
      <c r="E340" s="3"/>
      <c r="F340" s="3" t="s">
        <v>10</v>
      </c>
      <c r="G340" s="4">
        <v>915.8</v>
      </c>
    </row>
    <row r="341" spans="2:7" x14ac:dyDescent="0.3">
      <c r="B341" s="12" t="s">
        <v>667</v>
      </c>
      <c r="C341" s="3" t="s">
        <v>668</v>
      </c>
      <c r="D341" s="3" t="s">
        <v>23</v>
      </c>
      <c r="E341" s="3"/>
      <c r="F341" s="3" t="s">
        <v>10</v>
      </c>
      <c r="G341" s="4">
        <v>903.5</v>
      </c>
    </row>
    <row r="342" spans="2:7" x14ac:dyDescent="0.3">
      <c r="B342" s="12" t="s">
        <v>669</v>
      </c>
      <c r="C342" s="3" t="s">
        <v>670</v>
      </c>
      <c r="D342" s="3" t="s">
        <v>23</v>
      </c>
      <c r="E342" s="3"/>
      <c r="F342" s="3" t="s">
        <v>10</v>
      </c>
      <c r="G342" s="4">
        <v>880.3</v>
      </c>
    </row>
    <row r="343" spans="2:7" x14ac:dyDescent="0.3">
      <c r="B343" s="12" t="s">
        <v>671</v>
      </c>
      <c r="C343" s="3" t="s">
        <v>672</v>
      </c>
      <c r="D343" s="3" t="s">
        <v>9</v>
      </c>
      <c r="E343" s="3"/>
      <c r="F343" s="3" t="s">
        <v>10</v>
      </c>
      <c r="G343" s="4">
        <v>877.61</v>
      </c>
    </row>
    <row r="344" spans="2:7" x14ac:dyDescent="0.3">
      <c r="B344" s="12" t="s">
        <v>673</v>
      </c>
      <c r="C344" s="3" t="s">
        <v>674</v>
      </c>
      <c r="D344" s="3" t="s">
        <v>23</v>
      </c>
      <c r="E344" s="3"/>
      <c r="F344" s="3" t="s">
        <v>10</v>
      </c>
      <c r="G344" s="4">
        <v>863.57</v>
      </c>
    </row>
    <row r="345" spans="2:7" x14ac:dyDescent="0.3">
      <c r="B345" s="12" t="s">
        <v>675</v>
      </c>
      <c r="C345" s="3" t="s">
        <v>676</v>
      </c>
      <c r="D345" s="3" t="s">
        <v>9</v>
      </c>
      <c r="E345" s="3"/>
      <c r="F345" s="3" t="s">
        <v>10</v>
      </c>
      <c r="G345" s="4">
        <v>861.06</v>
      </c>
    </row>
    <row r="346" spans="2:7" x14ac:dyDescent="0.3">
      <c r="B346" s="12" t="s">
        <v>677</v>
      </c>
      <c r="C346" s="3" t="s">
        <v>678</v>
      </c>
      <c r="D346" s="3" t="s">
        <v>9</v>
      </c>
      <c r="E346" s="3"/>
      <c r="F346" s="3" t="s">
        <v>10</v>
      </c>
      <c r="G346" s="4">
        <v>855.55</v>
      </c>
    </row>
    <row r="347" spans="2:7" x14ac:dyDescent="0.3">
      <c r="B347" s="12" t="s">
        <v>679</v>
      </c>
      <c r="C347" s="3" t="s">
        <v>680</v>
      </c>
      <c r="D347" s="3" t="s">
        <v>23</v>
      </c>
      <c r="E347" s="3"/>
      <c r="F347" s="3" t="s">
        <v>10</v>
      </c>
      <c r="G347" s="4">
        <v>853.45</v>
      </c>
    </row>
    <row r="348" spans="2:7" x14ac:dyDescent="0.3">
      <c r="B348" s="12" t="s">
        <v>681</v>
      </c>
      <c r="C348" s="3" t="s">
        <v>682</v>
      </c>
      <c r="D348" s="3" t="s">
        <v>23</v>
      </c>
      <c r="E348" s="3" t="s">
        <v>20</v>
      </c>
      <c r="F348" s="3" t="s">
        <v>10</v>
      </c>
      <c r="G348" s="4">
        <v>849.15</v>
      </c>
    </row>
    <row r="349" spans="2:7" x14ac:dyDescent="0.3">
      <c r="B349" s="12">
        <v>8179</v>
      </c>
      <c r="C349" s="3" t="s">
        <v>683</v>
      </c>
      <c r="D349" s="3" t="s">
        <v>13</v>
      </c>
      <c r="E349" s="3"/>
      <c r="F349" s="3" t="s">
        <v>10</v>
      </c>
      <c r="G349" s="4">
        <v>847.51</v>
      </c>
    </row>
    <row r="350" spans="2:7" x14ac:dyDescent="0.3">
      <c r="B350" s="12">
        <v>500123</v>
      </c>
      <c r="C350" s="3" t="s">
        <v>684</v>
      </c>
      <c r="D350" s="3" t="s">
        <v>13</v>
      </c>
      <c r="E350" s="3"/>
      <c r="F350" s="3" t="s">
        <v>10</v>
      </c>
      <c r="G350" s="4">
        <v>838.3</v>
      </c>
    </row>
    <row r="351" spans="2:7" x14ac:dyDescent="0.3">
      <c r="B351" s="12" t="s">
        <v>685</v>
      </c>
      <c r="C351" s="3" t="s">
        <v>686</v>
      </c>
      <c r="D351" s="3" t="s">
        <v>9</v>
      </c>
      <c r="E351" s="3"/>
      <c r="F351" s="3" t="s">
        <v>10</v>
      </c>
      <c r="G351" s="4">
        <v>837.01</v>
      </c>
    </row>
    <row r="352" spans="2:7" x14ac:dyDescent="0.3">
      <c r="B352" s="12" t="s">
        <v>687</v>
      </c>
      <c r="C352" s="3" t="s">
        <v>688</v>
      </c>
      <c r="D352" s="3" t="s">
        <v>9</v>
      </c>
      <c r="E352" s="3"/>
      <c r="F352" s="3" t="s">
        <v>10</v>
      </c>
      <c r="G352" s="4">
        <v>827.99</v>
      </c>
    </row>
    <row r="353" spans="2:7" x14ac:dyDescent="0.3">
      <c r="B353" s="12" t="s">
        <v>689</v>
      </c>
      <c r="C353" s="3" t="s">
        <v>690</v>
      </c>
      <c r="D353" s="3" t="s">
        <v>9</v>
      </c>
      <c r="E353" s="3" t="s">
        <v>20</v>
      </c>
      <c r="F353" s="3" t="s">
        <v>10</v>
      </c>
      <c r="G353" s="4">
        <v>822.85</v>
      </c>
    </row>
    <row r="354" spans="2:7" x14ac:dyDescent="0.3">
      <c r="B354" s="12" t="s">
        <v>691</v>
      </c>
      <c r="C354" s="3" t="s">
        <v>692</v>
      </c>
      <c r="D354" s="3" t="s">
        <v>9</v>
      </c>
      <c r="E354" s="3" t="s">
        <v>20</v>
      </c>
      <c r="F354" s="3" t="s">
        <v>10</v>
      </c>
      <c r="G354" s="4">
        <v>795.98</v>
      </c>
    </row>
    <row r="355" spans="2:7" x14ac:dyDescent="0.3">
      <c r="B355" s="12" t="s">
        <v>693</v>
      </c>
      <c r="C355" s="3" t="s">
        <v>694</v>
      </c>
      <c r="D355" s="3" t="s">
        <v>9</v>
      </c>
      <c r="E355" s="3"/>
      <c r="F355" s="3" t="s">
        <v>10</v>
      </c>
      <c r="G355" s="4">
        <v>772.25</v>
      </c>
    </row>
    <row r="356" spans="2:7" x14ac:dyDescent="0.3">
      <c r="B356" s="12" t="s">
        <v>695</v>
      </c>
      <c r="C356" s="3" t="s">
        <v>696</v>
      </c>
      <c r="D356" s="3" t="s">
        <v>23</v>
      </c>
      <c r="E356" s="3" t="s">
        <v>20</v>
      </c>
      <c r="F356" s="3" t="s">
        <v>10</v>
      </c>
      <c r="G356" s="4">
        <v>766.72</v>
      </c>
    </row>
    <row r="357" spans="2:7" x14ac:dyDescent="0.3">
      <c r="B357" s="12" t="s">
        <v>697</v>
      </c>
      <c r="C357" s="3" t="s">
        <v>698</v>
      </c>
      <c r="D357" s="3" t="s">
        <v>23</v>
      </c>
      <c r="E357" s="3"/>
      <c r="F357" s="3" t="s">
        <v>10</v>
      </c>
      <c r="G357" s="4">
        <v>763.57</v>
      </c>
    </row>
    <row r="358" spans="2:7" x14ac:dyDescent="0.3">
      <c r="B358" s="12" t="s">
        <v>699</v>
      </c>
      <c r="C358" s="3" t="s">
        <v>700</v>
      </c>
      <c r="D358" s="3" t="s">
        <v>9</v>
      </c>
      <c r="E358" s="3"/>
      <c r="F358" s="3" t="s">
        <v>10</v>
      </c>
      <c r="G358" s="4">
        <v>752.09</v>
      </c>
    </row>
    <row r="359" spans="2:7" x14ac:dyDescent="0.3">
      <c r="B359" s="12" t="s">
        <v>145</v>
      </c>
      <c r="C359" s="3" t="s">
        <v>701</v>
      </c>
      <c r="D359" s="3" t="s">
        <v>9</v>
      </c>
      <c r="E359" s="3"/>
      <c r="F359" s="3" t="s">
        <v>10</v>
      </c>
      <c r="G359" s="4">
        <v>745.01</v>
      </c>
    </row>
    <row r="360" spans="2:7" x14ac:dyDescent="0.3">
      <c r="B360" s="12" t="s">
        <v>702</v>
      </c>
      <c r="C360" s="3" t="s">
        <v>703</v>
      </c>
      <c r="D360" s="3" t="s">
        <v>13</v>
      </c>
      <c r="E360" s="3"/>
      <c r="F360" s="3" t="s">
        <v>10</v>
      </c>
      <c r="G360" s="4">
        <v>729.09</v>
      </c>
    </row>
    <row r="361" spans="2:7" x14ac:dyDescent="0.3">
      <c r="B361" s="12" t="s">
        <v>704</v>
      </c>
      <c r="C361" s="3" t="s">
        <v>705</v>
      </c>
      <c r="D361" s="3" t="s">
        <v>13</v>
      </c>
      <c r="E361" s="3"/>
      <c r="F361" s="3" t="s">
        <v>10</v>
      </c>
      <c r="G361" s="4">
        <v>726.81</v>
      </c>
    </row>
    <row r="362" spans="2:7" x14ac:dyDescent="0.3">
      <c r="B362" s="12" t="s">
        <v>706</v>
      </c>
      <c r="C362" s="3" t="s">
        <v>707</v>
      </c>
      <c r="D362" s="3" t="s">
        <v>9</v>
      </c>
      <c r="E362" s="3"/>
      <c r="F362" s="3" t="s">
        <v>10</v>
      </c>
      <c r="G362" s="4">
        <v>724.89</v>
      </c>
    </row>
    <row r="363" spans="2:7" x14ac:dyDescent="0.3">
      <c r="B363" s="12" t="s">
        <v>708</v>
      </c>
      <c r="C363" s="3" t="s">
        <v>709</v>
      </c>
      <c r="D363" s="3" t="s">
        <v>23</v>
      </c>
      <c r="E363" s="3"/>
      <c r="F363" s="3" t="s">
        <v>10</v>
      </c>
      <c r="G363" s="4">
        <v>724.52</v>
      </c>
    </row>
    <row r="364" spans="2:7" x14ac:dyDescent="0.3">
      <c r="B364" s="12" t="s">
        <v>710</v>
      </c>
      <c r="C364" s="3" t="s">
        <v>711</v>
      </c>
      <c r="D364" s="3" t="s">
        <v>23</v>
      </c>
      <c r="E364" s="3" t="s">
        <v>20</v>
      </c>
      <c r="F364" s="3" t="s">
        <v>10</v>
      </c>
      <c r="G364" s="4">
        <v>716.87</v>
      </c>
    </row>
    <row r="365" spans="2:7" x14ac:dyDescent="0.3">
      <c r="B365" s="12" t="s">
        <v>712</v>
      </c>
      <c r="C365" s="3" t="s">
        <v>713</v>
      </c>
      <c r="D365" s="3" t="s">
        <v>13</v>
      </c>
      <c r="E365" s="3"/>
      <c r="F365" s="3" t="s">
        <v>10</v>
      </c>
      <c r="G365" s="4">
        <v>708.75</v>
      </c>
    </row>
    <row r="366" spans="2:7" x14ac:dyDescent="0.3">
      <c r="B366" s="12" t="s">
        <v>714</v>
      </c>
      <c r="C366" s="3" t="s">
        <v>715</v>
      </c>
      <c r="D366" s="3" t="s">
        <v>13</v>
      </c>
      <c r="E366" s="3"/>
      <c r="F366" s="3" t="s">
        <v>10</v>
      </c>
      <c r="G366" s="4">
        <v>686.05</v>
      </c>
    </row>
    <row r="367" spans="2:7" x14ac:dyDescent="0.3">
      <c r="B367" s="12" t="s">
        <v>716</v>
      </c>
      <c r="C367" s="3" t="s">
        <v>717</v>
      </c>
      <c r="D367" s="3" t="s">
        <v>9</v>
      </c>
      <c r="E367" s="3"/>
      <c r="F367" s="3" t="s">
        <v>10</v>
      </c>
      <c r="G367" s="4">
        <v>676.18</v>
      </c>
    </row>
    <row r="368" spans="2:7" x14ac:dyDescent="0.3">
      <c r="B368" s="12" t="s">
        <v>718</v>
      </c>
      <c r="C368" s="3" t="s">
        <v>719</v>
      </c>
      <c r="D368" s="3" t="s">
        <v>9</v>
      </c>
      <c r="E368" s="3"/>
      <c r="F368" s="3" t="s">
        <v>10</v>
      </c>
      <c r="G368" s="4">
        <v>671.84</v>
      </c>
    </row>
    <row r="369" spans="2:7" x14ac:dyDescent="0.3">
      <c r="B369" s="12">
        <v>3487</v>
      </c>
      <c r="C369" s="3" t="s">
        <v>721</v>
      </c>
      <c r="D369" s="3" t="s">
        <v>23</v>
      </c>
      <c r="E369" s="3"/>
      <c r="F369" s="3" t="s">
        <v>10</v>
      </c>
      <c r="G369" s="4">
        <v>665.06</v>
      </c>
    </row>
    <row r="370" spans="2:7" x14ac:dyDescent="0.3">
      <c r="B370" s="12" t="s">
        <v>722</v>
      </c>
      <c r="C370" s="3" t="s">
        <v>723</v>
      </c>
      <c r="D370" s="3" t="s">
        <v>23</v>
      </c>
      <c r="E370" s="3"/>
      <c r="F370" s="3" t="s">
        <v>10</v>
      </c>
      <c r="G370" s="4">
        <v>655.77</v>
      </c>
    </row>
    <row r="371" spans="2:7" x14ac:dyDescent="0.3">
      <c r="B371" s="12" t="s">
        <v>724</v>
      </c>
      <c r="C371" s="3" t="s">
        <v>725</v>
      </c>
      <c r="D371" s="3" t="s">
        <v>9</v>
      </c>
      <c r="E371" s="3" t="s">
        <v>20</v>
      </c>
      <c r="F371" s="3" t="s">
        <v>10</v>
      </c>
      <c r="G371" s="4">
        <v>653.44000000000005</v>
      </c>
    </row>
    <row r="372" spans="2:7" x14ac:dyDescent="0.3">
      <c r="B372" s="12" t="s">
        <v>726</v>
      </c>
      <c r="C372" s="3" t="s">
        <v>727</v>
      </c>
      <c r="D372" s="3" t="s">
        <v>13</v>
      </c>
      <c r="E372" s="3"/>
      <c r="F372" s="3" t="s">
        <v>10</v>
      </c>
      <c r="G372" s="4">
        <v>653.29999999999995</v>
      </c>
    </row>
    <row r="373" spans="2:7" x14ac:dyDescent="0.3">
      <c r="B373" s="12" t="s">
        <v>728</v>
      </c>
      <c r="C373" s="3" t="s">
        <v>729</v>
      </c>
      <c r="D373" s="3" t="s">
        <v>9</v>
      </c>
      <c r="E373" s="3" t="s">
        <v>20</v>
      </c>
      <c r="F373" s="3" t="s">
        <v>10</v>
      </c>
      <c r="G373" s="4">
        <v>649.30999999999995</v>
      </c>
    </row>
    <row r="374" spans="2:7" x14ac:dyDescent="0.3">
      <c r="B374" s="12">
        <v>5310</v>
      </c>
      <c r="C374" s="3" t="s">
        <v>730</v>
      </c>
      <c r="D374" s="3" t="s">
        <v>13</v>
      </c>
      <c r="E374" s="3"/>
      <c r="F374" s="3" t="s">
        <v>10</v>
      </c>
      <c r="G374" s="4">
        <v>648.89</v>
      </c>
    </row>
    <row r="375" spans="2:7" x14ac:dyDescent="0.3">
      <c r="B375" s="12" t="s">
        <v>731</v>
      </c>
      <c r="C375" s="3" t="s">
        <v>732</v>
      </c>
      <c r="D375" s="3" t="s">
        <v>23</v>
      </c>
      <c r="E375" s="3"/>
      <c r="F375" s="3" t="s">
        <v>10</v>
      </c>
      <c r="G375" s="4">
        <v>647.72</v>
      </c>
    </row>
    <row r="376" spans="2:7" x14ac:dyDescent="0.3">
      <c r="B376" s="12" t="s">
        <v>733</v>
      </c>
      <c r="C376" s="3" t="s">
        <v>734</v>
      </c>
      <c r="D376" s="3" t="s">
        <v>23</v>
      </c>
      <c r="E376" s="3" t="s">
        <v>20</v>
      </c>
      <c r="F376" s="3" t="s">
        <v>10</v>
      </c>
      <c r="G376" s="4">
        <v>647.29</v>
      </c>
    </row>
    <row r="377" spans="2:7" x14ac:dyDescent="0.3">
      <c r="B377" s="12" t="s">
        <v>735</v>
      </c>
      <c r="C377" s="3" t="s">
        <v>736</v>
      </c>
      <c r="D377" s="3" t="s">
        <v>23</v>
      </c>
      <c r="E377" s="3" t="s">
        <v>20</v>
      </c>
      <c r="F377" s="3" t="s">
        <v>10</v>
      </c>
      <c r="G377" s="4">
        <v>645.38</v>
      </c>
    </row>
    <row r="378" spans="2:7" x14ac:dyDescent="0.3">
      <c r="B378" s="12">
        <v>8086</v>
      </c>
      <c r="C378" s="3" t="s">
        <v>737</v>
      </c>
      <c r="D378" s="3" t="s">
        <v>9</v>
      </c>
      <c r="E378" s="3"/>
      <c r="F378" s="3" t="s">
        <v>10</v>
      </c>
      <c r="G378" s="4">
        <v>645.25</v>
      </c>
    </row>
    <row r="379" spans="2:7" x14ac:dyDescent="0.3">
      <c r="B379" s="12" t="s">
        <v>738</v>
      </c>
      <c r="C379" s="3" t="s">
        <v>739</v>
      </c>
      <c r="D379" s="3" t="s">
        <v>9</v>
      </c>
      <c r="E379" s="3"/>
      <c r="F379" s="3" t="s">
        <v>10</v>
      </c>
      <c r="G379" s="4">
        <v>641.83000000000004</v>
      </c>
    </row>
    <row r="380" spans="2:7" x14ac:dyDescent="0.3">
      <c r="B380" s="12">
        <v>4991</v>
      </c>
      <c r="C380" s="3" t="s">
        <v>740</v>
      </c>
      <c r="D380" s="3" t="s">
        <v>13</v>
      </c>
      <c r="E380" s="3"/>
      <c r="F380" s="3" t="s">
        <v>10</v>
      </c>
      <c r="G380" s="4">
        <v>638.04999999999995</v>
      </c>
    </row>
    <row r="381" spans="2:7" x14ac:dyDescent="0.3">
      <c r="B381" s="12" t="s">
        <v>741</v>
      </c>
      <c r="C381" s="3" t="s">
        <v>742</v>
      </c>
      <c r="D381" s="3" t="s">
        <v>23</v>
      </c>
      <c r="E381" s="3" t="s">
        <v>16</v>
      </c>
      <c r="F381" s="3" t="s">
        <v>10</v>
      </c>
      <c r="G381" s="4">
        <v>627.62</v>
      </c>
    </row>
    <row r="382" spans="2:7" x14ac:dyDescent="0.3">
      <c r="B382" s="12" t="s">
        <v>743</v>
      </c>
      <c r="C382" s="3" t="s">
        <v>744</v>
      </c>
      <c r="D382" s="3" t="s">
        <v>23</v>
      </c>
      <c r="E382" s="3"/>
      <c r="F382" s="3" t="s">
        <v>10</v>
      </c>
      <c r="G382" s="4">
        <v>625.72</v>
      </c>
    </row>
    <row r="383" spans="2:7" x14ac:dyDescent="0.3">
      <c r="B383" s="12" t="s">
        <v>745</v>
      </c>
      <c r="C383" s="3" t="s">
        <v>746</v>
      </c>
      <c r="D383" s="3" t="s">
        <v>9</v>
      </c>
      <c r="E383" s="3"/>
      <c r="F383" s="3" t="s">
        <v>10</v>
      </c>
      <c r="G383" s="4">
        <v>623.33000000000004</v>
      </c>
    </row>
    <row r="384" spans="2:7" x14ac:dyDescent="0.3">
      <c r="B384" s="12" t="s">
        <v>747</v>
      </c>
      <c r="C384" s="3" t="s">
        <v>748</v>
      </c>
      <c r="D384" s="3" t="s">
        <v>9</v>
      </c>
      <c r="E384" s="3"/>
      <c r="F384" s="3" t="s">
        <v>10</v>
      </c>
      <c r="G384" s="4">
        <v>620.74</v>
      </c>
    </row>
    <row r="385" spans="2:7" x14ac:dyDescent="0.3">
      <c r="B385" s="12" t="s">
        <v>749</v>
      </c>
      <c r="C385" s="3" t="s">
        <v>750</v>
      </c>
      <c r="D385" s="3" t="s">
        <v>13</v>
      </c>
      <c r="E385" s="3"/>
      <c r="F385" s="3" t="s">
        <v>10</v>
      </c>
      <c r="G385" s="4">
        <v>615.65</v>
      </c>
    </row>
    <row r="386" spans="2:7" x14ac:dyDescent="0.3">
      <c r="B386" s="12" t="s">
        <v>751</v>
      </c>
      <c r="C386" s="3" t="s">
        <v>752</v>
      </c>
      <c r="D386" s="3" t="s">
        <v>23</v>
      </c>
      <c r="E386" s="3" t="s">
        <v>16</v>
      </c>
      <c r="F386" s="3" t="s">
        <v>10</v>
      </c>
      <c r="G386" s="4">
        <v>615.52</v>
      </c>
    </row>
    <row r="387" spans="2:7" x14ac:dyDescent="0.3">
      <c r="B387" s="12" t="s">
        <v>753</v>
      </c>
      <c r="C387" s="3" t="s">
        <v>754</v>
      </c>
      <c r="D387" s="3" t="s">
        <v>9</v>
      </c>
      <c r="E387" s="3"/>
      <c r="F387" s="3" t="s">
        <v>10</v>
      </c>
      <c r="G387" s="4">
        <v>607.58000000000004</v>
      </c>
    </row>
    <row r="388" spans="2:7" x14ac:dyDescent="0.3">
      <c r="B388" s="12" t="s">
        <v>755</v>
      </c>
      <c r="C388" s="3" t="s">
        <v>756</v>
      </c>
      <c r="D388" s="3" t="s">
        <v>13</v>
      </c>
      <c r="E388" s="3"/>
      <c r="F388" s="3" t="s">
        <v>10</v>
      </c>
      <c r="G388" s="4">
        <v>606.16999999999996</v>
      </c>
    </row>
    <row r="389" spans="2:7" x14ac:dyDescent="0.3">
      <c r="B389" s="12">
        <v>6036</v>
      </c>
      <c r="C389" s="3" t="s">
        <v>757</v>
      </c>
      <c r="D389" s="3" t="s">
        <v>13</v>
      </c>
      <c r="E389" s="3"/>
      <c r="F389" s="3" t="s">
        <v>10</v>
      </c>
      <c r="G389" s="4">
        <v>603.52</v>
      </c>
    </row>
    <row r="390" spans="2:7" x14ac:dyDescent="0.3">
      <c r="B390" s="12" t="s">
        <v>758</v>
      </c>
      <c r="C390" s="3" t="s">
        <v>759</v>
      </c>
      <c r="D390" s="3" t="s">
        <v>9</v>
      </c>
      <c r="E390" s="3" t="s">
        <v>16</v>
      </c>
      <c r="F390" s="3" t="s">
        <v>10</v>
      </c>
      <c r="G390" s="4">
        <v>596.84</v>
      </c>
    </row>
    <row r="391" spans="2:7" x14ac:dyDescent="0.3">
      <c r="B391" s="12">
        <v>3010</v>
      </c>
      <c r="C391" s="3" t="s">
        <v>760</v>
      </c>
      <c r="D391" s="3" t="s">
        <v>23</v>
      </c>
      <c r="E391" s="3"/>
      <c r="F391" s="3" t="s">
        <v>10</v>
      </c>
      <c r="G391" s="4">
        <v>595.48</v>
      </c>
    </row>
    <row r="392" spans="2:7" x14ac:dyDescent="0.3">
      <c r="B392" s="12" t="s">
        <v>761</v>
      </c>
      <c r="C392" s="3" t="s">
        <v>762</v>
      </c>
      <c r="D392" s="3" t="s">
        <v>23</v>
      </c>
      <c r="E392" s="3"/>
      <c r="F392" s="3" t="s">
        <v>10</v>
      </c>
      <c r="G392" s="4">
        <v>562.84</v>
      </c>
    </row>
    <row r="393" spans="2:7" x14ac:dyDescent="0.3">
      <c r="B393" s="12" t="s">
        <v>763</v>
      </c>
      <c r="C393" s="3" t="s">
        <v>764</v>
      </c>
      <c r="D393" s="3" t="s">
        <v>23</v>
      </c>
      <c r="E393" s="3"/>
      <c r="F393" s="3" t="s">
        <v>10</v>
      </c>
      <c r="G393" s="4">
        <v>557.21</v>
      </c>
    </row>
    <row r="394" spans="2:7" x14ac:dyDescent="0.3">
      <c r="B394" s="12" t="s">
        <v>765</v>
      </c>
      <c r="C394" s="3" t="s">
        <v>766</v>
      </c>
      <c r="D394" s="3" t="s">
        <v>13</v>
      </c>
      <c r="E394" s="3"/>
      <c r="F394" s="3" t="s">
        <v>10</v>
      </c>
      <c r="G394" s="4">
        <v>552.26</v>
      </c>
    </row>
    <row r="395" spans="2:7" x14ac:dyDescent="0.3">
      <c r="B395" s="12" t="s">
        <v>767</v>
      </c>
      <c r="C395" s="3" t="s">
        <v>768</v>
      </c>
      <c r="D395" s="3" t="s">
        <v>9</v>
      </c>
      <c r="E395" s="3"/>
      <c r="F395" s="3" t="s">
        <v>10</v>
      </c>
      <c r="G395" s="4">
        <v>552.15</v>
      </c>
    </row>
    <row r="396" spans="2:7" x14ac:dyDescent="0.3">
      <c r="B396" s="12" t="s">
        <v>769</v>
      </c>
      <c r="C396" s="3" t="s">
        <v>770</v>
      </c>
      <c r="D396" s="3" t="s">
        <v>9</v>
      </c>
      <c r="E396" s="3" t="s">
        <v>16</v>
      </c>
      <c r="F396" s="3" t="s">
        <v>10</v>
      </c>
      <c r="G396" s="4">
        <v>548.89</v>
      </c>
    </row>
    <row r="397" spans="2:7" x14ac:dyDescent="0.3">
      <c r="B397" s="12" t="s">
        <v>771</v>
      </c>
      <c r="C397" s="3" t="s">
        <v>772</v>
      </c>
      <c r="D397" s="3" t="s">
        <v>13</v>
      </c>
      <c r="E397" s="3"/>
      <c r="F397" s="3" t="s">
        <v>10</v>
      </c>
      <c r="G397" s="4">
        <v>545.30999999999995</v>
      </c>
    </row>
    <row r="398" spans="2:7" x14ac:dyDescent="0.3">
      <c r="B398" s="12" t="s">
        <v>773</v>
      </c>
      <c r="C398" s="3" t="s">
        <v>774</v>
      </c>
      <c r="D398" s="3" t="s">
        <v>23</v>
      </c>
      <c r="E398" s="3" t="s">
        <v>20</v>
      </c>
      <c r="F398" s="3" t="s">
        <v>10</v>
      </c>
      <c r="G398" s="4">
        <v>542.07000000000005</v>
      </c>
    </row>
    <row r="399" spans="2:7" x14ac:dyDescent="0.3">
      <c r="B399" s="12" t="s">
        <v>775</v>
      </c>
      <c r="C399" s="3" t="s">
        <v>776</v>
      </c>
      <c r="D399" s="3" t="s">
        <v>9</v>
      </c>
      <c r="E399" s="3"/>
      <c r="F399" s="3" t="s">
        <v>10</v>
      </c>
      <c r="G399" s="4">
        <v>540.9</v>
      </c>
    </row>
    <row r="400" spans="2:7" x14ac:dyDescent="0.3">
      <c r="B400" s="12" t="s">
        <v>777</v>
      </c>
      <c r="C400" s="3" t="s">
        <v>778</v>
      </c>
      <c r="D400" s="3" t="s">
        <v>13</v>
      </c>
      <c r="E400" s="3"/>
      <c r="F400" s="3" t="s">
        <v>10</v>
      </c>
      <c r="G400" s="4">
        <v>537.66999999999996</v>
      </c>
    </row>
    <row r="401" spans="2:7" x14ac:dyDescent="0.3">
      <c r="B401" s="12" t="s">
        <v>779</v>
      </c>
      <c r="C401" s="3" t="s">
        <v>780</v>
      </c>
      <c r="D401" s="3" t="s">
        <v>23</v>
      </c>
      <c r="E401" s="3"/>
      <c r="F401" s="3" t="s">
        <v>10</v>
      </c>
      <c r="G401" s="4">
        <v>537.16999999999996</v>
      </c>
    </row>
    <row r="402" spans="2:7" x14ac:dyDescent="0.3">
      <c r="B402" s="12" t="s">
        <v>781</v>
      </c>
      <c r="C402" s="3" t="s">
        <v>782</v>
      </c>
      <c r="D402" s="3" t="s">
        <v>9</v>
      </c>
      <c r="E402" s="3"/>
      <c r="F402" s="3" t="s">
        <v>10</v>
      </c>
      <c r="G402" s="4">
        <v>528.34</v>
      </c>
    </row>
    <row r="403" spans="2:7" x14ac:dyDescent="0.3">
      <c r="B403" s="12" t="s">
        <v>783</v>
      </c>
      <c r="C403" s="3" t="s">
        <v>784</v>
      </c>
      <c r="D403" s="3" t="s">
        <v>9</v>
      </c>
      <c r="E403" s="3"/>
      <c r="F403" s="3" t="s">
        <v>10</v>
      </c>
      <c r="G403" s="4">
        <v>525.92999999999995</v>
      </c>
    </row>
    <row r="404" spans="2:7" x14ac:dyDescent="0.3">
      <c r="B404" s="12" t="s">
        <v>785</v>
      </c>
      <c r="C404" s="3" t="s">
        <v>786</v>
      </c>
      <c r="D404" s="3" t="s">
        <v>9</v>
      </c>
      <c r="E404" s="3"/>
      <c r="F404" s="3" t="s">
        <v>10</v>
      </c>
      <c r="G404" s="4">
        <v>525.33000000000004</v>
      </c>
    </row>
    <row r="405" spans="2:7" x14ac:dyDescent="0.3">
      <c r="B405" s="12" t="s">
        <v>787</v>
      </c>
      <c r="C405" s="3" t="s">
        <v>788</v>
      </c>
      <c r="D405" s="3" t="s">
        <v>9</v>
      </c>
      <c r="E405" s="3" t="s">
        <v>20</v>
      </c>
      <c r="F405" s="3" t="s">
        <v>10</v>
      </c>
      <c r="G405" s="4">
        <v>525.15</v>
      </c>
    </row>
    <row r="406" spans="2:7" x14ac:dyDescent="0.3">
      <c r="B406" s="12">
        <v>1320</v>
      </c>
      <c r="C406" s="3" t="s">
        <v>789</v>
      </c>
      <c r="D406" s="3" t="s">
        <v>9</v>
      </c>
      <c r="E406" s="3"/>
      <c r="F406" s="3" t="s">
        <v>10</v>
      </c>
      <c r="G406" s="4">
        <v>524.30999999999995</v>
      </c>
    </row>
    <row r="407" spans="2:7" x14ac:dyDescent="0.3">
      <c r="B407" s="12" t="s">
        <v>790</v>
      </c>
      <c r="C407" s="3" t="s">
        <v>791</v>
      </c>
      <c r="D407" s="3" t="s">
        <v>9</v>
      </c>
      <c r="E407" s="3"/>
      <c r="F407" s="3" t="s">
        <v>10</v>
      </c>
      <c r="G407" s="4">
        <v>521.26</v>
      </c>
    </row>
    <row r="408" spans="2:7" x14ac:dyDescent="0.3">
      <c r="B408" s="12" t="s">
        <v>792</v>
      </c>
      <c r="C408" s="3" t="s">
        <v>793</v>
      </c>
      <c r="D408" s="3" t="s">
        <v>23</v>
      </c>
      <c r="E408" s="3"/>
      <c r="F408" s="3" t="s">
        <v>10</v>
      </c>
      <c r="G408" s="4">
        <v>520.35</v>
      </c>
    </row>
    <row r="409" spans="2:7" x14ac:dyDescent="0.3">
      <c r="B409" s="12" t="s">
        <v>794</v>
      </c>
      <c r="C409" s="3" t="s">
        <v>795</v>
      </c>
      <c r="D409" s="3" t="s">
        <v>9</v>
      </c>
      <c r="E409" s="3"/>
      <c r="F409" s="3" t="s">
        <v>10</v>
      </c>
      <c r="G409" s="4">
        <v>517.23</v>
      </c>
    </row>
    <row r="410" spans="2:7" x14ac:dyDescent="0.3">
      <c r="B410" s="12" t="s">
        <v>796</v>
      </c>
      <c r="C410" s="3" t="s">
        <v>797</v>
      </c>
      <c r="D410" s="3" t="s">
        <v>13</v>
      </c>
      <c r="E410" s="3"/>
      <c r="F410" s="3" t="s">
        <v>10</v>
      </c>
      <c r="G410" s="4">
        <v>507.76</v>
      </c>
    </row>
  </sheetData>
  <autoFilter ref="B3:G410" xr:uid="{00000000-0009-0000-0000-000000000000}">
    <sortState xmlns:xlrd2="http://schemas.microsoft.com/office/spreadsheetml/2017/richdata2" ref="B4:G410">
      <sortCondition descending="1" ref="G3:G410"/>
    </sortState>
  </autoFilter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216"/>
  <sheetViews>
    <sheetView workbookViewId="0">
      <selection activeCell="D21" sqref="A21:XFD21"/>
    </sheetView>
  </sheetViews>
  <sheetFormatPr defaultRowHeight="16.5" x14ac:dyDescent="0.3"/>
  <cols>
    <col min="1" max="1" width="3" customWidth="1"/>
    <col min="2" max="2" width="12" style="13" customWidth="1"/>
    <col min="3" max="3" width="14" customWidth="1"/>
    <col min="4" max="4" width="34" bestFit="1" customWidth="1"/>
    <col min="5" max="6" width="12" customWidth="1"/>
    <col min="7" max="23" width="9" customWidth="1"/>
    <col min="24" max="27" width="10" customWidth="1"/>
  </cols>
  <sheetData>
    <row r="2" spans="2:27" x14ac:dyDescent="0.3">
      <c r="B2" s="45" t="s">
        <v>1</v>
      </c>
      <c r="C2" s="45" t="s">
        <v>798</v>
      </c>
      <c r="D2" s="45" t="s">
        <v>799</v>
      </c>
      <c r="E2" s="45" t="s">
        <v>800</v>
      </c>
      <c r="F2" s="45" t="s">
        <v>801</v>
      </c>
      <c r="G2" s="45" t="s">
        <v>802</v>
      </c>
      <c r="H2" s="45" t="s">
        <v>803</v>
      </c>
      <c r="I2" s="45" t="s">
        <v>804</v>
      </c>
      <c r="J2" s="45" t="s">
        <v>805</v>
      </c>
      <c r="K2" s="45" t="s">
        <v>806</v>
      </c>
      <c r="L2" s="45" t="s">
        <v>807</v>
      </c>
      <c r="M2" s="45" t="s">
        <v>808</v>
      </c>
      <c r="N2" s="45" t="s">
        <v>809</v>
      </c>
      <c r="O2" s="45" t="s">
        <v>810</v>
      </c>
      <c r="P2" s="45" t="s">
        <v>811</v>
      </c>
      <c r="Q2" s="45" t="s">
        <v>812</v>
      </c>
      <c r="R2" s="45" t="s">
        <v>813</v>
      </c>
      <c r="S2" s="45" t="s">
        <v>814</v>
      </c>
      <c r="T2" s="45" t="s">
        <v>815</v>
      </c>
      <c r="U2" s="45" t="s">
        <v>816</v>
      </c>
      <c r="V2" s="45" t="s">
        <v>817</v>
      </c>
      <c r="W2" s="45" t="s">
        <v>818</v>
      </c>
      <c r="X2" s="45" t="s">
        <v>815</v>
      </c>
      <c r="Y2" s="45" t="s">
        <v>816</v>
      </c>
      <c r="Z2" s="45" t="s">
        <v>817</v>
      </c>
      <c r="AA2" s="45" t="s">
        <v>818</v>
      </c>
    </row>
    <row r="3" spans="2:27" x14ac:dyDescent="0.3">
      <c r="B3" s="12" t="s">
        <v>202</v>
      </c>
      <c r="C3" s="3" t="s">
        <v>819</v>
      </c>
      <c r="D3" s="3" t="s">
        <v>873</v>
      </c>
      <c r="E3" s="3" t="s">
        <v>821</v>
      </c>
      <c r="F3" s="37">
        <v>2681.1</v>
      </c>
      <c r="G3" s="4">
        <v>0.48</v>
      </c>
      <c r="H3" s="4">
        <v>1.02</v>
      </c>
      <c r="I3" s="4">
        <v>0.72</v>
      </c>
      <c r="J3" s="4">
        <v>0.77</v>
      </c>
      <c r="K3" s="4">
        <v>0.6</v>
      </c>
      <c r="L3" s="4">
        <v>1.1399999999999999</v>
      </c>
      <c r="M3" s="4">
        <v>0.78</v>
      </c>
      <c r="N3" s="4">
        <v>0.27</v>
      </c>
      <c r="O3" s="4">
        <v>0.55000000000000004</v>
      </c>
      <c r="P3" s="4">
        <v>0.97</v>
      </c>
      <c r="Q3" s="4">
        <v>0.32</v>
      </c>
      <c r="R3" s="4">
        <v>0.37</v>
      </c>
      <c r="S3" s="4">
        <v>0.28999999999999998</v>
      </c>
      <c r="T3" s="4">
        <v>0.02</v>
      </c>
      <c r="U3" s="4">
        <v>0</v>
      </c>
      <c r="V3" s="4">
        <v>0.06</v>
      </c>
      <c r="W3" s="6">
        <v>10.210000000000001</v>
      </c>
      <c r="X3" s="10">
        <v>-0.48717948717948711</v>
      </c>
      <c r="Y3" s="8">
        <v>-0.32000000000000012</v>
      </c>
      <c r="Z3" s="8">
        <v>-0.45588235294117641</v>
      </c>
      <c r="AA3" s="9">
        <v>26.810810810810811</v>
      </c>
    </row>
    <row r="4" spans="2:27" x14ac:dyDescent="0.3">
      <c r="B4" s="12" t="s">
        <v>728</v>
      </c>
      <c r="C4" s="3" t="s">
        <v>819</v>
      </c>
      <c r="D4" s="3" t="s">
        <v>820</v>
      </c>
      <c r="E4" s="3" t="s">
        <v>821</v>
      </c>
      <c r="F4" s="37">
        <v>49.3</v>
      </c>
      <c r="G4" s="4">
        <v>68.7</v>
      </c>
      <c r="H4" s="4">
        <v>-18.78</v>
      </c>
      <c r="I4" s="4">
        <v>4.79</v>
      </c>
      <c r="J4" s="4">
        <v>-60.43</v>
      </c>
      <c r="K4" s="6">
        <v>5.29</v>
      </c>
      <c r="L4" s="4">
        <v>71.260000000000005</v>
      </c>
      <c r="M4" s="6">
        <v>33.25</v>
      </c>
      <c r="N4" s="6">
        <v>-4.3499999999999996</v>
      </c>
      <c r="O4" s="6">
        <v>110.05</v>
      </c>
      <c r="P4" s="4">
        <v>28.85</v>
      </c>
      <c r="Q4" s="4">
        <v>32.270000000000003</v>
      </c>
      <c r="R4" s="6">
        <v>81.489999999999995</v>
      </c>
      <c r="S4" s="4">
        <v>0.69</v>
      </c>
      <c r="T4" s="6">
        <v>78.17</v>
      </c>
      <c r="U4" s="4">
        <v>45.12</v>
      </c>
      <c r="V4" s="4">
        <v>93.08</v>
      </c>
      <c r="W4" s="6">
        <v>107.72</v>
      </c>
      <c r="X4" s="7">
        <v>0.34417306350314009</v>
      </c>
      <c r="Y4" s="8">
        <v>6.6711660263731654E-2</v>
      </c>
      <c r="Z4" s="8">
        <v>5.6407261400691189E-2</v>
      </c>
      <c r="AA4" s="9">
        <v>0.49308946834976491</v>
      </c>
    </row>
    <row r="5" spans="2:27" x14ac:dyDescent="0.3">
      <c r="B5" s="12" t="s">
        <v>224</v>
      </c>
      <c r="C5" s="3" t="s">
        <v>819</v>
      </c>
      <c r="D5" s="3" t="s">
        <v>822</v>
      </c>
      <c r="E5" s="3" t="s">
        <v>821</v>
      </c>
      <c r="F5" s="37">
        <v>34.9</v>
      </c>
      <c r="G5" s="4">
        <v>1725</v>
      </c>
      <c r="H5" s="4">
        <v>2221</v>
      </c>
      <c r="I5" s="4">
        <v>6694</v>
      </c>
      <c r="J5" s="4">
        <v>2962</v>
      </c>
      <c r="K5" s="4">
        <v>-2014</v>
      </c>
      <c r="L5" s="4">
        <v>-764</v>
      </c>
      <c r="M5" s="4">
        <v>380</v>
      </c>
      <c r="N5" s="4">
        <v>2585</v>
      </c>
      <c r="O5" s="6">
        <v>882</v>
      </c>
      <c r="P5" s="6">
        <v>-322</v>
      </c>
      <c r="Q5" s="6">
        <v>1270</v>
      </c>
      <c r="R5" s="4">
        <v>2157</v>
      </c>
      <c r="S5" s="4">
        <v>245</v>
      </c>
      <c r="T5" s="6">
        <v>3750</v>
      </c>
      <c r="U5" s="4">
        <v>-433</v>
      </c>
      <c r="V5" s="4">
        <v>1435</v>
      </c>
      <c r="W5" s="6">
        <v>1988</v>
      </c>
      <c r="X5" s="7">
        <v>1.2155223880597019</v>
      </c>
      <c r="Y5" s="8">
        <v>-0.22945297763406089</v>
      </c>
      <c r="Z5" s="8">
        <v>-0.12624584717607981</v>
      </c>
      <c r="AA5" s="9">
        <v>0.34880928557134272</v>
      </c>
    </row>
    <row r="6" spans="2:27" x14ac:dyDescent="0.3">
      <c r="B6" s="12" t="s">
        <v>70</v>
      </c>
      <c r="C6" s="3" t="s">
        <v>819</v>
      </c>
      <c r="D6" s="3" t="s">
        <v>823</v>
      </c>
      <c r="E6" s="3" t="s">
        <v>821</v>
      </c>
      <c r="F6" s="37">
        <v>34</v>
      </c>
      <c r="G6" s="4">
        <v>0</v>
      </c>
      <c r="H6" s="4">
        <v>643.6</v>
      </c>
      <c r="I6" s="4">
        <v>612.79999999999995</v>
      </c>
      <c r="J6" s="4">
        <v>610.1</v>
      </c>
      <c r="K6" s="4">
        <v>0</v>
      </c>
      <c r="L6" s="4">
        <v>651.6</v>
      </c>
      <c r="M6" s="4">
        <v>675</v>
      </c>
      <c r="N6" s="4">
        <v>677.6</v>
      </c>
      <c r="O6" s="6">
        <v>677.2</v>
      </c>
      <c r="P6" s="4">
        <v>704</v>
      </c>
      <c r="Q6" s="4">
        <v>716.8</v>
      </c>
      <c r="R6" s="4">
        <v>725.3</v>
      </c>
      <c r="S6" s="4">
        <v>0</v>
      </c>
      <c r="T6" s="4">
        <v>753</v>
      </c>
      <c r="U6" s="4">
        <v>772.6</v>
      </c>
      <c r="V6" s="4">
        <v>768.3</v>
      </c>
      <c r="W6" s="6">
        <v>778.8</v>
      </c>
      <c r="X6" s="10">
        <v>2.2832114067377951E-2</v>
      </c>
      <c r="Y6" s="8">
        <v>2.5420254202542129E-2</v>
      </c>
      <c r="Z6" s="8">
        <v>1.9103469723221741E-2</v>
      </c>
      <c r="AA6" s="9">
        <v>0.33950913291773821</v>
      </c>
    </row>
    <row r="7" spans="2:27" x14ac:dyDescent="0.3">
      <c r="B7" s="12" t="s">
        <v>184</v>
      </c>
      <c r="C7" s="3" t="s">
        <v>819</v>
      </c>
      <c r="D7" s="3" t="s">
        <v>824</v>
      </c>
      <c r="E7" s="3" t="s">
        <v>821</v>
      </c>
      <c r="F7" s="37">
        <v>27.7</v>
      </c>
      <c r="G7" s="4">
        <v>0</v>
      </c>
      <c r="H7" s="4">
        <v>265</v>
      </c>
      <c r="I7" s="4">
        <v>232.1</v>
      </c>
      <c r="J7" s="4">
        <v>254.5</v>
      </c>
      <c r="K7" s="6">
        <v>207.2</v>
      </c>
      <c r="L7" s="4">
        <v>226.2</v>
      </c>
      <c r="M7" s="4">
        <v>238.8</v>
      </c>
      <c r="N7" s="4">
        <v>224.5</v>
      </c>
      <c r="O7" s="6">
        <v>297.60000000000002</v>
      </c>
      <c r="P7" s="6">
        <v>338.9</v>
      </c>
      <c r="Q7" s="6">
        <v>385.3</v>
      </c>
      <c r="R7" s="6">
        <v>438.9</v>
      </c>
      <c r="S7" s="6">
        <v>469.9</v>
      </c>
      <c r="T7" s="4">
        <v>477.1</v>
      </c>
      <c r="U7" s="6">
        <v>580.9</v>
      </c>
      <c r="V7" s="6">
        <v>706.7</v>
      </c>
      <c r="W7" s="6">
        <v>1088</v>
      </c>
      <c r="X7" s="10">
        <v>8.4629516227801682E-2</v>
      </c>
      <c r="Y7" s="9">
        <v>0.1104336043360432</v>
      </c>
      <c r="Z7" s="9">
        <v>0.1361602603213341</v>
      </c>
      <c r="AA7" s="9">
        <v>0.27660431397118052</v>
      </c>
    </row>
    <row r="8" spans="2:27" x14ac:dyDescent="0.3">
      <c r="B8" s="12" t="s">
        <v>188</v>
      </c>
      <c r="C8" s="3" t="s">
        <v>819</v>
      </c>
      <c r="D8" s="3" t="s">
        <v>824</v>
      </c>
      <c r="E8" s="3" t="s">
        <v>821</v>
      </c>
      <c r="F8" s="37">
        <v>21.7</v>
      </c>
      <c r="G8" s="4">
        <v>207.88</v>
      </c>
      <c r="H8" s="4">
        <v>188.4</v>
      </c>
      <c r="I8" s="4">
        <v>204.12</v>
      </c>
      <c r="J8" s="4">
        <v>182.99</v>
      </c>
      <c r="K8" s="4">
        <v>210.12</v>
      </c>
      <c r="L8" s="4">
        <v>187.3</v>
      </c>
      <c r="M8" s="4">
        <v>177.24</v>
      </c>
      <c r="N8" s="4">
        <v>194.58</v>
      </c>
      <c r="O8" s="4">
        <v>262.08999999999997</v>
      </c>
      <c r="P8" s="4">
        <v>213.06</v>
      </c>
      <c r="Q8" s="4">
        <v>222.03</v>
      </c>
      <c r="R8" s="6">
        <v>313.48</v>
      </c>
      <c r="S8" s="4">
        <v>305.44</v>
      </c>
      <c r="T8" s="6">
        <v>360.06</v>
      </c>
      <c r="U8" s="6">
        <v>480.65</v>
      </c>
      <c r="V8" s="6">
        <v>554.57000000000005</v>
      </c>
      <c r="W8" s="6">
        <v>674.85</v>
      </c>
      <c r="X8" s="7">
        <v>0.13946736748228189</v>
      </c>
      <c r="Y8" s="9">
        <v>0.21533542601643621</v>
      </c>
      <c r="Z8" s="9">
        <v>0.1651719956427313</v>
      </c>
      <c r="AA8" s="9">
        <v>0.21720800602097931</v>
      </c>
    </row>
    <row r="9" spans="2:27" x14ac:dyDescent="0.3">
      <c r="B9" s="12" t="s">
        <v>165</v>
      </c>
      <c r="C9" s="3" t="s">
        <v>819</v>
      </c>
      <c r="D9" s="3" t="s">
        <v>824</v>
      </c>
      <c r="E9" s="3" t="s">
        <v>821</v>
      </c>
      <c r="F9" s="37">
        <v>20.6</v>
      </c>
      <c r="G9" s="4">
        <v>166.16</v>
      </c>
      <c r="H9" s="4">
        <v>160.13</v>
      </c>
      <c r="I9" s="4">
        <v>145.02000000000001</v>
      </c>
      <c r="J9" s="4">
        <v>130.31</v>
      </c>
      <c r="K9" s="4">
        <v>160.72</v>
      </c>
      <c r="L9" s="4">
        <v>168.4</v>
      </c>
      <c r="M9" s="4">
        <v>142.77000000000001</v>
      </c>
      <c r="N9" s="4">
        <v>136.94999999999999</v>
      </c>
      <c r="O9" s="4">
        <v>150.31</v>
      </c>
      <c r="P9" s="4">
        <v>147.44999999999999</v>
      </c>
      <c r="Q9" s="4">
        <v>172.52</v>
      </c>
      <c r="R9" s="4">
        <v>192.32</v>
      </c>
      <c r="S9" s="4">
        <v>200.49</v>
      </c>
      <c r="T9" s="4">
        <v>191.68</v>
      </c>
      <c r="U9" s="4">
        <v>207.44</v>
      </c>
      <c r="V9" s="4">
        <v>249.65</v>
      </c>
      <c r="W9" s="6">
        <v>375.32</v>
      </c>
      <c r="X9" s="10">
        <v>6.205280731782592E-2</v>
      </c>
      <c r="Y9" s="8">
        <v>4.6128849024451579E-2</v>
      </c>
      <c r="Z9" s="8">
        <v>7.2392761986539211E-2</v>
      </c>
      <c r="AA9" s="9">
        <v>0.20586157360525631</v>
      </c>
    </row>
    <row r="10" spans="2:27" x14ac:dyDescent="0.3">
      <c r="B10" s="12" t="s">
        <v>656</v>
      </c>
      <c r="C10" s="3" t="s">
        <v>819</v>
      </c>
      <c r="D10" s="3" t="s">
        <v>820</v>
      </c>
      <c r="E10" s="3" t="s">
        <v>821</v>
      </c>
      <c r="F10" s="37">
        <v>16.899999999999999</v>
      </c>
      <c r="G10" s="4">
        <v>78.27</v>
      </c>
      <c r="H10" s="4">
        <v>-49.68</v>
      </c>
      <c r="I10" s="4">
        <v>-61.45</v>
      </c>
      <c r="J10" s="4">
        <v>-17.79</v>
      </c>
      <c r="K10" s="6">
        <v>32.68</v>
      </c>
      <c r="L10" s="4">
        <v>110.54</v>
      </c>
      <c r="M10" s="6">
        <v>10.85</v>
      </c>
      <c r="N10" s="4">
        <v>-15.63</v>
      </c>
      <c r="O10" s="6">
        <v>128.28</v>
      </c>
      <c r="P10" s="4">
        <v>67.569999999999993</v>
      </c>
      <c r="Q10" s="6">
        <v>79.89</v>
      </c>
      <c r="R10" s="6">
        <v>90.45</v>
      </c>
      <c r="S10" s="4">
        <v>41.7</v>
      </c>
      <c r="T10" s="4">
        <v>80.2</v>
      </c>
      <c r="U10" s="4">
        <v>72.14</v>
      </c>
      <c r="V10" s="4">
        <v>84.97</v>
      </c>
      <c r="W10" s="6">
        <v>88.99</v>
      </c>
      <c r="X10" s="10">
        <v>4.517005829548304E-2</v>
      </c>
      <c r="Y10" s="8">
        <v>-2.6519299206131941E-2</v>
      </c>
      <c r="Z10" s="8">
        <v>-1.9262539983830759E-2</v>
      </c>
      <c r="AA10" s="9">
        <v>0.16949213289846241</v>
      </c>
    </row>
    <row r="11" spans="2:27" x14ac:dyDescent="0.3">
      <c r="B11" s="12" t="s">
        <v>163</v>
      </c>
      <c r="C11" s="3" t="s">
        <v>819</v>
      </c>
      <c r="D11" s="3" t="s">
        <v>825</v>
      </c>
      <c r="E11" s="3" t="s">
        <v>821</v>
      </c>
      <c r="F11" s="37">
        <v>16.2</v>
      </c>
      <c r="G11" s="4">
        <v>185.08</v>
      </c>
      <c r="H11" s="4">
        <v>186.5</v>
      </c>
      <c r="I11" s="4">
        <v>191.24</v>
      </c>
      <c r="J11" s="4">
        <v>146.34</v>
      </c>
      <c r="K11" s="4">
        <v>194.83</v>
      </c>
      <c r="L11" s="4">
        <v>199.5</v>
      </c>
      <c r="M11" s="4">
        <v>178.13</v>
      </c>
      <c r="N11" s="4">
        <v>181.91</v>
      </c>
      <c r="O11" s="4">
        <v>160.69</v>
      </c>
      <c r="P11" s="4">
        <v>189.53</v>
      </c>
      <c r="Q11" s="4">
        <v>245.66</v>
      </c>
      <c r="R11" s="4">
        <v>245.09</v>
      </c>
      <c r="S11" s="6">
        <v>249.66</v>
      </c>
      <c r="T11" s="4">
        <v>261.33999999999997</v>
      </c>
      <c r="U11" s="4">
        <v>304.02999999999997</v>
      </c>
      <c r="V11" s="6">
        <v>409.54</v>
      </c>
      <c r="W11" s="6">
        <v>448.11</v>
      </c>
      <c r="X11" s="10">
        <v>7.722003570122804E-2</v>
      </c>
      <c r="Y11" s="8">
        <v>5.8268030945844762E-2</v>
      </c>
      <c r="Z11" s="9">
        <v>0.15512394823227571</v>
      </c>
      <c r="AA11" s="9">
        <v>0.16205688527401449</v>
      </c>
    </row>
    <row r="12" spans="2:27" x14ac:dyDescent="0.3">
      <c r="B12" s="12" t="s">
        <v>141</v>
      </c>
      <c r="C12" s="3" t="s">
        <v>819</v>
      </c>
      <c r="D12" s="3" t="s">
        <v>826</v>
      </c>
      <c r="E12" s="3" t="s">
        <v>821</v>
      </c>
      <c r="F12" s="37">
        <v>15.2</v>
      </c>
      <c r="G12" s="4">
        <v>4954</v>
      </c>
      <c r="H12" s="4">
        <v>5402</v>
      </c>
      <c r="I12" s="4">
        <v>7815</v>
      </c>
      <c r="J12" s="4">
        <v>6594</v>
      </c>
      <c r="K12" s="4">
        <v>5918</v>
      </c>
      <c r="L12" s="4">
        <v>5362</v>
      </c>
      <c r="M12" s="4">
        <v>5745</v>
      </c>
      <c r="N12" s="4">
        <v>6320</v>
      </c>
      <c r="O12" s="4">
        <v>5641</v>
      </c>
      <c r="P12" s="4">
        <v>5499</v>
      </c>
      <c r="Q12" s="4">
        <v>6174</v>
      </c>
      <c r="R12" s="4">
        <v>5751</v>
      </c>
      <c r="S12" s="4">
        <v>5269</v>
      </c>
      <c r="T12" s="4">
        <v>5179</v>
      </c>
      <c r="U12" s="4">
        <v>5390</v>
      </c>
      <c r="V12" s="4">
        <v>6032</v>
      </c>
      <c r="W12" s="6">
        <v>8600</v>
      </c>
      <c r="X12" s="10">
        <v>-1.4101264707178429E-2</v>
      </c>
      <c r="Y12" s="8">
        <v>-3.5042238412372077E-2</v>
      </c>
      <c r="Z12" s="8">
        <v>1.3015887720598361E-2</v>
      </c>
      <c r="AA12" s="9">
        <v>0.15230909922267941</v>
      </c>
    </row>
    <row r="13" spans="2:27" x14ac:dyDescent="0.3">
      <c r="B13" s="12" t="s">
        <v>141</v>
      </c>
      <c r="C13" s="3" t="s">
        <v>819</v>
      </c>
      <c r="D13" s="3" t="s">
        <v>826</v>
      </c>
      <c r="E13" s="3" t="s">
        <v>821</v>
      </c>
      <c r="F13" s="37">
        <v>15.2</v>
      </c>
      <c r="G13" s="4">
        <v>4954</v>
      </c>
      <c r="H13" s="4">
        <v>5402</v>
      </c>
      <c r="I13" s="4">
        <v>7815</v>
      </c>
      <c r="J13" s="4">
        <v>6594</v>
      </c>
      <c r="K13" s="4">
        <v>5918</v>
      </c>
      <c r="L13" s="4">
        <v>5362</v>
      </c>
      <c r="M13" s="4">
        <v>5745</v>
      </c>
      <c r="N13" s="4">
        <v>6320</v>
      </c>
      <c r="O13" s="4">
        <v>5641</v>
      </c>
      <c r="P13" s="4">
        <v>5499</v>
      </c>
      <c r="Q13" s="4">
        <v>6174</v>
      </c>
      <c r="R13" s="4">
        <v>5751</v>
      </c>
      <c r="S13" s="4">
        <v>5269</v>
      </c>
      <c r="T13" s="4">
        <v>5179</v>
      </c>
      <c r="U13" s="4">
        <v>5390</v>
      </c>
      <c r="V13" s="4">
        <v>6032</v>
      </c>
      <c r="W13" s="6">
        <v>8600</v>
      </c>
      <c r="X13" s="10">
        <v>-1.4101264707178429E-2</v>
      </c>
      <c r="Y13" s="8">
        <v>-3.5042238412372077E-2</v>
      </c>
      <c r="Z13" s="8">
        <v>1.3015887720598361E-2</v>
      </c>
      <c r="AA13" s="9">
        <v>0.15230909922267941</v>
      </c>
    </row>
    <row r="14" spans="2:27" x14ac:dyDescent="0.3">
      <c r="B14" s="12" t="s">
        <v>413</v>
      </c>
      <c r="C14" s="3" t="s">
        <v>819</v>
      </c>
      <c r="D14" s="3" t="s">
        <v>824</v>
      </c>
      <c r="E14" s="3" t="s">
        <v>904</v>
      </c>
      <c r="F14" s="37">
        <v>14.7</v>
      </c>
      <c r="G14" s="4">
        <v>2499</v>
      </c>
      <c r="I14" s="4">
        <v>2620</v>
      </c>
      <c r="K14" s="4">
        <v>2654</v>
      </c>
      <c r="M14" s="4">
        <v>2842</v>
      </c>
      <c r="O14" s="4">
        <v>2974</v>
      </c>
      <c r="Q14" s="4">
        <v>3266</v>
      </c>
      <c r="S14" s="4">
        <v>3802</v>
      </c>
      <c r="U14" s="4">
        <v>4076</v>
      </c>
      <c r="W14" s="6">
        <v>5053</v>
      </c>
      <c r="X14" s="10">
        <v>5.8250676284941287E-2</v>
      </c>
      <c r="Y14" s="8">
        <v>9.7818677573278778E-2</v>
      </c>
      <c r="Z14" s="8">
        <v>9.5777708786091376E-2</v>
      </c>
      <c r="AA14" s="9">
        <v>0.14725881852953671</v>
      </c>
    </row>
    <row r="15" spans="2:27" x14ac:dyDescent="0.3">
      <c r="B15" s="12" t="s">
        <v>51</v>
      </c>
      <c r="C15" s="3" t="s">
        <v>819</v>
      </c>
      <c r="D15" s="3" t="s">
        <v>827</v>
      </c>
      <c r="E15" s="3" t="s">
        <v>821</v>
      </c>
      <c r="F15" s="37">
        <v>14.5</v>
      </c>
      <c r="G15" s="4">
        <v>7913</v>
      </c>
      <c r="H15" s="4">
        <v>8349</v>
      </c>
      <c r="I15" s="4">
        <v>10676</v>
      </c>
      <c r="J15" s="4">
        <v>9390</v>
      </c>
      <c r="K15" s="4">
        <v>8219</v>
      </c>
      <c r="L15" s="4">
        <v>7225</v>
      </c>
      <c r="M15" s="4">
        <v>6702</v>
      </c>
      <c r="N15" s="4">
        <v>7158</v>
      </c>
      <c r="O15" s="4">
        <v>7172</v>
      </c>
      <c r="P15" s="4">
        <v>5975</v>
      </c>
      <c r="Q15" s="4">
        <v>6817</v>
      </c>
      <c r="R15" s="4">
        <v>7173</v>
      </c>
      <c r="S15" s="4">
        <v>2230</v>
      </c>
      <c r="T15" s="4">
        <v>6803</v>
      </c>
      <c r="U15" s="4">
        <v>6414</v>
      </c>
      <c r="V15" s="4">
        <v>6624</v>
      </c>
      <c r="W15" s="6">
        <v>5423</v>
      </c>
      <c r="X15" s="10">
        <v>3.730569948186524E-2</v>
      </c>
      <c r="Y15" s="8">
        <v>-1.7504234895539209E-2</v>
      </c>
      <c r="Z15" s="8">
        <v>-2.427055702917769E-2</v>
      </c>
      <c r="AA15" s="9">
        <v>0.1446694757827012</v>
      </c>
    </row>
    <row r="16" spans="2:27" x14ac:dyDescent="0.3">
      <c r="B16" s="12" t="s">
        <v>247</v>
      </c>
      <c r="C16" s="3" t="s">
        <v>819</v>
      </c>
      <c r="D16" s="3" t="s">
        <v>828</v>
      </c>
      <c r="E16" s="3" t="s">
        <v>821</v>
      </c>
      <c r="F16" s="37">
        <v>14.2</v>
      </c>
      <c r="G16" s="4">
        <v>69.760000000000005</v>
      </c>
      <c r="H16" s="4">
        <v>70.78</v>
      </c>
      <c r="I16" s="4">
        <v>73.41</v>
      </c>
      <c r="J16" s="4">
        <v>76.55</v>
      </c>
      <c r="K16" s="4">
        <v>82.69</v>
      </c>
      <c r="L16" s="4">
        <v>84.61</v>
      </c>
      <c r="M16" s="4">
        <v>89.88</v>
      </c>
      <c r="N16" s="4">
        <v>94.66</v>
      </c>
      <c r="O16" s="4">
        <v>99.02</v>
      </c>
      <c r="P16" s="4">
        <v>102.72</v>
      </c>
      <c r="Q16" s="4">
        <v>106.79</v>
      </c>
      <c r="R16" s="4">
        <v>115.83</v>
      </c>
      <c r="S16" s="4">
        <v>126.47</v>
      </c>
      <c r="T16" s="4">
        <v>126.86</v>
      </c>
      <c r="U16" s="6">
        <v>181.94</v>
      </c>
      <c r="V16" s="6">
        <v>205.11</v>
      </c>
      <c r="W16" s="6">
        <v>217.46</v>
      </c>
      <c r="X16" s="10">
        <v>5.3429538965494412E-2</v>
      </c>
      <c r="Y16" s="9">
        <v>0.15789473684210531</v>
      </c>
      <c r="Z16" s="9">
        <v>0.16200326619488289</v>
      </c>
      <c r="AA16" s="9">
        <v>0.1420875105406165</v>
      </c>
    </row>
    <row r="17" spans="2:27" x14ac:dyDescent="0.3">
      <c r="B17" s="12" t="s">
        <v>309</v>
      </c>
      <c r="C17" s="3" t="s">
        <v>819</v>
      </c>
      <c r="D17" s="3" t="s">
        <v>824</v>
      </c>
      <c r="E17" s="3" t="s">
        <v>821</v>
      </c>
      <c r="F17" s="37">
        <v>13.9</v>
      </c>
      <c r="G17" s="4">
        <v>407.92</v>
      </c>
      <c r="H17" s="4">
        <v>355.45</v>
      </c>
      <c r="I17" s="4">
        <v>319.58</v>
      </c>
      <c r="J17" s="4">
        <v>166.63</v>
      </c>
      <c r="K17" s="4">
        <v>306.38</v>
      </c>
      <c r="L17" s="4">
        <v>314.61</v>
      </c>
      <c r="M17" s="4">
        <v>301.02999999999997</v>
      </c>
      <c r="N17" s="6">
        <v>385.39</v>
      </c>
      <c r="O17" s="4">
        <v>425.9</v>
      </c>
      <c r="P17" s="4">
        <v>230.23</v>
      </c>
      <c r="Q17" s="4">
        <v>184.84</v>
      </c>
      <c r="R17" s="4">
        <v>257.36</v>
      </c>
      <c r="S17" s="4">
        <v>323.19</v>
      </c>
      <c r="T17" s="4">
        <v>316.62</v>
      </c>
      <c r="U17" s="6">
        <v>405.46</v>
      </c>
      <c r="V17" s="4">
        <v>385.84</v>
      </c>
      <c r="W17" s="6">
        <v>521.73</v>
      </c>
      <c r="X17" s="10">
        <v>8.677005283140149E-2</v>
      </c>
      <c r="Y17" s="9">
        <v>0.203898300385394</v>
      </c>
      <c r="Z17" s="8">
        <v>9.8631230664117719E-2</v>
      </c>
      <c r="AA17" s="9">
        <v>0.1387314741703993</v>
      </c>
    </row>
    <row r="18" spans="2:27" x14ac:dyDescent="0.3">
      <c r="B18" s="12" t="s">
        <v>251</v>
      </c>
      <c r="C18" s="3" t="s">
        <v>819</v>
      </c>
      <c r="D18" s="3" t="s">
        <v>824</v>
      </c>
      <c r="E18" s="3" t="s">
        <v>821</v>
      </c>
      <c r="F18" s="37">
        <v>13.8</v>
      </c>
      <c r="G18" s="4">
        <v>40.04</v>
      </c>
      <c r="H18" s="4">
        <v>40.6</v>
      </c>
      <c r="I18" s="4">
        <v>40.020000000000003</v>
      </c>
      <c r="J18" s="4">
        <v>39.08</v>
      </c>
      <c r="K18" s="4">
        <v>45.75</v>
      </c>
      <c r="L18" s="4">
        <v>44.04</v>
      </c>
      <c r="M18" s="4">
        <v>45.69</v>
      </c>
      <c r="N18" s="4">
        <v>45.88</v>
      </c>
      <c r="O18" s="4">
        <v>45.3</v>
      </c>
      <c r="P18" s="4">
        <v>45.05</v>
      </c>
      <c r="Q18" s="4">
        <v>47.39</v>
      </c>
      <c r="R18" s="4">
        <v>41.98</v>
      </c>
      <c r="S18" s="4">
        <v>56.74</v>
      </c>
      <c r="T18" s="4">
        <v>54.92</v>
      </c>
      <c r="U18" s="4">
        <v>60.36</v>
      </c>
      <c r="V18" s="6">
        <v>71.63</v>
      </c>
      <c r="W18" s="6">
        <v>90.47</v>
      </c>
      <c r="X18" s="10">
        <v>5.1632140615191391E-2</v>
      </c>
      <c r="Y18" s="8">
        <v>6.4517733671591193E-2</v>
      </c>
      <c r="Z18" s="9">
        <v>0.1385514018691589</v>
      </c>
      <c r="AA18" s="9">
        <v>0.13843628155140569</v>
      </c>
    </row>
    <row r="19" spans="2:27" x14ac:dyDescent="0.3">
      <c r="B19" s="12" t="s">
        <v>249</v>
      </c>
      <c r="C19" s="3" t="s">
        <v>819</v>
      </c>
      <c r="D19" s="3" t="s">
        <v>825</v>
      </c>
      <c r="E19" s="3" t="s">
        <v>821</v>
      </c>
      <c r="F19" s="37">
        <v>13</v>
      </c>
      <c r="G19" s="4">
        <v>36.99</v>
      </c>
      <c r="H19" s="4">
        <v>37.76</v>
      </c>
      <c r="I19" s="4">
        <v>36.49</v>
      </c>
      <c r="J19" s="4">
        <v>33.75</v>
      </c>
      <c r="K19" s="4">
        <v>43.89</v>
      </c>
      <c r="L19" s="4">
        <v>50.27</v>
      </c>
      <c r="M19" s="4">
        <v>52.59</v>
      </c>
      <c r="N19" s="4">
        <v>49.43</v>
      </c>
      <c r="O19" s="4">
        <v>51.74</v>
      </c>
      <c r="P19" s="4">
        <v>57.53</v>
      </c>
      <c r="Q19" s="4">
        <v>63.58</v>
      </c>
      <c r="R19" s="6">
        <v>73.67</v>
      </c>
      <c r="S19" s="4">
        <v>74.209999999999994</v>
      </c>
      <c r="T19" s="4">
        <v>82.25</v>
      </c>
      <c r="U19" s="6">
        <v>94.09</v>
      </c>
      <c r="V19" s="4">
        <v>93.46</v>
      </c>
      <c r="W19" s="6">
        <v>118.92</v>
      </c>
      <c r="X19" s="10">
        <v>9.1899327112531903E-2</v>
      </c>
      <c r="Y19" s="9">
        <v>0.10387797487317441</v>
      </c>
      <c r="Z19" s="8">
        <v>6.1038800814261718E-2</v>
      </c>
      <c r="AA19" s="9">
        <v>0.1299671521176711</v>
      </c>
    </row>
    <row r="20" spans="2:27" x14ac:dyDescent="0.3">
      <c r="B20" s="12" t="s">
        <v>145</v>
      </c>
      <c r="C20" s="3" t="s">
        <v>819</v>
      </c>
      <c r="D20" s="3" t="s">
        <v>824</v>
      </c>
      <c r="E20" s="3" t="s">
        <v>821</v>
      </c>
      <c r="F20" s="37">
        <v>12.4</v>
      </c>
      <c r="G20" s="4">
        <v>203.1</v>
      </c>
      <c r="H20" s="4">
        <v>184.5</v>
      </c>
      <c r="I20" s="4">
        <v>191.2</v>
      </c>
      <c r="J20" s="4">
        <v>213.6</v>
      </c>
      <c r="K20" s="4">
        <v>231.9</v>
      </c>
      <c r="L20" s="4">
        <v>251.5</v>
      </c>
      <c r="M20" s="4">
        <v>261</v>
      </c>
      <c r="N20" s="4">
        <v>256.2</v>
      </c>
      <c r="O20" s="4">
        <v>254.6</v>
      </c>
      <c r="P20" s="4">
        <v>277.60000000000002</v>
      </c>
      <c r="Q20" s="4">
        <v>332.6</v>
      </c>
      <c r="R20" s="4">
        <v>360.9</v>
      </c>
      <c r="S20" s="4">
        <v>375.8</v>
      </c>
      <c r="T20" s="4">
        <v>333</v>
      </c>
      <c r="U20" s="4">
        <v>438.2</v>
      </c>
      <c r="V20" s="4">
        <v>462.3</v>
      </c>
      <c r="W20" s="6">
        <v>575.29999999999995</v>
      </c>
      <c r="X20" s="10">
        <v>4.1131487118568399E-2</v>
      </c>
      <c r="Y20" s="8">
        <v>7.530485630749495E-2</v>
      </c>
      <c r="Z20" s="8">
        <v>6.7245838583460449E-2</v>
      </c>
      <c r="AA20" s="9">
        <v>0.1239669421487604</v>
      </c>
    </row>
    <row r="21" spans="2:27" x14ac:dyDescent="0.3">
      <c r="B21" s="12" t="s">
        <v>207</v>
      </c>
      <c r="C21" s="3" t="s">
        <v>819</v>
      </c>
      <c r="D21" s="3" t="s">
        <v>829</v>
      </c>
      <c r="E21" s="3" t="s">
        <v>821</v>
      </c>
      <c r="F21" s="37">
        <v>12.4</v>
      </c>
      <c r="G21" s="4">
        <v>102</v>
      </c>
      <c r="H21" s="4">
        <v>117.28</v>
      </c>
      <c r="I21" s="4">
        <v>152.37</v>
      </c>
      <c r="J21" s="4">
        <v>208.98</v>
      </c>
      <c r="K21" s="6">
        <v>181.5</v>
      </c>
      <c r="L21" s="4">
        <v>162.13999999999999</v>
      </c>
      <c r="M21" s="4">
        <v>221.04</v>
      </c>
      <c r="N21" s="4">
        <v>216.03</v>
      </c>
      <c r="O21" s="4">
        <v>230.04</v>
      </c>
      <c r="P21" s="4">
        <v>195.88</v>
      </c>
      <c r="Q21" s="4">
        <v>231.35</v>
      </c>
      <c r="R21" s="4">
        <v>290.08</v>
      </c>
      <c r="S21" s="4">
        <v>298.01</v>
      </c>
      <c r="T21" s="4">
        <v>264.86</v>
      </c>
      <c r="U21" s="4">
        <v>325.72000000000003</v>
      </c>
      <c r="V21" s="4">
        <v>354.26</v>
      </c>
      <c r="W21" s="6">
        <v>451.77</v>
      </c>
      <c r="X21" s="10">
        <v>6.7939171886695737E-2</v>
      </c>
      <c r="Y21" s="8">
        <v>8.7033108918196156E-2</v>
      </c>
      <c r="Z21" s="8">
        <v>5.4451203475103238E-2</v>
      </c>
      <c r="AA21" s="9">
        <v>0.12371565353823891</v>
      </c>
    </row>
    <row r="22" spans="2:27" x14ac:dyDescent="0.3">
      <c r="B22" s="12" t="s">
        <v>460</v>
      </c>
      <c r="C22" s="3" t="s">
        <v>819</v>
      </c>
      <c r="D22" s="3" t="s">
        <v>830</v>
      </c>
      <c r="E22" s="3" t="s">
        <v>821</v>
      </c>
      <c r="F22" s="37">
        <v>11.7</v>
      </c>
      <c r="G22" s="4">
        <v>398</v>
      </c>
      <c r="H22" s="4">
        <v>361.4</v>
      </c>
      <c r="I22" s="4">
        <v>473.1</v>
      </c>
      <c r="J22" s="4">
        <v>597.5</v>
      </c>
      <c r="K22" s="6">
        <v>673.6</v>
      </c>
      <c r="L22" s="6">
        <v>673.6</v>
      </c>
      <c r="M22" s="6">
        <v>759.4</v>
      </c>
      <c r="N22" s="4">
        <v>702.9</v>
      </c>
      <c r="O22" s="4">
        <v>656.3</v>
      </c>
      <c r="P22" s="4">
        <v>701.4</v>
      </c>
      <c r="Q22" s="4">
        <v>636.79999999999995</v>
      </c>
      <c r="R22" s="4">
        <v>679.5</v>
      </c>
      <c r="S22" s="4">
        <v>638.70000000000005</v>
      </c>
      <c r="T22" s="4">
        <v>727.3</v>
      </c>
      <c r="U22" s="4">
        <v>748.2</v>
      </c>
      <c r="V22" s="4">
        <v>744.9</v>
      </c>
      <c r="W22" s="6">
        <v>973.7</v>
      </c>
      <c r="X22" s="10">
        <v>9.7500376449330961E-3</v>
      </c>
      <c r="Y22" s="8">
        <v>4.1531521455467242E-2</v>
      </c>
      <c r="Z22" s="8">
        <v>2.3409814940759551E-2</v>
      </c>
      <c r="AA22" s="9">
        <v>0.1171697387289707</v>
      </c>
    </row>
    <row r="23" spans="2:27" x14ac:dyDescent="0.3">
      <c r="B23" s="12" t="s">
        <v>49</v>
      </c>
      <c r="C23" s="3" t="s">
        <v>819</v>
      </c>
      <c r="D23" s="3" t="s">
        <v>831</v>
      </c>
      <c r="E23" s="3" t="s">
        <v>821</v>
      </c>
      <c r="F23" s="37">
        <v>11.3</v>
      </c>
      <c r="G23" s="4">
        <v>3753</v>
      </c>
      <c r="H23" s="4">
        <v>3497</v>
      </c>
      <c r="I23" s="4">
        <v>3884</v>
      </c>
      <c r="J23" s="4">
        <v>3386</v>
      </c>
      <c r="K23" s="4">
        <v>2837</v>
      </c>
      <c r="L23" s="4">
        <v>2606</v>
      </c>
      <c r="M23" s="4">
        <v>2968</v>
      </c>
      <c r="N23" s="4">
        <v>2773</v>
      </c>
      <c r="O23" s="4">
        <v>2424</v>
      </c>
      <c r="P23" s="4">
        <v>3061</v>
      </c>
      <c r="Q23" s="4">
        <v>3410</v>
      </c>
      <c r="R23" s="4">
        <v>3655</v>
      </c>
      <c r="S23" s="4">
        <v>3547</v>
      </c>
      <c r="T23" s="4">
        <v>4232</v>
      </c>
      <c r="U23" s="4">
        <v>4840</v>
      </c>
      <c r="V23" s="6">
        <v>5647</v>
      </c>
      <c r="W23" s="6">
        <v>5603</v>
      </c>
      <c r="X23" s="10">
        <v>8.5643238499232055E-2</v>
      </c>
      <c r="Y23" s="8">
        <v>9.6335219617353918E-2</v>
      </c>
      <c r="Z23" s="9">
        <v>0.12240383433697929</v>
      </c>
      <c r="AA23" s="9">
        <v>0.11255885251286531</v>
      </c>
    </row>
    <row r="24" spans="2:27" x14ac:dyDescent="0.3">
      <c r="B24" s="12" t="s">
        <v>122</v>
      </c>
      <c r="C24" s="3" t="s">
        <v>819</v>
      </c>
      <c r="D24" s="3" t="s">
        <v>824</v>
      </c>
      <c r="E24" s="3" t="s">
        <v>821</v>
      </c>
      <c r="F24" s="37">
        <v>11.2</v>
      </c>
      <c r="G24" s="4">
        <v>422.17</v>
      </c>
      <c r="H24" s="4">
        <v>439.9</v>
      </c>
      <c r="I24" s="4">
        <v>340.5</v>
      </c>
      <c r="J24" s="4">
        <v>338.9</v>
      </c>
      <c r="K24" s="4">
        <v>375.4</v>
      </c>
      <c r="L24" s="4">
        <v>390.3</v>
      </c>
      <c r="M24" s="6">
        <v>639.9</v>
      </c>
      <c r="N24" s="6">
        <v>616.29999999999995</v>
      </c>
      <c r="O24" s="6">
        <v>669.6</v>
      </c>
      <c r="P24" s="4">
        <v>601.4</v>
      </c>
      <c r="Q24" s="4">
        <v>686.3</v>
      </c>
      <c r="R24" s="4">
        <v>716.1</v>
      </c>
      <c r="S24" s="4">
        <v>815.2</v>
      </c>
      <c r="T24" s="4">
        <v>773.2</v>
      </c>
      <c r="U24" s="4">
        <v>811.9</v>
      </c>
      <c r="V24" s="4">
        <v>854.6</v>
      </c>
      <c r="W24" s="6">
        <v>1179</v>
      </c>
      <c r="X24" s="10">
        <v>6.0943597020219897E-2</v>
      </c>
      <c r="Y24" s="8">
        <v>4.1995452721679698E-2</v>
      </c>
      <c r="Z24" s="8">
        <v>4.4442305223976408E-2</v>
      </c>
      <c r="AA24" s="9">
        <v>0.1117699468493656</v>
      </c>
    </row>
    <row r="25" spans="2:27" x14ac:dyDescent="0.3">
      <c r="B25" s="12" t="s">
        <v>114</v>
      </c>
      <c r="C25" s="3" t="s">
        <v>819</v>
      </c>
      <c r="D25" s="3" t="s">
        <v>832</v>
      </c>
      <c r="E25" s="3" t="s">
        <v>821</v>
      </c>
      <c r="F25" s="5">
        <v>9.6999999999999993</v>
      </c>
      <c r="G25" s="4">
        <v>1360</v>
      </c>
      <c r="H25" s="4">
        <v>1240</v>
      </c>
      <c r="I25" s="4">
        <v>1211</v>
      </c>
      <c r="J25" s="4">
        <v>1283</v>
      </c>
      <c r="K25" s="4">
        <v>1187</v>
      </c>
      <c r="L25" s="4">
        <v>1208</v>
      </c>
      <c r="M25" s="4">
        <v>1270</v>
      </c>
      <c r="N25" s="4">
        <v>1277</v>
      </c>
      <c r="O25" s="4">
        <v>1171</v>
      </c>
      <c r="P25" s="4">
        <v>1189</v>
      </c>
      <c r="Q25" s="4">
        <v>1234</v>
      </c>
      <c r="R25" s="4">
        <v>1300</v>
      </c>
      <c r="S25" s="4">
        <v>1208</v>
      </c>
      <c r="T25" s="4">
        <v>1605</v>
      </c>
      <c r="U25" s="6">
        <v>1881</v>
      </c>
      <c r="V25" s="6">
        <v>2123</v>
      </c>
      <c r="W25" s="4">
        <v>1868</v>
      </c>
      <c r="X25" s="10">
        <v>8.4364226323260905E-2</v>
      </c>
      <c r="Y25" s="9">
        <v>0.12100243126987099</v>
      </c>
      <c r="Z25" s="9">
        <v>0.13730397063730401</v>
      </c>
      <c r="AA25" s="8">
        <v>9.6816781575473021E-2</v>
      </c>
    </row>
    <row r="26" spans="2:27" x14ac:dyDescent="0.3">
      <c r="B26" s="12" t="s">
        <v>135</v>
      </c>
      <c r="C26" s="3" t="s">
        <v>819</v>
      </c>
      <c r="D26" s="3" t="s">
        <v>828</v>
      </c>
      <c r="E26" s="3" t="s">
        <v>821</v>
      </c>
      <c r="F26" s="5">
        <v>9</v>
      </c>
      <c r="G26" s="3"/>
      <c r="H26" s="3"/>
      <c r="I26" s="3"/>
      <c r="J26" s="3"/>
      <c r="K26" s="3"/>
      <c r="L26" s="3"/>
      <c r="M26" s="3"/>
      <c r="N26" s="3"/>
      <c r="O26" s="3"/>
      <c r="P26" s="4">
        <v>156.22999999999999</v>
      </c>
      <c r="Q26" s="4">
        <v>177.2</v>
      </c>
      <c r="R26" s="4">
        <v>198.64</v>
      </c>
      <c r="S26" s="4">
        <v>216.95</v>
      </c>
      <c r="T26" s="4">
        <v>228.2</v>
      </c>
      <c r="U26" s="4">
        <v>249.64</v>
      </c>
      <c r="V26" s="4">
        <v>274.17</v>
      </c>
      <c r="W26" s="4">
        <v>303.77999999999997</v>
      </c>
      <c r="X26" s="10">
        <v>9.608555178766931E-2</v>
      </c>
      <c r="Y26" s="8">
        <v>8.8234935870108E-2</v>
      </c>
      <c r="Z26" s="8">
        <v>8.4539359546914827E-2</v>
      </c>
      <c r="AA26" s="8">
        <v>8.9611542272126643E-2</v>
      </c>
    </row>
    <row r="27" spans="2:27" x14ac:dyDescent="0.3">
      <c r="B27" s="12" t="s">
        <v>38</v>
      </c>
      <c r="C27" s="3" t="s">
        <v>819</v>
      </c>
      <c r="D27" s="3" t="s">
        <v>833</v>
      </c>
      <c r="E27" s="3" t="s">
        <v>821</v>
      </c>
      <c r="F27" s="5">
        <v>8.6</v>
      </c>
      <c r="G27" s="4">
        <v>1300</v>
      </c>
      <c r="H27" s="4">
        <v>1456</v>
      </c>
      <c r="I27" s="4">
        <v>1608</v>
      </c>
      <c r="J27" s="4">
        <v>1701</v>
      </c>
      <c r="K27" s="4">
        <v>1818</v>
      </c>
      <c r="L27" s="4">
        <v>2035</v>
      </c>
      <c r="M27" s="4">
        <v>2133</v>
      </c>
      <c r="N27" s="4">
        <v>2164</v>
      </c>
      <c r="O27" s="4">
        <v>2303</v>
      </c>
      <c r="P27" s="4">
        <v>2513</v>
      </c>
      <c r="Q27" s="4">
        <v>2630</v>
      </c>
      <c r="R27" s="4">
        <v>2706</v>
      </c>
      <c r="S27" s="4">
        <v>2873</v>
      </c>
      <c r="T27" s="4">
        <v>3032</v>
      </c>
      <c r="U27" s="4">
        <v>3284</v>
      </c>
      <c r="V27" s="4">
        <v>3446</v>
      </c>
      <c r="W27" s="4">
        <v>3955</v>
      </c>
      <c r="X27" s="10">
        <v>4.8405148293228839E-2</v>
      </c>
      <c r="Y27" s="8">
        <v>5.8179877235121413E-2</v>
      </c>
      <c r="Z27" s="8">
        <v>6.2211013030685207E-2</v>
      </c>
      <c r="AA27" s="8">
        <v>8.5635140482785976E-2</v>
      </c>
    </row>
    <row r="28" spans="2:27" x14ac:dyDescent="0.3">
      <c r="B28" s="12" t="s">
        <v>255</v>
      </c>
      <c r="C28" s="3" t="s">
        <v>819</v>
      </c>
      <c r="D28" s="3" t="s">
        <v>833</v>
      </c>
      <c r="E28" s="3" t="s">
        <v>821</v>
      </c>
      <c r="F28" s="5">
        <v>8.3000000000000007</v>
      </c>
      <c r="G28" s="4">
        <v>82.72</v>
      </c>
      <c r="H28" s="4">
        <v>76.319999999999993</v>
      </c>
      <c r="I28" s="4">
        <v>87.31</v>
      </c>
      <c r="J28" s="4">
        <v>105.56</v>
      </c>
      <c r="K28" s="6">
        <v>139.87</v>
      </c>
      <c r="L28" s="6">
        <v>117.63</v>
      </c>
      <c r="M28" s="6">
        <v>133.31</v>
      </c>
      <c r="N28" s="4">
        <v>133.61000000000001</v>
      </c>
      <c r="O28" s="4">
        <v>185.4</v>
      </c>
      <c r="P28" s="4">
        <v>145.87</v>
      </c>
      <c r="Q28" s="4">
        <v>168.01</v>
      </c>
      <c r="R28" s="4">
        <v>175.97</v>
      </c>
      <c r="S28" s="6">
        <v>262.91000000000003</v>
      </c>
      <c r="T28" s="4">
        <v>189.88</v>
      </c>
      <c r="U28" s="4">
        <v>214.88</v>
      </c>
      <c r="V28" s="4">
        <v>220.78</v>
      </c>
      <c r="W28" s="4">
        <v>336.66</v>
      </c>
      <c r="X28" s="10">
        <v>5.8464849354375792E-2</v>
      </c>
      <c r="Y28" s="8">
        <v>5.882500596156981E-2</v>
      </c>
      <c r="Z28" s="8">
        <v>5.311507277985883E-2</v>
      </c>
      <c r="AA28" s="8">
        <v>8.3009736057178207E-2</v>
      </c>
    </row>
    <row r="29" spans="2:27" x14ac:dyDescent="0.3">
      <c r="B29" s="12" t="s">
        <v>284</v>
      </c>
      <c r="C29" s="3" t="s">
        <v>819</v>
      </c>
      <c r="D29" s="3" t="s">
        <v>834</v>
      </c>
      <c r="E29" s="3" t="s">
        <v>821</v>
      </c>
      <c r="F29" s="5">
        <v>8</v>
      </c>
      <c r="G29" s="4">
        <v>73.239999999999995</v>
      </c>
      <c r="H29" s="4">
        <v>67.680000000000007</v>
      </c>
      <c r="I29" s="4">
        <v>72.69</v>
      </c>
      <c r="J29" s="4">
        <v>71.27</v>
      </c>
      <c r="K29" s="4">
        <v>71.23</v>
      </c>
      <c r="L29" s="4">
        <v>73.900000000000006</v>
      </c>
      <c r="M29" s="4">
        <v>80.400000000000006</v>
      </c>
      <c r="N29" s="4">
        <v>78.05</v>
      </c>
      <c r="O29" s="4">
        <v>82.37</v>
      </c>
      <c r="P29" s="4">
        <v>85.62</v>
      </c>
      <c r="Q29" s="4">
        <v>95.69</v>
      </c>
      <c r="R29" s="4">
        <v>96.67</v>
      </c>
      <c r="S29" s="4">
        <v>105.5</v>
      </c>
      <c r="T29" s="4">
        <v>106.66</v>
      </c>
      <c r="U29" s="4">
        <v>124.12</v>
      </c>
      <c r="V29" s="4">
        <v>133.54</v>
      </c>
      <c r="W29" s="4">
        <v>143.12</v>
      </c>
      <c r="X29" s="10">
        <v>5.4865964326692218E-2</v>
      </c>
      <c r="Y29" s="8">
        <v>7.0280826658756013E-2</v>
      </c>
      <c r="Z29" s="8">
        <v>8.5159949185818151E-2</v>
      </c>
      <c r="AA29" s="8">
        <v>8.0073219530884199E-2</v>
      </c>
    </row>
    <row r="30" spans="2:27" x14ac:dyDescent="0.3">
      <c r="B30" s="12" t="s">
        <v>89</v>
      </c>
      <c r="C30" s="3" t="s">
        <v>819</v>
      </c>
      <c r="D30" s="3" t="s">
        <v>827</v>
      </c>
      <c r="E30" s="3" t="s">
        <v>821</v>
      </c>
      <c r="F30" s="5">
        <v>8</v>
      </c>
      <c r="G30" s="4">
        <v>2606</v>
      </c>
      <c r="H30" s="4">
        <v>2781</v>
      </c>
      <c r="I30" s="4">
        <v>4013</v>
      </c>
      <c r="J30" s="4">
        <v>4193</v>
      </c>
      <c r="K30" s="4">
        <v>3136</v>
      </c>
      <c r="L30" s="4">
        <v>2105</v>
      </c>
      <c r="M30" s="4">
        <v>1260</v>
      </c>
      <c r="N30" s="4">
        <v>1406</v>
      </c>
      <c r="O30" s="4">
        <v>1276</v>
      </c>
      <c r="P30" s="4">
        <v>901</v>
      </c>
      <c r="Q30" s="4">
        <v>514</v>
      </c>
      <c r="R30" s="4">
        <v>600</v>
      </c>
      <c r="S30" s="6">
        <v>2244</v>
      </c>
      <c r="T30" s="6">
        <v>3210</v>
      </c>
      <c r="U30" s="6">
        <v>2809</v>
      </c>
      <c r="V30" s="6">
        <v>2516</v>
      </c>
      <c r="W30" s="4">
        <v>3104</v>
      </c>
      <c r="X30" s="7">
        <v>0.54214604367222363</v>
      </c>
      <c r="Y30" s="9">
        <v>0.34942143727162001</v>
      </c>
      <c r="Z30" s="9">
        <v>0.21617962315243161</v>
      </c>
      <c r="AA30" s="8">
        <v>7.9784766675943919E-2</v>
      </c>
    </row>
    <row r="31" spans="2:27" x14ac:dyDescent="0.3">
      <c r="B31" s="12" t="s">
        <v>101</v>
      </c>
      <c r="C31" s="3" t="s">
        <v>819</v>
      </c>
      <c r="D31" s="3" t="s">
        <v>834</v>
      </c>
      <c r="E31" s="3" t="s">
        <v>821</v>
      </c>
      <c r="F31" s="5">
        <v>7.4</v>
      </c>
      <c r="G31" s="4">
        <v>307.7</v>
      </c>
      <c r="H31" s="4">
        <v>295.39999999999998</v>
      </c>
      <c r="I31" s="4">
        <v>299.39999999999998</v>
      </c>
      <c r="J31" s="4">
        <v>340.8</v>
      </c>
      <c r="K31" s="4">
        <v>369.7</v>
      </c>
      <c r="L31" s="4">
        <v>358.1</v>
      </c>
      <c r="M31" s="4">
        <v>396.5</v>
      </c>
      <c r="N31" s="4">
        <v>432.7</v>
      </c>
      <c r="O31" s="4">
        <v>509.8</v>
      </c>
      <c r="P31" s="4">
        <v>441.7</v>
      </c>
      <c r="Q31" s="4">
        <v>488.5</v>
      </c>
      <c r="R31" s="4">
        <v>543.9</v>
      </c>
      <c r="S31" s="4">
        <v>597.5</v>
      </c>
      <c r="T31" s="4">
        <v>569</v>
      </c>
      <c r="U31" s="4">
        <v>649.1</v>
      </c>
      <c r="V31" s="4">
        <v>706.3</v>
      </c>
      <c r="W31" s="4">
        <v>783.8</v>
      </c>
      <c r="X31" s="10">
        <v>6.1450086889361037E-2</v>
      </c>
      <c r="Y31" s="8">
        <v>7.303651825912949E-2</v>
      </c>
      <c r="Z31" s="8">
        <v>6.882814155541439E-2</v>
      </c>
      <c r="AA31" s="8">
        <v>7.3872873627027102E-2</v>
      </c>
    </row>
    <row r="32" spans="2:27" x14ac:dyDescent="0.3">
      <c r="B32" s="12" t="s">
        <v>42</v>
      </c>
      <c r="C32" s="3" t="s">
        <v>819</v>
      </c>
      <c r="D32" s="3" t="s">
        <v>835</v>
      </c>
      <c r="E32" s="3" t="s">
        <v>821</v>
      </c>
      <c r="F32" s="5">
        <v>7.2</v>
      </c>
      <c r="G32" s="4">
        <v>18657</v>
      </c>
      <c r="H32" s="4">
        <v>20491</v>
      </c>
      <c r="I32" s="4">
        <v>25945</v>
      </c>
      <c r="J32" s="4">
        <v>22939</v>
      </c>
      <c r="K32" s="4">
        <v>20501</v>
      </c>
      <c r="L32" s="4">
        <v>18995</v>
      </c>
      <c r="M32" s="4">
        <v>18320</v>
      </c>
      <c r="N32" s="4">
        <v>20739</v>
      </c>
      <c r="O32" s="4">
        <v>20532</v>
      </c>
      <c r="P32" s="4">
        <v>21629</v>
      </c>
      <c r="Q32" s="4">
        <v>20729</v>
      </c>
      <c r="R32" s="4">
        <v>20772</v>
      </c>
      <c r="S32" s="4">
        <v>19541</v>
      </c>
      <c r="T32" s="4">
        <v>21020</v>
      </c>
      <c r="U32" s="4">
        <v>19242</v>
      </c>
      <c r="V32" s="4">
        <v>19954</v>
      </c>
      <c r="W32" s="4">
        <v>25320</v>
      </c>
      <c r="X32" s="10">
        <v>-7.3665493341075186E-3</v>
      </c>
      <c r="Y32" s="8">
        <v>-1.8120445516804359E-2</v>
      </c>
      <c r="Z32" s="8">
        <v>-1.015203226807326E-2</v>
      </c>
      <c r="AA32" s="8">
        <v>7.2457589929410648E-2</v>
      </c>
    </row>
    <row r="33" spans="2:27" x14ac:dyDescent="0.3">
      <c r="B33" s="12" t="s">
        <v>738</v>
      </c>
      <c r="C33" s="3" t="s">
        <v>819</v>
      </c>
      <c r="D33" s="3" t="s">
        <v>836</v>
      </c>
      <c r="E33" s="3" t="s">
        <v>821</v>
      </c>
      <c r="F33" s="5">
        <v>7.1</v>
      </c>
      <c r="G33" s="4">
        <v>11.43</v>
      </c>
      <c r="H33" s="4">
        <v>11.76</v>
      </c>
      <c r="I33" s="4">
        <v>14.82</v>
      </c>
      <c r="J33" s="4">
        <v>12.6</v>
      </c>
      <c r="K33" s="4">
        <v>11.2</v>
      </c>
      <c r="L33" s="4">
        <v>13.15</v>
      </c>
      <c r="M33" s="4">
        <v>14.73</v>
      </c>
      <c r="N33" s="4">
        <v>13.27</v>
      </c>
      <c r="O33" s="4">
        <v>12.5</v>
      </c>
      <c r="P33" s="4">
        <v>12.95</v>
      </c>
      <c r="Q33" s="4">
        <v>14.58</v>
      </c>
      <c r="R33" s="4">
        <v>14.71</v>
      </c>
      <c r="S33" s="4">
        <v>15.49</v>
      </c>
      <c r="T33" s="4">
        <v>16.53</v>
      </c>
      <c r="U33" s="4">
        <v>16.5</v>
      </c>
      <c r="V33" s="4">
        <v>17.41</v>
      </c>
      <c r="W33" s="4">
        <v>20.14</v>
      </c>
      <c r="X33" s="10">
        <v>6.2012818292049188E-2</v>
      </c>
      <c r="Y33" s="8">
        <v>3.1316261621268993E-2</v>
      </c>
      <c r="Z33" s="8">
        <v>4.2701249406927211E-2</v>
      </c>
      <c r="AA33" s="8">
        <v>7.0529349309873979E-2</v>
      </c>
    </row>
    <row r="34" spans="2:27" x14ac:dyDescent="0.3">
      <c r="B34" s="12" t="s">
        <v>87</v>
      </c>
      <c r="C34" s="3" t="s">
        <v>819</v>
      </c>
      <c r="D34" s="3" t="s">
        <v>837</v>
      </c>
      <c r="E34" s="3" t="s">
        <v>821</v>
      </c>
      <c r="F34" s="5">
        <v>6.8</v>
      </c>
      <c r="G34" s="4">
        <v>3331</v>
      </c>
      <c r="H34" s="4">
        <v>3968</v>
      </c>
      <c r="I34" s="4">
        <v>4008</v>
      </c>
      <c r="J34" s="4">
        <v>5228</v>
      </c>
      <c r="K34" s="4">
        <v>4016</v>
      </c>
      <c r="L34" s="4">
        <v>3966</v>
      </c>
      <c r="M34" s="4">
        <v>3964</v>
      </c>
      <c r="N34" s="4">
        <v>4702</v>
      </c>
      <c r="O34" s="4">
        <v>3706</v>
      </c>
      <c r="P34" s="4">
        <v>4078</v>
      </c>
      <c r="Q34" s="4">
        <v>4336</v>
      </c>
      <c r="R34" s="4">
        <v>5201</v>
      </c>
      <c r="S34" s="4">
        <v>3984</v>
      </c>
      <c r="T34" s="4">
        <v>3811</v>
      </c>
      <c r="U34" s="4">
        <v>4543</v>
      </c>
      <c r="V34" s="4">
        <v>5750</v>
      </c>
      <c r="W34" s="4">
        <v>5213</v>
      </c>
      <c r="X34" s="10">
        <v>-1.5171316552076821E-2</v>
      </c>
      <c r="Y34" s="8">
        <v>1.1943226402030939E-2</v>
      </c>
      <c r="Z34" s="8">
        <v>3.1301670562745798E-2</v>
      </c>
      <c r="AA34" s="8">
        <v>6.7945599292348557E-2</v>
      </c>
    </row>
    <row r="35" spans="2:27" x14ac:dyDescent="0.3">
      <c r="B35" s="12" t="s">
        <v>290</v>
      </c>
      <c r="C35" s="3" t="s">
        <v>819</v>
      </c>
      <c r="D35" s="3" t="s">
        <v>838</v>
      </c>
      <c r="E35" s="3" t="s">
        <v>821</v>
      </c>
      <c r="F35" s="5">
        <v>6.7</v>
      </c>
      <c r="G35" s="4">
        <v>31.87</v>
      </c>
      <c r="H35" s="4">
        <v>35.020000000000003</v>
      </c>
      <c r="I35" s="4">
        <v>38.06</v>
      </c>
      <c r="J35" s="4">
        <v>53.45</v>
      </c>
      <c r="K35" s="6">
        <v>68.31</v>
      </c>
      <c r="L35" s="6">
        <v>70.989999999999995</v>
      </c>
      <c r="M35" s="4">
        <v>52.56</v>
      </c>
      <c r="N35" s="4">
        <v>58.32</v>
      </c>
      <c r="O35" s="4">
        <v>73.83</v>
      </c>
      <c r="P35" s="4">
        <v>90.4</v>
      </c>
      <c r="Q35" s="6">
        <v>84.7</v>
      </c>
      <c r="R35" s="6">
        <v>109.5</v>
      </c>
      <c r="S35" s="4">
        <v>93.35</v>
      </c>
      <c r="T35" s="4">
        <v>109.76</v>
      </c>
      <c r="U35" s="4">
        <v>116.12</v>
      </c>
      <c r="V35" s="4">
        <v>138.54</v>
      </c>
      <c r="W35" s="4">
        <v>124.19</v>
      </c>
      <c r="X35" s="10">
        <v>5.1223706839529148E-2</v>
      </c>
      <c r="Y35" s="8">
        <v>7.9081825274974316E-2</v>
      </c>
      <c r="Z35" s="8">
        <v>6.7734938072912865E-2</v>
      </c>
      <c r="AA35" s="8">
        <v>6.7370076676060098E-2</v>
      </c>
    </row>
    <row r="36" spans="2:27" x14ac:dyDescent="0.3">
      <c r="B36" s="12" t="s">
        <v>68</v>
      </c>
      <c r="C36" s="3" t="s">
        <v>819</v>
      </c>
      <c r="D36" s="3" t="s">
        <v>827</v>
      </c>
      <c r="E36" s="3" t="s">
        <v>821</v>
      </c>
      <c r="F36" s="5">
        <v>6.7</v>
      </c>
      <c r="G36" s="4">
        <v>2792</v>
      </c>
      <c r="H36" s="4">
        <v>2467</v>
      </c>
      <c r="I36" s="4">
        <v>3333</v>
      </c>
      <c r="J36" s="4">
        <v>3655</v>
      </c>
      <c r="K36" s="4">
        <v>2541</v>
      </c>
      <c r="L36" s="4">
        <v>1817</v>
      </c>
      <c r="M36" s="4">
        <v>834.88</v>
      </c>
      <c r="N36" s="4">
        <v>985.42</v>
      </c>
      <c r="O36" s="4">
        <v>1337</v>
      </c>
      <c r="P36" s="4">
        <v>1258</v>
      </c>
      <c r="Q36" s="4">
        <v>850.26</v>
      </c>
      <c r="R36" s="4">
        <v>1177</v>
      </c>
      <c r="S36" s="4">
        <v>1756</v>
      </c>
      <c r="T36" s="6">
        <v>2372</v>
      </c>
      <c r="U36" s="6">
        <v>1798</v>
      </c>
      <c r="V36" s="4">
        <v>1783</v>
      </c>
      <c r="W36" s="4">
        <v>2274</v>
      </c>
      <c r="X36" s="7">
        <v>0.2209765019062695</v>
      </c>
      <c r="Y36" s="9">
        <v>0.1539723748468789</v>
      </c>
      <c r="Z36" s="8">
        <v>8.5316063635083816E-2</v>
      </c>
      <c r="AA36" s="8">
        <v>6.71941886107148E-2</v>
      </c>
    </row>
    <row r="37" spans="2:27" x14ac:dyDescent="0.3">
      <c r="B37" s="12" t="s">
        <v>79</v>
      </c>
      <c r="C37" s="3" t="s">
        <v>819</v>
      </c>
      <c r="D37" s="3" t="s">
        <v>837</v>
      </c>
      <c r="E37" s="3" t="s">
        <v>821</v>
      </c>
      <c r="F37" s="5">
        <v>6.7</v>
      </c>
      <c r="G37" s="4">
        <v>0</v>
      </c>
      <c r="H37" s="4">
        <v>4577</v>
      </c>
      <c r="I37" s="4">
        <v>4924</v>
      </c>
      <c r="J37" s="4">
        <v>5251</v>
      </c>
      <c r="K37" s="6">
        <v>4476</v>
      </c>
      <c r="L37" s="4">
        <v>3779</v>
      </c>
      <c r="M37" s="4">
        <v>2684</v>
      </c>
      <c r="N37" s="4">
        <v>2888</v>
      </c>
      <c r="O37" s="4">
        <v>3394</v>
      </c>
      <c r="P37" s="4">
        <v>3240</v>
      </c>
      <c r="Q37" s="4">
        <v>2875</v>
      </c>
      <c r="R37" s="4">
        <v>2906</v>
      </c>
      <c r="S37" s="4">
        <v>3436</v>
      </c>
      <c r="T37" s="4">
        <v>4440</v>
      </c>
      <c r="U37" s="4">
        <v>3419</v>
      </c>
      <c r="V37" s="4">
        <v>3527</v>
      </c>
      <c r="W37" s="4">
        <v>4428</v>
      </c>
      <c r="X37" s="10">
        <v>9.6331379947017792E-2</v>
      </c>
      <c r="Y37" s="8">
        <v>3.9833052646994098E-2</v>
      </c>
      <c r="Z37" s="8">
        <v>4.372931483698328E-2</v>
      </c>
      <c r="AA37" s="8">
        <v>6.6927540143030706E-2</v>
      </c>
    </row>
    <row r="38" spans="2:27" x14ac:dyDescent="0.3">
      <c r="B38" s="12" t="s">
        <v>14</v>
      </c>
      <c r="C38" s="3" t="s">
        <v>819</v>
      </c>
      <c r="D38" s="3" t="s">
        <v>836</v>
      </c>
      <c r="E38" s="3" t="s">
        <v>839</v>
      </c>
      <c r="F38" s="5">
        <v>6.7</v>
      </c>
      <c r="G38" s="4">
        <v>2684</v>
      </c>
      <c r="H38" s="4">
        <v>2972</v>
      </c>
      <c r="I38" s="4">
        <v>3110</v>
      </c>
      <c r="J38" s="4">
        <v>3248</v>
      </c>
      <c r="K38" s="4">
        <v>3250</v>
      </c>
      <c r="L38" s="4">
        <v>3263</v>
      </c>
      <c r="M38" s="4">
        <v>3076</v>
      </c>
      <c r="N38" s="4">
        <v>2716</v>
      </c>
      <c r="O38" s="4">
        <v>2513</v>
      </c>
      <c r="P38" s="4">
        <v>2159</v>
      </c>
      <c r="Q38" s="4">
        <v>2312</v>
      </c>
      <c r="R38" s="4">
        <v>2443</v>
      </c>
      <c r="S38" s="4">
        <v>2423</v>
      </c>
      <c r="T38" s="4">
        <v>2640</v>
      </c>
      <c r="U38" s="4">
        <v>2880</v>
      </c>
      <c r="V38" s="4">
        <v>3076</v>
      </c>
      <c r="W38" s="4">
        <v>3160</v>
      </c>
      <c r="X38" s="10">
        <v>5.1515476062975241E-2</v>
      </c>
      <c r="Y38" s="8">
        <v>5.7852923202281532E-2</v>
      </c>
      <c r="Z38" s="8">
        <v>6.0947429231658079E-2</v>
      </c>
      <c r="AA38" s="8">
        <v>6.6884472275161144E-2</v>
      </c>
    </row>
    <row r="39" spans="2:27" x14ac:dyDescent="0.3">
      <c r="B39" s="12" t="s">
        <v>295</v>
      </c>
      <c r="C39" s="3" t="s">
        <v>819</v>
      </c>
      <c r="D39" s="3" t="s">
        <v>840</v>
      </c>
      <c r="E39" s="3" t="s">
        <v>821</v>
      </c>
      <c r="F39" s="5">
        <v>6.3</v>
      </c>
      <c r="G39" s="4">
        <v>578</v>
      </c>
      <c r="H39" s="4">
        <v>568</v>
      </c>
      <c r="I39" s="4">
        <v>640</v>
      </c>
      <c r="J39" s="4">
        <v>745</v>
      </c>
      <c r="K39" s="4">
        <v>787</v>
      </c>
      <c r="L39" s="4">
        <v>740</v>
      </c>
      <c r="M39" s="4">
        <v>802</v>
      </c>
      <c r="N39" s="4">
        <v>908</v>
      </c>
      <c r="O39" s="4">
        <v>832</v>
      </c>
      <c r="P39" s="4">
        <v>804</v>
      </c>
      <c r="Q39" s="4">
        <v>848</v>
      </c>
      <c r="R39" s="4">
        <v>965</v>
      </c>
      <c r="S39" s="4">
        <v>951</v>
      </c>
      <c r="T39" s="4">
        <v>861</v>
      </c>
      <c r="U39" s="4">
        <v>1002</v>
      </c>
      <c r="V39" s="4">
        <v>1304</v>
      </c>
      <c r="W39" s="4">
        <v>1209</v>
      </c>
      <c r="X39" s="10">
        <v>1.5975336322869849E-2</v>
      </c>
      <c r="Y39" s="8">
        <v>4.2482758620689731E-2</v>
      </c>
      <c r="Z39" s="8">
        <v>8.9706271500396895E-2</v>
      </c>
      <c r="AA39" s="8">
        <v>6.2651772705196729E-2</v>
      </c>
    </row>
    <row r="40" spans="2:27" x14ac:dyDescent="0.3">
      <c r="B40" s="12" t="s">
        <v>432</v>
      </c>
      <c r="C40" s="3" t="s">
        <v>819</v>
      </c>
      <c r="D40" s="3" t="s">
        <v>841</v>
      </c>
      <c r="E40" s="3" t="s">
        <v>821</v>
      </c>
      <c r="F40" s="5">
        <v>5.8</v>
      </c>
      <c r="G40" s="4">
        <v>135.26</v>
      </c>
      <c r="H40" s="4">
        <v>136.01</v>
      </c>
      <c r="I40" s="4">
        <v>157.26</v>
      </c>
      <c r="J40" s="4">
        <v>169.26</v>
      </c>
      <c r="K40" s="4">
        <v>191.03</v>
      </c>
      <c r="L40" s="6">
        <v>203.87</v>
      </c>
      <c r="M40" s="6">
        <v>234.03</v>
      </c>
      <c r="N40" s="4">
        <v>241.63</v>
      </c>
      <c r="O40" s="4">
        <v>264.76</v>
      </c>
      <c r="P40" s="4">
        <v>269.12</v>
      </c>
      <c r="Q40" s="4">
        <v>306.42</v>
      </c>
      <c r="R40" s="4">
        <v>336.53</v>
      </c>
      <c r="S40" s="4">
        <v>351.9</v>
      </c>
      <c r="T40" s="4">
        <v>361.62</v>
      </c>
      <c r="U40" s="4">
        <v>411.85</v>
      </c>
      <c r="V40" s="4">
        <v>419.49</v>
      </c>
      <c r="W40" s="4">
        <v>442.18</v>
      </c>
      <c r="X40" s="10">
        <v>7.3182116664161301E-2</v>
      </c>
      <c r="Y40" s="8">
        <v>7.7723797798698202E-2</v>
      </c>
      <c r="Z40" s="8">
        <v>5.6748067583282102E-2</v>
      </c>
      <c r="AA40" s="8">
        <v>5.8438952396980832E-2</v>
      </c>
    </row>
    <row r="41" spans="2:27" x14ac:dyDescent="0.3">
      <c r="B41" s="12" t="s">
        <v>733</v>
      </c>
      <c r="C41" s="3" t="s">
        <v>819</v>
      </c>
      <c r="D41" s="3" t="s">
        <v>834</v>
      </c>
      <c r="E41" s="3" t="s">
        <v>821</v>
      </c>
      <c r="F41" s="5">
        <v>5.8</v>
      </c>
      <c r="G41" s="4">
        <v>61.73</v>
      </c>
      <c r="H41" s="4">
        <v>47.98</v>
      </c>
      <c r="I41" s="4">
        <v>59.65</v>
      </c>
      <c r="J41" s="4">
        <v>65.260000000000005</v>
      </c>
      <c r="K41" s="4">
        <v>73.900000000000006</v>
      </c>
      <c r="L41" s="4">
        <v>58.85</v>
      </c>
      <c r="M41" s="4">
        <v>68.34</v>
      </c>
      <c r="N41" s="4">
        <v>69.59</v>
      </c>
      <c r="O41" s="4">
        <v>77.650000000000006</v>
      </c>
      <c r="P41" s="4">
        <v>61.09</v>
      </c>
      <c r="Q41" s="4">
        <v>73.22</v>
      </c>
      <c r="R41" s="4">
        <v>73.09</v>
      </c>
      <c r="S41" s="4">
        <v>85.59</v>
      </c>
      <c r="T41" s="4">
        <v>61.27</v>
      </c>
      <c r="U41" s="4">
        <v>78.91</v>
      </c>
      <c r="V41" s="4">
        <v>85.76</v>
      </c>
      <c r="W41" s="4">
        <v>103.59</v>
      </c>
      <c r="X41" s="10">
        <v>6.1435543875210108E-4</v>
      </c>
      <c r="Y41" s="8">
        <v>1.9408534297506549E-2</v>
      </c>
      <c r="Z41" s="8">
        <v>4.2394432175600683E-2</v>
      </c>
      <c r="AA41" s="8">
        <v>5.7779347093377842E-2</v>
      </c>
    </row>
    <row r="42" spans="2:27" x14ac:dyDescent="0.3">
      <c r="B42" s="12" t="s">
        <v>263</v>
      </c>
      <c r="C42" s="3" t="s">
        <v>819</v>
      </c>
      <c r="D42" s="3" t="s">
        <v>842</v>
      </c>
      <c r="E42" s="3" t="s">
        <v>821</v>
      </c>
      <c r="F42" s="5">
        <v>5.7</v>
      </c>
      <c r="G42" s="3"/>
      <c r="H42" s="4">
        <v>172.4</v>
      </c>
      <c r="I42" s="4">
        <v>173.38</v>
      </c>
      <c r="J42" s="4">
        <v>177.97</v>
      </c>
      <c r="K42" s="4">
        <v>182.1</v>
      </c>
      <c r="L42" s="4">
        <v>191.08</v>
      </c>
      <c r="M42" s="4">
        <v>195.97</v>
      </c>
      <c r="N42" s="4">
        <v>197.26</v>
      </c>
      <c r="O42" s="4">
        <v>206.7</v>
      </c>
      <c r="P42" s="4">
        <v>224.79</v>
      </c>
      <c r="Q42" s="4">
        <v>234.54</v>
      </c>
      <c r="R42" s="4">
        <v>240.11</v>
      </c>
      <c r="S42" s="4">
        <v>244.1</v>
      </c>
      <c r="T42" s="4">
        <v>256.44</v>
      </c>
      <c r="U42" s="4">
        <v>270.64999999999998</v>
      </c>
      <c r="V42" s="4">
        <v>268.64999999999998</v>
      </c>
      <c r="W42" s="4">
        <v>303.54000000000002</v>
      </c>
      <c r="X42" s="10">
        <v>3.354388791148244E-2</v>
      </c>
      <c r="Y42" s="8">
        <v>3.7028681590254083E-2</v>
      </c>
      <c r="Z42" s="8">
        <v>2.8221101552457158E-2</v>
      </c>
      <c r="AA42" s="8">
        <v>5.7162640406216443E-2</v>
      </c>
    </row>
    <row r="43" spans="2:27" x14ac:dyDescent="0.3">
      <c r="B43" s="12" t="s">
        <v>341</v>
      </c>
      <c r="C43" s="3" t="s">
        <v>819</v>
      </c>
      <c r="D43" s="3" t="s">
        <v>843</v>
      </c>
      <c r="E43" s="3" t="s">
        <v>821</v>
      </c>
      <c r="F43" s="5">
        <v>5.7</v>
      </c>
      <c r="G43" s="4">
        <v>1439</v>
      </c>
      <c r="H43" s="4">
        <v>1771</v>
      </c>
      <c r="I43" s="4">
        <v>1913</v>
      </c>
      <c r="J43" s="4">
        <v>1890</v>
      </c>
      <c r="K43" s="4">
        <v>1676</v>
      </c>
      <c r="L43" s="4">
        <v>1730</v>
      </c>
      <c r="M43" s="4">
        <v>1705</v>
      </c>
      <c r="N43" s="4">
        <v>1710</v>
      </c>
      <c r="O43" s="4">
        <v>0</v>
      </c>
      <c r="P43" s="4">
        <v>1309</v>
      </c>
      <c r="Q43" s="4">
        <v>1279</v>
      </c>
      <c r="R43" s="4">
        <v>1355</v>
      </c>
      <c r="S43" s="6">
        <v>1363</v>
      </c>
      <c r="T43" s="4">
        <v>1709</v>
      </c>
      <c r="U43" s="6">
        <v>1910</v>
      </c>
      <c r="V43" s="6">
        <v>2131</v>
      </c>
      <c r="W43" s="4">
        <v>1768</v>
      </c>
      <c r="X43" s="10">
        <v>7.5386355069732458E-2</v>
      </c>
      <c r="Y43" s="9">
        <v>0.1105853487556958</v>
      </c>
      <c r="Z43" s="9">
        <v>0.1224554205459998</v>
      </c>
      <c r="AA43" s="8">
        <v>5.6938000843525849E-2</v>
      </c>
    </row>
    <row r="44" spans="2:27" x14ac:dyDescent="0.3">
      <c r="B44" s="12" t="s">
        <v>409</v>
      </c>
      <c r="C44" s="3" t="s">
        <v>819</v>
      </c>
      <c r="D44" s="3" t="s">
        <v>838</v>
      </c>
      <c r="E44" s="3" t="s">
        <v>844</v>
      </c>
      <c r="F44" s="5">
        <v>5.4</v>
      </c>
      <c r="G44" s="4">
        <v>11896</v>
      </c>
      <c r="H44" s="4">
        <v>14946</v>
      </c>
      <c r="I44" s="4">
        <v>22174</v>
      </c>
      <c r="J44" s="4">
        <v>19560</v>
      </c>
      <c r="K44" s="4">
        <v>13170</v>
      </c>
      <c r="L44" s="6">
        <v>23319</v>
      </c>
      <c r="M44" s="4">
        <v>21250</v>
      </c>
      <c r="N44" s="4">
        <v>25956</v>
      </c>
      <c r="O44" s="4">
        <v>15993</v>
      </c>
      <c r="P44" s="4">
        <v>18120</v>
      </c>
      <c r="Q44" s="4">
        <v>22995</v>
      </c>
      <c r="R44" s="4">
        <v>26735</v>
      </c>
      <c r="S44" s="4">
        <v>18472</v>
      </c>
      <c r="T44" s="6">
        <v>29045</v>
      </c>
      <c r="U44" s="6">
        <v>38998</v>
      </c>
      <c r="V44" s="4">
        <v>36266</v>
      </c>
      <c r="W44" s="4">
        <v>25140</v>
      </c>
      <c r="X44" s="7">
        <v>0.1265610157317949</v>
      </c>
      <c r="Y44" s="9">
        <v>0.1645603463345913</v>
      </c>
      <c r="Z44" s="8">
        <v>8.4158940397351056E-2</v>
      </c>
      <c r="AA44" s="8">
        <v>5.4308076982594988E-2</v>
      </c>
    </row>
    <row r="45" spans="2:27" x14ac:dyDescent="0.3">
      <c r="B45" s="12" t="s">
        <v>137</v>
      </c>
      <c r="C45" s="3" t="s">
        <v>819</v>
      </c>
      <c r="D45" s="3" t="s">
        <v>845</v>
      </c>
      <c r="E45" s="3" t="s">
        <v>821</v>
      </c>
      <c r="F45" s="5">
        <v>5.2</v>
      </c>
      <c r="G45" s="4">
        <v>2540</v>
      </c>
      <c r="H45" s="4">
        <v>2868</v>
      </c>
      <c r="I45" s="4">
        <v>3389</v>
      </c>
      <c r="J45" s="4">
        <v>2321</v>
      </c>
      <c r="K45" s="4">
        <v>2608</v>
      </c>
      <c r="L45" s="4">
        <v>2012</v>
      </c>
      <c r="M45" s="4">
        <v>1775</v>
      </c>
      <c r="N45" s="4">
        <v>1273</v>
      </c>
      <c r="O45" s="4">
        <v>1571</v>
      </c>
      <c r="P45" s="4">
        <v>1470</v>
      </c>
      <c r="Q45" s="4">
        <v>1572</v>
      </c>
      <c r="R45" s="4">
        <v>1370</v>
      </c>
      <c r="S45" s="4">
        <v>1524</v>
      </c>
      <c r="T45" s="4">
        <v>1663</v>
      </c>
      <c r="U45" s="4">
        <v>1890</v>
      </c>
      <c r="V45" s="4">
        <v>1659</v>
      </c>
      <c r="W45" s="4">
        <v>1872</v>
      </c>
      <c r="X45" s="10">
        <v>3.2513477088948813E-2</v>
      </c>
      <c r="Y45" s="8">
        <v>5.1884483602545377E-2</v>
      </c>
      <c r="Z45" s="8">
        <v>4.4827051341709279E-2</v>
      </c>
      <c r="AA45" s="8">
        <v>5.1662707838479698E-2</v>
      </c>
    </row>
    <row r="46" spans="2:27" x14ac:dyDescent="0.3">
      <c r="B46" s="12" t="s">
        <v>57</v>
      </c>
      <c r="C46" s="3" t="s">
        <v>819</v>
      </c>
      <c r="D46" s="3" t="s">
        <v>846</v>
      </c>
      <c r="E46" s="3" t="s">
        <v>821</v>
      </c>
      <c r="F46" s="5">
        <v>4.3</v>
      </c>
      <c r="G46" s="4">
        <v>1392</v>
      </c>
      <c r="H46" s="4">
        <v>1173</v>
      </c>
      <c r="I46" s="4">
        <v>1241</v>
      </c>
      <c r="J46" s="4">
        <v>1140</v>
      </c>
      <c r="K46" s="4">
        <v>1306</v>
      </c>
      <c r="L46" s="4">
        <v>1147</v>
      </c>
      <c r="M46" s="4">
        <v>1321</v>
      </c>
      <c r="N46" s="4">
        <v>1278</v>
      </c>
      <c r="O46" s="4">
        <v>1483</v>
      </c>
      <c r="P46" s="4">
        <v>1382</v>
      </c>
      <c r="Q46" s="4">
        <v>1507</v>
      </c>
      <c r="R46" s="4">
        <v>1586</v>
      </c>
      <c r="S46" s="4">
        <v>1823</v>
      </c>
      <c r="T46" s="4">
        <v>1535</v>
      </c>
      <c r="U46" s="4">
        <v>1815</v>
      </c>
      <c r="V46" s="4">
        <v>1771</v>
      </c>
      <c r="W46" s="4">
        <v>2125</v>
      </c>
      <c r="X46" s="10">
        <v>2.4293426484598198E-2</v>
      </c>
      <c r="Y46" s="8">
        <v>4.7744535730894537E-2</v>
      </c>
      <c r="Z46" s="8">
        <v>2.7370912856931499E-2</v>
      </c>
      <c r="AA46" s="8">
        <v>4.3490783410138352E-2</v>
      </c>
    </row>
    <row r="47" spans="2:27" x14ac:dyDescent="0.3">
      <c r="B47" s="12" t="s">
        <v>81</v>
      </c>
      <c r="C47" s="3" t="s">
        <v>819</v>
      </c>
      <c r="D47" s="3" t="s">
        <v>837</v>
      </c>
      <c r="E47" s="3" t="s">
        <v>821</v>
      </c>
      <c r="F47" s="5">
        <v>4.3</v>
      </c>
      <c r="G47" s="4">
        <v>2471</v>
      </c>
      <c r="H47" s="4">
        <v>2989</v>
      </c>
      <c r="I47" s="4">
        <v>2818</v>
      </c>
      <c r="J47" s="4">
        <v>3475</v>
      </c>
      <c r="K47" s="4">
        <v>2986</v>
      </c>
      <c r="L47" s="4">
        <v>3231</v>
      </c>
      <c r="M47" s="4">
        <v>3006</v>
      </c>
      <c r="N47" s="4">
        <v>3487</v>
      </c>
      <c r="O47" s="4">
        <v>2961</v>
      </c>
      <c r="P47" s="4">
        <v>3287</v>
      </c>
      <c r="Q47" s="4">
        <v>3280</v>
      </c>
      <c r="R47" s="4">
        <v>3729</v>
      </c>
      <c r="S47" s="4">
        <v>3176</v>
      </c>
      <c r="T47" s="4">
        <v>3765</v>
      </c>
      <c r="U47" s="4">
        <v>3380</v>
      </c>
      <c r="V47" s="4">
        <v>4148</v>
      </c>
      <c r="W47" s="4">
        <v>3797</v>
      </c>
      <c r="X47" s="10">
        <v>3.5480997624703033E-2</v>
      </c>
      <c r="Y47" s="8">
        <v>7.1684587813620748E-3</v>
      </c>
      <c r="Z47" s="8">
        <v>2.9822064056939549E-2</v>
      </c>
      <c r="AA47" s="8">
        <v>4.2919344806137349E-2</v>
      </c>
    </row>
    <row r="48" spans="2:27" x14ac:dyDescent="0.3">
      <c r="B48" s="12" t="s">
        <v>242</v>
      </c>
      <c r="C48" s="3" t="s">
        <v>819</v>
      </c>
      <c r="D48" s="3" t="s">
        <v>829</v>
      </c>
      <c r="E48" s="3" t="s">
        <v>821</v>
      </c>
      <c r="F48" s="5">
        <v>4.3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8.56</v>
      </c>
      <c r="O48" s="6">
        <v>42.14</v>
      </c>
      <c r="P48" s="6">
        <v>45.25</v>
      </c>
      <c r="Q48" s="6">
        <v>70.28</v>
      </c>
      <c r="R48" s="6">
        <v>83.84</v>
      </c>
      <c r="S48" s="6">
        <v>91.14</v>
      </c>
      <c r="T48" s="6">
        <v>88.18</v>
      </c>
      <c r="U48" s="4">
        <v>96.04</v>
      </c>
      <c r="V48" s="4">
        <v>97.8</v>
      </c>
      <c r="W48" s="4">
        <v>107.11</v>
      </c>
      <c r="X48" s="7">
        <v>0.14777460328388001</v>
      </c>
      <c r="Y48" s="8">
        <v>7.7255278310940589E-2</v>
      </c>
      <c r="Z48" s="8">
        <v>3.8864142538975521E-2</v>
      </c>
      <c r="AA48" s="8">
        <v>4.2796655590095378E-2</v>
      </c>
    </row>
    <row r="49" spans="2:27" x14ac:dyDescent="0.3">
      <c r="B49" s="12" t="s">
        <v>787</v>
      </c>
      <c r="C49" s="3" t="s">
        <v>819</v>
      </c>
      <c r="D49" s="3" t="s">
        <v>847</v>
      </c>
      <c r="E49" s="3" t="s">
        <v>821</v>
      </c>
      <c r="F49" s="5">
        <v>3.9</v>
      </c>
      <c r="G49" s="4">
        <v>35.31</v>
      </c>
      <c r="H49" s="4">
        <v>35.53</v>
      </c>
      <c r="I49" s="4">
        <v>36.4</v>
      </c>
      <c r="J49" s="4">
        <v>39.83</v>
      </c>
      <c r="K49" s="4">
        <v>37.22</v>
      </c>
      <c r="L49" s="4">
        <v>36.549999999999997</v>
      </c>
      <c r="M49" s="4">
        <v>38.659999999999997</v>
      </c>
      <c r="N49" s="4">
        <v>36.46</v>
      </c>
      <c r="O49" s="4">
        <v>35.909999999999997</v>
      </c>
      <c r="P49" s="4">
        <v>35.72</v>
      </c>
      <c r="Q49" s="4">
        <v>37.06</v>
      </c>
      <c r="R49" s="4">
        <v>39.24</v>
      </c>
      <c r="S49" s="4">
        <v>37.380000000000003</v>
      </c>
      <c r="T49" s="4">
        <v>37.5</v>
      </c>
      <c r="U49" s="4">
        <v>39.53</v>
      </c>
      <c r="V49" s="4">
        <v>40.840000000000003</v>
      </c>
      <c r="W49" s="4">
        <v>43.46</v>
      </c>
      <c r="X49" s="10">
        <v>1.1914323962516789E-2</v>
      </c>
      <c r="Y49" s="8">
        <v>1.6338139965603959E-2</v>
      </c>
      <c r="Z49" s="8">
        <v>1.0413276928083359E-2</v>
      </c>
      <c r="AA49" s="8">
        <v>3.9162640901771351E-2</v>
      </c>
    </row>
    <row r="50" spans="2:27" x14ac:dyDescent="0.3">
      <c r="B50" s="12" t="s">
        <v>24</v>
      </c>
      <c r="C50" s="3" t="s">
        <v>819</v>
      </c>
      <c r="D50" s="3" t="s">
        <v>841</v>
      </c>
      <c r="E50" s="3" t="s">
        <v>848</v>
      </c>
      <c r="F50" s="5">
        <v>3.5</v>
      </c>
      <c r="G50" s="4">
        <v>1317</v>
      </c>
      <c r="H50" s="4">
        <v>1387</v>
      </c>
      <c r="I50" s="4">
        <v>1551</v>
      </c>
      <c r="J50" s="4">
        <v>1563</v>
      </c>
      <c r="K50" s="4">
        <v>1655</v>
      </c>
      <c r="L50" s="4">
        <v>1721</v>
      </c>
      <c r="M50" s="4">
        <v>1953</v>
      </c>
      <c r="N50" s="4">
        <v>1878</v>
      </c>
      <c r="O50" s="4">
        <v>1975</v>
      </c>
      <c r="P50" s="4">
        <v>1985</v>
      </c>
      <c r="Q50" s="4">
        <v>2190</v>
      </c>
      <c r="R50" s="4">
        <v>2139</v>
      </c>
      <c r="S50" s="4">
        <v>2257</v>
      </c>
      <c r="T50" s="4">
        <v>2289</v>
      </c>
      <c r="U50" s="4">
        <v>2536</v>
      </c>
      <c r="V50" s="4">
        <v>2474</v>
      </c>
      <c r="W50" s="4">
        <v>2594</v>
      </c>
      <c r="X50" s="10">
        <v>3.5468440088671123E-2</v>
      </c>
      <c r="Y50" s="8">
        <v>3.8985915492957712E-2</v>
      </c>
      <c r="Z50" s="8">
        <v>3.6330116039475113E-2</v>
      </c>
      <c r="AA50" s="8">
        <v>3.5265801590623758E-2</v>
      </c>
    </row>
    <row r="51" spans="2:27" x14ac:dyDescent="0.3">
      <c r="B51" s="12" t="s">
        <v>220</v>
      </c>
      <c r="C51" s="3" t="s">
        <v>819</v>
      </c>
      <c r="D51" s="3" t="s">
        <v>849</v>
      </c>
      <c r="E51" s="3" t="s">
        <v>821</v>
      </c>
      <c r="F51" s="5">
        <v>3.5</v>
      </c>
      <c r="G51" s="4">
        <v>1431</v>
      </c>
      <c r="H51" s="4">
        <v>1696</v>
      </c>
      <c r="I51" s="4">
        <v>1836</v>
      </c>
      <c r="J51" s="4">
        <v>1698</v>
      </c>
      <c r="K51" s="4">
        <v>1583</v>
      </c>
      <c r="L51" s="4">
        <v>1744</v>
      </c>
      <c r="M51" s="4">
        <v>1702</v>
      </c>
      <c r="N51" s="4">
        <v>1594</v>
      </c>
      <c r="O51" s="4">
        <v>1362</v>
      </c>
      <c r="P51" s="4">
        <v>1365</v>
      </c>
      <c r="Q51" s="4">
        <v>1444</v>
      </c>
      <c r="R51" s="4">
        <v>1273</v>
      </c>
      <c r="S51" s="4">
        <v>1155</v>
      </c>
      <c r="T51" s="4">
        <v>1222</v>
      </c>
      <c r="U51" s="4">
        <v>1447</v>
      </c>
      <c r="V51" s="4">
        <v>1360</v>
      </c>
      <c r="W51" s="4">
        <v>1334</v>
      </c>
      <c r="X51" s="10">
        <v>-2.7305709375596732E-2</v>
      </c>
      <c r="Y51" s="8">
        <v>5.8892815076561078E-4</v>
      </c>
      <c r="Z51" s="8">
        <v>1.706886403766927E-2</v>
      </c>
      <c r="AA51" s="8">
        <v>3.4529320987654273E-2</v>
      </c>
    </row>
    <row r="52" spans="2:27" x14ac:dyDescent="0.3">
      <c r="B52" s="12" t="s">
        <v>18</v>
      </c>
      <c r="C52" s="3" t="s">
        <v>819</v>
      </c>
      <c r="D52" s="3" t="s">
        <v>850</v>
      </c>
      <c r="E52" s="3" t="s">
        <v>821</v>
      </c>
      <c r="F52" s="5">
        <v>3.4</v>
      </c>
      <c r="G52" s="4">
        <v>2981</v>
      </c>
      <c r="H52" s="4">
        <v>2695</v>
      </c>
      <c r="I52" s="4">
        <v>4294</v>
      </c>
      <c r="J52" s="4">
        <v>6052</v>
      </c>
      <c r="K52" s="4">
        <v>4049</v>
      </c>
      <c r="L52" s="4">
        <v>3778</v>
      </c>
      <c r="M52" s="4">
        <v>5462</v>
      </c>
      <c r="N52" s="4">
        <v>7341</v>
      </c>
      <c r="O52" s="4">
        <v>4784</v>
      </c>
      <c r="P52" s="4">
        <v>4415</v>
      </c>
      <c r="Q52" s="4">
        <v>5859</v>
      </c>
      <c r="R52" s="4">
        <v>7994</v>
      </c>
      <c r="S52" s="4">
        <v>5471</v>
      </c>
      <c r="T52" s="4">
        <v>4762</v>
      </c>
      <c r="U52" s="4">
        <v>6798</v>
      </c>
      <c r="V52" s="4">
        <v>9008</v>
      </c>
      <c r="W52" s="4">
        <v>6349</v>
      </c>
      <c r="X52" s="10">
        <v>1.461729643203169E-2</v>
      </c>
      <c r="Y52" s="8">
        <v>3.8985302665448751E-2</v>
      </c>
      <c r="Z52" s="8">
        <v>4.0519480519480622E-2</v>
      </c>
      <c r="AA52" s="8">
        <v>3.3718652790045711E-2</v>
      </c>
    </row>
    <row r="53" spans="2:27" x14ac:dyDescent="0.3">
      <c r="B53" s="12" t="s">
        <v>303</v>
      </c>
      <c r="C53" s="3" t="s">
        <v>819</v>
      </c>
      <c r="D53" s="3" t="s">
        <v>851</v>
      </c>
      <c r="E53" s="3" t="s">
        <v>821</v>
      </c>
      <c r="F53" s="5">
        <v>3.3</v>
      </c>
      <c r="G53" s="4">
        <v>212.7</v>
      </c>
      <c r="H53" s="4">
        <v>270.10000000000002</v>
      </c>
      <c r="I53" s="4">
        <v>277.10000000000002</v>
      </c>
      <c r="J53" s="4">
        <v>280.10000000000002</v>
      </c>
      <c r="K53" s="4">
        <v>271.89999999999998</v>
      </c>
      <c r="L53" s="4">
        <v>282.60000000000002</v>
      </c>
      <c r="M53" s="4">
        <v>276.89999999999998</v>
      </c>
      <c r="N53" s="4">
        <v>250.7</v>
      </c>
      <c r="O53" s="4">
        <v>249.1</v>
      </c>
      <c r="P53" s="4">
        <v>257.5</v>
      </c>
      <c r="Q53" s="4">
        <v>271.89999999999998</v>
      </c>
      <c r="R53" s="4">
        <v>260.89999999999998</v>
      </c>
      <c r="S53" s="4">
        <v>258.39999999999998</v>
      </c>
      <c r="T53" s="4">
        <v>273.2</v>
      </c>
      <c r="U53" s="4">
        <v>288.10000000000002</v>
      </c>
      <c r="V53" s="4">
        <v>286.60000000000002</v>
      </c>
      <c r="W53" s="4">
        <v>295.39999999999998</v>
      </c>
      <c r="X53" s="10">
        <v>1.497091637265191E-2</v>
      </c>
      <c r="Y53" s="8">
        <v>1.521984216459993E-2</v>
      </c>
      <c r="Z53" s="8">
        <v>2.378308347214508E-2</v>
      </c>
      <c r="AA53" s="8">
        <v>3.3444816053511683E-2</v>
      </c>
    </row>
    <row r="54" spans="2:27" x14ac:dyDescent="0.3">
      <c r="B54" s="12" t="s">
        <v>91</v>
      </c>
      <c r="C54" s="3" t="s">
        <v>819</v>
      </c>
      <c r="D54" s="3" t="s">
        <v>827</v>
      </c>
      <c r="E54" s="3" t="s">
        <v>821</v>
      </c>
      <c r="F54" s="5">
        <v>3.3</v>
      </c>
      <c r="G54" s="4">
        <v>147.18</v>
      </c>
      <c r="H54" s="4">
        <v>147.34</v>
      </c>
      <c r="I54" s="4">
        <v>176.27</v>
      </c>
      <c r="J54" s="4">
        <v>191.11</v>
      </c>
      <c r="K54" s="4">
        <v>152.71</v>
      </c>
      <c r="L54" s="4">
        <v>146.36000000000001</v>
      </c>
      <c r="M54" s="4">
        <v>160.61000000000001</v>
      </c>
      <c r="N54" s="4">
        <v>157.97</v>
      </c>
      <c r="O54" s="4">
        <v>166.66</v>
      </c>
      <c r="P54" s="4">
        <v>174.14</v>
      </c>
      <c r="Q54" s="4">
        <v>172.33</v>
      </c>
      <c r="R54" s="4">
        <v>173.56</v>
      </c>
      <c r="S54" s="4">
        <v>185.78</v>
      </c>
      <c r="T54" s="4">
        <v>195.98</v>
      </c>
      <c r="U54" s="4">
        <v>187.54</v>
      </c>
      <c r="V54" s="4">
        <v>203.09</v>
      </c>
      <c r="W54" s="4">
        <v>211.58</v>
      </c>
      <c r="X54" s="10">
        <v>3.0943171675096751E-2</v>
      </c>
      <c r="Y54" s="8">
        <v>2.0902906617192411E-2</v>
      </c>
      <c r="Z54" s="8">
        <v>3.9751770185499247E-2</v>
      </c>
      <c r="AA54" s="8">
        <v>3.3402814640272498E-2</v>
      </c>
    </row>
    <row r="55" spans="2:27" x14ac:dyDescent="0.3">
      <c r="B55" s="12" t="s">
        <v>405</v>
      </c>
      <c r="C55" s="3" t="s">
        <v>819</v>
      </c>
      <c r="D55" s="3" t="s">
        <v>852</v>
      </c>
      <c r="E55" s="3" t="s">
        <v>821</v>
      </c>
      <c r="F55" s="5">
        <v>3.3</v>
      </c>
      <c r="G55" s="4">
        <v>116.62</v>
      </c>
      <c r="H55" s="4">
        <v>108.57</v>
      </c>
      <c r="I55" s="4">
        <v>122.61</v>
      </c>
      <c r="J55" s="4">
        <v>134.97999999999999</v>
      </c>
      <c r="K55" s="4">
        <v>125.37</v>
      </c>
      <c r="L55" s="6">
        <v>161.41999999999999</v>
      </c>
      <c r="M55" s="4">
        <v>157.4</v>
      </c>
      <c r="N55" s="4">
        <v>151.69999999999999</v>
      </c>
      <c r="O55" s="4">
        <v>125.18</v>
      </c>
      <c r="P55" s="4">
        <v>135.25</v>
      </c>
      <c r="Q55" s="4">
        <v>155.33000000000001</v>
      </c>
      <c r="R55" s="4">
        <v>161.78</v>
      </c>
      <c r="S55" s="4">
        <v>143.1</v>
      </c>
      <c r="T55" s="4">
        <v>148.01</v>
      </c>
      <c r="U55" s="4">
        <v>163.07</v>
      </c>
      <c r="V55" s="4">
        <v>182.72</v>
      </c>
      <c r="W55" s="4">
        <v>164.28</v>
      </c>
      <c r="X55" s="10">
        <v>2.1428811339132769E-2</v>
      </c>
      <c r="Y55" s="8">
        <v>1.272565847884E-2</v>
      </c>
      <c r="Z55" s="8">
        <v>3.3995714007402977E-2</v>
      </c>
      <c r="AA55" s="8">
        <v>3.3254828073480791E-2</v>
      </c>
    </row>
    <row r="56" spans="2:27" x14ac:dyDescent="0.3">
      <c r="B56" s="12" t="s">
        <v>301</v>
      </c>
      <c r="C56" s="3" t="s">
        <v>819</v>
      </c>
      <c r="D56" s="3" t="s">
        <v>853</v>
      </c>
      <c r="E56" s="3" t="s">
        <v>821</v>
      </c>
      <c r="F56" s="5">
        <v>3.3</v>
      </c>
      <c r="G56" s="4">
        <v>1049</v>
      </c>
      <c r="H56" s="4">
        <v>805.46</v>
      </c>
      <c r="I56" s="4">
        <v>785.63</v>
      </c>
      <c r="J56" s="4">
        <v>900.29</v>
      </c>
      <c r="K56" s="4">
        <v>1152</v>
      </c>
      <c r="L56" s="4">
        <v>1107</v>
      </c>
      <c r="M56" s="4">
        <v>1083</v>
      </c>
      <c r="N56" s="4">
        <v>1065</v>
      </c>
      <c r="O56" s="4">
        <v>1375</v>
      </c>
      <c r="P56" s="4">
        <v>1274</v>
      </c>
      <c r="Q56" s="4">
        <v>1310</v>
      </c>
      <c r="R56" s="4">
        <v>1530</v>
      </c>
      <c r="S56" s="4">
        <v>1346</v>
      </c>
      <c r="T56" s="4">
        <v>1394</v>
      </c>
      <c r="U56" s="4">
        <v>1475</v>
      </c>
      <c r="V56" s="4">
        <v>1585</v>
      </c>
      <c r="W56" s="4">
        <v>1536</v>
      </c>
      <c r="X56" s="10">
        <v>2.19780219780219E-2</v>
      </c>
      <c r="Y56" s="8">
        <v>2.956989247311825E-2</v>
      </c>
      <c r="Z56" s="8">
        <v>9.5735422106180135E-3</v>
      </c>
      <c r="AA56" s="8">
        <v>3.2758620689655071E-2</v>
      </c>
    </row>
    <row r="57" spans="2:27" x14ac:dyDescent="0.3">
      <c r="B57" s="12" t="s">
        <v>53</v>
      </c>
      <c r="C57" s="3" t="s">
        <v>819</v>
      </c>
      <c r="D57" s="3" t="s">
        <v>865</v>
      </c>
      <c r="E57" s="3" t="s">
        <v>905</v>
      </c>
      <c r="F57" s="5">
        <v>3.3</v>
      </c>
      <c r="G57" s="4">
        <v>7845</v>
      </c>
      <c r="I57" s="4">
        <v>8280</v>
      </c>
      <c r="K57" s="4">
        <v>9040</v>
      </c>
      <c r="M57" s="4">
        <v>8977</v>
      </c>
      <c r="O57" s="4">
        <v>9325</v>
      </c>
      <c r="Q57" s="4">
        <v>9828</v>
      </c>
      <c r="S57" s="4">
        <v>10610</v>
      </c>
      <c r="U57" s="4">
        <v>10274</v>
      </c>
      <c r="W57" s="4">
        <v>10627</v>
      </c>
      <c r="X57" s="10">
        <v>4.3456291056088947E-2</v>
      </c>
      <c r="Y57" s="8">
        <v>4.2238364272262567E-2</v>
      </c>
      <c r="Z57" s="8">
        <v>3.3479607640681357E-2</v>
      </c>
      <c r="AA57" s="8">
        <v>3.2519919074855741E-2</v>
      </c>
    </row>
    <row r="58" spans="2:27" x14ac:dyDescent="0.3">
      <c r="B58" s="12" t="s">
        <v>395</v>
      </c>
      <c r="C58" s="3" t="s">
        <v>819</v>
      </c>
      <c r="D58" s="3" t="s">
        <v>849</v>
      </c>
      <c r="E58" s="3" t="s">
        <v>821</v>
      </c>
      <c r="F58" s="5">
        <v>3.2</v>
      </c>
      <c r="G58" s="4">
        <v>1213</v>
      </c>
      <c r="H58" s="4">
        <v>1645</v>
      </c>
      <c r="I58" s="4">
        <v>1536</v>
      </c>
      <c r="J58" s="4">
        <v>1132</v>
      </c>
      <c r="K58" s="4">
        <v>894.35</v>
      </c>
      <c r="L58" s="4">
        <v>973.31</v>
      </c>
      <c r="M58" s="4">
        <v>1015</v>
      </c>
      <c r="N58" s="4">
        <v>959.32</v>
      </c>
      <c r="O58" s="4">
        <v>837.54</v>
      </c>
      <c r="P58" s="4">
        <v>968.03</v>
      </c>
      <c r="Q58" s="4">
        <v>1055</v>
      </c>
      <c r="R58" s="4">
        <v>915.5</v>
      </c>
      <c r="S58" s="4">
        <v>803.14</v>
      </c>
      <c r="T58" s="4">
        <v>1046</v>
      </c>
      <c r="U58" s="4">
        <v>1107</v>
      </c>
      <c r="V58" s="4">
        <v>1036</v>
      </c>
      <c r="W58" s="4">
        <v>932.7</v>
      </c>
      <c r="X58" s="10">
        <v>2.0838288785488771E-2</v>
      </c>
      <c r="Y58" s="8">
        <v>1.361384842550617E-2</v>
      </c>
      <c r="Z58" s="8">
        <v>3.1123761506751672E-2</v>
      </c>
      <c r="AA58" s="8">
        <v>3.2453771661314468E-2</v>
      </c>
    </row>
    <row r="59" spans="2:27" x14ac:dyDescent="0.3">
      <c r="B59" s="12" t="s">
        <v>673</v>
      </c>
      <c r="C59" s="3" t="s">
        <v>819</v>
      </c>
      <c r="D59" s="3" t="s">
        <v>854</v>
      </c>
      <c r="E59" s="3" t="s">
        <v>821</v>
      </c>
      <c r="F59" s="5">
        <v>3.2</v>
      </c>
      <c r="G59" s="4">
        <v>183.28</v>
      </c>
      <c r="H59" s="4">
        <v>136.22999999999999</v>
      </c>
      <c r="I59" s="4">
        <v>137.76</v>
      </c>
      <c r="J59" s="4">
        <v>135.97</v>
      </c>
      <c r="K59" s="4">
        <v>126.97</v>
      </c>
      <c r="L59" s="4">
        <v>94.39</v>
      </c>
      <c r="M59" s="4">
        <v>90.56</v>
      </c>
      <c r="N59" s="4">
        <v>83.36</v>
      </c>
      <c r="O59" s="4">
        <v>115.52</v>
      </c>
      <c r="P59" s="4">
        <v>117.44</v>
      </c>
      <c r="Q59" s="4">
        <v>107.05</v>
      </c>
      <c r="R59" s="4">
        <v>99.33</v>
      </c>
      <c r="S59" s="4">
        <v>99.2</v>
      </c>
      <c r="T59" s="4">
        <v>71.27</v>
      </c>
      <c r="U59" s="4">
        <v>80.94</v>
      </c>
      <c r="V59" s="4">
        <v>79.92</v>
      </c>
      <c r="W59" s="4">
        <v>109.92</v>
      </c>
      <c r="X59" s="10">
        <v>-0.10914377570800431</v>
      </c>
      <c r="Y59" s="8">
        <v>-6.9284861350670024E-2</v>
      </c>
      <c r="Z59" s="8">
        <v>-5.5340137993955651E-2</v>
      </c>
      <c r="AA59" s="8">
        <v>3.2354450245978487E-2</v>
      </c>
    </row>
    <row r="60" spans="2:27" x14ac:dyDescent="0.3">
      <c r="B60" s="12" t="s">
        <v>335</v>
      </c>
      <c r="C60" s="3" t="s">
        <v>819</v>
      </c>
      <c r="D60" s="3" t="s">
        <v>855</v>
      </c>
      <c r="E60" s="3" t="s">
        <v>821</v>
      </c>
      <c r="F60" s="5">
        <v>3.2</v>
      </c>
      <c r="G60" s="3"/>
      <c r="H60" s="4">
        <v>309.97000000000003</v>
      </c>
      <c r="I60" s="4">
        <v>711.81</v>
      </c>
      <c r="J60" s="4">
        <v>975.43</v>
      </c>
      <c r="K60" s="4">
        <v>537.52</v>
      </c>
      <c r="L60" s="4">
        <v>307.89999999999998</v>
      </c>
      <c r="M60" s="4">
        <v>785.19</v>
      </c>
      <c r="N60" s="4">
        <v>1090</v>
      </c>
      <c r="O60" s="4">
        <v>646.89</v>
      </c>
      <c r="P60" s="4">
        <v>329.59</v>
      </c>
      <c r="Q60" s="4">
        <v>806.91</v>
      </c>
      <c r="R60" s="4">
        <v>1105</v>
      </c>
      <c r="S60" s="4">
        <v>657.22</v>
      </c>
      <c r="T60" s="4">
        <v>353.47</v>
      </c>
      <c r="U60" s="4">
        <v>833.76</v>
      </c>
      <c r="V60" s="4">
        <v>1204</v>
      </c>
      <c r="W60" s="4">
        <v>755.1</v>
      </c>
      <c r="X60" s="10">
        <v>8.2381188938567274E-3</v>
      </c>
      <c r="Y60" s="8">
        <v>9.18702525148829E-3</v>
      </c>
      <c r="Z60" s="8">
        <v>3.356558002339427E-2</v>
      </c>
      <c r="AA60" s="8">
        <v>3.210812052026446E-2</v>
      </c>
    </row>
    <row r="61" spans="2:27" x14ac:dyDescent="0.3">
      <c r="B61" s="12" t="s">
        <v>151</v>
      </c>
      <c r="C61" s="3" t="s">
        <v>819</v>
      </c>
      <c r="D61" s="3" t="s">
        <v>856</v>
      </c>
      <c r="E61" s="3" t="s">
        <v>821</v>
      </c>
      <c r="F61" s="5">
        <v>3.2</v>
      </c>
      <c r="G61" s="4">
        <v>5946</v>
      </c>
      <c r="H61" s="4">
        <v>4801</v>
      </c>
      <c r="I61" s="4">
        <v>5278</v>
      </c>
      <c r="J61" s="4">
        <v>5178</v>
      </c>
      <c r="K61" s="4">
        <v>5605</v>
      </c>
      <c r="L61" s="4">
        <v>4716</v>
      </c>
      <c r="M61" s="4">
        <v>5053</v>
      </c>
      <c r="N61" s="4">
        <v>5111</v>
      </c>
      <c r="O61" s="4">
        <v>5881</v>
      </c>
      <c r="P61" s="4">
        <v>5125</v>
      </c>
      <c r="Q61" s="4">
        <v>5629</v>
      </c>
      <c r="R61" s="4">
        <v>5869</v>
      </c>
      <c r="S61" s="4">
        <v>6811</v>
      </c>
      <c r="T61" s="4">
        <v>5746</v>
      </c>
      <c r="U61" s="4">
        <v>6250</v>
      </c>
      <c r="V61" s="4">
        <v>6510</v>
      </c>
      <c r="W61" s="4">
        <v>7609</v>
      </c>
      <c r="X61" s="10">
        <v>2.6499957326960869E-2</v>
      </c>
      <c r="Y61" s="8">
        <v>2.581583870297233E-2</v>
      </c>
      <c r="Z61" s="8">
        <v>2.5976657480953239E-2</v>
      </c>
      <c r="AA61" s="8">
        <v>3.1520322313070233E-2</v>
      </c>
    </row>
    <row r="62" spans="2:27" x14ac:dyDescent="0.3">
      <c r="B62" s="12" t="s">
        <v>763</v>
      </c>
      <c r="C62" s="3" t="s">
        <v>819</v>
      </c>
      <c r="D62" s="3" t="s">
        <v>857</v>
      </c>
      <c r="E62" s="3" t="s">
        <v>821</v>
      </c>
      <c r="F62" s="5">
        <v>3.1</v>
      </c>
      <c r="G62" s="4">
        <v>48.86</v>
      </c>
      <c r="H62" s="4">
        <v>49.46</v>
      </c>
      <c r="I62" s="4">
        <v>49.65</v>
      </c>
      <c r="J62" s="4">
        <v>50.79</v>
      </c>
      <c r="K62" s="4">
        <v>46.65</v>
      </c>
      <c r="L62" s="4">
        <v>46.42</v>
      </c>
      <c r="M62" s="4">
        <v>48.98</v>
      </c>
      <c r="N62" s="4">
        <v>49.93</v>
      </c>
      <c r="O62" s="4">
        <v>49.56</v>
      </c>
      <c r="P62" s="4">
        <v>50.41</v>
      </c>
      <c r="Q62" s="4">
        <v>53.25</v>
      </c>
      <c r="R62" s="4">
        <v>51.73</v>
      </c>
      <c r="S62" s="4">
        <v>52.93</v>
      </c>
      <c r="T62" s="4">
        <v>58.14</v>
      </c>
      <c r="U62" s="4">
        <v>51.89</v>
      </c>
      <c r="V62" s="4">
        <v>56.8</v>
      </c>
      <c r="W62" s="4">
        <v>59.71</v>
      </c>
      <c r="X62" s="10">
        <v>3.7106374807987841E-2</v>
      </c>
      <c r="Y62" s="8">
        <v>-6.2948391576024276E-3</v>
      </c>
      <c r="Z62" s="8">
        <v>2.3615445526107282E-2</v>
      </c>
      <c r="AA62" s="8">
        <v>3.0851838369129862E-2</v>
      </c>
    </row>
    <row r="63" spans="2:27" x14ac:dyDescent="0.3">
      <c r="B63" s="12" t="s">
        <v>34</v>
      </c>
      <c r="C63" s="3" t="s">
        <v>819</v>
      </c>
      <c r="D63" s="3" t="s">
        <v>858</v>
      </c>
      <c r="E63" s="3" t="s">
        <v>821</v>
      </c>
      <c r="F63" s="5">
        <v>2.9</v>
      </c>
      <c r="G63" s="4">
        <v>1539</v>
      </c>
      <c r="H63" s="4">
        <v>1522</v>
      </c>
      <c r="I63" s="4">
        <v>1381</v>
      </c>
      <c r="J63" s="4">
        <v>1275</v>
      </c>
      <c r="K63" s="4">
        <v>1290</v>
      </c>
      <c r="L63" s="4">
        <v>1470</v>
      </c>
      <c r="M63" s="4">
        <v>1494</v>
      </c>
      <c r="N63" s="4">
        <v>1472</v>
      </c>
      <c r="O63" s="4">
        <v>1480</v>
      </c>
      <c r="P63" s="4">
        <v>1786</v>
      </c>
      <c r="Q63" s="4">
        <v>1817</v>
      </c>
      <c r="R63" s="4">
        <v>1813</v>
      </c>
      <c r="S63" s="4">
        <v>1672</v>
      </c>
      <c r="T63" s="4">
        <v>1924</v>
      </c>
      <c r="U63" s="4">
        <v>1898</v>
      </c>
      <c r="V63" s="4">
        <v>2007</v>
      </c>
      <c r="W63" s="4">
        <v>1889</v>
      </c>
      <c r="X63" s="10">
        <v>1.946952595936802E-2</v>
      </c>
      <c r="Y63" s="8">
        <v>1.12095211735399E-2</v>
      </c>
      <c r="Z63" s="8">
        <v>2.6549883673190111E-2</v>
      </c>
      <c r="AA63" s="8">
        <v>2.89294760698573E-2</v>
      </c>
    </row>
    <row r="64" spans="2:27" x14ac:dyDescent="0.3">
      <c r="B64" s="12" t="s">
        <v>173</v>
      </c>
      <c r="C64" s="3" t="s">
        <v>819</v>
      </c>
      <c r="D64" s="3" t="s">
        <v>859</v>
      </c>
      <c r="E64" s="3" t="s">
        <v>821</v>
      </c>
      <c r="F64" s="5">
        <v>2.8</v>
      </c>
      <c r="G64" s="4">
        <v>993</v>
      </c>
      <c r="H64" s="4">
        <v>1076</v>
      </c>
      <c r="I64" s="4">
        <v>1383</v>
      </c>
      <c r="J64" s="4">
        <v>1188</v>
      </c>
      <c r="K64" s="4">
        <v>1263</v>
      </c>
      <c r="L64" s="4">
        <v>1388</v>
      </c>
      <c r="M64" s="4">
        <v>1397</v>
      </c>
      <c r="N64" s="4">
        <v>1210</v>
      </c>
      <c r="O64" s="4">
        <v>1322</v>
      </c>
      <c r="P64" s="4">
        <v>1479</v>
      </c>
      <c r="Q64" s="4">
        <v>1468</v>
      </c>
      <c r="R64" s="4">
        <v>1321</v>
      </c>
      <c r="S64" s="4">
        <v>1423</v>
      </c>
      <c r="T64" s="4">
        <v>1604</v>
      </c>
      <c r="U64" s="4">
        <v>1590</v>
      </c>
      <c r="V64" s="4">
        <v>1333</v>
      </c>
      <c r="W64" s="4">
        <v>1587</v>
      </c>
      <c r="X64" s="10">
        <v>2.1964505359339359E-2</v>
      </c>
      <c r="Y64" s="8">
        <v>2.0976616231086709E-2</v>
      </c>
      <c r="Z64" s="8">
        <v>2.0208824520040469E-3</v>
      </c>
      <c r="AA64" s="8">
        <v>2.7563025210084021E-2</v>
      </c>
    </row>
    <row r="65" spans="2:27" x14ac:dyDescent="0.3">
      <c r="B65" s="12" t="s">
        <v>371</v>
      </c>
      <c r="C65" s="3" t="s">
        <v>819</v>
      </c>
      <c r="D65" s="3" t="s">
        <v>851</v>
      </c>
      <c r="E65" s="3" t="s">
        <v>821</v>
      </c>
      <c r="F65" s="5">
        <v>2.8</v>
      </c>
      <c r="G65" s="4">
        <v>218.52</v>
      </c>
      <c r="H65" s="4">
        <v>226.48</v>
      </c>
      <c r="I65" s="4">
        <v>221.65</v>
      </c>
      <c r="J65" s="4">
        <v>224.51</v>
      </c>
      <c r="K65" s="4">
        <v>232.1</v>
      </c>
      <c r="L65" s="4">
        <v>229.76</v>
      </c>
      <c r="M65" s="4">
        <v>245.05</v>
      </c>
      <c r="N65" s="4">
        <v>244.18</v>
      </c>
      <c r="O65" s="4">
        <v>238.68</v>
      </c>
      <c r="P65" s="4">
        <v>248.98</v>
      </c>
      <c r="Q65" s="4">
        <v>274.77</v>
      </c>
      <c r="R65" s="4">
        <v>271.61</v>
      </c>
      <c r="S65" s="4">
        <v>258.02999999999997</v>
      </c>
      <c r="T65" s="4">
        <v>239.21</v>
      </c>
      <c r="U65" s="4">
        <v>255.27</v>
      </c>
      <c r="V65" s="4">
        <v>271.57</v>
      </c>
      <c r="W65" s="4">
        <v>286.2</v>
      </c>
      <c r="X65" s="10">
        <v>-9.2748174939956129E-3</v>
      </c>
      <c r="Y65" s="8">
        <v>-1.868496195933389E-2</v>
      </c>
      <c r="Z65" s="8">
        <v>-3.9057922899599078E-5</v>
      </c>
      <c r="AA65" s="8">
        <v>2.750761659245371E-2</v>
      </c>
    </row>
    <row r="66" spans="2:27" x14ac:dyDescent="0.3">
      <c r="B66" s="12" t="s">
        <v>36</v>
      </c>
      <c r="C66" s="3" t="s">
        <v>819</v>
      </c>
      <c r="D66" s="3" t="s">
        <v>835</v>
      </c>
      <c r="E66" s="3" t="s">
        <v>821</v>
      </c>
      <c r="F66" s="5">
        <v>2.7</v>
      </c>
      <c r="G66" s="4">
        <v>719.21</v>
      </c>
      <c r="H66" s="4">
        <v>758.3</v>
      </c>
      <c r="I66" s="4">
        <v>876.42</v>
      </c>
      <c r="J66" s="4">
        <v>837.57</v>
      </c>
      <c r="K66" s="4">
        <v>779.44</v>
      </c>
      <c r="L66" s="4">
        <v>733.98</v>
      </c>
      <c r="M66" s="4">
        <v>738.27</v>
      </c>
      <c r="N66" s="4">
        <v>776.01</v>
      </c>
      <c r="O66" s="4">
        <v>858.21</v>
      </c>
      <c r="P66" s="4">
        <v>887.73</v>
      </c>
      <c r="Q66" s="4">
        <v>905.63</v>
      </c>
      <c r="R66" s="4">
        <v>883.36</v>
      </c>
      <c r="S66" s="4">
        <v>928.5</v>
      </c>
      <c r="T66" s="4">
        <v>917.12</v>
      </c>
      <c r="U66" s="4">
        <v>942.32</v>
      </c>
      <c r="V66" s="4">
        <v>952.48</v>
      </c>
      <c r="W66" s="4">
        <v>1031</v>
      </c>
      <c r="X66" s="10">
        <v>8.1520683897238211E-3</v>
      </c>
      <c r="Y66" s="8">
        <v>1.009461812959311E-2</v>
      </c>
      <c r="Z66" s="8">
        <v>1.882711845940133E-2</v>
      </c>
      <c r="AA66" s="8">
        <v>2.7403339731901791E-2</v>
      </c>
    </row>
    <row r="67" spans="2:27" x14ac:dyDescent="0.3">
      <c r="B67" s="12" t="s">
        <v>36</v>
      </c>
      <c r="C67" s="3" t="s">
        <v>819</v>
      </c>
      <c r="D67" s="3" t="s">
        <v>835</v>
      </c>
      <c r="E67" s="3" t="s">
        <v>821</v>
      </c>
      <c r="F67" s="5">
        <v>2.7</v>
      </c>
      <c r="G67" s="4">
        <v>719.21</v>
      </c>
      <c r="H67" s="4">
        <v>758.3</v>
      </c>
      <c r="I67" s="4">
        <v>876.42</v>
      </c>
      <c r="J67" s="4">
        <v>837.57</v>
      </c>
      <c r="K67" s="4">
        <v>779.44</v>
      </c>
      <c r="L67" s="4">
        <v>733.98</v>
      </c>
      <c r="M67" s="4">
        <v>738.27</v>
      </c>
      <c r="N67" s="4">
        <v>776.01</v>
      </c>
      <c r="O67" s="4">
        <v>858.21</v>
      </c>
      <c r="P67" s="4">
        <v>887.73</v>
      </c>
      <c r="Q67" s="4">
        <v>905.63</v>
      </c>
      <c r="R67" s="4">
        <v>883.36</v>
      </c>
      <c r="S67" s="4">
        <v>928.5</v>
      </c>
      <c r="T67" s="4">
        <v>917.12</v>
      </c>
      <c r="U67" s="4">
        <v>942.32</v>
      </c>
      <c r="V67" s="4">
        <v>952.48</v>
      </c>
      <c r="W67" s="4">
        <v>1031</v>
      </c>
      <c r="X67" s="10">
        <v>8.1520683897238211E-3</v>
      </c>
      <c r="Y67" s="8">
        <v>1.009461812959311E-2</v>
      </c>
      <c r="Z67" s="8">
        <v>1.882711845940133E-2</v>
      </c>
      <c r="AA67" s="8">
        <v>2.7403339731901791E-2</v>
      </c>
    </row>
    <row r="68" spans="2:27" x14ac:dyDescent="0.3">
      <c r="B68" s="12" t="s">
        <v>132</v>
      </c>
      <c r="C68" s="3" t="s">
        <v>819</v>
      </c>
      <c r="D68" s="3" t="s">
        <v>860</v>
      </c>
      <c r="E68" s="3" t="s">
        <v>821</v>
      </c>
      <c r="F68" s="5">
        <v>2.7</v>
      </c>
      <c r="G68" s="4">
        <v>3989</v>
      </c>
      <c r="H68" s="4">
        <v>4486</v>
      </c>
      <c r="I68" s="4">
        <v>4681</v>
      </c>
      <c r="J68" s="4">
        <v>4247</v>
      </c>
      <c r="K68" s="4">
        <v>3611</v>
      </c>
      <c r="L68" s="4">
        <v>3965</v>
      </c>
      <c r="M68" s="4">
        <v>3880</v>
      </c>
      <c r="N68" s="4">
        <v>3623</v>
      </c>
      <c r="O68" s="4">
        <v>3337</v>
      </c>
      <c r="P68" s="4">
        <v>3645</v>
      </c>
      <c r="Q68" s="4">
        <v>3643</v>
      </c>
      <c r="R68" s="4">
        <v>3420</v>
      </c>
      <c r="S68" s="4">
        <v>3127</v>
      </c>
      <c r="T68" s="4">
        <v>3485</v>
      </c>
      <c r="U68" s="4">
        <v>3660</v>
      </c>
      <c r="V68" s="4">
        <v>3651</v>
      </c>
      <c r="W68" s="4">
        <v>3499</v>
      </c>
      <c r="X68" s="10">
        <v>-1.1564871702204551E-2</v>
      </c>
      <c r="Y68" s="8">
        <v>1.2431444241316481E-3</v>
      </c>
      <c r="Z68" s="8">
        <v>1.6871165644171789E-2</v>
      </c>
      <c r="AA68" s="8">
        <v>2.6718379659556039E-2</v>
      </c>
    </row>
    <row r="69" spans="2:27" x14ac:dyDescent="0.3">
      <c r="B69" s="12" t="s">
        <v>155</v>
      </c>
      <c r="C69" s="3" t="s">
        <v>819</v>
      </c>
      <c r="D69" s="3" t="s">
        <v>861</v>
      </c>
      <c r="E69" s="3" t="s">
        <v>839</v>
      </c>
      <c r="F69" s="5">
        <v>2.6</v>
      </c>
      <c r="G69" s="4">
        <v>1791</v>
      </c>
      <c r="H69" s="4">
        <v>2278</v>
      </c>
      <c r="I69" s="4">
        <v>2495</v>
      </c>
      <c r="J69" s="4">
        <v>3712</v>
      </c>
      <c r="K69" s="4">
        <v>1780</v>
      </c>
      <c r="L69" s="4">
        <v>2507</v>
      </c>
      <c r="M69" s="4">
        <v>2688</v>
      </c>
      <c r="N69" s="4">
        <v>3020</v>
      </c>
      <c r="O69" s="4">
        <v>1948</v>
      </c>
      <c r="P69" s="4">
        <v>2837</v>
      </c>
      <c r="Q69" s="4">
        <v>2728</v>
      </c>
      <c r="R69" s="4">
        <v>3333</v>
      </c>
      <c r="S69" s="4">
        <v>1859</v>
      </c>
      <c r="T69" s="4">
        <v>2739</v>
      </c>
      <c r="U69" s="4">
        <v>2945</v>
      </c>
      <c r="V69" s="4">
        <v>3423</v>
      </c>
      <c r="W69" s="4">
        <v>2146</v>
      </c>
      <c r="X69" s="10">
        <v>-9.1103467509529024E-3</v>
      </c>
      <c r="Y69" s="8">
        <v>2.035838258748468E-2</v>
      </c>
      <c r="Z69" s="8">
        <v>8.2751011401249741E-3</v>
      </c>
      <c r="AA69" s="8">
        <v>2.6171803757067291E-2</v>
      </c>
    </row>
    <row r="70" spans="2:27" x14ac:dyDescent="0.3">
      <c r="B70" s="12" t="s">
        <v>267</v>
      </c>
      <c r="C70" s="3" t="s">
        <v>819</v>
      </c>
      <c r="D70" s="3" t="s">
        <v>862</v>
      </c>
      <c r="E70" s="3" t="s">
        <v>821</v>
      </c>
      <c r="F70" s="5">
        <v>2.5</v>
      </c>
      <c r="G70" s="4">
        <v>1001</v>
      </c>
      <c r="H70" s="4">
        <v>889</v>
      </c>
      <c r="I70" s="4">
        <v>941</v>
      </c>
      <c r="J70" s="4">
        <v>942</v>
      </c>
      <c r="K70" s="4">
        <v>996</v>
      </c>
      <c r="L70" s="4">
        <v>931</v>
      </c>
      <c r="M70" s="4">
        <v>1035</v>
      </c>
      <c r="N70" s="4">
        <v>1007</v>
      </c>
      <c r="O70" s="4">
        <v>1173</v>
      </c>
      <c r="P70" s="4">
        <v>1099</v>
      </c>
      <c r="Q70" s="4">
        <v>1216</v>
      </c>
      <c r="R70" s="4">
        <v>1196</v>
      </c>
      <c r="S70" s="4">
        <v>1280</v>
      </c>
      <c r="T70" s="4">
        <v>1137</v>
      </c>
      <c r="U70" s="4">
        <v>1278</v>
      </c>
      <c r="V70" s="4">
        <v>1281</v>
      </c>
      <c r="W70" s="4">
        <v>1405</v>
      </c>
      <c r="X70" s="10">
        <v>7.9315383009810336E-3</v>
      </c>
      <c r="Y70" s="8">
        <v>1.2839097121557289E-2</v>
      </c>
      <c r="Z70" s="8">
        <v>1.7378859129012492E-2</v>
      </c>
      <c r="AA70" s="8">
        <v>2.5120578778135009E-2</v>
      </c>
    </row>
    <row r="71" spans="2:27" x14ac:dyDescent="0.3">
      <c r="B71" s="12" t="s">
        <v>307</v>
      </c>
      <c r="C71" s="3" t="s">
        <v>819</v>
      </c>
      <c r="D71" s="3" t="s">
        <v>863</v>
      </c>
      <c r="E71" s="3" t="s">
        <v>821</v>
      </c>
      <c r="F71" s="5">
        <v>2.5</v>
      </c>
      <c r="G71" s="4">
        <v>593.74</v>
      </c>
      <c r="H71" s="4">
        <v>971.46</v>
      </c>
      <c r="I71" s="4">
        <v>428.98</v>
      </c>
      <c r="J71" s="4">
        <v>359.36</v>
      </c>
      <c r="K71" s="4">
        <v>818.21</v>
      </c>
      <c r="L71" s="4">
        <v>1032</v>
      </c>
      <c r="M71" s="4">
        <v>398.11</v>
      </c>
      <c r="N71" s="4">
        <v>335.82</v>
      </c>
      <c r="O71" s="4">
        <v>605.91999999999996</v>
      </c>
      <c r="P71" s="4">
        <v>758.32</v>
      </c>
      <c r="Q71" s="4">
        <v>354.14</v>
      </c>
      <c r="R71" s="4">
        <v>340.4</v>
      </c>
      <c r="S71" s="4">
        <v>630.70000000000005</v>
      </c>
      <c r="T71" s="4">
        <v>935.19</v>
      </c>
      <c r="U71" s="4">
        <v>423.74</v>
      </c>
      <c r="V71" s="4">
        <v>379.13</v>
      </c>
      <c r="W71" s="4">
        <v>689.37</v>
      </c>
      <c r="X71" s="10">
        <v>8.4888364145980999E-2</v>
      </c>
      <c r="Y71" s="8">
        <v>3.0790601788155399E-2</v>
      </c>
      <c r="Z71" s="8">
        <v>1.6622103578065591E-2</v>
      </c>
      <c r="AA71" s="8">
        <v>2.476823316840893E-2</v>
      </c>
    </row>
    <row r="72" spans="2:27" x14ac:dyDescent="0.3">
      <c r="B72" s="12" t="s">
        <v>428</v>
      </c>
      <c r="C72" s="3" t="s">
        <v>819</v>
      </c>
      <c r="D72" s="3" t="s">
        <v>864</v>
      </c>
      <c r="E72" s="3" t="s">
        <v>821</v>
      </c>
      <c r="F72" s="5">
        <v>2.4</v>
      </c>
      <c r="G72" s="4">
        <v>2196</v>
      </c>
      <c r="H72" s="4">
        <v>1918</v>
      </c>
      <c r="I72" s="4">
        <v>1967</v>
      </c>
      <c r="J72" s="4">
        <v>2046</v>
      </c>
      <c r="K72" s="4">
        <v>2193</v>
      </c>
      <c r="L72" s="4">
        <v>1944</v>
      </c>
      <c r="M72" s="4">
        <v>2167</v>
      </c>
      <c r="N72" s="4">
        <v>2238</v>
      </c>
      <c r="O72" s="4">
        <v>2408</v>
      </c>
      <c r="P72" s="4">
        <v>2153</v>
      </c>
      <c r="Q72" s="4">
        <v>2403</v>
      </c>
      <c r="R72" s="4">
        <v>2510</v>
      </c>
      <c r="S72" s="4">
        <v>2559</v>
      </c>
      <c r="T72" s="4">
        <v>2259</v>
      </c>
      <c r="U72" s="4">
        <v>2530</v>
      </c>
      <c r="V72" s="4">
        <v>2681</v>
      </c>
      <c r="W72" s="4">
        <v>2796</v>
      </c>
      <c r="X72" s="10">
        <v>1.1012987012986921E-2</v>
      </c>
      <c r="Y72" s="8">
        <v>1.3051073887575759E-2</v>
      </c>
      <c r="Z72" s="8">
        <v>1.7346317711503412E-2</v>
      </c>
      <c r="AA72" s="8">
        <v>2.3631468740652029E-2</v>
      </c>
    </row>
    <row r="73" spans="2:27" x14ac:dyDescent="0.3">
      <c r="B73" s="12" t="s">
        <v>186</v>
      </c>
      <c r="C73" s="3" t="s">
        <v>819</v>
      </c>
      <c r="D73" s="3" t="s">
        <v>865</v>
      </c>
      <c r="E73" s="3" t="s">
        <v>821</v>
      </c>
      <c r="F73" s="5">
        <v>2.2000000000000002</v>
      </c>
      <c r="G73" s="4">
        <v>1402</v>
      </c>
      <c r="H73" s="4">
        <v>1404</v>
      </c>
      <c r="I73" s="4">
        <v>1595</v>
      </c>
      <c r="J73" s="4">
        <v>1629</v>
      </c>
      <c r="K73" s="4">
        <v>1573</v>
      </c>
      <c r="L73" s="4">
        <v>1572</v>
      </c>
      <c r="M73" s="4">
        <v>1739</v>
      </c>
      <c r="N73" s="4">
        <v>1712</v>
      </c>
      <c r="O73" s="4">
        <v>1631</v>
      </c>
      <c r="P73" s="4">
        <v>1592</v>
      </c>
      <c r="Q73" s="4">
        <v>1796</v>
      </c>
      <c r="R73" s="4">
        <v>1766</v>
      </c>
      <c r="S73" s="4">
        <v>1746</v>
      </c>
      <c r="T73" s="4">
        <v>1580</v>
      </c>
      <c r="U73" s="4">
        <v>1856</v>
      </c>
      <c r="V73" s="4">
        <v>1888</v>
      </c>
      <c r="W73" s="4">
        <v>1904</v>
      </c>
      <c r="X73" s="10">
        <v>-1.739130434782576E-3</v>
      </c>
      <c r="Y73" s="8">
        <v>8.7108013937282625E-3</v>
      </c>
      <c r="Z73" s="8">
        <v>1.7559009786989099E-2</v>
      </c>
      <c r="AA73" s="8">
        <v>2.2347949080622431E-2</v>
      </c>
    </row>
    <row r="74" spans="2:27" x14ac:dyDescent="0.3">
      <c r="B74" s="12" t="s">
        <v>317</v>
      </c>
      <c r="C74" s="3" t="s">
        <v>819</v>
      </c>
      <c r="D74" s="3" t="s">
        <v>866</v>
      </c>
      <c r="E74" s="3" t="s">
        <v>821</v>
      </c>
      <c r="F74" s="5">
        <v>2.2000000000000002</v>
      </c>
      <c r="G74" s="4">
        <v>74.17</v>
      </c>
      <c r="H74" s="4">
        <v>77.17</v>
      </c>
      <c r="I74" s="4">
        <v>79.58</v>
      </c>
      <c r="J74" s="4">
        <v>81.99</v>
      </c>
      <c r="K74" s="4">
        <v>82.18</v>
      </c>
      <c r="L74" s="4">
        <v>72.459999999999994</v>
      </c>
      <c r="M74" s="4">
        <v>73.760000000000005</v>
      </c>
      <c r="N74" s="4">
        <v>80.47</v>
      </c>
      <c r="O74" s="4">
        <v>88.69</v>
      </c>
      <c r="P74" s="4">
        <v>97.01</v>
      </c>
      <c r="Q74" s="4">
        <v>102.59</v>
      </c>
      <c r="R74" s="4">
        <v>112.34</v>
      </c>
      <c r="S74" s="4">
        <v>117.29</v>
      </c>
      <c r="T74" s="4">
        <v>118.64</v>
      </c>
      <c r="U74" s="4">
        <v>123.32</v>
      </c>
      <c r="V74" s="4">
        <v>125.99</v>
      </c>
      <c r="W74" s="4">
        <v>128.12</v>
      </c>
      <c r="X74" s="10">
        <v>5.0392563427533073E-2</v>
      </c>
      <c r="Y74" s="8">
        <v>4.5978796078605333E-2</v>
      </c>
      <c r="Z74" s="8">
        <v>2.8944634110138031E-2</v>
      </c>
      <c r="AA74" s="8">
        <v>2.231885252658472E-2</v>
      </c>
    </row>
    <row r="75" spans="2:27" x14ac:dyDescent="0.3">
      <c r="B75" s="12" t="s">
        <v>128</v>
      </c>
      <c r="C75" s="3" t="s">
        <v>819</v>
      </c>
      <c r="D75" s="3" t="s">
        <v>867</v>
      </c>
      <c r="E75" s="3" t="s">
        <v>821</v>
      </c>
      <c r="F75" s="5">
        <v>2.2000000000000002</v>
      </c>
      <c r="G75" s="4">
        <v>709.2</v>
      </c>
      <c r="H75" s="4">
        <v>723.6</v>
      </c>
      <c r="I75" s="4">
        <v>773.1</v>
      </c>
      <c r="J75" s="4">
        <v>913.7</v>
      </c>
      <c r="K75" s="4">
        <v>861.5</v>
      </c>
      <c r="L75" s="4">
        <v>923</v>
      </c>
      <c r="M75" s="4">
        <v>912.5</v>
      </c>
      <c r="N75" s="4">
        <v>917.9</v>
      </c>
      <c r="O75" s="4">
        <v>897.4</v>
      </c>
      <c r="P75" s="4">
        <v>893.9</v>
      </c>
      <c r="Q75" s="4">
        <v>965.6</v>
      </c>
      <c r="R75" s="4">
        <v>967.1</v>
      </c>
      <c r="S75" s="4">
        <v>945.6</v>
      </c>
      <c r="T75" s="4">
        <v>941.9</v>
      </c>
      <c r="U75" s="4">
        <v>1022</v>
      </c>
      <c r="V75" s="4">
        <v>1070</v>
      </c>
      <c r="W75" s="4">
        <v>1033</v>
      </c>
      <c r="X75" s="10">
        <v>1.2724669953873001E-2</v>
      </c>
      <c r="Y75" s="8">
        <v>1.4763624941102499E-2</v>
      </c>
      <c r="Z75" s="8">
        <v>2.6543878656554831E-2</v>
      </c>
      <c r="AA75" s="8">
        <v>2.196255811031533E-2</v>
      </c>
    </row>
    <row r="76" spans="2:27" x14ac:dyDescent="0.3">
      <c r="B76" s="12" t="s">
        <v>593</v>
      </c>
      <c r="C76" s="3" t="s">
        <v>819</v>
      </c>
      <c r="D76" s="3" t="s">
        <v>828</v>
      </c>
      <c r="E76" s="3" t="s">
        <v>821</v>
      </c>
      <c r="F76" s="5">
        <v>2.2000000000000002</v>
      </c>
      <c r="G76" s="4">
        <v>232.8</v>
      </c>
      <c r="H76" s="4">
        <v>211</v>
      </c>
      <c r="I76" s="4">
        <v>266.2</v>
      </c>
      <c r="J76" s="4">
        <v>188.7</v>
      </c>
      <c r="K76" s="4">
        <v>167.7</v>
      </c>
      <c r="L76" s="4">
        <v>198.6</v>
      </c>
      <c r="M76" s="4">
        <v>242.1</v>
      </c>
      <c r="N76" s="4">
        <v>180</v>
      </c>
      <c r="O76" s="4">
        <v>176.5</v>
      </c>
      <c r="P76" s="4">
        <v>203.4</v>
      </c>
      <c r="Q76" s="4">
        <v>242.7</v>
      </c>
      <c r="R76" s="4">
        <v>179.5</v>
      </c>
      <c r="S76" s="4">
        <v>156.30000000000001</v>
      </c>
      <c r="T76" s="4">
        <v>201.1</v>
      </c>
      <c r="U76" s="4">
        <v>218.1</v>
      </c>
      <c r="V76" s="4">
        <v>175.3</v>
      </c>
      <c r="W76" s="4">
        <v>172.5</v>
      </c>
      <c r="X76" s="10">
        <v>-2.9415526282132731E-3</v>
      </c>
      <c r="Y76" s="8">
        <v>-3.1554643406875298E-2</v>
      </c>
      <c r="Z76" s="8">
        <v>-5.5629139072848064E-3</v>
      </c>
      <c r="AA76" s="8">
        <v>2.157698454981349E-2</v>
      </c>
    </row>
    <row r="77" spans="2:27" x14ac:dyDescent="0.3">
      <c r="B77" s="12" t="s">
        <v>665</v>
      </c>
      <c r="C77" s="3" t="s">
        <v>819</v>
      </c>
      <c r="D77" s="3" t="s">
        <v>828</v>
      </c>
      <c r="E77" s="3" t="s">
        <v>839</v>
      </c>
      <c r="F77" s="5">
        <v>2.1</v>
      </c>
      <c r="G77" s="4">
        <v>11.74</v>
      </c>
      <c r="H77" s="4">
        <v>10.95</v>
      </c>
      <c r="I77" s="4">
        <v>12.82</v>
      </c>
      <c r="J77" s="4">
        <v>18.510000000000002</v>
      </c>
      <c r="K77" s="4">
        <v>12.3</v>
      </c>
      <c r="L77" s="4">
        <v>16.149999999999999</v>
      </c>
      <c r="M77" s="4">
        <v>17.7</v>
      </c>
      <c r="N77" s="4">
        <v>21.55</v>
      </c>
      <c r="O77" s="4">
        <v>15.99</v>
      </c>
      <c r="P77" s="4">
        <v>16.57</v>
      </c>
      <c r="Q77" s="4">
        <v>17.489999999999998</v>
      </c>
      <c r="R77" s="4">
        <v>19.87</v>
      </c>
      <c r="S77" s="4">
        <v>17.7</v>
      </c>
      <c r="T77" s="4">
        <v>18.18</v>
      </c>
      <c r="U77" s="4">
        <v>23.41</v>
      </c>
      <c r="V77" s="6">
        <v>28.41</v>
      </c>
      <c r="W77" s="4">
        <v>19.54</v>
      </c>
      <c r="X77" s="10">
        <v>2.2476615943040509E-2</v>
      </c>
      <c r="Y77" s="8">
        <v>8.0830147460404289E-2</v>
      </c>
      <c r="Z77" s="9">
        <v>0.1078827690752906</v>
      </c>
      <c r="AA77" s="8">
        <v>2.0980615735461731E-2</v>
      </c>
    </row>
    <row r="78" spans="2:27" x14ac:dyDescent="0.3">
      <c r="B78" s="12" t="s">
        <v>21</v>
      </c>
      <c r="C78" s="3" t="s">
        <v>819</v>
      </c>
      <c r="D78" s="3" t="s">
        <v>834</v>
      </c>
      <c r="E78" s="3" t="s">
        <v>844</v>
      </c>
      <c r="F78" s="5">
        <v>2.1</v>
      </c>
      <c r="G78" s="4">
        <v>7763</v>
      </c>
      <c r="H78" s="4">
        <v>8089</v>
      </c>
      <c r="I78" s="4">
        <v>7371</v>
      </c>
      <c r="J78" s="4">
        <v>7585</v>
      </c>
      <c r="K78" s="4">
        <v>7727</v>
      </c>
      <c r="L78" s="4">
        <v>8545</v>
      </c>
      <c r="M78" s="4">
        <v>7702</v>
      </c>
      <c r="N78" s="4">
        <v>7984</v>
      </c>
      <c r="O78" s="4">
        <v>8089</v>
      </c>
      <c r="P78" s="4">
        <v>8589</v>
      </c>
      <c r="Q78" s="4">
        <v>7915</v>
      </c>
      <c r="R78" s="4">
        <v>8403</v>
      </c>
      <c r="S78" s="4">
        <v>8292</v>
      </c>
      <c r="T78" s="4">
        <v>8927</v>
      </c>
      <c r="U78" s="4">
        <v>8578</v>
      </c>
      <c r="V78" s="4">
        <v>8961</v>
      </c>
      <c r="W78" s="4">
        <v>9017</v>
      </c>
      <c r="X78" s="10">
        <v>1.018102954908273E-2</v>
      </c>
      <c r="Y78" s="8">
        <v>1.9769210126129311E-2</v>
      </c>
      <c r="Z78" s="8">
        <v>1.631578947368428E-2</v>
      </c>
      <c r="AA78" s="8">
        <v>2.0858507393981322E-2</v>
      </c>
    </row>
    <row r="79" spans="2:27" x14ac:dyDescent="0.3">
      <c r="B79" s="12" t="s">
        <v>257</v>
      </c>
      <c r="C79" s="3" t="s">
        <v>819</v>
      </c>
      <c r="D79" s="3" t="s">
        <v>868</v>
      </c>
      <c r="E79" s="3" t="s">
        <v>821</v>
      </c>
      <c r="F79" s="5">
        <v>2.1</v>
      </c>
      <c r="G79" s="4">
        <v>646.9</v>
      </c>
      <c r="H79" s="4">
        <v>680.2</v>
      </c>
      <c r="I79" s="4">
        <v>676.9</v>
      </c>
      <c r="J79" s="4">
        <v>618.5</v>
      </c>
      <c r="K79" s="4">
        <v>573.79999999999995</v>
      </c>
      <c r="L79" s="4">
        <v>574.4</v>
      </c>
      <c r="M79" s="4">
        <v>586.1</v>
      </c>
      <c r="N79" s="4">
        <v>599.29999999999995</v>
      </c>
      <c r="O79" s="4">
        <v>573.4</v>
      </c>
      <c r="P79" s="4">
        <v>575</v>
      </c>
      <c r="Q79" s="4">
        <v>612.70000000000005</v>
      </c>
      <c r="R79" s="4">
        <v>645</v>
      </c>
      <c r="S79" s="4">
        <v>624.20000000000005</v>
      </c>
      <c r="T79" s="4">
        <v>593.70000000000005</v>
      </c>
      <c r="U79" s="4">
        <v>625.20000000000005</v>
      </c>
      <c r="V79" s="4">
        <v>656.1</v>
      </c>
      <c r="W79" s="4">
        <v>676.2</v>
      </c>
      <c r="X79" s="10">
        <v>7.6112173877651568E-3</v>
      </c>
      <c r="Y79" s="8">
        <v>5.0492809823881046E-3</v>
      </c>
      <c r="Z79" s="8">
        <v>4.4612354808890586E-3</v>
      </c>
      <c r="AA79" s="8">
        <v>2.08066581306019E-2</v>
      </c>
    </row>
    <row r="80" spans="2:27" x14ac:dyDescent="0.3">
      <c r="B80" s="12" t="s">
        <v>240</v>
      </c>
      <c r="C80" s="3" t="s">
        <v>819</v>
      </c>
      <c r="D80" s="3" t="s">
        <v>869</v>
      </c>
      <c r="E80" s="3" t="s">
        <v>821</v>
      </c>
      <c r="F80" s="5">
        <v>2</v>
      </c>
      <c r="G80" s="4">
        <v>72.03</v>
      </c>
      <c r="H80" s="4">
        <v>76.209999999999994</v>
      </c>
      <c r="I80" s="4">
        <v>83.78</v>
      </c>
      <c r="J80" s="4">
        <v>92.67</v>
      </c>
      <c r="K80" s="6">
        <v>104.87</v>
      </c>
      <c r="L80" s="4">
        <v>108.72</v>
      </c>
      <c r="M80" s="4">
        <v>107.17</v>
      </c>
      <c r="N80" s="4">
        <v>117.1</v>
      </c>
      <c r="O80" s="4">
        <v>127.06</v>
      </c>
      <c r="P80" s="4">
        <v>145.79</v>
      </c>
      <c r="Q80" s="4">
        <v>155.69999999999999</v>
      </c>
      <c r="R80" s="4">
        <v>162.5</v>
      </c>
      <c r="S80" s="4">
        <v>161.82</v>
      </c>
      <c r="T80" s="4">
        <v>171.09</v>
      </c>
      <c r="U80" s="4">
        <v>174.33</v>
      </c>
      <c r="V80" s="4">
        <v>175.74</v>
      </c>
      <c r="W80" s="4">
        <v>175.69</v>
      </c>
      <c r="X80" s="10">
        <v>4.0427605822853652E-2</v>
      </c>
      <c r="Y80" s="8">
        <v>2.8612676813441599E-2</v>
      </c>
      <c r="Z80" s="8">
        <v>1.976886552990709E-2</v>
      </c>
      <c r="AA80" s="8">
        <v>2.0308061729479739E-2</v>
      </c>
    </row>
    <row r="81" spans="2:27" x14ac:dyDescent="0.3">
      <c r="B81" s="12" t="s">
        <v>169</v>
      </c>
      <c r="C81" s="3" t="s">
        <v>819</v>
      </c>
      <c r="D81" s="3" t="s">
        <v>851</v>
      </c>
      <c r="E81" s="3" t="s">
        <v>839</v>
      </c>
      <c r="F81" s="5">
        <v>1.9</v>
      </c>
      <c r="G81" s="4">
        <v>609.16999999999996</v>
      </c>
      <c r="H81" s="4">
        <v>635.4</v>
      </c>
      <c r="I81" s="4">
        <v>662.13</v>
      </c>
      <c r="J81" s="4">
        <v>683.58</v>
      </c>
      <c r="K81" s="4">
        <v>610.48</v>
      </c>
      <c r="L81" s="4">
        <v>650.16999999999996</v>
      </c>
      <c r="M81" s="4">
        <v>648.67999999999995</v>
      </c>
      <c r="N81" s="4">
        <v>719.31</v>
      </c>
      <c r="O81" s="4">
        <v>633.19000000000005</v>
      </c>
      <c r="P81" s="4">
        <v>650.64</v>
      </c>
      <c r="Q81" s="4">
        <v>661.6</v>
      </c>
      <c r="R81" s="4">
        <v>744.48</v>
      </c>
      <c r="S81" s="4">
        <v>615.41999999999996</v>
      </c>
      <c r="T81" s="4">
        <v>682.94</v>
      </c>
      <c r="U81" s="4">
        <v>741.51</v>
      </c>
      <c r="V81" s="4">
        <v>751.82</v>
      </c>
      <c r="W81" s="4">
        <v>669.46</v>
      </c>
      <c r="X81" s="10">
        <v>1.2087690016241661E-2</v>
      </c>
      <c r="Y81" s="8">
        <v>2.954770673411122E-2</v>
      </c>
      <c r="Z81" s="8">
        <v>2.6361628387236991E-3</v>
      </c>
      <c r="AA81" s="8">
        <v>1.9357450146685329E-2</v>
      </c>
    </row>
    <row r="82" spans="2:27" x14ac:dyDescent="0.3">
      <c r="B82" s="12" t="s">
        <v>741</v>
      </c>
      <c r="C82" s="3" t="s">
        <v>819</v>
      </c>
      <c r="D82" s="3" t="s">
        <v>836</v>
      </c>
      <c r="E82" s="3" t="s">
        <v>821</v>
      </c>
      <c r="F82" s="5">
        <v>1.9</v>
      </c>
      <c r="G82" s="4">
        <v>34.06</v>
      </c>
      <c r="H82" s="4">
        <v>34.39</v>
      </c>
      <c r="I82" s="4">
        <v>0</v>
      </c>
      <c r="J82" s="4">
        <v>30.05</v>
      </c>
      <c r="K82" s="4">
        <v>30.35</v>
      </c>
      <c r="L82" s="4">
        <v>26.26</v>
      </c>
      <c r="M82" s="6">
        <v>22.92</v>
      </c>
      <c r="N82" s="4">
        <v>24.07</v>
      </c>
      <c r="O82" s="4">
        <v>0</v>
      </c>
      <c r="P82" s="4">
        <v>22.07</v>
      </c>
      <c r="Q82" s="4">
        <v>28.44</v>
      </c>
      <c r="R82" s="4">
        <v>27.21</v>
      </c>
      <c r="S82" s="6">
        <v>29.22</v>
      </c>
      <c r="T82" s="4">
        <v>24.25</v>
      </c>
      <c r="U82" s="4">
        <v>25.68</v>
      </c>
      <c r="V82" s="4">
        <v>28.38</v>
      </c>
      <c r="W82" s="4">
        <v>31.29</v>
      </c>
      <c r="X82" s="10">
        <v>2.0385262764166971E-2</v>
      </c>
      <c r="Y82" s="8">
        <v>-2.5293255131964901E-2</v>
      </c>
      <c r="Z82" s="8">
        <v>1.1000376081233609E-2</v>
      </c>
      <c r="AA82" s="8">
        <v>1.925044173718948E-2</v>
      </c>
    </row>
    <row r="83" spans="2:27" x14ac:dyDescent="0.3">
      <c r="B83" s="12" t="s">
        <v>652</v>
      </c>
      <c r="C83" s="3" t="s">
        <v>819</v>
      </c>
      <c r="D83" s="3" t="s">
        <v>870</v>
      </c>
      <c r="E83" s="3" t="s">
        <v>821</v>
      </c>
      <c r="F83" s="5">
        <v>1.9</v>
      </c>
      <c r="G83" s="4">
        <v>884</v>
      </c>
      <c r="H83" s="4">
        <v>965</v>
      </c>
      <c r="I83" s="4">
        <v>945</v>
      </c>
      <c r="J83" s="4">
        <v>895</v>
      </c>
      <c r="K83" s="4">
        <v>649</v>
      </c>
      <c r="L83" s="4">
        <v>708</v>
      </c>
      <c r="M83" s="4">
        <v>794</v>
      </c>
      <c r="N83" s="4">
        <v>662</v>
      </c>
      <c r="O83" s="4">
        <v>686</v>
      </c>
      <c r="P83" s="4">
        <v>774</v>
      </c>
      <c r="Q83" s="4">
        <v>820</v>
      </c>
      <c r="R83" s="4">
        <v>804</v>
      </c>
      <c r="S83" s="4">
        <v>676</v>
      </c>
      <c r="T83" s="4">
        <v>738</v>
      </c>
      <c r="U83" s="4">
        <v>731</v>
      </c>
      <c r="V83" s="4">
        <v>699</v>
      </c>
      <c r="W83" s="4">
        <v>730</v>
      </c>
      <c r="X83" s="10">
        <v>-1.1711125569290879E-2</v>
      </c>
      <c r="Y83" s="8">
        <v>-2.9295589203423341E-2</v>
      </c>
      <c r="Z83" s="8">
        <v>-3.5605289928789419E-2</v>
      </c>
      <c r="AA83" s="8">
        <v>1.8987341772152E-2</v>
      </c>
    </row>
    <row r="84" spans="2:27" x14ac:dyDescent="0.3">
      <c r="B84" s="12" t="s">
        <v>313</v>
      </c>
      <c r="C84" s="3" t="s">
        <v>819</v>
      </c>
      <c r="D84" s="3" t="s">
        <v>837</v>
      </c>
      <c r="E84" s="3" t="s">
        <v>821</v>
      </c>
      <c r="F84" s="5">
        <v>1.9</v>
      </c>
      <c r="G84" s="4">
        <v>608</v>
      </c>
      <c r="H84" s="4">
        <v>626</v>
      </c>
      <c r="I84" s="4">
        <v>591</v>
      </c>
      <c r="J84" s="4">
        <v>743</v>
      </c>
      <c r="K84" s="4">
        <v>687</v>
      </c>
      <c r="L84" s="4">
        <v>748</v>
      </c>
      <c r="M84" s="4">
        <v>648</v>
      </c>
      <c r="N84" s="4">
        <v>802</v>
      </c>
      <c r="O84" s="4">
        <v>725</v>
      </c>
      <c r="P84" s="4">
        <v>929</v>
      </c>
      <c r="Q84" s="4">
        <v>758</v>
      </c>
      <c r="R84" s="4">
        <v>929</v>
      </c>
      <c r="S84" s="4">
        <v>824</v>
      </c>
      <c r="T84" s="4">
        <v>928</v>
      </c>
      <c r="U84" s="4">
        <v>807</v>
      </c>
      <c r="V84" s="4">
        <v>952</v>
      </c>
      <c r="W84" s="4">
        <v>889</v>
      </c>
      <c r="X84" s="10">
        <v>-2.9069767441858302E-4</v>
      </c>
      <c r="Y84" s="8">
        <v>1.4248328002326231E-2</v>
      </c>
      <c r="Z84" s="8">
        <v>6.5940366972476738E-3</v>
      </c>
      <c r="AA84" s="8">
        <v>1.8513244090002878E-2</v>
      </c>
    </row>
    <row r="85" spans="2:27" x14ac:dyDescent="0.3">
      <c r="B85" s="12" t="s">
        <v>691</v>
      </c>
      <c r="C85" s="3" t="s">
        <v>819</v>
      </c>
      <c r="D85" s="3" t="s">
        <v>871</v>
      </c>
      <c r="E85" s="3" t="s">
        <v>821</v>
      </c>
      <c r="F85" s="5">
        <v>1.7</v>
      </c>
      <c r="G85" s="4">
        <v>59.33</v>
      </c>
      <c r="H85" s="4">
        <v>51</v>
      </c>
      <c r="I85" s="4">
        <v>54.54</v>
      </c>
      <c r="J85" s="4">
        <v>53.95</v>
      </c>
      <c r="K85" s="4">
        <v>53.27</v>
      </c>
      <c r="L85" s="4">
        <v>49.77</v>
      </c>
      <c r="M85" s="4">
        <v>56.89</v>
      </c>
      <c r="N85" s="4">
        <v>56.09</v>
      </c>
      <c r="O85" s="4">
        <v>55.56</v>
      </c>
      <c r="P85" s="4">
        <v>53.15</v>
      </c>
      <c r="Q85" s="4">
        <v>63.29</v>
      </c>
      <c r="R85" s="4">
        <v>65.61</v>
      </c>
      <c r="S85" s="4">
        <v>65.23</v>
      </c>
      <c r="T85" s="4">
        <v>54.18</v>
      </c>
      <c r="U85" s="4">
        <v>65.09</v>
      </c>
      <c r="V85" s="4">
        <v>68.900000000000006</v>
      </c>
      <c r="W85" s="4">
        <v>69.48</v>
      </c>
      <c r="X85" s="10">
        <v>4.1653186670980169E-3</v>
      </c>
      <c r="Y85" s="8">
        <v>7.2490032620515787E-3</v>
      </c>
      <c r="Z85" s="8">
        <v>1.3154212146655461E-2</v>
      </c>
      <c r="AA85" s="8">
        <v>1.6771902131018201E-2</v>
      </c>
    </row>
    <row r="86" spans="2:27" x14ac:dyDescent="0.3">
      <c r="B86" s="12" t="s">
        <v>28</v>
      </c>
      <c r="C86" s="3" t="s">
        <v>819</v>
      </c>
      <c r="D86" s="3" t="s">
        <v>828</v>
      </c>
      <c r="E86" s="3" t="s">
        <v>821</v>
      </c>
      <c r="F86" s="5">
        <v>1.6</v>
      </c>
      <c r="G86" s="4">
        <v>773.04</v>
      </c>
      <c r="H86" s="4">
        <v>901.77</v>
      </c>
      <c r="I86" s="4">
        <v>857.52</v>
      </c>
      <c r="J86" s="4">
        <v>902.55</v>
      </c>
      <c r="K86" s="4">
        <v>899.88</v>
      </c>
      <c r="L86" s="4">
        <v>1022</v>
      </c>
      <c r="M86" s="4">
        <v>976.58</v>
      </c>
      <c r="N86" s="4">
        <v>1023</v>
      </c>
      <c r="O86" s="4">
        <v>1069</v>
      </c>
      <c r="P86" s="4">
        <v>1009</v>
      </c>
      <c r="Q86" s="4">
        <v>1061</v>
      </c>
      <c r="R86" s="4">
        <v>1215</v>
      </c>
      <c r="S86" s="4">
        <v>1356</v>
      </c>
      <c r="T86" s="4">
        <v>1242</v>
      </c>
      <c r="U86" s="4">
        <v>1275</v>
      </c>
      <c r="V86" s="4">
        <v>1339</v>
      </c>
      <c r="W86" s="4">
        <v>1440</v>
      </c>
      <c r="X86" s="10">
        <v>5.0204697263520837E-2</v>
      </c>
      <c r="Y86" s="8">
        <v>4.3906442347148023E-2</v>
      </c>
      <c r="Z86" s="8">
        <v>2.4371069182389959E-2</v>
      </c>
      <c r="AA86" s="8">
        <v>1.6116653875671631E-2</v>
      </c>
    </row>
    <row r="87" spans="2:27" x14ac:dyDescent="0.3">
      <c r="B87" s="12" t="s">
        <v>157</v>
      </c>
      <c r="C87" s="3" t="s">
        <v>819</v>
      </c>
      <c r="D87" s="3" t="s">
        <v>872</v>
      </c>
      <c r="E87" s="3" t="s">
        <v>821</v>
      </c>
      <c r="F87" s="5">
        <v>1.6</v>
      </c>
      <c r="G87" s="4">
        <v>5480</v>
      </c>
      <c r="H87" s="4">
        <v>4645</v>
      </c>
      <c r="I87" s="4">
        <v>6082</v>
      </c>
      <c r="J87" s="4">
        <v>5881</v>
      </c>
      <c r="K87" s="4">
        <v>6943</v>
      </c>
      <c r="L87" s="4">
        <v>5342</v>
      </c>
      <c r="M87" s="4">
        <v>6567</v>
      </c>
      <c r="N87" s="4">
        <v>5986</v>
      </c>
      <c r="O87" s="4">
        <v>6792</v>
      </c>
      <c r="P87" s="4">
        <v>4818</v>
      </c>
      <c r="Q87" s="4">
        <v>5488</v>
      </c>
      <c r="R87" s="4">
        <v>4654</v>
      </c>
      <c r="S87" s="4">
        <v>4876</v>
      </c>
      <c r="T87" s="4">
        <v>3828</v>
      </c>
      <c r="U87" s="4">
        <v>4711</v>
      </c>
      <c r="V87" s="4">
        <v>4399</v>
      </c>
      <c r="W87" s="4">
        <v>5157</v>
      </c>
      <c r="X87" s="10">
        <v>-4.9909255898366589E-2</v>
      </c>
      <c r="Y87" s="8">
        <v>-4.1228907991085688E-2</v>
      </c>
      <c r="Z87" s="8">
        <v>-1.411256848746467E-2</v>
      </c>
      <c r="AA87" s="8">
        <v>1.5774110250364789E-2</v>
      </c>
    </row>
    <row r="88" spans="2:27" x14ac:dyDescent="0.3">
      <c r="B88" s="12" t="s">
        <v>571</v>
      </c>
      <c r="C88" s="3" t="s">
        <v>819</v>
      </c>
      <c r="D88" s="3" t="s">
        <v>873</v>
      </c>
      <c r="E88" s="3" t="s">
        <v>821</v>
      </c>
      <c r="F88" s="5">
        <v>1.5</v>
      </c>
      <c r="G88" s="4">
        <v>1318</v>
      </c>
      <c r="H88" s="4">
        <v>1336</v>
      </c>
      <c r="I88" s="4">
        <v>1393</v>
      </c>
      <c r="J88" s="4">
        <v>1295</v>
      </c>
      <c r="K88" s="4">
        <v>1181</v>
      </c>
      <c r="L88" s="4">
        <v>1252</v>
      </c>
      <c r="M88" s="4">
        <v>1314</v>
      </c>
      <c r="N88" s="4">
        <v>1281</v>
      </c>
      <c r="O88" s="4">
        <v>1215</v>
      </c>
      <c r="P88" s="4">
        <v>1264</v>
      </c>
      <c r="Q88" s="4">
        <v>1281</v>
      </c>
      <c r="R88" s="4">
        <v>1240</v>
      </c>
      <c r="S88" s="4">
        <v>1207</v>
      </c>
      <c r="T88" s="4">
        <v>1222</v>
      </c>
      <c r="U88" s="4">
        <v>1259</v>
      </c>
      <c r="V88" s="4">
        <v>1274</v>
      </c>
      <c r="W88" s="4">
        <v>1283</v>
      </c>
      <c r="X88" s="10">
        <v>-8.4134615384615641E-3</v>
      </c>
      <c r="Y88" s="8">
        <v>-4.4444444444444731E-3</v>
      </c>
      <c r="Z88" s="8">
        <v>6.8993506493506551E-3</v>
      </c>
      <c r="AA88" s="8">
        <v>1.5316404675534081E-2</v>
      </c>
    </row>
    <row r="89" spans="2:27" x14ac:dyDescent="0.3">
      <c r="B89" s="12" t="s">
        <v>167</v>
      </c>
      <c r="C89" s="3" t="s">
        <v>819</v>
      </c>
      <c r="D89" s="3" t="s">
        <v>828</v>
      </c>
      <c r="E89" s="3" t="s">
        <v>848</v>
      </c>
      <c r="F89" s="5">
        <v>1.5</v>
      </c>
      <c r="G89" s="4">
        <v>4025</v>
      </c>
      <c r="H89" s="4">
        <v>4513</v>
      </c>
      <c r="I89" s="4">
        <v>4128</v>
      </c>
      <c r="J89" s="4">
        <v>4216</v>
      </c>
      <c r="K89" s="4">
        <v>4391</v>
      </c>
      <c r="L89" s="4">
        <v>4928</v>
      </c>
      <c r="M89" s="4">
        <v>4478</v>
      </c>
      <c r="N89" s="4">
        <v>4512</v>
      </c>
      <c r="O89" s="4">
        <v>4668</v>
      </c>
      <c r="P89" s="4">
        <v>5254</v>
      </c>
      <c r="Q89" s="4">
        <v>4769</v>
      </c>
      <c r="R89" s="4">
        <v>4833</v>
      </c>
      <c r="S89" s="4">
        <v>5048</v>
      </c>
      <c r="T89" s="4">
        <v>5553</v>
      </c>
      <c r="U89" s="4">
        <v>5127</v>
      </c>
      <c r="V89" s="4">
        <v>5175</v>
      </c>
      <c r="W89" s="4">
        <v>5359</v>
      </c>
      <c r="X89" s="10">
        <v>1.5022106109324749E-2</v>
      </c>
      <c r="Y89" s="8">
        <v>1.772014057318216E-2</v>
      </c>
      <c r="Z89" s="8">
        <v>1.663343222605906E-2</v>
      </c>
      <c r="AA89" s="8">
        <v>1.487824714155872E-2</v>
      </c>
    </row>
    <row r="90" spans="2:27" x14ac:dyDescent="0.3">
      <c r="B90" s="12" t="s">
        <v>628</v>
      </c>
      <c r="C90" s="3" t="s">
        <v>819</v>
      </c>
      <c r="D90" s="3" t="s">
        <v>874</v>
      </c>
      <c r="E90" s="3" t="s">
        <v>844</v>
      </c>
      <c r="F90" s="5">
        <v>1.5</v>
      </c>
      <c r="G90" s="4">
        <v>681625</v>
      </c>
      <c r="H90" s="4">
        <v>802755</v>
      </c>
      <c r="I90" s="4">
        <v>689784</v>
      </c>
      <c r="J90" s="4">
        <v>451997</v>
      </c>
      <c r="K90" s="6">
        <v>995900</v>
      </c>
      <c r="L90" s="4">
        <v>641535</v>
      </c>
      <c r="M90" s="4">
        <v>771638</v>
      </c>
      <c r="N90" s="6">
        <v>788870</v>
      </c>
      <c r="O90" s="4">
        <v>807972</v>
      </c>
      <c r="P90" s="4">
        <v>753625</v>
      </c>
      <c r="Q90" s="4">
        <v>950408</v>
      </c>
      <c r="R90" s="4">
        <v>1071722</v>
      </c>
      <c r="S90" s="4">
        <v>1058632</v>
      </c>
      <c r="T90" s="4">
        <v>818078</v>
      </c>
      <c r="U90" s="4">
        <v>957553</v>
      </c>
      <c r="V90" s="4">
        <v>1139963</v>
      </c>
      <c r="W90" s="4">
        <v>1117107</v>
      </c>
      <c r="X90" s="10">
        <v>1.6809205747881029E-2</v>
      </c>
      <c r="Y90" s="8">
        <v>1.8325963619949539E-3</v>
      </c>
      <c r="Z90" s="8">
        <v>1.7470881224582291E-2</v>
      </c>
      <c r="AA90" s="8">
        <v>1.471355680326192E-2</v>
      </c>
    </row>
    <row r="91" spans="2:27" x14ac:dyDescent="0.3">
      <c r="B91" s="12" t="s">
        <v>323</v>
      </c>
      <c r="C91" s="3" t="s">
        <v>819</v>
      </c>
      <c r="D91" s="3" t="s">
        <v>875</v>
      </c>
      <c r="E91" s="3" t="s">
        <v>821</v>
      </c>
      <c r="F91" s="5">
        <v>1.4</v>
      </c>
      <c r="G91" s="4">
        <v>251.38</v>
      </c>
      <c r="H91" s="4">
        <v>244.13</v>
      </c>
      <c r="I91" s="4">
        <v>199.75</v>
      </c>
      <c r="J91" s="4">
        <v>208.72</v>
      </c>
      <c r="K91" s="4">
        <v>258.7</v>
      </c>
      <c r="L91" s="4">
        <v>250.13</v>
      </c>
      <c r="M91" s="4">
        <v>210.58</v>
      </c>
      <c r="N91" s="4">
        <v>221.91</v>
      </c>
      <c r="O91" s="4">
        <v>278.27999999999997</v>
      </c>
      <c r="P91" s="4">
        <v>274.68</v>
      </c>
      <c r="Q91" s="4">
        <v>227.46</v>
      </c>
      <c r="R91" s="4">
        <v>238.29</v>
      </c>
      <c r="S91" s="4">
        <v>292.57</v>
      </c>
      <c r="T91" s="4">
        <v>289.31</v>
      </c>
      <c r="U91" s="4">
        <v>247.5</v>
      </c>
      <c r="V91" s="4">
        <v>261.14</v>
      </c>
      <c r="W91" s="4">
        <v>308.12</v>
      </c>
      <c r="X91" s="10">
        <v>1.4162633107454029E-2</v>
      </c>
      <c r="Y91" s="8">
        <v>1.9128890925231179E-2</v>
      </c>
      <c r="Z91" s="8">
        <v>2.14017439845644E-2</v>
      </c>
      <c r="AA91" s="8">
        <v>1.4259252466713109E-2</v>
      </c>
    </row>
    <row r="92" spans="2:27" x14ac:dyDescent="0.3">
      <c r="B92" s="12" t="s">
        <v>209</v>
      </c>
      <c r="C92" s="3" t="s">
        <v>819</v>
      </c>
      <c r="D92" s="3" t="s">
        <v>845</v>
      </c>
      <c r="E92" s="3" t="s">
        <v>821</v>
      </c>
      <c r="F92" s="5">
        <v>1.4</v>
      </c>
      <c r="G92" s="4">
        <v>2038</v>
      </c>
      <c r="H92" s="4">
        <v>2525</v>
      </c>
      <c r="I92" s="4">
        <v>2880</v>
      </c>
      <c r="J92" s="4">
        <v>2519</v>
      </c>
      <c r="K92" s="4">
        <v>2091</v>
      </c>
      <c r="L92" s="4">
        <v>2116</v>
      </c>
      <c r="M92" s="4">
        <v>1868</v>
      </c>
      <c r="N92" s="4">
        <v>1862</v>
      </c>
      <c r="O92" s="4">
        <v>1690</v>
      </c>
      <c r="P92" s="4">
        <v>1735</v>
      </c>
      <c r="Q92" s="4">
        <v>1752</v>
      </c>
      <c r="R92" s="4">
        <v>1753</v>
      </c>
      <c r="S92" s="4">
        <v>1601</v>
      </c>
      <c r="T92" s="4">
        <v>1767</v>
      </c>
      <c r="U92" s="4">
        <v>1832</v>
      </c>
      <c r="V92" s="4">
        <v>1853</v>
      </c>
      <c r="W92" s="4">
        <v>1701</v>
      </c>
      <c r="X92" s="10">
        <v>4.6776787019442434E-3</v>
      </c>
      <c r="Y92" s="8">
        <v>1.1639749745380399E-2</v>
      </c>
      <c r="Z92" s="8">
        <v>1.4382281029771351E-2</v>
      </c>
      <c r="AA92" s="8">
        <v>1.417836381681559E-2</v>
      </c>
    </row>
    <row r="93" spans="2:27" x14ac:dyDescent="0.3">
      <c r="B93" s="12" t="s">
        <v>83</v>
      </c>
      <c r="C93" s="3" t="s">
        <v>819</v>
      </c>
      <c r="D93" s="3" t="s">
        <v>852</v>
      </c>
      <c r="E93" s="3" t="s">
        <v>821</v>
      </c>
      <c r="F93" s="5">
        <v>1.4</v>
      </c>
      <c r="G93" s="4">
        <v>951</v>
      </c>
      <c r="H93" s="4">
        <v>842</v>
      </c>
      <c r="I93" s="4">
        <v>937</v>
      </c>
      <c r="J93" s="4">
        <v>1082</v>
      </c>
      <c r="K93" s="4">
        <v>931</v>
      </c>
      <c r="L93" s="4">
        <v>938</v>
      </c>
      <c r="M93" s="4">
        <v>1097</v>
      </c>
      <c r="N93" s="4">
        <v>1167</v>
      </c>
      <c r="O93" s="4">
        <v>1032</v>
      </c>
      <c r="P93" s="4">
        <v>1011</v>
      </c>
      <c r="Q93" s="4">
        <v>1149</v>
      </c>
      <c r="R93" s="4">
        <v>1323</v>
      </c>
      <c r="S93" s="4">
        <v>1201</v>
      </c>
      <c r="T93" s="4">
        <v>1142</v>
      </c>
      <c r="U93" s="4">
        <v>1276</v>
      </c>
      <c r="V93" s="4">
        <v>1451</v>
      </c>
      <c r="W93" s="4">
        <v>1271</v>
      </c>
      <c r="X93" s="10">
        <v>2.7967549103330439E-2</v>
      </c>
      <c r="Y93" s="8">
        <v>2.6375908618899269E-2</v>
      </c>
      <c r="Z93" s="8">
        <v>2.5900445163901331E-2</v>
      </c>
      <c r="AA93" s="8">
        <v>1.3806706114398491E-2</v>
      </c>
    </row>
    <row r="94" spans="2:27" x14ac:dyDescent="0.3">
      <c r="B94" s="12" t="s">
        <v>373</v>
      </c>
      <c r="C94" s="3" t="s">
        <v>819</v>
      </c>
      <c r="D94" s="3" t="s">
        <v>847</v>
      </c>
      <c r="E94" s="3" t="s">
        <v>821</v>
      </c>
      <c r="F94" s="5">
        <v>1.4</v>
      </c>
      <c r="G94" s="4">
        <v>92.64</v>
      </c>
      <c r="H94" s="4">
        <v>93.84</v>
      </c>
      <c r="I94" s="4">
        <v>98.01</v>
      </c>
      <c r="J94" s="4">
        <v>103.52</v>
      </c>
      <c r="K94" s="4">
        <v>112.14</v>
      </c>
      <c r="L94" s="4">
        <v>118.99</v>
      </c>
      <c r="M94" s="4">
        <v>109.35</v>
      </c>
      <c r="N94" s="4">
        <v>109.54</v>
      </c>
      <c r="O94" s="4">
        <v>105</v>
      </c>
      <c r="P94" s="4">
        <v>105.37</v>
      </c>
      <c r="Q94" s="4">
        <v>105.91</v>
      </c>
      <c r="R94" s="4">
        <v>108.4</v>
      </c>
      <c r="S94" s="4">
        <v>112.13</v>
      </c>
      <c r="T94" s="4">
        <v>108.69</v>
      </c>
      <c r="U94" s="4">
        <v>112.99</v>
      </c>
      <c r="V94" s="4">
        <v>114.17</v>
      </c>
      <c r="W94" s="4">
        <v>118.3</v>
      </c>
      <c r="X94" s="10">
        <v>7.6885667307380334E-3</v>
      </c>
      <c r="Y94" s="8">
        <v>1.6270999471422298E-2</v>
      </c>
      <c r="Z94" s="8">
        <v>1.304809931932804E-2</v>
      </c>
      <c r="AA94" s="8">
        <v>1.3772936291798651E-2</v>
      </c>
    </row>
    <row r="95" spans="2:27" x14ac:dyDescent="0.3">
      <c r="B95" s="12" t="s">
        <v>355</v>
      </c>
      <c r="C95" s="3" t="s">
        <v>819</v>
      </c>
      <c r="D95" s="3" t="s">
        <v>850</v>
      </c>
      <c r="E95" s="3" t="s">
        <v>821</v>
      </c>
      <c r="F95" s="5">
        <v>1.4</v>
      </c>
      <c r="G95" s="4">
        <v>870</v>
      </c>
      <c r="H95" s="4">
        <v>809</v>
      </c>
      <c r="I95" s="4">
        <v>922</v>
      </c>
      <c r="J95" s="4">
        <v>937</v>
      </c>
      <c r="K95" s="4">
        <v>0</v>
      </c>
      <c r="L95" s="4">
        <v>879</v>
      </c>
      <c r="M95" s="4">
        <v>949</v>
      </c>
      <c r="N95" s="4">
        <v>986</v>
      </c>
      <c r="O95" s="6">
        <v>936</v>
      </c>
      <c r="P95" s="4">
        <v>916</v>
      </c>
      <c r="Q95" s="4">
        <v>985</v>
      </c>
      <c r="R95" s="4">
        <v>993</v>
      </c>
      <c r="S95" s="4">
        <v>971</v>
      </c>
      <c r="T95" s="4">
        <v>934</v>
      </c>
      <c r="U95" s="4">
        <v>1018</v>
      </c>
      <c r="V95" s="4">
        <v>1044</v>
      </c>
      <c r="W95" s="4">
        <v>1025</v>
      </c>
      <c r="X95" s="10">
        <v>4.6571798188874691E-3</v>
      </c>
      <c r="Y95" s="8">
        <v>8.4985835694051381E-3</v>
      </c>
      <c r="Z95" s="8">
        <v>1.302349336057196E-2</v>
      </c>
      <c r="AA95" s="8">
        <v>1.3612301487270001E-2</v>
      </c>
    </row>
    <row r="96" spans="2:27" x14ac:dyDescent="0.3">
      <c r="B96" s="12" t="s">
        <v>95</v>
      </c>
      <c r="C96" s="3" t="s">
        <v>819</v>
      </c>
      <c r="D96" s="3" t="s">
        <v>876</v>
      </c>
      <c r="E96" s="3" t="s">
        <v>821</v>
      </c>
      <c r="F96" s="5">
        <v>1.4</v>
      </c>
      <c r="G96" s="4">
        <v>4056</v>
      </c>
      <c r="H96" s="4">
        <v>3145</v>
      </c>
      <c r="I96" s="4">
        <v>2923</v>
      </c>
      <c r="J96" s="4">
        <v>2867</v>
      </c>
      <c r="K96" s="4">
        <v>2930</v>
      </c>
      <c r="L96" s="4">
        <v>3038</v>
      </c>
      <c r="M96" s="4">
        <v>3034</v>
      </c>
      <c r="N96" s="4">
        <v>3057</v>
      </c>
      <c r="O96" s="4">
        <v>3033</v>
      </c>
      <c r="P96" s="4">
        <v>3177</v>
      </c>
      <c r="Q96" s="4">
        <v>3221</v>
      </c>
      <c r="R96" s="4">
        <v>3282</v>
      </c>
      <c r="S96" s="4">
        <v>3329</v>
      </c>
      <c r="T96" s="4">
        <v>3345</v>
      </c>
      <c r="U96" s="4">
        <v>3527</v>
      </c>
      <c r="V96" s="4">
        <v>3564</v>
      </c>
      <c r="W96" s="4">
        <v>3516</v>
      </c>
      <c r="X96" s="10">
        <v>1.291413636713035E-2</v>
      </c>
      <c r="Y96" s="8">
        <v>2.322228124762837E-2</v>
      </c>
      <c r="Z96" s="8">
        <v>2.091522658162126E-2</v>
      </c>
      <c r="AA96" s="8">
        <v>1.358517980385043E-2</v>
      </c>
    </row>
    <row r="97" spans="2:27" x14ac:dyDescent="0.3">
      <c r="B97" s="12" t="s">
        <v>103</v>
      </c>
      <c r="C97" s="3" t="s">
        <v>819</v>
      </c>
      <c r="D97" s="3" t="s">
        <v>877</v>
      </c>
      <c r="E97" s="3" t="s">
        <v>821</v>
      </c>
      <c r="F97" s="5">
        <v>1.3</v>
      </c>
      <c r="G97" s="4">
        <v>359.37</v>
      </c>
      <c r="H97" s="4">
        <v>393.9</v>
      </c>
      <c r="I97" s="4">
        <v>484.5</v>
      </c>
      <c r="J97" s="4">
        <v>411.5</v>
      </c>
      <c r="K97" s="4">
        <v>443.9</v>
      </c>
      <c r="L97" s="4">
        <v>512.4</v>
      </c>
      <c r="M97" s="6">
        <v>1107</v>
      </c>
      <c r="N97" s="6">
        <v>1020</v>
      </c>
      <c r="O97" s="6">
        <v>1041</v>
      </c>
      <c r="P97" s="6">
        <v>1065</v>
      </c>
      <c r="Q97" s="4">
        <v>1096</v>
      </c>
      <c r="R97" s="4">
        <v>981.8</v>
      </c>
      <c r="S97" s="4">
        <v>1142</v>
      </c>
      <c r="T97" s="4">
        <v>1109</v>
      </c>
      <c r="U97" s="4">
        <v>1186</v>
      </c>
      <c r="V97" s="4">
        <v>1093</v>
      </c>
      <c r="W97" s="4">
        <v>1203</v>
      </c>
      <c r="X97" s="10">
        <v>1.026885735623595E-2</v>
      </c>
      <c r="Y97" s="8">
        <v>2.0790981334319E-2</v>
      </c>
      <c r="Z97" s="8">
        <v>2.5165203222594409E-2</v>
      </c>
      <c r="AA97" s="8">
        <v>1.346578366445916E-2</v>
      </c>
    </row>
    <row r="98" spans="2:27" x14ac:dyDescent="0.3">
      <c r="B98" s="12" t="s">
        <v>116</v>
      </c>
      <c r="C98" s="3" t="s">
        <v>819</v>
      </c>
      <c r="D98" s="3" t="s">
        <v>878</v>
      </c>
      <c r="E98" s="3" t="s">
        <v>821</v>
      </c>
      <c r="F98" s="5">
        <v>1.2</v>
      </c>
      <c r="G98" s="4">
        <v>518.12</v>
      </c>
      <c r="H98" s="4">
        <v>529.99</v>
      </c>
      <c r="I98" s="4">
        <v>554.6</v>
      </c>
      <c r="J98" s="4">
        <v>567.83000000000004</v>
      </c>
      <c r="K98" s="4">
        <v>576.1</v>
      </c>
      <c r="L98" s="4">
        <v>585.74</v>
      </c>
      <c r="M98" s="4">
        <v>598.34</v>
      </c>
      <c r="N98" s="4">
        <v>612.79</v>
      </c>
      <c r="O98" s="4">
        <v>617.53</v>
      </c>
      <c r="P98" s="4">
        <v>640.9</v>
      </c>
      <c r="Q98" s="4">
        <v>647.97</v>
      </c>
      <c r="R98" s="4">
        <v>648.16</v>
      </c>
      <c r="S98" s="4">
        <v>653.47</v>
      </c>
      <c r="T98" s="4">
        <v>669.26</v>
      </c>
      <c r="U98" s="4">
        <v>676.6</v>
      </c>
      <c r="V98" s="4">
        <v>690.3</v>
      </c>
      <c r="W98" s="4">
        <v>685.25</v>
      </c>
      <c r="X98" s="10">
        <v>1.0947693495464209E-2</v>
      </c>
      <c r="Y98" s="8">
        <v>1.09322376912091E-2</v>
      </c>
      <c r="Z98" s="8">
        <v>1.591696285916111E-2</v>
      </c>
      <c r="AA98" s="8">
        <v>1.18157516089572E-2</v>
      </c>
    </row>
    <row r="99" spans="2:27" x14ac:dyDescent="0.3">
      <c r="B99" s="12" t="s">
        <v>171</v>
      </c>
      <c r="C99" s="3" t="s">
        <v>819</v>
      </c>
      <c r="D99" s="3" t="s">
        <v>879</v>
      </c>
      <c r="E99" s="3" t="s">
        <v>821</v>
      </c>
      <c r="F99" s="5">
        <v>1.2</v>
      </c>
      <c r="G99" s="4">
        <v>1119</v>
      </c>
      <c r="H99" s="4">
        <v>1169</v>
      </c>
      <c r="I99" s="4">
        <v>1356</v>
      </c>
      <c r="J99" s="4">
        <v>1363</v>
      </c>
      <c r="K99" s="4">
        <v>1278</v>
      </c>
      <c r="L99" s="4">
        <v>1307</v>
      </c>
      <c r="M99" s="4">
        <v>1398</v>
      </c>
      <c r="N99" s="4">
        <v>1366</v>
      </c>
      <c r="O99" s="4">
        <v>1338</v>
      </c>
      <c r="P99" s="4">
        <v>1377</v>
      </c>
      <c r="Q99" s="4">
        <v>1553</v>
      </c>
      <c r="R99" s="4">
        <v>1529</v>
      </c>
      <c r="S99" s="4">
        <v>1431</v>
      </c>
      <c r="T99" s="4">
        <v>1432</v>
      </c>
      <c r="U99" s="4">
        <v>1550</v>
      </c>
      <c r="V99" s="4">
        <v>1549</v>
      </c>
      <c r="W99" s="4">
        <v>1500</v>
      </c>
      <c r="X99" s="10">
        <v>9.3378607809846415E-3</v>
      </c>
      <c r="Y99" s="8">
        <v>-5.0462573591247839E-4</v>
      </c>
      <c r="Z99" s="8">
        <v>3.365870077415067E-3</v>
      </c>
      <c r="AA99" s="8">
        <v>1.1573297551157319E-2</v>
      </c>
    </row>
    <row r="100" spans="2:27" x14ac:dyDescent="0.3">
      <c r="B100" s="12" t="s">
        <v>446</v>
      </c>
      <c r="C100" s="3" t="s">
        <v>819</v>
      </c>
      <c r="D100" s="3" t="s">
        <v>869</v>
      </c>
      <c r="E100" s="3" t="s">
        <v>821</v>
      </c>
      <c r="F100" s="5">
        <v>1.1000000000000001</v>
      </c>
      <c r="G100" s="4">
        <v>776.69</v>
      </c>
      <c r="H100" s="4">
        <v>793.71</v>
      </c>
      <c r="I100" s="4">
        <v>832.64</v>
      </c>
      <c r="J100" s="4">
        <v>784</v>
      </c>
      <c r="K100" s="4">
        <v>892.8</v>
      </c>
      <c r="L100" s="4">
        <v>866.11</v>
      </c>
      <c r="M100" s="4">
        <v>866.17</v>
      </c>
      <c r="N100" s="4">
        <v>830.21</v>
      </c>
      <c r="O100" s="4">
        <v>877.01</v>
      </c>
      <c r="P100" s="4">
        <v>891.22</v>
      </c>
      <c r="Q100" s="4">
        <v>904.04</v>
      </c>
      <c r="R100" s="4">
        <v>865.47</v>
      </c>
      <c r="S100" s="4">
        <v>920.96</v>
      </c>
      <c r="T100" s="4">
        <v>927.2</v>
      </c>
      <c r="U100" s="4">
        <v>955.83</v>
      </c>
      <c r="V100" s="4">
        <v>907.23</v>
      </c>
      <c r="W100" s="4">
        <v>961.56</v>
      </c>
      <c r="X100" s="10">
        <v>1.0045537162624459E-2</v>
      </c>
      <c r="Y100" s="8">
        <v>1.431584417594745E-2</v>
      </c>
      <c r="Z100" s="8">
        <v>1.1380421097382239E-2</v>
      </c>
      <c r="AA100" s="8">
        <v>1.093979877237139E-2</v>
      </c>
    </row>
    <row r="101" spans="2:27" x14ac:dyDescent="0.3">
      <c r="B101" s="12" t="s">
        <v>66</v>
      </c>
      <c r="C101" s="3" t="s">
        <v>819</v>
      </c>
      <c r="D101" s="3" t="s">
        <v>845</v>
      </c>
      <c r="E101" s="3" t="s">
        <v>821</v>
      </c>
      <c r="F101" s="5">
        <v>1.1000000000000001</v>
      </c>
      <c r="G101" s="4">
        <v>7069</v>
      </c>
      <c r="H101" s="4">
        <v>7454</v>
      </c>
      <c r="I101" s="4">
        <v>14285</v>
      </c>
      <c r="J101" s="4">
        <v>7984</v>
      </c>
      <c r="K101" s="4">
        <v>7289</v>
      </c>
      <c r="L101" s="4">
        <v>5908</v>
      </c>
      <c r="M101" s="4">
        <v>11402</v>
      </c>
      <c r="N101" s="4">
        <v>5368</v>
      </c>
      <c r="O101" s="4">
        <v>5404</v>
      </c>
      <c r="P101" s="4">
        <v>5151</v>
      </c>
      <c r="Q101" s="4">
        <v>9916</v>
      </c>
      <c r="R101" s="4">
        <v>5085</v>
      </c>
      <c r="S101" s="4">
        <v>4864</v>
      </c>
      <c r="T101" s="4">
        <v>4874</v>
      </c>
      <c r="U101" s="4">
        <v>10198</v>
      </c>
      <c r="V101" s="4">
        <v>5735</v>
      </c>
      <c r="W101" s="4">
        <v>5142</v>
      </c>
      <c r="X101" s="10">
        <v>-1.107291333546534E-2</v>
      </c>
      <c r="Y101" s="8">
        <v>1.139900561865881E-2</v>
      </c>
      <c r="Z101" s="8">
        <v>2.5978178330202661E-2</v>
      </c>
      <c r="AA101" s="8">
        <v>1.08293405009543E-2</v>
      </c>
    </row>
    <row r="102" spans="2:27" x14ac:dyDescent="0.3">
      <c r="B102" s="12" t="s">
        <v>379</v>
      </c>
      <c r="C102" s="3" t="s">
        <v>819</v>
      </c>
      <c r="D102" s="3" t="s">
        <v>846</v>
      </c>
      <c r="E102" s="3" t="s">
        <v>821</v>
      </c>
      <c r="F102" s="5">
        <v>1</v>
      </c>
      <c r="G102" s="4">
        <v>790.2</v>
      </c>
      <c r="H102" s="4">
        <v>748.1</v>
      </c>
      <c r="I102" s="4">
        <v>776.4</v>
      </c>
      <c r="J102" s="4">
        <v>788</v>
      </c>
      <c r="K102" s="4">
        <v>871.9</v>
      </c>
      <c r="L102" s="4">
        <v>776.4</v>
      </c>
      <c r="M102" s="4">
        <v>764.4</v>
      </c>
      <c r="N102" s="4">
        <v>765.4</v>
      </c>
      <c r="O102" s="4">
        <v>789</v>
      </c>
      <c r="P102" s="4">
        <v>755.8</v>
      </c>
      <c r="Q102" s="4">
        <v>696.4</v>
      </c>
      <c r="R102" s="4">
        <v>750</v>
      </c>
      <c r="S102" s="4">
        <v>776.8</v>
      </c>
      <c r="T102" s="4">
        <v>741.1</v>
      </c>
      <c r="U102" s="4">
        <v>773.5</v>
      </c>
      <c r="V102" s="4">
        <v>752.5</v>
      </c>
      <c r="W102" s="4">
        <v>808.5</v>
      </c>
      <c r="X102" s="10">
        <v>-4.9345417925478197E-3</v>
      </c>
      <c r="Y102" s="8">
        <v>2.6009513207165161E-2</v>
      </c>
      <c r="Z102" s="8">
        <v>8.219898730847941E-4</v>
      </c>
      <c r="AA102" s="8">
        <v>1.041427116528126E-2</v>
      </c>
    </row>
    <row r="103" spans="2:27" x14ac:dyDescent="0.3">
      <c r="B103" s="12" t="s">
        <v>305</v>
      </c>
      <c r="C103" s="3" t="s">
        <v>819</v>
      </c>
      <c r="D103" s="3" t="s">
        <v>880</v>
      </c>
      <c r="E103" s="3" t="s">
        <v>821</v>
      </c>
      <c r="F103" s="5">
        <v>1</v>
      </c>
      <c r="G103" s="4">
        <v>2591</v>
      </c>
      <c r="H103" s="4">
        <v>2292</v>
      </c>
      <c r="I103" s="4">
        <v>2821</v>
      </c>
      <c r="J103" s="4">
        <v>2887</v>
      </c>
      <c r="K103" s="4">
        <v>2821</v>
      </c>
      <c r="L103" s="4">
        <v>2830</v>
      </c>
      <c r="M103" s="4">
        <v>2879</v>
      </c>
      <c r="N103" s="4">
        <v>2994</v>
      </c>
      <c r="O103" s="4">
        <v>2825</v>
      </c>
      <c r="P103" s="4">
        <v>2742</v>
      </c>
      <c r="Q103" s="4">
        <v>2830</v>
      </c>
      <c r="R103" s="4">
        <v>2874</v>
      </c>
      <c r="S103" s="4">
        <v>2799</v>
      </c>
      <c r="T103" s="4">
        <v>2794</v>
      </c>
      <c r="U103" s="4">
        <v>2907</v>
      </c>
      <c r="V103" s="4">
        <v>2869</v>
      </c>
      <c r="W103" s="4">
        <v>2916</v>
      </c>
      <c r="X103" s="10">
        <v>4.6242774566473974E-3</v>
      </c>
      <c r="Y103" s="8">
        <v>6.8159688412852137E-3</v>
      </c>
      <c r="Z103" s="8">
        <v>-4.3959908563395711E-4</v>
      </c>
      <c r="AA103" s="8">
        <v>1.029114258070196E-2</v>
      </c>
    </row>
    <row r="104" spans="2:27" x14ac:dyDescent="0.3">
      <c r="B104" s="12" t="s">
        <v>337</v>
      </c>
      <c r="C104" s="3" t="s">
        <v>819</v>
      </c>
      <c r="D104" s="3" t="s">
        <v>851</v>
      </c>
      <c r="E104" s="3" t="s">
        <v>821</v>
      </c>
      <c r="F104" s="5">
        <v>1</v>
      </c>
      <c r="G104" s="4">
        <v>432.52</v>
      </c>
      <c r="H104" s="4">
        <v>451.47</v>
      </c>
      <c r="I104" s="4">
        <v>551.14</v>
      </c>
      <c r="J104" s="4">
        <v>551.66999999999996</v>
      </c>
      <c r="K104" s="4">
        <v>489.43</v>
      </c>
      <c r="L104" s="4">
        <v>484.55</v>
      </c>
      <c r="M104" s="4">
        <v>569.17999999999995</v>
      </c>
      <c r="N104" s="4">
        <v>538.42999999999995</v>
      </c>
      <c r="O104" s="4">
        <v>472.97</v>
      </c>
      <c r="P104" s="4">
        <v>460.9</v>
      </c>
      <c r="Q104" s="4">
        <v>543.26</v>
      </c>
      <c r="R104" s="4">
        <v>531.44000000000005</v>
      </c>
      <c r="S104" s="4">
        <v>485.75</v>
      </c>
      <c r="T104" s="4">
        <v>455.25</v>
      </c>
      <c r="U104" s="4">
        <v>587.42999999999995</v>
      </c>
      <c r="V104" s="4">
        <v>581.71</v>
      </c>
      <c r="W104" s="4">
        <v>506.86</v>
      </c>
      <c r="X104" s="10">
        <v>-2.7951616493926408E-3</v>
      </c>
      <c r="Y104" s="8">
        <v>2.191298308279999E-2</v>
      </c>
      <c r="Z104" s="8">
        <v>2.4404452708180591E-2</v>
      </c>
      <c r="AA104" s="8">
        <v>1.0004075558967649E-2</v>
      </c>
    </row>
    <row r="105" spans="2:27" x14ac:dyDescent="0.3">
      <c r="B105" s="12" t="s">
        <v>118</v>
      </c>
      <c r="C105" s="3" t="s">
        <v>819</v>
      </c>
      <c r="D105" s="3" t="s">
        <v>881</v>
      </c>
      <c r="E105" s="3" t="s">
        <v>821</v>
      </c>
      <c r="F105" s="5">
        <v>1</v>
      </c>
      <c r="G105" s="4">
        <v>4803</v>
      </c>
      <c r="H105" s="4">
        <v>5295</v>
      </c>
      <c r="I105" s="4">
        <v>5602</v>
      </c>
      <c r="J105" s="4">
        <v>5675</v>
      </c>
      <c r="K105" s="4">
        <v>5524</v>
      </c>
      <c r="L105" s="4">
        <v>5765</v>
      </c>
      <c r="M105" s="4">
        <v>5915</v>
      </c>
      <c r="N105" s="4">
        <v>5825</v>
      </c>
      <c r="O105" s="4">
        <v>5586</v>
      </c>
      <c r="P105" s="4">
        <v>5784</v>
      </c>
      <c r="Q105" s="4">
        <v>5963</v>
      </c>
      <c r="R105" s="4">
        <v>5970</v>
      </c>
      <c r="S105" s="4">
        <v>5770</v>
      </c>
      <c r="T105" s="4">
        <v>5866</v>
      </c>
      <c r="U105" s="4">
        <v>6164</v>
      </c>
      <c r="V105" s="4">
        <v>6260</v>
      </c>
      <c r="W105" s="4">
        <v>6009</v>
      </c>
      <c r="X105" s="10">
        <v>3.4912930557329251E-3</v>
      </c>
      <c r="Y105" s="8">
        <v>8.5281513852941693E-3</v>
      </c>
      <c r="Z105" s="8">
        <v>1.2200252419015459E-2</v>
      </c>
      <c r="AA105" s="8">
        <v>9.9334995843725071E-3</v>
      </c>
    </row>
    <row r="106" spans="2:27" x14ac:dyDescent="0.3">
      <c r="B106" s="12" t="s">
        <v>361</v>
      </c>
      <c r="C106" s="3" t="s">
        <v>819</v>
      </c>
      <c r="D106" s="3" t="s">
        <v>851</v>
      </c>
      <c r="E106" s="3" t="s">
        <v>821</v>
      </c>
      <c r="F106" s="5">
        <v>0.9</v>
      </c>
      <c r="G106" s="4">
        <v>919.46</v>
      </c>
      <c r="H106" s="4">
        <v>821.06</v>
      </c>
      <c r="I106" s="4">
        <v>882.22</v>
      </c>
      <c r="J106" s="4">
        <v>872.88</v>
      </c>
      <c r="K106" s="4">
        <v>1039</v>
      </c>
      <c r="L106" s="4">
        <v>980.31</v>
      </c>
      <c r="M106" s="4">
        <v>1080</v>
      </c>
      <c r="N106" s="4">
        <v>1095</v>
      </c>
      <c r="O106" s="4">
        <v>1165</v>
      </c>
      <c r="P106" s="4">
        <v>1087</v>
      </c>
      <c r="Q106" s="4">
        <v>1157</v>
      </c>
      <c r="R106" s="4">
        <v>1133</v>
      </c>
      <c r="S106" s="4">
        <v>1180</v>
      </c>
      <c r="T106" s="4">
        <v>1145</v>
      </c>
      <c r="U106" s="4">
        <v>1188</v>
      </c>
      <c r="V106" s="4">
        <v>1174</v>
      </c>
      <c r="W106" s="4">
        <v>1222</v>
      </c>
      <c r="X106" s="10">
        <v>1.272767171384692E-2</v>
      </c>
      <c r="Y106" s="8">
        <v>6.7172264355364053E-3</v>
      </c>
      <c r="Z106" s="8">
        <v>8.8247955230305042E-3</v>
      </c>
      <c r="AA106" s="8">
        <v>8.9609558352889973E-3</v>
      </c>
    </row>
    <row r="107" spans="2:27" x14ac:dyDescent="0.3">
      <c r="B107" s="12" t="s">
        <v>99</v>
      </c>
      <c r="C107" s="3" t="s">
        <v>819</v>
      </c>
      <c r="D107" s="3" t="s">
        <v>829</v>
      </c>
      <c r="E107" s="3" t="s">
        <v>821</v>
      </c>
      <c r="F107" s="5">
        <v>0.8</v>
      </c>
      <c r="G107" s="4">
        <v>400.59</v>
      </c>
      <c r="H107" s="4">
        <v>316.23</v>
      </c>
      <c r="I107" s="4">
        <v>444.82</v>
      </c>
      <c r="J107" s="4">
        <v>538.51</v>
      </c>
      <c r="K107" s="6">
        <v>738.08</v>
      </c>
      <c r="L107" s="4">
        <v>413.3</v>
      </c>
      <c r="M107" s="4">
        <v>611.08000000000004</v>
      </c>
      <c r="N107" s="4">
        <v>668.34</v>
      </c>
      <c r="O107" s="4">
        <v>705.75</v>
      </c>
      <c r="P107" s="4">
        <v>603</v>
      </c>
      <c r="Q107" s="4">
        <v>779</v>
      </c>
      <c r="R107" s="4">
        <v>828.58</v>
      </c>
      <c r="S107" s="6">
        <v>1027</v>
      </c>
      <c r="T107" s="4">
        <v>715</v>
      </c>
      <c r="U107" s="4">
        <v>925</v>
      </c>
      <c r="V107" s="4">
        <v>1022</v>
      </c>
      <c r="W107" s="4">
        <v>1058</v>
      </c>
      <c r="X107" s="10">
        <v>3.4593739768592702E-2</v>
      </c>
      <c r="Y107" s="8">
        <v>4.3587554260534178E-2</v>
      </c>
      <c r="Z107" s="8">
        <v>5.5332734481831292E-2</v>
      </c>
      <c r="AA107" s="8">
        <v>8.4033613445377853E-3</v>
      </c>
    </row>
    <row r="108" spans="2:27" x14ac:dyDescent="0.3">
      <c r="B108" s="12" t="s">
        <v>758</v>
      </c>
      <c r="C108" s="3" t="s">
        <v>819</v>
      </c>
      <c r="D108" s="3" t="s">
        <v>871</v>
      </c>
      <c r="E108" s="3" t="s">
        <v>821</v>
      </c>
      <c r="F108" s="5">
        <v>0.8</v>
      </c>
      <c r="G108" s="4">
        <v>79.760000000000005</v>
      </c>
      <c r="H108" s="4">
        <v>86.69</v>
      </c>
      <c r="I108" s="4">
        <v>85.01</v>
      </c>
      <c r="J108" s="4">
        <v>82.54</v>
      </c>
      <c r="K108" s="4">
        <v>83.13</v>
      </c>
      <c r="L108" s="4">
        <v>87.96</v>
      </c>
      <c r="M108" s="4">
        <v>89.39</v>
      </c>
      <c r="N108" s="4">
        <v>92.53</v>
      </c>
      <c r="O108" s="4">
        <v>91.5</v>
      </c>
      <c r="P108" s="4">
        <v>93.52</v>
      </c>
      <c r="Q108" s="4">
        <v>94.66</v>
      </c>
      <c r="R108" s="4">
        <v>99.63</v>
      </c>
      <c r="S108" s="4">
        <v>103.67</v>
      </c>
      <c r="T108" s="4">
        <v>107.18</v>
      </c>
      <c r="U108" s="4">
        <v>108.65</v>
      </c>
      <c r="V108" s="4">
        <v>107.9</v>
      </c>
      <c r="W108" s="4">
        <v>107.17</v>
      </c>
      <c r="X108" s="10">
        <v>3.4893225707571141E-2</v>
      </c>
      <c r="Y108" s="8">
        <v>3.4531273140149032E-2</v>
      </c>
      <c r="Z108" s="8">
        <v>1.9731348269033559E-2</v>
      </c>
      <c r="AA108" s="8">
        <v>8.1890500701917723E-3</v>
      </c>
    </row>
    <row r="109" spans="2:27" x14ac:dyDescent="0.3">
      <c r="B109" s="12" t="s">
        <v>769</v>
      </c>
      <c r="C109" s="3" t="s">
        <v>819</v>
      </c>
      <c r="D109" s="3" t="s">
        <v>841</v>
      </c>
      <c r="E109" s="3" t="s">
        <v>821</v>
      </c>
      <c r="F109" s="5">
        <v>0.8</v>
      </c>
      <c r="G109" s="4">
        <v>500.64</v>
      </c>
      <c r="H109" s="4">
        <v>584.91</v>
      </c>
      <c r="I109" s="4">
        <v>657.53</v>
      </c>
      <c r="J109" s="4">
        <v>663.39</v>
      </c>
      <c r="K109" s="4">
        <v>631.17999999999995</v>
      </c>
      <c r="L109" s="4">
        <v>742.7</v>
      </c>
      <c r="M109" s="4">
        <v>737.53</v>
      </c>
      <c r="N109" s="4">
        <v>740.46</v>
      </c>
      <c r="O109" s="4">
        <v>687.05</v>
      </c>
      <c r="P109" s="4">
        <v>713.63</v>
      </c>
      <c r="Q109" s="4">
        <v>695.05</v>
      </c>
      <c r="R109" s="4">
        <v>691.3</v>
      </c>
      <c r="S109" s="4">
        <v>644.86</v>
      </c>
      <c r="T109" s="4">
        <v>702.13</v>
      </c>
      <c r="U109" s="4">
        <v>687.15</v>
      </c>
      <c r="V109" s="4">
        <v>715.18</v>
      </c>
      <c r="W109" s="4">
        <v>666.53</v>
      </c>
      <c r="X109" s="10">
        <v>-4.1896795441628276E-3</v>
      </c>
      <c r="Y109" s="8">
        <v>-2.8902368530808742E-3</v>
      </c>
      <c r="Z109" s="8">
        <v>8.7618879887283452E-3</v>
      </c>
      <c r="AA109" s="8">
        <v>7.8819489910233465E-3</v>
      </c>
    </row>
    <row r="110" spans="2:27" x14ac:dyDescent="0.3">
      <c r="B110" s="12" t="s">
        <v>64</v>
      </c>
      <c r="C110" s="3" t="s">
        <v>819</v>
      </c>
      <c r="D110" s="3" t="s">
        <v>882</v>
      </c>
      <c r="E110" s="3" t="s">
        <v>821</v>
      </c>
      <c r="F110" s="5">
        <v>0.8</v>
      </c>
      <c r="G110" s="4">
        <v>3733</v>
      </c>
      <c r="H110" s="4">
        <v>3590</v>
      </c>
      <c r="I110" s="4">
        <v>3804</v>
      </c>
      <c r="J110" s="4">
        <v>3789</v>
      </c>
      <c r="K110" s="4">
        <v>3767</v>
      </c>
      <c r="L110" s="4">
        <v>3852</v>
      </c>
      <c r="M110" s="4">
        <v>4011</v>
      </c>
      <c r="N110" s="4">
        <v>3915</v>
      </c>
      <c r="O110" s="4">
        <v>3666</v>
      </c>
      <c r="P110" s="4">
        <v>3894</v>
      </c>
      <c r="Q110" s="4">
        <v>4000</v>
      </c>
      <c r="R110" s="4">
        <v>3899</v>
      </c>
      <c r="S110" s="4">
        <v>3662</v>
      </c>
      <c r="T110" s="4">
        <v>3741</v>
      </c>
      <c r="U110" s="4">
        <v>3839</v>
      </c>
      <c r="V110" s="4">
        <v>3764</v>
      </c>
      <c r="W110" s="4">
        <v>3780</v>
      </c>
      <c r="X110" s="10">
        <v>-9.8997088320931237E-3</v>
      </c>
      <c r="Y110" s="8">
        <v>-1.052150045745659E-2</v>
      </c>
      <c r="Z110" s="8">
        <v>-8.9161878343569922E-3</v>
      </c>
      <c r="AA110" s="8">
        <v>7.863521258163475E-3</v>
      </c>
    </row>
    <row r="111" spans="2:27" x14ac:dyDescent="0.3">
      <c r="B111" s="12" t="s">
        <v>55</v>
      </c>
      <c r="C111" s="3" t="s">
        <v>819</v>
      </c>
      <c r="D111" s="3" t="s">
        <v>855</v>
      </c>
      <c r="E111" s="3" t="s">
        <v>821</v>
      </c>
      <c r="F111" s="5">
        <v>0.7</v>
      </c>
      <c r="G111" s="4">
        <v>1606</v>
      </c>
      <c r="H111" s="4">
        <v>1541</v>
      </c>
      <c r="I111" s="4">
        <v>1954</v>
      </c>
      <c r="J111" s="4">
        <v>2088</v>
      </c>
      <c r="K111" s="4">
        <v>1732</v>
      </c>
      <c r="L111" s="4">
        <v>1649</v>
      </c>
      <c r="M111" s="4">
        <v>2113</v>
      </c>
      <c r="N111" s="4">
        <v>2186</v>
      </c>
      <c r="O111" s="4">
        <v>1834</v>
      </c>
      <c r="P111" s="4">
        <v>1546</v>
      </c>
      <c r="Q111" s="4">
        <v>2014</v>
      </c>
      <c r="R111" s="4">
        <v>2004</v>
      </c>
      <c r="S111" s="4">
        <v>1854</v>
      </c>
      <c r="T111" s="4">
        <v>1635</v>
      </c>
      <c r="U111" s="4">
        <v>2102</v>
      </c>
      <c r="V111" s="4">
        <v>2292</v>
      </c>
      <c r="W111" s="4">
        <v>1913</v>
      </c>
      <c r="X111" s="10">
        <v>1.1997843084389229E-2</v>
      </c>
      <c r="Y111" s="8">
        <v>1.1722392433728411E-2</v>
      </c>
      <c r="Z111" s="8">
        <v>3.7919684002633243E-2</v>
      </c>
      <c r="AA111" s="8">
        <v>7.4844602308765662E-3</v>
      </c>
    </row>
    <row r="112" spans="2:27" x14ac:dyDescent="0.3">
      <c r="B112" s="12" t="s">
        <v>634</v>
      </c>
      <c r="C112" s="3" t="s">
        <v>819</v>
      </c>
      <c r="D112" s="3" t="s">
        <v>883</v>
      </c>
      <c r="E112" s="3" t="s">
        <v>821</v>
      </c>
      <c r="F112" s="5">
        <v>0.7</v>
      </c>
      <c r="G112" s="4">
        <v>159.94</v>
      </c>
      <c r="H112" s="4">
        <v>163.41</v>
      </c>
      <c r="I112" s="4">
        <v>171.46</v>
      </c>
      <c r="J112" s="4">
        <v>179.61</v>
      </c>
      <c r="K112" s="4">
        <v>190.11</v>
      </c>
      <c r="L112" s="4">
        <v>197.12</v>
      </c>
      <c r="M112" s="4">
        <v>206.92</v>
      </c>
      <c r="N112" s="4">
        <v>217.09</v>
      </c>
      <c r="O112" s="4">
        <v>225.05</v>
      </c>
      <c r="P112" s="4">
        <v>229.28</v>
      </c>
      <c r="Q112" s="4">
        <v>235.31</v>
      </c>
      <c r="R112" s="4">
        <v>239.97</v>
      </c>
      <c r="S112" s="4">
        <v>245.89</v>
      </c>
      <c r="T112" s="4">
        <v>245.23</v>
      </c>
      <c r="U112" s="4">
        <v>250.13</v>
      </c>
      <c r="V112" s="4">
        <v>250.26</v>
      </c>
      <c r="W112" s="4">
        <v>252.48</v>
      </c>
      <c r="X112" s="10">
        <v>1.6781524541006791E-2</v>
      </c>
      <c r="Y112" s="8">
        <v>1.533526490066239E-2</v>
      </c>
      <c r="Z112" s="8">
        <v>1.0486944823790759E-2</v>
      </c>
      <c r="AA112" s="8">
        <v>6.6464281752074417E-3</v>
      </c>
    </row>
    <row r="113" spans="2:27" x14ac:dyDescent="0.3">
      <c r="B113" s="12" t="s">
        <v>11</v>
      </c>
      <c r="C113" s="3" t="s">
        <v>819</v>
      </c>
      <c r="D113" s="3" t="s">
        <v>902</v>
      </c>
      <c r="E113" s="3" t="s">
        <v>904</v>
      </c>
      <c r="F113" s="5">
        <v>0.6</v>
      </c>
      <c r="G113" s="4">
        <v>30831</v>
      </c>
      <c r="I113" s="4">
        <v>34580</v>
      </c>
      <c r="K113" s="4">
        <v>25984</v>
      </c>
      <c r="M113" s="4">
        <v>27833</v>
      </c>
      <c r="O113" s="4">
        <v>27232</v>
      </c>
      <c r="Q113" s="4">
        <v>28426</v>
      </c>
      <c r="S113" s="4">
        <v>25176</v>
      </c>
      <c r="U113" s="4">
        <v>26086</v>
      </c>
      <c r="W113" s="4">
        <v>27902</v>
      </c>
      <c r="X113" s="10">
        <v>-5.3221942592256322E-2</v>
      </c>
      <c r="Y113" s="8">
        <v>-7.3806805206668713E-3</v>
      </c>
      <c r="Z113" s="8">
        <v>-1.6076637801724521E-2</v>
      </c>
      <c r="AA113" s="8">
        <v>6.2663673774785433E-3</v>
      </c>
    </row>
    <row r="114" spans="2:27" x14ac:dyDescent="0.3">
      <c r="B114" s="12" t="s">
        <v>40</v>
      </c>
      <c r="C114" s="3" t="s">
        <v>819</v>
      </c>
      <c r="D114" s="3" t="s">
        <v>879</v>
      </c>
      <c r="E114" s="3" t="s">
        <v>821</v>
      </c>
      <c r="F114" s="5">
        <v>0.5</v>
      </c>
      <c r="G114" s="4">
        <v>2953</v>
      </c>
      <c r="H114" s="4">
        <v>2970</v>
      </c>
      <c r="I114" s="4">
        <v>3414</v>
      </c>
      <c r="J114" s="4">
        <v>3598</v>
      </c>
      <c r="K114" s="4">
        <v>3530</v>
      </c>
      <c r="L114" s="4">
        <v>3581</v>
      </c>
      <c r="M114" s="4">
        <v>3726</v>
      </c>
      <c r="N114" s="4">
        <v>3826</v>
      </c>
      <c r="O114" s="4">
        <v>3832</v>
      </c>
      <c r="P114" s="4">
        <v>3862</v>
      </c>
      <c r="Q114" s="4">
        <v>4048</v>
      </c>
      <c r="R114" s="4">
        <v>4076</v>
      </c>
      <c r="S114" s="4">
        <v>4046</v>
      </c>
      <c r="T114" s="4">
        <v>4009</v>
      </c>
      <c r="U114" s="4">
        <v>4235</v>
      </c>
      <c r="V114" s="4">
        <v>4212</v>
      </c>
      <c r="W114" s="4">
        <v>4135</v>
      </c>
      <c r="X114" s="10">
        <v>9.1691616766467199E-3</v>
      </c>
      <c r="Y114" s="8">
        <v>1.155819271895675E-2</v>
      </c>
      <c r="Z114" s="8">
        <v>8.3099107906636771E-3</v>
      </c>
      <c r="AA114" s="8">
        <v>5.3932856623439829E-3</v>
      </c>
    </row>
    <row r="115" spans="2:27" x14ac:dyDescent="0.3">
      <c r="B115" s="12" t="s">
        <v>159</v>
      </c>
      <c r="C115" s="3" t="s">
        <v>819</v>
      </c>
      <c r="D115" s="3" t="s">
        <v>873</v>
      </c>
      <c r="E115" s="3" t="s">
        <v>821</v>
      </c>
      <c r="F115" s="5">
        <v>0.4</v>
      </c>
      <c r="G115" s="4">
        <v>3455</v>
      </c>
      <c r="H115" s="4">
        <v>3044</v>
      </c>
      <c r="I115" s="4">
        <v>3097</v>
      </c>
      <c r="J115" s="4">
        <v>3034</v>
      </c>
      <c r="K115" s="4">
        <v>3283</v>
      </c>
      <c r="L115" s="4">
        <v>2971</v>
      </c>
      <c r="M115" s="4">
        <v>2978</v>
      </c>
      <c r="N115" s="4">
        <v>2963</v>
      </c>
      <c r="O115" s="4">
        <v>3198</v>
      </c>
      <c r="P115" s="4">
        <v>2997</v>
      </c>
      <c r="Q115" s="4">
        <v>2887</v>
      </c>
      <c r="R115" s="4">
        <v>2898</v>
      </c>
      <c r="S115" s="4">
        <v>3138</v>
      </c>
      <c r="T115" s="4">
        <v>2989</v>
      </c>
      <c r="U115" s="4">
        <v>2899</v>
      </c>
      <c r="V115" s="4">
        <v>3033</v>
      </c>
      <c r="W115" s="4">
        <v>3186</v>
      </c>
      <c r="X115" s="10">
        <v>-6.7114093959730337E-4</v>
      </c>
      <c r="Y115" s="8">
        <v>1.007387508394908E-3</v>
      </c>
      <c r="Z115" s="8">
        <v>1.13217041261322E-2</v>
      </c>
      <c r="AA115" s="8">
        <v>3.9804295546894686E-3</v>
      </c>
    </row>
    <row r="116" spans="2:27" x14ac:dyDescent="0.3">
      <c r="B116" s="12" t="s">
        <v>783</v>
      </c>
      <c r="C116" s="3" t="s">
        <v>819</v>
      </c>
      <c r="D116" s="3" t="s">
        <v>854</v>
      </c>
      <c r="E116" s="3" t="s">
        <v>821</v>
      </c>
      <c r="F116" s="5">
        <v>0.4</v>
      </c>
      <c r="G116" s="4">
        <v>92.44</v>
      </c>
      <c r="H116" s="4">
        <v>77.75</v>
      </c>
      <c r="I116" s="4">
        <v>91.6</v>
      </c>
      <c r="J116" s="4">
        <v>93.71</v>
      </c>
      <c r="K116" s="4">
        <v>86.66</v>
      </c>
      <c r="L116" s="4">
        <v>66.849999999999994</v>
      </c>
      <c r="M116" s="4">
        <v>70.62</v>
      </c>
      <c r="N116" s="4">
        <v>64.650000000000006</v>
      </c>
      <c r="O116" s="4">
        <v>82.29</v>
      </c>
      <c r="P116" s="4">
        <v>81.67</v>
      </c>
      <c r="Q116" s="4">
        <v>78.55</v>
      </c>
      <c r="R116" s="4">
        <v>75.92</v>
      </c>
      <c r="S116" s="4">
        <v>71.489999999999995</v>
      </c>
      <c r="T116" s="4">
        <v>64.349999999999994</v>
      </c>
      <c r="U116" s="4">
        <v>65.75</v>
      </c>
      <c r="V116" s="4">
        <v>73.08</v>
      </c>
      <c r="W116" s="4">
        <v>72.569999999999993</v>
      </c>
      <c r="X116" s="10">
        <v>-5.6301401033709293E-2</v>
      </c>
      <c r="Y116" s="8">
        <v>-4.4090799490200117E-2</v>
      </c>
      <c r="Z116" s="8">
        <v>-1.023386544629035E-2</v>
      </c>
      <c r="AA116" s="8">
        <v>3.9319911166129104E-3</v>
      </c>
    </row>
    <row r="117" spans="2:27" x14ac:dyDescent="0.3">
      <c r="B117" s="12" t="s">
        <v>367</v>
      </c>
      <c r="C117" s="3" t="s">
        <v>819</v>
      </c>
      <c r="D117" s="3" t="s">
        <v>884</v>
      </c>
      <c r="E117" s="3" t="s">
        <v>821</v>
      </c>
      <c r="F117" s="5">
        <v>0.4</v>
      </c>
      <c r="G117" s="4">
        <v>333.23</v>
      </c>
      <c r="H117" s="4">
        <v>374.9</v>
      </c>
      <c r="I117" s="4">
        <v>400.04</v>
      </c>
      <c r="J117" s="4">
        <v>383.86</v>
      </c>
      <c r="K117" s="4">
        <v>301.41000000000003</v>
      </c>
      <c r="L117" s="4">
        <v>339.08</v>
      </c>
      <c r="M117" s="4">
        <v>337.72</v>
      </c>
      <c r="N117" s="4">
        <v>358.06</v>
      </c>
      <c r="O117" s="4">
        <v>314.31</v>
      </c>
      <c r="P117" s="4">
        <v>347.07</v>
      </c>
      <c r="Q117" s="4">
        <v>342.34</v>
      </c>
      <c r="R117" s="4">
        <v>338.03</v>
      </c>
      <c r="S117" s="4">
        <v>303.11</v>
      </c>
      <c r="T117" s="4">
        <v>337.35</v>
      </c>
      <c r="U117" s="4">
        <v>333.04</v>
      </c>
      <c r="V117" s="4">
        <v>325.56</v>
      </c>
      <c r="W117" s="4">
        <v>308.10000000000002</v>
      </c>
      <c r="X117" s="10">
        <v>-7.3052497087671142E-3</v>
      </c>
      <c r="Y117" s="8">
        <v>-7.0410272328762513E-3</v>
      </c>
      <c r="Z117" s="8">
        <v>-9.507979230364505E-3</v>
      </c>
      <c r="AA117" s="8">
        <v>3.8412390497746252E-3</v>
      </c>
    </row>
    <row r="118" spans="2:27" x14ac:dyDescent="0.3">
      <c r="B118" s="12" t="s">
        <v>724</v>
      </c>
      <c r="C118" s="3" t="s">
        <v>819</v>
      </c>
      <c r="D118" s="3" t="s">
        <v>868</v>
      </c>
      <c r="E118" s="3" t="s">
        <v>821</v>
      </c>
      <c r="F118" s="5">
        <v>0.2</v>
      </c>
      <c r="G118" s="4">
        <v>390.4</v>
      </c>
      <c r="H118" s="4">
        <v>406.8</v>
      </c>
      <c r="I118" s="4">
        <v>0</v>
      </c>
      <c r="J118" s="4">
        <v>551.5</v>
      </c>
      <c r="K118" s="4">
        <v>524.4</v>
      </c>
      <c r="L118" s="4">
        <v>549</v>
      </c>
      <c r="M118" s="6">
        <v>526.5</v>
      </c>
      <c r="N118" s="4">
        <v>498.2</v>
      </c>
      <c r="O118" s="4">
        <v>452.3</v>
      </c>
      <c r="P118" s="4">
        <v>500.2</v>
      </c>
      <c r="Q118" s="4">
        <v>523.79999999999995</v>
      </c>
      <c r="R118" s="4">
        <v>498.5</v>
      </c>
      <c r="S118" s="4">
        <v>458.6</v>
      </c>
      <c r="T118" s="4">
        <v>484.8</v>
      </c>
      <c r="U118" s="4">
        <v>525.4</v>
      </c>
      <c r="V118" s="4">
        <v>513.70000000000005</v>
      </c>
      <c r="W118" s="4">
        <v>463.1</v>
      </c>
      <c r="X118" s="10">
        <v>-7.773459189339138E-3</v>
      </c>
      <c r="Y118" s="8">
        <v>8.1395940377460008E-4</v>
      </c>
      <c r="Z118" s="8">
        <v>7.7263254206272336E-3</v>
      </c>
      <c r="AA118" s="8">
        <v>2.2698612862548369E-3</v>
      </c>
    </row>
    <row r="119" spans="2:27" x14ac:dyDescent="0.3">
      <c r="B119" s="12" t="s">
        <v>603</v>
      </c>
      <c r="C119" s="3" t="s">
        <v>819</v>
      </c>
      <c r="D119" s="3" t="s">
        <v>847</v>
      </c>
      <c r="E119" s="3" t="s">
        <v>821</v>
      </c>
      <c r="F119" s="5">
        <v>0.2</v>
      </c>
      <c r="G119" s="4">
        <v>160.05000000000001</v>
      </c>
      <c r="H119" s="4">
        <v>162.86000000000001</v>
      </c>
      <c r="I119" s="4">
        <v>179.16</v>
      </c>
      <c r="J119" s="4">
        <v>183.71</v>
      </c>
      <c r="K119" s="4">
        <v>181.27</v>
      </c>
      <c r="L119" s="4">
        <v>164.62</v>
      </c>
      <c r="M119" s="4">
        <v>190.54</v>
      </c>
      <c r="N119" s="4">
        <v>191.53</v>
      </c>
      <c r="O119" s="4">
        <v>192.88</v>
      </c>
      <c r="P119" s="4">
        <v>181.18</v>
      </c>
      <c r="Q119" s="4">
        <v>189.54</v>
      </c>
      <c r="R119" s="4">
        <v>194.83</v>
      </c>
      <c r="S119" s="4">
        <v>197.6</v>
      </c>
      <c r="T119" s="4">
        <v>180.07</v>
      </c>
      <c r="U119" s="4">
        <v>190.79</v>
      </c>
      <c r="V119" s="4">
        <v>197.73</v>
      </c>
      <c r="W119" s="4">
        <v>199.22</v>
      </c>
      <c r="X119" s="10">
        <v>-1.4544978051497239E-3</v>
      </c>
      <c r="Y119" s="8">
        <v>1.6403338407433581E-3</v>
      </c>
      <c r="Z119" s="8">
        <v>3.7993423207429711E-3</v>
      </c>
      <c r="AA119" s="8">
        <v>2.1143580574010108E-3</v>
      </c>
    </row>
    <row r="120" spans="2:27" x14ac:dyDescent="0.3">
      <c r="B120" s="12" t="s">
        <v>333</v>
      </c>
      <c r="C120" s="3" t="s">
        <v>819</v>
      </c>
      <c r="D120" s="3" t="s">
        <v>842</v>
      </c>
      <c r="E120" s="3" t="s">
        <v>821</v>
      </c>
      <c r="F120" s="5">
        <v>0.2</v>
      </c>
      <c r="G120" s="4">
        <v>143.53</v>
      </c>
      <c r="H120" s="4">
        <v>114.5</v>
      </c>
      <c r="I120" s="4">
        <v>114.61</v>
      </c>
      <c r="J120" s="4">
        <v>131.07</v>
      </c>
      <c r="K120" s="4">
        <v>156.22999999999999</v>
      </c>
      <c r="L120" s="4">
        <v>134.29</v>
      </c>
      <c r="M120" s="4">
        <v>146.82</v>
      </c>
      <c r="N120" s="4">
        <v>153.63999999999999</v>
      </c>
      <c r="O120" s="4">
        <v>183.98</v>
      </c>
      <c r="P120" s="4">
        <v>141.01</v>
      </c>
      <c r="Q120" s="4">
        <v>153.1</v>
      </c>
      <c r="R120" s="4">
        <v>151.65</v>
      </c>
      <c r="S120" s="4">
        <v>165.02</v>
      </c>
      <c r="T120" s="4">
        <v>154.88</v>
      </c>
      <c r="U120" s="4">
        <v>172.91</v>
      </c>
      <c r="V120" s="4">
        <v>149</v>
      </c>
      <c r="W120" s="4">
        <v>166.03</v>
      </c>
      <c r="X120" s="10">
        <v>2.2708667605357169E-2</v>
      </c>
      <c r="Y120" s="8">
        <v>3.1713759705435107E-2</v>
      </c>
      <c r="Z120" s="8">
        <v>-4.11196971107608E-3</v>
      </c>
      <c r="AA120" s="8">
        <v>1.573674451940565E-3</v>
      </c>
    </row>
    <row r="121" spans="2:27" x14ac:dyDescent="0.3">
      <c r="B121" s="12" t="s">
        <v>454</v>
      </c>
      <c r="C121" s="3" t="s">
        <v>819</v>
      </c>
      <c r="D121" s="3" t="s">
        <v>865</v>
      </c>
      <c r="E121" s="3" t="s">
        <v>821</v>
      </c>
      <c r="F121" s="5">
        <v>0.1</v>
      </c>
      <c r="G121" s="4">
        <v>86.58</v>
      </c>
      <c r="H121" s="4">
        <v>96.45</v>
      </c>
      <c r="I121" s="4">
        <v>115.31</v>
      </c>
      <c r="J121" s="4">
        <v>124.04</v>
      </c>
      <c r="K121" s="4">
        <v>91.99</v>
      </c>
      <c r="L121" s="4">
        <v>109.76</v>
      </c>
      <c r="M121" s="4">
        <v>139.65</v>
      </c>
      <c r="N121" s="4">
        <v>138.06</v>
      </c>
      <c r="O121" s="4">
        <v>106.14</v>
      </c>
      <c r="P121" s="4">
        <v>111.7</v>
      </c>
      <c r="Q121" s="4">
        <v>144.12</v>
      </c>
      <c r="R121" s="4">
        <v>132.91</v>
      </c>
      <c r="S121" s="4">
        <v>127.29</v>
      </c>
      <c r="T121" s="4">
        <v>130.91999999999999</v>
      </c>
      <c r="U121" s="4">
        <v>168.76</v>
      </c>
      <c r="V121" s="4">
        <v>182.31</v>
      </c>
      <c r="W121" s="4">
        <v>127.79</v>
      </c>
      <c r="X121" s="10">
        <v>3.7246618348126148E-2</v>
      </c>
      <c r="Y121" s="8">
        <v>4.6035423361482593E-2</v>
      </c>
      <c r="Z121" s="8">
        <v>8.8233192827034346E-2</v>
      </c>
      <c r="AA121" s="8">
        <v>8.2064075630250422E-4</v>
      </c>
    </row>
    <row r="122" spans="2:27" x14ac:dyDescent="0.3">
      <c r="B122" s="12" t="s">
        <v>622</v>
      </c>
      <c r="C122" s="3" t="s">
        <v>819</v>
      </c>
      <c r="D122" s="3" t="s">
        <v>878</v>
      </c>
      <c r="E122" s="3" t="s">
        <v>821</v>
      </c>
      <c r="F122" s="5">
        <v>0.1</v>
      </c>
      <c r="G122" s="4">
        <v>57.99</v>
      </c>
      <c r="H122" s="4">
        <v>60.31</v>
      </c>
      <c r="I122" s="4">
        <v>63.12</v>
      </c>
      <c r="J122" s="4">
        <v>65.44</v>
      </c>
      <c r="K122" s="4">
        <v>67.849999999999994</v>
      </c>
      <c r="L122" s="4">
        <v>67.900000000000006</v>
      </c>
      <c r="M122" s="4">
        <v>64.78</v>
      </c>
      <c r="N122" s="4">
        <v>64.569999999999993</v>
      </c>
      <c r="O122" s="4">
        <v>64.069999999999993</v>
      </c>
      <c r="P122" s="4">
        <v>64.510000000000005</v>
      </c>
      <c r="Q122" s="4">
        <v>65.040000000000006</v>
      </c>
      <c r="R122" s="4">
        <v>65.03</v>
      </c>
      <c r="S122" s="4">
        <v>66.41</v>
      </c>
      <c r="T122" s="4">
        <v>67.09</v>
      </c>
      <c r="U122" s="4">
        <v>68.55</v>
      </c>
      <c r="V122" s="4">
        <v>71.400000000000006</v>
      </c>
      <c r="W122" s="4">
        <v>66.62</v>
      </c>
      <c r="X122" s="10">
        <v>9.8854362236100446E-3</v>
      </c>
      <c r="Y122" s="8">
        <v>1.331714535038131E-2</v>
      </c>
      <c r="Z122" s="8">
        <v>2.3850531675902339E-2</v>
      </c>
      <c r="AA122" s="8">
        <v>7.6796489303365689E-4</v>
      </c>
    </row>
    <row r="123" spans="2:27" x14ac:dyDescent="0.3">
      <c r="B123" s="12" t="s">
        <v>218</v>
      </c>
      <c r="C123" s="3" t="s">
        <v>819</v>
      </c>
      <c r="D123" s="3" t="s">
        <v>884</v>
      </c>
      <c r="E123" s="3" t="s">
        <v>821</v>
      </c>
      <c r="F123" s="5">
        <v>0</v>
      </c>
      <c r="G123" s="4">
        <v>963.28</v>
      </c>
      <c r="H123" s="4">
        <v>980.82</v>
      </c>
      <c r="I123" s="4">
        <v>1136</v>
      </c>
      <c r="J123" s="4">
        <v>1097</v>
      </c>
      <c r="K123" s="4">
        <v>1132</v>
      </c>
      <c r="L123" s="4">
        <v>1062</v>
      </c>
      <c r="M123" s="4">
        <v>1046</v>
      </c>
      <c r="N123" s="4">
        <v>1050</v>
      </c>
      <c r="O123" s="4">
        <v>1016</v>
      </c>
      <c r="P123" s="4">
        <v>977.83</v>
      </c>
      <c r="Q123" s="4">
        <v>1040</v>
      </c>
      <c r="R123" s="4">
        <v>1020</v>
      </c>
      <c r="S123" s="4">
        <v>1037</v>
      </c>
      <c r="T123" s="4">
        <v>969.31</v>
      </c>
      <c r="U123" s="4">
        <v>1051</v>
      </c>
      <c r="V123" s="4">
        <v>1046</v>
      </c>
      <c r="W123" s="4">
        <v>1038</v>
      </c>
      <c r="X123" s="10">
        <v>-2.0908847731071489E-3</v>
      </c>
      <c r="Y123" s="8">
        <v>2.705155288209804E-3</v>
      </c>
      <c r="Z123" s="8">
        <v>6.3767533005829602E-3</v>
      </c>
      <c r="AA123" s="8">
        <v>2.4370569125897751E-4</v>
      </c>
    </row>
    <row r="124" spans="2:27" x14ac:dyDescent="0.3">
      <c r="B124" s="12" t="s">
        <v>72</v>
      </c>
      <c r="C124" s="3" t="s">
        <v>819</v>
      </c>
      <c r="D124" s="3" t="s">
        <v>855</v>
      </c>
      <c r="E124" s="3" t="s">
        <v>821</v>
      </c>
      <c r="F124" s="5">
        <v>-0.1</v>
      </c>
      <c r="G124" s="3"/>
      <c r="H124" s="3"/>
      <c r="I124" s="3"/>
      <c r="J124" s="3"/>
      <c r="K124" s="3"/>
      <c r="L124" s="3"/>
      <c r="M124" s="3"/>
      <c r="N124" s="3"/>
      <c r="O124" s="4">
        <v>2914</v>
      </c>
      <c r="P124" s="4">
        <v>2166</v>
      </c>
      <c r="Q124" s="4">
        <v>3243</v>
      </c>
      <c r="R124" s="4">
        <v>3446</v>
      </c>
      <c r="S124" s="4">
        <v>2849</v>
      </c>
      <c r="T124" s="4">
        <v>2081</v>
      </c>
      <c r="U124" s="4">
        <v>3220</v>
      </c>
      <c r="V124" s="4">
        <v>3675</v>
      </c>
      <c r="W124" s="4">
        <v>2839</v>
      </c>
      <c r="X124" s="10">
        <v>-7.2624743677375259E-3</v>
      </c>
      <c r="Y124" s="8">
        <v>-1.9795163094931119E-3</v>
      </c>
      <c r="Z124" s="8">
        <v>1.9748189030700299E-2</v>
      </c>
      <c r="AA124" s="8">
        <v>-8.4566596194501908E-4</v>
      </c>
    </row>
    <row r="125" spans="2:27" x14ac:dyDescent="0.3">
      <c r="B125" s="12" t="s">
        <v>695</v>
      </c>
      <c r="C125" s="3" t="s">
        <v>819</v>
      </c>
      <c r="D125" s="3" t="s">
        <v>820</v>
      </c>
      <c r="E125" s="3" t="s">
        <v>821</v>
      </c>
      <c r="F125" s="5">
        <v>-0.1</v>
      </c>
      <c r="G125" s="4">
        <v>121.56</v>
      </c>
      <c r="H125" s="4">
        <v>78.41</v>
      </c>
      <c r="I125" s="4">
        <v>85.37</v>
      </c>
      <c r="J125" s="4">
        <v>97.15</v>
      </c>
      <c r="K125" s="4">
        <v>103.68</v>
      </c>
      <c r="L125" s="4">
        <v>110.28</v>
      </c>
      <c r="M125" s="4">
        <v>99.31</v>
      </c>
      <c r="N125" s="4">
        <v>102.73</v>
      </c>
      <c r="O125" s="4">
        <v>102.76</v>
      </c>
      <c r="P125" s="4">
        <v>95.77</v>
      </c>
      <c r="Q125" s="4">
        <v>91.42</v>
      </c>
      <c r="R125" s="4">
        <v>88.15</v>
      </c>
      <c r="S125" s="4">
        <v>83.47</v>
      </c>
      <c r="T125" s="4">
        <v>77.56</v>
      </c>
      <c r="U125" s="4">
        <v>85.92</v>
      </c>
      <c r="V125" s="4">
        <v>83.94</v>
      </c>
      <c r="W125" s="4">
        <v>83.16</v>
      </c>
      <c r="X125" s="10">
        <v>-5.0751093893704143E-2</v>
      </c>
      <c r="Y125" s="8">
        <v>-1.6147974163241319E-2</v>
      </c>
      <c r="Z125" s="8">
        <v>-1.256341390629678E-2</v>
      </c>
      <c r="AA125" s="8">
        <v>-9.3686723684605067E-4</v>
      </c>
    </row>
    <row r="126" spans="2:27" x14ac:dyDescent="0.3">
      <c r="B126" s="12" t="s">
        <v>190</v>
      </c>
      <c r="C126" s="3" t="s">
        <v>819</v>
      </c>
      <c r="D126" s="3" t="s">
        <v>826</v>
      </c>
      <c r="E126" s="3" t="s">
        <v>821</v>
      </c>
      <c r="F126" s="5">
        <v>-0.1</v>
      </c>
      <c r="G126" s="4">
        <v>5623</v>
      </c>
      <c r="H126" s="4">
        <v>7459</v>
      </c>
      <c r="I126" s="4">
        <v>11162</v>
      </c>
      <c r="J126" s="4">
        <v>10599</v>
      </c>
      <c r="K126" s="4">
        <v>8985</v>
      </c>
      <c r="L126" s="4">
        <v>7565</v>
      </c>
      <c r="M126" s="4">
        <v>7834</v>
      </c>
      <c r="N126" s="4">
        <v>8905</v>
      </c>
      <c r="O126" s="4">
        <v>7660</v>
      </c>
      <c r="P126" s="4">
        <v>7027</v>
      </c>
      <c r="Q126" s="4">
        <v>7846</v>
      </c>
      <c r="R126" s="4">
        <v>7207</v>
      </c>
      <c r="S126" s="4">
        <v>6500</v>
      </c>
      <c r="T126" s="4">
        <v>6370</v>
      </c>
      <c r="U126" s="4">
        <v>6784</v>
      </c>
      <c r="V126" s="4">
        <v>7251</v>
      </c>
      <c r="W126" s="4">
        <v>6464</v>
      </c>
      <c r="X126" s="10">
        <v>-2.298810356892933E-2</v>
      </c>
      <c r="Y126" s="8">
        <v>-3.8033162625792372E-2</v>
      </c>
      <c r="Z126" s="8">
        <v>1.638062618666503E-3</v>
      </c>
      <c r="AA126" s="8">
        <v>-1.3380412562720161E-3</v>
      </c>
    </row>
    <row r="127" spans="2:27" x14ac:dyDescent="0.3">
      <c r="B127" s="12" t="s">
        <v>611</v>
      </c>
      <c r="C127" s="3" t="s">
        <v>819</v>
      </c>
      <c r="D127" s="3" t="s">
        <v>883</v>
      </c>
      <c r="E127" s="3" t="s">
        <v>821</v>
      </c>
      <c r="F127" s="5">
        <v>-0.2</v>
      </c>
      <c r="G127" s="4">
        <v>255.13</v>
      </c>
      <c r="H127" s="4">
        <v>294.77</v>
      </c>
      <c r="I127" s="4">
        <v>335.9</v>
      </c>
      <c r="J127" s="4">
        <v>375.07</v>
      </c>
      <c r="K127" s="6">
        <v>381.68</v>
      </c>
      <c r="L127" s="4">
        <v>416.59</v>
      </c>
      <c r="M127" s="4">
        <v>404.63</v>
      </c>
      <c r="N127" s="4">
        <v>389.27</v>
      </c>
      <c r="O127" s="4">
        <v>374.86</v>
      </c>
      <c r="P127" s="4">
        <v>366.55</v>
      </c>
      <c r="Q127" s="4">
        <v>365.13</v>
      </c>
      <c r="R127" s="4">
        <v>371.35</v>
      </c>
      <c r="S127" s="4">
        <v>349.05</v>
      </c>
      <c r="T127" s="4">
        <v>374.38</v>
      </c>
      <c r="U127" s="4">
        <v>364.22</v>
      </c>
      <c r="V127" s="4">
        <v>322.24</v>
      </c>
      <c r="W127" s="4">
        <v>346.5</v>
      </c>
      <c r="X127" s="10">
        <v>5.3922648889870306E-3</v>
      </c>
      <c r="Y127" s="8">
        <v>-6.2332609544424322E-4</v>
      </c>
      <c r="Z127" s="8">
        <v>-3.3660041124057523E-2</v>
      </c>
      <c r="AA127" s="8">
        <v>-1.8086517387880809E-3</v>
      </c>
    </row>
    <row r="128" spans="2:27" x14ac:dyDescent="0.3">
      <c r="B128" s="12" t="s">
        <v>198</v>
      </c>
      <c r="C128" s="3" t="s">
        <v>819</v>
      </c>
      <c r="D128" s="3" t="s">
        <v>876</v>
      </c>
      <c r="E128" s="3" t="s">
        <v>821</v>
      </c>
      <c r="F128" s="5">
        <v>-0.2</v>
      </c>
      <c r="G128" s="4">
        <v>905.05</v>
      </c>
      <c r="H128" s="4">
        <v>913.93</v>
      </c>
      <c r="I128" s="4">
        <v>973.13</v>
      </c>
      <c r="J128" s="4">
        <v>989.16</v>
      </c>
      <c r="K128" s="4">
        <v>1100</v>
      </c>
      <c r="L128" s="4">
        <v>1029</v>
      </c>
      <c r="M128" s="4">
        <v>1060</v>
      </c>
      <c r="N128" s="4">
        <v>1027</v>
      </c>
      <c r="O128" s="4">
        <v>1013</v>
      </c>
      <c r="P128" s="4">
        <v>1012</v>
      </c>
      <c r="Q128" s="4">
        <v>1026</v>
      </c>
      <c r="R128" s="4">
        <v>1010</v>
      </c>
      <c r="S128" s="4">
        <v>1003</v>
      </c>
      <c r="T128" s="4">
        <v>984.17</v>
      </c>
      <c r="U128" s="4">
        <v>1032</v>
      </c>
      <c r="V128" s="4">
        <v>1005</v>
      </c>
      <c r="W128" s="4">
        <v>994.23</v>
      </c>
      <c r="X128" s="10">
        <v>-6.8699086645273022E-3</v>
      </c>
      <c r="Y128" s="8">
        <v>1.4913612897291539E-3</v>
      </c>
      <c r="Z128" s="8">
        <v>-1.2409503694309489E-3</v>
      </c>
      <c r="AA128" s="8">
        <v>-2.179331390075423E-3</v>
      </c>
    </row>
    <row r="129" spans="2:27" x14ac:dyDescent="0.3">
      <c r="B129" s="12" t="s">
        <v>751</v>
      </c>
      <c r="C129" s="3" t="s">
        <v>819</v>
      </c>
      <c r="D129" s="3" t="s">
        <v>885</v>
      </c>
      <c r="E129" s="3" t="s">
        <v>821</v>
      </c>
      <c r="F129" s="5">
        <v>-0.3</v>
      </c>
      <c r="G129" s="4">
        <v>365.3</v>
      </c>
      <c r="H129" s="4">
        <v>439.8</v>
      </c>
      <c r="I129" s="4">
        <v>501.9</v>
      </c>
      <c r="J129" s="4">
        <v>516.79999999999995</v>
      </c>
      <c r="K129" s="4">
        <v>514</v>
      </c>
      <c r="L129" s="4">
        <v>487.8</v>
      </c>
      <c r="M129" s="4">
        <v>534.4</v>
      </c>
      <c r="N129" s="4">
        <v>520.4</v>
      </c>
      <c r="O129" s="4">
        <v>520.6</v>
      </c>
      <c r="P129" s="4">
        <v>488.4</v>
      </c>
      <c r="Q129" s="4">
        <v>470.9</v>
      </c>
      <c r="R129" s="4">
        <v>490.1</v>
      </c>
      <c r="S129" s="4">
        <v>486</v>
      </c>
      <c r="T129" s="4">
        <v>436</v>
      </c>
      <c r="U129" s="4">
        <v>434.1</v>
      </c>
      <c r="V129" s="4">
        <v>487</v>
      </c>
      <c r="W129" s="4">
        <v>480.2</v>
      </c>
      <c r="X129" s="10">
        <v>-2.7074506561951091E-2</v>
      </c>
      <c r="Y129" s="8">
        <v>-1.9543281996813541E-2</v>
      </c>
      <c r="Z129" s="8">
        <v>-1.6791246885494719E-3</v>
      </c>
      <c r="AA129" s="8">
        <v>-3.1468721176278751E-3</v>
      </c>
    </row>
    <row r="130" spans="2:27" x14ac:dyDescent="0.3">
      <c r="B130" s="12" t="s">
        <v>595</v>
      </c>
      <c r="C130" s="3" t="s">
        <v>819</v>
      </c>
      <c r="D130" s="3" t="s">
        <v>886</v>
      </c>
      <c r="E130" s="3" t="s">
        <v>821</v>
      </c>
      <c r="F130" s="5">
        <v>-0.4</v>
      </c>
      <c r="G130" s="4">
        <v>69.099999999999994</v>
      </c>
      <c r="H130" s="4">
        <v>82</v>
      </c>
      <c r="I130" s="4">
        <v>105.3</v>
      </c>
      <c r="J130" s="4">
        <v>107.9</v>
      </c>
      <c r="K130" s="6">
        <v>148.6</v>
      </c>
      <c r="L130" s="6">
        <v>172</v>
      </c>
      <c r="M130" s="6">
        <v>187.5</v>
      </c>
      <c r="N130" s="6">
        <v>191.5</v>
      </c>
      <c r="O130" s="6">
        <v>220.6</v>
      </c>
      <c r="P130" s="4">
        <v>234</v>
      </c>
      <c r="Q130" s="6">
        <v>271.89999999999998</v>
      </c>
      <c r="R130" s="4">
        <v>241.6</v>
      </c>
      <c r="S130" s="4">
        <v>263.10000000000002</v>
      </c>
      <c r="T130" s="4">
        <v>216.6</v>
      </c>
      <c r="U130" s="4">
        <v>267.7</v>
      </c>
      <c r="V130" s="4">
        <v>277.10000000000002</v>
      </c>
      <c r="W130" s="4">
        <v>259.39999999999998</v>
      </c>
      <c r="X130" s="10">
        <v>-1.721749455768851E-2</v>
      </c>
      <c r="Y130" s="8">
        <v>-4.2287555376561148E-3</v>
      </c>
      <c r="Z130" s="8">
        <v>3.5894843276036432E-2</v>
      </c>
      <c r="AA130" s="8">
        <v>-3.6115178135676111E-3</v>
      </c>
    </row>
    <row r="131" spans="2:27" x14ac:dyDescent="0.3">
      <c r="B131" s="12" t="s">
        <v>293</v>
      </c>
      <c r="C131" s="3" t="s">
        <v>819</v>
      </c>
      <c r="D131" s="3" t="s">
        <v>840</v>
      </c>
      <c r="E131" s="3" t="s">
        <v>821</v>
      </c>
      <c r="F131" s="5">
        <v>-0.4</v>
      </c>
      <c r="G131" s="4">
        <v>2569</v>
      </c>
      <c r="H131" s="4">
        <v>2432</v>
      </c>
      <c r="I131" s="4">
        <v>3244</v>
      </c>
      <c r="J131" s="4">
        <v>3547</v>
      </c>
      <c r="K131" s="4">
        <v>2771</v>
      </c>
      <c r="L131" s="4">
        <v>2557</v>
      </c>
      <c r="M131" s="4">
        <v>3123</v>
      </c>
      <c r="N131" s="4">
        <v>3564</v>
      </c>
      <c r="O131" s="4">
        <v>2764</v>
      </c>
      <c r="P131" s="4">
        <v>2551</v>
      </c>
      <c r="Q131" s="4">
        <v>3048</v>
      </c>
      <c r="R131" s="4">
        <v>3480</v>
      </c>
      <c r="S131" s="4">
        <v>2710</v>
      </c>
      <c r="T131" s="4">
        <v>2430</v>
      </c>
      <c r="U131" s="4">
        <v>3039</v>
      </c>
      <c r="V131" s="4">
        <v>3519</v>
      </c>
      <c r="W131" s="4">
        <v>2664</v>
      </c>
      <c r="X131" s="10">
        <v>-1.026380524217496E-2</v>
      </c>
      <c r="Y131" s="8">
        <v>-7.7134041823789801E-4</v>
      </c>
      <c r="Z131" s="8">
        <v>3.3450553220688568E-3</v>
      </c>
      <c r="AA131" s="8">
        <v>-3.9322961189947048E-3</v>
      </c>
    </row>
    <row r="132" spans="2:27" x14ac:dyDescent="0.3">
      <c r="B132" s="12" t="s">
        <v>269</v>
      </c>
      <c r="C132" s="3" t="s">
        <v>819</v>
      </c>
      <c r="D132" s="3" t="s">
        <v>887</v>
      </c>
      <c r="E132" s="3" t="s">
        <v>821</v>
      </c>
      <c r="F132" s="5">
        <v>-0.5</v>
      </c>
      <c r="G132" s="4">
        <v>314</v>
      </c>
      <c r="H132" s="4">
        <v>316</v>
      </c>
      <c r="I132" s="4">
        <v>354</v>
      </c>
      <c r="J132" s="4">
        <v>375</v>
      </c>
      <c r="K132" s="4">
        <v>309</v>
      </c>
      <c r="L132" s="4">
        <v>308</v>
      </c>
      <c r="M132" s="4">
        <v>358</v>
      </c>
      <c r="N132" s="4">
        <v>400</v>
      </c>
      <c r="O132" s="4">
        <v>320</v>
      </c>
      <c r="P132" s="4">
        <v>304</v>
      </c>
      <c r="Q132" s="4">
        <v>366</v>
      </c>
      <c r="R132" s="4">
        <v>394</v>
      </c>
      <c r="S132" s="4">
        <v>341</v>
      </c>
      <c r="T132" s="4">
        <v>316</v>
      </c>
      <c r="U132" s="4">
        <v>397</v>
      </c>
      <c r="V132" s="4">
        <v>382</v>
      </c>
      <c r="W132" s="4">
        <v>334</v>
      </c>
      <c r="X132" s="10">
        <v>8.5409252669039759E-3</v>
      </c>
      <c r="Y132" s="8">
        <v>2.1877205363443949E-2</v>
      </c>
      <c r="Z132" s="8">
        <v>-8.2872928176795924E-3</v>
      </c>
      <c r="AA132" s="8">
        <v>-4.8746518105849956E-3</v>
      </c>
    </row>
    <row r="133" spans="2:27" x14ac:dyDescent="0.3">
      <c r="B133" s="12" t="s">
        <v>236</v>
      </c>
      <c r="C133" s="3" t="s">
        <v>819</v>
      </c>
      <c r="D133" s="3" t="s">
        <v>888</v>
      </c>
      <c r="E133" s="3" t="s">
        <v>821</v>
      </c>
      <c r="F133" s="5">
        <v>-0.5</v>
      </c>
      <c r="G133" s="4">
        <v>3622</v>
      </c>
      <c r="H133" s="4">
        <v>3122</v>
      </c>
      <c r="I133" s="4">
        <v>3299</v>
      </c>
      <c r="J133" s="4">
        <v>3612</v>
      </c>
      <c r="K133" s="4">
        <v>3710</v>
      </c>
      <c r="L133" s="4">
        <v>3752</v>
      </c>
      <c r="M133" s="4">
        <v>3939</v>
      </c>
      <c r="N133" s="4">
        <v>3963</v>
      </c>
      <c r="O133" s="4">
        <v>3820</v>
      </c>
      <c r="P133" s="4">
        <v>3734</v>
      </c>
      <c r="Q133" s="4">
        <v>4227</v>
      </c>
      <c r="R133" s="4">
        <v>4094</v>
      </c>
      <c r="S133" s="4">
        <v>4260</v>
      </c>
      <c r="T133" s="4">
        <v>3982</v>
      </c>
      <c r="U133" s="4">
        <v>3978</v>
      </c>
      <c r="V133" s="4">
        <v>3368</v>
      </c>
      <c r="W133" s="4">
        <v>4176</v>
      </c>
      <c r="X133" s="10">
        <v>1.5200735519460549E-2</v>
      </c>
      <c r="Y133" s="8">
        <v>-1.503350842238727E-2</v>
      </c>
      <c r="Z133" s="8">
        <v>-4.450165502022807E-2</v>
      </c>
      <c r="AA133" s="8">
        <v>-5.388760585065433E-3</v>
      </c>
    </row>
    <row r="134" spans="2:27" x14ac:dyDescent="0.3">
      <c r="B134" s="12" t="s">
        <v>228</v>
      </c>
      <c r="C134" s="3" t="s">
        <v>819</v>
      </c>
      <c r="D134" s="3" t="s">
        <v>860</v>
      </c>
      <c r="E134" s="3" t="s">
        <v>821</v>
      </c>
      <c r="F134" s="5">
        <v>-0.6</v>
      </c>
      <c r="G134" s="4">
        <v>4330</v>
      </c>
      <c r="H134" s="4">
        <v>4305</v>
      </c>
      <c r="I134" s="4">
        <v>4438</v>
      </c>
      <c r="J134" s="4">
        <v>4125</v>
      </c>
      <c r="K134" s="4">
        <v>3546</v>
      </c>
      <c r="L134" s="4">
        <v>3623</v>
      </c>
      <c r="M134" s="4">
        <v>3871</v>
      </c>
      <c r="N134" s="4">
        <v>5185</v>
      </c>
      <c r="O134" s="4">
        <v>4931</v>
      </c>
      <c r="P134" s="4">
        <v>4778</v>
      </c>
      <c r="Q134" s="4">
        <v>4514</v>
      </c>
      <c r="R134" s="4">
        <v>4480</v>
      </c>
      <c r="S134" s="4">
        <v>3876</v>
      </c>
      <c r="T134" s="4">
        <v>3933</v>
      </c>
      <c r="U134" s="4">
        <v>3947</v>
      </c>
      <c r="V134" s="4">
        <v>3955</v>
      </c>
      <c r="W134" s="4">
        <v>3775</v>
      </c>
      <c r="X134" s="10">
        <v>-4.7880779691749753E-2</v>
      </c>
      <c r="Y134" s="8">
        <v>-3.374397429030529E-2</v>
      </c>
      <c r="Z134" s="8">
        <v>-3.2335550628233567E-2</v>
      </c>
      <c r="AA134" s="8">
        <v>-6.4286168926229736E-3</v>
      </c>
    </row>
    <row r="135" spans="2:27" x14ac:dyDescent="0.3">
      <c r="B135" s="12" t="s">
        <v>194</v>
      </c>
      <c r="C135" s="3" t="s">
        <v>819</v>
      </c>
      <c r="D135" s="3" t="s">
        <v>889</v>
      </c>
      <c r="E135" s="3" t="s">
        <v>821</v>
      </c>
      <c r="F135" s="5">
        <v>-0.7</v>
      </c>
      <c r="G135" s="4">
        <v>2619</v>
      </c>
      <c r="H135" s="4">
        <v>2215</v>
      </c>
      <c r="I135" s="4">
        <v>2922</v>
      </c>
      <c r="J135" s="4">
        <v>2935</v>
      </c>
      <c r="K135" s="4">
        <v>2630</v>
      </c>
      <c r="L135" s="4">
        <v>2346</v>
      </c>
      <c r="M135" s="4">
        <v>3267</v>
      </c>
      <c r="N135" s="4">
        <v>3298</v>
      </c>
      <c r="O135" s="4">
        <v>2791</v>
      </c>
      <c r="P135" s="4">
        <v>2596</v>
      </c>
      <c r="Q135" s="4">
        <v>3252</v>
      </c>
      <c r="R135" s="4">
        <v>3043</v>
      </c>
      <c r="S135" s="4">
        <v>2736</v>
      </c>
      <c r="T135" s="4">
        <v>2304</v>
      </c>
      <c r="U135" s="4">
        <v>3201</v>
      </c>
      <c r="V135" s="4">
        <v>2974</v>
      </c>
      <c r="W135" s="4">
        <v>2662</v>
      </c>
      <c r="X135" s="10">
        <v>-2.5113958888793309E-2</v>
      </c>
      <c r="Y135" s="8">
        <v>-4.4993383325981906E-3</v>
      </c>
      <c r="Z135" s="8">
        <v>-6.1148528890464524E-3</v>
      </c>
      <c r="AA135" s="8">
        <v>-6.5983058403923378E-3</v>
      </c>
    </row>
    <row r="136" spans="2:27" x14ac:dyDescent="0.3">
      <c r="B136" s="12" t="s">
        <v>299</v>
      </c>
      <c r="C136" s="3" t="s">
        <v>819</v>
      </c>
      <c r="D136" s="3" t="s">
        <v>882</v>
      </c>
      <c r="E136" s="3" t="s">
        <v>821</v>
      </c>
      <c r="F136" s="5">
        <v>-0.7</v>
      </c>
      <c r="G136" s="4">
        <v>2805</v>
      </c>
      <c r="H136" s="4">
        <v>2388</v>
      </c>
      <c r="I136" s="4">
        <v>2534</v>
      </c>
      <c r="J136" s="4">
        <v>2252</v>
      </c>
      <c r="K136" s="4">
        <v>2285</v>
      </c>
      <c r="L136" s="4">
        <v>1805</v>
      </c>
      <c r="M136" s="4">
        <v>2204</v>
      </c>
      <c r="N136" s="4">
        <v>2048</v>
      </c>
      <c r="O136" s="4">
        <v>2076</v>
      </c>
      <c r="P136" s="4">
        <v>1653</v>
      </c>
      <c r="Q136" s="4">
        <v>2033</v>
      </c>
      <c r="R136" s="4">
        <v>1947</v>
      </c>
      <c r="S136" s="4">
        <v>1949</v>
      </c>
      <c r="T136" s="4">
        <v>1566</v>
      </c>
      <c r="U136" s="4">
        <v>1935</v>
      </c>
      <c r="V136" s="4">
        <v>1806</v>
      </c>
      <c r="W136" s="4">
        <v>1897</v>
      </c>
      <c r="X136" s="10">
        <v>-1.14745449749406E-2</v>
      </c>
      <c r="Y136" s="8">
        <v>-1.3075383589059349E-2</v>
      </c>
      <c r="Z136" s="8">
        <v>-1.9061781803433871E-2</v>
      </c>
      <c r="AA136" s="8">
        <v>-7.1664829106945493E-3</v>
      </c>
    </row>
    <row r="137" spans="2:27" x14ac:dyDescent="0.3">
      <c r="B137" s="12" t="s">
        <v>773</v>
      </c>
      <c r="C137" s="3" t="s">
        <v>819</v>
      </c>
      <c r="D137" s="3" t="s">
        <v>890</v>
      </c>
      <c r="E137" s="3" t="s">
        <v>821</v>
      </c>
      <c r="F137" s="5">
        <v>-0.9</v>
      </c>
      <c r="G137" s="4">
        <v>69.78</v>
      </c>
      <c r="H137" s="4">
        <v>75.11</v>
      </c>
      <c r="I137" s="4">
        <v>74.77</v>
      </c>
      <c r="J137" s="4">
        <v>71</v>
      </c>
      <c r="K137" s="4">
        <v>68.819999999999993</v>
      </c>
      <c r="L137" s="4">
        <v>69.83</v>
      </c>
      <c r="M137" s="4">
        <v>75.64</v>
      </c>
      <c r="N137" s="4">
        <v>74.63</v>
      </c>
      <c r="O137" s="4">
        <v>71.17</v>
      </c>
      <c r="P137" s="4">
        <v>75.73</v>
      </c>
      <c r="Q137" s="4">
        <v>75.900000000000006</v>
      </c>
      <c r="R137" s="4">
        <v>77.95</v>
      </c>
      <c r="S137" s="4">
        <v>77.459999999999994</v>
      </c>
      <c r="T137" s="4">
        <v>76.23</v>
      </c>
      <c r="U137" s="4">
        <v>77.63</v>
      </c>
      <c r="V137" s="4">
        <v>72.17</v>
      </c>
      <c r="W137" s="4">
        <v>74.819999999999993</v>
      </c>
      <c r="X137" s="10">
        <v>1.6284523189160629E-3</v>
      </c>
      <c r="Y137" s="8">
        <v>5.625284515835105E-3</v>
      </c>
      <c r="Z137" s="8">
        <v>-1.8689171274291039E-2</v>
      </c>
      <c r="AA137" s="8">
        <v>-8.6988039144617613E-3</v>
      </c>
    </row>
    <row r="138" spans="2:27" x14ac:dyDescent="0.3">
      <c r="B138" s="12" t="s">
        <v>85</v>
      </c>
      <c r="C138" s="3" t="s">
        <v>819</v>
      </c>
      <c r="D138" s="3" t="s">
        <v>890</v>
      </c>
      <c r="E138" s="3" t="s">
        <v>821</v>
      </c>
      <c r="F138" s="5">
        <v>-0.9</v>
      </c>
      <c r="G138" s="4">
        <v>3491</v>
      </c>
      <c r="H138" s="4">
        <v>3494</v>
      </c>
      <c r="I138" s="4">
        <v>3597</v>
      </c>
      <c r="J138" s="4">
        <v>3608</v>
      </c>
      <c r="K138" s="4">
        <v>3697</v>
      </c>
      <c r="L138" s="4">
        <v>3699</v>
      </c>
      <c r="M138" s="4">
        <v>3838</v>
      </c>
      <c r="N138" s="4">
        <v>3921</v>
      </c>
      <c r="O138" s="4">
        <v>3980</v>
      </c>
      <c r="P138" s="4">
        <v>3975</v>
      </c>
      <c r="Q138" s="4">
        <v>4132</v>
      </c>
      <c r="R138" s="4">
        <v>4190</v>
      </c>
      <c r="S138" s="4">
        <v>4365</v>
      </c>
      <c r="T138" s="4">
        <v>4245</v>
      </c>
      <c r="U138" s="4">
        <v>4253</v>
      </c>
      <c r="V138" s="4">
        <v>4469</v>
      </c>
      <c r="W138" s="4">
        <v>4207</v>
      </c>
      <c r="X138" s="10">
        <v>1.62045372704358E-2</v>
      </c>
      <c r="Y138" s="8">
        <v>7.146231986770557E-3</v>
      </c>
      <c r="Z138" s="8">
        <v>1.6360757637952309E-2</v>
      </c>
      <c r="AA138" s="8">
        <v>-9.1160858527579158E-3</v>
      </c>
    </row>
    <row r="139" spans="2:27" x14ac:dyDescent="0.3">
      <c r="B139" s="12" t="s">
        <v>297</v>
      </c>
      <c r="C139" s="3" t="s">
        <v>819</v>
      </c>
      <c r="D139" s="3" t="s">
        <v>891</v>
      </c>
      <c r="E139" s="3" t="s">
        <v>821</v>
      </c>
      <c r="F139" s="5">
        <v>-0.9</v>
      </c>
      <c r="G139" s="4">
        <v>162.94999999999999</v>
      </c>
      <c r="H139" s="4">
        <v>194.39</v>
      </c>
      <c r="I139" s="4">
        <v>202.61</v>
      </c>
      <c r="J139" s="4">
        <v>200.31</v>
      </c>
      <c r="K139" s="4">
        <v>204.69</v>
      </c>
      <c r="L139" s="4">
        <v>206.75</v>
      </c>
      <c r="M139" s="4">
        <v>208.76</v>
      </c>
      <c r="N139" s="4">
        <v>207.22</v>
      </c>
      <c r="O139" s="4">
        <v>200.28</v>
      </c>
      <c r="P139" s="4">
        <v>207.44</v>
      </c>
      <c r="Q139" s="4">
        <v>210.58</v>
      </c>
      <c r="R139" s="4">
        <v>207.25</v>
      </c>
      <c r="S139" s="4">
        <v>212.21</v>
      </c>
      <c r="T139" s="4">
        <v>221.76</v>
      </c>
      <c r="U139" s="4">
        <v>213.4</v>
      </c>
      <c r="V139" s="4">
        <v>205.06</v>
      </c>
      <c r="W139" s="4">
        <v>204.15</v>
      </c>
      <c r="X139" s="10">
        <v>1.7098915795003888E-2</v>
      </c>
      <c r="Y139" s="8">
        <v>3.3106362996009331E-3</v>
      </c>
      <c r="Z139" s="8">
        <v>-2.5625424165125481E-3</v>
      </c>
      <c r="AA139" s="8">
        <v>-9.4553218446089549E-3</v>
      </c>
    </row>
    <row r="140" spans="2:27" x14ac:dyDescent="0.3">
      <c r="B140" s="12" t="s">
        <v>192</v>
      </c>
      <c r="C140" s="3" t="s">
        <v>819</v>
      </c>
      <c r="D140" s="3" t="s">
        <v>837</v>
      </c>
      <c r="E140" s="3" t="s">
        <v>821</v>
      </c>
      <c r="F140" s="5">
        <v>-1.1000000000000001</v>
      </c>
      <c r="G140" s="4">
        <v>581.29999999999995</v>
      </c>
      <c r="H140" s="4">
        <v>589.29999999999995</v>
      </c>
      <c r="I140" s="4">
        <v>803.7</v>
      </c>
      <c r="J140" s="4">
        <v>1271</v>
      </c>
      <c r="K140" s="4">
        <v>711.9</v>
      </c>
      <c r="L140" s="4">
        <v>557.20000000000005</v>
      </c>
      <c r="M140" s="4">
        <v>605</v>
      </c>
      <c r="N140" s="4">
        <v>945.4</v>
      </c>
      <c r="O140" s="4">
        <v>566.70000000000005</v>
      </c>
      <c r="P140" s="4">
        <v>596.79999999999995</v>
      </c>
      <c r="Q140" s="4">
        <v>662.6</v>
      </c>
      <c r="R140" s="4">
        <v>965.4</v>
      </c>
      <c r="S140" s="4">
        <v>760.5</v>
      </c>
      <c r="T140" s="4">
        <v>747.7</v>
      </c>
      <c r="U140" s="4">
        <v>741.6</v>
      </c>
      <c r="V140" s="4">
        <v>1045</v>
      </c>
      <c r="W140" s="4">
        <v>725.8</v>
      </c>
      <c r="X140" s="10">
        <v>5.0547683649884378E-2</v>
      </c>
      <c r="Y140" s="8">
        <v>2.518972004336462E-2</v>
      </c>
      <c r="Z140" s="8">
        <v>2.4757402338890341E-2</v>
      </c>
      <c r="AA140" s="8">
        <v>-1.053174699526538E-2</v>
      </c>
    </row>
    <row r="141" spans="2:27" x14ac:dyDescent="0.3">
      <c r="B141" s="12" t="s">
        <v>399</v>
      </c>
      <c r="C141" s="3" t="s">
        <v>819</v>
      </c>
      <c r="D141" s="3" t="s">
        <v>892</v>
      </c>
      <c r="E141" s="3" t="s">
        <v>821</v>
      </c>
      <c r="F141" s="5">
        <v>-1.2</v>
      </c>
      <c r="G141" s="4">
        <v>666.7</v>
      </c>
      <c r="H141" s="4">
        <v>460.5</v>
      </c>
      <c r="I141" s="4">
        <v>744.1</v>
      </c>
      <c r="J141" s="4">
        <v>650.4</v>
      </c>
      <c r="K141" s="4">
        <v>599.70000000000005</v>
      </c>
      <c r="L141" s="4">
        <v>610.70000000000005</v>
      </c>
      <c r="M141" s="4">
        <v>942.3</v>
      </c>
      <c r="N141" s="4">
        <v>874.8</v>
      </c>
      <c r="O141" s="4">
        <v>638.9</v>
      </c>
      <c r="P141" s="4">
        <v>579.20000000000005</v>
      </c>
      <c r="Q141" s="4">
        <v>734.2</v>
      </c>
      <c r="R141" s="4">
        <v>921.8</v>
      </c>
      <c r="S141" s="4">
        <v>814.3</v>
      </c>
      <c r="T141" s="4">
        <v>540.70000000000005</v>
      </c>
      <c r="U141" s="4">
        <v>940.5</v>
      </c>
      <c r="V141" s="4">
        <v>857.5</v>
      </c>
      <c r="W141" s="4">
        <v>776.3</v>
      </c>
      <c r="X141" s="10">
        <v>-1.262502049516312E-2</v>
      </c>
      <c r="Y141" s="8">
        <v>6.8515443374294271E-2</v>
      </c>
      <c r="Z141" s="8">
        <v>-1.9985702296957179E-2</v>
      </c>
      <c r="AA141" s="8">
        <v>-1.2052013954963581E-2</v>
      </c>
    </row>
    <row r="142" spans="2:27" x14ac:dyDescent="0.3">
      <c r="B142" s="12" t="s">
        <v>648</v>
      </c>
      <c r="C142" s="3" t="s">
        <v>819</v>
      </c>
      <c r="D142" s="3" t="s">
        <v>845</v>
      </c>
      <c r="E142" s="3" t="s">
        <v>821</v>
      </c>
      <c r="F142" s="5">
        <v>-1.4</v>
      </c>
      <c r="G142" s="4">
        <v>188.92</v>
      </c>
      <c r="H142" s="4">
        <v>222.87</v>
      </c>
      <c r="I142" s="4">
        <v>244</v>
      </c>
      <c r="J142" s="4">
        <v>156.47999999999999</v>
      </c>
      <c r="K142" s="4">
        <v>212.23</v>
      </c>
      <c r="L142" s="4">
        <v>226.26</v>
      </c>
      <c r="M142" s="4">
        <v>183.01</v>
      </c>
      <c r="N142" s="4">
        <v>130.59</v>
      </c>
      <c r="O142" s="4">
        <v>141.62</v>
      </c>
      <c r="P142" s="4">
        <v>127.67</v>
      </c>
      <c r="Q142" s="4">
        <v>132.9</v>
      </c>
      <c r="R142" s="4">
        <v>125.2</v>
      </c>
      <c r="S142" s="4">
        <v>139.56</v>
      </c>
      <c r="T142" s="4">
        <v>142.87</v>
      </c>
      <c r="U142" s="4">
        <v>168.56</v>
      </c>
      <c r="V142" s="4">
        <v>163.55000000000001</v>
      </c>
      <c r="W142" s="4">
        <v>131.07</v>
      </c>
      <c r="X142" s="10">
        <v>2.8934193744883929E-2</v>
      </c>
      <c r="Y142" s="8">
        <v>6.5972286459586194E-2</v>
      </c>
      <c r="Z142" s="8">
        <v>6.6557906246203391E-2</v>
      </c>
      <c r="AA142" s="8">
        <v>-1.3815211377615769E-2</v>
      </c>
    </row>
    <row r="143" spans="2:27" x14ac:dyDescent="0.3">
      <c r="B143" s="12" t="s">
        <v>646</v>
      </c>
      <c r="C143" s="3" t="s">
        <v>819</v>
      </c>
      <c r="D143" s="3" t="s">
        <v>893</v>
      </c>
      <c r="E143" s="3" t="s">
        <v>821</v>
      </c>
      <c r="F143" s="5">
        <v>-1.5</v>
      </c>
      <c r="G143" s="4">
        <v>155.72</v>
      </c>
      <c r="H143" s="4">
        <v>165.11</v>
      </c>
      <c r="I143" s="4">
        <v>143.4</v>
      </c>
      <c r="J143" s="4">
        <v>133.75</v>
      </c>
      <c r="K143" s="4">
        <v>165.44</v>
      </c>
      <c r="L143" s="4">
        <v>153.4</v>
      </c>
      <c r="M143" s="4">
        <v>152.61000000000001</v>
      </c>
      <c r="N143" s="4">
        <v>149.30000000000001</v>
      </c>
      <c r="O143" s="4">
        <v>150.5</v>
      </c>
      <c r="P143" s="4">
        <v>146.16</v>
      </c>
      <c r="Q143" s="4">
        <v>135.09</v>
      </c>
      <c r="R143" s="4">
        <v>135.28</v>
      </c>
      <c r="S143" s="4">
        <v>130.78</v>
      </c>
      <c r="T143" s="4">
        <v>120.09</v>
      </c>
      <c r="U143" s="4">
        <v>127.57</v>
      </c>
      <c r="V143" s="4">
        <v>123.21</v>
      </c>
      <c r="W143" s="4">
        <v>123.31</v>
      </c>
      <c r="X143" s="10">
        <v>-4.7632968518755203E-2</v>
      </c>
      <c r="Y143" s="8">
        <v>-1.4427135292763399E-2</v>
      </c>
      <c r="Z143" s="8">
        <v>-2.3495289262633449E-2</v>
      </c>
      <c r="AA143" s="8">
        <v>-1.489086016146712E-2</v>
      </c>
    </row>
    <row r="144" spans="2:27" x14ac:dyDescent="0.3">
      <c r="B144" s="12" t="s">
        <v>456</v>
      </c>
      <c r="C144" s="3" t="s">
        <v>819</v>
      </c>
      <c r="D144" s="3" t="s">
        <v>883</v>
      </c>
      <c r="E144" s="3" t="s">
        <v>821</v>
      </c>
      <c r="F144" s="5">
        <v>-1.6</v>
      </c>
      <c r="G144" s="4">
        <v>466.71</v>
      </c>
      <c r="H144" s="4">
        <v>446.16</v>
      </c>
      <c r="I144" s="4">
        <v>524.03</v>
      </c>
      <c r="J144" s="4">
        <v>559.66999999999996</v>
      </c>
      <c r="K144" s="4">
        <v>536.22</v>
      </c>
      <c r="L144" s="4">
        <v>536.99</v>
      </c>
      <c r="M144" s="4">
        <v>597.91</v>
      </c>
      <c r="N144" s="4">
        <v>635.17999999999995</v>
      </c>
      <c r="O144" s="4">
        <v>654.63</v>
      </c>
      <c r="P144" s="4">
        <v>599.09</v>
      </c>
      <c r="Q144" s="4">
        <v>668.81</v>
      </c>
      <c r="R144" s="4">
        <v>679.81</v>
      </c>
      <c r="S144" s="4">
        <v>713.45</v>
      </c>
      <c r="T144" s="4">
        <v>674.52</v>
      </c>
      <c r="U144" s="4">
        <v>698.16</v>
      </c>
      <c r="V144" s="4">
        <v>742.9</v>
      </c>
      <c r="W144" s="4">
        <v>668.57</v>
      </c>
      <c r="X144" s="10">
        <v>2.834478197477797E-2</v>
      </c>
      <c r="Y144" s="8">
        <v>1.0725026401470441E-2</v>
      </c>
      <c r="Z144" s="8">
        <v>2.2809605414434001E-2</v>
      </c>
      <c r="AA144" s="8">
        <v>-1.5864094760394739E-2</v>
      </c>
    </row>
    <row r="145" spans="2:27" x14ac:dyDescent="0.3">
      <c r="B145" s="12" t="s">
        <v>315</v>
      </c>
      <c r="C145" s="3" t="s">
        <v>819</v>
      </c>
      <c r="D145" s="3" t="s">
        <v>894</v>
      </c>
      <c r="E145" s="3" t="s">
        <v>821</v>
      </c>
      <c r="F145" s="5">
        <v>-1.6</v>
      </c>
      <c r="G145" s="4">
        <v>338.37</v>
      </c>
      <c r="H145" s="4">
        <v>292.98</v>
      </c>
      <c r="I145" s="4">
        <v>286.83</v>
      </c>
      <c r="J145" s="4">
        <v>296.19</v>
      </c>
      <c r="K145" s="4">
        <v>314.72000000000003</v>
      </c>
      <c r="L145" s="4">
        <v>309.85000000000002</v>
      </c>
      <c r="M145" s="4">
        <v>289.58</v>
      </c>
      <c r="N145" s="4">
        <v>312.51</v>
      </c>
      <c r="O145" s="4">
        <v>328.64</v>
      </c>
      <c r="P145" s="4">
        <v>319.42</v>
      </c>
      <c r="Q145" s="4">
        <v>0</v>
      </c>
      <c r="R145" s="4">
        <v>313.38</v>
      </c>
      <c r="S145" s="4">
        <v>315.86</v>
      </c>
      <c r="T145" s="4">
        <v>318.11</v>
      </c>
      <c r="U145" s="4">
        <v>0</v>
      </c>
      <c r="V145" s="4">
        <v>303.19</v>
      </c>
      <c r="W145" s="4">
        <v>300.51</v>
      </c>
      <c r="X145" s="10">
        <v>-1.3808951573799359E-3</v>
      </c>
      <c r="Y145" s="8">
        <v>0</v>
      </c>
      <c r="Z145" s="8">
        <v>-1.0756320261782861E-2</v>
      </c>
      <c r="AA145" s="8">
        <v>-1.6379273549874229E-2</v>
      </c>
    </row>
    <row r="146" spans="2:27" x14ac:dyDescent="0.3">
      <c r="B146" s="12" t="s">
        <v>442</v>
      </c>
      <c r="C146" s="3" t="s">
        <v>819</v>
      </c>
      <c r="D146" s="3" t="s">
        <v>866</v>
      </c>
      <c r="E146" s="3" t="s">
        <v>821</v>
      </c>
      <c r="F146" s="5">
        <v>-1.7</v>
      </c>
      <c r="G146" s="4">
        <v>205.68</v>
      </c>
      <c r="H146" s="4">
        <v>203.6</v>
      </c>
      <c r="I146" s="4">
        <v>221.18</v>
      </c>
      <c r="J146" s="4">
        <v>229.18</v>
      </c>
      <c r="K146" s="4">
        <v>266.05</v>
      </c>
      <c r="L146" s="4">
        <v>254.02</v>
      </c>
      <c r="M146" s="4">
        <v>273.97000000000003</v>
      </c>
      <c r="N146" s="4">
        <v>292.33</v>
      </c>
      <c r="O146" s="4">
        <v>310.29000000000002</v>
      </c>
      <c r="P146" s="4">
        <v>252.37</v>
      </c>
      <c r="Q146" s="4">
        <v>256.51</v>
      </c>
      <c r="R146" s="4">
        <v>256.56</v>
      </c>
      <c r="S146" s="4">
        <v>252.42</v>
      </c>
      <c r="T146" s="4">
        <v>192.56</v>
      </c>
      <c r="U146" s="4">
        <v>194.54</v>
      </c>
      <c r="V146" s="4">
        <v>213.61</v>
      </c>
      <c r="W146" s="4">
        <v>238.33</v>
      </c>
      <c r="X146" s="10">
        <v>-5.8760536812528352E-2</v>
      </c>
      <c r="Y146" s="8">
        <v>-6.4683471635092138E-2</v>
      </c>
      <c r="Z146" s="8">
        <v>-4.7930988304615618E-2</v>
      </c>
      <c r="AA146" s="8">
        <v>-1.6515654120708431E-2</v>
      </c>
    </row>
    <row r="147" spans="2:27" x14ac:dyDescent="0.3">
      <c r="B147" s="12" t="s">
        <v>311</v>
      </c>
      <c r="C147" s="3" t="s">
        <v>819</v>
      </c>
      <c r="D147" s="3" t="s">
        <v>870</v>
      </c>
      <c r="E147" s="3" t="s">
        <v>821</v>
      </c>
      <c r="F147" s="5">
        <v>-1.7</v>
      </c>
      <c r="G147" s="4">
        <v>2275</v>
      </c>
      <c r="H147" s="4">
        <v>2538</v>
      </c>
      <c r="I147" s="4">
        <v>2486</v>
      </c>
      <c r="J147" s="4">
        <v>2301</v>
      </c>
      <c r="K147" s="4">
        <v>2348</v>
      </c>
      <c r="L147" s="4">
        <v>2853</v>
      </c>
      <c r="M147" s="4">
        <v>2795</v>
      </c>
      <c r="N147" s="4">
        <v>2723</v>
      </c>
      <c r="O147" s="4">
        <v>2569</v>
      </c>
      <c r="P147" s="4">
        <v>2611</v>
      </c>
      <c r="Q147" s="4">
        <v>0</v>
      </c>
      <c r="R147" s="4">
        <v>2648</v>
      </c>
      <c r="S147" s="4">
        <v>2370</v>
      </c>
      <c r="T147" s="4">
        <v>2389</v>
      </c>
      <c r="U147" s="6">
        <v>2532</v>
      </c>
      <c r="V147" s="4">
        <v>2419</v>
      </c>
      <c r="W147" s="4">
        <v>2204</v>
      </c>
      <c r="X147" s="10">
        <v>-2.9099488792764468E-2</v>
      </c>
      <c r="Y147" s="9">
        <v>0.34183880113406229</v>
      </c>
      <c r="Z147" s="8">
        <v>-2.3040547338766482E-2</v>
      </c>
      <c r="AA147" s="8">
        <v>-1.709577754891867E-2</v>
      </c>
    </row>
    <row r="148" spans="2:27" x14ac:dyDescent="0.3">
      <c r="B148" s="12" t="s">
        <v>319</v>
      </c>
      <c r="C148" s="3" t="s">
        <v>819</v>
      </c>
      <c r="D148" s="3" t="s">
        <v>846</v>
      </c>
      <c r="E148" s="3" t="s">
        <v>821</v>
      </c>
      <c r="F148" s="5">
        <v>-1.7</v>
      </c>
      <c r="G148" s="4">
        <v>485.64</v>
      </c>
      <c r="H148" s="4">
        <v>475.33</v>
      </c>
      <c r="I148" s="4">
        <v>431.88</v>
      </c>
      <c r="J148" s="4">
        <v>420.86</v>
      </c>
      <c r="K148" s="4">
        <v>467.49</v>
      </c>
      <c r="L148" s="4">
        <v>494.62</v>
      </c>
      <c r="M148" s="4">
        <v>541.07000000000005</v>
      </c>
      <c r="N148" s="4">
        <v>560.77</v>
      </c>
      <c r="O148" s="4">
        <v>577.16999999999996</v>
      </c>
      <c r="P148" s="4">
        <v>603.44000000000005</v>
      </c>
      <c r="Q148" s="4">
        <v>609.07000000000005</v>
      </c>
      <c r="R148" s="4">
        <v>615.46</v>
      </c>
      <c r="S148" s="4">
        <v>612.86</v>
      </c>
      <c r="T148" s="4">
        <v>607.15</v>
      </c>
      <c r="U148" s="4">
        <v>606.76</v>
      </c>
      <c r="V148" s="4">
        <v>581.63</v>
      </c>
      <c r="W148" s="4">
        <v>571.66</v>
      </c>
      <c r="X148" s="10">
        <v>1.5199747626832849E-3</v>
      </c>
      <c r="Y148" s="8">
        <v>-9.4496306053493129E-4</v>
      </c>
      <c r="Z148" s="8">
        <v>-1.385209419260258E-2</v>
      </c>
      <c r="AA148" s="8">
        <v>-1.7106792891546371E-2</v>
      </c>
    </row>
    <row r="149" spans="2:27" x14ac:dyDescent="0.3">
      <c r="B149" s="12" t="s">
        <v>377</v>
      </c>
      <c r="C149" s="3" t="s">
        <v>819</v>
      </c>
      <c r="D149" s="3" t="s">
        <v>826</v>
      </c>
      <c r="E149" s="3" t="s">
        <v>821</v>
      </c>
      <c r="F149" s="5">
        <v>-1.9</v>
      </c>
      <c r="G149" s="4">
        <v>2113</v>
      </c>
      <c r="H149" s="4">
        <v>2373</v>
      </c>
      <c r="I149" s="4">
        <v>3144</v>
      </c>
      <c r="J149" s="4">
        <v>2699</v>
      </c>
      <c r="K149" s="4">
        <v>2680</v>
      </c>
      <c r="L149" s="4">
        <v>2286</v>
      </c>
      <c r="M149" s="4">
        <v>2236</v>
      </c>
      <c r="N149" s="4">
        <v>2522</v>
      </c>
      <c r="O149" s="4">
        <v>2202</v>
      </c>
      <c r="P149" s="4">
        <v>1863</v>
      </c>
      <c r="Q149" s="4">
        <v>1967</v>
      </c>
      <c r="R149" s="4">
        <v>1833</v>
      </c>
      <c r="S149" s="4">
        <v>1947</v>
      </c>
      <c r="T149" s="4">
        <v>1646</v>
      </c>
      <c r="U149" s="4">
        <v>1761</v>
      </c>
      <c r="V149" s="4">
        <v>1944</v>
      </c>
      <c r="W149" s="4">
        <v>1810</v>
      </c>
      <c r="X149" s="10">
        <v>-2.8515111695137981E-2</v>
      </c>
      <c r="Y149" s="8">
        <v>-2.786419586094957E-2</v>
      </c>
      <c r="Z149" s="8">
        <v>1.544455266453326E-2</v>
      </c>
      <c r="AA149" s="8">
        <v>-1.8772266374349141E-2</v>
      </c>
    </row>
    <row r="150" spans="2:27" x14ac:dyDescent="0.3">
      <c r="B150" s="12" t="s">
        <v>599</v>
      </c>
      <c r="C150" s="3" t="s">
        <v>819</v>
      </c>
      <c r="D150" s="3" t="s">
        <v>840</v>
      </c>
      <c r="E150" s="3" t="s">
        <v>821</v>
      </c>
      <c r="F150" s="5">
        <v>-1.9</v>
      </c>
      <c r="G150" s="4">
        <v>646.54</v>
      </c>
      <c r="H150" s="4">
        <v>710.46</v>
      </c>
      <c r="I150" s="4">
        <v>649.44000000000005</v>
      </c>
      <c r="J150" s="4">
        <v>625.82000000000005</v>
      </c>
      <c r="K150" s="4">
        <v>612.1</v>
      </c>
      <c r="L150" s="4">
        <v>655.14</v>
      </c>
      <c r="M150" s="4">
        <v>592.85</v>
      </c>
      <c r="N150" s="4">
        <v>582.88</v>
      </c>
      <c r="O150" s="4">
        <v>577.4</v>
      </c>
      <c r="P150" s="4">
        <v>641.87</v>
      </c>
      <c r="Q150" s="4">
        <v>592.16</v>
      </c>
      <c r="R150" s="4">
        <v>606.15</v>
      </c>
      <c r="S150" s="4">
        <v>623.32000000000005</v>
      </c>
      <c r="T150" s="4">
        <v>684.09</v>
      </c>
      <c r="U150" s="4">
        <v>604.66</v>
      </c>
      <c r="V150" s="4">
        <v>595.11</v>
      </c>
      <c r="W150" s="4">
        <v>574.59</v>
      </c>
      <c r="X150" s="10">
        <v>1.713821798254522E-2</v>
      </c>
      <c r="Y150" s="8">
        <v>4.9885861149689958E-3</v>
      </c>
      <c r="Z150" s="8">
        <v>-4.3840490505198124E-3</v>
      </c>
      <c r="AA150" s="8">
        <v>-1.943617929307051E-2</v>
      </c>
    </row>
    <row r="151" spans="2:27" x14ac:dyDescent="0.3">
      <c r="B151" s="12" t="s">
        <v>232</v>
      </c>
      <c r="C151" s="3" t="s">
        <v>819</v>
      </c>
      <c r="D151" s="3" t="s">
        <v>895</v>
      </c>
      <c r="E151" s="3" t="s">
        <v>821</v>
      </c>
      <c r="F151" s="5">
        <v>-2</v>
      </c>
      <c r="G151" s="4">
        <v>2141</v>
      </c>
      <c r="H151" s="4">
        <v>2192</v>
      </c>
      <c r="I151" s="4">
        <v>2422</v>
      </c>
      <c r="J151" s="4">
        <v>2242</v>
      </c>
      <c r="K151" s="4">
        <v>1957</v>
      </c>
      <c r="L151" s="4">
        <v>1850</v>
      </c>
      <c r="M151" s="4">
        <v>1791</v>
      </c>
      <c r="N151" s="4">
        <v>1911</v>
      </c>
      <c r="O151" s="4">
        <v>1969</v>
      </c>
      <c r="P151" s="4">
        <v>1871</v>
      </c>
      <c r="Q151" s="4">
        <v>2265</v>
      </c>
      <c r="R151" s="4">
        <v>2185</v>
      </c>
      <c r="S151" s="4">
        <v>2077</v>
      </c>
      <c r="T151" s="4">
        <v>1964</v>
      </c>
      <c r="U151" s="4">
        <v>2038</v>
      </c>
      <c r="V151" s="4">
        <v>1969</v>
      </c>
      <c r="W151" s="4">
        <v>1914</v>
      </c>
      <c r="X151" s="10">
        <v>1.107406525363186E-2</v>
      </c>
      <c r="Y151" s="8">
        <v>-2.6734189141443879E-2</v>
      </c>
      <c r="Z151" s="8">
        <v>-2.61374636979671E-2</v>
      </c>
      <c r="AA151" s="8">
        <v>-2.0253479125248549E-2</v>
      </c>
    </row>
    <row r="152" spans="2:27" x14ac:dyDescent="0.3">
      <c r="B152" s="12" t="s">
        <v>126</v>
      </c>
      <c r="C152" s="3" t="s">
        <v>819</v>
      </c>
      <c r="D152" s="3" t="s">
        <v>896</v>
      </c>
      <c r="E152" s="3" t="s">
        <v>821</v>
      </c>
      <c r="F152" s="5">
        <v>-2.4</v>
      </c>
      <c r="G152" s="4">
        <v>1512</v>
      </c>
      <c r="H152" s="4">
        <v>1524</v>
      </c>
      <c r="I152" s="4">
        <v>2134</v>
      </c>
      <c r="J152" s="4">
        <v>2036</v>
      </c>
      <c r="K152" s="4">
        <v>1581</v>
      </c>
      <c r="L152" s="4">
        <v>1551</v>
      </c>
      <c r="M152" s="4">
        <v>2003</v>
      </c>
      <c r="N152" s="4">
        <v>2127</v>
      </c>
      <c r="O152" s="4">
        <v>1603</v>
      </c>
      <c r="P152" s="4">
        <v>1565</v>
      </c>
      <c r="Q152" s="4">
        <v>2139</v>
      </c>
      <c r="R152" s="4">
        <v>2160</v>
      </c>
      <c r="S152" s="4">
        <v>1754</v>
      </c>
      <c r="T152" s="4">
        <v>1531</v>
      </c>
      <c r="U152" s="4">
        <v>2062</v>
      </c>
      <c r="V152" s="4">
        <v>2067</v>
      </c>
      <c r="W152" s="4">
        <v>1579</v>
      </c>
      <c r="X152" s="10">
        <v>-4.4631136781307923E-3</v>
      </c>
      <c r="Y152" s="8">
        <v>-1.0152953586497929E-2</v>
      </c>
      <c r="Z152" s="8">
        <v>-1.238843745837215E-2</v>
      </c>
      <c r="AA152" s="8">
        <v>-2.3603992446722399E-2</v>
      </c>
    </row>
    <row r="153" spans="2:27" x14ac:dyDescent="0.3">
      <c r="B153" s="12" t="s">
        <v>642</v>
      </c>
      <c r="C153" s="3" t="s">
        <v>819</v>
      </c>
      <c r="D153" s="3" t="s">
        <v>883</v>
      </c>
      <c r="E153" s="3" t="s">
        <v>821</v>
      </c>
      <c r="F153" s="5">
        <v>-2.4</v>
      </c>
      <c r="G153" s="4">
        <v>246.07</v>
      </c>
      <c r="H153" s="4">
        <v>282.68</v>
      </c>
      <c r="I153" s="4">
        <v>315.08</v>
      </c>
      <c r="J153" s="4">
        <v>333.01</v>
      </c>
      <c r="K153" s="4">
        <v>348.93</v>
      </c>
      <c r="L153" s="6">
        <v>423.57</v>
      </c>
      <c r="M153" s="4">
        <v>435.25</v>
      </c>
      <c r="N153" s="4">
        <v>423.8</v>
      </c>
      <c r="O153" s="4">
        <v>347.78</v>
      </c>
      <c r="P153" s="4">
        <v>405.84</v>
      </c>
      <c r="Q153" s="4">
        <v>357.02</v>
      </c>
      <c r="R153" s="4">
        <v>360.87</v>
      </c>
      <c r="S153" s="4">
        <v>320.55</v>
      </c>
      <c r="T153" s="4">
        <v>359.42</v>
      </c>
      <c r="U153" s="4">
        <v>326.14999999999998</v>
      </c>
      <c r="V153" s="4">
        <v>293.92</v>
      </c>
      <c r="W153" s="4">
        <v>289.68</v>
      </c>
      <c r="X153" s="10">
        <v>-3.2140582158584063E-2</v>
      </c>
      <c r="Y153" s="8">
        <v>-2.208375659937345E-2</v>
      </c>
      <c r="Z153" s="8">
        <v>-4.8976217821637302E-2</v>
      </c>
      <c r="AA153" s="8">
        <v>-2.3745423217747089E-2</v>
      </c>
    </row>
    <row r="154" spans="2:27" x14ac:dyDescent="0.3">
      <c r="B154" s="12" t="s">
        <v>681</v>
      </c>
      <c r="C154" s="3" t="s">
        <v>819</v>
      </c>
      <c r="D154" s="3" t="s">
        <v>902</v>
      </c>
      <c r="E154" s="3" t="s">
        <v>821</v>
      </c>
      <c r="F154" s="5">
        <v>-2.8</v>
      </c>
      <c r="G154" s="4">
        <v>569.77</v>
      </c>
      <c r="H154" s="4">
        <v>715.27</v>
      </c>
      <c r="I154" s="4">
        <v>840.81</v>
      </c>
      <c r="J154" s="4">
        <v>593.22</v>
      </c>
      <c r="K154" s="4">
        <v>448.63</v>
      </c>
      <c r="L154" s="4">
        <v>400.87</v>
      </c>
      <c r="M154" s="4">
        <v>456.44</v>
      </c>
      <c r="N154" s="4">
        <v>416.81</v>
      </c>
      <c r="O154" s="4">
        <v>375.95</v>
      </c>
      <c r="P154" s="4">
        <v>391.85</v>
      </c>
      <c r="Q154" s="4">
        <v>451.05</v>
      </c>
      <c r="R154" s="4">
        <v>433.53</v>
      </c>
      <c r="S154" s="4">
        <v>367.51</v>
      </c>
      <c r="T154" s="4">
        <v>307.18</v>
      </c>
      <c r="U154" s="4">
        <v>386.86</v>
      </c>
      <c r="V154" s="4">
        <v>311.7</v>
      </c>
      <c r="W154" s="4">
        <v>329.38</v>
      </c>
      <c r="X154" s="10">
        <v>-5.1504312809469988E-2</v>
      </c>
      <c r="Y154" s="8">
        <v>-4.1166699801830409E-2</v>
      </c>
      <c r="Z154" s="8">
        <v>-8.1487278272734498E-2</v>
      </c>
      <c r="AA154" s="8">
        <v>-2.7766247951938942E-2</v>
      </c>
    </row>
    <row r="155" spans="2:27" x14ac:dyDescent="0.3">
      <c r="B155" s="12" t="s">
        <v>149</v>
      </c>
      <c r="C155" s="3" t="s">
        <v>819</v>
      </c>
      <c r="D155" s="3" t="s">
        <v>897</v>
      </c>
      <c r="E155" s="3" t="s">
        <v>821</v>
      </c>
      <c r="F155" s="5">
        <v>-3</v>
      </c>
      <c r="G155" s="4">
        <v>4635</v>
      </c>
      <c r="H155" s="4">
        <v>5681</v>
      </c>
      <c r="I155" s="4">
        <v>6926</v>
      </c>
      <c r="J155" s="4">
        <v>5761</v>
      </c>
      <c r="K155" s="4">
        <v>4358</v>
      </c>
      <c r="L155" s="4">
        <v>3883</v>
      </c>
      <c r="M155" s="4">
        <v>4529</v>
      </c>
      <c r="N155" s="4">
        <v>4534</v>
      </c>
      <c r="O155" s="4">
        <v>4151</v>
      </c>
      <c r="P155" s="4">
        <v>3891</v>
      </c>
      <c r="Q155" s="4">
        <v>4456</v>
      </c>
      <c r="R155" s="4">
        <v>4232</v>
      </c>
      <c r="S155" s="4">
        <v>3820</v>
      </c>
      <c r="T155" s="4">
        <v>3657</v>
      </c>
      <c r="U155" s="4">
        <v>4234</v>
      </c>
      <c r="V155" s="4">
        <v>3941</v>
      </c>
      <c r="W155" s="4">
        <v>3358</v>
      </c>
      <c r="X155" s="10">
        <v>-1.42691627538265E-2</v>
      </c>
      <c r="Y155" s="8">
        <v>-1.3733374574698479E-2</v>
      </c>
      <c r="Z155" s="8">
        <v>-1.8252524618954991E-2</v>
      </c>
      <c r="AA155" s="8">
        <v>-2.951699463327373E-2</v>
      </c>
    </row>
    <row r="156" spans="2:27" x14ac:dyDescent="0.3">
      <c r="B156" s="12" t="s">
        <v>93</v>
      </c>
      <c r="C156" s="3" t="s">
        <v>819</v>
      </c>
      <c r="D156" s="3" t="s">
        <v>827</v>
      </c>
      <c r="E156" s="3" t="s">
        <v>821</v>
      </c>
      <c r="F156" s="5">
        <v>-3.1</v>
      </c>
      <c r="G156" s="4">
        <v>4054</v>
      </c>
      <c r="H156" s="4">
        <v>4003</v>
      </c>
      <c r="I156" s="4">
        <v>5544</v>
      </c>
      <c r="J156" s="4">
        <v>5184</v>
      </c>
      <c r="K156" s="4">
        <v>4142</v>
      </c>
      <c r="L156" s="4">
        <v>3419</v>
      </c>
      <c r="M156" s="4">
        <v>3339</v>
      </c>
      <c r="N156" s="4">
        <v>4030</v>
      </c>
      <c r="O156" s="4">
        <v>3639</v>
      </c>
      <c r="P156" s="4">
        <v>3378</v>
      </c>
      <c r="Q156" s="4">
        <v>3715</v>
      </c>
      <c r="R156" s="4">
        <v>3797</v>
      </c>
      <c r="S156" s="4">
        <v>4281</v>
      </c>
      <c r="T156" s="4">
        <v>4338</v>
      </c>
      <c r="U156" s="4">
        <v>3868</v>
      </c>
      <c r="V156" s="4">
        <v>4067</v>
      </c>
      <c r="W156" s="4">
        <v>3765</v>
      </c>
      <c r="X156" s="10">
        <v>6.3278623689934754E-2</v>
      </c>
      <c r="Y156" s="8">
        <v>9.4848428491725034E-3</v>
      </c>
      <c r="Z156" s="8">
        <v>1.658069270449514E-2</v>
      </c>
      <c r="AA156" s="8">
        <v>-3.117071402682137E-2</v>
      </c>
    </row>
    <row r="157" spans="2:27" x14ac:dyDescent="0.3">
      <c r="B157" s="12" t="s">
        <v>277</v>
      </c>
      <c r="C157" s="3" t="s">
        <v>819</v>
      </c>
      <c r="D157" s="3" t="s">
        <v>897</v>
      </c>
      <c r="E157" s="3" t="s">
        <v>821</v>
      </c>
      <c r="F157" s="5">
        <v>-4</v>
      </c>
      <c r="G157" s="4">
        <v>0</v>
      </c>
      <c r="H157" s="4">
        <v>1167</v>
      </c>
      <c r="I157" s="4">
        <v>1130</v>
      </c>
      <c r="J157" s="4">
        <v>852</v>
      </c>
      <c r="K157" s="4">
        <v>0</v>
      </c>
      <c r="L157" s="4">
        <v>584</v>
      </c>
      <c r="M157" s="4">
        <v>611</v>
      </c>
      <c r="N157" s="4">
        <v>728</v>
      </c>
      <c r="O157" s="6">
        <v>658</v>
      </c>
      <c r="P157" s="4">
        <v>724</v>
      </c>
      <c r="Q157" s="4">
        <v>814</v>
      </c>
      <c r="R157" s="4">
        <v>722</v>
      </c>
      <c r="S157" s="4">
        <v>680</v>
      </c>
      <c r="T157" s="4">
        <v>724</v>
      </c>
      <c r="U157" s="4">
        <v>755</v>
      </c>
      <c r="V157" s="4">
        <v>663</v>
      </c>
      <c r="W157" s="4">
        <v>567</v>
      </c>
      <c r="X157" s="10">
        <v>0</v>
      </c>
      <c r="Y157" s="8">
        <v>-2.0068027210884298E-2</v>
      </c>
      <c r="Z157" s="8">
        <v>-2.0479000347101709E-2</v>
      </c>
      <c r="AA157" s="8">
        <v>-4.0042523033309678E-2</v>
      </c>
    </row>
    <row r="158" spans="2:27" x14ac:dyDescent="0.3">
      <c r="B158" s="12" t="s">
        <v>618</v>
      </c>
      <c r="C158" s="3" t="s">
        <v>819</v>
      </c>
      <c r="D158" s="3" t="s">
        <v>861</v>
      </c>
      <c r="E158" s="3" t="s">
        <v>821</v>
      </c>
      <c r="F158" s="5">
        <v>-4.7</v>
      </c>
      <c r="G158" s="4">
        <v>801.08</v>
      </c>
      <c r="H158" s="4">
        <v>546.04999999999995</v>
      </c>
      <c r="I158" s="4">
        <v>723.07</v>
      </c>
      <c r="J158" s="4">
        <v>547.07000000000005</v>
      </c>
      <c r="K158" s="4">
        <v>488.26</v>
      </c>
      <c r="L158" s="4">
        <v>487.36</v>
      </c>
      <c r="M158" s="4">
        <v>645.27</v>
      </c>
      <c r="N158" s="4">
        <v>617.54</v>
      </c>
      <c r="O158" s="4">
        <v>608.41</v>
      </c>
      <c r="P158" s="4">
        <v>390.85</v>
      </c>
      <c r="Q158" s="4">
        <v>602.5</v>
      </c>
      <c r="R158" s="4">
        <v>651.85</v>
      </c>
      <c r="S158" s="4">
        <v>557.4</v>
      </c>
      <c r="T158" s="4">
        <v>351.42</v>
      </c>
      <c r="U158" s="4">
        <v>483.49</v>
      </c>
      <c r="V158" s="4">
        <v>396.63</v>
      </c>
      <c r="W158" s="4">
        <v>473.97</v>
      </c>
      <c r="X158" s="10">
        <v>-1.790157087078903E-2</v>
      </c>
      <c r="Y158" s="8">
        <v>-5.5016480443053517E-2</v>
      </c>
      <c r="Z158" s="8">
        <v>-0.1248532404508453</v>
      </c>
      <c r="AA158" s="8">
        <v>-4.6636555725737112E-2</v>
      </c>
    </row>
    <row r="159" spans="2:27" x14ac:dyDescent="0.3">
      <c r="B159" s="12" t="s">
        <v>329</v>
      </c>
      <c r="C159" s="3" t="s">
        <v>819</v>
      </c>
      <c r="D159" s="3" t="s">
        <v>891</v>
      </c>
      <c r="E159" s="3" t="s">
        <v>821</v>
      </c>
      <c r="F159" s="5">
        <v>-7</v>
      </c>
      <c r="G159" s="4">
        <v>229.72</v>
      </c>
      <c r="H159" s="4">
        <v>187.05</v>
      </c>
      <c r="I159" s="4">
        <v>210.44</v>
      </c>
      <c r="J159" s="4">
        <v>217.03</v>
      </c>
      <c r="K159" s="4">
        <v>250.99</v>
      </c>
      <c r="L159" s="4">
        <v>153.04</v>
      </c>
      <c r="M159" s="4">
        <v>256.81</v>
      </c>
      <c r="N159" s="4">
        <v>218.39</v>
      </c>
      <c r="O159" s="4">
        <v>228.16</v>
      </c>
      <c r="P159" s="4">
        <v>135.51</v>
      </c>
      <c r="Q159" s="4">
        <v>212.38</v>
      </c>
      <c r="R159" s="4">
        <v>212.29</v>
      </c>
      <c r="S159" s="6">
        <v>339.17</v>
      </c>
      <c r="T159" s="6">
        <v>248.43</v>
      </c>
      <c r="U159" s="4">
        <v>249.32</v>
      </c>
      <c r="V159" s="4">
        <v>263.02</v>
      </c>
      <c r="W159" s="4">
        <v>261.7</v>
      </c>
      <c r="X159" s="7">
        <v>0.1255573469728137</v>
      </c>
      <c r="Y159" s="8">
        <v>3.6492240212591558E-2</v>
      </c>
      <c r="Z159" s="8">
        <v>4.835066383278841E-2</v>
      </c>
      <c r="AA159" s="8">
        <v>-7.043111442442318E-2</v>
      </c>
    </row>
    <row r="160" spans="2:27" x14ac:dyDescent="0.3">
      <c r="B160" s="12" t="s">
        <v>97</v>
      </c>
      <c r="C160" s="3" t="s">
        <v>819</v>
      </c>
      <c r="D160" s="3" t="s">
        <v>877</v>
      </c>
      <c r="E160" s="3" t="s">
        <v>821</v>
      </c>
      <c r="F160" s="5">
        <v>-7.5</v>
      </c>
      <c r="G160" s="4">
        <v>2194</v>
      </c>
      <c r="H160" s="4">
        <v>2156</v>
      </c>
      <c r="I160" s="4">
        <v>2281</v>
      </c>
      <c r="J160" s="4">
        <v>2285</v>
      </c>
      <c r="K160" s="4">
        <v>2253</v>
      </c>
      <c r="L160" s="4">
        <v>2292</v>
      </c>
      <c r="M160" s="4">
        <v>2452</v>
      </c>
      <c r="N160" s="4">
        <v>2476</v>
      </c>
      <c r="O160" s="4">
        <v>2434</v>
      </c>
      <c r="P160" s="4">
        <v>1834</v>
      </c>
      <c r="Q160" s="4">
        <v>1971</v>
      </c>
      <c r="R160" s="4">
        <v>1998</v>
      </c>
      <c r="S160" s="4">
        <v>2515</v>
      </c>
      <c r="T160" s="4">
        <v>1809</v>
      </c>
      <c r="U160" s="4">
        <v>1957</v>
      </c>
      <c r="V160" s="4">
        <v>2008</v>
      </c>
      <c r="W160" s="4">
        <v>1897</v>
      </c>
      <c r="X160" s="10">
        <v>-3.005530175522964E-3</v>
      </c>
      <c r="Y160" s="8">
        <v>-1.688170746412587E-3</v>
      </c>
      <c r="Z160" s="8">
        <v>1.207875347264187E-3</v>
      </c>
      <c r="AA160" s="8">
        <v>-7.4556641331885665E-2</v>
      </c>
    </row>
    <row r="161" spans="2:27" x14ac:dyDescent="0.3">
      <c r="B161" s="12" t="s">
        <v>387</v>
      </c>
      <c r="C161" s="3" t="s">
        <v>819</v>
      </c>
      <c r="D161" s="3" t="s">
        <v>898</v>
      </c>
      <c r="E161" s="3" t="s">
        <v>821</v>
      </c>
      <c r="F161" s="5">
        <v>-12.6</v>
      </c>
      <c r="G161" s="3"/>
      <c r="H161" s="3"/>
      <c r="I161" s="4">
        <v>154.61000000000001</v>
      </c>
      <c r="J161" s="4">
        <v>118.17</v>
      </c>
      <c r="K161" s="4">
        <v>155.76</v>
      </c>
      <c r="L161" s="4">
        <v>262.08999999999997</v>
      </c>
      <c r="M161" s="6">
        <v>281.44</v>
      </c>
      <c r="N161" s="4">
        <v>173.93</v>
      </c>
      <c r="O161" s="4">
        <v>225.06</v>
      </c>
      <c r="P161" s="6">
        <v>3353</v>
      </c>
      <c r="Q161" s="6">
        <v>1822</v>
      </c>
      <c r="R161" s="6">
        <v>1535</v>
      </c>
      <c r="S161" s="6">
        <v>5808</v>
      </c>
      <c r="T161" s="4">
        <v>3722</v>
      </c>
      <c r="U161" s="4">
        <v>2058</v>
      </c>
      <c r="V161" s="6">
        <v>4077</v>
      </c>
      <c r="W161" s="4">
        <v>3835</v>
      </c>
      <c r="X161" s="10">
        <v>2.9477552324652431E-2</v>
      </c>
      <c r="Y161" s="8">
        <v>1.8313028633506701E-2</v>
      </c>
      <c r="Z161" s="9">
        <v>0.19370570753638661</v>
      </c>
      <c r="AA161" s="8">
        <v>-0.1259495691030961</v>
      </c>
    </row>
    <row r="162" spans="2:27" x14ac:dyDescent="0.3">
      <c r="B162" s="46" t="s">
        <v>765</v>
      </c>
      <c r="C162" s="38" t="s">
        <v>819</v>
      </c>
      <c r="D162" s="38" t="s">
        <v>847</v>
      </c>
      <c r="E162" s="38" t="s">
        <v>821</v>
      </c>
      <c r="F162" s="39">
        <v>-31.6</v>
      </c>
      <c r="G162" s="40">
        <v>69.92</v>
      </c>
      <c r="H162" s="40">
        <v>82.85</v>
      </c>
      <c r="I162" s="40">
        <v>103.85</v>
      </c>
      <c r="J162" s="40">
        <v>126.26</v>
      </c>
      <c r="K162" s="41">
        <v>158.16999999999999</v>
      </c>
      <c r="L162" s="41">
        <v>144.18</v>
      </c>
      <c r="M162" s="41">
        <v>165.94</v>
      </c>
      <c r="N162" s="40">
        <v>166.01</v>
      </c>
      <c r="O162" s="40">
        <v>191.03</v>
      </c>
      <c r="P162" s="40">
        <v>193.48</v>
      </c>
      <c r="Q162" s="40">
        <v>184.74</v>
      </c>
      <c r="R162" s="40">
        <v>187.65</v>
      </c>
      <c r="S162" s="40">
        <v>142.85</v>
      </c>
      <c r="T162" s="40">
        <v>112.73</v>
      </c>
      <c r="U162" s="40">
        <v>100.94</v>
      </c>
      <c r="V162" s="40">
        <v>96.12</v>
      </c>
      <c r="W162" s="40">
        <v>0</v>
      </c>
      <c r="X162" s="42">
        <v>-0.11393780336381081</v>
      </c>
      <c r="Y162" s="43">
        <v>-0.13344586524834001</v>
      </c>
      <c r="Z162" s="43">
        <v>-0.16820111362258119</v>
      </c>
      <c r="AA162" s="43">
        <v>-0.3155929657122658</v>
      </c>
    </row>
    <row r="163" spans="2:27" x14ac:dyDescent="0.3">
      <c r="B163" s="12">
        <v>3296</v>
      </c>
      <c r="C163" s="3" t="s">
        <v>899</v>
      </c>
      <c r="D163" s="3" t="str">
        <f>VLOOKUP(B163,기업리스트!B:G,2,FALSE)</f>
        <v>NIPPON REIT Investment Corporation</v>
      </c>
      <c r="E163" s="3" t="s">
        <v>905</v>
      </c>
      <c r="F163" s="5">
        <v>5.7</v>
      </c>
      <c r="G163" s="4">
        <v>9411</v>
      </c>
      <c r="I163" s="4">
        <v>10041</v>
      </c>
      <c r="K163" s="4">
        <v>8535</v>
      </c>
      <c r="M163" s="4">
        <v>8548</v>
      </c>
      <c r="O163" s="4">
        <v>8865</v>
      </c>
      <c r="Q163" s="4">
        <v>8828</v>
      </c>
      <c r="S163" s="4">
        <v>9865</v>
      </c>
      <c r="U163" s="4">
        <v>9964</v>
      </c>
      <c r="W163" s="4">
        <v>11013</v>
      </c>
      <c r="X163" s="10">
        <v>-3.3704743115952063E-2</v>
      </c>
      <c r="Y163" s="8">
        <v>3.8244766505636019E-2</v>
      </c>
      <c r="Z163" s="8">
        <v>3.921785852766857E-2</v>
      </c>
      <c r="AA163" s="8">
        <v>5.7246415436277287E-2</v>
      </c>
    </row>
    <row r="164" spans="2:27" x14ac:dyDescent="0.3">
      <c r="B164" s="12">
        <v>8955</v>
      </c>
      <c r="C164" s="3" t="s">
        <v>899</v>
      </c>
      <c r="D164" s="3" t="str">
        <f>VLOOKUP(B164,기업리스트!B:G,2,FALSE)</f>
        <v>Japan Prime Realty Investment Corporation</v>
      </c>
      <c r="E164" s="3" t="s">
        <v>905</v>
      </c>
      <c r="F164" s="5">
        <v>3.9</v>
      </c>
      <c r="G164" s="4">
        <v>18254</v>
      </c>
      <c r="I164" s="4">
        <v>18358</v>
      </c>
      <c r="K164" s="4">
        <v>18740</v>
      </c>
      <c r="M164" s="4">
        <v>18174</v>
      </c>
      <c r="O164" s="4">
        <v>17412</v>
      </c>
      <c r="Q164" s="4">
        <v>17645</v>
      </c>
      <c r="S164" s="4">
        <v>19581</v>
      </c>
      <c r="U164" s="4">
        <v>20804</v>
      </c>
      <c r="W164" s="4">
        <v>20346</v>
      </c>
      <c r="X164" s="10">
        <v>-9.8095867040889351E-3</v>
      </c>
      <c r="Y164" s="8">
        <v>1.1685262119464751E-2</v>
      </c>
      <c r="Z164" s="8">
        <v>3.6120419711036737E-2</v>
      </c>
      <c r="AA164" s="8">
        <v>3.8890803531189462E-2</v>
      </c>
    </row>
    <row r="165" spans="2:27" x14ac:dyDescent="0.3">
      <c r="B165" s="12">
        <v>4587</v>
      </c>
      <c r="C165" s="3" t="s">
        <v>899</v>
      </c>
      <c r="D165" s="3" t="str">
        <f>VLOOKUP(B165,기업리스트!B:G,2,FALSE)</f>
        <v>PeptiDream Inc.</v>
      </c>
      <c r="E165" s="3" t="s">
        <v>821</v>
      </c>
      <c r="F165" s="5">
        <v>3.3</v>
      </c>
      <c r="G165" s="4">
        <v>1603</v>
      </c>
      <c r="H165" s="4">
        <v>419</v>
      </c>
      <c r="I165" s="4">
        <v>4605</v>
      </c>
      <c r="J165" s="4">
        <v>6184</v>
      </c>
      <c r="K165" s="6">
        <v>15644</v>
      </c>
      <c r="L165" s="6">
        <v>4963</v>
      </c>
      <c r="M165" s="4">
        <v>4462</v>
      </c>
      <c r="N165" s="6">
        <v>13117</v>
      </c>
      <c r="O165" s="4">
        <v>6169</v>
      </c>
      <c r="P165" s="4">
        <v>4225</v>
      </c>
      <c r="Q165" s="6">
        <v>31908</v>
      </c>
      <c r="R165" s="4">
        <v>5471</v>
      </c>
      <c r="S165" s="4">
        <v>5072</v>
      </c>
      <c r="T165" s="4">
        <v>4233</v>
      </c>
      <c r="U165" s="4">
        <v>4310</v>
      </c>
      <c r="V165" s="4">
        <v>4314</v>
      </c>
      <c r="W165" s="4">
        <v>5664</v>
      </c>
      <c r="X165" s="10">
        <v>1.7139429257007069E-4</v>
      </c>
      <c r="Y165" s="8">
        <v>-0.59116613829149167</v>
      </c>
      <c r="Z165" s="8">
        <v>-6.0620349994760507E-2</v>
      </c>
      <c r="AA165" s="8">
        <v>3.3019131016788439E-2</v>
      </c>
    </row>
    <row r="166" spans="2:27" x14ac:dyDescent="0.3">
      <c r="B166" s="12">
        <v>8179</v>
      </c>
      <c r="C166" s="3" t="s">
        <v>899</v>
      </c>
      <c r="D166" s="3" t="str">
        <f>VLOOKUP(B166,기업리스트!B:G,2,FALSE)</f>
        <v>ROYAL HOLDINGS Co., Ltd.</v>
      </c>
      <c r="E166" s="3" t="s">
        <v>821</v>
      </c>
      <c r="F166" s="5">
        <v>2.2999999999999998</v>
      </c>
      <c r="G166" s="4">
        <v>25157</v>
      </c>
      <c r="H166" s="4">
        <v>22144</v>
      </c>
      <c r="I166" s="4">
        <v>25242</v>
      </c>
      <c r="J166" s="4">
        <v>26987</v>
      </c>
      <c r="K166" s="4">
        <v>29642</v>
      </c>
      <c r="L166" s="4">
        <v>31634</v>
      </c>
      <c r="M166" s="4">
        <v>32934</v>
      </c>
      <c r="N166" s="4">
        <v>37187</v>
      </c>
      <c r="O166" s="4">
        <v>37185</v>
      </c>
      <c r="P166" s="4">
        <v>35629</v>
      </c>
      <c r="Q166" s="4">
        <v>37004</v>
      </c>
      <c r="R166" s="4">
        <v>39772</v>
      </c>
      <c r="S166" s="4">
        <v>39745</v>
      </c>
      <c r="T166" s="4">
        <v>38351</v>
      </c>
      <c r="U166" s="4">
        <v>40454</v>
      </c>
      <c r="V166" s="4">
        <v>43244</v>
      </c>
      <c r="W166" s="4">
        <v>43446</v>
      </c>
      <c r="X166" s="10">
        <v>1.789023989484062E-2</v>
      </c>
      <c r="Y166" s="8">
        <v>2.227646056097932E-2</v>
      </c>
      <c r="Z166" s="8">
        <v>2.1929990778287278E-2</v>
      </c>
      <c r="AA166" s="8">
        <v>2.2874766678615991E-2</v>
      </c>
    </row>
    <row r="167" spans="2:27" x14ac:dyDescent="0.3">
      <c r="B167" s="12">
        <v>7203</v>
      </c>
      <c r="C167" s="3" t="s">
        <v>899</v>
      </c>
      <c r="D167" s="3" t="str">
        <f>VLOOKUP(B167,기업리스트!B:G,2,FALSE)</f>
        <v>Elm Company</v>
      </c>
      <c r="E167" s="3" t="s">
        <v>844</v>
      </c>
      <c r="F167" s="5">
        <v>2.2000000000000002</v>
      </c>
      <c r="G167" s="4">
        <v>7785742</v>
      </c>
      <c r="H167" s="4">
        <v>8112466</v>
      </c>
      <c r="I167" s="4">
        <v>8491116</v>
      </c>
      <c r="J167" s="4">
        <v>9218232</v>
      </c>
      <c r="K167" s="4">
        <v>9754685</v>
      </c>
      <c r="L167" s="4">
        <v>9690265</v>
      </c>
      <c r="M167" s="4">
        <v>10546831</v>
      </c>
      <c r="N167" s="4">
        <v>11434786</v>
      </c>
      <c r="O167" s="4">
        <v>12041103</v>
      </c>
      <c r="P167" s="4">
        <v>11072605</v>
      </c>
      <c r="Q167" s="4">
        <v>11837879</v>
      </c>
      <c r="R167" s="4">
        <v>11444571</v>
      </c>
      <c r="S167" s="4">
        <v>12391095</v>
      </c>
      <c r="T167" s="4">
        <v>12363159</v>
      </c>
      <c r="U167" s="4">
        <v>12253326</v>
      </c>
      <c r="V167" s="4">
        <v>12377427</v>
      </c>
      <c r="W167" s="4">
        <v>13456851</v>
      </c>
      <c r="X167" s="10">
        <v>2.7607706730928609E-2</v>
      </c>
      <c r="Y167" s="8">
        <v>8.6485325887470932E-3</v>
      </c>
      <c r="Z167" s="8">
        <v>1.925313904020487E-2</v>
      </c>
      <c r="AA167" s="8">
        <v>2.1580557840155778E-2</v>
      </c>
    </row>
    <row r="168" spans="2:27" x14ac:dyDescent="0.3">
      <c r="B168" s="12">
        <v>2801</v>
      </c>
      <c r="C168" s="3" t="s">
        <v>899</v>
      </c>
      <c r="D168" s="3" t="str">
        <f>VLOOKUP(B168,기업리스트!B:G,2,FALSE)</f>
        <v>Chang Hwa Commercial Bank, Ltd.</v>
      </c>
      <c r="E168" s="3" t="s">
        <v>844</v>
      </c>
      <c r="F168" s="5">
        <v>2</v>
      </c>
      <c r="G168" s="4">
        <v>136179</v>
      </c>
      <c r="H168" s="4">
        <v>131580</v>
      </c>
      <c r="I168" s="4">
        <v>147748</v>
      </c>
      <c r="J168" s="4">
        <v>157630</v>
      </c>
      <c r="K168" s="4">
        <v>160984</v>
      </c>
      <c r="L168" s="4">
        <v>152536</v>
      </c>
      <c r="M168" s="4">
        <v>158506</v>
      </c>
      <c r="N168" s="4">
        <v>164226</v>
      </c>
      <c r="O168" s="4">
        <v>172141</v>
      </c>
      <c r="P168" s="4">
        <v>165960</v>
      </c>
      <c r="Q168" s="4">
        <v>178218</v>
      </c>
      <c r="R168" s="4">
        <v>177351</v>
      </c>
      <c r="S168" s="4">
        <v>179946</v>
      </c>
      <c r="T168" s="4">
        <v>173464</v>
      </c>
      <c r="U168" s="4">
        <v>175660</v>
      </c>
      <c r="V168" s="4">
        <v>182950</v>
      </c>
      <c r="W168" s="4">
        <v>194199</v>
      </c>
      <c r="X168" s="10">
        <v>1.069745892583485E-2</v>
      </c>
      <c r="Y168" s="8">
        <v>-3.60800531468497E-3</v>
      </c>
      <c r="Z168" s="8">
        <v>7.9258685684597818E-3</v>
      </c>
      <c r="AA168" s="8">
        <v>2.0017696132131221E-2</v>
      </c>
    </row>
    <row r="169" spans="2:27" x14ac:dyDescent="0.3">
      <c r="B169" s="12">
        <v>4704</v>
      </c>
      <c r="C169" s="3" t="s">
        <v>899</v>
      </c>
      <c r="D169" s="3" t="str">
        <f>VLOOKUP(B169,기업리스트!B:G,2,FALSE)</f>
        <v>Trend Micro Incorporated</v>
      </c>
      <c r="E169" s="3" t="s">
        <v>821</v>
      </c>
      <c r="F169" s="5">
        <v>1.2</v>
      </c>
      <c r="G169" s="4">
        <v>51179</v>
      </c>
      <c r="H169" s="4">
        <v>50427</v>
      </c>
      <c r="I169" s="4">
        <v>54875</v>
      </c>
      <c r="J169" s="4">
        <v>56798</v>
      </c>
      <c r="K169" s="4">
        <v>61695</v>
      </c>
      <c r="L169" s="4">
        <v>58704</v>
      </c>
      <c r="M169" s="4">
        <v>60832</v>
      </c>
      <c r="N169" s="4">
        <v>64189</v>
      </c>
      <c r="O169" s="4">
        <v>64966</v>
      </c>
      <c r="P169" s="4">
        <v>65931</v>
      </c>
      <c r="Q169" s="4">
        <v>68603</v>
      </c>
      <c r="R169" s="4">
        <v>68124</v>
      </c>
      <c r="S169" s="4">
        <v>69980</v>
      </c>
      <c r="T169" s="4">
        <v>67501</v>
      </c>
      <c r="U169" s="4">
        <v>66408</v>
      </c>
      <c r="V169" s="4">
        <v>68844</v>
      </c>
      <c r="W169" s="4">
        <v>73231</v>
      </c>
      <c r="X169" s="10">
        <v>5.7585516325677766E-3</v>
      </c>
      <c r="Y169" s="8">
        <v>-8.0048722137938677E-3</v>
      </c>
      <c r="Z169" s="8">
        <v>2.646932315734984E-3</v>
      </c>
      <c r="AA169" s="8">
        <v>1.1920083011590201E-2</v>
      </c>
    </row>
    <row r="170" spans="2:27" x14ac:dyDescent="0.3">
      <c r="B170" s="12">
        <v>5108</v>
      </c>
      <c r="C170" s="3" t="s">
        <v>899</v>
      </c>
      <c r="D170" s="3" t="str">
        <f>VLOOKUP(B170,기업리스트!B:G,2,FALSE)</f>
        <v>Bridgestone Corporation</v>
      </c>
      <c r="E170" s="3" t="s">
        <v>821</v>
      </c>
      <c r="F170" s="5">
        <v>0.8</v>
      </c>
      <c r="G170" s="4">
        <v>844299</v>
      </c>
      <c r="H170" s="4">
        <v>891011</v>
      </c>
      <c r="I170" s="4">
        <v>995329</v>
      </c>
      <c r="J170" s="4">
        <v>1090583</v>
      </c>
      <c r="K170" s="4">
        <v>1133147</v>
      </c>
      <c r="L170" s="4">
        <v>1043541</v>
      </c>
      <c r="M170" s="4">
        <v>1058165</v>
      </c>
      <c r="N170" s="4">
        <v>1096438</v>
      </c>
      <c r="O170" s="4">
        <v>1115656</v>
      </c>
      <c r="P170" s="4">
        <v>1064115</v>
      </c>
      <c r="Q170" s="4">
        <v>1112658</v>
      </c>
      <c r="R170" s="4">
        <v>1092638</v>
      </c>
      <c r="S170" s="4">
        <v>1160685</v>
      </c>
      <c r="T170" s="4">
        <v>1058149</v>
      </c>
      <c r="U170" s="4">
        <v>1058288</v>
      </c>
      <c r="V170" s="4">
        <v>1118489</v>
      </c>
      <c r="W170" s="4">
        <v>1194526</v>
      </c>
      <c r="X170" s="10">
        <v>-1.346697678786146E-3</v>
      </c>
      <c r="Y170" s="8">
        <v>-1.2289421875035339E-2</v>
      </c>
      <c r="Z170" s="8">
        <v>5.9158855406247213E-3</v>
      </c>
      <c r="AA170" s="8">
        <v>7.6988159325290786E-3</v>
      </c>
    </row>
    <row r="171" spans="2:27" hidden="1" x14ac:dyDescent="0.3">
      <c r="B171" s="3" t="s">
        <v>61</v>
      </c>
      <c r="C171" s="3" t="s">
        <v>819</v>
      </c>
      <c r="D171" s="3" t="str">
        <f>VLOOKUP(B171,기업리스트!B:G,2,FALSE)</f>
        <v>Telstra Group Limited</v>
      </c>
      <c r="E171" s="3" t="s">
        <v>903</v>
      </c>
      <c r="F171" s="5">
        <v>23.7</v>
      </c>
      <c r="G171" s="4">
        <v>68.98</v>
      </c>
      <c r="H171" s="4">
        <v>64.05</v>
      </c>
      <c r="I171" s="4">
        <v>50.16</v>
      </c>
      <c r="J171" s="4">
        <v>55.79</v>
      </c>
      <c r="K171" s="4">
        <v>63.59</v>
      </c>
      <c r="L171" s="4">
        <v>47.34</v>
      </c>
      <c r="M171" s="4">
        <v>35.22</v>
      </c>
      <c r="N171" s="4">
        <v>32.909999999999997</v>
      </c>
      <c r="O171" s="4">
        <v>36.19</v>
      </c>
      <c r="P171" s="4">
        <v>41.06</v>
      </c>
      <c r="Q171" s="4">
        <v>29.62</v>
      </c>
      <c r="R171" s="4">
        <v>28.5</v>
      </c>
      <c r="S171" s="4">
        <v>23.78</v>
      </c>
      <c r="T171" s="4">
        <v>26.37</v>
      </c>
      <c r="U171" s="4">
        <v>30.62</v>
      </c>
      <c r="V171" s="4">
        <v>35.97</v>
      </c>
      <c r="W171" s="6">
        <v>51.44</v>
      </c>
      <c r="X171" s="10">
        <v>-0.11946974625894601</v>
      </c>
      <c r="Y171" s="8">
        <v>9.2361688371662698E-3</v>
      </c>
      <c r="Z171" s="8">
        <v>6.8362771117415511E-2</v>
      </c>
      <c r="AA171" s="9">
        <v>0.23693678259379819</v>
      </c>
    </row>
    <row r="172" spans="2:27" hidden="1" x14ac:dyDescent="0.3">
      <c r="B172" s="3" t="s">
        <v>204</v>
      </c>
      <c r="C172" s="3" t="s">
        <v>819</v>
      </c>
      <c r="D172" s="3" t="str">
        <f>VLOOKUP(B172,기업리스트!B:G,2,FALSE)</f>
        <v>Equinox Gold Corp.</v>
      </c>
      <c r="E172" s="3" t="s">
        <v>903</v>
      </c>
      <c r="F172" s="5">
        <v>20.5</v>
      </c>
      <c r="G172" s="4">
        <v>245.13</v>
      </c>
      <c r="H172" s="4">
        <v>381.23</v>
      </c>
      <c r="I172" s="4">
        <v>223.16</v>
      </c>
      <c r="J172" s="4">
        <v>224.62</v>
      </c>
      <c r="K172" s="4">
        <v>245.13</v>
      </c>
      <c r="L172" s="4">
        <v>259.27999999999997</v>
      </c>
      <c r="M172" s="4">
        <v>234.09</v>
      </c>
      <c r="N172" s="4">
        <v>271.56</v>
      </c>
      <c r="O172" s="4">
        <v>284.75</v>
      </c>
      <c r="P172" s="4">
        <v>297.79000000000002</v>
      </c>
      <c r="Q172" s="4">
        <v>241.32</v>
      </c>
      <c r="R172" s="4">
        <v>269.43</v>
      </c>
      <c r="S172" s="6">
        <v>428.39</v>
      </c>
      <c r="T172" s="6">
        <v>574.98</v>
      </c>
      <c r="U172" s="6">
        <v>423.72</v>
      </c>
      <c r="V172" s="6">
        <v>478.64</v>
      </c>
      <c r="W172" s="6">
        <v>819.01</v>
      </c>
      <c r="X172" s="7">
        <v>0.2240951387709893</v>
      </c>
      <c r="Y172" s="9">
        <v>0.12046601326182869</v>
      </c>
      <c r="Z172" s="9">
        <v>0.12331714332869639</v>
      </c>
      <c r="AA172" s="9">
        <v>0.20497132332491999</v>
      </c>
    </row>
    <row r="173" spans="2:27" hidden="1" x14ac:dyDescent="0.3">
      <c r="B173" s="3" t="s">
        <v>238</v>
      </c>
      <c r="C173" s="3" t="s">
        <v>819</v>
      </c>
      <c r="D173" s="3" t="str">
        <f>VLOOKUP(B173,기업리스트!B:G,2,FALSE)</f>
        <v>New Gold Inc.</v>
      </c>
      <c r="E173" s="3" t="s">
        <v>903</v>
      </c>
      <c r="F173" s="5">
        <v>20.399999999999999</v>
      </c>
      <c r="G173" s="4">
        <v>179.8</v>
      </c>
      <c r="H173" s="4">
        <v>202.6</v>
      </c>
      <c r="I173" s="4">
        <v>174.7</v>
      </c>
      <c r="J173" s="4">
        <v>115.7</v>
      </c>
      <c r="K173" s="4">
        <v>151.19999999999999</v>
      </c>
      <c r="L173" s="4">
        <v>162.80000000000001</v>
      </c>
      <c r="M173" s="4">
        <v>201.6</v>
      </c>
      <c r="N173" s="6">
        <v>184.4</v>
      </c>
      <c r="O173" s="4">
        <v>201.3</v>
      </c>
      <c r="P173" s="4">
        <v>199.2</v>
      </c>
      <c r="Q173" s="4">
        <v>192.1</v>
      </c>
      <c r="R173" s="4">
        <v>218.2</v>
      </c>
      <c r="S173" s="4">
        <v>252</v>
      </c>
      <c r="T173" s="4">
        <v>262.2</v>
      </c>
      <c r="U173" s="4">
        <v>209.1</v>
      </c>
      <c r="V173" s="4">
        <v>308.39999999999998</v>
      </c>
      <c r="W173" s="6">
        <v>462.5</v>
      </c>
      <c r="X173" s="10">
        <v>7.3128264654672037E-2</v>
      </c>
      <c r="Y173" s="8">
        <v>1.8388318009735061E-2</v>
      </c>
      <c r="Z173" s="8">
        <v>9.580456718003183E-2</v>
      </c>
      <c r="AA173" s="9">
        <v>0.20403217989725689</v>
      </c>
    </row>
    <row r="174" spans="2:27" x14ac:dyDescent="0.3">
      <c r="B174" s="12">
        <v>8951</v>
      </c>
      <c r="C174" s="3" t="s">
        <v>899</v>
      </c>
      <c r="D174" s="3" t="str">
        <f>VLOOKUP(B174,기업리스트!B:G,2,FALSE)</f>
        <v>Nippon Building Fund Inc.</v>
      </c>
      <c r="E174" s="3" t="s">
        <v>904</v>
      </c>
      <c r="F174" s="5">
        <v>0.7</v>
      </c>
      <c r="G174" s="4">
        <v>50023</v>
      </c>
      <c r="I174" s="4">
        <v>51062</v>
      </c>
      <c r="K174" s="4">
        <v>47126</v>
      </c>
      <c r="M174" s="4">
        <v>46991</v>
      </c>
      <c r="O174" s="4">
        <v>47230</v>
      </c>
      <c r="Q174" s="4">
        <v>50235</v>
      </c>
      <c r="S174" s="4">
        <v>50793</v>
      </c>
      <c r="U174" s="4">
        <v>51163</v>
      </c>
      <c r="W174" s="4">
        <v>48547</v>
      </c>
      <c r="X174" s="10">
        <v>-4.298135742091036E-3</v>
      </c>
      <c r="Y174" s="8">
        <v>1.9140629077888379E-2</v>
      </c>
      <c r="Z174" s="8">
        <v>2.1367587029895049E-2</v>
      </c>
      <c r="AA174" s="8">
        <v>6.6041189242858067E-3</v>
      </c>
    </row>
    <row r="175" spans="2:27" hidden="1" x14ac:dyDescent="0.3">
      <c r="B175" s="3" t="s">
        <v>601</v>
      </c>
      <c r="C175" s="3" t="s">
        <v>819</v>
      </c>
      <c r="D175" s="3" t="str">
        <f>VLOOKUP(B175,기업리스트!B:G,2,FALSE)</f>
        <v>SRG Global Limited</v>
      </c>
      <c r="E175" s="3" t="s">
        <v>903</v>
      </c>
      <c r="F175" s="5">
        <v>13.4</v>
      </c>
      <c r="G175" s="4">
        <v>6.04</v>
      </c>
      <c r="I175" s="4">
        <v>43.19</v>
      </c>
      <c r="K175" s="6">
        <v>6.15</v>
      </c>
      <c r="M175" s="4">
        <v>3.65</v>
      </c>
      <c r="O175" s="4">
        <v>3.37</v>
      </c>
      <c r="Q175" s="4">
        <v>1.4</v>
      </c>
      <c r="S175" s="4">
        <v>5.17</v>
      </c>
      <c r="U175" s="6">
        <v>5.41</v>
      </c>
      <c r="W175" s="6">
        <v>5.43</v>
      </c>
      <c r="X175" s="10">
        <v>-0.74148332150461327</v>
      </c>
      <c r="Y175" s="8">
        <v>-6.7261496225120121E-2</v>
      </c>
      <c r="Z175" s="9">
        <v>0.12950699043414279</v>
      </c>
      <c r="AA175" s="9">
        <v>0.13420195439739421</v>
      </c>
    </row>
    <row r="176" spans="2:27" hidden="1" x14ac:dyDescent="0.3">
      <c r="B176" s="3" t="s">
        <v>359</v>
      </c>
      <c r="C176" s="3" t="s">
        <v>819</v>
      </c>
      <c r="D176" s="3" t="str">
        <f>VLOOKUP(B176,기업리스트!B:G,2,FALSE)</f>
        <v>Société Foncière Lyonnaise</v>
      </c>
      <c r="E176" s="3" t="s">
        <v>903</v>
      </c>
      <c r="F176" s="5">
        <v>8.5</v>
      </c>
      <c r="G176" s="3"/>
      <c r="I176" s="3"/>
      <c r="K176" s="3"/>
      <c r="M176" s="4">
        <v>8.32</v>
      </c>
      <c r="O176" s="4">
        <v>21.07</v>
      </c>
      <c r="Q176" s="4">
        <v>22.37</v>
      </c>
      <c r="S176" s="4">
        <v>55.86</v>
      </c>
      <c r="U176" s="4">
        <v>15.55</v>
      </c>
      <c r="W176" s="4">
        <v>30.78</v>
      </c>
      <c r="X176" s="11"/>
      <c r="Y176" s="3"/>
      <c r="Z176" s="8">
        <v>6.7180821408659996E-2</v>
      </c>
      <c r="AA176" s="8">
        <v>8.4545058772311776E-2</v>
      </c>
    </row>
    <row r="177" spans="2:27" hidden="1" x14ac:dyDescent="0.3">
      <c r="B177" s="3" t="s">
        <v>434</v>
      </c>
      <c r="C177" s="3" t="s">
        <v>819</v>
      </c>
      <c r="D177" s="3" t="str">
        <f>VLOOKUP(B177,기업리스트!B:G,2,FALSE)</f>
        <v>Amicus Therapeutics, Inc.</v>
      </c>
      <c r="E177" s="3" t="s">
        <v>903</v>
      </c>
      <c r="F177" s="5">
        <v>4.8</v>
      </c>
      <c r="G177" s="4">
        <v>103.5</v>
      </c>
      <c r="I177" s="4">
        <v>115.08</v>
      </c>
      <c r="K177" s="4">
        <v>110.4</v>
      </c>
      <c r="M177" s="4">
        <v>126.67</v>
      </c>
      <c r="O177" s="4">
        <v>141.52000000000001</v>
      </c>
      <c r="Q177" s="4">
        <v>149.71</v>
      </c>
      <c r="S177" s="4">
        <v>125.25</v>
      </c>
      <c r="U177" s="4">
        <v>154.69</v>
      </c>
      <c r="W177" s="4">
        <v>169.06</v>
      </c>
      <c r="X177" s="10">
        <v>7.0148074624749368E-2</v>
      </c>
      <c r="Y177" s="8">
        <v>2.8109028960817461E-2</v>
      </c>
      <c r="Z177" s="8">
        <v>5.1587959127313177E-2</v>
      </c>
      <c r="AA177" s="8">
        <v>4.8216818110194737E-2</v>
      </c>
    </row>
    <row r="178" spans="2:27" hidden="1" x14ac:dyDescent="0.3">
      <c r="B178" s="3" t="s">
        <v>179</v>
      </c>
      <c r="C178" s="3" t="s">
        <v>819</v>
      </c>
      <c r="D178" s="3" t="str">
        <f>VLOOKUP(B178,기업리스트!B:G,2,FALSE)</f>
        <v>Penumbra, Inc.</v>
      </c>
      <c r="E178" s="3" t="s">
        <v>903</v>
      </c>
      <c r="F178" s="5">
        <v>4.2</v>
      </c>
      <c r="G178" s="4">
        <v>270.95</v>
      </c>
      <c r="I178" s="4">
        <v>284.68</v>
      </c>
      <c r="K178" s="4">
        <v>278.66000000000003</v>
      </c>
      <c r="M178" s="4">
        <v>299.39999999999998</v>
      </c>
      <c r="O178" s="4">
        <v>301.04000000000002</v>
      </c>
      <c r="Q178" s="4">
        <v>315.52</v>
      </c>
      <c r="S178" s="4">
        <v>324.14</v>
      </c>
      <c r="U178" s="4">
        <v>339.46</v>
      </c>
      <c r="W178" s="4">
        <v>354.69</v>
      </c>
      <c r="X178" s="10">
        <v>2.649985392428111E-2</v>
      </c>
      <c r="Y178" s="8">
        <v>3.8070683564648267E-2</v>
      </c>
      <c r="Z178" s="8">
        <v>3.2303846463994867E-2</v>
      </c>
      <c r="AA178" s="8">
        <v>4.1908823897012892E-2</v>
      </c>
    </row>
    <row r="179" spans="2:27" hidden="1" x14ac:dyDescent="0.3">
      <c r="B179" s="3" t="s">
        <v>45</v>
      </c>
      <c r="C179" s="3" t="s">
        <v>819</v>
      </c>
      <c r="D179" s="3" t="str">
        <f>VLOOKUP(B179,기업리스트!B:G,2,FALSE)</f>
        <v>Orange S.A.</v>
      </c>
      <c r="E179" s="3" t="s">
        <v>903</v>
      </c>
      <c r="F179" s="5">
        <v>4.2</v>
      </c>
      <c r="G179" s="4">
        <v>208.06</v>
      </c>
      <c r="I179" s="4">
        <v>241.34</v>
      </c>
      <c r="K179" s="4">
        <v>224.17</v>
      </c>
      <c r="M179" s="4">
        <v>212.96</v>
      </c>
      <c r="O179" s="4">
        <v>211.78</v>
      </c>
      <c r="Q179" s="4">
        <v>230.74</v>
      </c>
      <c r="S179" s="4">
        <v>229.76</v>
      </c>
      <c r="U179" s="4">
        <v>234.02</v>
      </c>
      <c r="W179" s="4">
        <v>249.73</v>
      </c>
      <c r="X179" s="10">
        <v>-1.1906767761864719E-2</v>
      </c>
      <c r="Y179" s="8">
        <v>6.3548002046269758E-3</v>
      </c>
      <c r="Z179" s="8">
        <v>2.379015860105738E-2</v>
      </c>
      <c r="AA179" s="8">
        <v>4.1873551804038511E-2</v>
      </c>
    </row>
    <row r="180" spans="2:27" x14ac:dyDescent="0.3">
      <c r="B180" s="12">
        <v>3020</v>
      </c>
      <c r="C180" s="3" t="s">
        <v>899</v>
      </c>
      <c r="D180" s="3" t="str">
        <f>VLOOKUP(B180,기업리스트!B:G,2,FALSE)</f>
        <v>YAMAMA Cement Company</v>
      </c>
      <c r="E180" s="3" t="s">
        <v>844</v>
      </c>
      <c r="F180" s="5">
        <v>0.6</v>
      </c>
      <c r="G180" s="4">
        <v>11025</v>
      </c>
      <c r="H180" s="4">
        <v>13301</v>
      </c>
      <c r="I180" s="4">
        <v>8098</v>
      </c>
      <c r="J180" s="4">
        <v>8325</v>
      </c>
      <c r="K180" s="4">
        <v>10263</v>
      </c>
      <c r="L180" s="4">
        <v>11920</v>
      </c>
      <c r="M180" s="4">
        <v>9446</v>
      </c>
      <c r="N180" s="4">
        <v>10134</v>
      </c>
      <c r="O180" s="4">
        <v>10966</v>
      </c>
      <c r="P180" s="4">
        <v>12273</v>
      </c>
      <c r="Q180" s="4">
        <v>9838</v>
      </c>
      <c r="R180" s="4">
        <v>10249</v>
      </c>
      <c r="S180" s="4">
        <v>13252</v>
      </c>
      <c r="T180" s="4">
        <v>13949</v>
      </c>
      <c r="U180" s="4">
        <v>9712</v>
      </c>
      <c r="V180" s="4">
        <v>11423</v>
      </c>
      <c r="W180" s="4">
        <v>13554</v>
      </c>
      <c r="X180" s="10">
        <v>3.6744716302727243E-2</v>
      </c>
      <c r="Y180" s="8">
        <v>-2.664523769243754E-3</v>
      </c>
      <c r="Z180" s="8">
        <v>2.4892922267927501E-2</v>
      </c>
      <c r="AA180" s="8">
        <v>6.2479311486263178E-3</v>
      </c>
    </row>
    <row r="181" spans="2:27" hidden="1" x14ac:dyDescent="0.3">
      <c r="B181" s="3" t="s">
        <v>109</v>
      </c>
      <c r="C181" s="3" t="s">
        <v>819</v>
      </c>
      <c r="D181" s="3" t="str">
        <f>VLOOKUP(B181,기업리스트!B:G,2,FALSE)</f>
        <v>InterContinental Hotels Group PLC</v>
      </c>
      <c r="E181" s="3" t="s">
        <v>906</v>
      </c>
      <c r="F181" s="5">
        <v>3.1</v>
      </c>
      <c r="G181" s="4">
        <v>943</v>
      </c>
      <c r="I181" s="4">
        <v>1375</v>
      </c>
      <c r="K181" s="4">
        <v>1394</v>
      </c>
      <c r="M181" s="6">
        <v>1666</v>
      </c>
      <c r="O181" s="6">
        <v>2226</v>
      </c>
      <c r="Q181" s="6">
        <v>2398</v>
      </c>
      <c r="S181" s="6">
        <v>2322</v>
      </c>
      <c r="U181" s="6">
        <v>2601</v>
      </c>
      <c r="W181" s="4">
        <v>2519</v>
      </c>
      <c r="X181" s="7">
        <v>0.15358054346194261</v>
      </c>
      <c r="Y181" s="9">
        <v>0.1207704320666321</v>
      </c>
      <c r="Z181" s="9">
        <v>0.1085694379934974</v>
      </c>
      <c r="AA181" s="8">
        <v>3.0690269194511451E-2</v>
      </c>
    </row>
    <row r="182" spans="2:27" hidden="1" x14ac:dyDescent="0.3">
      <c r="B182" s="3" t="s">
        <v>261</v>
      </c>
      <c r="C182" s="3" t="s">
        <v>819</v>
      </c>
      <c r="D182" s="3" t="str">
        <f>VLOOKUP(B182,기업리스트!B:G,2,FALSE)</f>
        <v>B2Gold Corp.</v>
      </c>
      <c r="E182" s="3" t="s">
        <v>906</v>
      </c>
      <c r="F182" s="5">
        <v>2.9</v>
      </c>
      <c r="G182" s="4">
        <v>10.94</v>
      </c>
      <c r="I182" s="4">
        <v>10.36</v>
      </c>
      <c r="K182" s="4">
        <v>11.34</v>
      </c>
      <c r="M182" s="4">
        <v>11.5</v>
      </c>
      <c r="O182" s="4">
        <v>12.18</v>
      </c>
      <c r="Q182" s="4">
        <v>11.86</v>
      </c>
      <c r="S182" s="4">
        <v>12.59</v>
      </c>
      <c r="U182" s="4">
        <v>12.78</v>
      </c>
      <c r="W182" s="4">
        <v>13.63</v>
      </c>
      <c r="X182" s="10">
        <v>3.3054208902600253E-2</v>
      </c>
      <c r="Y182" s="8">
        <v>2.6663822525597292E-2</v>
      </c>
      <c r="Z182" s="8">
        <v>2.6594639517972141E-2</v>
      </c>
      <c r="AA182" s="8">
        <v>2.9346286176887389E-2</v>
      </c>
    </row>
    <row r="183" spans="2:27" hidden="1" x14ac:dyDescent="0.3">
      <c r="B183" s="3" t="s">
        <v>383</v>
      </c>
      <c r="C183" s="3" t="s">
        <v>819</v>
      </c>
      <c r="D183" s="3" t="str">
        <f>VLOOKUP(B183,기업리스트!B:G,2,FALSE)</f>
        <v>CCC S.A.</v>
      </c>
      <c r="E183" s="3" t="s">
        <v>903</v>
      </c>
      <c r="F183" s="5">
        <v>2.9</v>
      </c>
      <c r="G183" s="4">
        <v>221.15</v>
      </c>
      <c r="I183" s="4">
        <v>228.6</v>
      </c>
      <c r="K183" s="4">
        <v>227.24</v>
      </c>
      <c r="M183" s="4">
        <v>232.62</v>
      </c>
      <c r="O183" s="4">
        <v>238.48</v>
      </c>
      <c r="Q183" s="4">
        <v>246.46</v>
      </c>
      <c r="S183" s="4">
        <v>251.57</v>
      </c>
      <c r="U183" s="4">
        <v>260.45</v>
      </c>
      <c r="W183" s="4">
        <v>267.12</v>
      </c>
      <c r="X183" s="10">
        <v>1.926769801713157E-2</v>
      </c>
      <c r="Y183" s="8">
        <v>2.5751481795089019E-2</v>
      </c>
      <c r="Z183" s="8">
        <v>2.871647766553509E-2</v>
      </c>
      <c r="AA183" s="8">
        <v>2.8727331086502831E-2</v>
      </c>
    </row>
    <row r="184" spans="2:27" hidden="1" x14ac:dyDescent="0.3">
      <c r="B184" s="3" t="s">
        <v>747</v>
      </c>
      <c r="C184" s="3" t="s">
        <v>819</v>
      </c>
      <c r="D184" s="3" t="str">
        <f>VLOOKUP(B184,기업리스트!B:G,2,FALSE)</f>
        <v>PRA Group, Inc.</v>
      </c>
      <c r="E184" s="3" t="s">
        <v>903</v>
      </c>
      <c r="F184" s="5">
        <v>2.6</v>
      </c>
      <c r="G184" s="4">
        <v>216.43</v>
      </c>
      <c r="I184" s="4">
        <v>221.42</v>
      </c>
      <c r="K184" s="6">
        <v>255.59</v>
      </c>
      <c r="M184" s="4">
        <v>284.23</v>
      </c>
      <c r="O184" s="4">
        <v>281.48</v>
      </c>
      <c r="Q184" s="4">
        <v>293.23</v>
      </c>
      <c r="S184" s="4">
        <v>269.62</v>
      </c>
      <c r="U184" s="4">
        <v>287.69</v>
      </c>
      <c r="W184" s="4">
        <v>311.14</v>
      </c>
      <c r="X184" s="10">
        <v>6.8867960718121735E-2</v>
      </c>
      <c r="Y184" s="8">
        <v>1.2588265905807861E-2</v>
      </c>
      <c r="Z184" s="8">
        <v>3.0658538314312089E-3</v>
      </c>
      <c r="AA184" s="8">
        <v>2.6200950513241891E-2</v>
      </c>
    </row>
    <row r="185" spans="2:27" x14ac:dyDescent="0.3">
      <c r="B185" s="12">
        <v>8086</v>
      </c>
      <c r="C185" s="3" t="s">
        <v>899</v>
      </c>
      <c r="D185" s="3" t="str">
        <f>VLOOKUP(B185,기업리스트!B:G,2,FALSE)</f>
        <v>Advanced Wireless Semiconductor Company</v>
      </c>
      <c r="E185" s="3" t="s">
        <v>844</v>
      </c>
      <c r="F185" s="5">
        <v>0.4</v>
      </c>
      <c r="G185" s="4">
        <v>127236</v>
      </c>
      <c r="H185" s="4">
        <v>125433</v>
      </c>
      <c r="I185" s="4">
        <v>127892</v>
      </c>
      <c r="J185" s="4">
        <v>132447</v>
      </c>
      <c r="K185" s="4">
        <v>145962</v>
      </c>
      <c r="L185" s="4">
        <v>138898</v>
      </c>
      <c r="M185" s="4">
        <v>140594</v>
      </c>
      <c r="N185" s="4">
        <v>145271</v>
      </c>
      <c r="O185" s="4">
        <v>153270</v>
      </c>
      <c r="P185" s="4">
        <v>147650</v>
      </c>
      <c r="Q185" s="4">
        <v>152392</v>
      </c>
      <c r="R185" s="4">
        <v>159625</v>
      </c>
      <c r="S185" s="4">
        <v>167265</v>
      </c>
      <c r="T185" s="4">
        <v>165304</v>
      </c>
      <c r="U185" s="4">
        <v>159220</v>
      </c>
      <c r="V185" s="4">
        <v>158162</v>
      </c>
      <c r="W185" s="4">
        <v>169923</v>
      </c>
      <c r="X185" s="10">
        <v>2.8159353805516481E-2</v>
      </c>
      <c r="Y185" s="8">
        <v>1.059284564045759E-2</v>
      </c>
      <c r="Z185" s="8">
        <v>-2.245883570202611E-3</v>
      </c>
      <c r="AA185" s="8">
        <v>4.0895390575597101E-3</v>
      </c>
    </row>
    <row r="186" spans="2:27" hidden="1" x14ac:dyDescent="0.3">
      <c r="B186" s="3" t="s">
        <v>644</v>
      </c>
      <c r="C186" s="3" t="s">
        <v>819</v>
      </c>
      <c r="D186" s="3" t="str">
        <f>VLOOKUP(B186,기업리스트!B:G,2,FALSE)</f>
        <v>Great Lakes Dredge &amp; Dock Corporation</v>
      </c>
      <c r="E186" s="3" t="s">
        <v>903</v>
      </c>
      <c r="F186" s="5">
        <v>0.5</v>
      </c>
      <c r="G186" s="4">
        <v>117.19</v>
      </c>
      <c r="I186" s="4">
        <v>181.73</v>
      </c>
      <c r="K186" s="4">
        <v>198.66</v>
      </c>
      <c r="M186" s="4">
        <v>170.09</v>
      </c>
      <c r="O186" s="6">
        <v>191.17</v>
      </c>
      <c r="Q186" s="4">
        <v>202.77</v>
      </c>
      <c r="S186" s="4">
        <v>242.87</v>
      </c>
      <c r="U186" s="4">
        <v>193.76</v>
      </c>
      <c r="W186" s="4">
        <v>195.21</v>
      </c>
      <c r="X186" s="10">
        <v>2.836917683543461E-2</v>
      </c>
      <c r="Y186" s="8">
        <v>5.79658839108943E-2</v>
      </c>
      <c r="Z186" s="8">
        <v>2.9334490023546819E-2</v>
      </c>
      <c r="AA186" s="8">
        <v>4.8641294532671964E-3</v>
      </c>
    </row>
    <row r="187" spans="2:27" hidden="1" x14ac:dyDescent="0.3">
      <c r="B187" s="3" t="s">
        <v>347</v>
      </c>
      <c r="C187" s="3" t="s">
        <v>819</v>
      </c>
      <c r="D187" s="3" t="str">
        <f>VLOOKUP(B187,기업리스트!B:G,2,FALSE)</f>
        <v>Dun &amp; Bradstreet Holdings, Inc.</v>
      </c>
      <c r="E187" s="3" t="s">
        <v>907</v>
      </c>
      <c r="F187" s="5">
        <v>0.4</v>
      </c>
      <c r="G187" s="4">
        <v>554.70000000000005</v>
      </c>
      <c r="I187" s="4">
        <v>588.5</v>
      </c>
      <c r="K187" s="4">
        <v>630.4</v>
      </c>
      <c r="M187" s="4">
        <v>564.5</v>
      </c>
      <c r="O187" s="4">
        <v>576.20000000000005</v>
      </c>
      <c r="Q187" s="4">
        <v>609.1</v>
      </c>
      <c r="S187" s="4">
        <v>631.9</v>
      </c>
      <c r="U187" s="4">
        <v>579.79999999999995</v>
      </c>
      <c r="W187" s="4">
        <v>585.20000000000005</v>
      </c>
      <c r="X187" s="10">
        <v>8.7302932700457081E-3</v>
      </c>
      <c r="Y187" s="8">
        <v>6.3019914292916646E-4</v>
      </c>
      <c r="Z187" s="8">
        <v>6.4239828693790626E-3</v>
      </c>
      <c r="AA187" s="8">
        <v>3.754693366708306E-3</v>
      </c>
    </row>
    <row r="188" spans="2:27" hidden="1" x14ac:dyDescent="0.3">
      <c r="B188" s="3" t="s">
        <v>422</v>
      </c>
      <c r="C188" s="3" t="s">
        <v>819</v>
      </c>
      <c r="D188" s="3" t="str">
        <f>VLOOKUP(B188,기업리스트!B:G,2,FALSE)</f>
        <v>Dana Incorporated</v>
      </c>
      <c r="E188" s="3" t="s">
        <v>903</v>
      </c>
      <c r="F188" s="5">
        <v>0.3</v>
      </c>
      <c r="G188" s="4">
        <v>2669</v>
      </c>
      <c r="I188" s="4">
        <v>2494</v>
      </c>
      <c r="K188" s="4">
        <v>2015</v>
      </c>
      <c r="M188" s="4">
        <v>2047</v>
      </c>
      <c r="O188" s="4">
        <v>1897</v>
      </c>
      <c r="Q188" s="4">
        <v>2335</v>
      </c>
      <c r="S188" s="4">
        <v>1781</v>
      </c>
      <c r="U188" s="4">
        <v>1935</v>
      </c>
      <c r="W188" s="4">
        <v>1917</v>
      </c>
      <c r="X188" s="10">
        <v>-1.880988997988875E-2</v>
      </c>
      <c r="Y188" s="8">
        <v>-2.821316614420066E-2</v>
      </c>
      <c r="Z188" s="8">
        <v>-1.3895781637717101E-2</v>
      </c>
      <c r="AA188" s="8">
        <v>2.5163563160544018E-3</v>
      </c>
    </row>
    <row r="189" spans="2:27" hidden="1" x14ac:dyDescent="0.3">
      <c r="B189" s="3" t="s">
        <v>59</v>
      </c>
      <c r="C189" s="3" t="s">
        <v>819</v>
      </c>
      <c r="D189" s="3" t="str">
        <f>VLOOKUP(B189,기업리스트!B:G,2,FALSE)</f>
        <v>Kinross Gold Corporation</v>
      </c>
      <c r="E189" s="3" t="s">
        <v>903</v>
      </c>
      <c r="F189" s="5">
        <v>0.2</v>
      </c>
      <c r="G189" s="4">
        <v>3255</v>
      </c>
      <c r="I189" s="6">
        <v>3174</v>
      </c>
      <c r="K189" s="4">
        <v>3200</v>
      </c>
      <c r="M189" s="4">
        <v>3192</v>
      </c>
      <c r="O189" s="4">
        <v>3233</v>
      </c>
      <c r="Q189" s="4">
        <v>3124</v>
      </c>
      <c r="S189" s="4">
        <v>3083</v>
      </c>
      <c r="U189" s="4">
        <v>3203</v>
      </c>
      <c r="W189" s="4">
        <v>3260</v>
      </c>
      <c r="X189" s="10">
        <v>-3.906555199625017E-3</v>
      </c>
      <c r="Y189" s="8">
        <v>-9.1771903678720124E-3</v>
      </c>
      <c r="Z189" s="8">
        <v>8.7080430652308749E-4</v>
      </c>
      <c r="AA189" s="8">
        <v>2.1355690896147639E-3</v>
      </c>
    </row>
    <row r="190" spans="2:27" hidden="1" x14ac:dyDescent="0.3">
      <c r="B190" s="3" t="s">
        <v>130</v>
      </c>
      <c r="C190" s="3" t="s">
        <v>819</v>
      </c>
      <c r="D190" s="3" t="str">
        <f>VLOOKUP(B190,기업리스트!B:G,2,FALSE)</f>
        <v>ICON Public Limited Company</v>
      </c>
      <c r="E190" s="3" t="s">
        <v>903</v>
      </c>
      <c r="F190" s="5">
        <v>0.2</v>
      </c>
      <c r="G190" s="4">
        <v>2055</v>
      </c>
      <c r="I190" s="4">
        <v>2066</v>
      </c>
      <c r="K190" s="4">
        <v>2090</v>
      </c>
      <c r="M190" s="4">
        <v>2120</v>
      </c>
      <c r="O190" s="4">
        <v>2030</v>
      </c>
      <c r="Q190" s="4">
        <v>2041</v>
      </c>
      <c r="S190" s="4">
        <v>2001</v>
      </c>
      <c r="U190" s="4">
        <v>2017</v>
      </c>
      <c r="W190" s="4">
        <v>2043</v>
      </c>
      <c r="X190" s="10">
        <v>-3.009872381411038E-3</v>
      </c>
      <c r="Y190" s="8">
        <v>-1.074749426397781E-2</v>
      </c>
      <c r="Z190" s="8">
        <v>-1.25732421875E-2</v>
      </c>
      <c r="AA190" s="8">
        <v>1.60712078130798E-3</v>
      </c>
    </row>
    <row r="191" spans="2:27" hidden="1" x14ac:dyDescent="0.3">
      <c r="B191" s="3" t="s">
        <v>26</v>
      </c>
      <c r="C191" s="3" t="s">
        <v>819</v>
      </c>
      <c r="D191" s="3" t="str">
        <f>VLOOKUP(B191,기업리스트!B:G,2,FALSE)</f>
        <v>Constellation Energy Corporation</v>
      </c>
      <c r="E191" s="3" t="s">
        <v>903</v>
      </c>
      <c r="F191" s="5">
        <v>0.1</v>
      </c>
      <c r="G191" s="4">
        <v>6111</v>
      </c>
      <c r="I191" s="4">
        <v>5796</v>
      </c>
      <c r="K191" s="4">
        <v>6161</v>
      </c>
      <c r="M191" s="4">
        <v>5475</v>
      </c>
      <c r="O191" s="4">
        <v>6550</v>
      </c>
      <c r="Q191" s="4">
        <v>5382</v>
      </c>
      <c r="S191" s="4">
        <v>6788</v>
      </c>
      <c r="U191" s="4">
        <v>6101</v>
      </c>
      <c r="W191" s="4">
        <v>6570</v>
      </c>
      <c r="X191" s="10">
        <v>-1.7262947210407779E-2</v>
      </c>
      <c r="Y191" s="8">
        <v>2.660386965376782E-2</v>
      </c>
      <c r="Z191" s="8">
        <v>2.5873114279809869E-2</v>
      </c>
      <c r="AA191" s="8">
        <v>8.0576930824705073E-4</v>
      </c>
    </row>
    <row r="192" spans="2:27" hidden="1" x14ac:dyDescent="0.3">
      <c r="B192" s="3" t="s">
        <v>430</v>
      </c>
      <c r="C192" s="3" t="s">
        <v>819</v>
      </c>
      <c r="D192" s="3" t="str">
        <f>VLOOKUP(B192,기업리스트!B:G,2,FALSE)</f>
        <v>Zip Co Limited</v>
      </c>
      <c r="E192" s="3" t="s">
        <v>903</v>
      </c>
      <c r="F192" s="5">
        <v>-0.5</v>
      </c>
      <c r="G192" s="4">
        <v>155.63</v>
      </c>
      <c r="I192" s="4">
        <v>135.91999999999999</v>
      </c>
      <c r="K192" s="4">
        <v>122.24</v>
      </c>
      <c r="M192" s="4">
        <v>123.66</v>
      </c>
      <c r="O192" s="4">
        <v>117.08</v>
      </c>
      <c r="Q192" s="4">
        <v>111.02</v>
      </c>
      <c r="S192" s="4">
        <v>110.07</v>
      </c>
      <c r="U192" s="4">
        <v>112.23</v>
      </c>
      <c r="W192" s="4">
        <v>114.98</v>
      </c>
      <c r="X192" s="10">
        <v>-4.9909801563439493E-2</v>
      </c>
      <c r="Y192" s="8">
        <v>-2.5675105485232112E-2</v>
      </c>
      <c r="Z192" s="8">
        <v>-2.474936665006611E-2</v>
      </c>
      <c r="AA192" s="8">
        <v>-4.6625222024866408E-3</v>
      </c>
    </row>
    <row r="193" spans="2:27" hidden="1" x14ac:dyDescent="0.3">
      <c r="B193" s="3" t="s">
        <v>566</v>
      </c>
      <c r="C193" s="3" t="s">
        <v>819</v>
      </c>
      <c r="D193" s="3" t="str">
        <f>VLOOKUP(B193,기업리스트!B:G,2,FALSE)</f>
        <v>Tennant Company</v>
      </c>
      <c r="E193" s="3" t="s">
        <v>903</v>
      </c>
      <c r="F193" s="5">
        <v>-1</v>
      </c>
      <c r="G193" s="4">
        <v>304.7</v>
      </c>
      <c r="I193" s="4">
        <v>311.39999999999998</v>
      </c>
      <c r="K193" s="4">
        <v>311</v>
      </c>
      <c r="M193" s="4">
        <v>331</v>
      </c>
      <c r="O193" s="4">
        <v>315.8</v>
      </c>
      <c r="Q193" s="4">
        <v>328.9</v>
      </c>
      <c r="S193" s="4">
        <v>290</v>
      </c>
      <c r="U193" s="4">
        <v>318.60000000000002</v>
      </c>
      <c r="W193" s="4">
        <v>303.3</v>
      </c>
      <c r="X193" s="10">
        <v>1.3788213047589039E-2</v>
      </c>
      <c r="Y193" s="8">
        <v>-1.6320820704126882E-2</v>
      </c>
      <c r="Z193" s="8">
        <v>-9.7969503041795969E-3</v>
      </c>
      <c r="AA193" s="8">
        <v>-9.9736695124870156E-3</v>
      </c>
    </row>
    <row r="194" spans="2:27" hidden="1" x14ac:dyDescent="0.3">
      <c r="B194" s="3" t="s">
        <v>107</v>
      </c>
      <c r="C194" s="3" t="s">
        <v>819</v>
      </c>
      <c r="D194" s="3" t="str">
        <f>VLOOKUP(B194,기업리스트!B:G,2,FALSE)</f>
        <v>Tenaris S.A.</v>
      </c>
      <c r="E194" s="3" t="s">
        <v>903</v>
      </c>
      <c r="F194" s="5">
        <v>-1.8</v>
      </c>
      <c r="G194" s="4">
        <v>186.66</v>
      </c>
      <c r="I194" s="4">
        <v>220.24</v>
      </c>
      <c r="K194" s="4">
        <v>201.59</v>
      </c>
      <c r="M194" s="4">
        <v>214.06</v>
      </c>
      <c r="O194" s="4">
        <v>200.16</v>
      </c>
      <c r="Q194" s="4">
        <v>188.26</v>
      </c>
      <c r="S194" s="4">
        <v>197.05</v>
      </c>
      <c r="U194" s="4">
        <v>193.31</v>
      </c>
      <c r="W194" s="4">
        <v>186.23</v>
      </c>
      <c r="X194" s="10">
        <v>-3.8251300759523987E-2</v>
      </c>
      <c r="Y194" s="8">
        <v>-5.6462745780839763E-3</v>
      </c>
      <c r="Z194" s="8">
        <v>-2.5952747239002871E-2</v>
      </c>
      <c r="AA194" s="8">
        <v>-1.7886951385500342E-2</v>
      </c>
    </row>
    <row r="195" spans="2:27" hidden="1" x14ac:dyDescent="0.3">
      <c r="B195" s="3" t="s">
        <v>785</v>
      </c>
      <c r="C195" s="3" t="s">
        <v>819</v>
      </c>
      <c r="D195" s="3" t="str">
        <f>VLOOKUP(B195,기업리스트!B:G,2,FALSE)</f>
        <v>Autosports Group Limited</v>
      </c>
      <c r="E195" s="3" t="s">
        <v>907</v>
      </c>
      <c r="F195" s="5">
        <v>-3.4</v>
      </c>
      <c r="G195" s="4">
        <v>0.5</v>
      </c>
      <c r="I195" s="4">
        <v>0.51</v>
      </c>
      <c r="K195" s="4">
        <v>0.51</v>
      </c>
      <c r="M195" s="4">
        <v>0.51</v>
      </c>
      <c r="O195" s="4">
        <v>0.51</v>
      </c>
      <c r="Q195" s="4">
        <v>0.54</v>
      </c>
      <c r="S195" s="4">
        <v>0.54</v>
      </c>
      <c r="U195" s="4">
        <v>0.44</v>
      </c>
      <c r="W195" s="4">
        <v>0.44</v>
      </c>
      <c r="X195" s="10">
        <v>1.470588235294135E-2</v>
      </c>
      <c r="Y195" s="8">
        <v>1.449275362318825E-2</v>
      </c>
      <c r="Z195" s="8">
        <v>-3.3333333333333208E-2</v>
      </c>
      <c r="AA195" s="8">
        <v>-3.4482758620689842E-2</v>
      </c>
    </row>
    <row r="196" spans="2:27" hidden="1" x14ac:dyDescent="0.3">
      <c r="B196" s="3" t="s">
        <v>375</v>
      </c>
      <c r="C196" s="3" t="s">
        <v>819</v>
      </c>
      <c r="D196" s="3" t="str">
        <f>VLOOKUP(B196,기업리스트!B:G,2,FALSE)</f>
        <v>ALSO Holding AG</v>
      </c>
      <c r="E196" s="3" t="s">
        <v>903</v>
      </c>
      <c r="F196" s="5">
        <v>-4.0999999999999996</v>
      </c>
      <c r="G196" s="4">
        <v>736</v>
      </c>
      <c r="I196" s="4">
        <v>775</v>
      </c>
      <c r="K196" s="4">
        <v>789</v>
      </c>
      <c r="M196" s="4">
        <v>816</v>
      </c>
      <c r="O196" s="4">
        <v>824</v>
      </c>
      <c r="Q196" s="4">
        <v>796</v>
      </c>
      <c r="S196" s="4">
        <v>766</v>
      </c>
      <c r="U196" s="4">
        <v>814</v>
      </c>
      <c r="W196" s="4">
        <v>693</v>
      </c>
      <c r="X196" s="10">
        <v>6.5543071161049396E-3</v>
      </c>
      <c r="Y196" s="8">
        <v>-7.1317829457364654E-3</v>
      </c>
      <c r="Z196" s="8">
        <v>-6.2460961898813672E-4</v>
      </c>
      <c r="AA196" s="8">
        <v>-4.093749999999996E-2</v>
      </c>
    </row>
    <row r="197" spans="2:27" hidden="1" x14ac:dyDescent="0.3">
      <c r="B197" s="3" t="s">
        <v>216</v>
      </c>
      <c r="C197" s="3" t="s">
        <v>819</v>
      </c>
      <c r="D197" s="3" t="str">
        <f>VLOOKUP(B197,기업리스트!B:G,2,FALSE)</f>
        <v>APA Group</v>
      </c>
      <c r="E197" s="3" t="s">
        <v>903</v>
      </c>
      <c r="F197" s="5">
        <v>-4.3</v>
      </c>
      <c r="G197" s="4">
        <v>2308</v>
      </c>
      <c r="I197" s="4">
        <v>1945</v>
      </c>
      <c r="K197" s="4">
        <v>1951</v>
      </c>
      <c r="M197" s="4">
        <v>2543</v>
      </c>
      <c r="O197" s="4">
        <v>2531</v>
      </c>
      <c r="Q197" s="4">
        <v>2421</v>
      </c>
      <c r="S197" s="4">
        <v>2636</v>
      </c>
      <c r="U197" s="4">
        <v>2178</v>
      </c>
      <c r="W197" s="4">
        <v>2115</v>
      </c>
      <c r="X197" s="10">
        <v>5.3065774804905257E-2</v>
      </c>
      <c r="Y197" s="8">
        <v>7.2517467711200601E-2</v>
      </c>
      <c r="Z197" s="8">
        <v>-3.6028032770703773E-2</v>
      </c>
      <c r="AA197" s="8">
        <v>-4.259676428425152E-2</v>
      </c>
    </row>
    <row r="198" spans="2:27" hidden="1" x14ac:dyDescent="0.3">
      <c r="B198" s="3" t="s">
        <v>689</v>
      </c>
      <c r="C198" s="3" t="s">
        <v>819</v>
      </c>
      <c r="D198" s="3" t="str">
        <f>VLOOKUP(B198,기업리스트!B:G,2,FALSE)</f>
        <v>Teekay Corporation Ltd.</v>
      </c>
      <c r="E198" s="3" t="s">
        <v>907</v>
      </c>
      <c r="F198" s="5">
        <v>-8.6999999999999993</v>
      </c>
      <c r="G198" s="4">
        <v>395.4</v>
      </c>
      <c r="I198" s="4">
        <v>311.68</v>
      </c>
      <c r="K198" s="4">
        <v>339.19</v>
      </c>
      <c r="M198" s="4">
        <v>365.05</v>
      </c>
      <c r="O198" s="4">
        <v>326.14</v>
      </c>
      <c r="Q198" s="4">
        <v>272.62</v>
      </c>
      <c r="S198" s="4">
        <v>256.57</v>
      </c>
      <c r="U198" s="4">
        <v>231.64</v>
      </c>
      <c r="W198" s="4">
        <v>231.69</v>
      </c>
      <c r="X198" s="10">
        <v>-2.910451097566424E-2</v>
      </c>
      <c r="Y198" s="8">
        <v>-6.3407521105141917E-2</v>
      </c>
      <c r="Z198" s="8">
        <v>-0.1093184090201413</v>
      </c>
      <c r="AA198" s="8">
        <v>-8.6892922527760708E-2</v>
      </c>
    </row>
    <row r="199" spans="2:27" hidden="1" x14ac:dyDescent="0.3">
      <c r="B199" s="3" t="s">
        <v>407</v>
      </c>
      <c r="C199" s="3" t="s">
        <v>819</v>
      </c>
      <c r="D199" s="3" t="str">
        <f>VLOOKUP(B199,기업리스트!B:G,2,FALSE)</f>
        <v>Taseko Mines Limited</v>
      </c>
      <c r="E199" s="3" t="s">
        <v>903</v>
      </c>
      <c r="F199" s="5">
        <v>-8.8000000000000007</v>
      </c>
      <c r="G199" s="4">
        <v>449.06</v>
      </c>
      <c r="I199" s="6">
        <v>614</v>
      </c>
      <c r="K199" s="6">
        <v>1222</v>
      </c>
      <c r="M199" s="6">
        <v>1193</v>
      </c>
      <c r="O199" s="6">
        <v>1541</v>
      </c>
      <c r="Q199" s="4">
        <v>642.20000000000005</v>
      </c>
      <c r="S199" s="4">
        <v>1269</v>
      </c>
      <c r="U199" s="4">
        <v>1308</v>
      </c>
      <c r="W199" s="4">
        <v>1120</v>
      </c>
      <c r="X199" s="10">
        <v>6.170678336980373E-3</v>
      </c>
      <c r="Y199" s="8">
        <v>1.02213909790787E-2</v>
      </c>
      <c r="Z199" s="8">
        <v>2.4756738138293381E-2</v>
      </c>
      <c r="AA199" s="8">
        <v>-8.8441662115037234E-2</v>
      </c>
    </row>
    <row r="200" spans="2:27" x14ac:dyDescent="0.3">
      <c r="B200" s="12">
        <v>3076</v>
      </c>
      <c r="C200" s="3" t="s">
        <v>899</v>
      </c>
      <c r="D200" s="3" t="str">
        <f>VLOOKUP(B200,기업리스트!B:G,2,FALSE)</f>
        <v>Ai Holdings Corporation</v>
      </c>
      <c r="E200" s="3" t="s">
        <v>848</v>
      </c>
      <c r="F200" s="5">
        <v>-0.8</v>
      </c>
      <c r="G200" s="4">
        <v>11459</v>
      </c>
      <c r="H200" s="4">
        <v>12125</v>
      </c>
      <c r="I200" s="4">
        <v>11976</v>
      </c>
      <c r="J200" s="4">
        <v>10796</v>
      </c>
      <c r="K200" s="4">
        <v>12522</v>
      </c>
      <c r="L200" s="4">
        <v>12510</v>
      </c>
      <c r="M200" s="4">
        <v>10568</v>
      </c>
      <c r="N200" s="4">
        <v>11973</v>
      </c>
      <c r="O200" s="4">
        <v>12791</v>
      </c>
      <c r="P200" s="4">
        <v>12952</v>
      </c>
      <c r="Q200" s="4">
        <v>12096</v>
      </c>
      <c r="R200" s="4">
        <v>11222</v>
      </c>
      <c r="S200" s="6">
        <v>21097</v>
      </c>
      <c r="T200" s="4">
        <v>18238</v>
      </c>
      <c r="U200" s="4">
        <v>15640</v>
      </c>
      <c r="V200" s="6">
        <v>20270</v>
      </c>
      <c r="W200" s="4">
        <v>20508</v>
      </c>
      <c r="X200" s="10">
        <v>9.2143566858995607E-2</v>
      </c>
      <c r="Y200" s="8">
        <v>5.6565527588463338E-2</v>
      </c>
      <c r="Z200" s="9">
        <v>0.136682931250661</v>
      </c>
      <c r="AA200" s="8">
        <v>-7.8277626420359958E-3</v>
      </c>
    </row>
    <row r="201" spans="2:27" x14ac:dyDescent="0.3">
      <c r="B201" s="12">
        <v>6036</v>
      </c>
      <c r="C201" s="3" t="s">
        <v>899</v>
      </c>
      <c r="D201" s="3" t="str">
        <f>VLOOKUP(B201,기업리스트!B:G,2,FALSE)</f>
        <v>KeePer Technical Laboratory Co., Ltd.</v>
      </c>
      <c r="E201" s="3" t="s">
        <v>839</v>
      </c>
      <c r="F201" s="5">
        <v>-1.2</v>
      </c>
      <c r="G201" s="4">
        <v>3261</v>
      </c>
      <c r="H201" s="4">
        <v>4041</v>
      </c>
      <c r="I201" s="4">
        <v>3118</v>
      </c>
      <c r="J201" s="4">
        <v>3938</v>
      </c>
      <c r="K201" s="4">
        <v>3788</v>
      </c>
      <c r="L201" s="4">
        <v>4778</v>
      </c>
      <c r="M201" s="4">
        <v>3796</v>
      </c>
      <c r="N201" s="4">
        <v>4680</v>
      </c>
      <c r="O201" s="4">
        <v>4762</v>
      </c>
      <c r="P201" s="4">
        <v>5940</v>
      </c>
      <c r="Q201" s="4">
        <v>4407</v>
      </c>
      <c r="R201" s="4">
        <v>5465</v>
      </c>
      <c r="S201" s="4">
        <v>6049</v>
      </c>
      <c r="T201" s="4">
        <v>6687</v>
      </c>
      <c r="U201" s="4">
        <v>5143</v>
      </c>
      <c r="V201" s="4">
        <v>5851</v>
      </c>
      <c r="W201" s="4">
        <v>5774</v>
      </c>
      <c r="X201" s="10">
        <v>3.4170440510498112E-2</v>
      </c>
      <c r="Y201" s="8">
        <v>3.2554847841472112E-2</v>
      </c>
      <c r="Z201" s="8">
        <v>1.653529814941734E-2</v>
      </c>
      <c r="AA201" s="8">
        <v>-1.1588706278971791E-2</v>
      </c>
    </row>
    <row r="202" spans="2:27" hidden="1" x14ac:dyDescent="0.3">
      <c r="B202" s="3" t="s">
        <v>720</v>
      </c>
      <c r="C202" s="3" t="s">
        <v>899</v>
      </c>
      <c r="D202" s="3" t="e">
        <f>VLOOKUP(B202,기업리스트!B:G,2,FALSE)</f>
        <v>#N/A</v>
      </c>
      <c r="E202" s="3" t="s">
        <v>906</v>
      </c>
      <c r="F202" s="5">
        <v>3.5</v>
      </c>
      <c r="G202" s="4">
        <v>3159</v>
      </c>
      <c r="I202" s="4">
        <v>3595</v>
      </c>
      <c r="K202" s="4">
        <v>3871</v>
      </c>
      <c r="M202" s="6">
        <v>5758</v>
      </c>
      <c r="O202" s="4">
        <v>4240</v>
      </c>
      <c r="Q202" s="4">
        <v>4525</v>
      </c>
      <c r="S202" s="4">
        <v>4466</v>
      </c>
      <c r="U202" s="4">
        <v>212.4</v>
      </c>
      <c r="W202" s="4">
        <v>4708</v>
      </c>
      <c r="X202" s="10">
        <v>5.3252404947320198E-2</v>
      </c>
      <c r="Y202" s="8">
        <v>3.2347504621072172E-2</v>
      </c>
      <c r="Z202" s="8">
        <v>-0.29204276159882042</v>
      </c>
      <c r="AA202" s="8">
        <v>3.4812621806983302E-2</v>
      </c>
    </row>
    <row r="203" spans="2:27" x14ac:dyDescent="0.3">
      <c r="B203" s="46">
        <v>5310</v>
      </c>
      <c r="C203" s="38" t="s">
        <v>899</v>
      </c>
      <c r="D203" s="38" t="str">
        <f>VLOOKUP(B203,기업리스트!B:G,2,FALSE)</f>
        <v>Toyo Tanso Co., Ltd.</v>
      </c>
      <c r="E203" s="38" t="s">
        <v>821</v>
      </c>
      <c r="F203" s="39">
        <v>-4</v>
      </c>
      <c r="G203" s="40">
        <v>10285</v>
      </c>
      <c r="H203" s="40">
        <v>9906</v>
      </c>
      <c r="I203" s="40">
        <v>10387</v>
      </c>
      <c r="J203" s="40">
        <v>11735</v>
      </c>
      <c r="K203" s="40">
        <v>11746</v>
      </c>
      <c r="L203" s="40">
        <v>11304</v>
      </c>
      <c r="M203" s="40">
        <v>12408</v>
      </c>
      <c r="N203" s="40">
        <v>12289</v>
      </c>
      <c r="O203" s="40">
        <v>13250</v>
      </c>
      <c r="P203" s="40">
        <v>12573</v>
      </c>
      <c r="Q203" s="40">
        <v>13711</v>
      </c>
      <c r="R203" s="40">
        <v>12778</v>
      </c>
      <c r="S203" s="40">
        <v>14031</v>
      </c>
      <c r="T203" s="40">
        <v>11475</v>
      </c>
      <c r="U203" s="40">
        <v>11505</v>
      </c>
      <c r="V203" s="40">
        <v>11115</v>
      </c>
      <c r="W203" s="40">
        <v>12094</v>
      </c>
      <c r="X203" s="42">
        <v>-2.068069236999226E-2</v>
      </c>
      <c r="Y203" s="43">
        <v>-4.2427156457351622E-2</v>
      </c>
      <c r="Z203" s="43">
        <v>-3.3400952017513919E-2</v>
      </c>
      <c r="AA203" s="43">
        <v>-4.0248514316585597E-2</v>
      </c>
    </row>
    <row r="204" spans="2:27" hidden="1" x14ac:dyDescent="0.3">
      <c r="B204" s="3" t="s">
        <v>415</v>
      </c>
      <c r="C204" s="3" t="s">
        <v>901</v>
      </c>
      <c r="D204" s="3" t="str">
        <f>VLOOKUP(B204,기업리스트!B:G,2,FALSE)</f>
        <v>Carmila S.A.</v>
      </c>
      <c r="E204" s="3" t="s">
        <v>908</v>
      </c>
      <c r="F204" s="5">
        <v>118.6</v>
      </c>
      <c r="G204" s="3"/>
      <c r="I204" s="3"/>
      <c r="K204" s="3"/>
      <c r="M204" s="4">
        <v>0</v>
      </c>
      <c r="O204" s="4">
        <v>0</v>
      </c>
      <c r="Q204" s="4">
        <v>9.83</v>
      </c>
      <c r="S204" s="4">
        <v>14.92</v>
      </c>
      <c r="U204" s="6">
        <v>19.63</v>
      </c>
      <c r="W204" s="6">
        <v>52.63</v>
      </c>
      <c r="X204" s="11"/>
      <c r="Y204" s="3"/>
      <c r="Z204" s="9">
        <v>0.79313131313131291</v>
      </c>
      <c r="AA204" s="9">
        <v>1.185894547093286</v>
      </c>
    </row>
    <row r="205" spans="2:27" hidden="1" x14ac:dyDescent="0.3">
      <c r="B205" s="3" t="s">
        <v>661</v>
      </c>
      <c r="C205" s="3" t="s">
        <v>901</v>
      </c>
      <c r="D205" s="3" t="str">
        <f>VLOOKUP(B205,기업리스트!B:G,2,FALSE)</f>
        <v>Service Stream Limited</v>
      </c>
      <c r="E205" s="3" t="s">
        <v>903</v>
      </c>
      <c r="F205" s="5">
        <v>83.3</v>
      </c>
      <c r="G205" s="4">
        <v>0</v>
      </c>
      <c r="I205" s="4">
        <v>0</v>
      </c>
      <c r="K205" s="4">
        <v>0</v>
      </c>
      <c r="M205" s="4">
        <v>0</v>
      </c>
      <c r="O205" s="4">
        <v>0</v>
      </c>
      <c r="Q205" s="4">
        <v>0</v>
      </c>
      <c r="S205" s="4">
        <v>0.03</v>
      </c>
      <c r="U205" s="6">
        <v>0.03</v>
      </c>
      <c r="W205" s="6">
        <v>0.05</v>
      </c>
      <c r="X205" s="11"/>
      <c r="Y205" s="3"/>
      <c r="Z205" s="9">
        <v>1</v>
      </c>
      <c r="AA205" s="9">
        <v>0.83333333333333348</v>
      </c>
    </row>
    <row r="206" spans="2:27" hidden="1" x14ac:dyDescent="0.3">
      <c r="B206" s="3" t="s">
        <v>706</v>
      </c>
      <c r="C206" s="3" t="s">
        <v>901</v>
      </c>
      <c r="D206" s="3" t="str">
        <f>VLOOKUP(B206,기업리스트!B:G,2,FALSE)</f>
        <v>ASP Isotopes Inc.</v>
      </c>
      <c r="E206" s="3" t="s">
        <v>903</v>
      </c>
      <c r="F206" s="5">
        <v>83</v>
      </c>
      <c r="G206" s="4">
        <v>0</v>
      </c>
      <c r="I206" s="4">
        <v>0.43</v>
      </c>
      <c r="K206" s="6">
        <v>0.84</v>
      </c>
      <c r="M206" s="6">
        <v>1.02</v>
      </c>
      <c r="O206" s="6">
        <v>1.0900000000000001</v>
      </c>
      <c r="Q206" s="6">
        <v>1.19</v>
      </c>
      <c r="S206" s="4">
        <v>1.1000000000000001</v>
      </c>
      <c r="U206" s="4">
        <v>1.2</v>
      </c>
      <c r="W206" s="6">
        <v>4.8899999999999997</v>
      </c>
      <c r="X206" s="7">
        <v>0.2248520710059172</v>
      </c>
      <c r="Y206" s="8">
        <v>6.2801932367150037E-2</v>
      </c>
      <c r="Z206" s="8">
        <v>4.0909090909090777E-2</v>
      </c>
      <c r="AA206" s="9">
        <v>0.82969432314410452</v>
      </c>
    </row>
    <row r="207" spans="2:27" hidden="1" x14ac:dyDescent="0.3">
      <c r="B207" s="3" t="s">
        <v>779</v>
      </c>
      <c r="C207" s="3" t="s">
        <v>901</v>
      </c>
      <c r="D207" s="3" t="str">
        <f>VLOOKUP(B207,기업리스트!B:G,2,FALSE)</f>
        <v>Elite Pharmaceuticals, Inc.</v>
      </c>
      <c r="E207" s="3" t="s">
        <v>908</v>
      </c>
      <c r="F207" s="5">
        <v>52.1</v>
      </c>
      <c r="G207" s="3"/>
      <c r="I207" s="3"/>
      <c r="K207" s="3"/>
      <c r="M207" s="4">
        <v>25.38</v>
      </c>
      <c r="O207" s="4">
        <v>32.26</v>
      </c>
      <c r="Q207" s="4">
        <v>34.159999999999997</v>
      </c>
      <c r="S207" s="4">
        <v>56.63</v>
      </c>
      <c r="U207" s="6">
        <v>84.04</v>
      </c>
      <c r="W207" s="6">
        <v>140.12</v>
      </c>
      <c r="X207" s="11"/>
      <c r="Y207" s="3"/>
      <c r="Z207" s="9">
        <v>0.39520312605268471</v>
      </c>
      <c r="AA207" s="9">
        <v>0.52083635134482575</v>
      </c>
    </row>
    <row r="208" spans="2:27" hidden="1" x14ac:dyDescent="0.3">
      <c r="B208" s="3" t="s">
        <v>726</v>
      </c>
      <c r="C208" s="3" t="s">
        <v>901</v>
      </c>
      <c r="D208" s="3" t="str">
        <f>VLOOKUP(B208,기업리스트!B:G,2,FALSE)</f>
        <v>PT Link Net Tbk</v>
      </c>
      <c r="E208" s="3" t="s">
        <v>903</v>
      </c>
      <c r="F208" s="5">
        <v>2.5</v>
      </c>
      <c r="G208" s="6">
        <v>3.08</v>
      </c>
      <c r="I208" s="6">
        <v>3.54</v>
      </c>
      <c r="K208" s="4">
        <v>3.12</v>
      </c>
      <c r="M208" s="4">
        <v>2.9</v>
      </c>
      <c r="O208" s="4">
        <v>2.67</v>
      </c>
      <c r="Q208" s="4">
        <v>2.99</v>
      </c>
      <c r="S208" s="4">
        <v>2.66</v>
      </c>
      <c r="U208" s="4">
        <v>3.41</v>
      </c>
      <c r="W208" s="4">
        <v>2.96</v>
      </c>
      <c r="X208" s="10">
        <v>-4.4971381847915048E-2</v>
      </c>
      <c r="Y208" s="8">
        <v>-3.9383561643835503E-2</v>
      </c>
      <c r="Z208" s="8">
        <v>4.5454545454545407E-2</v>
      </c>
      <c r="AA208" s="8">
        <v>2.472293265132142E-2</v>
      </c>
    </row>
    <row r="209" spans="2:27" hidden="1" x14ac:dyDescent="0.3">
      <c r="B209" s="3" t="s">
        <v>321</v>
      </c>
      <c r="C209" s="3" t="s">
        <v>911</v>
      </c>
      <c r="D209" s="3" t="str">
        <f>VLOOKUP(B209,기업리스트!B:G,2,FALSE)</f>
        <v>Covivio Hotels</v>
      </c>
      <c r="E209" s="3" t="s">
        <v>906</v>
      </c>
      <c r="F209" s="5">
        <v>1.1000000000000001</v>
      </c>
      <c r="G209" s="4">
        <v>106.36</v>
      </c>
      <c r="I209" s="4">
        <v>109.58</v>
      </c>
      <c r="K209" s="4">
        <v>146.53</v>
      </c>
      <c r="M209" s="6">
        <v>178.41</v>
      </c>
      <c r="O209" s="6">
        <v>166.55</v>
      </c>
      <c r="Q209" s="6">
        <v>175.65</v>
      </c>
      <c r="S209" s="4">
        <v>174</v>
      </c>
      <c r="U209" s="4">
        <v>201.83</v>
      </c>
      <c r="W209" s="4">
        <v>174.8</v>
      </c>
      <c r="X209" s="7">
        <v>0.10992064152261791</v>
      </c>
      <c r="Y209" s="8">
        <v>4.1175765206703303E-2</v>
      </c>
      <c r="Z209" s="8">
        <v>3.3716761923957339E-2</v>
      </c>
      <c r="AA209" s="8">
        <v>1.1489770622397311E-2</v>
      </c>
    </row>
    <row r="210" spans="2:27" x14ac:dyDescent="0.3">
      <c r="B210" s="12" t="s">
        <v>609</v>
      </c>
      <c r="C210" s="3" t="s">
        <v>911</v>
      </c>
      <c r="D210" s="3" t="str">
        <f>VLOOKUP(B210,기업리스트!B:G,2,FALSE)</f>
        <v>Mercialys SA</v>
      </c>
      <c r="E210" s="3" t="s">
        <v>905</v>
      </c>
      <c r="F210" s="5">
        <v>0.6</v>
      </c>
      <c r="G210" s="4">
        <v>87.57</v>
      </c>
      <c r="I210" s="4">
        <v>86.45</v>
      </c>
      <c r="K210" s="4">
        <v>86.83</v>
      </c>
      <c r="M210" s="4">
        <v>88.16</v>
      </c>
      <c r="O210" s="4">
        <v>89.85</v>
      </c>
      <c r="Q210" s="4">
        <v>91.56</v>
      </c>
      <c r="S210" s="4">
        <v>87.97</v>
      </c>
      <c r="U210" s="4">
        <v>88.74</v>
      </c>
      <c r="W210" s="4">
        <v>91.86</v>
      </c>
      <c r="X210" s="10">
        <v>1.454638617666326E-2</v>
      </c>
      <c r="Y210" s="8">
        <v>3.1986531986532012E-3</v>
      </c>
      <c r="Z210" s="8">
        <v>1.6221961179170301E-3</v>
      </c>
      <c r="AA210" s="8">
        <v>5.6126438065453588E-3</v>
      </c>
    </row>
    <row r="211" spans="2:27" hidden="1" x14ac:dyDescent="0.3">
      <c r="B211" s="3" t="s">
        <v>244</v>
      </c>
      <c r="C211" s="3" t="s">
        <v>912</v>
      </c>
      <c r="D211" s="3" t="s">
        <v>900</v>
      </c>
      <c r="E211" s="3" t="s">
        <v>903</v>
      </c>
      <c r="F211" s="5">
        <v>0.2</v>
      </c>
      <c r="G211" s="4">
        <v>3657</v>
      </c>
      <c r="H211" s="4">
        <v>2806</v>
      </c>
      <c r="I211" s="4">
        <v>4094</v>
      </c>
      <c r="J211" s="4">
        <v>3867</v>
      </c>
      <c r="K211" s="4">
        <v>4103</v>
      </c>
      <c r="L211" s="4">
        <v>3110</v>
      </c>
      <c r="M211" s="4">
        <v>4534</v>
      </c>
      <c r="N211" s="4">
        <v>4421</v>
      </c>
      <c r="O211" s="4">
        <v>3545</v>
      </c>
      <c r="P211" s="4">
        <v>4131</v>
      </c>
      <c r="Q211" s="4">
        <v>4954</v>
      </c>
      <c r="R211" s="4">
        <v>4482</v>
      </c>
      <c r="S211" s="4">
        <v>4878</v>
      </c>
      <c r="T211" s="4">
        <v>4663</v>
      </c>
      <c r="U211" s="4">
        <v>5160</v>
      </c>
      <c r="V211" s="4">
        <v>5410</v>
      </c>
      <c r="W211" s="4">
        <v>4915</v>
      </c>
      <c r="X211" s="10">
        <v>2.884250474383299E-2</v>
      </c>
      <c r="Y211" s="8">
        <v>1.085524582389219E-2</v>
      </c>
      <c r="Z211" s="8">
        <v>4.8376166397331E-2</v>
      </c>
      <c r="AA211" s="8">
        <v>1.839789170105854E-3</v>
      </c>
    </row>
    <row r="212" spans="2:27" hidden="1" x14ac:dyDescent="0.3">
      <c r="B212" s="3" t="s">
        <v>124</v>
      </c>
      <c r="C212" s="3" t="s">
        <v>901</v>
      </c>
      <c r="D212" s="3" t="s">
        <v>869</v>
      </c>
      <c r="E212" s="3" t="s">
        <v>906</v>
      </c>
      <c r="F212" s="5">
        <v>-2.6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4">
        <v>257.02999999999997</v>
      </c>
      <c r="T212" s="4">
        <v>275.26</v>
      </c>
      <c r="U212" s="4">
        <v>244.32</v>
      </c>
      <c r="V212" s="4">
        <v>259.66000000000003</v>
      </c>
      <c r="W212" s="4">
        <v>230.59</v>
      </c>
      <c r="X212" s="11"/>
      <c r="Y212" s="3"/>
      <c r="Z212" s="3"/>
      <c r="AA212" s="8">
        <v>-2.551458596697764E-2</v>
      </c>
    </row>
    <row r="213" spans="2:27" hidden="1" x14ac:dyDescent="0.3">
      <c r="B213" s="3" t="s">
        <v>397</v>
      </c>
      <c r="C213" s="3" t="s">
        <v>911</v>
      </c>
      <c r="D213" s="3" t="s">
        <v>900</v>
      </c>
      <c r="E213" s="3" t="s">
        <v>906</v>
      </c>
      <c r="F213" s="5">
        <v>-3.9</v>
      </c>
      <c r="G213" s="3"/>
      <c r="H213" s="3"/>
      <c r="I213" s="3"/>
      <c r="J213" s="3"/>
      <c r="K213" s="3"/>
      <c r="L213" s="3"/>
      <c r="M213" s="3"/>
      <c r="N213" s="4">
        <v>0</v>
      </c>
      <c r="O213" s="4">
        <v>1466</v>
      </c>
      <c r="P213" s="4">
        <v>2244</v>
      </c>
      <c r="Q213" s="4">
        <v>2627</v>
      </c>
      <c r="R213" s="6">
        <v>2475</v>
      </c>
      <c r="S213" s="4">
        <v>1630</v>
      </c>
      <c r="T213" s="4">
        <v>1710</v>
      </c>
      <c r="U213" s="4">
        <v>1491</v>
      </c>
      <c r="V213" s="4">
        <v>1535</v>
      </c>
      <c r="W213" s="4">
        <v>1380</v>
      </c>
      <c r="X213" s="10">
        <v>-5.9491978609625629E-2</v>
      </c>
      <c r="Y213" s="8">
        <v>-0.1345652688936271</v>
      </c>
      <c r="Z213" s="8">
        <v>-0.1286613742129756</v>
      </c>
      <c r="AA213" s="8">
        <v>-3.9271127866792321E-2</v>
      </c>
    </row>
    <row r="214" spans="2:27" hidden="1" x14ac:dyDescent="0.3">
      <c r="B214" s="3" t="s">
        <v>699</v>
      </c>
      <c r="C214" s="3" t="s">
        <v>901</v>
      </c>
      <c r="D214" s="3" t="s">
        <v>877</v>
      </c>
      <c r="E214" s="3" t="s">
        <v>906</v>
      </c>
      <c r="F214" s="5">
        <v>-3.9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4">
        <v>67.37</v>
      </c>
      <c r="T214" s="4">
        <v>47.91</v>
      </c>
      <c r="U214" s="4">
        <v>57.96</v>
      </c>
      <c r="V214" s="4">
        <v>45.86</v>
      </c>
      <c r="W214" s="4">
        <v>58.76</v>
      </c>
      <c r="X214" s="11"/>
      <c r="Y214" s="3"/>
      <c r="Z214" s="3"/>
      <c r="AA214" s="8">
        <v>-3.9297124600638937E-2</v>
      </c>
    </row>
    <row r="215" spans="2:27" hidden="1" x14ac:dyDescent="0.3">
      <c r="B215" s="3" t="s">
        <v>343</v>
      </c>
      <c r="C215" s="3" t="s">
        <v>901</v>
      </c>
      <c r="D215" s="3" t="s">
        <v>900</v>
      </c>
      <c r="E215" s="3" t="s">
        <v>908</v>
      </c>
      <c r="F215" s="5">
        <v>-21.9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4">
        <v>56.45</v>
      </c>
      <c r="S215" s="4">
        <v>64.45</v>
      </c>
      <c r="T215" s="4">
        <v>36.409999999999997</v>
      </c>
      <c r="U215" s="4">
        <v>40.19</v>
      </c>
      <c r="V215" s="4">
        <v>39.04</v>
      </c>
      <c r="W215" s="4">
        <v>25.01</v>
      </c>
      <c r="X215" s="11"/>
      <c r="Y215" s="3"/>
      <c r="Z215" s="8">
        <v>-8.815189873417717E-2</v>
      </c>
      <c r="AA215" s="8">
        <v>-0.21900161030595811</v>
      </c>
    </row>
    <row r="216" spans="2:27" hidden="1" x14ac:dyDescent="0.3">
      <c r="B216" s="3" t="s">
        <v>468</v>
      </c>
      <c r="C216" s="3" t="s">
        <v>901</v>
      </c>
      <c r="D216" s="3" t="s">
        <v>828</v>
      </c>
      <c r="E216" s="3" t="s">
        <v>906</v>
      </c>
      <c r="F216" s="5">
        <v>-43.3</v>
      </c>
      <c r="G216" s="3"/>
      <c r="H216" s="3"/>
      <c r="I216" s="3"/>
      <c r="J216" s="3"/>
      <c r="K216" s="3"/>
      <c r="L216" s="3"/>
      <c r="M216" s="3"/>
      <c r="N216" s="4">
        <v>0.41</v>
      </c>
      <c r="O216" s="4">
        <v>0.51</v>
      </c>
      <c r="P216" s="4">
        <v>0.15</v>
      </c>
      <c r="Q216" s="4">
        <v>0.73</v>
      </c>
      <c r="R216" s="4">
        <v>0.37</v>
      </c>
      <c r="S216" s="6">
        <v>2.86</v>
      </c>
      <c r="T216" s="4">
        <v>0</v>
      </c>
      <c r="U216" s="4">
        <v>0</v>
      </c>
      <c r="V216" s="6">
        <v>1.87</v>
      </c>
      <c r="W216" s="4">
        <v>0.81</v>
      </c>
      <c r="X216" s="10">
        <v>-3.6496350364963348E-2</v>
      </c>
      <c r="Y216" s="8">
        <v>-0.18434343434343439</v>
      </c>
      <c r="Z216" s="9">
        <v>0.4643962848297214</v>
      </c>
      <c r="AA216" s="8">
        <v>-0.43340380549682878</v>
      </c>
    </row>
  </sheetData>
  <autoFilter ref="B2:AA216" xr:uid="{00000000-0009-0000-0000-000001000000}">
    <filterColumn colId="3">
      <filters>
        <filter val="Dec'25"/>
        <filter val="H1 2026"/>
        <filter val="H2 2025"/>
        <filter val="Jun'26"/>
        <filter val="Mar'26"/>
        <filter val="Sep'26"/>
      </filters>
    </filterColumn>
    <sortState xmlns:xlrd2="http://schemas.microsoft.com/office/spreadsheetml/2017/richdata2" ref="B3:AA210">
      <sortCondition descending="1" ref="C2:C216"/>
    </sortState>
  </autoFilter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215"/>
  <sheetViews>
    <sheetView tabSelected="1" topLeftCell="B2" zoomScale="205" zoomScaleNormal="205" workbookViewId="0">
      <selection activeCell="B2" sqref="B2:AA208"/>
    </sheetView>
  </sheetViews>
  <sheetFormatPr defaultRowHeight="16.5" x14ac:dyDescent="0.3"/>
  <cols>
    <col min="1" max="1" width="3" customWidth="1"/>
    <col min="2" max="2" width="12" style="13" customWidth="1"/>
    <col min="3" max="3" width="14" customWidth="1"/>
    <col min="4" max="4" width="34" bestFit="1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45" t="s">
        <v>1</v>
      </c>
      <c r="C2" s="45" t="s">
        <v>798</v>
      </c>
      <c r="D2" s="45" t="s">
        <v>799</v>
      </c>
      <c r="E2" s="45" t="s">
        <v>800</v>
      </c>
      <c r="F2" s="45" t="s">
        <v>801</v>
      </c>
      <c r="G2" s="45" t="s">
        <v>802</v>
      </c>
      <c r="H2" s="45" t="s">
        <v>803</v>
      </c>
      <c r="I2" s="45" t="s">
        <v>804</v>
      </c>
      <c r="J2" s="45" t="s">
        <v>805</v>
      </c>
      <c r="K2" s="45" t="s">
        <v>806</v>
      </c>
      <c r="L2" s="45" t="s">
        <v>807</v>
      </c>
      <c r="M2" s="45" t="s">
        <v>808</v>
      </c>
      <c r="N2" s="45" t="s">
        <v>809</v>
      </c>
      <c r="O2" s="45" t="s">
        <v>810</v>
      </c>
      <c r="P2" s="45" t="s">
        <v>811</v>
      </c>
      <c r="Q2" s="45" t="s">
        <v>812</v>
      </c>
      <c r="R2" s="45" t="s">
        <v>813</v>
      </c>
      <c r="S2" s="45" t="s">
        <v>814</v>
      </c>
      <c r="T2" s="45" t="s">
        <v>815</v>
      </c>
      <c r="U2" s="45" t="s">
        <v>816</v>
      </c>
      <c r="V2" s="45" t="s">
        <v>817</v>
      </c>
      <c r="W2" s="45" t="s">
        <v>818</v>
      </c>
      <c r="X2" s="45" t="s">
        <v>815</v>
      </c>
      <c r="Y2" s="45" t="s">
        <v>816</v>
      </c>
      <c r="Z2" s="45" t="s">
        <v>817</v>
      </c>
      <c r="AA2" s="45" t="s">
        <v>818</v>
      </c>
    </row>
    <row r="3" spans="2:27" x14ac:dyDescent="0.3">
      <c r="B3" s="12" t="s">
        <v>758</v>
      </c>
      <c r="C3" s="3" t="s">
        <v>819</v>
      </c>
      <c r="D3" s="3" t="s">
        <v>871</v>
      </c>
      <c r="E3" s="3" t="s">
        <v>821</v>
      </c>
      <c r="F3" s="37">
        <v>806.3</v>
      </c>
      <c r="G3" s="52">
        <v>-15.94</v>
      </c>
      <c r="H3" s="52">
        <v>-17.25</v>
      </c>
      <c r="I3" s="52">
        <v>-17.649999999999999</v>
      </c>
      <c r="J3" s="52">
        <v>-13</v>
      </c>
      <c r="K3" s="52">
        <v>0.99</v>
      </c>
      <c r="L3" s="52">
        <v>-7.15</v>
      </c>
      <c r="M3" s="52">
        <v>-4.01</v>
      </c>
      <c r="N3" s="52">
        <v>-2.35</v>
      </c>
      <c r="O3" s="53">
        <v>-1.61</v>
      </c>
      <c r="P3" s="52">
        <v>-4.1500000000000004</v>
      </c>
      <c r="Q3" s="52">
        <v>-2.31</v>
      </c>
      <c r="R3" s="52">
        <v>-2.2000000000000002</v>
      </c>
      <c r="S3" s="53">
        <v>-6.79</v>
      </c>
      <c r="T3" s="52">
        <v>-0.6</v>
      </c>
      <c r="U3" s="52">
        <v>0.74</v>
      </c>
      <c r="V3" s="52">
        <v>9.18</v>
      </c>
      <c r="W3" s="53">
        <v>13.61</v>
      </c>
      <c r="X3" s="10">
        <v>-0.22977346278317159</v>
      </c>
      <c r="Y3" s="8">
        <v>-0.25630252100840339</v>
      </c>
      <c r="Z3" s="8">
        <v>-1.2858757062146891</v>
      </c>
      <c r="AA3" s="9">
        <v>8.063241106719369</v>
      </c>
    </row>
    <row r="4" spans="2:27" x14ac:dyDescent="0.3">
      <c r="B4" s="12" t="s">
        <v>255</v>
      </c>
      <c r="C4" s="3" t="s">
        <v>819</v>
      </c>
      <c r="D4" s="3" t="s">
        <v>833</v>
      </c>
      <c r="E4" s="3" t="s">
        <v>821</v>
      </c>
      <c r="F4" s="37">
        <v>427.8</v>
      </c>
      <c r="G4" s="52">
        <v>-22.19</v>
      </c>
      <c r="H4" s="52">
        <v>-51.68</v>
      </c>
      <c r="I4" s="52">
        <v>-49.3</v>
      </c>
      <c r="J4" s="52">
        <v>-53.23</v>
      </c>
      <c r="K4" s="52">
        <v>-14.45</v>
      </c>
      <c r="L4" s="52">
        <v>-42.01</v>
      </c>
      <c r="M4" s="52">
        <v>-36.4</v>
      </c>
      <c r="N4" s="52">
        <v>-35.6</v>
      </c>
      <c r="O4" s="52">
        <v>-10.89</v>
      </c>
      <c r="P4" s="52">
        <v>-29.26</v>
      </c>
      <c r="Q4" s="52">
        <v>-22.82</v>
      </c>
      <c r="R4" s="52">
        <v>-21.03</v>
      </c>
      <c r="S4" s="52">
        <v>5.18</v>
      </c>
      <c r="T4" s="52">
        <v>-19.190000000000001</v>
      </c>
      <c r="U4" s="52">
        <v>10.51</v>
      </c>
      <c r="V4" s="52">
        <v>17.079999999999998</v>
      </c>
      <c r="W4" s="53">
        <v>63.27</v>
      </c>
      <c r="X4" s="10">
        <v>-0.14824083615486541</v>
      </c>
      <c r="Y4" s="8">
        <v>-0.57604562737642584</v>
      </c>
      <c r="Z4" s="8">
        <v>-1.5536078271504279</v>
      </c>
      <c r="AA4" s="9">
        <v>4.2776141384388824</v>
      </c>
    </row>
    <row r="5" spans="2:27" x14ac:dyDescent="0.3">
      <c r="B5" s="12" t="s">
        <v>728</v>
      </c>
      <c r="C5" s="3" t="s">
        <v>819</v>
      </c>
      <c r="D5" s="3" t="s">
        <v>820</v>
      </c>
      <c r="E5" s="3" t="s">
        <v>821</v>
      </c>
      <c r="F5" s="37">
        <v>188.7</v>
      </c>
      <c r="G5" s="52">
        <v>34.64</v>
      </c>
      <c r="H5" s="52">
        <v>-90.61</v>
      </c>
      <c r="I5" s="52">
        <v>-91.83</v>
      </c>
      <c r="J5" s="52">
        <v>-135.85</v>
      </c>
      <c r="K5" s="53">
        <v>-43.38</v>
      </c>
      <c r="L5" s="52">
        <v>23.28</v>
      </c>
      <c r="M5" s="52">
        <v>-14.18</v>
      </c>
      <c r="N5" s="52">
        <v>-49.91</v>
      </c>
      <c r="O5" s="52">
        <v>64.64</v>
      </c>
      <c r="P5" s="52">
        <v>-28.83</v>
      </c>
      <c r="Q5" s="53">
        <v>-19.8</v>
      </c>
      <c r="R5" s="52">
        <v>34.29</v>
      </c>
      <c r="S5" s="52">
        <v>-40.19</v>
      </c>
      <c r="T5" s="52">
        <v>41.66</v>
      </c>
      <c r="U5" s="53">
        <v>8.2100000000000009</v>
      </c>
      <c r="V5" s="53">
        <v>41.63</v>
      </c>
      <c r="W5" s="53">
        <v>56.65</v>
      </c>
      <c r="X5" s="10">
        <v>-1.2926829268292681</v>
      </c>
      <c r="Y5" s="9">
        <v>1.7550125313283209</v>
      </c>
      <c r="Z5" s="9">
        <v>0.16693199909028891</v>
      </c>
      <c r="AA5" s="9">
        <v>1.887351393490547</v>
      </c>
    </row>
    <row r="6" spans="2:27" x14ac:dyDescent="0.3">
      <c r="B6" s="12" t="s">
        <v>247</v>
      </c>
      <c r="C6" s="3" t="s">
        <v>819</v>
      </c>
      <c r="D6" s="3" t="s">
        <v>828</v>
      </c>
      <c r="E6" s="3" t="s">
        <v>821</v>
      </c>
      <c r="F6" s="37">
        <v>157.30000000000001</v>
      </c>
      <c r="G6" s="52">
        <v>1.1499999999999999</v>
      </c>
      <c r="H6" s="52">
        <v>1.28</v>
      </c>
      <c r="I6" s="52">
        <v>1.1299999999999999</v>
      </c>
      <c r="J6" s="52">
        <v>-1.1599999999999999</v>
      </c>
      <c r="K6" s="53">
        <v>7.51</v>
      </c>
      <c r="L6" s="52">
        <v>-6.32</v>
      </c>
      <c r="M6" s="52">
        <v>-7.13</v>
      </c>
      <c r="N6" s="53">
        <v>-5.89</v>
      </c>
      <c r="O6" s="53">
        <v>4.6399999999999997</v>
      </c>
      <c r="P6" s="52">
        <v>1.1299999999999999</v>
      </c>
      <c r="Q6" s="52">
        <v>3.84</v>
      </c>
      <c r="R6" s="53">
        <v>7.34</v>
      </c>
      <c r="S6" s="52">
        <v>1.22</v>
      </c>
      <c r="T6" s="53">
        <v>7.08</v>
      </c>
      <c r="U6" s="52">
        <v>-8.7799999999999994</v>
      </c>
      <c r="V6" s="52">
        <v>6.55</v>
      </c>
      <c r="W6" s="53">
        <v>10.77</v>
      </c>
      <c r="X6" s="7">
        <v>0.43976348854397651</v>
      </c>
      <c r="Y6" s="8">
        <v>-0.64784394250513344</v>
      </c>
      <c r="Z6" s="8">
        <v>-0.11516034985422741</v>
      </c>
      <c r="AA6" s="9">
        <v>1.5733113673805601</v>
      </c>
    </row>
    <row r="7" spans="2:27" x14ac:dyDescent="0.3">
      <c r="B7" s="12" t="s">
        <v>432</v>
      </c>
      <c r="C7" s="3" t="s">
        <v>819</v>
      </c>
      <c r="D7" s="3" t="s">
        <v>841</v>
      </c>
      <c r="E7" s="3" t="s">
        <v>821</v>
      </c>
      <c r="F7" s="37">
        <v>126.3</v>
      </c>
      <c r="G7" s="52">
        <v>-16.54</v>
      </c>
      <c r="H7" s="52">
        <v>-23.17</v>
      </c>
      <c r="I7" s="52">
        <v>-39.380000000000003</v>
      </c>
      <c r="J7" s="52">
        <v>-33.229999999999997</v>
      </c>
      <c r="K7" s="52">
        <v>-21.79</v>
      </c>
      <c r="L7" s="52">
        <v>-26.87</v>
      </c>
      <c r="M7" s="52">
        <v>-18.02</v>
      </c>
      <c r="N7" s="52">
        <v>-34</v>
      </c>
      <c r="O7" s="52">
        <v>-31.19</v>
      </c>
      <c r="P7" s="52">
        <v>-19.16</v>
      </c>
      <c r="Q7" s="52">
        <v>-15.76</v>
      </c>
      <c r="R7" s="52">
        <v>0.37</v>
      </c>
      <c r="S7" s="52">
        <v>-4.53</v>
      </c>
      <c r="T7" s="52">
        <v>12.23</v>
      </c>
      <c r="U7" s="52">
        <v>14.64</v>
      </c>
      <c r="V7" s="53">
        <v>11.78</v>
      </c>
      <c r="W7" s="53">
        <v>38.58</v>
      </c>
      <c r="X7" s="10">
        <v>-0.80322415557830096</v>
      </c>
      <c r="Y7" s="8">
        <v>-3.9531859557867359</v>
      </c>
      <c r="Z7" s="9">
        <v>0.50242184059885497</v>
      </c>
      <c r="AA7" s="9">
        <v>1.263481828839391</v>
      </c>
    </row>
    <row r="8" spans="2:27" x14ac:dyDescent="0.3">
      <c r="B8" s="12" t="s">
        <v>681</v>
      </c>
      <c r="C8" s="3" t="s">
        <v>819</v>
      </c>
      <c r="D8" s="3" t="s">
        <v>902</v>
      </c>
      <c r="E8" s="3" t="s">
        <v>821</v>
      </c>
      <c r="F8" s="37">
        <v>108.2</v>
      </c>
      <c r="G8" s="52">
        <v>80.61</v>
      </c>
      <c r="H8" s="52">
        <v>211.13</v>
      </c>
      <c r="I8" s="52">
        <v>265.3</v>
      </c>
      <c r="J8" s="52">
        <v>154.41999999999999</v>
      </c>
      <c r="K8" s="52">
        <v>86.69</v>
      </c>
      <c r="L8" s="52">
        <v>44.21</v>
      </c>
      <c r="M8" s="52">
        <v>63.73</v>
      </c>
      <c r="N8" s="52">
        <v>76.45</v>
      </c>
      <c r="O8" s="52">
        <v>37.840000000000003</v>
      </c>
      <c r="P8" s="52">
        <v>2.56</v>
      </c>
      <c r="Q8" s="52">
        <v>44.55</v>
      </c>
      <c r="R8" s="52">
        <v>40.6</v>
      </c>
      <c r="S8" s="52">
        <v>-6.49</v>
      </c>
      <c r="T8" s="52">
        <v>-55.95</v>
      </c>
      <c r="U8" s="52">
        <v>8.74</v>
      </c>
      <c r="V8" s="53">
        <v>-1.99</v>
      </c>
      <c r="W8" s="53">
        <v>-66.77</v>
      </c>
      <c r="X8" s="10">
        <v>-0.72038906673233205</v>
      </c>
      <c r="Y8" s="8">
        <v>-1.576838397181858</v>
      </c>
      <c r="Z8" s="9">
        <v>3.2511450381679392</v>
      </c>
      <c r="AA8" s="9">
        <v>1.082420542287664</v>
      </c>
    </row>
    <row r="9" spans="2:27" x14ac:dyDescent="0.3">
      <c r="B9" s="12" t="s">
        <v>673</v>
      </c>
      <c r="C9" s="3" t="s">
        <v>819</v>
      </c>
      <c r="D9" s="3" t="s">
        <v>854</v>
      </c>
      <c r="E9" s="3" t="s">
        <v>821</v>
      </c>
      <c r="F9" s="37">
        <v>107.4</v>
      </c>
      <c r="G9" s="52">
        <v>87.36</v>
      </c>
      <c r="H9" s="52">
        <v>42.09</v>
      </c>
      <c r="I9" s="52">
        <v>49.2</v>
      </c>
      <c r="J9" s="52">
        <v>45.18</v>
      </c>
      <c r="K9" s="52">
        <v>30.77</v>
      </c>
      <c r="L9" s="52">
        <v>4.4400000000000004</v>
      </c>
      <c r="M9" s="52">
        <v>13.03</v>
      </c>
      <c r="N9" s="52">
        <v>-2.25</v>
      </c>
      <c r="O9" s="52">
        <v>20.65</v>
      </c>
      <c r="P9" s="53">
        <v>23.07</v>
      </c>
      <c r="Q9" s="53">
        <v>18.739999999999998</v>
      </c>
      <c r="R9" s="53">
        <v>20.53</v>
      </c>
      <c r="S9" s="52">
        <v>14.83</v>
      </c>
      <c r="T9" s="52">
        <v>-9.77</v>
      </c>
      <c r="U9" s="52">
        <v>-3.61</v>
      </c>
      <c r="V9" s="52">
        <v>2.4700000000000002</v>
      </c>
      <c r="W9" s="53">
        <v>19.04</v>
      </c>
      <c r="X9" s="10">
        <v>-0.42555397175068033</v>
      </c>
      <c r="Y9" s="8">
        <v>-0.50417324610872993</v>
      </c>
      <c r="Z9" s="8">
        <v>-0.82165605095541394</v>
      </c>
      <c r="AA9" s="9">
        <v>1.0739795918367341</v>
      </c>
    </row>
    <row r="10" spans="2:27" x14ac:dyDescent="0.3">
      <c r="B10" s="12" t="s">
        <v>646</v>
      </c>
      <c r="C10" s="3" t="s">
        <v>819</v>
      </c>
      <c r="D10" s="3" t="s">
        <v>893</v>
      </c>
      <c r="E10" s="3" t="s">
        <v>821</v>
      </c>
      <c r="F10" s="37">
        <v>86</v>
      </c>
      <c r="G10" s="52">
        <v>-4.78</v>
      </c>
      <c r="H10" s="52">
        <v>3.11</v>
      </c>
      <c r="I10" s="52">
        <v>3.03</v>
      </c>
      <c r="J10" s="52">
        <v>-1.28</v>
      </c>
      <c r="K10" s="53">
        <v>18.690000000000001</v>
      </c>
      <c r="L10" s="53">
        <v>8.83</v>
      </c>
      <c r="M10" s="53">
        <v>15.85</v>
      </c>
      <c r="N10" s="53">
        <v>14.34</v>
      </c>
      <c r="O10" s="52">
        <v>10.53</v>
      </c>
      <c r="P10" s="52">
        <v>2.93</v>
      </c>
      <c r="Q10" s="52">
        <v>-2.52</v>
      </c>
      <c r="R10" s="52">
        <v>6.19</v>
      </c>
      <c r="S10" s="52">
        <v>0.26</v>
      </c>
      <c r="T10" s="52">
        <v>-4.7300000000000004</v>
      </c>
      <c r="U10" s="52">
        <v>2.2000000000000002</v>
      </c>
      <c r="V10" s="52">
        <v>-1.08</v>
      </c>
      <c r="W10" s="53">
        <v>-2.62</v>
      </c>
      <c r="X10" s="10">
        <v>-1.116618075801749</v>
      </c>
      <c r="Y10" s="8">
        <v>-5.8999999999999986</v>
      </c>
      <c r="Z10" s="8">
        <v>-1.8545918367346941</v>
      </c>
      <c r="AA10" s="9">
        <v>0.85970149253731321</v>
      </c>
    </row>
    <row r="11" spans="2:27" x14ac:dyDescent="0.3">
      <c r="B11" s="12" t="s">
        <v>460</v>
      </c>
      <c r="C11" s="3" t="s">
        <v>819</v>
      </c>
      <c r="D11" s="3" t="s">
        <v>830</v>
      </c>
      <c r="E11" s="3" t="s">
        <v>821</v>
      </c>
      <c r="F11" s="37">
        <v>82.9</v>
      </c>
      <c r="G11" s="52">
        <v>-162.5</v>
      </c>
      <c r="H11" s="52">
        <v>-213.7</v>
      </c>
      <c r="I11" s="52">
        <v>-119.2</v>
      </c>
      <c r="J11" s="52">
        <v>-129</v>
      </c>
      <c r="K11" s="52">
        <v>57.7</v>
      </c>
      <c r="L11" s="52">
        <v>179.2</v>
      </c>
      <c r="M11" s="52">
        <v>167.1</v>
      </c>
      <c r="N11" s="53">
        <v>102.5</v>
      </c>
      <c r="O11" s="52">
        <v>53.8</v>
      </c>
      <c r="P11" s="52">
        <v>138.30000000000001</v>
      </c>
      <c r="Q11" s="52">
        <v>41.8</v>
      </c>
      <c r="R11" s="53">
        <v>145.19999999999999</v>
      </c>
      <c r="S11" s="52">
        <v>20</v>
      </c>
      <c r="T11" s="52">
        <v>91.2</v>
      </c>
      <c r="U11" s="53">
        <v>112.7</v>
      </c>
      <c r="V11" s="52">
        <v>123.3</v>
      </c>
      <c r="W11" s="53">
        <v>308</v>
      </c>
      <c r="X11" s="10">
        <v>-0.13640312771503049</v>
      </c>
      <c r="Y11" s="9">
        <v>0.2377598926894702</v>
      </c>
      <c r="Z11" s="8">
        <v>-5.9333513952858352E-2</v>
      </c>
      <c r="AA11" s="9">
        <v>0.82949308755760387</v>
      </c>
    </row>
    <row r="12" spans="2:27" x14ac:dyDescent="0.3">
      <c r="B12" s="12" t="s">
        <v>267</v>
      </c>
      <c r="C12" s="3" t="s">
        <v>819</v>
      </c>
      <c r="D12" s="3" t="s">
        <v>862</v>
      </c>
      <c r="E12" s="3" t="s">
        <v>821</v>
      </c>
      <c r="F12" s="37">
        <v>67.2</v>
      </c>
      <c r="G12" s="52">
        <v>97</v>
      </c>
      <c r="H12" s="52">
        <v>56</v>
      </c>
      <c r="I12" s="52">
        <v>55</v>
      </c>
      <c r="J12" s="52">
        <v>53</v>
      </c>
      <c r="K12" s="52">
        <v>56</v>
      </c>
      <c r="L12" s="52">
        <v>7</v>
      </c>
      <c r="M12" s="52">
        <v>60</v>
      </c>
      <c r="N12" s="52">
        <v>68</v>
      </c>
      <c r="O12" s="52">
        <v>69</v>
      </c>
      <c r="P12" s="52">
        <v>15</v>
      </c>
      <c r="Q12" s="52">
        <v>40</v>
      </c>
      <c r="R12" s="52">
        <v>65</v>
      </c>
      <c r="S12" s="52">
        <v>86</v>
      </c>
      <c r="T12" s="52">
        <v>-61</v>
      </c>
      <c r="U12" s="52">
        <v>11</v>
      </c>
      <c r="V12" s="53">
        <v>80</v>
      </c>
      <c r="W12" s="53">
        <v>164</v>
      </c>
      <c r="X12" s="10">
        <v>-0.3689320388349514</v>
      </c>
      <c r="Y12" s="8">
        <v>-0.22307692307692309</v>
      </c>
      <c r="Z12" s="9">
        <v>0.1485148514851484</v>
      </c>
      <c r="AA12" s="9">
        <v>0.67241379310344818</v>
      </c>
    </row>
    <row r="13" spans="2:27" x14ac:dyDescent="0.3">
      <c r="B13" s="12" t="s">
        <v>89</v>
      </c>
      <c r="C13" s="3" t="s">
        <v>819</v>
      </c>
      <c r="D13" s="3" t="s">
        <v>827</v>
      </c>
      <c r="E13" s="3" t="s">
        <v>821</v>
      </c>
      <c r="F13" s="37">
        <v>58.6</v>
      </c>
      <c r="G13" s="52">
        <v>1513</v>
      </c>
      <c r="H13" s="52">
        <v>-1050</v>
      </c>
      <c r="I13" s="52">
        <v>1320</v>
      </c>
      <c r="J13" s="52">
        <v>1007</v>
      </c>
      <c r="K13" s="53">
        <v>2272</v>
      </c>
      <c r="L13" s="53">
        <v>1485</v>
      </c>
      <c r="M13" s="52">
        <v>48</v>
      </c>
      <c r="N13" s="52">
        <v>79</v>
      </c>
      <c r="O13" s="52">
        <v>589</v>
      </c>
      <c r="P13" s="52">
        <v>35</v>
      </c>
      <c r="Q13" s="52">
        <v>-258</v>
      </c>
      <c r="R13" s="52">
        <v>-140</v>
      </c>
      <c r="S13" s="52">
        <v>-119</v>
      </c>
      <c r="T13" s="53">
        <v>-241</v>
      </c>
      <c r="U13" s="52">
        <v>1290</v>
      </c>
      <c r="V13" s="53">
        <v>731</v>
      </c>
      <c r="W13" s="53">
        <v>854</v>
      </c>
      <c r="X13" s="7">
        <v>0.57261410788381739</v>
      </c>
      <c r="Y13" s="8">
        <v>-2.0422163588390498</v>
      </c>
      <c r="Z13" s="9">
        <v>1.1025316455696199</v>
      </c>
      <c r="AA13" s="9">
        <v>0.58579169175195656</v>
      </c>
    </row>
    <row r="14" spans="2:27" x14ac:dyDescent="0.3">
      <c r="B14" s="12" t="s">
        <v>188</v>
      </c>
      <c r="C14" s="3" t="s">
        <v>819</v>
      </c>
      <c r="D14" s="3" t="s">
        <v>824</v>
      </c>
      <c r="E14" s="3" t="s">
        <v>821</v>
      </c>
      <c r="F14" s="37">
        <v>55.7</v>
      </c>
      <c r="G14" s="52">
        <v>1.64</v>
      </c>
      <c r="H14" s="52">
        <v>-0.56999999999999995</v>
      </c>
      <c r="I14" s="52">
        <v>2.0499999999999998</v>
      </c>
      <c r="J14" s="52">
        <v>-36.42</v>
      </c>
      <c r="K14" s="53">
        <v>-5.72</v>
      </c>
      <c r="L14" s="53">
        <v>-16.09</v>
      </c>
      <c r="M14" s="53">
        <v>-5.07</v>
      </c>
      <c r="N14" s="52">
        <v>-6.85</v>
      </c>
      <c r="O14" s="53">
        <v>-10.71</v>
      </c>
      <c r="P14" s="52">
        <v>-3.36</v>
      </c>
      <c r="Q14" s="52">
        <v>16.68</v>
      </c>
      <c r="R14" s="52">
        <v>85.38</v>
      </c>
      <c r="S14" s="53">
        <v>58.74</v>
      </c>
      <c r="T14" s="53">
        <v>62.16</v>
      </c>
      <c r="U14" s="53">
        <v>142.93</v>
      </c>
      <c r="V14" s="53">
        <v>184.54</v>
      </c>
      <c r="W14" s="53">
        <v>308.60000000000002</v>
      </c>
      <c r="X14" s="7">
        <v>0.41615853658536572</v>
      </c>
      <c r="Y14" s="9">
        <v>0.56624506637961969</v>
      </c>
      <c r="Z14" s="9">
        <v>0.28395521319549849</v>
      </c>
      <c r="AA14" s="9">
        <v>0.55726297477529729</v>
      </c>
    </row>
    <row r="15" spans="2:27" x14ac:dyDescent="0.3">
      <c r="B15" s="12" t="s">
        <v>122</v>
      </c>
      <c r="C15" s="3" t="s">
        <v>819</v>
      </c>
      <c r="D15" s="3" t="s">
        <v>824</v>
      </c>
      <c r="E15" s="3" t="s">
        <v>821</v>
      </c>
      <c r="F15" s="37">
        <v>45.8</v>
      </c>
      <c r="G15" s="52">
        <v>50.87</v>
      </c>
      <c r="H15" s="52">
        <v>40.799999999999997</v>
      </c>
      <c r="I15" s="52">
        <v>-150.80000000000001</v>
      </c>
      <c r="J15" s="52">
        <v>-42.6</v>
      </c>
      <c r="K15" s="53">
        <v>0.7</v>
      </c>
      <c r="L15" s="52">
        <v>40</v>
      </c>
      <c r="M15" s="52">
        <v>27.4</v>
      </c>
      <c r="N15" s="53">
        <v>10.7</v>
      </c>
      <c r="O15" s="52">
        <v>-33.9</v>
      </c>
      <c r="P15" s="52">
        <v>15.2</v>
      </c>
      <c r="Q15" s="53">
        <v>78.8</v>
      </c>
      <c r="R15" s="53">
        <v>157.4</v>
      </c>
      <c r="S15" s="53">
        <v>86</v>
      </c>
      <c r="T15" s="53">
        <v>222</v>
      </c>
      <c r="U15" s="53">
        <v>241.5</v>
      </c>
      <c r="V15" s="53">
        <v>256.8</v>
      </c>
      <c r="W15" s="53">
        <v>455.4</v>
      </c>
      <c r="X15" s="7">
        <v>0.61292234736218165</v>
      </c>
      <c r="Y15" s="9">
        <v>0.29897096655641292</v>
      </c>
      <c r="Z15" s="9">
        <v>0.14061394822464271</v>
      </c>
      <c r="AA15" s="9">
        <v>0.45814213072057552</v>
      </c>
    </row>
    <row r="16" spans="2:27" x14ac:dyDescent="0.3">
      <c r="B16" s="12" t="s">
        <v>656</v>
      </c>
      <c r="C16" s="3" t="s">
        <v>819</v>
      </c>
      <c r="D16" s="3" t="s">
        <v>820</v>
      </c>
      <c r="E16" s="3" t="s">
        <v>821</v>
      </c>
      <c r="F16" s="37">
        <v>40.700000000000003</v>
      </c>
      <c r="G16" s="52">
        <v>44.12</v>
      </c>
      <c r="H16" s="52">
        <v>-82.91</v>
      </c>
      <c r="I16" s="52">
        <v>-100.37</v>
      </c>
      <c r="J16" s="52">
        <v>-55.02</v>
      </c>
      <c r="K16" s="53">
        <v>6.71</v>
      </c>
      <c r="L16" s="52">
        <v>73.34</v>
      </c>
      <c r="M16" s="52">
        <v>-26.28</v>
      </c>
      <c r="N16" s="53">
        <v>-56.34</v>
      </c>
      <c r="O16" s="52">
        <v>89.73</v>
      </c>
      <c r="P16" s="52">
        <v>24.26</v>
      </c>
      <c r="Q16" s="53">
        <v>42.29</v>
      </c>
      <c r="R16" s="53">
        <v>49.7</v>
      </c>
      <c r="S16" s="52">
        <v>3.44</v>
      </c>
      <c r="T16" s="53">
        <v>40.299999999999997</v>
      </c>
      <c r="U16" s="52">
        <v>33.42</v>
      </c>
      <c r="V16" s="52">
        <v>48</v>
      </c>
      <c r="W16" s="53">
        <v>54.32</v>
      </c>
      <c r="X16" s="7">
        <v>0.1340128665719775</v>
      </c>
      <c r="Y16" s="8">
        <v>-6.5350327856774415E-2</v>
      </c>
      <c r="Z16" s="8">
        <v>-1.34005990856062E-2</v>
      </c>
      <c r="AA16" s="9">
        <v>0.40651965484180241</v>
      </c>
    </row>
    <row r="17" spans="2:27" x14ac:dyDescent="0.3">
      <c r="B17" s="12" t="s">
        <v>413</v>
      </c>
      <c r="C17" s="3" t="s">
        <v>819</v>
      </c>
      <c r="D17" s="3" t="s">
        <v>824</v>
      </c>
      <c r="E17" s="3" t="s">
        <v>904</v>
      </c>
      <c r="F17" s="37">
        <f>AA17*100</f>
        <v>39.384400139909047</v>
      </c>
      <c r="G17" s="52">
        <v>585.4</v>
      </c>
      <c r="H17" s="54"/>
      <c r="I17" s="52">
        <v>585.4</v>
      </c>
      <c r="J17" s="54"/>
      <c r="K17" s="52">
        <v>587.9</v>
      </c>
      <c r="L17" s="54"/>
      <c r="M17" s="52">
        <v>778.4</v>
      </c>
      <c r="N17" s="54"/>
      <c r="O17" s="52">
        <v>659.6</v>
      </c>
      <c r="P17" s="54"/>
      <c r="Q17" s="53">
        <v>896.6</v>
      </c>
      <c r="R17" s="54"/>
      <c r="S17" s="53">
        <v>1213</v>
      </c>
      <c r="T17" s="54"/>
      <c r="U17" s="53">
        <v>1646</v>
      </c>
      <c r="V17" s="54"/>
      <c r="W17" s="53">
        <v>2339</v>
      </c>
      <c r="X17" s="7">
        <v>8.219749652294861E-2</v>
      </c>
      <c r="Y17" s="9">
        <v>0.3556098187893586</v>
      </c>
      <c r="Z17" s="9">
        <v>0.35523321956769061</v>
      </c>
      <c r="AA17" s="9">
        <f>SUM(W17,U17)/SUM(U17,S17)-1</f>
        <v>0.39384400139909048</v>
      </c>
    </row>
    <row r="18" spans="2:27" x14ac:dyDescent="0.3">
      <c r="B18" s="12" t="s">
        <v>236</v>
      </c>
      <c r="C18" s="3" t="s">
        <v>819</v>
      </c>
      <c r="D18" s="3" t="s">
        <v>888</v>
      </c>
      <c r="E18" s="3" t="s">
        <v>821</v>
      </c>
      <c r="F18" s="37">
        <v>34.299999999999997</v>
      </c>
      <c r="G18" s="52">
        <v>83</v>
      </c>
      <c r="H18" s="52">
        <v>57</v>
      </c>
      <c r="I18" s="52">
        <v>85</v>
      </c>
      <c r="J18" s="52">
        <v>-43</v>
      </c>
      <c r="K18" s="52">
        <v>59</v>
      </c>
      <c r="L18" s="52">
        <v>-93</v>
      </c>
      <c r="M18" s="53">
        <v>152</v>
      </c>
      <c r="N18" s="53">
        <v>199</v>
      </c>
      <c r="O18" s="52">
        <v>2</v>
      </c>
      <c r="P18" s="53">
        <v>45</v>
      </c>
      <c r="Q18" s="52">
        <v>131</v>
      </c>
      <c r="R18" s="52">
        <v>54</v>
      </c>
      <c r="S18" s="53">
        <v>153</v>
      </c>
      <c r="T18" s="53">
        <v>106</v>
      </c>
      <c r="U18" s="52">
        <v>18</v>
      </c>
      <c r="V18" s="52">
        <v>-478</v>
      </c>
      <c r="W18" s="53">
        <v>84</v>
      </c>
      <c r="X18" s="7">
        <v>0.1592689295039165</v>
      </c>
      <c r="Y18" s="8">
        <v>-0.25450450450450451</v>
      </c>
      <c r="Z18" s="8">
        <v>-1.607250755287009</v>
      </c>
      <c r="AA18" s="9">
        <v>0.34328358208955229</v>
      </c>
    </row>
    <row r="19" spans="2:27" x14ac:dyDescent="0.3">
      <c r="B19" s="12" t="s">
        <v>228</v>
      </c>
      <c r="C19" s="3" t="s">
        <v>819</v>
      </c>
      <c r="D19" s="3" t="s">
        <v>860</v>
      </c>
      <c r="E19" s="3" t="s">
        <v>821</v>
      </c>
      <c r="F19" s="37">
        <v>33.5</v>
      </c>
      <c r="G19" s="52">
        <v>1370</v>
      </c>
      <c r="H19" s="52">
        <v>1059</v>
      </c>
      <c r="I19" s="52">
        <v>1071</v>
      </c>
      <c r="J19" s="52">
        <v>526.24</v>
      </c>
      <c r="K19" s="52">
        <v>141.04</v>
      </c>
      <c r="L19" s="52">
        <v>357.39</v>
      </c>
      <c r="M19" s="52">
        <v>731.74</v>
      </c>
      <c r="N19" s="52">
        <v>527.32000000000005</v>
      </c>
      <c r="O19" s="53">
        <v>413.22</v>
      </c>
      <c r="P19" s="53">
        <v>674.86</v>
      </c>
      <c r="Q19" s="52">
        <v>370.52</v>
      </c>
      <c r="R19" s="52">
        <v>175.5</v>
      </c>
      <c r="S19" s="52">
        <v>-18.03</v>
      </c>
      <c r="T19" s="52">
        <v>131.83000000000001</v>
      </c>
      <c r="U19" s="52">
        <v>199.23</v>
      </c>
      <c r="V19" s="52">
        <v>215.4</v>
      </c>
      <c r="W19" s="53">
        <v>159</v>
      </c>
      <c r="X19" s="10">
        <v>-0.45145279960094781</v>
      </c>
      <c r="Y19" s="8">
        <v>-0.25960110333121161</v>
      </c>
      <c r="Z19" s="8">
        <v>8.1673592205187218E-2</v>
      </c>
      <c r="AA19" s="9">
        <v>0.33501125976950591</v>
      </c>
    </row>
    <row r="20" spans="2:27" x14ac:dyDescent="0.3">
      <c r="B20" s="12" t="s">
        <v>70</v>
      </c>
      <c r="C20" s="3" t="s">
        <v>819</v>
      </c>
      <c r="D20" s="3" t="s">
        <v>823</v>
      </c>
      <c r="E20" s="3" t="s">
        <v>821</v>
      </c>
      <c r="F20" s="37">
        <v>33.1</v>
      </c>
      <c r="G20" s="52">
        <v>0</v>
      </c>
      <c r="H20" s="52">
        <v>247.1</v>
      </c>
      <c r="I20" s="52">
        <v>263.2</v>
      </c>
      <c r="J20" s="52">
        <v>253.6</v>
      </c>
      <c r="K20" s="52">
        <v>0</v>
      </c>
      <c r="L20" s="52">
        <v>295.10000000000002</v>
      </c>
      <c r="M20" s="52">
        <v>284</v>
      </c>
      <c r="N20" s="52">
        <v>281.10000000000002</v>
      </c>
      <c r="O20" s="53">
        <v>275</v>
      </c>
      <c r="P20" s="52">
        <v>307.5</v>
      </c>
      <c r="Q20" s="52">
        <v>318.7</v>
      </c>
      <c r="R20" s="52">
        <v>311.7</v>
      </c>
      <c r="S20" s="52">
        <v>0</v>
      </c>
      <c r="T20" s="52">
        <v>330.9</v>
      </c>
      <c r="U20" s="52">
        <v>354.4</v>
      </c>
      <c r="V20" s="52">
        <v>349.8</v>
      </c>
      <c r="W20" s="53">
        <v>342.5</v>
      </c>
      <c r="X20" s="10">
        <v>2.494935494189154E-2</v>
      </c>
      <c r="Y20" s="8">
        <v>3.713721002808712E-2</v>
      </c>
      <c r="Z20" s="8">
        <v>3.8214643931795189E-2</v>
      </c>
      <c r="AA20" s="9">
        <v>0.3308859047435031</v>
      </c>
    </row>
    <row r="21" spans="2:27" x14ac:dyDescent="0.3">
      <c r="B21" s="12" t="s">
        <v>190</v>
      </c>
      <c r="C21" s="3" t="s">
        <v>819</v>
      </c>
      <c r="D21" s="3" t="s">
        <v>826</v>
      </c>
      <c r="E21" s="3" t="s">
        <v>821</v>
      </c>
      <c r="F21" s="37">
        <v>31.2</v>
      </c>
      <c r="G21" s="52">
        <v>-28.52</v>
      </c>
      <c r="H21" s="52">
        <v>256.93</v>
      </c>
      <c r="I21" s="52">
        <v>1678</v>
      </c>
      <c r="J21" s="52">
        <v>1337</v>
      </c>
      <c r="K21" s="53">
        <v>834.62</v>
      </c>
      <c r="L21" s="52">
        <v>507.14</v>
      </c>
      <c r="M21" s="52">
        <v>706.9</v>
      </c>
      <c r="N21" s="52">
        <v>1077</v>
      </c>
      <c r="O21" s="52">
        <v>-49.15</v>
      </c>
      <c r="P21" s="52">
        <v>412</v>
      </c>
      <c r="Q21" s="52">
        <v>196</v>
      </c>
      <c r="R21" s="52">
        <v>-121</v>
      </c>
      <c r="S21" s="52">
        <v>-213.57</v>
      </c>
      <c r="T21" s="52">
        <v>82</v>
      </c>
      <c r="U21" s="52">
        <v>274</v>
      </c>
      <c r="V21" s="53">
        <v>564</v>
      </c>
      <c r="W21" s="53">
        <v>7</v>
      </c>
      <c r="X21" s="10">
        <v>-1.2068902461324651</v>
      </c>
      <c r="Y21" s="8">
        <v>-1.378822697542867</v>
      </c>
      <c r="Z21" s="9">
        <v>31.96453569762015</v>
      </c>
      <c r="AA21" s="9">
        <v>0.3122319267301783</v>
      </c>
    </row>
    <row r="22" spans="2:27" x14ac:dyDescent="0.3">
      <c r="B22" s="12" t="s">
        <v>163</v>
      </c>
      <c r="C22" s="3" t="s">
        <v>819</v>
      </c>
      <c r="D22" s="3" t="s">
        <v>825</v>
      </c>
      <c r="E22" s="3" t="s">
        <v>821</v>
      </c>
      <c r="F22" s="37">
        <v>27.4</v>
      </c>
      <c r="G22" s="52">
        <v>46.95</v>
      </c>
      <c r="H22" s="52">
        <v>23.22</v>
      </c>
      <c r="I22" s="52">
        <v>15.78</v>
      </c>
      <c r="J22" s="52">
        <v>-17.23</v>
      </c>
      <c r="K22" s="52">
        <v>4.12</v>
      </c>
      <c r="L22" s="52">
        <v>18.97</v>
      </c>
      <c r="M22" s="53">
        <v>19.38</v>
      </c>
      <c r="N22" s="53">
        <v>11.68</v>
      </c>
      <c r="O22" s="52">
        <v>-12.63</v>
      </c>
      <c r="P22" s="52">
        <v>21.55</v>
      </c>
      <c r="Q22" s="53">
        <v>30.47</v>
      </c>
      <c r="R22" s="53">
        <v>23.87</v>
      </c>
      <c r="S22" s="53">
        <v>112.5</v>
      </c>
      <c r="T22" s="53">
        <v>57.26</v>
      </c>
      <c r="U22" s="53">
        <v>99.58</v>
      </c>
      <c r="V22" s="53">
        <v>153.97999999999999</v>
      </c>
      <c r="W22" s="53">
        <v>228.28</v>
      </c>
      <c r="X22" s="7">
        <v>0.1895535856467967</v>
      </c>
      <c r="Y22" s="9">
        <v>0.30838911200356978</v>
      </c>
      <c r="Z22" s="9">
        <v>0.44374339210804559</v>
      </c>
      <c r="AA22" s="9">
        <v>0.27350467731267131</v>
      </c>
    </row>
    <row r="23" spans="2:27" x14ac:dyDescent="0.3">
      <c r="B23" s="12" t="s">
        <v>733</v>
      </c>
      <c r="C23" s="3" t="s">
        <v>819</v>
      </c>
      <c r="D23" s="3" t="s">
        <v>834</v>
      </c>
      <c r="E23" s="3" t="s">
        <v>821</v>
      </c>
      <c r="F23" s="37">
        <v>27.2</v>
      </c>
      <c r="G23" s="52">
        <v>4.37</v>
      </c>
      <c r="H23" s="52">
        <v>-14.9</v>
      </c>
      <c r="I23" s="52">
        <v>-4.09</v>
      </c>
      <c r="J23" s="52">
        <v>1.78</v>
      </c>
      <c r="K23" s="52">
        <v>8.8000000000000007</v>
      </c>
      <c r="L23" s="52">
        <v>-3.15</v>
      </c>
      <c r="M23" s="53">
        <v>2.66</v>
      </c>
      <c r="N23" s="53">
        <v>4.29</v>
      </c>
      <c r="O23" s="53">
        <v>11.8</v>
      </c>
      <c r="P23" s="52">
        <v>-2.96</v>
      </c>
      <c r="Q23" s="53">
        <v>5.85</v>
      </c>
      <c r="R23" s="53">
        <v>6.78</v>
      </c>
      <c r="S23" s="52">
        <v>12.52</v>
      </c>
      <c r="T23" s="52">
        <v>-4.54</v>
      </c>
      <c r="U23" s="52">
        <v>4.08</v>
      </c>
      <c r="V23" s="53">
        <v>10.96</v>
      </c>
      <c r="W23" s="53">
        <v>18.78</v>
      </c>
      <c r="X23" s="10">
        <v>-7.1203244704821977E-2</v>
      </c>
      <c r="Y23" s="8">
        <v>-8.5880640465793245E-2</v>
      </c>
      <c r="Z23" s="9">
        <v>0.22186836518046721</v>
      </c>
      <c r="AA23" s="9">
        <v>0.27193744569939188</v>
      </c>
    </row>
    <row r="24" spans="2:27" x14ac:dyDescent="0.3">
      <c r="B24" s="12" t="s">
        <v>301</v>
      </c>
      <c r="C24" s="3" t="s">
        <v>819</v>
      </c>
      <c r="D24" s="3" t="s">
        <v>853</v>
      </c>
      <c r="E24" s="3" t="s">
        <v>821</v>
      </c>
      <c r="F24" s="37">
        <v>26.7</v>
      </c>
      <c r="G24" s="52">
        <v>39.130000000000003</v>
      </c>
      <c r="H24" s="52">
        <v>-248.85</v>
      </c>
      <c r="I24" s="52">
        <v>-267.07</v>
      </c>
      <c r="J24" s="52">
        <v>-124.63</v>
      </c>
      <c r="K24" s="52">
        <v>-12.93</v>
      </c>
      <c r="L24" s="52">
        <v>-57.15</v>
      </c>
      <c r="M24" s="52">
        <v>-55.66</v>
      </c>
      <c r="N24" s="52">
        <v>-9.31</v>
      </c>
      <c r="O24" s="52">
        <v>245.72</v>
      </c>
      <c r="P24" s="53">
        <v>96.99</v>
      </c>
      <c r="Q24" s="53">
        <v>88.3</v>
      </c>
      <c r="R24" s="53">
        <v>294.77999999999997</v>
      </c>
      <c r="S24" s="52">
        <v>110.83</v>
      </c>
      <c r="T24" s="52">
        <v>-135.11000000000001</v>
      </c>
      <c r="U24" s="53">
        <v>211.24</v>
      </c>
      <c r="V24" s="53">
        <v>357.5</v>
      </c>
      <c r="W24" s="53">
        <v>255.94</v>
      </c>
      <c r="X24" s="10">
        <v>-0.39279065831782028</v>
      </c>
      <c r="Y24" s="9">
        <v>0.34264214046822739</v>
      </c>
      <c r="Z24" s="9">
        <v>0.13019471083987219</v>
      </c>
      <c r="AA24" s="9">
        <v>0.26652095654409852</v>
      </c>
    </row>
    <row r="25" spans="2:27" x14ac:dyDescent="0.3">
      <c r="B25" s="12" t="s">
        <v>38</v>
      </c>
      <c r="C25" s="3" t="s">
        <v>819</v>
      </c>
      <c r="D25" s="3" t="s">
        <v>833</v>
      </c>
      <c r="E25" s="3" t="s">
        <v>821</v>
      </c>
      <c r="F25" s="37">
        <v>26.5</v>
      </c>
      <c r="G25" s="52">
        <v>-146</v>
      </c>
      <c r="H25" s="52">
        <v>-159</v>
      </c>
      <c r="I25" s="52">
        <v>-224</v>
      </c>
      <c r="J25" s="52">
        <v>-296</v>
      </c>
      <c r="K25" s="53">
        <v>-281</v>
      </c>
      <c r="L25" s="52">
        <v>-168</v>
      </c>
      <c r="M25" s="52">
        <v>-210</v>
      </c>
      <c r="N25" s="52">
        <v>-108</v>
      </c>
      <c r="O25" s="52">
        <v>-89</v>
      </c>
      <c r="P25" s="52">
        <v>-61</v>
      </c>
      <c r="Q25" s="52">
        <v>-116</v>
      </c>
      <c r="R25" s="52">
        <v>107</v>
      </c>
      <c r="S25" s="52">
        <v>32</v>
      </c>
      <c r="T25" s="52">
        <v>172</v>
      </c>
      <c r="U25" s="53">
        <v>185</v>
      </c>
      <c r="V25" s="53">
        <v>276</v>
      </c>
      <c r="W25" s="53">
        <v>208</v>
      </c>
      <c r="X25" s="10">
        <v>-6.1315789473684212</v>
      </c>
      <c r="Y25" s="9">
        <v>1.543589743589743</v>
      </c>
      <c r="Z25" s="9">
        <v>0.34072580645161299</v>
      </c>
      <c r="AA25" s="9">
        <v>0.26466165413533838</v>
      </c>
    </row>
    <row r="26" spans="2:27" x14ac:dyDescent="0.3">
      <c r="B26" s="12" t="s">
        <v>724</v>
      </c>
      <c r="C26" s="3" t="s">
        <v>819</v>
      </c>
      <c r="D26" s="3" t="s">
        <v>868</v>
      </c>
      <c r="E26" s="3" t="s">
        <v>821</v>
      </c>
      <c r="F26" s="37">
        <v>26.4</v>
      </c>
      <c r="G26" s="52">
        <v>17.7</v>
      </c>
      <c r="H26" s="52">
        <v>23.5</v>
      </c>
      <c r="I26" s="52">
        <v>0</v>
      </c>
      <c r="J26" s="52">
        <v>3.1</v>
      </c>
      <c r="K26" s="52">
        <v>4.2</v>
      </c>
      <c r="L26" s="52">
        <v>-1.7</v>
      </c>
      <c r="M26" s="53">
        <v>10.4</v>
      </c>
      <c r="N26" s="52">
        <v>-2.9</v>
      </c>
      <c r="O26" s="52">
        <v>3.9</v>
      </c>
      <c r="P26" s="53">
        <v>1</v>
      </c>
      <c r="Q26" s="53">
        <v>22.6</v>
      </c>
      <c r="R26" s="53">
        <v>18.600000000000001</v>
      </c>
      <c r="S26" s="52">
        <v>2.2000000000000002</v>
      </c>
      <c r="T26" s="52">
        <v>-12.8</v>
      </c>
      <c r="U26" s="52">
        <v>23.5</v>
      </c>
      <c r="V26" s="53">
        <v>23.5</v>
      </c>
      <c r="W26" s="53">
        <v>11.8</v>
      </c>
      <c r="X26" s="10">
        <v>-0.31081081081081091</v>
      </c>
      <c r="Y26" s="8">
        <v>2.9411764705882248E-2</v>
      </c>
      <c r="Z26" s="9">
        <v>0.15555555555555539</v>
      </c>
      <c r="AA26" s="9">
        <v>0.26373626373626369</v>
      </c>
    </row>
    <row r="27" spans="2:27" x14ac:dyDescent="0.3">
      <c r="B27" s="12" t="s">
        <v>135</v>
      </c>
      <c r="C27" s="3" t="s">
        <v>819</v>
      </c>
      <c r="D27" s="3" t="s">
        <v>828</v>
      </c>
      <c r="E27" s="3" t="s">
        <v>821</v>
      </c>
      <c r="F27" s="37">
        <v>24.2</v>
      </c>
      <c r="G27" s="52"/>
      <c r="H27" s="52"/>
      <c r="I27" s="52"/>
      <c r="J27" s="52"/>
      <c r="K27" s="52"/>
      <c r="L27" s="52"/>
      <c r="M27" s="52"/>
      <c r="N27" s="52"/>
      <c r="O27" s="52"/>
      <c r="P27" s="52">
        <v>12.52</v>
      </c>
      <c r="Q27" s="52">
        <v>-894.29</v>
      </c>
      <c r="R27" s="52">
        <v>-47.34</v>
      </c>
      <c r="S27" s="52">
        <v>56.18</v>
      </c>
      <c r="T27" s="52">
        <v>39.75</v>
      </c>
      <c r="U27" s="52">
        <v>2.08</v>
      </c>
      <c r="V27" s="52">
        <v>-1137</v>
      </c>
      <c r="W27" s="53">
        <v>-195.5</v>
      </c>
      <c r="X27" s="10">
        <v>-3.1193795607895258E-2</v>
      </c>
      <c r="Y27" s="8">
        <v>-1.059914863426747</v>
      </c>
      <c r="Z27" s="8">
        <v>-21.505032563647131</v>
      </c>
      <c r="AA27" s="9">
        <v>0.24223524769247071</v>
      </c>
    </row>
    <row r="28" spans="2:27" x14ac:dyDescent="0.3">
      <c r="B28" s="12" t="s">
        <v>68</v>
      </c>
      <c r="C28" s="3" t="s">
        <v>819</v>
      </c>
      <c r="D28" s="3" t="s">
        <v>827</v>
      </c>
      <c r="E28" s="3" t="s">
        <v>821</v>
      </c>
      <c r="F28" s="37">
        <v>24</v>
      </c>
      <c r="G28" s="52">
        <v>2748</v>
      </c>
      <c r="H28" s="52">
        <v>-1859</v>
      </c>
      <c r="I28" s="52">
        <v>1408</v>
      </c>
      <c r="J28" s="52">
        <v>944.82</v>
      </c>
      <c r="K28" s="52">
        <v>2449</v>
      </c>
      <c r="L28" s="53">
        <v>1638</v>
      </c>
      <c r="M28" s="52">
        <v>-29.89</v>
      </c>
      <c r="N28" s="52">
        <v>23.74</v>
      </c>
      <c r="O28" s="52">
        <v>875.08</v>
      </c>
      <c r="P28" s="52">
        <v>192.08</v>
      </c>
      <c r="Q28" s="52">
        <v>-279.5</v>
      </c>
      <c r="R28" s="52">
        <v>15.37</v>
      </c>
      <c r="S28" s="52">
        <v>392.66</v>
      </c>
      <c r="T28" s="53">
        <v>499.14</v>
      </c>
      <c r="U28" s="53">
        <v>1140</v>
      </c>
      <c r="V28" s="53">
        <v>622.05999999999995</v>
      </c>
      <c r="W28" s="53">
        <v>1029</v>
      </c>
      <c r="X28" s="7">
        <v>0.95773681419793499</v>
      </c>
      <c r="Y28" s="9">
        <v>2.2615387066452119</v>
      </c>
      <c r="Z28" s="9">
        <v>0.29635545655710072</v>
      </c>
      <c r="AA28" s="9">
        <v>0.2397790388340002</v>
      </c>
    </row>
    <row r="29" spans="2:27" x14ac:dyDescent="0.3">
      <c r="B29" s="12" t="s">
        <v>87</v>
      </c>
      <c r="C29" s="3" t="s">
        <v>819</v>
      </c>
      <c r="D29" s="3" t="s">
        <v>837</v>
      </c>
      <c r="E29" s="3" t="s">
        <v>821</v>
      </c>
      <c r="F29" s="37">
        <v>23.7</v>
      </c>
      <c r="G29" s="52">
        <v>687</v>
      </c>
      <c r="H29" s="52">
        <v>771</v>
      </c>
      <c r="I29" s="52">
        <v>653</v>
      </c>
      <c r="J29" s="52">
        <v>932</v>
      </c>
      <c r="K29" s="52">
        <v>839</v>
      </c>
      <c r="L29" s="52">
        <v>794</v>
      </c>
      <c r="M29" s="52">
        <v>803</v>
      </c>
      <c r="N29" s="52">
        <v>1054</v>
      </c>
      <c r="O29" s="52">
        <v>957</v>
      </c>
      <c r="P29" s="52">
        <v>918</v>
      </c>
      <c r="Q29" s="52">
        <v>959</v>
      </c>
      <c r="R29" s="52">
        <v>1098</v>
      </c>
      <c r="S29" s="52">
        <v>753</v>
      </c>
      <c r="T29" s="52">
        <v>894</v>
      </c>
      <c r="U29" s="52">
        <v>832</v>
      </c>
      <c r="V29" s="53">
        <v>1872</v>
      </c>
      <c r="W29" s="53">
        <v>1785</v>
      </c>
      <c r="X29" s="10">
        <v>-6.4377682403433667E-3</v>
      </c>
      <c r="Y29" s="8">
        <v>-3.4287257019438473E-2</v>
      </c>
      <c r="Z29" s="9">
        <v>0.21638244338831411</v>
      </c>
      <c r="AA29" s="9">
        <v>0.23718685359687419</v>
      </c>
    </row>
    <row r="30" spans="2:27" x14ac:dyDescent="0.3">
      <c r="B30" s="12" t="s">
        <v>428</v>
      </c>
      <c r="C30" s="3" t="s">
        <v>819</v>
      </c>
      <c r="D30" s="3" t="s">
        <v>864</v>
      </c>
      <c r="E30" s="3" t="s">
        <v>821</v>
      </c>
      <c r="F30" s="37">
        <v>21.9</v>
      </c>
      <c r="G30" s="52">
        <v>494</v>
      </c>
      <c r="H30" s="52">
        <v>332</v>
      </c>
      <c r="I30" s="52">
        <v>286</v>
      </c>
      <c r="J30" s="52">
        <v>378</v>
      </c>
      <c r="K30" s="52">
        <v>428</v>
      </c>
      <c r="L30" s="52">
        <v>227</v>
      </c>
      <c r="M30" s="52">
        <v>381</v>
      </c>
      <c r="N30" s="52">
        <v>494</v>
      </c>
      <c r="O30" s="52">
        <v>507</v>
      </c>
      <c r="P30" s="52">
        <v>299</v>
      </c>
      <c r="Q30" s="52">
        <v>426</v>
      </c>
      <c r="R30" s="52">
        <v>544</v>
      </c>
      <c r="S30" s="52">
        <v>330</v>
      </c>
      <c r="T30" s="52">
        <v>297</v>
      </c>
      <c r="U30" s="52">
        <v>457</v>
      </c>
      <c r="V30" s="53">
        <v>717</v>
      </c>
      <c r="W30" s="53">
        <v>725</v>
      </c>
      <c r="X30" s="10">
        <v>-1.2507817385866149E-3</v>
      </c>
      <c r="Y30" s="8">
        <v>1.941139636819034E-2</v>
      </c>
      <c r="Z30" s="9">
        <v>0.1062653562653562</v>
      </c>
      <c r="AA30" s="9">
        <v>0.21932259855635761</v>
      </c>
    </row>
    <row r="31" spans="2:27" x14ac:dyDescent="0.3">
      <c r="B31" s="12" t="s">
        <v>114</v>
      </c>
      <c r="C31" s="3" t="s">
        <v>819</v>
      </c>
      <c r="D31" s="3" t="s">
        <v>832</v>
      </c>
      <c r="E31" s="3" t="s">
        <v>821</v>
      </c>
      <c r="F31" s="37">
        <v>18.3</v>
      </c>
      <c r="G31" s="52">
        <v>240.7</v>
      </c>
      <c r="H31" s="52">
        <v>181.7</v>
      </c>
      <c r="I31" s="52">
        <v>146.69999999999999</v>
      </c>
      <c r="J31" s="52">
        <v>198.4</v>
      </c>
      <c r="K31" s="52">
        <v>151.5</v>
      </c>
      <c r="L31" s="52">
        <v>138.69999999999999</v>
      </c>
      <c r="M31" s="52">
        <v>154.6</v>
      </c>
      <c r="N31" s="52">
        <v>178.6</v>
      </c>
      <c r="O31" s="52">
        <v>115.5</v>
      </c>
      <c r="P31" s="52">
        <v>126.6</v>
      </c>
      <c r="Q31" s="52">
        <v>170.2</v>
      </c>
      <c r="R31" s="52">
        <v>209.7</v>
      </c>
      <c r="S31" s="52">
        <v>119.2</v>
      </c>
      <c r="T31" s="52">
        <v>105.7</v>
      </c>
      <c r="U31" s="52">
        <v>191.5</v>
      </c>
      <c r="V31" s="53">
        <v>325.89999999999998</v>
      </c>
      <c r="W31" s="53">
        <v>255.1</v>
      </c>
      <c r="X31" s="10">
        <v>-3.3402589100207769E-2</v>
      </c>
      <c r="Y31" s="8">
        <v>3.5218253968254183E-2</v>
      </c>
      <c r="Z31" s="9">
        <v>0.18559335569397839</v>
      </c>
      <c r="AA31" s="9">
        <v>0.18307961740536169</v>
      </c>
    </row>
    <row r="32" spans="2:27" x14ac:dyDescent="0.3">
      <c r="B32" s="12" t="s">
        <v>14</v>
      </c>
      <c r="C32" s="3" t="s">
        <v>819</v>
      </c>
      <c r="D32" s="3" t="s">
        <v>836</v>
      </c>
      <c r="E32" s="3" t="s">
        <v>839</v>
      </c>
      <c r="F32" s="37">
        <v>16.399999999999999</v>
      </c>
      <c r="G32" s="52">
        <v>695.88</v>
      </c>
      <c r="H32" s="52">
        <v>964.84</v>
      </c>
      <c r="I32" s="52">
        <v>1032</v>
      </c>
      <c r="J32" s="52">
        <v>1129</v>
      </c>
      <c r="K32" s="53">
        <v>1131</v>
      </c>
      <c r="L32" s="52">
        <v>1152</v>
      </c>
      <c r="M32" s="52">
        <v>953.03</v>
      </c>
      <c r="N32" s="52">
        <v>743.57</v>
      </c>
      <c r="O32" s="52">
        <v>602.1</v>
      </c>
      <c r="P32" s="52">
        <v>392.1</v>
      </c>
      <c r="Q32" s="52">
        <v>503.6</v>
      </c>
      <c r="R32" s="52">
        <v>565.58000000000004</v>
      </c>
      <c r="S32" s="52">
        <v>555.20000000000005</v>
      </c>
      <c r="T32" s="53">
        <v>679.69</v>
      </c>
      <c r="U32" s="53">
        <v>822.38</v>
      </c>
      <c r="V32" s="53">
        <v>938.26</v>
      </c>
      <c r="W32" s="53">
        <v>1045</v>
      </c>
      <c r="X32" s="7">
        <v>0.14261981274299779</v>
      </c>
      <c r="Y32" s="9">
        <v>0.13835517150086599</v>
      </c>
      <c r="Z32" s="9">
        <v>0.1420897115732884</v>
      </c>
      <c r="AA32" s="9">
        <v>0.16351029700921041</v>
      </c>
    </row>
    <row r="33" spans="2:27" x14ac:dyDescent="0.3">
      <c r="B33" s="12" t="s">
        <v>165</v>
      </c>
      <c r="C33" s="3" t="s">
        <v>819</v>
      </c>
      <c r="D33" s="3" t="s">
        <v>824</v>
      </c>
      <c r="E33" s="3" t="s">
        <v>821</v>
      </c>
      <c r="F33" s="37">
        <v>15.9</v>
      </c>
      <c r="G33" s="52">
        <v>83.96</v>
      </c>
      <c r="H33" s="52">
        <v>80.58</v>
      </c>
      <c r="I33" s="52">
        <v>67.91</v>
      </c>
      <c r="J33" s="52">
        <v>61.77</v>
      </c>
      <c r="K33" s="52">
        <v>73.45</v>
      </c>
      <c r="L33" s="52">
        <v>86.06</v>
      </c>
      <c r="M33" s="52">
        <v>71.900000000000006</v>
      </c>
      <c r="N33" s="52">
        <v>65.56</v>
      </c>
      <c r="O33" s="52">
        <v>79.69</v>
      </c>
      <c r="P33" s="52">
        <v>75.53</v>
      </c>
      <c r="Q33" s="53">
        <v>102.08</v>
      </c>
      <c r="R33" s="53">
        <v>118.85</v>
      </c>
      <c r="S33" s="53">
        <v>133.44</v>
      </c>
      <c r="T33" s="53">
        <v>123.11</v>
      </c>
      <c r="U33" s="52">
        <v>141.84</v>
      </c>
      <c r="V33" s="53">
        <v>175.14</v>
      </c>
      <c r="W33" s="53">
        <v>224.58</v>
      </c>
      <c r="X33" s="7">
        <v>0.11067690160502459</v>
      </c>
      <c r="Y33" s="8">
        <v>8.3270503476585489E-2</v>
      </c>
      <c r="Z33" s="9">
        <v>0.1088276235403294</v>
      </c>
      <c r="AA33" s="9">
        <v>0.1589106062455321</v>
      </c>
    </row>
    <row r="34" spans="2:27" x14ac:dyDescent="0.3">
      <c r="B34" s="12" t="s">
        <v>642</v>
      </c>
      <c r="C34" s="3" t="s">
        <v>819</v>
      </c>
      <c r="D34" s="3" t="s">
        <v>883</v>
      </c>
      <c r="E34" s="3" t="s">
        <v>821</v>
      </c>
      <c r="F34" s="37">
        <v>15.3</v>
      </c>
      <c r="G34" s="52">
        <v>0.94</v>
      </c>
      <c r="H34" s="52">
        <v>23.32</v>
      </c>
      <c r="I34" s="52">
        <v>31.52</v>
      </c>
      <c r="J34" s="52">
        <v>45.09</v>
      </c>
      <c r="K34" s="53">
        <v>71.69</v>
      </c>
      <c r="L34" s="53">
        <v>77.36</v>
      </c>
      <c r="M34" s="53">
        <v>67.67</v>
      </c>
      <c r="N34" s="52">
        <v>58.59</v>
      </c>
      <c r="O34" s="52">
        <v>5.54</v>
      </c>
      <c r="P34" s="52">
        <v>30.99</v>
      </c>
      <c r="Q34" s="52">
        <v>1.04</v>
      </c>
      <c r="R34" s="52">
        <v>9.8800000000000008</v>
      </c>
      <c r="S34" s="52">
        <v>3.26</v>
      </c>
      <c r="T34" s="52">
        <v>20.67</v>
      </c>
      <c r="U34" s="52">
        <v>1.77</v>
      </c>
      <c r="V34" s="52">
        <v>-11.12</v>
      </c>
      <c r="W34" s="53">
        <v>5.49</v>
      </c>
      <c r="X34" s="10">
        <v>-0.22847022359973429</v>
      </c>
      <c r="Y34" s="8">
        <v>2.0946915351506501E-2</v>
      </c>
      <c r="Z34" s="8">
        <v>-0.59021922428330531</v>
      </c>
      <c r="AA34" s="9">
        <v>0.1529492455418382</v>
      </c>
    </row>
    <row r="35" spans="2:27" x14ac:dyDescent="0.3">
      <c r="B35" s="12" t="s">
        <v>290</v>
      </c>
      <c r="C35" s="3" t="s">
        <v>819</v>
      </c>
      <c r="D35" s="3" t="s">
        <v>838</v>
      </c>
      <c r="E35" s="3" t="s">
        <v>821</v>
      </c>
      <c r="F35" s="37">
        <v>15.2</v>
      </c>
      <c r="G35" s="52">
        <v>11.86</v>
      </c>
      <c r="H35" s="52">
        <v>15.07</v>
      </c>
      <c r="I35" s="52">
        <v>13.15</v>
      </c>
      <c r="J35" s="52">
        <v>36.729999999999997</v>
      </c>
      <c r="K35" s="52">
        <v>14.62</v>
      </c>
      <c r="L35" s="53">
        <v>39.049999999999997</v>
      </c>
      <c r="M35" s="53">
        <v>33.49</v>
      </c>
      <c r="N35" s="52">
        <v>42.68</v>
      </c>
      <c r="O35" s="52">
        <v>-0.61</v>
      </c>
      <c r="P35" s="52">
        <v>42.89</v>
      </c>
      <c r="Q35" s="52">
        <v>34.880000000000003</v>
      </c>
      <c r="R35" s="53">
        <v>65.790000000000006</v>
      </c>
      <c r="S35" s="53">
        <v>22.26</v>
      </c>
      <c r="T35" s="52">
        <v>53.93</v>
      </c>
      <c r="U35" s="53">
        <v>56.99</v>
      </c>
      <c r="V35" s="52">
        <v>71.44</v>
      </c>
      <c r="W35" s="53">
        <v>53.4</v>
      </c>
      <c r="X35" s="10">
        <v>6.657821734410807E-2</v>
      </c>
      <c r="Y35" s="9">
        <v>0.12501413547438631</v>
      </c>
      <c r="Z35" s="8">
        <v>2.8396240639292358E-2</v>
      </c>
      <c r="AA35" s="9">
        <v>0.15218453719089031</v>
      </c>
    </row>
    <row r="36" spans="2:27" x14ac:dyDescent="0.3">
      <c r="B36" s="12" t="s">
        <v>571</v>
      </c>
      <c r="C36" s="3" t="s">
        <v>819</v>
      </c>
      <c r="D36" s="3" t="s">
        <v>873</v>
      </c>
      <c r="E36" s="3" t="s">
        <v>821</v>
      </c>
      <c r="F36" s="37">
        <v>14.9</v>
      </c>
      <c r="G36" s="52">
        <v>84.3</v>
      </c>
      <c r="H36" s="52">
        <v>154.69999999999999</v>
      </c>
      <c r="I36" s="52">
        <v>159</v>
      </c>
      <c r="J36" s="52">
        <v>150.30000000000001</v>
      </c>
      <c r="K36" s="52">
        <v>93.3</v>
      </c>
      <c r="L36" s="52">
        <v>97.8</v>
      </c>
      <c r="M36" s="52">
        <v>133.5</v>
      </c>
      <c r="N36" s="52">
        <v>111.3</v>
      </c>
      <c r="O36" s="52">
        <v>68</v>
      </c>
      <c r="P36" s="52">
        <v>94.5</v>
      </c>
      <c r="Q36" s="52">
        <v>132.69999999999999</v>
      </c>
      <c r="R36" s="52">
        <v>129.80000000000001</v>
      </c>
      <c r="S36" s="52">
        <v>28.9</v>
      </c>
      <c r="T36" s="52">
        <v>126.1</v>
      </c>
      <c r="U36" s="52">
        <v>133.30000000000001</v>
      </c>
      <c r="V36" s="52">
        <v>127.2</v>
      </c>
      <c r="W36" s="53">
        <v>90.8</v>
      </c>
      <c r="X36" s="10">
        <v>8.1886499093029252E-2</v>
      </c>
      <c r="Y36" s="8">
        <v>1.437125748503076E-3</v>
      </c>
      <c r="Z36" s="8">
        <v>-6.2186079885195866E-3</v>
      </c>
      <c r="AA36" s="9">
        <v>0.14897713598074611</v>
      </c>
    </row>
    <row r="37" spans="2:27" x14ac:dyDescent="0.3">
      <c r="B37" s="12" t="s">
        <v>11</v>
      </c>
      <c r="C37" s="3" t="s">
        <v>819</v>
      </c>
      <c r="D37" s="3" t="s">
        <v>902</v>
      </c>
      <c r="E37" s="3" t="s">
        <v>904</v>
      </c>
      <c r="F37" s="37">
        <f>AA37*100</f>
        <v>13.846071217573442</v>
      </c>
      <c r="G37" s="52">
        <v>14911</v>
      </c>
      <c r="H37" s="54"/>
      <c r="I37" s="52">
        <v>18029</v>
      </c>
      <c r="J37" s="54"/>
      <c r="K37" s="52">
        <v>10010</v>
      </c>
      <c r="L37" s="54"/>
      <c r="M37" s="52">
        <v>10971</v>
      </c>
      <c r="N37" s="54"/>
      <c r="O37" s="52">
        <v>10325</v>
      </c>
      <c r="P37" s="54"/>
      <c r="Q37" s="52">
        <v>11938</v>
      </c>
      <c r="R37" s="54"/>
      <c r="S37" s="52">
        <v>8786</v>
      </c>
      <c r="T37" s="54"/>
      <c r="U37" s="52">
        <v>9833</v>
      </c>
      <c r="V37" s="54"/>
      <c r="W37" s="52">
        <v>11364</v>
      </c>
      <c r="X37" s="10">
        <v>4.5407588279489097E-2</v>
      </c>
      <c r="Y37" s="8">
        <v>-6.9128149845034348E-2</v>
      </c>
      <c r="Z37" s="8">
        <v>-0.1015730553947114</v>
      </c>
      <c r="AA37" s="9">
        <f>SUM(W37,U37)/SUM(U37,S37)-1</f>
        <v>0.13846071217573441</v>
      </c>
    </row>
    <row r="38" spans="2:27" x14ac:dyDescent="0.3">
      <c r="B38" s="12" t="s">
        <v>293</v>
      </c>
      <c r="C38" s="3" t="s">
        <v>819</v>
      </c>
      <c r="D38" s="3" t="s">
        <v>840</v>
      </c>
      <c r="E38" s="3" t="s">
        <v>821</v>
      </c>
      <c r="F38" s="37">
        <v>13.7</v>
      </c>
      <c r="G38" s="52">
        <v>680</v>
      </c>
      <c r="H38" s="52">
        <v>827</v>
      </c>
      <c r="I38" s="52">
        <v>1249</v>
      </c>
      <c r="J38" s="52">
        <v>1506</v>
      </c>
      <c r="K38" s="52">
        <v>718</v>
      </c>
      <c r="L38" s="52">
        <v>605</v>
      </c>
      <c r="M38" s="52">
        <v>848</v>
      </c>
      <c r="N38" s="52">
        <v>1052</v>
      </c>
      <c r="O38" s="52">
        <v>470</v>
      </c>
      <c r="P38" s="52">
        <v>185</v>
      </c>
      <c r="Q38" s="52">
        <v>389</v>
      </c>
      <c r="R38" s="52">
        <v>674</v>
      </c>
      <c r="S38" s="52">
        <v>54</v>
      </c>
      <c r="T38" s="52">
        <v>-341</v>
      </c>
      <c r="U38" s="52">
        <v>433</v>
      </c>
      <c r="V38" s="52">
        <v>737</v>
      </c>
      <c r="W38" s="53">
        <v>175</v>
      </c>
      <c r="X38" s="10">
        <v>-0.40399385560675882</v>
      </c>
      <c r="Y38" s="8">
        <v>5.6701030927835072E-2</v>
      </c>
      <c r="Z38" s="8">
        <v>7.6829268292682995E-2</v>
      </c>
      <c r="AA38" s="9">
        <v>0.13703284258210641</v>
      </c>
    </row>
    <row r="39" spans="2:27" x14ac:dyDescent="0.3">
      <c r="B39" s="12" t="s">
        <v>24</v>
      </c>
      <c r="C39" s="3" t="s">
        <v>819</v>
      </c>
      <c r="D39" s="3" t="s">
        <v>841</v>
      </c>
      <c r="E39" s="3" t="s">
        <v>848</v>
      </c>
      <c r="F39" s="37">
        <v>13.4</v>
      </c>
      <c r="G39" s="52">
        <v>-73.900000000000006</v>
      </c>
      <c r="H39" s="52">
        <v>-47.6</v>
      </c>
      <c r="I39" s="52">
        <v>15.4</v>
      </c>
      <c r="J39" s="52">
        <v>15.2</v>
      </c>
      <c r="K39" s="52">
        <v>39.9</v>
      </c>
      <c r="L39" s="53">
        <v>78.7</v>
      </c>
      <c r="M39" s="53">
        <v>253.5</v>
      </c>
      <c r="N39" s="53">
        <v>215.2</v>
      </c>
      <c r="O39" s="53">
        <v>230.4</v>
      </c>
      <c r="P39" s="53">
        <v>176.7</v>
      </c>
      <c r="Q39" s="52">
        <v>266</v>
      </c>
      <c r="R39" s="52">
        <v>249</v>
      </c>
      <c r="S39" s="52">
        <v>251</v>
      </c>
      <c r="T39" s="52">
        <v>224.4</v>
      </c>
      <c r="U39" s="52">
        <v>343.1</v>
      </c>
      <c r="V39" s="52">
        <v>297</v>
      </c>
      <c r="W39" s="53">
        <v>400</v>
      </c>
      <c r="X39" s="10">
        <v>5.0599342314628037E-2</v>
      </c>
      <c r="Y39" s="8">
        <v>7.7847334410339197E-2</v>
      </c>
      <c r="Z39" s="8">
        <v>4.4964871194379308E-2</v>
      </c>
      <c r="AA39" s="9">
        <v>0.13357238906320029</v>
      </c>
    </row>
    <row r="40" spans="2:27" x14ac:dyDescent="0.3">
      <c r="B40" s="12" t="s">
        <v>769</v>
      </c>
      <c r="C40" s="3" t="s">
        <v>819</v>
      </c>
      <c r="D40" s="3" t="s">
        <v>841</v>
      </c>
      <c r="E40" s="3" t="s">
        <v>821</v>
      </c>
      <c r="F40" s="37">
        <v>13.4</v>
      </c>
      <c r="G40" s="52">
        <v>-132.03</v>
      </c>
      <c r="H40" s="52">
        <v>-76.06</v>
      </c>
      <c r="I40" s="52">
        <v>-57.65</v>
      </c>
      <c r="J40" s="52">
        <v>-41.17</v>
      </c>
      <c r="K40" s="52">
        <v>-58.86</v>
      </c>
      <c r="L40" s="52">
        <v>-0.21</v>
      </c>
      <c r="M40" s="52">
        <v>-20.95</v>
      </c>
      <c r="N40" s="52">
        <v>55.72</v>
      </c>
      <c r="O40" s="52">
        <v>39.380000000000003</v>
      </c>
      <c r="P40" s="53">
        <v>89.2</v>
      </c>
      <c r="Q40" s="53">
        <v>48.72</v>
      </c>
      <c r="R40" s="52">
        <v>69.47</v>
      </c>
      <c r="S40" s="52">
        <v>33.42</v>
      </c>
      <c r="T40" s="52">
        <v>91.4</v>
      </c>
      <c r="U40" s="53">
        <v>89.13</v>
      </c>
      <c r="V40" s="52">
        <v>97.54</v>
      </c>
      <c r="W40" s="53">
        <v>75.28</v>
      </c>
      <c r="X40" s="10">
        <v>9.1358332295170541E-3</v>
      </c>
      <c r="Y40" s="9">
        <v>0.16628945310892559</v>
      </c>
      <c r="Z40" s="8">
        <v>9.9040293557264736E-2</v>
      </c>
      <c r="AA40" s="9">
        <v>0.13438633664002059</v>
      </c>
    </row>
    <row r="41" spans="2:27" x14ac:dyDescent="0.3">
      <c r="B41" s="12" t="s">
        <v>151</v>
      </c>
      <c r="C41" s="3" t="s">
        <v>819</v>
      </c>
      <c r="D41" s="3" t="s">
        <v>856</v>
      </c>
      <c r="E41" s="3" t="s">
        <v>821</v>
      </c>
      <c r="F41" s="37">
        <v>13.3</v>
      </c>
      <c r="G41" s="52">
        <v>479.9</v>
      </c>
      <c r="H41" s="52">
        <v>195.2</v>
      </c>
      <c r="I41" s="52">
        <v>261</v>
      </c>
      <c r="J41" s="52">
        <v>223.6</v>
      </c>
      <c r="K41" s="52">
        <v>293.10000000000002</v>
      </c>
      <c r="L41" s="52">
        <v>53.5</v>
      </c>
      <c r="M41" s="52">
        <v>161</v>
      </c>
      <c r="N41" s="52">
        <v>150.69999999999999</v>
      </c>
      <c r="O41" s="52">
        <v>312</v>
      </c>
      <c r="P41" s="52">
        <v>115.9</v>
      </c>
      <c r="Q41" s="52">
        <v>163.9</v>
      </c>
      <c r="R41" s="52">
        <v>219.5</v>
      </c>
      <c r="S41" s="52">
        <v>391.9</v>
      </c>
      <c r="T41" s="52">
        <v>139.69999999999999</v>
      </c>
      <c r="U41" s="52">
        <v>218.7</v>
      </c>
      <c r="V41" s="52">
        <v>285.39999999999998</v>
      </c>
      <c r="W41" s="53">
        <v>529.5</v>
      </c>
      <c r="X41" s="10">
        <v>2.6705565529622891E-2</v>
      </c>
      <c r="Y41" s="8">
        <v>5.9890710382513701E-2</v>
      </c>
      <c r="Z41" s="8">
        <v>6.7952155083522259E-2</v>
      </c>
      <c r="AA41" s="9">
        <v>0.13285700492420591</v>
      </c>
    </row>
    <row r="42" spans="2:27" x14ac:dyDescent="0.3">
      <c r="B42" s="12" t="s">
        <v>137</v>
      </c>
      <c r="C42" s="3" t="s">
        <v>819</v>
      </c>
      <c r="D42" s="3" t="s">
        <v>845</v>
      </c>
      <c r="E42" s="3" t="s">
        <v>821</v>
      </c>
      <c r="F42" s="37">
        <v>13.2</v>
      </c>
      <c r="G42" s="52">
        <v>1117</v>
      </c>
      <c r="H42" s="52">
        <v>1638</v>
      </c>
      <c r="I42" s="52">
        <v>1917</v>
      </c>
      <c r="J42" s="52">
        <v>828</v>
      </c>
      <c r="K42" s="52">
        <v>1188</v>
      </c>
      <c r="L42" s="52">
        <v>823</v>
      </c>
      <c r="M42" s="52">
        <v>729</v>
      </c>
      <c r="N42" s="52">
        <v>303</v>
      </c>
      <c r="O42" s="52">
        <v>408</v>
      </c>
      <c r="P42" s="52">
        <v>310</v>
      </c>
      <c r="Q42" s="52">
        <v>595</v>
      </c>
      <c r="R42" s="52">
        <v>316</v>
      </c>
      <c r="S42" s="52">
        <v>415</v>
      </c>
      <c r="T42" s="53">
        <v>477</v>
      </c>
      <c r="U42" s="52">
        <v>643</v>
      </c>
      <c r="V42" s="53">
        <v>563</v>
      </c>
      <c r="W42" s="53">
        <v>691</v>
      </c>
      <c r="X42" s="7">
        <v>0.102078239608802</v>
      </c>
      <c r="Y42" s="8">
        <v>2.6622296173044901E-2</v>
      </c>
      <c r="Z42" s="9">
        <v>0.13344138303619671</v>
      </c>
      <c r="AA42" s="9">
        <v>0.13155386081982831</v>
      </c>
    </row>
    <row r="43" spans="2:27" x14ac:dyDescent="0.3">
      <c r="B43" s="12" t="s">
        <v>361</v>
      </c>
      <c r="C43" s="3" t="s">
        <v>819</v>
      </c>
      <c r="D43" s="3" t="s">
        <v>851</v>
      </c>
      <c r="E43" s="3" t="s">
        <v>821</v>
      </c>
      <c r="F43" s="37">
        <v>13.1</v>
      </c>
      <c r="G43" s="52">
        <v>79.53</v>
      </c>
      <c r="H43" s="52">
        <v>5.81</v>
      </c>
      <c r="I43" s="52">
        <v>58.45</v>
      </c>
      <c r="J43" s="52">
        <v>28.94</v>
      </c>
      <c r="K43" s="53">
        <v>129.02000000000001</v>
      </c>
      <c r="L43" s="53">
        <v>76.44</v>
      </c>
      <c r="M43" s="53">
        <v>111.83</v>
      </c>
      <c r="N43" s="53">
        <v>102.02</v>
      </c>
      <c r="O43" s="52">
        <v>110.85</v>
      </c>
      <c r="P43" s="52">
        <v>116.12</v>
      </c>
      <c r="Q43" s="52">
        <v>138.41999999999999</v>
      </c>
      <c r="R43" s="52">
        <v>123.3</v>
      </c>
      <c r="S43" s="52">
        <v>125.95</v>
      </c>
      <c r="T43" s="52">
        <v>134.77000000000001</v>
      </c>
      <c r="U43" s="52">
        <v>137.29</v>
      </c>
      <c r="V43" s="52">
        <v>159.69</v>
      </c>
      <c r="W43" s="53">
        <v>198.91</v>
      </c>
      <c r="X43" s="10">
        <v>3.7019393001052281E-2</v>
      </c>
      <c r="Y43" s="8">
        <v>-2.16292780032179E-3</v>
      </c>
      <c r="Z43" s="8">
        <v>6.9804914542211272E-2</v>
      </c>
      <c r="AA43" s="9">
        <v>0.13082302313071531</v>
      </c>
    </row>
    <row r="44" spans="2:27" x14ac:dyDescent="0.3">
      <c r="B44" s="12" t="s">
        <v>101</v>
      </c>
      <c r="C44" s="3" t="s">
        <v>819</v>
      </c>
      <c r="D44" s="3" t="s">
        <v>834</v>
      </c>
      <c r="E44" s="3" t="s">
        <v>821</v>
      </c>
      <c r="F44" s="37">
        <v>11.9</v>
      </c>
      <c r="G44" s="52">
        <v>49.7</v>
      </c>
      <c r="H44" s="52">
        <v>37.9</v>
      </c>
      <c r="I44" s="52">
        <v>0.6</v>
      </c>
      <c r="J44" s="52">
        <v>39.700000000000003</v>
      </c>
      <c r="K44" s="52">
        <v>17.3</v>
      </c>
      <c r="L44" s="52">
        <v>27.7</v>
      </c>
      <c r="M44" s="53">
        <v>31.1</v>
      </c>
      <c r="N44" s="53">
        <v>52.9</v>
      </c>
      <c r="O44" s="53">
        <v>105.6</v>
      </c>
      <c r="P44" s="53">
        <v>56.9</v>
      </c>
      <c r="Q44" s="53">
        <v>68</v>
      </c>
      <c r="R44" s="53">
        <v>88.1</v>
      </c>
      <c r="S44" s="52">
        <v>95.8</v>
      </c>
      <c r="T44" s="53">
        <v>88.8</v>
      </c>
      <c r="U44" s="53">
        <v>121.1</v>
      </c>
      <c r="V44" s="52">
        <v>117.7</v>
      </c>
      <c r="W44" s="53">
        <v>146.30000000000001</v>
      </c>
      <c r="X44" s="7">
        <v>0.10330310880829011</v>
      </c>
      <c r="Y44" s="9">
        <v>0.15585559142941</v>
      </c>
      <c r="Z44" s="8">
        <v>7.516505840528187E-2</v>
      </c>
      <c r="AA44" s="9">
        <v>0.1192725555030705</v>
      </c>
    </row>
    <row r="45" spans="2:27" x14ac:dyDescent="0.3">
      <c r="B45" s="12" t="s">
        <v>145</v>
      </c>
      <c r="C45" s="3" t="s">
        <v>819</v>
      </c>
      <c r="D45" s="3" t="s">
        <v>824</v>
      </c>
      <c r="E45" s="3" t="s">
        <v>821</v>
      </c>
      <c r="F45" s="37">
        <v>11.3</v>
      </c>
      <c r="G45" s="52">
        <v>49.8</v>
      </c>
      <c r="H45" s="52">
        <v>32.5</v>
      </c>
      <c r="I45" s="52">
        <v>25.7</v>
      </c>
      <c r="J45" s="52">
        <v>29.9</v>
      </c>
      <c r="K45" s="52">
        <v>61.6</v>
      </c>
      <c r="L45" s="53">
        <v>75</v>
      </c>
      <c r="M45" s="53">
        <v>88.6</v>
      </c>
      <c r="N45" s="53">
        <v>83.2</v>
      </c>
      <c r="O45" s="52">
        <v>59.9</v>
      </c>
      <c r="P45" s="52">
        <v>79.400000000000006</v>
      </c>
      <c r="Q45" s="53">
        <v>136.80000000000001</v>
      </c>
      <c r="R45" s="52">
        <v>95.4</v>
      </c>
      <c r="S45" s="53">
        <v>195.1</v>
      </c>
      <c r="T45" s="52">
        <v>92.3</v>
      </c>
      <c r="U45" s="53">
        <v>214</v>
      </c>
      <c r="V45" s="53">
        <v>373</v>
      </c>
      <c r="W45" s="53">
        <v>293.60000000000002</v>
      </c>
      <c r="X45" s="10">
        <v>2.5458851391355841E-2</v>
      </c>
      <c r="Y45" s="9">
        <v>0.14857582755966109</v>
      </c>
      <c r="Z45" s="9">
        <v>0.4651474530831099</v>
      </c>
      <c r="AA45" s="9">
        <v>0.1126486733760292</v>
      </c>
    </row>
    <row r="46" spans="2:27" x14ac:dyDescent="0.3">
      <c r="B46" s="12" t="s">
        <v>95</v>
      </c>
      <c r="C46" s="3" t="s">
        <v>819</v>
      </c>
      <c r="D46" s="3" t="s">
        <v>876</v>
      </c>
      <c r="E46" s="3" t="s">
        <v>821</v>
      </c>
      <c r="F46" s="37">
        <v>11.1</v>
      </c>
      <c r="G46" s="52">
        <v>739.4</v>
      </c>
      <c r="H46" s="52">
        <v>609.9</v>
      </c>
      <c r="I46" s="52">
        <v>460.3</v>
      </c>
      <c r="J46" s="52">
        <v>384</v>
      </c>
      <c r="K46" s="52">
        <v>298</v>
      </c>
      <c r="L46" s="52">
        <v>339.5</v>
      </c>
      <c r="M46" s="52">
        <v>284.89999999999998</v>
      </c>
      <c r="N46" s="52">
        <v>270</v>
      </c>
      <c r="O46" s="52">
        <v>218.4</v>
      </c>
      <c r="P46" s="52">
        <v>328.8</v>
      </c>
      <c r="Q46" s="52">
        <v>306.39999999999998</v>
      </c>
      <c r="R46" s="52">
        <v>272.10000000000002</v>
      </c>
      <c r="S46" s="52">
        <v>230.7</v>
      </c>
      <c r="T46" s="52">
        <v>332.4</v>
      </c>
      <c r="U46" s="52">
        <v>398.6</v>
      </c>
      <c r="V46" s="53">
        <v>403.2</v>
      </c>
      <c r="W46" s="53">
        <v>382</v>
      </c>
      <c r="X46" s="10">
        <v>3.1634446397186271E-3</v>
      </c>
      <c r="Y46" s="8">
        <v>8.0763840224246763E-2</v>
      </c>
      <c r="Z46" s="9">
        <v>0.1062570919111689</v>
      </c>
      <c r="AA46" s="9">
        <v>0.1108506117664296</v>
      </c>
    </row>
    <row r="47" spans="2:27" x14ac:dyDescent="0.3">
      <c r="B47" s="12" t="s">
        <v>207</v>
      </c>
      <c r="C47" s="3" t="s">
        <v>819</v>
      </c>
      <c r="D47" s="3" t="s">
        <v>829</v>
      </c>
      <c r="E47" s="3" t="s">
        <v>821</v>
      </c>
      <c r="F47" s="37">
        <v>10.7</v>
      </c>
      <c r="G47" s="52">
        <v>56.53</v>
      </c>
      <c r="H47" s="52">
        <v>75.67</v>
      </c>
      <c r="I47" s="52">
        <v>34.06</v>
      </c>
      <c r="J47" s="52">
        <v>83.29</v>
      </c>
      <c r="K47" s="53">
        <v>96.41</v>
      </c>
      <c r="L47" s="52">
        <v>53.8</v>
      </c>
      <c r="M47" s="53">
        <v>94.46</v>
      </c>
      <c r="N47" s="52">
        <v>90.78</v>
      </c>
      <c r="O47" s="52">
        <v>101.04</v>
      </c>
      <c r="P47" s="53">
        <v>95.54</v>
      </c>
      <c r="Q47" s="52">
        <v>117.24</v>
      </c>
      <c r="R47" s="53">
        <v>163.19999999999999</v>
      </c>
      <c r="S47" s="53">
        <v>175.5</v>
      </c>
      <c r="T47" s="52">
        <v>141.54</v>
      </c>
      <c r="U47" s="53">
        <v>202.44</v>
      </c>
      <c r="V47" s="52">
        <v>217.92</v>
      </c>
      <c r="W47" s="53">
        <v>254.4</v>
      </c>
      <c r="X47" s="10">
        <v>8.3411909770073178E-2</v>
      </c>
      <c r="Y47" s="9">
        <v>0.14259891544486841</v>
      </c>
      <c r="Z47" s="8">
        <v>8.0154684478818794E-2</v>
      </c>
      <c r="AA47" s="9">
        <v>0.10699755899104969</v>
      </c>
    </row>
    <row r="48" spans="2:27" x14ac:dyDescent="0.3">
      <c r="B48" s="12" t="s">
        <v>341</v>
      </c>
      <c r="C48" s="3" t="s">
        <v>819</v>
      </c>
      <c r="D48" s="3" t="s">
        <v>843</v>
      </c>
      <c r="E48" s="3" t="s">
        <v>821</v>
      </c>
      <c r="F48" s="37">
        <v>10.6</v>
      </c>
      <c r="G48" s="52">
        <v>104.94</v>
      </c>
      <c r="H48" s="52">
        <v>226.89</v>
      </c>
      <c r="I48" s="52">
        <v>219.79</v>
      </c>
      <c r="J48" s="52">
        <v>203.85</v>
      </c>
      <c r="K48" s="52">
        <v>139.36000000000001</v>
      </c>
      <c r="L48" s="52">
        <v>185.85</v>
      </c>
      <c r="M48" s="52">
        <v>185.8</v>
      </c>
      <c r="N48" s="52">
        <v>185.3</v>
      </c>
      <c r="O48" s="52">
        <v>0</v>
      </c>
      <c r="P48" s="52">
        <v>105.79</v>
      </c>
      <c r="Q48" s="52">
        <v>129.99</v>
      </c>
      <c r="R48" s="52">
        <v>154.26</v>
      </c>
      <c r="S48" s="53">
        <v>59.06</v>
      </c>
      <c r="T48" s="53">
        <v>168.77</v>
      </c>
      <c r="U48" s="53">
        <v>192.14</v>
      </c>
      <c r="V48" s="53">
        <v>253.71</v>
      </c>
      <c r="W48" s="53">
        <v>130.66</v>
      </c>
      <c r="X48" s="7">
        <v>0.14023602761077719</v>
      </c>
      <c r="Y48" s="9">
        <v>0.1213677550382752</v>
      </c>
      <c r="Z48" s="9">
        <v>0.17318844365498151</v>
      </c>
      <c r="AA48" s="9">
        <v>0.106281914261964</v>
      </c>
    </row>
    <row r="49" spans="2:27" x14ac:dyDescent="0.3">
      <c r="B49" s="12" t="s">
        <v>51</v>
      </c>
      <c r="C49" s="3" t="s">
        <v>819</v>
      </c>
      <c r="D49" s="3" t="s">
        <v>827</v>
      </c>
      <c r="E49" s="3" t="s">
        <v>821</v>
      </c>
      <c r="F49" s="5">
        <v>9.8000000000000007</v>
      </c>
      <c r="G49" s="52">
        <v>2209</v>
      </c>
      <c r="H49" s="52">
        <v>3011</v>
      </c>
      <c r="I49" s="52">
        <v>4726</v>
      </c>
      <c r="J49" s="52">
        <v>3560</v>
      </c>
      <c r="K49" s="52">
        <v>2368</v>
      </c>
      <c r="L49" s="52">
        <v>1813</v>
      </c>
      <c r="M49" s="52">
        <v>1112</v>
      </c>
      <c r="N49" s="52">
        <v>1691</v>
      </c>
      <c r="O49" s="52">
        <v>1358</v>
      </c>
      <c r="P49" s="52">
        <v>1020</v>
      </c>
      <c r="Q49" s="52">
        <v>1547</v>
      </c>
      <c r="R49" s="52">
        <v>1829</v>
      </c>
      <c r="S49" s="52">
        <v>478</v>
      </c>
      <c r="T49" s="52">
        <v>1507</v>
      </c>
      <c r="U49" s="52">
        <v>924</v>
      </c>
      <c r="V49" s="52">
        <v>1174</v>
      </c>
      <c r="W49" s="52">
        <v>877</v>
      </c>
      <c r="X49" s="10">
        <v>9.9917931883463318E-2</v>
      </c>
      <c r="Y49" s="8">
        <v>-0.1162096623764223</v>
      </c>
      <c r="Z49" s="8">
        <v>-0.13824398480371469</v>
      </c>
      <c r="AA49" s="8">
        <v>9.772226304188103E-2</v>
      </c>
    </row>
    <row r="50" spans="2:27" x14ac:dyDescent="0.3">
      <c r="B50" s="12" t="s">
        <v>49</v>
      </c>
      <c r="C50" s="3" t="s">
        <v>819</v>
      </c>
      <c r="D50" s="3" t="s">
        <v>831</v>
      </c>
      <c r="E50" s="3" t="s">
        <v>821</v>
      </c>
      <c r="F50" s="5">
        <v>9.6999999999999993</v>
      </c>
      <c r="G50" s="52">
        <v>-104</v>
      </c>
      <c r="H50" s="52">
        <v>-409</v>
      </c>
      <c r="I50" s="52">
        <v>-321</v>
      </c>
      <c r="J50" s="52">
        <v>-295</v>
      </c>
      <c r="K50" s="53">
        <v>-386</v>
      </c>
      <c r="L50" s="52">
        <v>-127</v>
      </c>
      <c r="M50" s="52">
        <v>50</v>
      </c>
      <c r="N50" s="52">
        <v>49</v>
      </c>
      <c r="O50" s="52">
        <v>-45</v>
      </c>
      <c r="P50" s="52">
        <v>135</v>
      </c>
      <c r="Q50" s="53">
        <v>260</v>
      </c>
      <c r="R50" s="53">
        <v>338</v>
      </c>
      <c r="S50" s="53">
        <v>257</v>
      </c>
      <c r="T50" s="53">
        <v>394</v>
      </c>
      <c r="U50" s="53">
        <v>513</v>
      </c>
      <c r="V50" s="53">
        <v>553</v>
      </c>
      <c r="W50" s="52">
        <v>424</v>
      </c>
      <c r="X50" s="7">
        <v>0.26161616161616158</v>
      </c>
      <c r="Y50" s="9">
        <v>0.20256204963971181</v>
      </c>
      <c r="Z50" s="9">
        <v>0.1431424766977363</v>
      </c>
      <c r="AA50" s="8">
        <v>9.7262667443214879E-2</v>
      </c>
    </row>
    <row r="51" spans="2:27" x14ac:dyDescent="0.3">
      <c r="B51" s="12" t="s">
        <v>286</v>
      </c>
      <c r="C51" s="3" t="s">
        <v>819</v>
      </c>
      <c r="D51" s="3" t="s">
        <v>829</v>
      </c>
      <c r="E51" s="3" t="s">
        <v>821</v>
      </c>
      <c r="F51" s="5">
        <v>8.4</v>
      </c>
      <c r="G51" s="52">
        <v>-25.64</v>
      </c>
      <c r="H51" s="52">
        <v>-31.42</v>
      </c>
      <c r="I51" s="52">
        <v>-35.86</v>
      </c>
      <c r="J51" s="52">
        <v>-36.82</v>
      </c>
      <c r="K51" s="53">
        <v>-43.75</v>
      </c>
      <c r="L51" s="52">
        <v>-43.24</v>
      </c>
      <c r="M51" s="52">
        <v>-47.09</v>
      </c>
      <c r="N51" s="53">
        <v>-59.58</v>
      </c>
      <c r="O51" s="52">
        <v>-58.23</v>
      </c>
      <c r="P51" s="52">
        <v>-62.4</v>
      </c>
      <c r="Q51" s="52">
        <v>-64.39</v>
      </c>
      <c r="R51" s="52">
        <v>-75.41</v>
      </c>
      <c r="S51" s="52">
        <v>-73.73</v>
      </c>
      <c r="T51" s="52">
        <v>-74.930000000000007</v>
      </c>
      <c r="U51" s="52">
        <v>-75.58</v>
      </c>
      <c r="V51" s="52">
        <v>-83.36</v>
      </c>
      <c r="W51" s="52">
        <v>-99.49</v>
      </c>
      <c r="X51" s="10">
        <v>4.541006777081158E-2</v>
      </c>
      <c r="Y51" s="8">
        <v>3.8792206891769883E-2</v>
      </c>
      <c r="Z51" s="8">
        <v>2.653095277824136E-2</v>
      </c>
      <c r="AA51" s="8">
        <v>8.3745123537060984E-2</v>
      </c>
    </row>
    <row r="52" spans="2:27" x14ac:dyDescent="0.3">
      <c r="B52" s="12" t="s">
        <v>763</v>
      </c>
      <c r="C52" s="3" t="s">
        <v>819</v>
      </c>
      <c r="D52" s="3" t="s">
        <v>857</v>
      </c>
      <c r="E52" s="3" t="s">
        <v>821</v>
      </c>
      <c r="F52" s="5">
        <v>8.1</v>
      </c>
      <c r="G52" s="52">
        <v>3.92</v>
      </c>
      <c r="H52" s="52">
        <v>6.82</v>
      </c>
      <c r="I52" s="52">
        <v>6.85</v>
      </c>
      <c r="J52" s="52">
        <v>7.58</v>
      </c>
      <c r="K52" s="53">
        <v>6.96</v>
      </c>
      <c r="L52" s="52">
        <v>6.65</v>
      </c>
      <c r="M52" s="52">
        <v>7.01</v>
      </c>
      <c r="N52" s="52">
        <v>5.74</v>
      </c>
      <c r="O52" s="52">
        <v>5.69</v>
      </c>
      <c r="P52" s="52">
        <v>8.93</v>
      </c>
      <c r="Q52" s="52">
        <v>9.44</v>
      </c>
      <c r="R52" s="53">
        <v>9.33</v>
      </c>
      <c r="S52" s="53">
        <v>9.5399999999999991</v>
      </c>
      <c r="T52" s="52">
        <v>11.61</v>
      </c>
      <c r="U52" s="52">
        <v>10.36</v>
      </c>
      <c r="V52" s="52">
        <v>12.48</v>
      </c>
      <c r="W52" s="52">
        <v>13.12</v>
      </c>
      <c r="X52" s="10">
        <v>7.1965628356605915E-2</v>
      </c>
      <c r="Y52" s="8">
        <v>2.3046092184368702E-2</v>
      </c>
      <c r="Z52" s="8">
        <v>7.7130264446620966E-2</v>
      </c>
      <c r="AA52" s="8">
        <v>8.1382132302796117E-2</v>
      </c>
    </row>
    <row r="53" spans="2:27" x14ac:dyDescent="0.3">
      <c r="B53" s="12" t="s">
        <v>157</v>
      </c>
      <c r="C53" s="3" t="s">
        <v>819</v>
      </c>
      <c r="D53" s="3" t="s">
        <v>872</v>
      </c>
      <c r="E53" s="3" t="s">
        <v>821</v>
      </c>
      <c r="F53" s="5">
        <v>8.1</v>
      </c>
      <c r="G53" s="52">
        <v>433</v>
      </c>
      <c r="H53" s="52">
        <v>496.8</v>
      </c>
      <c r="I53" s="52">
        <v>785</v>
      </c>
      <c r="J53" s="52">
        <v>770</v>
      </c>
      <c r="K53" s="53">
        <v>758</v>
      </c>
      <c r="L53" s="52">
        <v>641</v>
      </c>
      <c r="M53" s="52">
        <v>886</v>
      </c>
      <c r="N53" s="52">
        <v>697</v>
      </c>
      <c r="O53" s="52">
        <v>724</v>
      </c>
      <c r="P53" s="52">
        <v>465</v>
      </c>
      <c r="Q53" s="52">
        <v>601</v>
      </c>
      <c r="R53" s="52">
        <v>404</v>
      </c>
      <c r="S53" s="52">
        <v>236</v>
      </c>
      <c r="T53" s="52">
        <v>185</v>
      </c>
      <c r="U53" s="52">
        <v>294</v>
      </c>
      <c r="V53" s="52">
        <v>148</v>
      </c>
      <c r="W53" s="52">
        <v>306</v>
      </c>
      <c r="X53" s="10">
        <v>-0.16412661195779599</v>
      </c>
      <c r="Y53" s="8">
        <v>-0.21528751753155681</v>
      </c>
      <c r="Z53" s="8">
        <v>-0.22877569258266309</v>
      </c>
      <c r="AA53" s="8">
        <v>8.1112398609501701E-2</v>
      </c>
    </row>
    <row r="54" spans="2:27" x14ac:dyDescent="0.3">
      <c r="B54" s="12" t="s">
        <v>454</v>
      </c>
      <c r="C54" s="3" t="s">
        <v>819</v>
      </c>
      <c r="D54" s="3" t="s">
        <v>865</v>
      </c>
      <c r="E54" s="3" t="s">
        <v>821</v>
      </c>
      <c r="F54" s="5">
        <v>7.9</v>
      </c>
      <c r="G54" s="52">
        <v>-5.08</v>
      </c>
      <c r="H54" s="52">
        <v>-5.7</v>
      </c>
      <c r="I54" s="52">
        <v>5.09</v>
      </c>
      <c r="J54" s="52">
        <v>8.68</v>
      </c>
      <c r="K54" s="53">
        <v>2.3199999999999998</v>
      </c>
      <c r="L54" s="53">
        <v>6.7</v>
      </c>
      <c r="M54" s="53">
        <v>21.7</v>
      </c>
      <c r="N54" s="53">
        <v>23.52</v>
      </c>
      <c r="O54" s="52">
        <v>5.42</v>
      </c>
      <c r="P54" s="53">
        <v>18.96</v>
      </c>
      <c r="Q54" s="53">
        <v>29.98</v>
      </c>
      <c r="R54" s="52">
        <v>20.6</v>
      </c>
      <c r="S54" s="52">
        <v>4.29</v>
      </c>
      <c r="T54" s="52">
        <v>19.29</v>
      </c>
      <c r="U54" s="52">
        <v>25.12</v>
      </c>
      <c r="V54" s="53">
        <v>27.92</v>
      </c>
      <c r="W54" s="52">
        <v>10.33</v>
      </c>
      <c r="X54" s="10">
        <v>4.4697277529459623E-3</v>
      </c>
      <c r="Y54" s="8">
        <v>-6.5533980582524243E-2</v>
      </c>
      <c r="Z54" s="9">
        <v>0.1056277056277057</v>
      </c>
      <c r="AA54" s="8">
        <v>7.8830592534586241E-2</v>
      </c>
    </row>
    <row r="55" spans="2:27" x14ac:dyDescent="0.3">
      <c r="B55" s="12" t="s">
        <v>395</v>
      </c>
      <c r="C55" s="3" t="s">
        <v>819</v>
      </c>
      <c r="D55" s="3" t="s">
        <v>849</v>
      </c>
      <c r="E55" s="3" t="s">
        <v>821</v>
      </c>
      <c r="F55" s="5">
        <v>7.4</v>
      </c>
      <c r="G55" s="52">
        <v>116.27</v>
      </c>
      <c r="H55" s="52">
        <v>269.7</v>
      </c>
      <c r="I55" s="52">
        <v>218.79</v>
      </c>
      <c r="J55" s="52">
        <v>87.58</v>
      </c>
      <c r="K55" s="52">
        <v>-23.04</v>
      </c>
      <c r="L55" s="52">
        <v>20.04</v>
      </c>
      <c r="M55" s="52">
        <v>55.17</v>
      </c>
      <c r="N55" s="52">
        <v>45.59</v>
      </c>
      <c r="O55" s="53">
        <v>2.62</v>
      </c>
      <c r="P55" s="53">
        <v>57.61</v>
      </c>
      <c r="Q55" s="53">
        <v>90.6</v>
      </c>
      <c r="R55" s="52">
        <v>53.89</v>
      </c>
      <c r="S55" s="52">
        <v>16.13</v>
      </c>
      <c r="T55" s="53">
        <v>81.319999999999993</v>
      </c>
      <c r="U55" s="52">
        <v>87.8</v>
      </c>
      <c r="V55" s="52">
        <v>75.44</v>
      </c>
      <c r="W55" s="52">
        <v>35.36</v>
      </c>
      <c r="X55" s="7">
        <v>0.1086468404893919</v>
      </c>
      <c r="Y55" s="8">
        <v>-1.157311730181043E-2</v>
      </c>
      <c r="Z55" s="8">
        <v>9.0114577235092419E-2</v>
      </c>
      <c r="AA55" s="8">
        <v>7.3765775442095727E-2</v>
      </c>
    </row>
    <row r="56" spans="2:27" x14ac:dyDescent="0.3">
      <c r="B56" s="12" t="s">
        <v>220</v>
      </c>
      <c r="C56" s="3" t="s">
        <v>819</v>
      </c>
      <c r="D56" s="3" t="s">
        <v>849</v>
      </c>
      <c r="E56" s="3" t="s">
        <v>821</v>
      </c>
      <c r="F56" s="5">
        <v>6.4</v>
      </c>
      <c r="G56" s="52">
        <v>137</v>
      </c>
      <c r="H56" s="52">
        <v>239.3</v>
      </c>
      <c r="I56" s="52">
        <v>278.7</v>
      </c>
      <c r="J56" s="52">
        <v>261.89999999999998</v>
      </c>
      <c r="K56" s="52">
        <v>195.2</v>
      </c>
      <c r="L56" s="52">
        <v>245.6</v>
      </c>
      <c r="M56" s="52">
        <v>208.3</v>
      </c>
      <c r="N56" s="52">
        <v>212.4</v>
      </c>
      <c r="O56" s="52">
        <v>125.4</v>
      </c>
      <c r="P56" s="52">
        <v>127.7</v>
      </c>
      <c r="Q56" s="52">
        <v>166.2</v>
      </c>
      <c r="R56" s="52">
        <v>110.6</v>
      </c>
      <c r="S56" s="52">
        <v>33.799999999999997</v>
      </c>
      <c r="T56" s="52">
        <v>58.1</v>
      </c>
      <c r="U56" s="52">
        <v>111.3</v>
      </c>
      <c r="V56" s="52">
        <v>91.6</v>
      </c>
      <c r="W56" s="52">
        <v>52.8</v>
      </c>
      <c r="X56" s="10">
        <v>-0.1587953456536618</v>
      </c>
      <c r="Y56" s="8">
        <v>-0.14890154597233521</v>
      </c>
      <c r="Z56" s="8">
        <v>-6.0548119821542401E-2</v>
      </c>
      <c r="AA56" s="8">
        <v>6.4450474898236187E-2</v>
      </c>
    </row>
    <row r="57" spans="2:27" x14ac:dyDescent="0.3">
      <c r="B57" s="12" t="s">
        <v>66</v>
      </c>
      <c r="C57" s="3" t="s">
        <v>819</v>
      </c>
      <c r="D57" s="3" t="s">
        <v>845</v>
      </c>
      <c r="E57" s="3" t="s">
        <v>821</v>
      </c>
      <c r="F57" s="5">
        <v>5.8</v>
      </c>
      <c r="G57" s="52">
        <v>1838</v>
      </c>
      <c r="H57" s="52">
        <v>1978</v>
      </c>
      <c r="I57" s="52">
        <v>4463</v>
      </c>
      <c r="J57" s="52">
        <v>1820</v>
      </c>
      <c r="K57" s="52">
        <v>1579</v>
      </c>
      <c r="L57" s="52">
        <v>873</v>
      </c>
      <c r="M57" s="52">
        <v>1853</v>
      </c>
      <c r="N57" s="52">
        <v>458</v>
      </c>
      <c r="O57" s="52">
        <v>449</v>
      </c>
      <c r="P57" s="52">
        <v>411</v>
      </c>
      <c r="Q57" s="52">
        <v>1562</v>
      </c>
      <c r="R57" s="52">
        <v>198</v>
      </c>
      <c r="S57" s="52">
        <v>422</v>
      </c>
      <c r="T57" s="52">
        <v>229</v>
      </c>
      <c r="U57" s="53">
        <v>1816</v>
      </c>
      <c r="V57" s="53">
        <v>773</v>
      </c>
      <c r="W57" s="52">
        <v>611</v>
      </c>
      <c r="X57" s="10">
        <v>-7.018897030466642E-2</v>
      </c>
      <c r="Y57" s="9">
        <v>0.10535047698050599</v>
      </c>
      <c r="Z57" s="9">
        <v>0.21575984990619149</v>
      </c>
      <c r="AA57" s="8">
        <v>5.8333333333333348E-2</v>
      </c>
    </row>
    <row r="58" spans="2:27" x14ac:dyDescent="0.3">
      <c r="B58" s="12" t="s">
        <v>787</v>
      </c>
      <c r="C58" s="3" t="s">
        <v>819</v>
      </c>
      <c r="D58" s="3" t="s">
        <v>847</v>
      </c>
      <c r="E58" s="3" t="s">
        <v>821</v>
      </c>
      <c r="F58" s="5">
        <v>5.7</v>
      </c>
      <c r="G58" s="52">
        <v>9.9</v>
      </c>
      <c r="H58" s="52">
        <v>9.8699999999999992</v>
      </c>
      <c r="I58" s="52">
        <v>10</v>
      </c>
      <c r="J58" s="52">
        <v>13.39</v>
      </c>
      <c r="K58" s="52">
        <v>11.51</v>
      </c>
      <c r="L58" s="52">
        <v>11.89</v>
      </c>
      <c r="M58" s="52">
        <v>11.77</v>
      </c>
      <c r="N58" s="52">
        <v>13.63</v>
      </c>
      <c r="O58" s="52">
        <v>13.49</v>
      </c>
      <c r="P58" s="52">
        <v>12.9</v>
      </c>
      <c r="Q58" s="52">
        <v>11.08</v>
      </c>
      <c r="R58" s="52">
        <v>15.24</v>
      </c>
      <c r="S58" s="52">
        <v>14.18</v>
      </c>
      <c r="T58" s="52">
        <v>13.64</v>
      </c>
      <c r="U58" s="52">
        <v>14.4</v>
      </c>
      <c r="V58" s="52">
        <v>14.52</v>
      </c>
      <c r="W58" s="52">
        <v>17.399999999999999</v>
      </c>
      <c r="X58" s="10">
        <v>1.385767790262182E-2</v>
      </c>
      <c r="Y58" s="8">
        <v>6.1322497229405297E-2</v>
      </c>
      <c r="Z58" s="8">
        <v>-1.2530455969369971E-2</v>
      </c>
      <c r="AA58" s="8">
        <v>5.6750088121254823E-2</v>
      </c>
    </row>
    <row r="59" spans="2:27" x14ac:dyDescent="0.3">
      <c r="B59" s="12" t="s">
        <v>57</v>
      </c>
      <c r="C59" s="3" t="s">
        <v>819</v>
      </c>
      <c r="D59" s="3" t="s">
        <v>846</v>
      </c>
      <c r="E59" s="3" t="s">
        <v>821</v>
      </c>
      <c r="F59" s="5">
        <v>5.5</v>
      </c>
      <c r="G59" s="52">
        <v>315.12</v>
      </c>
      <c r="H59" s="52">
        <v>228.56</v>
      </c>
      <c r="I59" s="52">
        <v>292.74</v>
      </c>
      <c r="J59" s="52">
        <v>239.37</v>
      </c>
      <c r="K59" s="52">
        <v>267.17</v>
      </c>
      <c r="L59" s="52">
        <v>196.98</v>
      </c>
      <c r="M59" s="52">
        <v>284.36</v>
      </c>
      <c r="N59" s="52">
        <v>270.37</v>
      </c>
      <c r="O59" s="52">
        <v>340.45</v>
      </c>
      <c r="P59" s="52">
        <v>298.41000000000003</v>
      </c>
      <c r="Q59" s="52">
        <v>342.03</v>
      </c>
      <c r="R59" s="53">
        <v>437.48</v>
      </c>
      <c r="S59" s="53">
        <v>516.08000000000004</v>
      </c>
      <c r="T59" s="52">
        <v>332.82</v>
      </c>
      <c r="U59" s="52">
        <v>472.3</v>
      </c>
      <c r="V59" s="52">
        <v>456.8</v>
      </c>
      <c r="W59" s="52">
        <v>614.15</v>
      </c>
      <c r="X59" s="10">
        <v>2.158720200752828E-2</v>
      </c>
      <c r="Y59" s="8">
        <v>7.9998280531315746E-2</v>
      </c>
      <c r="Z59" s="8">
        <v>1.0985511861168581E-2</v>
      </c>
      <c r="AA59" s="8">
        <v>5.5157480314960587E-2</v>
      </c>
    </row>
    <row r="60" spans="2:27" x14ac:dyDescent="0.3">
      <c r="B60" s="12" t="s">
        <v>34</v>
      </c>
      <c r="C60" s="3" t="s">
        <v>819</v>
      </c>
      <c r="D60" s="3" t="s">
        <v>858</v>
      </c>
      <c r="E60" s="3" t="s">
        <v>821</v>
      </c>
      <c r="F60" s="5">
        <v>5.4</v>
      </c>
      <c r="G60" s="52">
        <v>482</v>
      </c>
      <c r="H60" s="52">
        <v>658</v>
      </c>
      <c r="I60" s="52">
        <v>541</v>
      </c>
      <c r="J60" s="52">
        <v>416</v>
      </c>
      <c r="K60" s="52">
        <v>389</v>
      </c>
      <c r="L60" s="52">
        <v>571</v>
      </c>
      <c r="M60" s="52">
        <v>562</v>
      </c>
      <c r="N60" s="52">
        <v>564</v>
      </c>
      <c r="O60" s="52">
        <v>536</v>
      </c>
      <c r="P60" s="53">
        <v>808</v>
      </c>
      <c r="Q60" s="52">
        <v>793</v>
      </c>
      <c r="R60" s="52">
        <v>762</v>
      </c>
      <c r="S60" s="52">
        <v>618</v>
      </c>
      <c r="T60" s="52">
        <v>883</v>
      </c>
      <c r="U60" s="52">
        <v>848</v>
      </c>
      <c r="V60" s="52">
        <v>941</v>
      </c>
      <c r="W60" s="52">
        <v>796</v>
      </c>
      <c r="X60" s="10">
        <v>2.5159342502515839E-2</v>
      </c>
      <c r="Y60" s="8">
        <v>1.7997382198952971E-2</v>
      </c>
      <c r="Z60" s="8">
        <v>5.7537769206043032E-2</v>
      </c>
      <c r="AA60" s="8">
        <v>5.4103343465045528E-2</v>
      </c>
    </row>
    <row r="61" spans="2:27" x14ac:dyDescent="0.3">
      <c r="B61" s="12" t="s">
        <v>79</v>
      </c>
      <c r="C61" s="3" t="s">
        <v>819</v>
      </c>
      <c r="D61" s="3" t="s">
        <v>837</v>
      </c>
      <c r="E61" s="3" t="s">
        <v>821</v>
      </c>
      <c r="F61" s="5">
        <v>5.3</v>
      </c>
      <c r="G61" s="52">
        <v>0</v>
      </c>
      <c r="H61" s="52">
        <v>561</v>
      </c>
      <c r="I61" s="52">
        <v>183</v>
      </c>
      <c r="J61" s="52">
        <v>551</v>
      </c>
      <c r="K61" s="53">
        <v>449</v>
      </c>
      <c r="L61" s="52">
        <v>648</v>
      </c>
      <c r="M61" s="53">
        <v>394</v>
      </c>
      <c r="N61" s="52">
        <v>525</v>
      </c>
      <c r="O61" s="53">
        <v>683</v>
      </c>
      <c r="P61" s="52">
        <v>516</v>
      </c>
      <c r="Q61" s="52">
        <v>502</v>
      </c>
      <c r="R61" s="52">
        <v>517</v>
      </c>
      <c r="S61" s="52">
        <v>584</v>
      </c>
      <c r="T61" s="52">
        <v>623</v>
      </c>
      <c r="U61" s="52">
        <v>426</v>
      </c>
      <c r="V61" s="52">
        <v>669</v>
      </c>
      <c r="W61" s="52">
        <v>705</v>
      </c>
      <c r="X61" s="10">
        <v>5.0495516753185532E-2</v>
      </c>
      <c r="Y61" s="8">
        <v>-3.4141958670260597E-2</v>
      </c>
      <c r="Z61" s="8">
        <v>7.069767441860475E-2</v>
      </c>
      <c r="AA61" s="8">
        <v>5.256298870547349E-2</v>
      </c>
    </row>
    <row r="62" spans="2:27" x14ac:dyDescent="0.3">
      <c r="B62" s="12" t="s">
        <v>773</v>
      </c>
      <c r="C62" s="3" t="s">
        <v>819</v>
      </c>
      <c r="D62" s="3" t="s">
        <v>890</v>
      </c>
      <c r="E62" s="3" t="s">
        <v>821</v>
      </c>
      <c r="F62" s="5">
        <v>5.3</v>
      </c>
      <c r="G62" s="52">
        <v>12.04</v>
      </c>
      <c r="H62" s="52">
        <v>13.41</v>
      </c>
      <c r="I62" s="52">
        <v>14.18</v>
      </c>
      <c r="J62" s="52">
        <v>13.51</v>
      </c>
      <c r="K62" s="52">
        <v>13.62</v>
      </c>
      <c r="L62" s="52">
        <v>11.25</v>
      </c>
      <c r="M62" s="52">
        <v>12.79</v>
      </c>
      <c r="N62" s="52">
        <v>13.74</v>
      </c>
      <c r="O62" s="52">
        <v>12.66</v>
      </c>
      <c r="P62" s="52">
        <v>11.63</v>
      </c>
      <c r="Q62" s="52">
        <v>12.52</v>
      </c>
      <c r="R62" s="52">
        <v>12.8</v>
      </c>
      <c r="S62" s="52">
        <v>7.75</v>
      </c>
      <c r="T62" s="52">
        <v>4.4000000000000004</v>
      </c>
      <c r="U62" s="52">
        <v>4.5999999999999996</v>
      </c>
      <c r="V62" s="52">
        <v>8.57</v>
      </c>
      <c r="W62" s="52">
        <v>9.08</v>
      </c>
      <c r="X62" s="10">
        <v>-0.16174496644295311</v>
      </c>
      <c r="Y62" s="8">
        <v>-0.21136909527622089</v>
      </c>
      <c r="Z62" s="8">
        <v>-0.14314720812182749</v>
      </c>
      <c r="AA62" s="8">
        <v>5.2527646129541861E-2</v>
      </c>
    </row>
    <row r="63" spans="2:27" x14ac:dyDescent="0.3">
      <c r="B63" s="12" t="s">
        <v>593</v>
      </c>
      <c r="C63" s="3" t="s">
        <v>819</v>
      </c>
      <c r="D63" s="3" t="s">
        <v>828</v>
      </c>
      <c r="E63" s="3" t="s">
        <v>821</v>
      </c>
      <c r="F63" s="5">
        <v>5.2</v>
      </c>
      <c r="G63" s="52">
        <v>48.3</v>
      </c>
      <c r="H63" s="52">
        <v>37.1</v>
      </c>
      <c r="I63" s="52">
        <v>66.3</v>
      </c>
      <c r="J63" s="52">
        <v>29.4</v>
      </c>
      <c r="K63" s="52">
        <v>21</v>
      </c>
      <c r="L63" s="52">
        <v>25.5</v>
      </c>
      <c r="M63" s="52">
        <v>53.4</v>
      </c>
      <c r="N63" s="52">
        <v>29.6</v>
      </c>
      <c r="O63" s="52">
        <v>16.399999999999999</v>
      </c>
      <c r="P63" s="52">
        <v>36.799999999999997</v>
      </c>
      <c r="Q63" s="52">
        <v>66</v>
      </c>
      <c r="R63" s="52">
        <v>19.2</v>
      </c>
      <c r="S63" s="52">
        <v>11.5</v>
      </c>
      <c r="T63" s="52">
        <v>48.5</v>
      </c>
      <c r="U63" s="52">
        <v>53.3</v>
      </c>
      <c r="V63" s="52">
        <v>28.7</v>
      </c>
      <c r="W63" s="52">
        <v>18.899999999999999</v>
      </c>
      <c r="X63" s="10">
        <v>8.764044943820215E-2</v>
      </c>
      <c r="Y63" s="8">
        <v>-8.7465564738291923E-2</v>
      </c>
      <c r="Z63" s="8">
        <v>7.1698113207547154E-2</v>
      </c>
      <c r="AA63" s="8">
        <v>5.2112676056337959E-2</v>
      </c>
    </row>
    <row r="64" spans="2:27" x14ac:dyDescent="0.3">
      <c r="B64" s="12" t="s">
        <v>319</v>
      </c>
      <c r="C64" s="3" t="s">
        <v>819</v>
      </c>
      <c r="D64" s="3" t="s">
        <v>846</v>
      </c>
      <c r="E64" s="3" t="s">
        <v>821</v>
      </c>
      <c r="F64" s="5">
        <v>5</v>
      </c>
      <c r="G64" s="52">
        <v>-15.83</v>
      </c>
      <c r="H64" s="52">
        <v>2.06</v>
      </c>
      <c r="I64" s="52">
        <v>1.1299999999999999</v>
      </c>
      <c r="J64" s="52">
        <v>5.85</v>
      </c>
      <c r="K64" s="52">
        <v>8.81</v>
      </c>
      <c r="L64" s="53">
        <v>25.72</v>
      </c>
      <c r="M64" s="53">
        <v>36.06</v>
      </c>
      <c r="N64" s="53">
        <v>53.8</v>
      </c>
      <c r="O64" s="53">
        <v>55.58</v>
      </c>
      <c r="P64" s="53">
        <v>62.46</v>
      </c>
      <c r="Q64" s="53">
        <v>64.52</v>
      </c>
      <c r="R64" s="52">
        <v>73.349999999999994</v>
      </c>
      <c r="S64" s="52">
        <v>64.83</v>
      </c>
      <c r="T64" s="52">
        <v>75.17</v>
      </c>
      <c r="U64" s="52">
        <v>77.06</v>
      </c>
      <c r="V64" s="52">
        <v>81.37</v>
      </c>
      <c r="W64" s="52">
        <v>79.66</v>
      </c>
      <c r="X64" s="10">
        <v>4.7933323276512452E-2</v>
      </c>
      <c r="Y64" s="8">
        <v>4.5129017166300578E-2</v>
      </c>
      <c r="Z64" s="8">
        <v>2.7616128921180479E-2</v>
      </c>
      <c r="AA64" s="8">
        <v>4.9693395436115617E-2</v>
      </c>
    </row>
    <row r="65" spans="2:27" x14ac:dyDescent="0.3">
      <c r="B65" s="12" t="s">
        <v>741</v>
      </c>
      <c r="C65" s="3" t="s">
        <v>819</v>
      </c>
      <c r="D65" s="3" t="s">
        <v>836</v>
      </c>
      <c r="E65" s="3" t="s">
        <v>821</v>
      </c>
      <c r="F65" s="5">
        <v>4.3</v>
      </c>
      <c r="G65" s="52">
        <v>2.5299999999999998</v>
      </c>
      <c r="H65" s="52">
        <v>0.47</v>
      </c>
      <c r="I65" s="52">
        <v>0</v>
      </c>
      <c r="J65" s="52">
        <v>1.2</v>
      </c>
      <c r="K65" s="52">
        <v>1.01</v>
      </c>
      <c r="L65" s="52">
        <v>-2.62</v>
      </c>
      <c r="M65" s="53">
        <v>-5.34</v>
      </c>
      <c r="N65" s="53">
        <v>-2.72</v>
      </c>
      <c r="O65" s="53">
        <v>0</v>
      </c>
      <c r="P65" s="53">
        <v>-4.96</v>
      </c>
      <c r="Q65" s="52">
        <v>-0.04</v>
      </c>
      <c r="R65" s="52">
        <v>-2.62</v>
      </c>
      <c r="S65" s="52">
        <v>7.0000000000000007E-2</v>
      </c>
      <c r="T65" s="52">
        <v>-4.38</v>
      </c>
      <c r="U65" s="53">
        <v>-4.4800000000000004</v>
      </c>
      <c r="V65" s="52">
        <v>-2.08</v>
      </c>
      <c r="W65" s="52">
        <v>-0.4</v>
      </c>
      <c r="X65" s="10">
        <v>-7.6821192052980103E-2</v>
      </c>
      <c r="Y65" s="9">
        <v>0.63701578192252528</v>
      </c>
      <c r="Z65" s="8">
        <v>-4.7326906222611709E-2</v>
      </c>
      <c r="AA65" s="8">
        <v>4.3238270469181161E-2</v>
      </c>
    </row>
    <row r="66" spans="2:27" x14ac:dyDescent="0.3">
      <c r="B66" s="12" t="s">
        <v>738</v>
      </c>
      <c r="C66" s="3" t="s">
        <v>819</v>
      </c>
      <c r="D66" s="3" t="s">
        <v>836</v>
      </c>
      <c r="E66" s="3" t="s">
        <v>821</v>
      </c>
      <c r="F66" s="5">
        <v>4.3</v>
      </c>
      <c r="G66" s="52">
        <v>-7.28</v>
      </c>
      <c r="H66" s="52">
        <v>-6.62</v>
      </c>
      <c r="I66" s="52">
        <v>-5.43</v>
      </c>
      <c r="J66" s="52">
        <v>-7.75</v>
      </c>
      <c r="K66" s="52">
        <v>-8.56</v>
      </c>
      <c r="L66" s="52">
        <v>-8.76</v>
      </c>
      <c r="M66" s="53">
        <v>-8.68</v>
      </c>
      <c r="N66" s="52">
        <v>-8.4499999999999993</v>
      </c>
      <c r="O66" s="52">
        <v>-9.25</v>
      </c>
      <c r="P66" s="52">
        <v>-9.1300000000000008</v>
      </c>
      <c r="Q66" s="52">
        <v>-7.44</v>
      </c>
      <c r="R66" s="52">
        <v>-7.92</v>
      </c>
      <c r="S66" s="52">
        <v>-7.1</v>
      </c>
      <c r="T66" s="52">
        <v>-7.71</v>
      </c>
      <c r="U66" s="52">
        <v>-8.25</v>
      </c>
      <c r="V66" s="52">
        <v>-8.7100000000000009</v>
      </c>
      <c r="W66" s="52">
        <v>-8.4700000000000006</v>
      </c>
      <c r="X66" s="10">
        <v>-4.4950933839822627E-2</v>
      </c>
      <c r="Y66" s="8">
        <v>2.6847862114683489E-2</v>
      </c>
      <c r="Z66" s="8">
        <v>2.5500322788896131E-2</v>
      </c>
      <c r="AA66" s="8">
        <v>4.3122442555870277E-2</v>
      </c>
    </row>
    <row r="67" spans="2:27" x14ac:dyDescent="0.3">
      <c r="B67" s="12" t="s">
        <v>18</v>
      </c>
      <c r="C67" s="3" t="s">
        <v>819</v>
      </c>
      <c r="D67" s="3" t="s">
        <v>850</v>
      </c>
      <c r="E67" s="3" t="s">
        <v>821</v>
      </c>
      <c r="F67" s="5">
        <v>4.3</v>
      </c>
      <c r="G67" s="52">
        <v>851</v>
      </c>
      <c r="H67" s="52">
        <v>210</v>
      </c>
      <c r="I67" s="52">
        <v>1006</v>
      </c>
      <c r="J67" s="52">
        <v>2581</v>
      </c>
      <c r="K67" s="52">
        <v>1065</v>
      </c>
      <c r="L67" s="52">
        <v>450</v>
      </c>
      <c r="M67" s="53">
        <v>1673</v>
      </c>
      <c r="N67" s="52">
        <v>3103</v>
      </c>
      <c r="O67" s="52">
        <v>699</v>
      </c>
      <c r="P67" s="52">
        <v>791</v>
      </c>
      <c r="Q67" s="52">
        <v>1856</v>
      </c>
      <c r="R67" s="52">
        <v>3179</v>
      </c>
      <c r="S67" s="53">
        <v>1673</v>
      </c>
      <c r="T67" s="52">
        <v>1094</v>
      </c>
      <c r="U67" s="52">
        <v>2288</v>
      </c>
      <c r="V67" s="53">
        <v>4045</v>
      </c>
      <c r="W67" s="52">
        <v>2060</v>
      </c>
      <c r="X67" s="10">
        <v>4.0405387384984559E-2</v>
      </c>
      <c r="Y67" s="8">
        <v>5.5370417841579027E-2</v>
      </c>
      <c r="Z67" s="9">
        <v>0.105173670148166</v>
      </c>
      <c r="AA67" s="8">
        <v>4.2527472527472472E-2</v>
      </c>
    </row>
    <row r="68" spans="2:27" x14ac:dyDescent="0.3">
      <c r="B68" s="12" t="s">
        <v>81</v>
      </c>
      <c r="C68" s="3" t="s">
        <v>819</v>
      </c>
      <c r="D68" s="3" t="s">
        <v>837</v>
      </c>
      <c r="E68" s="3" t="s">
        <v>821</v>
      </c>
      <c r="F68" s="5">
        <v>4.0999999999999996</v>
      </c>
      <c r="G68" s="52">
        <v>258</v>
      </c>
      <c r="H68" s="52">
        <v>664</v>
      </c>
      <c r="I68" s="52">
        <v>553</v>
      </c>
      <c r="J68" s="52">
        <v>610</v>
      </c>
      <c r="K68" s="52">
        <v>461</v>
      </c>
      <c r="L68" s="52">
        <v>575</v>
      </c>
      <c r="M68" s="52">
        <v>578</v>
      </c>
      <c r="N68" s="52">
        <v>697</v>
      </c>
      <c r="O68" s="52">
        <v>255</v>
      </c>
      <c r="P68" s="52">
        <v>649</v>
      </c>
      <c r="Q68" s="52">
        <v>559</v>
      </c>
      <c r="R68" s="52">
        <v>764</v>
      </c>
      <c r="S68" s="53">
        <v>706</v>
      </c>
      <c r="T68" s="52">
        <v>781</v>
      </c>
      <c r="U68" s="52">
        <v>671</v>
      </c>
      <c r="V68" s="52">
        <v>856</v>
      </c>
      <c r="W68" s="52">
        <v>830</v>
      </c>
      <c r="X68" s="10">
        <v>4.9290515309932781E-2</v>
      </c>
      <c r="Y68" s="8">
        <v>3.9857651245551518E-2</v>
      </c>
      <c r="Z68" s="8">
        <v>3.1485284052019218E-2</v>
      </c>
      <c r="AA68" s="8">
        <v>4.1141340411413367E-2</v>
      </c>
    </row>
    <row r="69" spans="2:27" x14ac:dyDescent="0.3">
      <c r="B69" s="12" t="s">
        <v>628</v>
      </c>
      <c r="C69" s="3" t="s">
        <v>819</v>
      </c>
      <c r="D69" s="3" t="s">
        <v>874</v>
      </c>
      <c r="E69" s="3" t="s">
        <v>844</v>
      </c>
      <c r="F69" s="5">
        <v>3.7</v>
      </c>
      <c r="G69" s="52">
        <v>108485</v>
      </c>
      <c r="H69" s="52">
        <v>48765</v>
      </c>
      <c r="I69" s="52">
        <v>207355</v>
      </c>
      <c r="J69" s="52">
        <v>237700</v>
      </c>
      <c r="K69" s="53">
        <v>244905</v>
      </c>
      <c r="L69" s="52">
        <v>89003</v>
      </c>
      <c r="M69" s="53">
        <v>313573</v>
      </c>
      <c r="N69" s="52">
        <v>282748</v>
      </c>
      <c r="O69" s="52">
        <v>325130</v>
      </c>
      <c r="P69" s="52">
        <v>33582</v>
      </c>
      <c r="Q69" s="52">
        <v>397385</v>
      </c>
      <c r="R69" s="53">
        <v>393772</v>
      </c>
      <c r="S69" s="52">
        <v>376077</v>
      </c>
      <c r="T69" s="52">
        <v>22849</v>
      </c>
      <c r="U69" s="52">
        <v>378595</v>
      </c>
      <c r="V69" s="53">
        <v>520119</v>
      </c>
      <c r="W69" s="52">
        <v>424507</v>
      </c>
      <c r="X69" s="10">
        <v>-8.9380887663055297E-3</v>
      </c>
      <c r="Y69" s="8">
        <v>-1.5788814729728928E-2</v>
      </c>
      <c r="Z69" s="9">
        <v>0.107869679064077</v>
      </c>
      <c r="AA69" s="8">
        <v>3.7321599210875078E-2</v>
      </c>
    </row>
    <row r="70" spans="2:27" x14ac:dyDescent="0.3">
      <c r="B70" s="12" t="s">
        <v>409</v>
      </c>
      <c r="C70" s="3" t="s">
        <v>819</v>
      </c>
      <c r="D70" s="3" t="s">
        <v>838</v>
      </c>
      <c r="E70" s="3" t="s">
        <v>844</v>
      </c>
      <c r="F70" s="5">
        <v>3.7</v>
      </c>
      <c r="G70" s="52">
        <v>6301</v>
      </c>
      <c r="H70" s="52">
        <v>7004</v>
      </c>
      <c r="I70" s="52">
        <v>15813</v>
      </c>
      <c r="J70" s="52">
        <v>13804</v>
      </c>
      <c r="K70" s="52">
        <v>6930</v>
      </c>
      <c r="L70" s="52">
        <v>5564</v>
      </c>
      <c r="M70" s="52">
        <v>13237</v>
      </c>
      <c r="N70" s="52">
        <v>16483</v>
      </c>
      <c r="O70" s="52">
        <v>7575</v>
      </c>
      <c r="P70" s="52">
        <v>6653</v>
      </c>
      <c r="Q70" s="52">
        <v>12919</v>
      </c>
      <c r="R70" s="52">
        <v>17278</v>
      </c>
      <c r="S70" s="52">
        <v>7309</v>
      </c>
      <c r="T70" s="53">
        <v>14789</v>
      </c>
      <c r="U70" s="53">
        <v>20217</v>
      </c>
      <c r="V70" s="52">
        <v>18781</v>
      </c>
      <c r="W70" s="52">
        <v>9566</v>
      </c>
      <c r="X70" s="7">
        <v>0.18424330261101929</v>
      </c>
      <c r="Y70" s="9">
        <v>0.13955445071230521</v>
      </c>
      <c r="Z70" s="8">
        <v>2.5221083013105661E-2</v>
      </c>
      <c r="AA70" s="8">
        <v>3.694186198769156E-2</v>
      </c>
    </row>
    <row r="71" spans="2:27" x14ac:dyDescent="0.3">
      <c r="B71" s="12" t="s">
        <v>317</v>
      </c>
      <c r="C71" s="3" t="s">
        <v>819</v>
      </c>
      <c r="D71" s="3" t="s">
        <v>866</v>
      </c>
      <c r="E71" s="3" t="s">
        <v>821</v>
      </c>
      <c r="F71" s="5">
        <v>3.4</v>
      </c>
      <c r="G71" s="52">
        <v>19.309999999999999</v>
      </c>
      <c r="H71" s="52">
        <v>19.53</v>
      </c>
      <c r="I71" s="52">
        <v>20.88</v>
      </c>
      <c r="J71" s="52">
        <v>20.64</v>
      </c>
      <c r="K71" s="52">
        <v>20.46</v>
      </c>
      <c r="L71" s="52">
        <v>14.2</v>
      </c>
      <c r="M71" s="52">
        <v>14.93</v>
      </c>
      <c r="N71" s="52">
        <v>19.07</v>
      </c>
      <c r="O71" s="52">
        <v>17.22</v>
      </c>
      <c r="P71" s="53">
        <v>21.24</v>
      </c>
      <c r="Q71" s="53">
        <v>25.89</v>
      </c>
      <c r="R71" s="53">
        <v>29.65</v>
      </c>
      <c r="S71" s="53">
        <v>27.5</v>
      </c>
      <c r="T71" s="53">
        <v>32.700000000000003</v>
      </c>
      <c r="U71" s="52">
        <v>31.97</v>
      </c>
      <c r="V71" s="52">
        <v>32.35</v>
      </c>
      <c r="W71" s="52">
        <v>31.68</v>
      </c>
      <c r="X71" s="7">
        <v>0.1098964326812428</v>
      </c>
      <c r="Y71" s="8">
        <v>5.2531536201831493E-2</v>
      </c>
      <c r="Z71" s="8">
        <v>2.2163848300771779E-2</v>
      </c>
      <c r="AA71" s="8">
        <v>3.356890459363937E-2</v>
      </c>
    </row>
    <row r="72" spans="2:27" x14ac:dyDescent="0.3">
      <c r="B72" s="12" t="s">
        <v>169</v>
      </c>
      <c r="C72" s="3" t="s">
        <v>819</v>
      </c>
      <c r="D72" s="3" t="s">
        <v>851</v>
      </c>
      <c r="E72" s="3" t="s">
        <v>839</v>
      </c>
      <c r="F72" s="5">
        <v>3.3</v>
      </c>
      <c r="G72" s="52">
        <v>156.13999999999999</v>
      </c>
      <c r="H72" s="52">
        <v>184.72</v>
      </c>
      <c r="I72" s="52">
        <v>184.87</v>
      </c>
      <c r="J72" s="52">
        <v>222.53</v>
      </c>
      <c r="K72" s="52">
        <v>145.59</v>
      </c>
      <c r="L72" s="52">
        <v>173.84</v>
      </c>
      <c r="M72" s="52">
        <v>172.34</v>
      </c>
      <c r="N72" s="52">
        <v>181</v>
      </c>
      <c r="O72" s="52">
        <v>160.46</v>
      </c>
      <c r="P72" s="52">
        <v>169.65</v>
      </c>
      <c r="Q72" s="52">
        <v>168.63</v>
      </c>
      <c r="R72" s="52">
        <v>188.1</v>
      </c>
      <c r="S72" s="52">
        <v>141.96</v>
      </c>
      <c r="T72" s="52">
        <v>169.77</v>
      </c>
      <c r="U72" s="52">
        <v>201.5</v>
      </c>
      <c r="V72" s="52">
        <v>219.23</v>
      </c>
      <c r="W72" s="52">
        <v>166.41</v>
      </c>
      <c r="X72" s="10">
        <v>1.7954933117869659E-4</v>
      </c>
      <c r="Y72" s="8">
        <v>4.9172725368757941E-2</v>
      </c>
      <c r="Z72" s="8">
        <v>4.4387093094548913E-2</v>
      </c>
      <c r="AA72" s="8">
        <v>3.3380662425251728E-2</v>
      </c>
    </row>
    <row r="73" spans="2:27" x14ac:dyDescent="0.3">
      <c r="B73" s="12" t="s">
        <v>335</v>
      </c>
      <c r="C73" s="3" t="s">
        <v>819</v>
      </c>
      <c r="D73" s="3" t="s">
        <v>855</v>
      </c>
      <c r="E73" s="3" t="s">
        <v>821</v>
      </c>
      <c r="F73" s="5">
        <v>3.3</v>
      </c>
      <c r="G73" s="52"/>
      <c r="H73" s="52">
        <v>-44.61</v>
      </c>
      <c r="I73" s="52">
        <v>60.21</v>
      </c>
      <c r="J73" s="52">
        <v>142.72</v>
      </c>
      <c r="K73" s="52">
        <v>34.880000000000003</v>
      </c>
      <c r="L73" s="52">
        <v>-44.56</v>
      </c>
      <c r="M73" s="53">
        <v>93.47</v>
      </c>
      <c r="N73" s="53">
        <v>211.46</v>
      </c>
      <c r="O73" s="52">
        <v>49.71</v>
      </c>
      <c r="P73" s="52">
        <v>-52.91</v>
      </c>
      <c r="Q73" s="52">
        <v>117.16</v>
      </c>
      <c r="R73" s="52">
        <v>209.18</v>
      </c>
      <c r="S73" s="52">
        <v>55.7</v>
      </c>
      <c r="T73" s="52">
        <v>-77.349999999999994</v>
      </c>
      <c r="U73" s="52">
        <v>89.68</v>
      </c>
      <c r="V73" s="52">
        <v>218.11</v>
      </c>
      <c r="W73" s="52">
        <v>65.2</v>
      </c>
      <c r="X73" s="10">
        <v>-7.4256372861787101E-2</v>
      </c>
      <c r="Y73" s="8">
        <v>-9.019002921001662E-2</v>
      </c>
      <c r="Z73" s="8">
        <v>3.2213845099383187E-2</v>
      </c>
      <c r="AA73" s="8">
        <v>3.3200531208499313E-2</v>
      </c>
    </row>
    <row r="74" spans="2:27" x14ac:dyDescent="0.3">
      <c r="B74" s="12" t="s">
        <v>171</v>
      </c>
      <c r="C74" s="3" t="s">
        <v>819</v>
      </c>
      <c r="D74" s="3" t="s">
        <v>879</v>
      </c>
      <c r="E74" s="3" t="s">
        <v>821</v>
      </c>
      <c r="F74" s="5">
        <v>3.3</v>
      </c>
      <c r="G74" s="52">
        <v>82.2</v>
      </c>
      <c r="H74" s="52">
        <v>87.09</v>
      </c>
      <c r="I74" s="52">
        <v>211.17</v>
      </c>
      <c r="J74" s="52">
        <v>209.09</v>
      </c>
      <c r="K74" s="52">
        <v>127.4</v>
      </c>
      <c r="L74" s="52">
        <v>120.96</v>
      </c>
      <c r="M74" s="52">
        <v>189.82</v>
      </c>
      <c r="N74" s="52">
        <v>154.37</v>
      </c>
      <c r="O74" s="52">
        <v>147.29</v>
      </c>
      <c r="P74" s="52">
        <v>125.48</v>
      </c>
      <c r="Q74" s="52">
        <v>215.49</v>
      </c>
      <c r="R74" s="52">
        <v>192.3</v>
      </c>
      <c r="S74" s="52">
        <v>136.97</v>
      </c>
      <c r="T74" s="52">
        <v>111.62</v>
      </c>
      <c r="U74" s="52">
        <v>210.3</v>
      </c>
      <c r="V74" s="52">
        <v>193.01</v>
      </c>
      <c r="W74" s="52">
        <v>158.44999999999999</v>
      </c>
      <c r="X74" s="10">
        <v>-2.0679159703986701E-2</v>
      </c>
      <c r="Y74" s="8">
        <v>-7.9070050885157173E-3</v>
      </c>
      <c r="Z74" s="8">
        <v>1.090311583408665E-3</v>
      </c>
      <c r="AA74" s="8">
        <v>3.2949838932351698E-2</v>
      </c>
    </row>
    <row r="75" spans="2:27" x14ac:dyDescent="0.3">
      <c r="B75" s="12" t="s">
        <v>240</v>
      </c>
      <c r="C75" s="3" t="s">
        <v>819</v>
      </c>
      <c r="D75" s="3" t="s">
        <v>869</v>
      </c>
      <c r="E75" s="3" t="s">
        <v>821</v>
      </c>
      <c r="F75" s="5">
        <v>3.2</v>
      </c>
      <c r="G75" s="52">
        <v>14.29</v>
      </c>
      <c r="H75" s="52">
        <v>17.05</v>
      </c>
      <c r="I75" s="52">
        <v>22.7</v>
      </c>
      <c r="J75" s="52">
        <v>24.32</v>
      </c>
      <c r="K75" s="53">
        <v>29.48</v>
      </c>
      <c r="L75" s="53">
        <v>28.52</v>
      </c>
      <c r="M75" s="52">
        <v>27.54</v>
      </c>
      <c r="N75" s="52">
        <v>31.97</v>
      </c>
      <c r="O75" s="52">
        <v>29.81</v>
      </c>
      <c r="P75" s="53">
        <v>42.74</v>
      </c>
      <c r="Q75" s="53">
        <v>41.22</v>
      </c>
      <c r="R75" s="52">
        <v>40.549999999999997</v>
      </c>
      <c r="S75" s="52">
        <v>41.79</v>
      </c>
      <c r="T75" s="52">
        <v>46.11</v>
      </c>
      <c r="U75" s="52">
        <v>46.77</v>
      </c>
      <c r="V75" s="52">
        <v>51.02</v>
      </c>
      <c r="W75" s="52">
        <v>47.77</v>
      </c>
      <c r="X75" s="10">
        <v>2.0264582080577132E-2</v>
      </c>
      <c r="Y75" s="8">
        <v>3.2710555784758677E-2</v>
      </c>
      <c r="Z75" s="8">
        <v>5.9753452802191458E-2</v>
      </c>
      <c r="AA75" s="8">
        <v>3.2204211319941889E-2</v>
      </c>
    </row>
    <row r="76" spans="2:27" x14ac:dyDescent="0.3">
      <c r="B76" s="12" t="s">
        <v>405</v>
      </c>
      <c r="C76" s="3" t="s">
        <v>819</v>
      </c>
      <c r="D76" s="3" t="s">
        <v>852</v>
      </c>
      <c r="E76" s="3" t="s">
        <v>821</v>
      </c>
      <c r="F76" s="5">
        <v>3.2</v>
      </c>
      <c r="G76" s="52">
        <v>33.6</v>
      </c>
      <c r="H76" s="52">
        <v>25.85</v>
      </c>
      <c r="I76" s="52">
        <v>35.78</v>
      </c>
      <c r="J76" s="52">
        <v>41.88</v>
      </c>
      <c r="K76" s="52">
        <v>30.64</v>
      </c>
      <c r="L76" s="53">
        <v>51.19</v>
      </c>
      <c r="M76" s="53">
        <v>58.97</v>
      </c>
      <c r="N76" s="52">
        <v>51.61</v>
      </c>
      <c r="O76" s="52">
        <v>36.58</v>
      </c>
      <c r="P76" s="52">
        <v>39.29</v>
      </c>
      <c r="Q76" s="52">
        <v>52.08</v>
      </c>
      <c r="R76" s="52">
        <v>55.36</v>
      </c>
      <c r="S76" s="52">
        <v>37.76</v>
      </c>
      <c r="T76" s="52">
        <v>45.86</v>
      </c>
      <c r="U76" s="52">
        <v>51.3</v>
      </c>
      <c r="V76" s="52">
        <v>62.06</v>
      </c>
      <c r="W76" s="52">
        <v>44.06</v>
      </c>
      <c r="X76" s="10">
        <v>3.5611686270258458E-2</v>
      </c>
      <c r="Y76" s="8">
        <v>-4.0824871768031512E-3</v>
      </c>
      <c r="Z76" s="8">
        <v>3.5211267605633763E-2</v>
      </c>
      <c r="AA76" s="8">
        <v>3.1982942430703647E-2</v>
      </c>
    </row>
    <row r="77" spans="2:27" x14ac:dyDescent="0.3">
      <c r="B77" s="12" t="s">
        <v>307</v>
      </c>
      <c r="C77" s="3" t="s">
        <v>819</v>
      </c>
      <c r="D77" s="3" t="s">
        <v>863</v>
      </c>
      <c r="E77" s="3" t="s">
        <v>821</v>
      </c>
      <c r="F77" s="5">
        <v>3.2</v>
      </c>
      <c r="G77" s="52">
        <v>85.92</v>
      </c>
      <c r="H77" s="52">
        <v>140.16999999999999</v>
      </c>
      <c r="I77" s="52">
        <v>59.94</v>
      </c>
      <c r="J77" s="52">
        <v>48.48</v>
      </c>
      <c r="K77" s="52">
        <v>105.14</v>
      </c>
      <c r="L77" s="52">
        <v>150.13999999999999</v>
      </c>
      <c r="M77" s="52">
        <v>64.989999999999995</v>
      </c>
      <c r="N77" s="52">
        <v>58.36</v>
      </c>
      <c r="O77" s="52">
        <v>108.13</v>
      </c>
      <c r="P77" s="52">
        <v>146.87</v>
      </c>
      <c r="Q77" s="52">
        <v>69.83</v>
      </c>
      <c r="R77" s="52">
        <v>60.27</v>
      </c>
      <c r="S77" s="52">
        <v>125.53</v>
      </c>
      <c r="T77" s="52">
        <v>180.83</v>
      </c>
      <c r="U77" s="52">
        <v>72.209999999999994</v>
      </c>
      <c r="V77" s="52">
        <v>65.67</v>
      </c>
      <c r="W77" s="52">
        <v>139.72999999999999</v>
      </c>
      <c r="X77" s="10">
        <v>8.4372670807453476E-2</v>
      </c>
      <c r="Y77" s="8">
        <v>5.4529624707877478E-3</v>
      </c>
      <c r="Z77" s="8">
        <v>1.2305168170631649E-2</v>
      </c>
      <c r="AA77" s="8">
        <v>3.1964703763731388E-2</v>
      </c>
    </row>
    <row r="78" spans="2:27" x14ac:dyDescent="0.3">
      <c r="B78" s="12" t="s">
        <v>611</v>
      </c>
      <c r="C78" s="3" t="s">
        <v>819</v>
      </c>
      <c r="D78" s="3" t="s">
        <v>883</v>
      </c>
      <c r="E78" s="3" t="s">
        <v>821</v>
      </c>
      <c r="F78" s="5">
        <v>3</v>
      </c>
      <c r="G78" s="52">
        <v>-3.53</v>
      </c>
      <c r="H78" s="52">
        <v>-4.2</v>
      </c>
      <c r="I78" s="52">
        <v>8.44</v>
      </c>
      <c r="J78" s="52">
        <v>28.62</v>
      </c>
      <c r="K78" s="53">
        <v>15.46</v>
      </c>
      <c r="L78" s="53">
        <v>23.24</v>
      </c>
      <c r="M78" s="53">
        <v>28.06</v>
      </c>
      <c r="N78" s="52">
        <v>21.44</v>
      </c>
      <c r="O78" s="52">
        <v>2.31</v>
      </c>
      <c r="P78" s="52">
        <v>13.02</v>
      </c>
      <c r="Q78" s="52">
        <v>23.29</v>
      </c>
      <c r="R78" s="52">
        <v>25.23</v>
      </c>
      <c r="S78" s="52">
        <v>-0.41</v>
      </c>
      <c r="T78" s="52">
        <v>18.600000000000001</v>
      </c>
      <c r="U78" s="52">
        <v>18.920000000000002</v>
      </c>
      <c r="V78" s="52">
        <v>5.33</v>
      </c>
      <c r="W78" s="52">
        <v>0.88</v>
      </c>
      <c r="X78" s="10">
        <v>9.1280876819892054E-2</v>
      </c>
      <c r="Y78" s="8">
        <v>-6.5507420176885045E-2</v>
      </c>
      <c r="Z78" s="8">
        <v>-0.31921719602181592</v>
      </c>
      <c r="AA78" s="8">
        <v>3.0395852968897241E-2</v>
      </c>
    </row>
    <row r="79" spans="2:27" x14ac:dyDescent="0.3">
      <c r="B79" s="12" t="s">
        <v>128</v>
      </c>
      <c r="C79" s="3" t="s">
        <v>819</v>
      </c>
      <c r="D79" s="3" t="s">
        <v>867</v>
      </c>
      <c r="E79" s="3" t="s">
        <v>821</v>
      </c>
      <c r="F79" s="5">
        <v>3</v>
      </c>
      <c r="G79" s="52">
        <v>120.6</v>
      </c>
      <c r="H79" s="52">
        <v>124.4</v>
      </c>
      <c r="I79" s="52">
        <v>149.5</v>
      </c>
      <c r="J79" s="52">
        <v>165</v>
      </c>
      <c r="K79" s="52">
        <v>164.8</v>
      </c>
      <c r="L79" s="52">
        <v>170.9</v>
      </c>
      <c r="M79" s="52">
        <v>184.6</v>
      </c>
      <c r="N79" s="52">
        <v>192.7</v>
      </c>
      <c r="O79" s="52">
        <v>187.7</v>
      </c>
      <c r="P79" s="52">
        <v>172.1</v>
      </c>
      <c r="Q79" s="52">
        <v>209.1</v>
      </c>
      <c r="R79" s="52">
        <v>215.1</v>
      </c>
      <c r="S79" s="52">
        <v>195.9</v>
      </c>
      <c r="T79" s="52">
        <v>196.4</v>
      </c>
      <c r="U79" s="52">
        <v>219.7</v>
      </c>
      <c r="V79" s="52">
        <v>233.9</v>
      </c>
      <c r="W79" s="52">
        <v>221.2</v>
      </c>
      <c r="X79" s="10">
        <v>3.0674072203988881E-2</v>
      </c>
      <c r="Y79" s="8">
        <v>1.298224127372927E-2</v>
      </c>
      <c r="Z79" s="8">
        <v>2.2730020553741959E-2</v>
      </c>
      <c r="AA79" s="8">
        <v>2.9908972691807589E-2</v>
      </c>
    </row>
    <row r="80" spans="2:27" x14ac:dyDescent="0.3">
      <c r="B80" s="12" t="s">
        <v>85</v>
      </c>
      <c r="C80" s="3" t="s">
        <v>819</v>
      </c>
      <c r="D80" s="3" t="s">
        <v>890</v>
      </c>
      <c r="E80" s="3" t="s">
        <v>821</v>
      </c>
      <c r="F80" s="5">
        <v>2.9</v>
      </c>
      <c r="G80" s="52">
        <v>271</v>
      </c>
      <c r="H80" s="52">
        <v>276</v>
      </c>
      <c r="I80" s="52">
        <v>276</v>
      </c>
      <c r="J80" s="52">
        <v>281</v>
      </c>
      <c r="K80" s="52">
        <v>300</v>
      </c>
      <c r="L80" s="52">
        <v>262</v>
      </c>
      <c r="M80" s="52">
        <v>330</v>
      </c>
      <c r="N80" s="52">
        <v>348</v>
      </c>
      <c r="O80" s="52">
        <v>362</v>
      </c>
      <c r="P80" s="53">
        <v>412</v>
      </c>
      <c r="Q80" s="52">
        <v>474</v>
      </c>
      <c r="R80" s="53">
        <v>515</v>
      </c>
      <c r="S80" s="52">
        <v>414</v>
      </c>
      <c r="T80" s="52">
        <v>527</v>
      </c>
      <c r="U80" s="52">
        <v>565</v>
      </c>
      <c r="V80" s="52">
        <v>535</v>
      </c>
      <c r="W80" s="52">
        <v>473</v>
      </c>
      <c r="X80" s="10">
        <v>6.336088154269981E-2</v>
      </c>
      <c r="Y80" s="8">
        <v>4.7150259067357592E-2</v>
      </c>
      <c r="Z80" s="8">
        <v>9.8960910440375471E-3</v>
      </c>
      <c r="AA80" s="8">
        <v>2.89073983341499E-2</v>
      </c>
    </row>
    <row r="81" spans="2:27" x14ac:dyDescent="0.3">
      <c r="B81" s="12" t="s">
        <v>446</v>
      </c>
      <c r="C81" s="3" t="s">
        <v>819</v>
      </c>
      <c r="D81" s="3" t="s">
        <v>869</v>
      </c>
      <c r="E81" s="3" t="s">
        <v>821</v>
      </c>
      <c r="F81" s="5">
        <v>2.9</v>
      </c>
      <c r="G81" s="52">
        <v>30.34</v>
      </c>
      <c r="H81" s="52">
        <v>29.42</v>
      </c>
      <c r="I81" s="52">
        <v>29</v>
      </c>
      <c r="J81" s="52">
        <v>-1.1200000000000001</v>
      </c>
      <c r="K81" s="52">
        <v>26.4</v>
      </c>
      <c r="L81" s="52">
        <v>37.36</v>
      </c>
      <c r="M81" s="53">
        <v>48.11</v>
      </c>
      <c r="N81" s="53">
        <v>20.49</v>
      </c>
      <c r="O81" s="53">
        <v>43.76</v>
      </c>
      <c r="P81" s="52">
        <v>42.5</v>
      </c>
      <c r="Q81" s="52">
        <v>59.65</v>
      </c>
      <c r="R81" s="52">
        <v>31.25</v>
      </c>
      <c r="S81" s="52">
        <v>61</v>
      </c>
      <c r="T81" s="52">
        <v>53.34</v>
      </c>
      <c r="U81" s="52">
        <v>66.06</v>
      </c>
      <c r="V81" s="52">
        <v>38.08</v>
      </c>
      <c r="W81" s="52">
        <v>67.260000000000005</v>
      </c>
      <c r="X81" s="10">
        <v>5.5761316872428017E-2</v>
      </c>
      <c r="Y81" s="8">
        <v>3.1231728707854289E-2</v>
      </c>
      <c r="Z81" s="8">
        <v>3.2270257500590649E-2</v>
      </c>
      <c r="AA81" s="8">
        <v>2.865250823874033E-2</v>
      </c>
    </row>
    <row r="82" spans="2:27" x14ac:dyDescent="0.3">
      <c r="B82" s="12" t="s">
        <v>373</v>
      </c>
      <c r="C82" s="3" t="s">
        <v>819</v>
      </c>
      <c r="D82" s="3" t="s">
        <v>847</v>
      </c>
      <c r="E82" s="3" t="s">
        <v>821</v>
      </c>
      <c r="F82" s="5">
        <v>2.8</v>
      </c>
      <c r="G82" s="52">
        <v>50</v>
      </c>
      <c r="H82" s="52">
        <v>45.68</v>
      </c>
      <c r="I82" s="52">
        <v>48.52</v>
      </c>
      <c r="J82" s="52">
        <v>50.85</v>
      </c>
      <c r="K82" s="52">
        <v>57.02</v>
      </c>
      <c r="L82" s="52">
        <v>62.41</v>
      </c>
      <c r="M82" s="52">
        <v>55.85</v>
      </c>
      <c r="N82" s="52">
        <v>55.16</v>
      </c>
      <c r="O82" s="52">
        <v>48.94</v>
      </c>
      <c r="P82" s="52">
        <v>52.5</v>
      </c>
      <c r="Q82" s="52">
        <v>53.3</v>
      </c>
      <c r="R82" s="52">
        <v>54.65</v>
      </c>
      <c r="S82" s="52">
        <v>54.24</v>
      </c>
      <c r="T82" s="52">
        <v>54.23</v>
      </c>
      <c r="U82" s="52">
        <v>60.54</v>
      </c>
      <c r="V82" s="52">
        <v>58.05</v>
      </c>
      <c r="W82" s="52">
        <v>60.58</v>
      </c>
      <c r="X82" s="10">
        <v>8.0581303274487315E-3</v>
      </c>
      <c r="Y82" s="8">
        <v>3.3453470104426668E-2</v>
      </c>
      <c r="Z82" s="8">
        <v>1.5201645354556041E-2</v>
      </c>
      <c r="AA82" s="8">
        <v>2.7922135118470859E-2</v>
      </c>
    </row>
    <row r="83" spans="2:27" x14ac:dyDescent="0.3">
      <c r="B83" s="12" t="s">
        <v>313</v>
      </c>
      <c r="C83" s="3" t="s">
        <v>819</v>
      </c>
      <c r="D83" s="3" t="s">
        <v>837</v>
      </c>
      <c r="E83" s="3" t="s">
        <v>821</v>
      </c>
      <c r="F83" s="5">
        <v>2.7</v>
      </c>
      <c r="G83" s="52">
        <v>98</v>
      </c>
      <c r="H83" s="52">
        <v>107</v>
      </c>
      <c r="I83" s="52">
        <v>113</v>
      </c>
      <c r="J83" s="52">
        <v>93</v>
      </c>
      <c r="K83" s="52">
        <v>98</v>
      </c>
      <c r="L83" s="52">
        <v>119</v>
      </c>
      <c r="M83" s="52">
        <v>83</v>
      </c>
      <c r="N83" s="52">
        <v>87</v>
      </c>
      <c r="O83" s="52">
        <v>113</v>
      </c>
      <c r="P83" s="53">
        <v>164</v>
      </c>
      <c r="Q83" s="52">
        <v>118</v>
      </c>
      <c r="R83" s="53">
        <v>148</v>
      </c>
      <c r="S83" s="52">
        <v>87</v>
      </c>
      <c r="T83" s="52">
        <v>169</v>
      </c>
      <c r="U83" s="52">
        <v>119</v>
      </c>
      <c r="V83" s="52">
        <v>175</v>
      </c>
      <c r="W83" s="52">
        <v>102</v>
      </c>
      <c r="X83" s="10">
        <v>9.6711798839459462E-3</v>
      </c>
      <c r="Y83" s="8">
        <v>1.915708812260553E-3</v>
      </c>
      <c r="Z83" s="8">
        <v>5.1625239005736123E-2</v>
      </c>
      <c r="AA83" s="8">
        <v>2.7272727272727341E-2</v>
      </c>
    </row>
    <row r="84" spans="2:27" x14ac:dyDescent="0.3">
      <c r="B84" s="12" t="s">
        <v>198</v>
      </c>
      <c r="C84" s="3" t="s">
        <v>819</v>
      </c>
      <c r="D84" s="3" t="s">
        <v>876</v>
      </c>
      <c r="E84" s="3" t="s">
        <v>821</v>
      </c>
      <c r="F84" s="5">
        <v>2.7</v>
      </c>
      <c r="G84" s="52">
        <v>180.72</v>
      </c>
      <c r="H84" s="52">
        <v>155.88999999999999</v>
      </c>
      <c r="I84" s="52">
        <v>191.84</v>
      </c>
      <c r="J84" s="52">
        <v>155.13999999999999</v>
      </c>
      <c r="K84" s="52">
        <v>160.22999999999999</v>
      </c>
      <c r="L84" s="52">
        <v>172.18</v>
      </c>
      <c r="M84" s="52">
        <v>169.34</v>
      </c>
      <c r="N84" s="52">
        <v>167.86</v>
      </c>
      <c r="O84" s="52">
        <v>125.91</v>
      </c>
      <c r="P84" s="52">
        <v>150.08000000000001</v>
      </c>
      <c r="Q84" s="52">
        <v>173.11</v>
      </c>
      <c r="R84" s="52">
        <v>148.05000000000001</v>
      </c>
      <c r="S84" s="52">
        <v>78.12</v>
      </c>
      <c r="T84" s="52">
        <v>134.01</v>
      </c>
      <c r="U84" s="52">
        <v>172.03</v>
      </c>
      <c r="V84" s="52">
        <v>151.08000000000001</v>
      </c>
      <c r="W84" s="52">
        <v>92.53</v>
      </c>
      <c r="X84" s="10">
        <v>-2.9252220765982329E-2</v>
      </c>
      <c r="Y84" s="8">
        <v>-2.0251645446190958E-3</v>
      </c>
      <c r="Z84" s="8">
        <v>5.6932413896768619E-3</v>
      </c>
      <c r="AA84" s="8">
        <v>2.6922502055152678E-2</v>
      </c>
    </row>
    <row r="85" spans="2:27" x14ac:dyDescent="0.3">
      <c r="B85" s="12" t="s">
        <v>186</v>
      </c>
      <c r="C85" s="3" t="s">
        <v>819</v>
      </c>
      <c r="D85" s="3" t="s">
        <v>865</v>
      </c>
      <c r="E85" s="3" t="s">
        <v>821</v>
      </c>
      <c r="F85" s="5">
        <v>2.5</v>
      </c>
      <c r="G85" s="52">
        <v>89.7</v>
      </c>
      <c r="H85" s="52">
        <v>131.03</v>
      </c>
      <c r="I85" s="52">
        <v>147.41</v>
      </c>
      <c r="J85" s="52">
        <v>190.31</v>
      </c>
      <c r="K85" s="53">
        <v>184.5</v>
      </c>
      <c r="L85" s="53">
        <v>206.05</v>
      </c>
      <c r="M85" s="53">
        <v>233.67</v>
      </c>
      <c r="N85" s="52">
        <v>216.26</v>
      </c>
      <c r="O85" s="52">
        <v>176.05</v>
      </c>
      <c r="P85" s="52">
        <v>215.41</v>
      </c>
      <c r="Q85" s="52">
        <v>259.14</v>
      </c>
      <c r="R85" s="52">
        <v>227.06</v>
      </c>
      <c r="S85" s="52">
        <v>218.75</v>
      </c>
      <c r="T85" s="52">
        <v>189.82</v>
      </c>
      <c r="U85" s="52">
        <v>272.08</v>
      </c>
      <c r="V85" s="52">
        <v>246.63</v>
      </c>
      <c r="W85" s="52">
        <v>242.12</v>
      </c>
      <c r="X85" s="10">
        <v>-2.7804337433178339E-2</v>
      </c>
      <c r="Y85" s="8">
        <v>1.446181700325222E-2</v>
      </c>
      <c r="Z85" s="8">
        <v>2.1559749259124631E-2</v>
      </c>
      <c r="AA85" s="8">
        <v>2.5202743507894091E-2</v>
      </c>
    </row>
    <row r="86" spans="2:27" x14ac:dyDescent="0.3">
      <c r="B86" s="12" t="s">
        <v>299</v>
      </c>
      <c r="C86" s="3" t="s">
        <v>819</v>
      </c>
      <c r="D86" s="3" t="s">
        <v>882</v>
      </c>
      <c r="E86" s="3" t="s">
        <v>821</v>
      </c>
      <c r="F86" s="5">
        <v>2.2999999999999998</v>
      </c>
      <c r="G86" s="52">
        <v>307</v>
      </c>
      <c r="H86" s="52">
        <v>228</v>
      </c>
      <c r="I86" s="52">
        <v>332</v>
      </c>
      <c r="J86" s="52">
        <v>200</v>
      </c>
      <c r="K86" s="52">
        <v>64</v>
      </c>
      <c r="L86" s="52">
        <v>15</v>
      </c>
      <c r="M86" s="52">
        <v>165</v>
      </c>
      <c r="N86" s="52">
        <v>84</v>
      </c>
      <c r="O86" s="53">
        <v>187</v>
      </c>
      <c r="P86" s="52">
        <v>55</v>
      </c>
      <c r="Q86" s="52">
        <v>189</v>
      </c>
      <c r="R86" s="53">
        <v>161</v>
      </c>
      <c r="S86" s="52">
        <v>121</v>
      </c>
      <c r="T86" s="52">
        <v>46</v>
      </c>
      <c r="U86" s="52">
        <v>183</v>
      </c>
      <c r="V86" s="52">
        <v>127</v>
      </c>
      <c r="W86" s="52">
        <v>132</v>
      </c>
      <c r="X86" s="10">
        <v>-1.7110266159695801E-2</v>
      </c>
      <c r="Y86" s="8">
        <v>-1.160541586073505E-2</v>
      </c>
      <c r="Z86" s="8">
        <v>-6.6536203522504889E-2</v>
      </c>
      <c r="AA86" s="8">
        <v>2.3060796645702372E-2</v>
      </c>
    </row>
    <row r="87" spans="2:27" x14ac:dyDescent="0.3">
      <c r="B87" s="12" t="s">
        <v>323</v>
      </c>
      <c r="C87" s="3" t="s">
        <v>819</v>
      </c>
      <c r="D87" s="3" t="s">
        <v>875</v>
      </c>
      <c r="E87" s="3" t="s">
        <v>821</v>
      </c>
      <c r="F87" s="5">
        <v>2.1</v>
      </c>
      <c r="G87" s="52">
        <v>102.4</v>
      </c>
      <c r="H87" s="52">
        <v>77.47</v>
      </c>
      <c r="I87" s="52">
        <v>33.85</v>
      </c>
      <c r="J87" s="52">
        <v>35.51</v>
      </c>
      <c r="K87" s="52">
        <v>90.68</v>
      </c>
      <c r="L87" s="52">
        <v>74.48</v>
      </c>
      <c r="M87" s="52">
        <v>35.44</v>
      </c>
      <c r="N87" s="52">
        <v>41.54</v>
      </c>
      <c r="O87" s="52">
        <v>97.8</v>
      </c>
      <c r="P87" s="52">
        <v>84.48</v>
      </c>
      <c r="Q87" s="52">
        <v>42.72</v>
      </c>
      <c r="R87" s="52">
        <v>48.18</v>
      </c>
      <c r="S87" s="52">
        <v>101.92</v>
      </c>
      <c r="T87" s="52">
        <v>88.02</v>
      </c>
      <c r="U87" s="52">
        <v>51.79</v>
      </c>
      <c r="V87" s="52">
        <v>55.43</v>
      </c>
      <c r="W87" s="52">
        <v>108.08</v>
      </c>
      <c r="X87" s="10">
        <v>1.276595744680842E-2</v>
      </c>
      <c r="Y87" s="8">
        <v>3.2295969235151663E-2</v>
      </c>
      <c r="Z87" s="8">
        <v>2.5007761029284929E-2</v>
      </c>
      <c r="AA87" s="8">
        <v>2.072957329384861E-2</v>
      </c>
    </row>
    <row r="88" spans="2:27" x14ac:dyDescent="0.3">
      <c r="B88" s="12" t="s">
        <v>103</v>
      </c>
      <c r="C88" s="3" t="s">
        <v>819</v>
      </c>
      <c r="D88" s="3" t="s">
        <v>877</v>
      </c>
      <c r="E88" s="3" t="s">
        <v>821</v>
      </c>
      <c r="F88" s="5">
        <v>1.9</v>
      </c>
      <c r="G88" s="52">
        <v>66.36</v>
      </c>
      <c r="H88" s="52">
        <v>72.5</v>
      </c>
      <c r="I88" s="52">
        <v>94.7</v>
      </c>
      <c r="J88" s="52">
        <v>65.2</v>
      </c>
      <c r="K88" s="52">
        <v>87.6</v>
      </c>
      <c r="L88" s="52">
        <v>100.1</v>
      </c>
      <c r="M88" s="53">
        <v>223.2</v>
      </c>
      <c r="N88" s="53">
        <v>168.4</v>
      </c>
      <c r="O88" s="53">
        <v>190.8</v>
      </c>
      <c r="P88" s="53">
        <v>209.3</v>
      </c>
      <c r="Q88" s="52">
        <v>205.7</v>
      </c>
      <c r="R88" s="52">
        <v>158.9</v>
      </c>
      <c r="S88" s="52">
        <v>212.5</v>
      </c>
      <c r="T88" s="52">
        <v>192.2</v>
      </c>
      <c r="U88" s="52">
        <v>206.8</v>
      </c>
      <c r="V88" s="52">
        <v>161.1</v>
      </c>
      <c r="W88" s="52">
        <v>227.4</v>
      </c>
      <c r="X88" s="10">
        <v>-2.17446592065107E-2</v>
      </c>
      <c r="Y88" s="8">
        <v>1.429871311581898E-3</v>
      </c>
      <c r="Z88" s="8">
        <v>2.8556593977155931E-3</v>
      </c>
      <c r="AA88" s="8">
        <v>1.9285529381309899E-2</v>
      </c>
    </row>
    <row r="89" spans="2:27" x14ac:dyDescent="0.3">
      <c r="B89" s="12" t="s">
        <v>167</v>
      </c>
      <c r="C89" s="3" t="s">
        <v>819</v>
      </c>
      <c r="D89" s="3" t="s">
        <v>828</v>
      </c>
      <c r="E89" s="3" t="s">
        <v>848</v>
      </c>
      <c r="F89" s="5">
        <v>1.8</v>
      </c>
      <c r="G89" s="52">
        <v>919.6</v>
      </c>
      <c r="H89" s="52">
        <v>1201</v>
      </c>
      <c r="I89" s="52">
        <v>810.1</v>
      </c>
      <c r="J89" s="52">
        <v>1033</v>
      </c>
      <c r="K89" s="52">
        <v>1098</v>
      </c>
      <c r="L89" s="52">
        <v>1379</v>
      </c>
      <c r="M89" s="52">
        <v>1050</v>
      </c>
      <c r="N89" s="52">
        <v>1125</v>
      </c>
      <c r="O89" s="52">
        <v>1192</v>
      </c>
      <c r="P89" s="52">
        <v>1553</v>
      </c>
      <c r="Q89" s="52">
        <v>1106</v>
      </c>
      <c r="R89" s="52">
        <v>1280</v>
      </c>
      <c r="S89" s="52">
        <v>1308</v>
      </c>
      <c r="T89" s="52">
        <v>1641</v>
      </c>
      <c r="U89" s="52">
        <v>1214</v>
      </c>
      <c r="V89" s="52">
        <v>1340</v>
      </c>
      <c r="W89" s="52">
        <v>1409</v>
      </c>
      <c r="X89" s="10">
        <v>1.6771488469601751E-2</v>
      </c>
      <c r="Y89" s="8">
        <v>2.0243673851921381E-2</v>
      </c>
      <c r="Z89" s="8">
        <v>1.102333272092593E-2</v>
      </c>
      <c r="AA89" s="8">
        <v>1.8353625295293389E-2</v>
      </c>
    </row>
    <row r="90" spans="2:27" x14ac:dyDescent="0.3">
      <c r="B90" s="12" t="s">
        <v>242</v>
      </c>
      <c r="C90" s="3" t="s">
        <v>819</v>
      </c>
      <c r="D90" s="3" t="s">
        <v>829</v>
      </c>
      <c r="E90" s="3" t="s">
        <v>821</v>
      </c>
      <c r="F90" s="5">
        <v>1.8</v>
      </c>
      <c r="G90" s="52">
        <v>-23.98</v>
      </c>
      <c r="H90" s="52">
        <v>-25.99</v>
      </c>
      <c r="I90" s="52">
        <v>-28.75</v>
      </c>
      <c r="J90" s="52">
        <v>-31.45</v>
      </c>
      <c r="K90" s="53">
        <v>-35.1</v>
      </c>
      <c r="L90" s="52">
        <v>-36.32</v>
      </c>
      <c r="M90" s="52">
        <v>-38.049999999999997</v>
      </c>
      <c r="N90" s="52">
        <v>-25.99</v>
      </c>
      <c r="O90" s="52">
        <v>3.14</v>
      </c>
      <c r="P90" s="52">
        <v>5.82</v>
      </c>
      <c r="Q90" s="52">
        <v>21.07</v>
      </c>
      <c r="R90" s="53">
        <v>34.97</v>
      </c>
      <c r="S90" s="53">
        <v>41.38</v>
      </c>
      <c r="T90" s="53">
        <v>36.18</v>
      </c>
      <c r="U90" s="53">
        <v>39.31</v>
      </c>
      <c r="V90" s="52">
        <v>41.37</v>
      </c>
      <c r="W90" s="52">
        <v>44.27</v>
      </c>
      <c r="X90" s="7">
        <v>0.29407206509104977</v>
      </c>
      <c r="Y90" s="9">
        <v>0.13652694610778451</v>
      </c>
      <c r="Z90" s="8">
        <v>4.214963119072701E-2</v>
      </c>
      <c r="AA90" s="8">
        <v>1.8263397371081739E-2</v>
      </c>
    </row>
    <row r="91" spans="2:27" x14ac:dyDescent="0.3">
      <c r="B91" s="12" t="s">
        <v>173</v>
      </c>
      <c r="C91" s="3" t="s">
        <v>819</v>
      </c>
      <c r="D91" s="3" t="s">
        <v>859</v>
      </c>
      <c r="E91" s="3" t="s">
        <v>821</v>
      </c>
      <c r="F91" s="5">
        <v>1.5</v>
      </c>
      <c r="G91" s="52">
        <v>86</v>
      </c>
      <c r="H91" s="52">
        <v>126</v>
      </c>
      <c r="I91" s="52">
        <v>322</v>
      </c>
      <c r="J91" s="52">
        <v>137</v>
      </c>
      <c r="K91" s="53">
        <v>179</v>
      </c>
      <c r="L91" s="53">
        <v>258</v>
      </c>
      <c r="M91" s="52">
        <v>254</v>
      </c>
      <c r="N91" s="52">
        <v>102</v>
      </c>
      <c r="O91" s="52">
        <v>150</v>
      </c>
      <c r="P91" s="52">
        <v>268</v>
      </c>
      <c r="Q91" s="52">
        <v>238</v>
      </c>
      <c r="R91" s="52">
        <v>108</v>
      </c>
      <c r="S91" s="52">
        <v>164</v>
      </c>
      <c r="T91" s="52">
        <v>285</v>
      </c>
      <c r="U91" s="52">
        <v>272</v>
      </c>
      <c r="V91" s="52">
        <v>98</v>
      </c>
      <c r="W91" s="52">
        <v>176</v>
      </c>
      <c r="X91" s="10">
        <v>2.185089974293053E-2</v>
      </c>
      <c r="Y91" s="8">
        <v>4.2767295597484267E-2</v>
      </c>
      <c r="Z91" s="8">
        <v>-1.206272617611581E-2</v>
      </c>
      <c r="AA91" s="8">
        <v>1.46520146520146E-2</v>
      </c>
    </row>
    <row r="92" spans="2:27" x14ac:dyDescent="0.3">
      <c r="B92" s="12" t="s">
        <v>132</v>
      </c>
      <c r="C92" s="3" t="s">
        <v>819</v>
      </c>
      <c r="D92" s="3" t="s">
        <v>860</v>
      </c>
      <c r="E92" s="3" t="s">
        <v>821</v>
      </c>
      <c r="F92" s="5">
        <v>1.1000000000000001</v>
      </c>
      <c r="G92" s="52">
        <v>579.4</v>
      </c>
      <c r="H92" s="52">
        <v>724.2</v>
      </c>
      <c r="I92" s="52">
        <v>787.5</v>
      </c>
      <c r="J92" s="52">
        <v>548.5</v>
      </c>
      <c r="K92" s="52">
        <v>462.9</v>
      </c>
      <c r="L92" s="52">
        <v>513.6</v>
      </c>
      <c r="M92" s="52">
        <v>511.3</v>
      </c>
      <c r="N92" s="52">
        <v>389.5</v>
      </c>
      <c r="O92" s="52">
        <v>331.9</v>
      </c>
      <c r="P92" s="52">
        <v>393.1</v>
      </c>
      <c r="Q92" s="52">
        <v>351.7</v>
      </c>
      <c r="R92" s="52">
        <v>275.10000000000002</v>
      </c>
      <c r="S92" s="52">
        <v>164.9</v>
      </c>
      <c r="T92" s="52">
        <v>274.39999999999998</v>
      </c>
      <c r="U92" s="52">
        <v>318.5</v>
      </c>
      <c r="V92" s="52">
        <v>260.60000000000002</v>
      </c>
      <c r="W92" s="52">
        <v>176.2</v>
      </c>
      <c r="X92" s="10">
        <v>-0.1001856853477381</v>
      </c>
      <c r="Y92" s="8">
        <v>-3.1141543945220729E-2</v>
      </c>
      <c r="Z92" s="8">
        <v>-1.4038145028560489E-2</v>
      </c>
      <c r="AA92" s="8">
        <v>1.109583660644153E-2</v>
      </c>
    </row>
    <row r="93" spans="2:27" x14ac:dyDescent="0.3">
      <c r="B93" s="12" t="s">
        <v>91</v>
      </c>
      <c r="C93" s="3" t="s">
        <v>819</v>
      </c>
      <c r="D93" s="3" t="s">
        <v>827</v>
      </c>
      <c r="E93" s="3" t="s">
        <v>821</v>
      </c>
      <c r="F93" s="5">
        <v>1.1000000000000001</v>
      </c>
      <c r="G93" s="52">
        <v>125.97</v>
      </c>
      <c r="H93" s="52">
        <v>124.31</v>
      </c>
      <c r="I93" s="52">
        <v>151.71</v>
      </c>
      <c r="J93" s="52">
        <v>162.06</v>
      </c>
      <c r="K93" s="52">
        <v>124.6</v>
      </c>
      <c r="L93" s="52">
        <v>104.95</v>
      </c>
      <c r="M93" s="52">
        <v>120.41</v>
      </c>
      <c r="N93" s="52">
        <v>126.96</v>
      </c>
      <c r="O93" s="52">
        <v>134.38</v>
      </c>
      <c r="P93" s="52">
        <v>136.18</v>
      </c>
      <c r="Q93" s="52">
        <v>133.37</v>
      </c>
      <c r="R93" s="52">
        <v>127.47</v>
      </c>
      <c r="S93" s="52">
        <v>142.12</v>
      </c>
      <c r="T93" s="52">
        <v>150.29</v>
      </c>
      <c r="U93" s="52">
        <v>143.97</v>
      </c>
      <c r="V93" s="52">
        <v>149.31</v>
      </c>
      <c r="W93" s="52">
        <v>148.59</v>
      </c>
      <c r="X93" s="10">
        <v>2.617130986385718E-2</v>
      </c>
      <c r="Y93" s="8">
        <v>1.9159511974695009E-2</v>
      </c>
      <c r="Z93" s="8">
        <v>3.8733705772811877E-2</v>
      </c>
      <c r="AA93" s="8">
        <v>1.1046799501442489E-2</v>
      </c>
    </row>
    <row r="94" spans="2:27" x14ac:dyDescent="0.3">
      <c r="B94" s="12" t="s">
        <v>116</v>
      </c>
      <c r="C94" s="3" t="s">
        <v>819</v>
      </c>
      <c r="D94" s="3" t="s">
        <v>878</v>
      </c>
      <c r="E94" s="3" t="s">
        <v>821</v>
      </c>
      <c r="F94" s="5">
        <v>1</v>
      </c>
      <c r="G94" s="52">
        <v>149.29</v>
      </c>
      <c r="H94" s="52">
        <v>153.34</v>
      </c>
      <c r="I94" s="52">
        <v>164.38</v>
      </c>
      <c r="J94" s="52">
        <v>161.15</v>
      </c>
      <c r="K94" s="52">
        <v>163.54</v>
      </c>
      <c r="L94" s="52">
        <v>171.68</v>
      </c>
      <c r="M94" s="52">
        <v>175.78</v>
      </c>
      <c r="N94" s="52">
        <v>166.89</v>
      </c>
      <c r="O94" s="52">
        <v>168.26</v>
      </c>
      <c r="P94" s="52">
        <v>180.6</v>
      </c>
      <c r="Q94" s="52">
        <v>183.12</v>
      </c>
      <c r="R94" s="52">
        <v>169.56</v>
      </c>
      <c r="S94" s="52">
        <v>180.16</v>
      </c>
      <c r="T94" s="52">
        <v>184.79</v>
      </c>
      <c r="U94" s="52">
        <v>187.48</v>
      </c>
      <c r="V94" s="52">
        <v>187.29</v>
      </c>
      <c r="W94" s="52">
        <v>187.37</v>
      </c>
      <c r="X94" s="10">
        <v>5.8729535770352106E-3</v>
      </c>
      <c r="Y94" s="8">
        <v>6.0755542549781882E-3</v>
      </c>
      <c r="Z94" s="8">
        <v>2.4557126830011541E-2</v>
      </c>
      <c r="AA94" s="8">
        <v>9.74693127129167E-3</v>
      </c>
    </row>
    <row r="95" spans="2:27" x14ac:dyDescent="0.3">
      <c r="B95" s="12" t="s">
        <v>305</v>
      </c>
      <c r="C95" s="3" t="s">
        <v>819</v>
      </c>
      <c r="D95" s="3" t="s">
        <v>880</v>
      </c>
      <c r="E95" s="3" t="s">
        <v>821</v>
      </c>
      <c r="F95" s="5">
        <v>0.8</v>
      </c>
      <c r="G95" s="52">
        <v>255</v>
      </c>
      <c r="H95" s="52">
        <v>-45</v>
      </c>
      <c r="I95" s="52">
        <v>616</v>
      </c>
      <c r="J95" s="52">
        <v>666</v>
      </c>
      <c r="K95" s="53">
        <v>624</v>
      </c>
      <c r="L95" s="53">
        <v>619</v>
      </c>
      <c r="M95" s="52">
        <v>642</v>
      </c>
      <c r="N95" s="52">
        <v>724</v>
      </c>
      <c r="O95" s="52">
        <v>618</v>
      </c>
      <c r="P95" s="52">
        <v>491</v>
      </c>
      <c r="Q95" s="52">
        <v>637</v>
      </c>
      <c r="R95" s="52">
        <v>639</v>
      </c>
      <c r="S95" s="52">
        <v>508</v>
      </c>
      <c r="T95" s="52">
        <v>490</v>
      </c>
      <c r="U95" s="52">
        <v>560</v>
      </c>
      <c r="V95" s="52">
        <v>503</v>
      </c>
      <c r="W95" s="52">
        <v>525</v>
      </c>
      <c r="X95" s="10">
        <v>-4.3956043956039359E-4</v>
      </c>
      <c r="Y95" s="8">
        <v>-3.3861037818821438E-2</v>
      </c>
      <c r="Z95" s="8">
        <v>-6.1902594446973103E-2</v>
      </c>
      <c r="AA95" s="8">
        <v>8.2484230955846005E-3</v>
      </c>
    </row>
    <row r="96" spans="2:27" x14ac:dyDescent="0.3">
      <c r="B96" s="12" t="s">
        <v>42</v>
      </c>
      <c r="C96" s="3" t="s">
        <v>819</v>
      </c>
      <c r="D96" s="3" t="s">
        <v>835</v>
      </c>
      <c r="E96" s="3" t="s">
        <v>821</v>
      </c>
      <c r="F96" s="5">
        <v>0.8</v>
      </c>
      <c r="G96" s="52">
        <v>1699</v>
      </c>
      <c r="H96" s="52">
        <v>2146</v>
      </c>
      <c r="I96" s="52">
        <v>2113</v>
      </c>
      <c r="J96" s="52">
        <v>2059</v>
      </c>
      <c r="K96" s="52">
        <v>1806</v>
      </c>
      <c r="L96" s="52">
        <v>2063</v>
      </c>
      <c r="M96" s="52">
        <v>1845</v>
      </c>
      <c r="N96" s="52">
        <v>2234</v>
      </c>
      <c r="O96" s="52">
        <v>2165</v>
      </c>
      <c r="P96" s="52">
        <v>2380</v>
      </c>
      <c r="Q96" s="52">
        <v>2348</v>
      </c>
      <c r="R96" s="52">
        <v>2181</v>
      </c>
      <c r="S96" s="52">
        <v>2281</v>
      </c>
      <c r="T96" s="52">
        <v>2495</v>
      </c>
      <c r="U96" s="52">
        <v>2312</v>
      </c>
      <c r="V96" s="52">
        <v>2152</v>
      </c>
      <c r="W96" s="52">
        <v>2353</v>
      </c>
      <c r="X96" s="10">
        <v>1.2513601741022781E-2</v>
      </c>
      <c r="Y96" s="8">
        <v>-3.86888769478777E-3</v>
      </c>
      <c r="Z96" s="8">
        <v>-3.1287085985542968E-3</v>
      </c>
      <c r="AA96" s="8">
        <v>7.7922077922076838E-3</v>
      </c>
    </row>
    <row r="97" spans="2:27" x14ac:dyDescent="0.3">
      <c r="B97" s="12" t="s">
        <v>218</v>
      </c>
      <c r="C97" s="3" t="s">
        <v>819</v>
      </c>
      <c r="D97" s="3" t="s">
        <v>884</v>
      </c>
      <c r="E97" s="3" t="s">
        <v>821</v>
      </c>
      <c r="F97" s="5">
        <v>0.7</v>
      </c>
      <c r="G97" s="52">
        <v>82.17</v>
      </c>
      <c r="H97" s="52">
        <v>97.55</v>
      </c>
      <c r="I97" s="52">
        <v>121.22</v>
      </c>
      <c r="J97" s="52">
        <v>112.33</v>
      </c>
      <c r="K97" s="52">
        <v>112.21</v>
      </c>
      <c r="L97" s="52">
        <v>118.41</v>
      </c>
      <c r="M97" s="52">
        <v>133.72999999999999</v>
      </c>
      <c r="N97" s="52">
        <v>120.83</v>
      </c>
      <c r="O97" s="52">
        <v>94.33</v>
      </c>
      <c r="P97" s="52">
        <v>131.4</v>
      </c>
      <c r="Q97" s="52">
        <v>147.31</v>
      </c>
      <c r="R97" s="52">
        <v>125.74</v>
      </c>
      <c r="S97" s="52">
        <v>119.35</v>
      </c>
      <c r="T97" s="52">
        <v>128.06</v>
      </c>
      <c r="U97" s="52">
        <v>129.5</v>
      </c>
      <c r="V97" s="52">
        <v>141.46</v>
      </c>
      <c r="W97" s="52">
        <v>123.04</v>
      </c>
      <c r="X97" s="10">
        <v>-6.3764795723556533E-3</v>
      </c>
      <c r="Y97" s="8">
        <v>-3.4219728701533343E-2</v>
      </c>
      <c r="Z97" s="8">
        <v>3.1274246493584013E-2</v>
      </c>
      <c r="AA97" s="8">
        <v>7.1184675039066558E-3</v>
      </c>
    </row>
    <row r="98" spans="2:27" x14ac:dyDescent="0.3">
      <c r="B98" s="12" t="s">
        <v>28</v>
      </c>
      <c r="C98" s="3" t="s">
        <v>819</v>
      </c>
      <c r="D98" s="3" t="s">
        <v>828</v>
      </c>
      <c r="E98" s="3" t="s">
        <v>821</v>
      </c>
      <c r="F98" s="5">
        <v>0.5</v>
      </c>
      <c r="G98" s="52">
        <v>196.2</v>
      </c>
      <c r="H98" s="52">
        <v>318.94</v>
      </c>
      <c r="I98" s="52">
        <v>289.2</v>
      </c>
      <c r="J98" s="52">
        <v>264.37</v>
      </c>
      <c r="K98" s="52">
        <v>211.13</v>
      </c>
      <c r="L98" s="52">
        <v>325.36</v>
      </c>
      <c r="M98" s="52">
        <v>302.43</v>
      </c>
      <c r="N98" s="52">
        <v>308.79000000000002</v>
      </c>
      <c r="O98" s="53">
        <v>337.76</v>
      </c>
      <c r="P98" s="52">
        <v>250.24</v>
      </c>
      <c r="Q98" s="52">
        <v>297.24</v>
      </c>
      <c r="R98" s="52">
        <v>375.59</v>
      </c>
      <c r="S98" s="52">
        <v>457.16</v>
      </c>
      <c r="T98" s="52">
        <v>361.41</v>
      </c>
      <c r="U98" s="52">
        <v>374.39</v>
      </c>
      <c r="V98" s="52">
        <v>469.78</v>
      </c>
      <c r="W98" s="52">
        <v>465.2</v>
      </c>
      <c r="X98" s="10">
        <v>8.0544546923339011E-2</v>
      </c>
      <c r="Y98" s="8">
        <v>5.172991819766648E-2</v>
      </c>
      <c r="Z98" s="8">
        <v>6.004908992381508E-2</v>
      </c>
      <c r="AA98" s="8">
        <v>4.8353921839854319E-3</v>
      </c>
    </row>
    <row r="99" spans="2:27" x14ac:dyDescent="0.3">
      <c r="B99" s="12" t="s">
        <v>371</v>
      </c>
      <c r="C99" s="3" t="s">
        <v>819</v>
      </c>
      <c r="D99" s="3" t="s">
        <v>851</v>
      </c>
      <c r="E99" s="3" t="s">
        <v>821</v>
      </c>
      <c r="F99" s="5">
        <v>0.4</v>
      </c>
      <c r="G99" s="52">
        <v>35.090000000000003</v>
      </c>
      <c r="H99" s="52">
        <v>35.81</v>
      </c>
      <c r="I99" s="52">
        <v>37.46</v>
      </c>
      <c r="J99" s="52">
        <v>39.36</v>
      </c>
      <c r="K99" s="52">
        <v>40.200000000000003</v>
      </c>
      <c r="L99" s="52">
        <v>40.11</v>
      </c>
      <c r="M99" s="52">
        <v>43.15</v>
      </c>
      <c r="N99" s="52">
        <v>44.51</v>
      </c>
      <c r="O99" s="52">
        <v>40.97</v>
      </c>
      <c r="P99" s="52">
        <v>40.380000000000003</v>
      </c>
      <c r="Q99" s="52">
        <v>49.87</v>
      </c>
      <c r="R99" s="52">
        <v>50.66</v>
      </c>
      <c r="S99" s="52">
        <v>39.049999999999997</v>
      </c>
      <c r="T99" s="52">
        <v>35.93</v>
      </c>
      <c r="U99" s="52">
        <v>40.31</v>
      </c>
      <c r="V99" s="52">
        <v>45.62</v>
      </c>
      <c r="W99" s="52">
        <v>39.71</v>
      </c>
      <c r="X99" s="10">
        <v>-2.472771727050449E-2</v>
      </c>
      <c r="Y99" s="8">
        <v>-5.4469830778873018E-2</v>
      </c>
      <c r="Z99" s="8">
        <v>-3.0370593552274779E-2</v>
      </c>
      <c r="AA99" s="8">
        <v>4.1016717419675164E-3</v>
      </c>
    </row>
    <row r="100" spans="2:27" x14ac:dyDescent="0.3">
      <c r="B100" s="12" t="s">
        <v>297</v>
      </c>
      <c r="C100" s="3" t="s">
        <v>819</v>
      </c>
      <c r="D100" s="3" t="s">
        <v>891</v>
      </c>
      <c r="E100" s="3" t="s">
        <v>821</v>
      </c>
      <c r="F100" s="5">
        <v>0.3</v>
      </c>
      <c r="G100" s="52">
        <v>-4.7300000000000004</v>
      </c>
      <c r="H100" s="52">
        <v>6.79</v>
      </c>
      <c r="I100" s="52">
        <v>15.03</v>
      </c>
      <c r="J100" s="52">
        <v>18.41</v>
      </c>
      <c r="K100" s="53">
        <v>25.29</v>
      </c>
      <c r="L100" s="53">
        <v>30.8</v>
      </c>
      <c r="M100" s="53">
        <v>30.87</v>
      </c>
      <c r="N100" s="53">
        <v>33.28</v>
      </c>
      <c r="O100" s="52">
        <v>35.18</v>
      </c>
      <c r="P100" s="52">
        <v>39.659999999999997</v>
      </c>
      <c r="Q100" s="52">
        <v>43.26</v>
      </c>
      <c r="R100" s="52">
        <v>44.36</v>
      </c>
      <c r="S100" s="52">
        <v>46.81</v>
      </c>
      <c r="T100" s="52">
        <v>53.69</v>
      </c>
      <c r="U100" s="52">
        <v>46.59</v>
      </c>
      <c r="V100" s="52">
        <v>47.29</v>
      </c>
      <c r="W100" s="52">
        <v>47.42</v>
      </c>
      <c r="X100" s="10">
        <v>8.0590499167097374E-2</v>
      </c>
      <c r="Y100" s="8">
        <v>1.770146714862841E-2</v>
      </c>
      <c r="Z100" s="8">
        <v>1.5304256986158339E-2</v>
      </c>
      <c r="AA100" s="8">
        <v>3.13818294063184E-3</v>
      </c>
    </row>
    <row r="101" spans="2:27" x14ac:dyDescent="0.3">
      <c r="B101" s="12" t="s">
        <v>263</v>
      </c>
      <c r="C101" s="3" t="s">
        <v>819</v>
      </c>
      <c r="D101" s="3" t="s">
        <v>842</v>
      </c>
      <c r="E101" s="3" t="s">
        <v>821</v>
      </c>
      <c r="F101" s="5">
        <v>0.3</v>
      </c>
      <c r="G101" s="52"/>
      <c r="H101" s="52">
        <v>18.260000000000002</v>
      </c>
      <c r="I101" s="52">
        <v>21.11</v>
      </c>
      <c r="J101" s="52">
        <v>24.41</v>
      </c>
      <c r="K101" s="52">
        <v>39.380000000000003</v>
      </c>
      <c r="L101" s="53">
        <v>34.99</v>
      </c>
      <c r="M101" s="53">
        <v>37.19</v>
      </c>
      <c r="N101" s="52">
        <v>33.119999999999997</v>
      </c>
      <c r="O101" s="52">
        <v>37.69</v>
      </c>
      <c r="P101" s="52">
        <v>35.19</v>
      </c>
      <c r="Q101" s="52">
        <v>8.25</v>
      </c>
      <c r="R101" s="52">
        <v>27.15</v>
      </c>
      <c r="S101" s="53">
        <v>71.02</v>
      </c>
      <c r="T101" s="53">
        <v>65.209999999999994</v>
      </c>
      <c r="U101" s="53">
        <v>64.849999999999994</v>
      </c>
      <c r="V101" s="53">
        <v>60.23</v>
      </c>
      <c r="W101" s="52">
        <v>71.72</v>
      </c>
      <c r="X101" s="7">
        <v>0.211990678624391</v>
      </c>
      <c r="Y101" s="9">
        <v>0.32977917613470842</v>
      </c>
      <c r="Z101" s="9">
        <v>0.14494150637514799</v>
      </c>
      <c r="AA101" s="8">
        <v>2.6788106080899432E-3</v>
      </c>
    </row>
    <row r="102" spans="2:27" x14ac:dyDescent="0.3">
      <c r="B102" s="12" t="s">
        <v>83</v>
      </c>
      <c r="C102" s="3" t="s">
        <v>819</v>
      </c>
      <c r="D102" s="3" t="s">
        <v>852</v>
      </c>
      <c r="E102" s="3" t="s">
        <v>821</v>
      </c>
      <c r="F102" s="5">
        <v>0.2</v>
      </c>
      <c r="G102" s="52">
        <v>239</v>
      </c>
      <c r="H102" s="52">
        <v>265</v>
      </c>
      <c r="I102" s="52">
        <v>347</v>
      </c>
      <c r="J102" s="52">
        <v>458</v>
      </c>
      <c r="K102" s="52">
        <v>280</v>
      </c>
      <c r="L102" s="52">
        <v>304</v>
      </c>
      <c r="M102" s="52">
        <v>440</v>
      </c>
      <c r="N102" s="52">
        <v>487</v>
      </c>
      <c r="O102" s="52">
        <v>305</v>
      </c>
      <c r="P102" s="52">
        <v>335</v>
      </c>
      <c r="Q102" s="52">
        <v>456</v>
      </c>
      <c r="R102" s="52">
        <v>550</v>
      </c>
      <c r="S102" s="52">
        <v>405</v>
      </c>
      <c r="T102" s="52">
        <v>375</v>
      </c>
      <c r="U102" s="52">
        <v>493</v>
      </c>
      <c r="V102" s="52">
        <v>618</v>
      </c>
      <c r="W102" s="52">
        <v>409</v>
      </c>
      <c r="X102" s="10">
        <v>2.2909507445589838E-2</v>
      </c>
      <c r="Y102" s="8">
        <v>2.0716685330347099E-2</v>
      </c>
      <c r="Z102" s="8">
        <v>3.7301151947339628E-2</v>
      </c>
      <c r="AA102" s="8">
        <v>2.1152829190904669E-3</v>
      </c>
    </row>
    <row r="103" spans="2:27" x14ac:dyDescent="0.3">
      <c r="B103" s="12" t="s">
        <v>40</v>
      </c>
      <c r="C103" s="3" t="s">
        <v>819</v>
      </c>
      <c r="D103" s="3" t="s">
        <v>879</v>
      </c>
      <c r="E103" s="3" t="s">
        <v>821</v>
      </c>
      <c r="F103" s="5">
        <v>0.1</v>
      </c>
      <c r="G103" s="52">
        <v>510.7</v>
      </c>
      <c r="H103" s="52">
        <v>571.4</v>
      </c>
      <c r="I103" s="52">
        <v>649.6</v>
      </c>
      <c r="J103" s="52">
        <v>674.6</v>
      </c>
      <c r="K103" s="52">
        <v>593</v>
      </c>
      <c r="L103" s="52">
        <v>657.2</v>
      </c>
      <c r="M103" s="52">
        <v>733.3</v>
      </c>
      <c r="N103" s="52">
        <v>738.8</v>
      </c>
      <c r="O103" s="52">
        <v>719.7</v>
      </c>
      <c r="P103" s="52">
        <v>739</v>
      </c>
      <c r="Q103" s="52">
        <v>818</v>
      </c>
      <c r="R103" s="52">
        <v>863</v>
      </c>
      <c r="S103" s="52">
        <v>804</v>
      </c>
      <c r="T103" s="52">
        <v>806</v>
      </c>
      <c r="U103" s="52">
        <v>870</v>
      </c>
      <c r="V103" s="52">
        <v>839</v>
      </c>
      <c r="W103" s="52">
        <v>806</v>
      </c>
      <c r="X103" s="10">
        <v>2.0781637717121489E-2</v>
      </c>
      <c r="Y103" s="8">
        <v>1.580066848982065E-2</v>
      </c>
      <c r="Z103" s="8">
        <v>-7.1791803769070128E-3</v>
      </c>
      <c r="AA103" s="8">
        <v>6.025911419103025E-4</v>
      </c>
    </row>
    <row r="104" spans="2:27" x14ac:dyDescent="0.3">
      <c r="B104" s="12" t="s">
        <v>337</v>
      </c>
      <c r="C104" s="3" t="s">
        <v>819</v>
      </c>
      <c r="D104" s="3" t="s">
        <v>851</v>
      </c>
      <c r="E104" s="3" t="s">
        <v>821</v>
      </c>
      <c r="F104" s="5">
        <v>0</v>
      </c>
      <c r="G104" s="52">
        <v>45.95</v>
      </c>
      <c r="H104" s="52">
        <v>42.66</v>
      </c>
      <c r="I104" s="52">
        <v>82.58</v>
      </c>
      <c r="J104" s="52">
        <v>78.73</v>
      </c>
      <c r="K104" s="52">
        <v>64.89</v>
      </c>
      <c r="L104" s="52">
        <v>49.43</v>
      </c>
      <c r="M104" s="52">
        <v>78.849999999999994</v>
      </c>
      <c r="N104" s="52">
        <v>81.67</v>
      </c>
      <c r="O104" s="52">
        <v>53.28</v>
      </c>
      <c r="P104" s="52">
        <v>45.54</v>
      </c>
      <c r="Q104" s="52">
        <v>81.75</v>
      </c>
      <c r="R104" s="52">
        <v>71.67</v>
      </c>
      <c r="S104" s="52">
        <v>51.79</v>
      </c>
      <c r="T104" s="52">
        <v>42.76</v>
      </c>
      <c r="U104" s="52">
        <v>89.81</v>
      </c>
      <c r="V104" s="52">
        <v>84.03</v>
      </c>
      <c r="W104" s="52">
        <v>51.9</v>
      </c>
      <c r="X104" s="10">
        <v>-1.108673978065799E-2</v>
      </c>
      <c r="Y104" s="8">
        <v>3.2503931927249097E-2</v>
      </c>
      <c r="Z104" s="8">
        <v>4.8275592703979957E-2</v>
      </c>
      <c r="AA104" s="8">
        <v>4.0985133574289462E-4</v>
      </c>
    </row>
    <row r="105" spans="2:27" x14ac:dyDescent="0.3">
      <c r="B105" s="12" t="s">
        <v>367</v>
      </c>
      <c r="C105" s="3" t="s">
        <v>819</v>
      </c>
      <c r="D105" s="3" t="s">
        <v>884</v>
      </c>
      <c r="E105" s="3" t="s">
        <v>821</v>
      </c>
      <c r="F105" s="5">
        <v>-0.2</v>
      </c>
      <c r="G105" s="52">
        <v>70.650000000000006</v>
      </c>
      <c r="H105" s="52">
        <v>98.32</v>
      </c>
      <c r="I105" s="52">
        <v>121.82</v>
      </c>
      <c r="J105" s="52">
        <v>116.19</v>
      </c>
      <c r="K105" s="52">
        <v>55.19</v>
      </c>
      <c r="L105" s="52">
        <v>83.08</v>
      </c>
      <c r="M105" s="52">
        <v>108.47</v>
      </c>
      <c r="N105" s="52">
        <v>123.41</v>
      </c>
      <c r="O105" s="52">
        <v>73.56</v>
      </c>
      <c r="P105" s="52">
        <v>97.42</v>
      </c>
      <c r="Q105" s="52">
        <v>113.3</v>
      </c>
      <c r="R105" s="52">
        <v>109.91</v>
      </c>
      <c r="S105" s="52">
        <v>69.239999999999995</v>
      </c>
      <c r="T105" s="52">
        <v>85.28</v>
      </c>
      <c r="U105" s="52">
        <v>98.31</v>
      </c>
      <c r="V105" s="52">
        <v>96.91</v>
      </c>
      <c r="W105" s="52">
        <v>68.510000000000005</v>
      </c>
      <c r="X105" s="10">
        <v>-3.113858465642394E-2</v>
      </c>
      <c r="Y105" s="8">
        <v>-3.968443067799754E-2</v>
      </c>
      <c r="Z105" s="8">
        <v>-3.5838341511826632E-2</v>
      </c>
      <c r="AA105" s="8">
        <v>-2.0872648252988619E-3</v>
      </c>
    </row>
    <row r="106" spans="2:27" x14ac:dyDescent="0.3">
      <c r="B106" s="12" t="s">
        <v>155</v>
      </c>
      <c r="C106" s="3" t="s">
        <v>819</v>
      </c>
      <c r="D106" s="3" t="s">
        <v>861</v>
      </c>
      <c r="E106" s="3" t="s">
        <v>839</v>
      </c>
      <c r="F106" s="5">
        <v>-0.3</v>
      </c>
      <c r="G106" s="52">
        <v>175.52</v>
      </c>
      <c r="H106" s="52">
        <v>289.5</v>
      </c>
      <c r="I106" s="52">
        <v>369.77</v>
      </c>
      <c r="J106" s="52">
        <v>712.95</v>
      </c>
      <c r="K106" s="52">
        <v>246.34</v>
      </c>
      <c r="L106" s="52">
        <v>441.51</v>
      </c>
      <c r="M106" s="52">
        <v>518.5</v>
      </c>
      <c r="N106" s="52">
        <v>579.80999999999995</v>
      </c>
      <c r="O106" s="52">
        <v>309.77</v>
      </c>
      <c r="P106" s="53">
        <v>652.44000000000005</v>
      </c>
      <c r="Q106" s="52">
        <v>506.34</v>
      </c>
      <c r="R106" s="52">
        <v>635.02</v>
      </c>
      <c r="S106" s="52">
        <v>237.55</v>
      </c>
      <c r="T106" s="52">
        <v>459.68</v>
      </c>
      <c r="U106" s="52">
        <v>511.94</v>
      </c>
      <c r="V106" s="52">
        <v>604.98</v>
      </c>
      <c r="W106" s="52">
        <v>232.12</v>
      </c>
      <c r="X106" s="10">
        <v>-9.4892559135550281E-2</v>
      </c>
      <c r="Y106" s="8">
        <v>3.0458122800625098E-3</v>
      </c>
      <c r="Z106" s="8">
        <v>-1.628899408412365E-2</v>
      </c>
      <c r="AA106" s="8">
        <v>-2.993137281922742E-3</v>
      </c>
    </row>
    <row r="107" spans="2:27" x14ac:dyDescent="0.3">
      <c r="B107" s="12" t="s">
        <v>303</v>
      </c>
      <c r="C107" s="3" t="s">
        <v>819</v>
      </c>
      <c r="D107" s="3" t="s">
        <v>851</v>
      </c>
      <c r="E107" s="3" t="s">
        <v>821</v>
      </c>
      <c r="F107" s="5">
        <v>-0.4</v>
      </c>
      <c r="G107" s="52">
        <v>20</v>
      </c>
      <c r="H107" s="52">
        <v>23.8</v>
      </c>
      <c r="I107" s="52">
        <v>44.9</v>
      </c>
      <c r="J107" s="52">
        <v>45.6</v>
      </c>
      <c r="K107" s="52">
        <v>31.7</v>
      </c>
      <c r="L107" s="53">
        <v>43.8</v>
      </c>
      <c r="M107" s="52">
        <v>41</v>
      </c>
      <c r="N107" s="52">
        <v>31.5</v>
      </c>
      <c r="O107" s="52">
        <v>26.1</v>
      </c>
      <c r="P107" s="52">
        <v>31.3</v>
      </c>
      <c r="Q107" s="52">
        <v>48.1</v>
      </c>
      <c r="R107" s="52">
        <v>34.4</v>
      </c>
      <c r="S107" s="52">
        <v>38.9</v>
      </c>
      <c r="T107" s="52">
        <v>41.2</v>
      </c>
      <c r="U107" s="52">
        <v>45.2</v>
      </c>
      <c r="V107" s="52">
        <v>42.8</v>
      </c>
      <c r="W107" s="52">
        <v>38.299999999999997</v>
      </c>
      <c r="X107" s="10">
        <v>6.4833005893909723E-2</v>
      </c>
      <c r="Y107" s="8">
        <v>-1.7835178351783498E-2</v>
      </c>
      <c r="Z107" s="8">
        <v>5.2598622417032059E-2</v>
      </c>
      <c r="AA107" s="8">
        <v>-3.5693039857227489E-3</v>
      </c>
    </row>
    <row r="108" spans="2:27" x14ac:dyDescent="0.3">
      <c r="B108" s="12" t="s">
        <v>634</v>
      </c>
      <c r="C108" s="3" t="s">
        <v>819</v>
      </c>
      <c r="D108" s="3" t="s">
        <v>883</v>
      </c>
      <c r="E108" s="3" t="s">
        <v>821</v>
      </c>
      <c r="F108" s="5">
        <v>-0.8</v>
      </c>
      <c r="G108" s="52">
        <v>36.31</v>
      </c>
      <c r="H108" s="52">
        <v>35.6</v>
      </c>
      <c r="I108" s="52">
        <v>43.43</v>
      </c>
      <c r="J108" s="52">
        <v>47.35</v>
      </c>
      <c r="K108" s="52">
        <v>46.91</v>
      </c>
      <c r="L108" s="52">
        <v>51.87</v>
      </c>
      <c r="M108" s="52">
        <v>62.05</v>
      </c>
      <c r="N108" s="52">
        <v>58.02</v>
      </c>
      <c r="O108" s="53">
        <v>71.56</v>
      </c>
      <c r="P108" s="52">
        <v>68.34</v>
      </c>
      <c r="Q108" s="52">
        <v>77.709999999999994</v>
      </c>
      <c r="R108" s="52">
        <v>75.78</v>
      </c>
      <c r="S108" s="52">
        <v>81.010000000000005</v>
      </c>
      <c r="T108" s="52">
        <v>79.36</v>
      </c>
      <c r="U108" s="52">
        <v>80.36</v>
      </c>
      <c r="V108" s="52">
        <v>87.85</v>
      </c>
      <c r="W108" s="52">
        <v>78.5</v>
      </c>
      <c r="X108" s="10">
        <v>3.6388852199181088E-2</v>
      </c>
      <c r="Y108" s="8">
        <v>8.4432549544382063E-3</v>
      </c>
      <c r="Z108" s="8">
        <v>3.8134656093014467E-2</v>
      </c>
      <c r="AA108" s="8">
        <v>-7.6389311583175967E-3</v>
      </c>
    </row>
    <row r="109" spans="2:27" x14ac:dyDescent="0.3">
      <c r="B109" s="12" t="s">
        <v>118</v>
      </c>
      <c r="C109" s="3" t="s">
        <v>819</v>
      </c>
      <c r="D109" s="3" t="s">
        <v>881</v>
      </c>
      <c r="E109" s="3" t="s">
        <v>821</v>
      </c>
      <c r="F109" s="5">
        <v>-1</v>
      </c>
      <c r="G109" s="52">
        <v>422.43</v>
      </c>
      <c r="H109" s="52">
        <v>366.01</v>
      </c>
      <c r="I109" s="52">
        <v>517.35</v>
      </c>
      <c r="J109" s="52">
        <v>441.33</v>
      </c>
      <c r="K109" s="52">
        <v>328.62</v>
      </c>
      <c r="L109" s="52">
        <v>421.91</v>
      </c>
      <c r="M109" s="52">
        <v>466.51</v>
      </c>
      <c r="N109" s="52">
        <v>477.78</v>
      </c>
      <c r="O109" s="52">
        <v>431.29</v>
      </c>
      <c r="P109" s="52">
        <v>418.1</v>
      </c>
      <c r="Q109" s="52">
        <v>475.4</v>
      </c>
      <c r="R109" s="52">
        <v>382.33</v>
      </c>
      <c r="S109" s="52">
        <v>304.83999999999997</v>
      </c>
      <c r="T109" s="52">
        <v>358.1</v>
      </c>
      <c r="U109" s="52">
        <v>423.94</v>
      </c>
      <c r="V109" s="52">
        <v>402.52</v>
      </c>
      <c r="W109" s="52">
        <v>290.16000000000003</v>
      </c>
      <c r="X109" s="10">
        <v>-3.7958587181385117E-2</v>
      </c>
      <c r="Y109" s="8">
        <v>-3.3840346689288259E-2</v>
      </c>
      <c r="Z109" s="8">
        <v>1.374207907651059E-2</v>
      </c>
      <c r="AA109" s="8">
        <v>-9.8563179803948797E-3</v>
      </c>
    </row>
    <row r="110" spans="2:27" x14ac:dyDescent="0.3">
      <c r="B110" s="12" t="s">
        <v>184</v>
      </c>
      <c r="C110" s="3" t="s">
        <v>819</v>
      </c>
      <c r="D110" s="3" t="s">
        <v>824</v>
      </c>
      <c r="E110" s="3" t="s">
        <v>821</v>
      </c>
      <c r="F110" s="5">
        <v>-1.1000000000000001</v>
      </c>
      <c r="G110" s="52">
        <v>0</v>
      </c>
      <c r="H110" s="52">
        <v>46</v>
      </c>
      <c r="I110" s="52">
        <v>8.1</v>
      </c>
      <c r="J110" s="52">
        <v>6.4</v>
      </c>
      <c r="K110" s="52">
        <v>-11.6</v>
      </c>
      <c r="L110" s="52">
        <v>13.8</v>
      </c>
      <c r="M110" s="52">
        <v>-1.3</v>
      </c>
      <c r="N110" s="52">
        <v>-19.7</v>
      </c>
      <c r="O110" s="52">
        <v>8.6999999999999993</v>
      </c>
      <c r="P110" s="53">
        <v>83.3</v>
      </c>
      <c r="Q110" s="53">
        <v>122.2</v>
      </c>
      <c r="R110" s="53">
        <v>139.1</v>
      </c>
      <c r="S110" s="53">
        <v>577.29999999999995</v>
      </c>
      <c r="T110" s="52">
        <v>112.9</v>
      </c>
      <c r="U110" s="52">
        <v>176.1</v>
      </c>
      <c r="V110" s="53">
        <v>249.5</v>
      </c>
      <c r="W110" s="52">
        <v>565.1</v>
      </c>
      <c r="X110" s="10">
        <v>3.2107603861590173E-2</v>
      </c>
      <c r="Y110" s="8">
        <v>5.6647398843930663E-2</v>
      </c>
      <c r="Z110" s="9">
        <v>0.1098070419733439</v>
      </c>
      <c r="AA110" s="8">
        <v>-1.09338591145367E-2</v>
      </c>
    </row>
    <row r="111" spans="2:27" x14ac:dyDescent="0.3">
      <c r="B111" s="12" t="s">
        <v>379</v>
      </c>
      <c r="C111" s="3" t="s">
        <v>819</v>
      </c>
      <c r="D111" s="3" t="s">
        <v>846</v>
      </c>
      <c r="E111" s="3" t="s">
        <v>821</v>
      </c>
      <c r="F111" s="5">
        <v>-1.2</v>
      </c>
      <c r="G111" s="52">
        <v>174</v>
      </c>
      <c r="H111" s="52">
        <v>134.80000000000001</v>
      </c>
      <c r="I111" s="52">
        <v>136.5</v>
      </c>
      <c r="J111" s="52">
        <v>150.19999999999999</v>
      </c>
      <c r="K111" s="52">
        <v>167.9</v>
      </c>
      <c r="L111" s="52">
        <v>133.80000000000001</v>
      </c>
      <c r="M111" s="52">
        <v>120.6</v>
      </c>
      <c r="N111" s="52">
        <v>142.6</v>
      </c>
      <c r="O111" s="52">
        <v>171.6</v>
      </c>
      <c r="P111" s="52">
        <v>146.80000000000001</v>
      </c>
      <c r="Q111" s="52">
        <v>114.1</v>
      </c>
      <c r="R111" s="52">
        <v>131.5</v>
      </c>
      <c r="S111" s="52">
        <v>162.80000000000001</v>
      </c>
      <c r="T111" s="52">
        <v>134.4</v>
      </c>
      <c r="U111" s="52">
        <v>136.4</v>
      </c>
      <c r="V111" s="52">
        <v>142.4</v>
      </c>
      <c r="W111" s="52">
        <v>156.1</v>
      </c>
      <c r="X111" s="10">
        <v>-2.2334293948126919E-2</v>
      </c>
      <c r="Y111" s="8">
        <v>4.1083271923360483E-2</v>
      </c>
      <c r="Z111" s="8">
        <v>1.9288621482923322E-2</v>
      </c>
      <c r="AA111" s="8">
        <v>-1.163194444444449E-2</v>
      </c>
    </row>
    <row r="112" spans="2:27" x14ac:dyDescent="0.3">
      <c r="B112" s="12" t="s">
        <v>21</v>
      </c>
      <c r="C112" s="3" t="s">
        <v>819</v>
      </c>
      <c r="D112" s="3" t="s">
        <v>834</v>
      </c>
      <c r="E112" s="3" t="s">
        <v>844</v>
      </c>
      <c r="F112" s="5">
        <v>-1.3</v>
      </c>
      <c r="G112" s="52">
        <v>1641</v>
      </c>
      <c r="H112" s="52">
        <v>1837</v>
      </c>
      <c r="I112" s="52">
        <v>1171</v>
      </c>
      <c r="J112" s="52">
        <v>1397</v>
      </c>
      <c r="K112" s="52">
        <v>1354</v>
      </c>
      <c r="L112" s="52">
        <v>1792</v>
      </c>
      <c r="M112" s="52">
        <v>1419</v>
      </c>
      <c r="N112" s="52">
        <v>1531</v>
      </c>
      <c r="O112" s="52">
        <v>1530</v>
      </c>
      <c r="P112" s="52">
        <v>1840</v>
      </c>
      <c r="Q112" s="52">
        <v>1401</v>
      </c>
      <c r="R112" s="52">
        <v>1627</v>
      </c>
      <c r="S112" s="52">
        <v>1820</v>
      </c>
      <c r="T112" s="52">
        <v>1526</v>
      </c>
      <c r="U112" s="52">
        <v>1603</v>
      </c>
      <c r="V112" s="52">
        <v>1819</v>
      </c>
      <c r="W112" s="52">
        <v>1735</v>
      </c>
      <c r="X112" s="10">
        <v>-4.6949760765550241E-2</v>
      </c>
      <c r="Y112" s="8">
        <v>3.169124568559778E-2</v>
      </c>
      <c r="Z112" s="8">
        <v>2.9197080291970771E-2</v>
      </c>
      <c r="AA112" s="8">
        <v>-1.255910165484631E-2</v>
      </c>
    </row>
    <row r="113" spans="2:27" x14ac:dyDescent="0.3">
      <c r="B113" s="12" t="s">
        <v>315</v>
      </c>
      <c r="C113" s="3" t="s">
        <v>819</v>
      </c>
      <c r="D113" s="3" t="s">
        <v>894</v>
      </c>
      <c r="E113" s="3" t="s">
        <v>821</v>
      </c>
      <c r="F113" s="5">
        <v>-1.6</v>
      </c>
      <c r="G113" s="52">
        <v>271.2</v>
      </c>
      <c r="H113" s="52">
        <v>254.99</v>
      </c>
      <c r="I113" s="52">
        <v>280.70999999999998</v>
      </c>
      <c r="J113" s="52">
        <v>276.64</v>
      </c>
      <c r="K113" s="52">
        <v>244.94</v>
      </c>
      <c r="L113" s="52">
        <v>225.45</v>
      </c>
      <c r="M113" s="52">
        <v>204.48</v>
      </c>
      <c r="N113" s="52">
        <v>224.27</v>
      </c>
      <c r="O113" s="52">
        <v>225.87</v>
      </c>
      <c r="P113" s="52">
        <v>227.7</v>
      </c>
      <c r="Q113" s="52">
        <v>0</v>
      </c>
      <c r="R113" s="52">
        <v>246.2</v>
      </c>
      <c r="S113" s="52">
        <v>229.04</v>
      </c>
      <c r="T113" s="52">
        <v>210.94</v>
      </c>
      <c r="U113" s="52">
        <v>0</v>
      </c>
      <c r="V113" s="52">
        <v>224.88</v>
      </c>
      <c r="W113" s="52">
        <v>218.23</v>
      </c>
      <c r="X113" s="10">
        <v>-2.3842717728397859E-2</v>
      </c>
      <c r="Y113" s="8">
        <v>0</v>
      </c>
      <c r="Z113" s="8">
        <v>-3.1070564574892771E-2</v>
      </c>
      <c r="AA113" s="8">
        <v>-1.6259062058177731E-2</v>
      </c>
    </row>
    <row r="114" spans="2:27" x14ac:dyDescent="0.3">
      <c r="B114" s="12" t="s">
        <v>72</v>
      </c>
      <c r="C114" s="3" t="s">
        <v>819</v>
      </c>
      <c r="D114" s="3" t="s">
        <v>855</v>
      </c>
      <c r="E114" s="3" t="s">
        <v>821</v>
      </c>
      <c r="F114" s="5">
        <v>-1.6</v>
      </c>
      <c r="G114" s="52"/>
      <c r="H114" s="52"/>
      <c r="I114" s="52"/>
      <c r="J114" s="52"/>
      <c r="K114" s="52"/>
      <c r="L114" s="52"/>
      <c r="M114" s="52"/>
      <c r="N114" s="52"/>
      <c r="O114" s="52">
        <v>433</v>
      </c>
      <c r="P114" s="52">
        <v>64</v>
      </c>
      <c r="Q114" s="52">
        <v>774</v>
      </c>
      <c r="R114" s="52">
        <v>809</v>
      </c>
      <c r="S114" s="52">
        <v>515</v>
      </c>
      <c r="T114" s="52">
        <v>-12</v>
      </c>
      <c r="U114" s="52">
        <v>722</v>
      </c>
      <c r="V114" s="52">
        <v>784</v>
      </c>
      <c r="W114" s="52">
        <v>482</v>
      </c>
      <c r="X114" s="10">
        <v>-3.5152636447733587E-2</v>
      </c>
      <c r="Y114" s="8">
        <v>-2.4928092042186049E-2</v>
      </c>
      <c r="Z114" s="8">
        <v>-1.2291052114061011E-2</v>
      </c>
      <c r="AA114" s="8">
        <v>-1.6426082628173241E-2</v>
      </c>
    </row>
    <row r="115" spans="2:27" x14ac:dyDescent="0.3">
      <c r="B115" s="12" t="s">
        <v>665</v>
      </c>
      <c r="C115" s="3" t="s">
        <v>819</v>
      </c>
      <c r="D115" s="3" t="s">
        <v>828</v>
      </c>
      <c r="E115" s="3" t="s">
        <v>839</v>
      </c>
      <c r="F115" s="5">
        <v>-1.9</v>
      </c>
      <c r="G115" s="52">
        <v>0.47</v>
      </c>
      <c r="H115" s="52">
        <v>0.78</v>
      </c>
      <c r="I115" s="52">
        <v>-1.67</v>
      </c>
      <c r="J115" s="52">
        <v>4.09</v>
      </c>
      <c r="K115" s="52">
        <v>-0.28999999999999998</v>
      </c>
      <c r="L115" s="53">
        <v>2.08</v>
      </c>
      <c r="M115" s="53">
        <v>2.82</v>
      </c>
      <c r="N115" s="52">
        <v>3.98</v>
      </c>
      <c r="O115" s="53">
        <v>1.18</v>
      </c>
      <c r="P115" s="52">
        <v>1.19</v>
      </c>
      <c r="Q115" s="52">
        <v>1.65</v>
      </c>
      <c r="R115" s="52">
        <v>2.29</v>
      </c>
      <c r="S115" s="52">
        <v>1.31</v>
      </c>
      <c r="T115" s="52">
        <v>1.49</v>
      </c>
      <c r="U115" s="53">
        <v>3.82</v>
      </c>
      <c r="V115" s="53">
        <v>5.22</v>
      </c>
      <c r="W115" s="52">
        <v>1.08</v>
      </c>
      <c r="X115" s="10">
        <v>4.6583850931677162E-2</v>
      </c>
      <c r="Y115" s="9">
        <v>0.32195845697329378</v>
      </c>
      <c r="Z115" s="9">
        <v>0.32884399551066212</v>
      </c>
      <c r="AA115" s="8">
        <v>-1.9425675675675661E-2</v>
      </c>
    </row>
    <row r="116" spans="2:27" x14ac:dyDescent="0.3">
      <c r="B116" s="12" t="s">
        <v>53</v>
      </c>
      <c r="C116" s="3" t="s">
        <v>819</v>
      </c>
      <c r="D116" s="3" t="s">
        <v>865</v>
      </c>
      <c r="E116" s="3" t="s">
        <v>905</v>
      </c>
      <c r="F116" s="5">
        <f>AA116*100</f>
        <v>-2.150145772594747</v>
      </c>
      <c r="G116" s="52">
        <v>1204</v>
      </c>
      <c r="H116" s="54"/>
      <c r="I116" s="52">
        <v>955</v>
      </c>
      <c r="J116" s="54"/>
      <c r="K116" s="52">
        <v>1190</v>
      </c>
      <c r="L116" s="54"/>
      <c r="M116" s="53">
        <v>1141</v>
      </c>
      <c r="N116" s="54"/>
      <c r="O116" s="52">
        <v>1205</v>
      </c>
      <c r="P116" s="54"/>
      <c r="Q116" s="52">
        <v>1165</v>
      </c>
      <c r="R116" s="54"/>
      <c r="S116" s="52">
        <v>1414</v>
      </c>
      <c r="T116" s="54"/>
      <c r="U116" s="52">
        <v>1330</v>
      </c>
      <c r="V116" s="54"/>
      <c r="W116" s="52">
        <v>1355</v>
      </c>
      <c r="X116" s="10">
        <v>1.0230179028132946E-2</v>
      </c>
      <c r="Y116" s="8">
        <v>8.8185654008438918E-2</v>
      </c>
      <c r="Z116" s="8">
        <v>6.3978286157425401E-2</v>
      </c>
      <c r="AA116" s="34">
        <f>SUM(W116,U116)/SUM(U116,S116)-1</f>
        <v>-2.150145772594747E-2</v>
      </c>
    </row>
    <row r="117" spans="2:27" x14ac:dyDescent="0.3">
      <c r="B117" s="12" t="s">
        <v>695</v>
      </c>
      <c r="C117" s="3" t="s">
        <v>819</v>
      </c>
      <c r="D117" s="3" t="s">
        <v>820</v>
      </c>
      <c r="E117" s="3" t="s">
        <v>821</v>
      </c>
      <c r="F117" s="5">
        <v>-2.2999999999999998</v>
      </c>
      <c r="G117" s="52">
        <v>96.57</v>
      </c>
      <c r="H117" s="52">
        <v>50.26</v>
      </c>
      <c r="I117" s="52">
        <v>47.92</v>
      </c>
      <c r="J117" s="52">
        <v>29.16</v>
      </c>
      <c r="K117" s="52">
        <v>57.21</v>
      </c>
      <c r="L117" s="52">
        <v>43.7</v>
      </c>
      <c r="M117" s="52">
        <v>43.5</v>
      </c>
      <c r="N117" s="53">
        <v>63.25</v>
      </c>
      <c r="O117" s="52">
        <v>41.18</v>
      </c>
      <c r="P117" s="52">
        <v>-10.27</v>
      </c>
      <c r="Q117" s="52">
        <v>21.68</v>
      </c>
      <c r="R117" s="52">
        <v>57.24</v>
      </c>
      <c r="S117" s="52">
        <v>31.81</v>
      </c>
      <c r="T117" s="53">
        <v>44.31</v>
      </c>
      <c r="U117" s="53">
        <v>46.35</v>
      </c>
      <c r="V117" s="52">
        <v>37.07</v>
      </c>
      <c r="W117" s="52">
        <v>28.16</v>
      </c>
      <c r="X117" s="7">
        <v>0.54330081624527149</v>
      </c>
      <c r="Y117" s="9">
        <v>0.15912022703818371</v>
      </c>
      <c r="Z117" s="8">
        <v>-0.1122363808357911</v>
      </c>
      <c r="AA117" s="8">
        <v>-2.2878275040742021E-2</v>
      </c>
    </row>
    <row r="118" spans="2:27" x14ac:dyDescent="0.3">
      <c r="B118" s="12" t="s">
        <v>55</v>
      </c>
      <c r="C118" s="3" t="s">
        <v>819</v>
      </c>
      <c r="D118" s="3" t="s">
        <v>855</v>
      </c>
      <c r="E118" s="3" t="s">
        <v>821</v>
      </c>
      <c r="F118" s="5">
        <v>-2.6</v>
      </c>
      <c r="G118" s="52">
        <v>230.7</v>
      </c>
      <c r="H118" s="52">
        <v>148.1</v>
      </c>
      <c r="I118" s="52">
        <v>304.60000000000002</v>
      </c>
      <c r="J118" s="52">
        <v>353.5</v>
      </c>
      <c r="K118" s="52">
        <v>207.4</v>
      </c>
      <c r="L118" s="52">
        <v>183.8</v>
      </c>
      <c r="M118" s="53">
        <v>432.6</v>
      </c>
      <c r="N118" s="52">
        <v>441.1</v>
      </c>
      <c r="O118" s="52">
        <v>324.3</v>
      </c>
      <c r="P118" s="52">
        <v>170.6</v>
      </c>
      <c r="Q118" s="52">
        <v>448.1</v>
      </c>
      <c r="R118" s="52">
        <v>421.7</v>
      </c>
      <c r="S118" s="52">
        <v>377.8</v>
      </c>
      <c r="T118" s="52">
        <v>217.7</v>
      </c>
      <c r="U118" s="52">
        <v>468.4</v>
      </c>
      <c r="V118" s="52">
        <v>541.29999999999995</v>
      </c>
      <c r="W118" s="52">
        <v>335.8</v>
      </c>
      <c r="X118" s="10">
        <v>3.3211112678042547E-2</v>
      </c>
      <c r="Y118" s="8">
        <v>1.3853818330717299E-2</v>
      </c>
      <c r="Z118" s="8">
        <v>8.0506192784060238E-2</v>
      </c>
      <c r="AA118" s="8">
        <v>-2.6164963867430831E-2</v>
      </c>
    </row>
    <row r="119" spans="2:27" x14ac:dyDescent="0.3">
      <c r="B119" s="12" t="s">
        <v>93</v>
      </c>
      <c r="C119" s="3" t="s">
        <v>819</v>
      </c>
      <c r="D119" s="3" t="s">
        <v>827</v>
      </c>
      <c r="E119" s="3" t="s">
        <v>821</v>
      </c>
      <c r="F119" s="5">
        <v>-2.7</v>
      </c>
      <c r="G119" s="52">
        <v>1727</v>
      </c>
      <c r="H119" s="52">
        <v>1346</v>
      </c>
      <c r="I119" s="52">
        <v>2565</v>
      </c>
      <c r="J119" s="52">
        <v>2532</v>
      </c>
      <c r="K119" s="52">
        <v>1577</v>
      </c>
      <c r="L119" s="52">
        <v>1296</v>
      </c>
      <c r="M119" s="52">
        <v>934</v>
      </c>
      <c r="N119" s="52">
        <v>1153</v>
      </c>
      <c r="O119" s="52">
        <v>1518</v>
      </c>
      <c r="P119" s="52">
        <v>845</v>
      </c>
      <c r="Q119" s="52">
        <v>1131</v>
      </c>
      <c r="R119" s="52">
        <v>1152</v>
      </c>
      <c r="S119" s="52">
        <v>959</v>
      </c>
      <c r="T119" s="52">
        <v>1025</v>
      </c>
      <c r="U119" s="52">
        <v>970</v>
      </c>
      <c r="V119" s="52">
        <v>984</v>
      </c>
      <c r="W119" s="52">
        <v>853</v>
      </c>
      <c r="X119" s="10">
        <v>4.4042084658673757E-2</v>
      </c>
      <c r="Y119" s="8">
        <v>-3.7731427232247428E-2</v>
      </c>
      <c r="Z119" s="8">
        <v>-4.0915733073550897E-2</v>
      </c>
      <c r="AA119" s="8">
        <v>-2.691721686135096E-2</v>
      </c>
    </row>
    <row r="120" spans="2:27" x14ac:dyDescent="0.3">
      <c r="B120" s="12" t="s">
        <v>284</v>
      </c>
      <c r="C120" s="3" t="s">
        <v>819</v>
      </c>
      <c r="D120" s="3" t="s">
        <v>834</v>
      </c>
      <c r="E120" s="3" t="s">
        <v>821</v>
      </c>
      <c r="F120" s="5">
        <v>-3.6</v>
      </c>
      <c r="G120" s="52">
        <v>-17.87</v>
      </c>
      <c r="H120" s="52">
        <v>-20.21</v>
      </c>
      <c r="I120" s="52">
        <v>-26.76</v>
      </c>
      <c r="J120" s="52">
        <v>-21.61</v>
      </c>
      <c r="K120" s="53">
        <v>-33.729999999999997</v>
      </c>
      <c r="L120" s="52">
        <v>-29.79</v>
      </c>
      <c r="M120" s="52">
        <v>-26.08</v>
      </c>
      <c r="N120" s="52">
        <v>-28.01</v>
      </c>
      <c r="O120" s="52">
        <v>-36.619999999999997</v>
      </c>
      <c r="P120" s="52">
        <v>-27.34</v>
      </c>
      <c r="Q120" s="52">
        <v>-27.47</v>
      </c>
      <c r="R120" s="52">
        <v>-24.66</v>
      </c>
      <c r="S120" s="52">
        <v>-28.67</v>
      </c>
      <c r="T120" s="52">
        <v>-20.68</v>
      </c>
      <c r="U120" s="52">
        <v>-22.69</v>
      </c>
      <c r="V120" s="52">
        <v>-16.37</v>
      </c>
      <c r="W120" s="52">
        <v>-25.51</v>
      </c>
      <c r="X120" s="10">
        <v>-6.1586831884594018E-2</v>
      </c>
      <c r="Y120" s="8">
        <v>-4.7102877414268877E-2</v>
      </c>
      <c r="Z120" s="8">
        <v>-8.5729058945191339E-2</v>
      </c>
      <c r="AA120" s="8">
        <v>-3.5742563058477561E-2</v>
      </c>
    </row>
    <row r="121" spans="2:27" x14ac:dyDescent="0.3">
      <c r="B121" s="12" t="s">
        <v>257</v>
      </c>
      <c r="C121" s="3" t="s">
        <v>819</v>
      </c>
      <c r="D121" s="3" t="s">
        <v>868</v>
      </c>
      <c r="E121" s="3" t="s">
        <v>821</v>
      </c>
      <c r="F121" s="5">
        <v>-3.7</v>
      </c>
      <c r="G121" s="52">
        <v>72.2</v>
      </c>
      <c r="H121" s="52">
        <v>96</v>
      </c>
      <c r="I121" s="52">
        <v>90.5</v>
      </c>
      <c r="J121" s="52">
        <v>79.2</v>
      </c>
      <c r="K121" s="52">
        <v>69.599999999999994</v>
      </c>
      <c r="L121" s="52">
        <v>66.400000000000006</v>
      </c>
      <c r="M121" s="52">
        <v>52.6</v>
      </c>
      <c r="N121" s="52">
        <v>79.099999999999994</v>
      </c>
      <c r="O121" s="52">
        <v>66.900000000000006</v>
      </c>
      <c r="P121" s="52">
        <v>77.8</v>
      </c>
      <c r="Q121" s="53">
        <v>96.2</v>
      </c>
      <c r="R121" s="52">
        <v>98.9</v>
      </c>
      <c r="S121" s="52">
        <v>82.7</v>
      </c>
      <c r="T121" s="52">
        <v>77.400000000000006</v>
      </c>
      <c r="U121" s="52">
        <v>94.3</v>
      </c>
      <c r="V121" s="52">
        <v>100.8</v>
      </c>
      <c r="W121" s="52">
        <v>69.7</v>
      </c>
      <c r="X121" s="10">
        <v>-1.1248593925758941E-3</v>
      </c>
      <c r="Y121" s="8">
        <v>-5.3490990990991971E-3</v>
      </c>
      <c r="Z121" s="8">
        <v>5.3778658363996534E-3</v>
      </c>
      <c r="AA121" s="8">
        <v>-3.6599099099099093E-2</v>
      </c>
    </row>
    <row r="122" spans="2:27" x14ac:dyDescent="0.3">
      <c r="B122" s="12" t="s">
        <v>126</v>
      </c>
      <c r="C122" s="3" t="s">
        <v>819</v>
      </c>
      <c r="D122" s="3" t="s">
        <v>896</v>
      </c>
      <c r="E122" s="3" t="s">
        <v>821</v>
      </c>
      <c r="F122" s="5">
        <v>-3.8</v>
      </c>
      <c r="G122" s="52">
        <v>120.17</v>
      </c>
      <c r="H122" s="52">
        <v>167.33</v>
      </c>
      <c r="I122" s="52">
        <v>280.83</v>
      </c>
      <c r="J122" s="52">
        <v>229.48</v>
      </c>
      <c r="K122" s="52">
        <v>132.19</v>
      </c>
      <c r="L122" s="52">
        <v>161.49</v>
      </c>
      <c r="M122" s="52">
        <v>260.13</v>
      </c>
      <c r="N122" s="52">
        <v>247.48</v>
      </c>
      <c r="O122" s="52">
        <v>102.32</v>
      </c>
      <c r="P122" s="52">
        <v>121.22</v>
      </c>
      <c r="Q122" s="52">
        <v>258.99</v>
      </c>
      <c r="R122" s="52">
        <v>238.56</v>
      </c>
      <c r="S122" s="52">
        <v>129.27000000000001</v>
      </c>
      <c r="T122" s="52">
        <v>107.2</v>
      </c>
      <c r="U122" s="52">
        <v>265.08</v>
      </c>
      <c r="V122" s="52">
        <v>225.78</v>
      </c>
      <c r="W122" s="52">
        <v>101.53</v>
      </c>
      <c r="X122" s="10">
        <v>-1.8742313245280969E-2</v>
      </c>
      <c r="Y122" s="8">
        <v>8.296776654587168E-3</v>
      </c>
      <c r="Z122" s="8">
        <v>-1.7267703449487248E-2</v>
      </c>
      <c r="AA122" s="8">
        <v>-3.8139496514649429E-2</v>
      </c>
    </row>
    <row r="123" spans="2:27" x14ac:dyDescent="0.3">
      <c r="B123" s="12" t="s">
        <v>456</v>
      </c>
      <c r="C123" s="3" t="s">
        <v>819</v>
      </c>
      <c r="D123" s="3" t="s">
        <v>883</v>
      </c>
      <c r="E123" s="3" t="s">
        <v>821</v>
      </c>
      <c r="F123" s="5">
        <v>-3.9</v>
      </c>
      <c r="G123" s="52">
        <v>-12.57</v>
      </c>
      <c r="H123" s="52">
        <v>-1.04</v>
      </c>
      <c r="I123" s="52">
        <v>22.85</v>
      </c>
      <c r="J123" s="52">
        <v>46.88</v>
      </c>
      <c r="K123" s="53">
        <v>42.18</v>
      </c>
      <c r="L123" s="53">
        <v>26.75</v>
      </c>
      <c r="M123" s="53">
        <v>49.2</v>
      </c>
      <c r="N123" s="52">
        <v>57.93</v>
      </c>
      <c r="O123" s="52">
        <v>47.45</v>
      </c>
      <c r="P123" s="52">
        <v>36.69</v>
      </c>
      <c r="Q123" s="52">
        <v>60.36</v>
      </c>
      <c r="R123" s="52">
        <v>71.33</v>
      </c>
      <c r="S123" s="53">
        <v>77.88</v>
      </c>
      <c r="T123" s="53">
        <v>73.47</v>
      </c>
      <c r="U123" s="52">
        <v>79.19</v>
      </c>
      <c r="V123" s="52">
        <v>86.51</v>
      </c>
      <c r="W123" s="52">
        <v>65.38</v>
      </c>
      <c r="X123" s="7">
        <v>0.1493543409404694</v>
      </c>
      <c r="Y123" s="8">
        <v>6.6527699265121587E-2</v>
      </c>
      <c r="Z123" s="8">
        <v>5.0286547189187347E-2</v>
      </c>
      <c r="AA123" s="8">
        <v>-3.9425958050780641E-2</v>
      </c>
    </row>
    <row r="124" spans="2:27" x14ac:dyDescent="0.3">
      <c r="B124" s="12" t="s">
        <v>97</v>
      </c>
      <c r="C124" s="3" t="s">
        <v>819</v>
      </c>
      <c r="D124" s="3" t="s">
        <v>877</v>
      </c>
      <c r="E124" s="3" t="s">
        <v>821</v>
      </c>
      <c r="F124" s="5">
        <v>-4</v>
      </c>
      <c r="G124" s="52">
        <v>480.28</v>
      </c>
      <c r="H124" s="52">
        <v>426.95</v>
      </c>
      <c r="I124" s="52">
        <v>517.23</v>
      </c>
      <c r="J124" s="52">
        <v>540.37</v>
      </c>
      <c r="K124" s="52">
        <v>484.48</v>
      </c>
      <c r="L124" s="52">
        <v>402.97</v>
      </c>
      <c r="M124" s="52">
        <v>564.5</v>
      </c>
      <c r="N124" s="52">
        <v>633.29999999999995</v>
      </c>
      <c r="O124" s="52">
        <v>612.37</v>
      </c>
      <c r="P124" s="52">
        <v>437.39</v>
      </c>
      <c r="Q124" s="52">
        <v>528.99</v>
      </c>
      <c r="R124" s="52">
        <v>659.85</v>
      </c>
      <c r="S124" s="52">
        <v>650.01</v>
      </c>
      <c r="T124" s="52">
        <v>470.7</v>
      </c>
      <c r="U124" s="52">
        <v>560.64</v>
      </c>
      <c r="V124" s="52">
        <v>639.22</v>
      </c>
      <c r="W124" s="52">
        <v>556.1</v>
      </c>
      <c r="X124" s="10">
        <v>1.4633782026500119E-2</v>
      </c>
      <c r="Y124" s="8">
        <v>1.370396830551379E-2</v>
      </c>
      <c r="Z124" s="8">
        <v>-8.8117204852210529E-3</v>
      </c>
      <c r="AA124" s="8">
        <v>-4.0468505582680232E-2</v>
      </c>
    </row>
    <row r="125" spans="2:27" x14ac:dyDescent="0.3">
      <c r="B125" s="12" t="s">
        <v>192</v>
      </c>
      <c r="C125" s="3" t="s">
        <v>819</v>
      </c>
      <c r="D125" s="3" t="s">
        <v>837</v>
      </c>
      <c r="E125" s="3" t="s">
        <v>821</v>
      </c>
      <c r="F125" s="5">
        <v>-4.8</v>
      </c>
      <c r="G125" s="52">
        <v>79.5</v>
      </c>
      <c r="H125" s="52">
        <v>73.7</v>
      </c>
      <c r="I125" s="52">
        <v>153.9</v>
      </c>
      <c r="J125" s="52">
        <v>318.2</v>
      </c>
      <c r="K125" s="52">
        <v>90.8</v>
      </c>
      <c r="L125" s="52">
        <v>78</v>
      </c>
      <c r="M125" s="52">
        <v>147.5</v>
      </c>
      <c r="N125" s="52">
        <v>332.6</v>
      </c>
      <c r="O125" s="52">
        <v>97.7</v>
      </c>
      <c r="P125" s="52">
        <v>75.7</v>
      </c>
      <c r="Q125" s="52">
        <v>177.5</v>
      </c>
      <c r="R125" s="52">
        <v>314.89999999999998</v>
      </c>
      <c r="S125" s="53">
        <v>175</v>
      </c>
      <c r="T125" s="52">
        <v>130.69999999999999</v>
      </c>
      <c r="U125" s="52">
        <v>183.7</v>
      </c>
      <c r="V125" s="52">
        <v>338.6</v>
      </c>
      <c r="W125" s="52">
        <v>135.4</v>
      </c>
      <c r="X125" s="10">
        <v>7.4014264567352717E-2</v>
      </c>
      <c r="Y125" s="8">
        <v>7.7684500689136904E-3</v>
      </c>
      <c r="Z125" s="8">
        <v>2.9466616933979891E-2</v>
      </c>
      <c r="AA125" s="8">
        <v>-4.7826086956521803E-2</v>
      </c>
    </row>
    <row r="126" spans="2:27" x14ac:dyDescent="0.3">
      <c r="B126" s="12" t="s">
        <v>311</v>
      </c>
      <c r="C126" s="3" t="s">
        <v>819</v>
      </c>
      <c r="D126" s="3" t="s">
        <v>870</v>
      </c>
      <c r="E126" s="3" t="s">
        <v>821</v>
      </c>
      <c r="F126" s="5">
        <v>-5</v>
      </c>
      <c r="G126" s="52">
        <v>513</v>
      </c>
      <c r="H126" s="52">
        <v>560</v>
      </c>
      <c r="I126" s="52">
        <v>496</v>
      </c>
      <c r="J126" s="52">
        <v>352</v>
      </c>
      <c r="K126" s="52">
        <v>108</v>
      </c>
      <c r="L126" s="52">
        <v>264</v>
      </c>
      <c r="M126" s="52">
        <v>328</v>
      </c>
      <c r="N126" s="52">
        <v>355</v>
      </c>
      <c r="O126" s="52">
        <v>202</v>
      </c>
      <c r="P126" s="52">
        <v>216</v>
      </c>
      <c r="Q126" s="52">
        <v>0</v>
      </c>
      <c r="R126" s="52">
        <v>302</v>
      </c>
      <c r="S126" s="52">
        <v>180</v>
      </c>
      <c r="T126" s="52">
        <v>177</v>
      </c>
      <c r="U126" s="53">
        <v>245</v>
      </c>
      <c r="V126" s="52">
        <v>219</v>
      </c>
      <c r="W126" s="52">
        <v>139</v>
      </c>
      <c r="X126" s="10">
        <v>-5.5873925501432657E-2</v>
      </c>
      <c r="Y126" s="9">
        <v>0.37177541729893782</v>
      </c>
      <c r="Z126" s="8">
        <v>-9.1814159292035402E-2</v>
      </c>
      <c r="AA126" s="8">
        <v>-4.9939098660170538E-2</v>
      </c>
    </row>
    <row r="127" spans="2:27" x14ac:dyDescent="0.3">
      <c r="B127" s="12" t="s">
        <v>603</v>
      </c>
      <c r="C127" s="3" t="s">
        <v>819</v>
      </c>
      <c r="D127" s="3" t="s">
        <v>847</v>
      </c>
      <c r="E127" s="3" t="s">
        <v>821</v>
      </c>
      <c r="F127" s="5">
        <v>-5.3</v>
      </c>
      <c r="G127" s="52">
        <v>28.82</v>
      </c>
      <c r="H127" s="52">
        <v>6.05</v>
      </c>
      <c r="I127" s="52">
        <v>46.5</v>
      </c>
      <c r="J127" s="52">
        <v>35.53</v>
      </c>
      <c r="K127" s="52">
        <v>38.950000000000003</v>
      </c>
      <c r="L127" s="52">
        <v>17.489999999999998</v>
      </c>
      <c r="M127" s="52">
        <v>46.19</v>
      </c>
      <c r="N127" s="52">
        <v>42.26</v>
      </c>
      <c r="O127" s="52">
        <v>40.770000000000003</v>
      </c>
      <c r="P127" s="52">
        <v>31.06</v>
      </c>
      <c r="Q127" s="52">
        <v>39.36</v>
      </c>
      <c r="R127" s="52">
        <v>45.35</v>
      </c>
      <c r="S127" s="52">
        <v>42.94</v>
      </c>
      <c r="T127" s="52">
        <v>25.79</v>
      </c>
      <c r="U127" s="52">
        <v>35.119999999999997</v>
      </c>
      <c r="V127" s="52">
        <v>39.33</v>
      </c>
      <c r="W127" s="52">
        <v>35.409999999999997</v>
      </c>
      <c r="X127" s="10">
        <v>-3.3205217062566961E-2</v>
      </c>
      <c r="Y127" s="8">
        <v>-2.7632950990615249E-2</v>
      </c>
      <c r="Z127" s="8">
        <v>-4.0348525469168783E-2</v>
      </c>
      <c r="AA127" s="8">
        <v>-5.2591144014527358E-2</v>
      </c>
    </row>
    <row r="128" spans="2:27" x14ac:dyDescent="0.3">
      <c r="B128" s="12" t="s">
        <v>64</v>
      </c>
      <c r="C128" s="3" t="s">
        <v>819</v>
      </c>
      <c r="D128" s="3" t="s">
        <v>882</v>
      </c>
      <c r="E128" s="3" t="s">
        <v>821</v>
      </c>
      <c r="F128" s="5">
        <v>-5.9</v>
      </c>
      <c r="G128" s="52">
        <v>540</v>
      </c>
      <c r="H128" s="52">
        <v>640</v>
      </c>
      <c r="I128" s="52">
        <v>817</v>
      </c>
      <c r="J128" s="52">
        <v>805</v>
      </c>
      <c r="K128" s="52">
        <v>732</v>
      </c>
      <c r="L128" s="52">
        <v>631</v>
      </c>
      <c r="M128" s="52">
        <v>680</v>
      </c>
      <c r="N128" s="52">
        <v>713</v>
      </c>
      <c r="O128" s="52">
        <v>834</v>
      </c>
      <c r="P128" s="52">
        <v>668</v>
      </c>
      <c r="Q128" s="52">
        <v>722</v>
      </c>
      <c r="R128" s="52">
        <v>692</v>
      </c>
      <c r="S128" s="52">
        <v>858</v>
      </c>
      <c r="T128" s="52">
        <v>625</v>
      </c>
      <c r="U128" s="52">
        <v>760</v>
      </c>
      <c r="V128" s="52">
        <v>726</v>
      </c>
      <c r="W128" s="52">
        <v>683</v>
      </c>
      <c r="X128" s="10">
        <v>-1.462585034013608E-2</v>
      </c>
      <c r="Y128" s="8">
        <v>1.3117017604418409E-2</v>
      </c>
      <c r="Z128" s="8">
        <v>1.158432708688251E-2</v>
      </c>
      <c r="AA128" s="8">
        <v>-5.8942404850117917E-2</v>
      </c>
    </row>
    <row r="129" spans="2:27" x14ac:dyDescent="0.3">
      <c r="B129" s="12" t="s">
        <v>251</v>
      </c>
      <c r="C129" s="3" t="s">
        <v>819</v>
      </c>
      <c r="D129" s="3" t="s">
        <v>824</v>
      </c>
      <c r="E129" s="3" t="s">
        <v>821</v>
      </c>
      <c r="F129" s="5">
        <v>-6</v>
      </c>
      <c r="G129" s="52">
        <v>22.34</v>
      </c>
      <c r="H129" s="52">
        <v>23.99</v>
      </c>
      <c r="I129" s="52">
        <v>23.09</v>
      </c>
      <c r="J129" s="52">
        <v>20.91</v>
      </c>
      <c r="K129" s="52">
        <v>25.55</v>
      </c>
      <c r="L129" s="52">
        <v>25.38</v>
      </c>
      <c r="M129" s="52">
        <v>21.17</v>
      </c>
      <c r="N129" s="52">
        <v>7.62</v>
      </c>
      <c r="O129" s="52">
        <v>9.41</v>
      </c>
      <c r="P129" s="52">
        <v>29.59</v>
      </c>
      <c r="Q129" s="52">
        <v>-17.579999999999998</v>
      </c>
      <c r="R129" s="53">
        <v>27.43</v>
      </c>
      <c r="S129" s="53">
        <v>88.45</v>
      </c>
      <c r="T129" s="52">
        <v>38.520000000000003</v>
      </c>
      <c r="U129" s="53">
        <v>41.43</v>
      </c>
      <c r="V129" s="52">
        <v>46.69</v>
      </c>
      <c r="W129" s="52">
        <v>75.63</v>
      </c>
      <c r="X129" s="10">
        <v>6.9825631401986055E-2</v>
      </c>
      <c r="Y129" s="9">
        <v>0.43129659406519538</v>
      </c>
      <c r="Z129" s="8">
        <v>9.8350610223152612E-2</v>
      </c>
      <c r="AA129" s="8">
        <v>-5.9602956901762212E-2</v>
      </c>
    </row>
    <row r="130" spans="2:27" x14ac:dyDescent="0.3">
      <c r="B130" s="12" t="s">
        <v>295</v>
      </c>
      <c r="C130" s="3" t="s">
        <v>819</v>
      </c>
      <c r="D130" s="3" t="s">
        <v>840</v>
      </c>
      <c r="E130" s="3" t="s">
        <v>821</v>
      </c>
      <c r="F130" s="5">
        <v>-6.3</v>
      </c>
      <c r="G130" s="52">
        <v>114.8</v>
      </c>
      <c r="H130" s="52">
        <v>89</v>
      </c>
      <c r="I130" s="52">
        <v>123</v>
      </c>
      <c r="J130" s="52">
        <v>168</v>
      </c>
      <c r="K130" s="53">
        <v>179</v>
      </c>
      <c r="L130" s="52">
        <v>124</v>
      </c>
      <c r="M130" s="52">
        <v>157</v>
      </c>
      <c r="N130" s="52">
        <v>203</v>
      </c>
      <c r="O130" s="52">
        <v>179</v>
      </c>
      <c r="P130" s="52">
        <v>144</v>
      </c>
      <c r="Q130" s="52">
        <v>159</v>
      </c>
      <c r="R130" s="52">
        <v>232</v>
      </c>
      <c r="S130" s="52">
        <v>219</v>
      </c>
      <c r="T130" s="52">
        <v>127</v>
      </c>
      <c r="U130" s="52">
        <v>160</v>
      </c>
      <c r="V130" s="52">
        <v>209</v>
      </c>
      <c r="W130" s="52">
        <v>174</v>
      </c>
      <c r="X130" s="10">
        <v>-2.2546419098143259E-2</v>
      </c>
      <c r="Y130" s="8">
        <v>1.3568521031208649E-3</v>
      </c>
      <c r="Z130" s="8">
        <v>-3.1165311653116531E-2</v>
      </c>
      <c r="AA130" s="8">
        <v>-6.2937062937062915E-2</v>
      </c>
    </row>
    <row r="131" spans="2:27" x14ac:dyDescent="0.3">
      <c r="B131" s="12" t="s">
        <v>599</v>
      </c>
      <c r="C131" s="3" t="s">
        <v>819</v>
      </c>
      <c r="D131" s="3" t="s">
        <v>840</v>
      </c>
      <c r="E131" s="3" t="s">
        <v>821</v>
      </c>
      <c r="F131" s="5">
        <v>-6.4</v>
      </c>
      <c r="G131" s="52">
        <v>100.3</v>
      </c>
      <c r="H131" s="52">
        <v>99.8</v>
      </c>
      <c r="I131" s="52">
        <v>103.05</v>
      </c>
      <c r="J131" s="52">
        <v>95.17</v>
      </c>
      <c r="K131" s="52">
        <v>100.7</v>
      </c>
      <c r="L131" s="52">
        <v>115.2</v>
      </c>
      <c r="M131" s="52">
        <v>101.23</v>
      </c>
      <c r="N131" s="52">
        <v>92.09</v>
      </c>
      <c r="O131" s="52">
        <v>87.2</v>
      </c>
      <c r="P131" s="52">
        <v>100.97</v>
      </c>
      <c r="Q131" s="52">
        <v>102.35</v>
      </c>
      <c r="R131" s="52">
        <v>93.97</v>
      </c>
      <c r="S131" s="52">
        <v>98.93</v>
      </c>
      <c r="T131" s="52">
        <v>104.35</v>
      </c>
      <c r="U131" s="52">
        <v>103.36</v>
      </c>
      <c r="V131" s="52">
        <v>94.57</v>
      </c>
      <c r="W131" s="52">
        <v>73.3</v>
      </c>
      <c r="X131" s="10">
        <v>8.5306143051839811E-3</v>
      </c>
      <c r="Y131" s="8">
        <v>2.527527527527607E-3</v>
      </c>
      <c r="Z131" s="8">
        <v>1.497715983125758E-3</v>
      </c>
      <c r="AA131" s="8">
        <v>-6.3881757683008855E-2</v>
      </c>
    </row>
    <row r="132" spans="2:27" x14ac:dyDescent="0.3">
      <c r="B132" s="12" t="s">
        <v>159</v>
      </c>
      <c r="C132" s="3" t="s">
        <v>819</v>
      </c>
      <c r="D132" s="3" t="s">
        <v>873</v>
      </c>
      <c r="E132" s="3" t="s">
        <v>821</v>
      </c>
      <c r="F132" s="5">
        <v>-6.4</v>
      </c>
      <c r="G132" s="52">
        <v>347.64</v>
      </c>
      <c r="H132" s="52">
        <v>312.77999999999997</v>
      </c>
      <c r="I132" s="52">
        <v>328.81</v>
      </c>
      <c r="J132" s="52">
        <v>283.89999999999998</v>
      </c>
      <c r="K132" s="52">
        <v>359.93</v>
      </c>
      <c r="L132" s="52">
        <v>273.89</v>
      </c>
      <c r="M132" s="52">
        <v>278.93</v>
      </c>
      <c r="N132" s="52">
        <v>206.98</v>
      </c>
      <c r="O132" s="52">
        <v>307.22000000000003</v>
      </c>
      <c r="P132" s="52">
        <v>278.66000000000003</v>
      </c>
      <c r="Q132" s="52">
        <v>260.73</v>
      </c>
      <c r="R132" s="52">
        <v>259.22000000000003</v>
      </c>
      <c r="S132" s="52">
        <v>296.07</v>
      </c>
      <c r="T132" s="52">
        <v>237.94</v>
      </c>
      <c r="U132" s="52">
        <v>249.55</v>
      </c>
      <c r="V132" s="52">
        <v>243.09</v>
      </c>
      <c r="W132" s="52">
        <v>230.07</v>
      </c>
      <c r="X132" s="10">
        <v>-3.7198085285197517E-2</v>
      </c>
      <c r="Y132" s="8">
        <v>-1.0607613192151529E-2</v>
      </c>
      <c r="Z132" s="8">
        <v>-1.5468267515679091E-2</v>
      </c>
      <c r="AA132" s="8">
        <v>-6.4286757901914071E-2</v>
      </c>
    </row>
    <row r="133" spans="2:27" x14ac:dyDescent="0.3">
      <c r="B133" s="12" t="s">
        <v>387</v>
      </c>
      <c r="C133" s="3" t="s">
        <v>819</v>
      </c>
      <c r="D133" s="3" t="s">
        <v>898</v>
      </c>
      <c r="E133" s="3" t="s">
        <v>821</v>
      </c>
      <c r="F133" s="5">
        <v>-6.7</v>
      </c>
      <c r="G133" s="52"/>
      <c r="H133" s="52"/>
      <c r="I133" s="52">
        <v>65.989999999999995</v>
      </c>
      <c r="J133" s="52">
        <v>7.69</v>
      </c>
      <c r="K133" s="52">
        <v>-2.25</v>
      </c>
      <c r="L133" s="52">
        <v>4.5</v>
      </c>
      <c r="M133" s="52">
        <v>-47.9</v>
      </c>
      <c r="N133" s="53">
        <v>-50.75</v>
      </c>
      <c r="O133" s="53">
        <v>-87.86</v>
      </c>
      <c r="P133" s="52">
        <v>52.22</v>
      </c>
      <c r="Q133" s="52">
        <v>18.55</v>
      </c>
      <c r="R133" s="52">
        <v>29.04</v>
      </c>
      <c r="S133" s="53">
        <v>64.400000000000006</v>
      </c>
      <c r="T133" s="52">
        <v>46.11</v>
      </c>
      <c r="U133" s="52">
        <v>13.12</v>
      </c>
      <c r="V133" s="53">
        <v>44.52</v>
      </c>
      <c r="W133" s="52">
        <v>53.16</v>
      </c>
      <c r="X133" s="10">
        <v>-3.7208452591194319E-2</v>
      </c>
      <c r="Y133" s="8">
        <v>-3.4345351043643113E-2</v>
      </c>
      <c r="Z133" s="9">
        <v>0.1013951660444095</v>
      </c>
      <c r="AA133" s="8">
        <v>-6.6845078798691726E-2</v>
      </c>
    </row>
    <row r="134" spans="2:27" x14ac:dyDescent="0.3">
      <c r="B134" s="12" t="s">
        <v>36</v>
      </c>
      <c r="C134" s="3" t="s">
        <v>819</v>
      </c>
      <c r="D134" s="3" t="s">
        <v>835</v>
      </c>
      <c r="E134" s="3" t="s">
        <v>821</v>
      </c>
      <c r="F134" s="5">
        <v>-6.9</v>
      </c>
      <c r="G134" s="52">
        <v>289.29000000000002</v>
      </c>
      <c r="H134" s="52">
        <v>354.85</v>
      </c>
      <c r="I134" s="52">
        <v>350.16</v>
      </c>
      <c r="J134" s="52">
        <v>315.81</v>
      </c>
      <c r="K134" s="52">
        <v>300.49</v>
      </c>
      <c r="L134" s="52">
        <v>305.70999999999998</v>
      </c>
      <c r="M134" s="52">
        <v>294.64999999999998</v>
      </c>
      <c r="N134" s="52">
        <v>326.99</v>
      </c>
      <c r="O134" s="52">
        <v>362.24</v>
      </c>
      <c r="P134" s="52">
        <v>406.96</v>
      </c>
      <c r="Q134" s="52">
        <v>384.51</v>
      </c>
      <c r="R134" s="52">
        <v>376.07</v>
      </c>
      <c r="S134" s="52">
        <v>400.24</v>
      </c>
      <c r="T134" s="52">
        <v>394.04</v>
      </c>
      <c r="U134" s="52">
        <v>418.95</v>
      </c>
      <c r="V134" s="52">
        <v>438.75</v>
      </c>
      <c r="W134" s="52">
        <v>286.69</v>
      </c>
      <c r="X134" s="10">
        <v>-8.2409521744121195E-3</v>
      </c>
      <c r="Y134" s="8">
        <v>2.2149904171436589E-2</v>
      </c>
      <c r="Z134" s="8">
        <v>3.9438746618007947E-2</v>
      </c>
      <c r="AA134" s="8">
        <v>-6.8735698979406457E-2</v>
      </c>
    </row>
    <row r="135" spans="2:27" x14ac:dyDescent="0.3">
      <c r="B135" s="12" t="s">
        <v>36</v>
      </c>
      <c r="C135" s="3" t="s">
        <v>819</v>
      </c>
      <c r="D135" s="3" t="s">
        <v>835</v>
      </c>
      <c r="E135" s="3" t="s">
        <v>821</v>
      </c>
      <c r="F135" s="5">
        <v>-6.9</v>
      </c>
      <c r="G135" s="52">
        <v>289.29000000000002</v>
      </c>
      <c r="H135" s="52">
        <v>354.85</v>
      </c>
      <c r="I135" s="52">
        <v>350.16</v>
      </c>
      <c r="J135" s="52">
        <v>315.81</v>
      </c>
      <c r="K135" s="52">
        <v>300.49</v>
      </c>
      <c r="L135" s="52">
        <v>305.70999999999998</v>
      </c>
      <c r="M135" s="52">
        <v>294.64999999999998</v>
      </c>
      <c r="N135" s="52">
        <v>326.99</v>
      </c>
      <c r="O135" s="52">
        <v>362.24</v>
      </c>
      <c r="P135" s="52">
        <v>406.96</v>
      </c>
      <c r="Q135" s="52">
        <v>384.51</v>
      </c>
      <c r="R135" s="52">
        <v>376.07</v>
      </c>
      <c r="S135" s="52">
        <v>400.24</v>
      </c>
      <c r="T135" s="52">
        <v>394.04</v>
      </c>
      <c r="U135" s="52">
        <v>418.95</v>
      </c>
      <c r="V135" s="52">
        <v>438.75</v>
      </c>
      <c r="W135" s="52">
        <v>286.69</v>
      </c>
      <c r="X135" s="10">
        <v>-8.2409521744121195E-3</v>
      </c>
      <c r="Y135" s="8">
        <v>2.2149904171436589E-2</v>
      </c>
      <c r="Z135" s="8">
        <v>3.9438746618007947E-2</v>
      </c>
      <c r="AA135" s="8">
        <v>-6.8735698979406457E-2</v>
      </c>
    </row>
    <row r="136" spans="2:27" x14ac:dyDescent="0.3">
      <c r="B136" s="12" t="s">
        <v>399</v>
      </c>
      <c r="C136" s="3" t="s">
        <v>819</v>
      </c>
      <c r="D136" s="3" t="s">
        <v>892</v>
      </c>
      <c r="E136" s="3" t="s">
        <v>821</v>
      </c>
      <c r="F136" s="5">
        <v>-6.9</v>
      </c>
      <c r="G136" s="52">
        <v>58.6</v>
      </c>
      <c r="H136" s="52">
        <v>-39.9</v>
      </c>
      <c r="I136" s="52">
        <v>72.8</v>
      </c>
      <c r="J136" s="52">
        <v>35.200000000000003</v>
      </c>
      <c r="K136" s="52">
        <v>8.9</v>
      </c>
      <c r="L136" s="53">
        <v>29.5</v>
      </c>
      <c r="M136" s="53">
        <v>174.8</v>
      </c>
      <c r="N136" s="53">
        <v>141.69999999999999</v>
      </c>
      <c r="O136" s="52">
        <v>25.8</v>
      </c>
      <c r="P136" s="52">
        <v>18</v>
      </c>
      <c r="Q136" s="52">
        <v>84.6</v>
      </c>
      <c r="R136" s="52">
        <v>163.4</v>
      </c>
      <c r="S136" s="53">
        <v>96.4</v>
      </c>
      <c r="T136" s="52">
        <v>-23.3</v>
      </c>
      <c r="U136" s="53">
        <v>176.1</v>
      </c>
      <c r="V136" s="52">
        <v>118</v>
      </c>
      <c r="W136" s="52">
        <v>71</v>
      </c>
      <c r="X136" s="10">
        <v>-0.11396247240618081</v>
      </c>
      <c r="Y136" s="9">
        <v>0.2849579570227343</v>
      </c>
      <c r="Z136" s="8">
        <v>-0.1100339311682017</v>
      </c>
      <c r="AA136" s="8">
        <v>-6.9172113289760251E-2</v>
      </c>
    </row>
    <row r="137" spans="2:27" x14ac:dyDescent="0.3">
      <c r="B137" s="12" t="s">
        <v>99</v>
      </c>
      <c r="C137" s="3" t="s">
        <v>819</v>
      </c>
      <c r="D137" s="3" t="s">
        <v>829</v>
      </c>
      <c r="E137" s="3" t="s">
        <v>821</v>
      </c>
      <c r="F137" s="5">
        <v>-7.7</v>
      </c>
      <c r="G137" s="52">
        <v>123.74</v>
      </c>
      <c r="H137" s="52">
        <v>76.709999999999994</v>
      </c>
      <c r="I137" s="52">
        <v>175.42</v>
      </c>
      <c r="J137" s="52">
        <v>254.43</v>
      </c>
      <c r="K137" s="53">
        <v>375.43</v>
      </c>
      <c r="L137" s="52">
        <v>60.81</v>
      </c>
      <c r="M137" s="52">
        <v>215.18</v>
      </c>
      <c r="N137" s="52">
        <v>239</v>
      </c>
      <c r="O137" s="52">
        <v>259.67</v>
      </c>
      <c r="P137" s="52">
        <v>116</v>
      </c>
      <c r="Q137" s="52">
        <v>261</v>
      </c>
      <c r="R137" s="52">
        <v>316.92</v>
      </c>
      <c r="S137" s="52">
        <v>346.99</v>
      </c>
      <c r="T137" s="52">
        <v>188</v>
      </c>
      <c r="U137" s="52">
        <v>360</v>
      </c>
      <c r="V137" s="53">
        <v>459</v>
      </c>
      <c r="W137" s="52">
        <v>243</v>
      </c>
      <c r="X137" s="10">
        <v>6.9170245266161334E-2</v>
      </c>
      <c r="Y137" s="8">
        <v>8.8955980267946266E-2</v>
      </c>
      <c r="Z137" s="9">
        <v>0.117236428447657</v>
      </c>
      <c r="AA137" s="8">
        <v>-7.6802635174558209E-2</v>
      </c>
    </row>
    <row r="138" spans="2:27" x14ac:dyDescent="0.3">
      <c r="B138" s="12" t="s">
        <v>783</v>
      </c>
      <c r="C138" s="3" t="s">
        <v>819</v>
      </c>
      <c r="D138" s="3" t="s">
        <v>854</v>
      </c>
      <c r="E138" s="3" t="s">
        <v>821</v>
      </c>
      <c r="F138" s="5">
        <v>-8.3000000000000007</v>
      </c>
      <c r="G138" s="52">
        <v>54.71</v>
      </c>
      <c r="H138" s="52">
        <v>36.33</v>
      </c>
      <c r="I138" s="52">
        <v>54.49</v>
      </c>
      <c r="J138" s="52">
        <v>54.09</v>
      </c>
      <c r="K138" s="52">
        <v>39.75</v>
      </c>
      <c r="L138" s="52">
        <v>20.12</v>
      </c>
      <c r="M138" s="52">
        <v>21.54</v>
      </c>
      <c r="N138" s="52">
        <v>17.32</v>
      </c>
      <c r="O138" s="52">
        <v>34.799999999999997</v>
      </c>
      <c r="P138" s="53">
        <v>32.659999999999997</v>
      </c>
      <c r="Q138" s="52">
        <v>27.85</v>
      </c>
      <c r="R138" s="52">
        <v>26.72</v>
      </c>
      <c r="S138" s="52">
        <v>24.64</v>
      </c>
      <c r="T138" s="52">
        <v>14.92</v>
      </c>
      <c r="U138" s="52">
        <v>10.49</v>
      </c>
      <c r="V138" s="52">
        <v>21.25</v>
      </c>
      <c r="W138" s="52">
        <v>18.72</v>
      </c>
      <c r="X138" s="10">
        <v>-0.15857691963886669</v>
      </c>
      <c r="Y138" s="8">
        <v>-0.1844257941145224</v>
      </c>
      <c r="Z138" s="8">
        <v>-7.1251791064217751E-2</v>
      </c>
      <c r="AA138" s="8">
        <v>-8.3029453015427745E-2</v>
      </c>
    </row>
    <row r="139" spans="2:27" x14ac:dyDescent="0.3">
      <c r="B139" s="12" t="s">
        <v>622</v>
      </c>
      <c r="C139" s="3" t="s">
        <v>819</v>
      </c>
      <c r="D139" s="3" t="s">
        <v>878</v>
      </c>
      <c r="E139" s="3" t="s">
        <v>821</v>
      </c>
      <c r="F139" s="5">
        <v>-8.8000000000000007</v>
      </c>
      <c r="G139" s="52">
        <v>-1.66</v>
      </c>
      <c r="H139" s="52">
        <v>-3.31</v>
      </c>
      <c r="I139" s="52">
        <v>4.1900000000000004</v>
      </c>
      <c r="J139" s="52">
        <v>7.31</v>
      </c>
      <c r="K139" s="53">
        <v>7.23</v>
      </c>
      <c r="L139" s="53">
        <v>5.89</v>
      </c>
      <c r="M139" s="53">
        <v>9.2899999999999991</v>
      </c>
      <c r="N139" s="52">
        <v>7.1</v>
      </c>
      <c r="O139" s="52">
        <v>5.68</v>
      </c>
      <c r="P139" s="52">
        <v>5.47</v>
      </c>
      <c r="Q139" s="52">
        <v>7.7</v>
      </c>
      <c r="R139" s="52">
        <v>5.94</v>
      </c>
      <c r="S139" s="52">
        <v>5.98</v>
      </c>
      <c r="T139" s="52">
        <v>5.28</v>
      </c>
      <c r="U139" s="52">
        <v>8.15</v>
      </c>
      <c r="V139" s="52">
        <v>6.48</v>
      </c>
      <c r="W139" s="52">
        <v>3.7</v>
      </c>
      <c r="X139" s="10">
        <v>-7.5727381426862186E-3</v>
      </c>
      <c r="Y139" s="8">
        <v>1.8072289156626509E-2</v>
      </c>
      <c r="Z139" s="8">
        <v>2.130177514792897E-2</v>
      </c>
      <c r="AA139" s="8">
        <v>-8.8064889918887612E-2</v>
      </c>
    </row>
    <row r="140" spans="2:27" x14ac:dyDescent="0.3">
      <c r="B140" s="12" t="s">
        <v>232</v>
      </c>
      <c r="C140" s="3" t="s">
        <v>819</v>
      </c>
      <c r="D140" s="3" t="s">
        <v>895</v>
      </c>
      <c r="E140" s="3" t="s">
        <v>821</v>
      </c>
      <c r="F140" s="5">
        <v>-8.9</v>
      </c>
      <c r="G140" s="52">
        <v>200.4</v>
      </c>
      <c r="H140" s="52">
        <v>199.84</v>
      </c>
      <c r="I140" s="52">
        <v>305.8</v>
      </c>
      <c r="J140" s="52">
        <v>231.94</v>
      </c>
      <c r="K140" s="52">
        <v>196.98</v>
      </c>
      <c r="L140" s="52">
        <v>151.33000000000001</v>
      </c>
      <c r="M140" s="52">
        <v>188.28</v>
      </c>
      <c r="N140" s="52">
        <v>187.11</v>
      </c>
      <c r="O140" s="52">
        <v>202.76</v>
      </c>
      <c r="P140" s="52">
        <v>147.56</v>
      </c>
      <c r="Q140" s="52">
        <v>205.08</v>
      </c>
      <c r="R140" s="52">
        <v>197.99</v>
      </c>
      <c r="S140" s="52">
        <v>188.95</v>
      </c>
      <c r="T140" s="52">
        <v>104.34</v>
      </c>
      <c r="U140" s="52">
        <v>166.6</v>
      </c>
      <c r="V140" s="52">
        <v>150.35</v>
      </c>
      <c r="W140" s="52">
        <v>134.43</v>
      </c>
      <c r="X140" s="10">
        <v>-5.8438573244273817E-2</v>
      </c>
      <c r="Y140" s="8">
        <v>-5.5258774197254328E-2</v>
      </c>
      <c r="Z140" s="8">
        <v>-7.2414422083054597E-2</v>
      </c>
      <c r="AA140" s="8">
        <v>-8.9341898269533315E-2</v>
      </c>
    </row>
    <row r="141" spans="2:27" x14ac:dyDescent="0.3">
      <c r="B141" s="12" t="s">
        <v>595</v>
      </c>
      <c r="C141" s="3" t="s">
        <v>819</v>
      </c>
      <c r="D141" s="3" t="s">
        <v>886</v>
      </c>
      <c r="E141" s="3" t="s">
        <v>821</v>
      </c>
      <c r="F141" s="5">
        <v>-9.5</v>
      </c>
      <c r="G141" s="52">
        <v>-13.5</v>
      </c>
      <c r="H141" s="52">
        <v>-12.3</v>
      </c>
      <c r="I141" s="52">
        <v>0.7</v>
      </c>
      <c r="J141" s="52">
        <v>11.3</v>
      </c>
      <c r="K141" s="52">
        <v>25.9</v>
      </c>
      <c r="L141" s="53">
        <v>45.9</v>
      </c>
      <c r="M141" s="53">
        <v>59.7</v>
      </c>
      <c r="N141" s="53">
        <v>63.7</v>
      </c>
      <c r="O141" s="53">
        <v>80.5</v>
      </c>
      <c r="P141" s="53">
        <v>84.8</v>
      </c>
      <c r="Q141" s="53">
        <v>104.3</v>
      </c>
      <c r="R141" s="52">
        <v>83.5</v>
      </c>
      <c r="S141" s="52">
        <v>101.2</v>
      </c>
      <c r="T141" s="52">
        <v>59.8</v>
      </c>
      <c r="U141" s="52">
        <v>96.5</v>
      </c>
      <c r="V141" s="52">
        <v>98.2</v>
      </c>
      <c r="W141" s="52">
        <v>67.3</v>
      </c>
      <c r="X141" s="10">
        <v>-6.6880684858212969E-2</v>
      </c>
      <c r="Y141" s="8">
        <v>-2.2362385321100912E-2</v>
      </c>
      <c r="Z141" s="8">
        <v>4.3108504398826852E-2</v>
      </c>
      <c r="AA141" s="8">
        <v>-9.5305032330615602E-2</v>
      </c>
    </row>
    <row r="142" spans="2:27" x14ac:dyDescent="0.3">
      <c r="B142" s="12" t="s">
        <v>442</v>
      </c>
      <c r="C142" s="3" t="s">
        <v>819</v>
      </c>
      <c r="D142" s="3" t="s">
        <v>866</v>
      </c>
      <c r="E142" s="3" t="s">
        <v>821</v>
      </c>
      <c r="F142" s="5">
        <v>-13.1</v>
      </c>
      <c r="G142" s="52">
        <v>46.58</v>
      </c>
      <c r="H142" s="52">
        <v>48.92</v>
      </c>
      <c r="I142" s="52">
        <v>54.15</v>
      </c>
      <c r="J142" s="52">
        <v>53.2</v>
      </c>
      <c r="K142" s="52">
        <v>56.09</v>
      </c>
      <c r="L142" s="52">
        <v>51.36</v>
      </c>
      <c r="M142" s="52">
        <v>63.71</v>
      </c>
      <c r="N142" s="52">
        <v>71.680000000000007</v>
      </c>
      <c r="O142" s="52">
        <v>79.05</v>
      </c>
      <c r="P142" s="52">
        <v>56.54</v>
      </c>
      <c r="Q142" s="52">
        <v>52.81</v>
      </c>
      <c r="R142" s="52">
        <v>46.91</v>
      </c>
      <c r="S142" s="52">
        <v>54.53</v>
      </c>
      <c r="T142" s="52">
        <v>29.16</v>
      </c>
      <c r="U142" s="52">
        <v>28.97</v>
      </c>
      <c r="V142" s="52">
        <v>25.02</v>
      </c>
      <c r="W142" s="52">
        <v>36.47</v>
      </c>
      <c r="X142" s="10">
        <v>-0.12989230988187289</v>
      </c>
      <c r="Y142" s="8">
        <v>-0.12998200752412631</v>
      </c>
      <c r="Z142" s="8">
        <v>-0.1371811744062166</v>
      </c>
      <c r="AA142" s="8">
        <v>-0.13117373619988379</v>
      </c>
    </row>
    <row r="143" spans="2:27" x14ac:dyDescent="0.3">
      <c r="B143" s="12" t="s">
        <v>269</v>
      </c>
      <c r="C143" s="3" t="s">
        <v>819</v>
      </c>
      <c r="D143" s="3" t="s">
        <v>887</v>
      </c>
      <c r="E143" s="3" t="s">
        <v>821</v>
      </c>
      <c r="F143" s="5">
        <v>-13.8</v>
      </c>
      <c r="G143" s="52">
        <v>94</v>
      </c>
      <c r="H143" s="52">
        <v>124</v>
      </c>
      <c r="I143" s="52">
        <v>145</v>
      </c>
      <c r="J143" s="52">
        <v>161</v>
      </c>
      <c r="K143" s="52">
        <v>94</v>
      </c>
      <c r="L143" s="52">
        <v>115</v>
      </c>
      <c r="M143" s="52">
        <v>125</v>
      </c>
      <c r="N143" s="52">
        <v>164</v>
      </c>
      <c r="O143" s="52">
        <v>111</v>
      </c>
      <c r="P143" s="52">
        <v>106</v>
      </c>
      <c r="Q143" s="52">
        <v>145</v>
      </c>
      <c r="R143" s="52">
        <v>175</v>
      </c>
      <c r="S143" s="52">
        <v>134</v>
      </c>
      <c r="T143" s="52">
        <v>114</v>
      </c>
      <c r="U143" s="52">
        <v>164</v>
      </c>
      <c r="V143" s="52">
        <v>181</v>
      </c>
      <c r="W143" s="52">
        <v>52</v>
      </c>
      <c r="X143" s="10">
        <v>1.428571428571423E-2</v>
      </c>
      <c r="Y143" s="8">
        <v>3.3450704225352013E-2</v>
      </c>
      <c r="Z143" s="8">
        <v>1.0221465076660999E-2</v>
      </c>
      <c r="AA143" s="8">
        <v>-0.13827993254637441</v>
      </c>
    </row>
    <row r="144" spans="2:27" x14ac:dyDescent="0.3">
      <c r="B144" s="12" t="s">
        <v>141</v>
      </c>
      <c r="C144" s="3" t="s">
        <v>819</v>
      </c>
      <c r="D144" s="3" t="s">
        <v>826</v>
      </c>
      <c r="E144" s="3" t="s">
        <v>821</v>
      </c>
      <c r="F144" s="5">
        <v>-15.7</v>
      </c>
      <c r="G144" s="52">
        <v>174</v>
      </c>
      <c r="H144" s="52">
        <v>259</v>
      </c>
      <c r="I144" s="52">
        <v>168</v>
      </c>
      <c r="J144" s="52">
        <v>147</v>
      </c>
      <c r="K144" s="52">
        <v>91</v>
      </c>
      <c r="L144" s="52">
        <v>200</v>
      </c>
      <c r="M144" s="52">
        <v>128</v>
      </c>
      <c r="N144" s="53">
        <v>342</v>
      </c>
      <c r="O144" s="52">
        <v>-42</v>
      </c>
      <c r="P144" s="53">
        <v>299</v>
      </c>
      <c r="Q144" s="53">
        <v>202</v>
      </c>
      <c r="R144" s="52">
        <v>105</v>
      </c>
      <c r="S144" s="53">
        <v>333</v>
      </c>
      <c r="T144" s="52">
        <v>299</v>
      </c>
      <c r="U144" s="52">
        <v>201</v>
      </c>
      <c r="V144" s="53">
        <v>255</v>
      </c>
      <c r="W144" s="52">
        <v>162</v>
      </c>
      <c r="X144" s="10">
        <v>0</v>
      </c>
      <c r="Y144" s="8">
        <v>-1.06496272630463E-3</v>
      </c>
      <c r="Z144" s="9">
        <v>0.15991471215351799</v>
      </c>
      <c r="AA144" s="8">
        <v>-0.1571691176470589</v>
      </c>
    </row>
    <row r="145" spans="2:27" x14ac:dyDescent="0.3">
      <c r="B145" s="12" t="s">
        <v>141</v>
      </c>
      <c r="C145" s="3" t="s">
        <v>819</v>
      </c>
      <c r="D145" s="3" t="s">
        <v>826</v>
      </c>
      <c r="E145" s="3" t="s">
        <v>821</v>
      </c>
      <c r="F145" s="5">
        <v>-15.7</v>
      </c>
      <c r="G145" s="52">
        <v>174</v>
      </c>
      <c r="H145" s="52">
        <v>259</v>
      </c>
      <c r="I145" s="52">
        <v>168</v>
      </c>
      <c r="J145" s="52">
        <v>147</v>
      </c>
      <c r="K145" s="52">
        <v>91</v>
      </c>
      <c r="L145" s="52">
        <v>200</v>
      </c>
      <c r="M145" s="52">
        <v>128</v>
      </c>
      <c r="N145" s="53">
        <v>342</v>
      </c>
      <c r="O145" s="52">
        <v>-42</v>
      </c>
      <c r="P145" s="53">
        <v>299</v>
      </c>
      <c r="Q145" s="53">
        <v>202</v>
      </c>
      <c r="R145" s="52">
        <v>105</v>
      </c>
      <c r="S145" s="53">
        <v>333</v>
      </c>
      <c r="T145" s="52">
        <v>299</v>
      </c>
      <c r="U145" s="52">
        <v>201</v>
      </c>
      <c r="V145" s="53">
        <v>255</v>
      </c>
      <c r="W145" s="52">
        <v>162</v>
      </c>
      <c r="X145" s="10">
        <v>0</v>
      </c>
      <c r="Y145" s="8">
        <v>-1.06496272630463E-3</v>
      </c>
      <c r="Z145" s="9">
        <v>0.15991471215351799</v>
      </c>
      <c r="AA145" s="8">
        <v>-0.1571691176470589</v>
      </c>
    </row>
    <row r="146" spans="2:27" x14ac:dyDescent="0.3">
      <c r="B146" s="12" t="s">
        <v>648</v>
      </c>
      <c r="C146" s="3" t="s">
        <v>819</v>
      </c>
      <c r="D146" s="3" t="s">
        <v>845</v>
      </c>
      <c r="E146" s="3" t="s">
        <v>821</v>
      </c>
      <c r="F146" s="5">
        <v>-19.100000000000001</v>
      </c>
      <c r="G146" s="52">
        <v>72.33</v>
      </c>
      <c r="H146" s="52">
        <v>104.1</v>
      </c>
      <c r="I146" s="52">
        <v>126.02</v>
      </c>
      <c r="J146" s="52">
        <v>-11.94</v>
      </c>
      <c r="K146" s="53">
        <v>114.69</v>
      </c>
      <c r="L146" s="52">
        <v>109.54</v>
      </c>
      <c r="M146" s="52">
        <v>66.790000000000006</v>
      </c>
      <c r="N146" s="52">
        <v>9.2100000000000009</v>
      </c>
      <c r="O146" s="52">
        <v>18.100000000000001</v>
      </c>
      <c r="P146" s="52">
        <v>22.17</v>
      </c>
      <c r="Q146" s="52">
        <v>36.97</v>
      </c>
      <c r="R146" s="52">
        <v>11</v>
      </c>
      <c r="S146" s="52">
        <v>25.81</v>
      </c>
      <c r="T146" s="53">
        <v>34.549999999999997</v>
      </c>
      <c r="U146" s="52">
        <v>46.6</v>
      </c>
      <c r="V146" s="53">
        <v>53.55</v>
      </c>
      <c r="W146" s="52">
        <v>-4.92</v>
      </c>
      <c r="X146" s="7">
        <v>0.12902553413236051</v>
      </c>
      <c r="Y146" s="8">
        <v>8.8895042924397538E-2</v>
      </c>
      <c r="Z146" s="9">
        <v>0.36071549677856912</v>
      </c>
      <c r="AA146" s="8">
        <v>-0.1914522459659834</v>
      </c>
    </row>
    <row r="147" spans="2:27" x14ac:dyDescent="0.3">
      <c r="B147" s="12" t="s">
        <v>277</v>
      </c>
      <c r="C147" s="3" t="s">
        <v>819</v>
      </c>
      <c r="D147" s="3" t="s">
        <v>897</v>
      </c>
      <c r="E147" s="3" t="s">
        <v>821</v>
      </c>
      <c r="F147" s="5">
        <v>-21.5</v>
      </c>
      <c r="G147" s="52">
        <v>0</v>
      </c>
      <c r="H147" s="52">
        <v>557</v>
      </c>
      <c r="I147" s="52">
        <v>451</v>
      </c>
      <c r="J147" s="52">
        <v>173</v>
      </c>
      <c r="K147" s="52">
        <v>0</v>
      </c>
      <c r="L147" s="52">
        <v>32</v>
      </c>
      <c r="M147" s="52">
        <v>58</v>
      </c>
      <c r="N147" s="52">
        <v>159</v>
      </c>
      <c r="O147" s="53">
        <v>91</v>
      </c>
      <c r="P147" s="53">
        <v>144</v>
      </c>
      <c r="Q147" s="53">
        <v>195</v>
      </c>
      <c r="R147" s="52">
        <v>117</v>
      </c>
      <c r="S147" s="52">
        <v>79</v>
      </c>
      <c r="T147" s="52">
        <v>123</v>
      </c>
      <c r="U147" s="52">
        <v>100</v>
      </c>
      <c r="V147" s="52">
        <v>33</v>
      </c>
      <c r="W147" s="52">
        <v>7</v>
      </c>
      <c r="X147" s="10">
        <v>-3.9252336448598157E-2</v>
      </c>
      <c r="Y147" s="8">
        <v>-0.18482490272373539</v>
      </c>
      <c r="Z147" s="8">
        <v>-0.2004773269689738</v>
      </c>
      <c r="AA147" s="8">
        <v>-0.21492537313432841</v>
      </c>
    </row>
    <row r="148" spans="2:27" x14ac:dyDescent="0.3">
      <c r="B148" s="12" t="s">
        <v>194</v>
      </c>
      <c r="C148" s="3" t="s">
        <v>819</v>
      </c>
      <c r="D148" s="3" t="s">
        <v>889</v>
      </c>
      <c r="E148" s="3" t="s">
        <v>821</v>
      </c>
      <c r="F148" s="5">
        <v>-22</v>
      </c>
      <c r="G148" s="52">
        <v>199.7</v>
      </c>
      <c r="H148" s="52">
        <v>265</v>
      </c>
      <c r="I148" s="52">
        <v>122.7</v>
      </c>
      <c r="J148" s="52">
        <v>338.5</v>
      </c>
      <c r="K148" s="53">
        <v>349.7</v>
      </c>
      <c r="L148" s="52">
        <v>158.30000000000001</v>
      </c>
      <c r="M148" s="53">
        <v>486.6</v>
      </c>
      <c r="N148" s="53">
        <v>601.9</v>
      </c>
      <c r="O148" s="52">
        <v>352.3</v>
      </c>
      <c r="P148" s="52">
        <v>316.3</v>
      </c>
      <c r="Q148" s="52">
        <v>608.70000000000005</v>
      </c>
      <c r="R148" s="52">
        <v>490.6</v>
      </c>
      <c r="S148" s="52">
        <v>365.7</v>
      </c>
      <c r="T148" s="52">
        <v>231.5</v>
      </c>
      <c r="U148" s="52">
        <v>592.29999999999995</v>
      </c>
      <c r="V148" s="52">
        <v>490.3</v>
      </c>
      <c r="W148" s="52">
        <v>-4.3</v>
      </c>
      <c r="X148" s="10">
        <v>-4.7605681244035303E-2</v>
      </c>
      <c r="Y148" s="8">
        <v>-9.666961391099349E-3</v>
      </c>
      <c r="Z148" s="8">
        <v>-1.7856079995237639E-4</v>
      </c>
      <c r="AA148" s="8">
        <v>-0.22026431718061679</v>
      </c>
    </row>
    <row r="149" spans="2:27" x14ac:dyDescent="0.3">
      <c r="B149" s="51" t="s">
        <v>209</v>
      </c>
      <c r="C149" s="47" t="s">
        <v>819</v>
      </c>
      <c r="D149" s="47" t="s">
        <v>845</v>
      </c>
      <c r="E149" s="47" t="s">
        <v>821</v>
      </c>
      <c r="F149" s="48">
        <v>-23.2</v>
      </c>
      <c r="G149" s="55">
        <v>422</v>
      </c>
      <c r="H149" s="55">
        <v>902</v>
      </c>
      <c r="I149" s="55">
        <v>1139</v>
      </c>
      <c r="J149" s="55">
        <v>935</v>
      </c>
      <c r="K149" s="55">
        <v>548</v>
      </c>
      <c r="L149" s="55">
        <v>465</v>
      </c>
      <c r="M149" s="55">
        <v>300</v>
      </c>
      <c r="N149" s="55">
        <v>227</v>
      </c>
      <c r="O149" s="55">
        <v>194</v>
      </c>
      <c r="P149" s="55">
        <v>203</v>
      </c>
      <c r="Q149" s="55">
        <v>211</v>
      </c>
      <c r="R149" s="55">
        <v>214</v>
      </c>
      <c r="S149" s="55">
        <v>159</v>
      </c>
      <c r="T149" s="55">
        <v>185</v>
      </c>
      <c r="U149" s="55">
        <v>181</v>
      </c>
      <c r="V149" s="55">
        <v>230</v>
      </c>
      <c r="W149" s="55">
        <v>-16</v>
      </c>
      <c r="X149" s="10">
        <v>-2.2871664548919979E-2</v>
      </c>
      <c r="Y149" s="49">
        <v>-3.9011703511053319E-2</v>
      </c>
      <c r="Z149" s="49">
        <v>2.165087956698231E-2</v>
      </c>
      <c r="AA149" s="49">
        <v>-0.23178807947019861</v>
      </c>
    </row>
    <row r="150" spans="2:27" x14ac:dyDescent="0.3">
      <c r="B150" s="12" t="s">
        <v>149</v>
      </c>
      <c r="C150" s="3" t="s">
        <v>819</v>
      </c>
      <c r="D150" s="3" t="s">
        <v>897</v>
      </c>
      <c r="E150" s="3" t="s">
        <v>821</v>
      </c>
      <c r="F150" s="5">
        <v>-23.6</v>
      </c>
      <c r="G150" s="52">
        <v>639.39</v>
      </c>
      <c r="H150" s="52">
        <v>863.81</v>
      </c>
      <c r="I150" s="52">
        <v>1366</v>
      </c>
      <c r="J150" s="52">
        <v>1015</v>
      </c>
      <c r="K150" s="52">
        <v>526.01</v>
      </c>
      <c r="L150" s="52">
        <v>467.18</v>
      </c>
      <c r="M150" s="52">
        <v>577.07000000000005</v>
      </c>
      <c r="N150" s="52">
        <v>641.63</v>
      </c>
      <c r="O150" s="52">
        <v>490.44</v>
      </c>
      <c r="P150" s="52">
        <v>373.6</v>
      </c>
      <c r="Q150" s="52">
        <v>489.48</v>
      </c>
      <c r="R150" s="52">
        <v>428.02</v>
      </c>
      <c r="S150" s="52">
        <v>304.14999999999998</v>
      </c>
      <c r="T150" s="52">
        <v>184.44</v>
      </c>
      <c r="U150" s="52">
        <v>311.29000000000002</v>
      </c>
      <c r="V150" s="52">
        <v>228.77</v>
      </c>
      <c r="W150" s="52">
        <v>61.78</v>
      </c>
      <c r="X150" s="10">
        <v>-0.1185770255445855</v>
      </c>
      <c r="Y150" s="8">
        <v>-0.12672730764033591</v>
      </c>
      <c r="Z150" s="8">
        <v>-0.16226891440671071</v>
      </c>
      <c r="AA150" s="8">
        <v>-0.23561950128809619</v>
      </c>
    </row>
    <row r="151" spans="2:27" x14ac:dyDescent="0.3">
      <c r="B151" s="12" t="s">
        <v>765</v>
      </c>
      <c r="C151" s="3" t="s">
        <v>819</v>
      </c>
      <c r="D151" s="3" t="s">
        <v>847</v>
      </c>
      <c r="E151" s="3" t="s">
        <v>821</v>
      </c>
      <c r="F151" s="5">
        <v>-24.1</v>
      </c>
      <c r="G151" s="52">
        <v>12.44</v>
      </c>
      <c r="H151" s="52">
        <v>17.41</v>
      </c>
      <c r="I151" s="52">
        <v>19.21</v>
      </c>
      <c r="J151" s="52">
        <v>20.149999999999999</v>
      </c>
      <c r="K151" s="53">
        <v>24.6</v>
      </c>
      <c r="L151" s="52">
        <v>20.440000000000001</v>
      </c>
      <c r="M151" s="52">
        <v>23.27</v>
      </c>
      <c r="N151" s="52">
        <v>22.12</v>
      </c>
      <c r="O151" s="52">
        <v>7.13</v>
      </c>
      <c r="P151" s="52">
        <v>23.35</v>
      </c>
      <c r="Q151" s="52">
        <v>20.05</v>
      </c>
      <c r="R151" s="52">
        <v>24.96</v>
      </c>
      <c r="S151" s="53">
        <v>18.62</v>
      </c>
      <c r="T151" s="52">
        <v>15.26</v>
      </c>
      <c r="U151" s="52">
        <v>19.649999999999999</v>
      </c>
      <c r="V151" s="52">
        <v>23.65</v>
      </c>
      <c r="W151" s="52">
        <v>0</v>
      </c>
      <c r="X151" s="10">
        <v>-9.3009887330420815E-2</v>
      </c>
      <c r="Y151" s="8">
        <v>-5.0703511218153094E-3</v>
      </c>
      <c r="Z151" s="8">
        <v>-1.6690024206905352E-2</v>
      </c>
      <c r="AA151" s="8">
        <v>-0.2412542109354755</v>
      </c>
    </row>
    <row r="152" spans="2:27" x14ac:dyDescent="0.3">
      <c r="B152" s="12" t="s">
        <v>618</v>
      </c>
      <c r="C152" s="3" t="s">
        <v>819</v>
      </c>
      <c r="D152" s="3" t="s">
        <v>861</v>
      </c>
      <c r="E152" s="3" t="s">
        <v>821</v>
      </c>
      <c r="F152" s="5">
        <v>-24.7</v>
      </c>
      <c r="G152" s="52">
        <v>143.06</v>
      </c>
      <c r="H152" s="52">
        <v>98</v>
      </c>
      <c r="I152" s="52">
        <v>161.03</v>
      </c>
      <c r="J152" s="52">
        <v>95.74</v>
      </c>
      <c r="K152" s="52">
        <v>42.2</v>
      </c>
      <c r="L152" s="52">
        <v>28.09</v>
      </c>
      <c r="M152" s="52">
        <v>67.790000000000006</v>
      </c>
      <c r="N152" s="52">
        <v>83.04</v>
      </c>
      <c r="O152" s="52">
        <v>60.82</v>
      </c>
      <c r="P152" s="52">
        <v>19.54</v>
      </c>
      <c r="Q152" s="52">
        <v>68.7</v>
      </c>
      <c r="R152" s="52">
        <v>81.459999999999994</v>
      </c>
      <c r="S152" s="52">
        <v>46.49</v>
      </c>
      <c r="T152" s="52">
        <v>0.98</v>
      </c>
      <c r="U152" s="52">
        <v>40.65</v>
      </c>
      <c r="V152" s="52">
        <v>22.48</v>
      </c>
      <c r="W152" s="52">
        <v>19.12</v>
      </c>
      <c r="X152" s="10">
        <v>-8.5850409362135172E-2</v>
      </c>
      <c r="Y152" s="8">
        <v>-0.1419318929312352</v>
      </c>
      <c r="Z152" s="8">
        <v>-0.34780044816605732</v>
      </c>
      <c r="AA152" s="8">
        <v>-0.24746835443037959</v>
      </c>
    </row>
    <row r="153" spans="2:27" x14ac:dyDescent="0.3">
      <c r="B153" s="51" t="s">
        <v>333</v>
      </c>
      <c r="C153" s="47" t="s">
        <v>819</v>
      </c>
      <c r="D153" s="47" t="s">
        <v>842</v>
      </c>
      <c r="E153" s="47" t="s">
        <v>821</v>
      </c>
      <c r="F153" s="48">
        <v>-24.8</v>
      </c>
      <c r="G153" s="55">
        <v>-1.1299999999999999</v>
      </c>
      <c r="H153" s="55">
        <v>-41.74</v>
      </c>
      <c r="I153" s="55">
        <v>-63.12</v>
      </c>
      <c r="J153" s="55">
        <v>-40</v>
      </c>
      <c r="K153" s="56">
        <v>-18.899999999999999</v>
      </c>
      <c r="L153" s="55">
        <v>-51.99</v>
      </c>
      <c r="M153" s="55">
        <v>-60.56</v>
      </c>
      <c r="N153" s="55">
        <v>-53.39</v>
      </c>
      <c r="O153" s="55">
        <v>-33.799999999999997</v>
      </c>
      <c r="P153" s="55">
        <v>-59.4</v>
      </c>
      <c r="Q153" s="55">
        <v>-41.74</v>
      </c>
      <c r="R153" s="55">
        <v>-41.49</v>
      </c>
      <c r="S153" s="55">
        <v>-48.74</v>
      </c>
      <c r="T153" s="55">
        <v>-48.53</v>
      </c>
      <c r="U153" s="55">
        <v>-4.55</v>
      </c>
      <c r="V153" s="55">
        <v>-31.54</v>
      </c>
      <c r="W153" s="55">
        <v>-15.64</v>
      </c>
      <c r="X153" s="10">
        <v>-5.6800961488216561E-2</v>
      </c>
      <c r="Y153" s="49">
        <v>-0.20603878116343491</v>
      </c>
      <c r="Z153" s="49">
        <v>-6.9429907194194285E-2</v>
      </c>
      <c r="AA153" s="49">
        <v>-0.24820035992801451</v>
      </c>
    </row>
    <row r="154" spans="2:27" x14ac:dyDescent="0.3">
      <c r="B154" s="12" t="s">
        <v>355</v>
      </c>
      <c r="C154" s="3" t="s">
        <v>819</v>
      </c>
      <c r="D154" s="3" t="s">
        <v>850</v>
      </c>
      <c r="E154" s="3" t="s">
        <v>821</v>
      </c>
      <c r="F154" s="5">
        <v>-26</v>
      </c>
      <c r="G154" s="52">
        <v>207</v>
      </c>
      <c r="H154" s="52">
        <v>127</v>
      </c>
      <c r="I154" s="52">
        <v>185</v>
      </c>
      <c r="J154" s="52">
        <v>189</v>
      </c>
      <c r="K154" s="52">
        <v>0</v>
      </c>
      <c r="L154" s="52">
        <v>140</v>
      </c>
      <c r="M154" s="52">
        <v>193</v>
      </c>
      <c r="N154" s="52">
        <v>209</v>
      </c>
      <c r="O154" s="53">
        <v>206</v>
      </c>
      <c r="P154" s="52">
        <v>150</v>
      </c>
      <c r="Q154" s="52">
        <v>189</v>
      </c>
      <c r="R154" s="52">
        <v>205</v>
      </c>
      <c r="S154" s="52">
        <v>209</v>
      </c>
      <c r="T154" s="52">
        <v>156</v>
      </c>
      <c r="U154" s="52">
        <v>207</v>
      </c>
      <c r="V154" s="52">
        <v>215</v>
      </c>
      <c r="W154" s="52">
        <v>4</v>
      </c>
      <c r="X154" s="10">
        <v>7.9681274900398336E-3</v>
      </c>
      <c r="Y154" s="8">
        <v>2.3715415019762931E-2</v>
      </c>
      <c r="Z154" s="8">
        <v>1.287001287001277E-2</v>
      </c>
      <c r="AA154" s="8">
        <v>-0.26048284625158841</v>
      </c>
    </row>
    <row r="155" spans="2:27" x14ac:dyDescent="0.3">
      <c r="B155" s="12" t="s">
        <v>249</v>
      </c>
      <c r="C155" s="3" t="s">
        <v>819</v>
      </c>
      <c r="D155" s="3" t="s">
        <v>825</v>
      </c>
      <c r="E155" s="3" t="s">
        <v>821</v>
      </c>
      <c r="F155" s="5">
        <v>-27.7</v>
      </c>
      <c r="G155" s="52">
        <v>15.72</v>
      </c>
      <c r="H155" s="52">
        <v>17.18</v>
      </c>
      <c r="I155" s="52">
        <v>16.57</v>
      </c>
      <c r="J155" s="52">
        <v>15.14</v>
      </c>
      <c r="K155" s="52">
        <v>15.22</v>
      </c>
      <c r="L155" s="52">
        <v>15.51</v>
      </c>
      <c r="M155" s="52">
        <v>20.88</v>
      </c>
      <c r="N155" s="52">
        <v>4.8899999999999997</v>
      </c>
      <c r="O155" s="52">
        <v>20.53</v>
      </c>
      <c r="P155" s="52">
        <v>20.49</v>
      </c>
      <c r="Q155" s="52">
        <v>-76.2</v>
      </c>
      <c r="R155" s="52">
        <v>30.63</v>
      </c>
      <c r="S155" s="52">
        <v>147.97</v>
      </c>
      <c r="T155" s="53">
        <v>44.42</v>
      </c>
      <c r="U155" s="53">
        <v>51.87</v>
      </c>
      <c r="V155" s="52">
        <v>54.6</v>
      </c>
      <c r="W155" s="52">
        <v>65.099999999999994</v>
      </c>
      <c r="X155" s="7">
        <v>0.19472699161852081</v>
      </c>
      <c r="Y155" s="9">
        <v>0.87229260318757662</v>
      </c>
      <c r="Z155" s="8">
        <v>8.7198515769944418E-2</v>
      </c>
      <c r="AA155" s="8">
        <v>-0.2772870240246269</v>
      </c>
    </row>
    <row r="156" spans="2:27" x14ac:dyDescent="0.3">
      <c r="B156" s="12" t="s">
        <v>691</v>
      </c>
      <c r="C156" s="3" t="s">
        <v>819</v>
      </c>
      <c r="D156" s="3" t="s">
        <v>871</v>
      </c>
      <c r="E156" s="3" t="s">
        <v>821</v>
      </c>
      <c r="F156" s="5">
        <v>-29.1</v>
      </c>
      <c r="G156" s="52">
        <v>-29.27</v>
      </c>
      <c r="H156" s="52">
        <v>-33.229999999999997</v>
      </c>
      <c r="I156" s="52">
        <v>-38.26</v>
      </c>
      <c r="J156" s="52">
        <v>-36.39</v>
      </c>
      <c r="K156" s="52">
        <v>-36.33</v>
      </c>
      <c r="L156" s="52">
        <v>-38.81</v>
      </c>
      <c r="M156" s="52">
        <v>-41.44</v>
      </c>
      <c r="N156" s="52">
        <v>-44.38</v>
      </c>
      <c r="O156" s="52">
        <v>-36.56</v>
      </c>
      <c r="P156" s="52">
        <v>-34.75</v>
      </c>
      <c r="Q156" s="52">
        <v>-23.5</v>
      </c>
      <c r="R156" s="52">
        <v>-20.78</v>
      </c>
      <c r="S156" s="52">
        <v>-42.61</v>
      </c>
      <c r="T156" s="52">
        <v>-27.01</v>
      </c>
      <c r="U156" s="52">
        <v>-20.28</v>
      </c>
      <c r="V156" s="52">
        <v>-11.6</v>
      </c>
      <c r="W156" s="52">
        <v>-13.05</v>
      </c>
      <c r="X156" s="10">
        <v>-6.3630384741861223E-2</v>
      </c>
      <c r="Y156" s="8">
        <v>-2.8270412642669052E-2</v>
      </c>
      <c r="Z156" s="8">
        <v>-8.294181423924829E-2</v>
      </c>
      <c r="AA156" s="8">
        <v>-0.29123152709359612</v>
      </c>
    </row>
    <row r="157" spans="2:27" x14ac:dyDescent="0.3">
      <c r="B157" s="12" t="s">
        <v>329</v>
      </c>
      <c r="C157" s="3" t="s">
        <v>819</v>
      </c>
      <c r="D157" s="3" t="s">
        <v>891</v>
      </c>
      <c r="E157" s="3" t="s">
        <v>821</v>
      </c>
      <c r="F157" s="5">
        <v>-30.5</v>
      </c>
      <c r="G157" s="52">
        <v>38.479999999999997</v>
      </c>
      <c r="H157" s="52">
        <v>9.85</v>
      </c>
      <c r="I157" s="52">
        <v>35.92</v>
      </c>
      <c r="J157" s="52">
        <v>37.56</v>
      </c>
      <c r="K157" s="53">
        <v>73.05</v>
      </c>
      <c r="L157" s="52">
        <v>-24.43</v>
      </c>
      <c r="M157" s="53">
        <v>81.790000000000006</v>
      </c>
      <c r="N157" s="52">
        <v>40.07</v>
      </c>
      <c r="O157" s="52">
        <v>52.49</v>
      </c>
      <c r="P157" s="52">
        <v>-44.4</v>
      </c>
      <c r="Q157" s="52">
        <v>34.229999999999997</v>
      </c>
      <c r="R157" s="52">
        <v>29.15</v>
      </c>
      <c r="S157" s="53">
        <v>127.18</v>
      </c>
      <c r="T157" s="53">
        <v>31.09</v>
      </c>
      <c r="U157" s="52">
        <v>40.68</v>
      </c>
      <c r="V157" s="53">
        <v>54.83</v>
      </c>
      <c r="W157" s="52">
        <v>49.86</v>
      </c>
      <c r="X157" s="7">
        <v>0.51648877941981408</v>
      </c>
      <c r="Y157" s="8">
        <v>2.909993232573882E-2</v>
      </c>
      <c r="Z157" s="9">
        <v>0.11258220078912751</v>
      </c>
      <c r="AA157" s="8">
        <v>-0.30467333911261718</v>
      </c>
    </row>
    <row r="158" spans="2:27" x14ac:dyDescent="0.3">
      <c r="B158" s="12" t="s">
        <v>377</v>
      </c>
      <c r="C158" s="3" t="s">
        <v>819</v>
      </c>
      <c r="D158" s="3" t="s">
        <v>826</v>
      </c>
      <c r="E158" s="3" t="s">
        <v>821</v>
      </c>
      <c r="F158" s="5">
        <v>-39.4</v>
      </c>
      <c r="G158" s="52">
        <v>41</v>
      </c>
      <c r="H158" s="52">
        <v>220</v>
      </c>
      <c r="I158" s="52">
        <v>402</v>
      </c>
      <c r="J158" s="52">
        <v>104</v>
      </c>
      <c r="K158" s="53">
        <v>247</v>
      </c>
      <c r="L158" s="53">
        <v>330</v>
      </c>
      <c r="M158" s="52">
        <v>224</v>
      </c>
      <c r="N158" s="53">
        <v>446</v>
      </c>
      <c r="O158" s="52">
        <v>124</v>
      </c>
      <c r="P158" s="52">
        <v>124</v>
      </c>
      <c r="Q158" s="52">
        <v>27</v>
      </c>
      <c r="R158" s="52">
        <v>-113</v>
      </c>
      <c r="S158" s="52">
        <v>20</v>
      </c>
      <c r="T158" s="52">
        <v>-130</v>
      </c>
      <c r="U158" s="53">
        <v>-104</v>
      </c>
      <c r="V158" s="52">
        <v>516</v>
      </c>
      <c r="W158" s="52">
        <v>-99</v>
      </c>
      <c r="X158" s="10">
        <v>-4.3793103448275863</v>
      </c>
      <c r="Y158" s="9">
        <v>0.66836734693877542</v>
      </c>
      <c r="Z158" s="8">
        <v>-1.9235474006116211</v>
      </c>
      <c r="AA158" s="8">
        <v>-0.39403973509933782</v>
      </c>
    </row>
    <row r="159" spans="2:27" x14ac:dyDescent="0.3">
      <c r="B159" s="12" t="s">
        <v>202</v>
      </c>
      <c r="C159" s="3" t="s">
        <v>819</v>
      </c>
      <c r="D159" s="3" t="s">
        <v>873</v>
      </c>
      <c r="E159" s="3" t="s">
        <v>821</v>
      </c>
      <c r="F159" s="5">
        <v>-42.9</v>
      </c>
      <c r="G159" s="52">
        <v>-2.0299999999999998</v>
      </c>
      <c r="H159" s="52">
        <v>-2.8</v>
      </c>
      <c r="I159" s="52">
        <v>-3.2</v>
      </c>
      <c r="J159" s="52">
        <v>-2.63</v>
      </c>
      <c r="K159" s="52">
        <v>-2.81</v>
      </c>
      <c r="L159" s="52">
        <v>-2.23</v>
      </c>
      <c r="M159" s="52">
        <v>-1.95</v>
      </c>
      <c r="N159" s="52">
        <v>-1.88</v>
      </c>
      <c r="O159" s="52">
        <v>-2.42</v>
      </c>
      <c r="P159" s="52">
        <v>-2.02</v>
      </c>
      <c r="Q159" s="52">
        <v>-1.42</v>
      </c>
      <c r="R159" s="52">
        <v>-1.48</v>
      </c>
      <c r="S159" s="53">
        <v>-5.73</v>
      </c>
      <c r="T159" s="52">
        <v>-1.5</v>
      </c>
      <c r="U159" s="52">
        <v>-0.75</v>
      </c>
      <c r="V159" s="52">
        <v>-1.1100000000000001</v>
      </c>
      <c r="W159" s="52">
        <v>-1.83</v>
      </c>
      <c r="X159" s="10">
        <v>-4.8826291079812179E-2</v>
      </c>
      <c r="Y159" s="8">
        <v>-6.6140177690029556E-2</v>
      </c>
      <c r="Z159" s="8">
        <v>-3.9112050739957827E-2</v>
      </c>
      <c r="AA159" s="8">
        <v>-0.42904290429042902</v>
      </c>
    </row>
    <row r="160" spans="2:27" x14ac:dyDescent="0.3">
      <c r="B160" s="12" t="s">
        <v>751</v>
      </c>
      <c r="C160" s="3" t="s">
        <v>819</v>
      </c>
      <c r="D160" s="3" t="s">
        <v>885</v>
      </c>
      <c r="E160" s="3" t="s">
        <v>821</v>
      </c>
      <c r="F160" s="5">
        <v>-44.6</v>
      </c>
      <c r="G160" s="52">
        <v>27.6</v>
      </c>
      <c r="H160" s="52">
        <v>48.6</v>
      </c>
      <c r="I160" s="52">
        <v>34.5</v>
      </c>
      <c r="J160" s="52">
        <v>47.6</v>
      </c>
      <c r="K160" s="52">
        <v>22.5</v>
      </c>
      <c r="L160" s="52">
        <v>31.7</v>
      </c>
      <c r="M160" s="52">
        <v>37.5</v>
      </c>
      <c r="N160" s="52">
        <v>29.7</v>
      </c>
      <c r="O160" s="52">
        <v>26</v>
      </c>
      <c r="P160" s="52">
        <v>34.5</v>
      </c>
      <c r="Q160" s="52">
        <v>34.700000000000003</v>
      </c>
      <c r="R160" s="53">
        <v>47.2</v>
      </c>
      <c r="S160" s="52">
        <v>35.200000000000003</v>
      </c>
      <c r="T160" s="52">
        <v>30.2</v>
      </c>
      <c r="U160" s="52">
        <v>9.8000000000000007</v>
      </c>
      <c r="V160" s="52">
        <v>20.5</v>
      </c>
      <c r="W160" s="52">
        <v>-7.5</v>
      </c>
      <c r="X160" s="10">
        <v>-2.8364116094986899E-2</v>
      </c>
      <c r="Y160" s="8">
        <v>-0.1690427698574338</v>
      </c>
      <c r="Z160" s="8">
        <v>-0.21813725490196079</v>
      </c>
      <c r="AA160" s="8">
        <v>-0.44618599791013591</v>
      </c>
    </row>
    <row r="161" spans="2:27" x14ac:dyDescent="0.3">
      <c r="B161" s="12" t="s">
        <v>652</v>
      </c>
      <c r="C161" s="3" t="s">
        <v>819</v>
      </c>
      <c r="D161" s="3" t="s">
        <v>870</v>
      </c>
      <c r="E161" s="3" t="s">
        <v>821</v>
      </c>
      <c r="F161" s="5">
        <v>-130</v>
      </c>
      <c r="G161" s="52">
        <v>132</v>
      </c>
      <c r="H161" s="52">
        <v>154</v>
      </c>
      <c r="I161" s="52">
        <v>190</v>
      </c>
      <c r="J161" s="52">
        <v>163</v>
      </c>
      <c r="K161" s="52">
        <v>39</v>
      </c>
      <c r="L161" s="52">
        <v>62</v>
      </c>
      <c r="M161" s="52">
        <v>84</v>
      </c>
      <c r="N161" s="52">
        <v>32</v>
      </c>
      <c r="O161" s="52">
        <v>20</v>
      </c>
      <c r="P161" s="52">
        <v>41</v>
      </c>
      <c r="Q161" s="52">
        <v>76</v>
      </c>
      <c r="R161" s="53">
        <v>54</v>
      </c>
      <c r="S161" s="53">
        <v>56</v>
      </c>
      <c r="T161" s="52">
        <v>25</v>
      </c>
      <c r="U161" s="52">
        <v>7</v>
      </c>
      <c r="V161" s="52">
        <v>-18</v>
      </c>
      <c r="W161" s="52">
        <v>-35</v>
      </c>
      <c r="X161" s="10">
        <v>-7.0484581497797349E-2</v>
      </c>
      <c r="Y161" s="8">
        <v>-0.32701421800947872</v>
      </c>
      <c r="Z161" s="8">
        <v>-0.50704225352112675</v>
      </c>
      <c r="AA161" s="8">
        <v>-1.3</v>
      </c>
    </row>
    <row r="162" spans="2:27" x14ac:dyDescent="0.3">
      <c r="B162" s="51" t="s">
        <v>224</v>
      </c>
      <c r="C162" s="47" t="s">
        <v>819</v>
      </c>
      <c r="D162" s="47" t="s">
        <v>822</v>
      </c>
      <c r="E162" s="47" t="s">
        <v>821</v>
      </c>
      <c r="F162" s="48">
        <v>-157.4</v>
      </c>
      <c r="G162" s="55">
        <v>766</v>
      </c>
      <c r="H162" s="55">
        <v>726</v>
      </c>
      <c r="I162" s="55">
        <v>5347</v>
      </c>
      <c r="J162" s="55">
        <v>1641</v>
      </c>
      <c r="K162" s="55">
        <v>-3403</v>
      </c>
      <c r="L162" s="55">
        <v>-2200</v>
      </c>
      <c r="M162" s="55">
        <v>-1077</v>
      </c>
      <c r="N162" s="55">
        <v>1154</v>
      </c>
      <c r="O162" s="55">
        <v>-707</v>
      </c>
      <c r="P162" s="55">
        <v>-1790</v>
      </c>
      <c r="Q162" s="55">
        <v>-149</v>
      </c>
      <c r="R162" s="56">
        <v>654</v>
      </c>
      <c r="S162" s="56">
        <v>-1322</v>
      </c>
      <c r="T162" s="55">
        <v>2254</v>
      </c>
      <c r="U162" s="55">
        <v>-1951</v>
      </c>
      <c r="V162" s="56">
        <v>-110</v>
      </c>
      <c r="W162" s="55">
        <v>455</v>
      </c>
      <c r="X162" s="10">
        <v>-1.5512082853855</v>
      </c>
      <c r="Y162" s="49">
        <v>-1.254001391788448</v>
      </c>
      <c r="Z162" s="50">
        <v>2.0931506849315071</v>
      </c>
      <c r="AA162" s="49">
        <v>-1.5739592559787421</v>
      </c>
    </row>
    <row r="163" spans="2:27" x14ac:dyDescent="0.3">
      <c r="B163" s="46" t="s">
        <v>309</v>
      </c>
      <c r="C163" s="38" t="s">
        <v>819</v>
      </c>
      <c r="D163" s="38" t="s">
        <v>824</v>
      </c>
      <c r="E163" s="38" t="s">
        <v>821</v>
      </c>
      <c r="F163" s="39">
        <v>-7450.6</v>
      </c>
      <c r="G163" s="57">
        <v>138.68</v>
      </c>
      <c r="H163" s="57">
        <v>115.87</v>
      </c>
      <c r="I163" s="57">
        <v>70.099999999999994</v>
      </c>
      <c r="J163" s="57">
        <v>-34.130000000000003</v>
      </c>
      <c r="K163" s="57">
        <v>37.69</v>
      </c>
      <c r="L163" s="57">
        <v>36.99</v>
      </c>
      <c r="M163" s="57">
        <v>53.31</v>
      </c>
      <c r="N163" s="58">
        <v>87.33</v>
      </c>
      <c r="O163" s="58">
        <v>120.89</v>
      </c>
      <c r="P163" s="57">
        <v>-246.88</v>
      </c>
      <c r="Q163" s="57">
        <v>7.48</v>
      </c>
      <c r="R163" s="58">
        <v>11.47</v>
      </c>
      <c r="S163" s="58">
        <v>-252.56</v>
      </c>
      <c r="T163" s="57">
        <v>77.239999999999995</v>
      </c>
      <c r="U163" s="57">
        <v>74.16</v>
      </c>
      <c r="V163" s="57">
        <v>95.74</v>
      </c>
      <c r="W163" s="57">
        <v>151.26</v>
      </c>
      <c r="X163" s="42">
        <v>-0.67456138525255471</v>
      </c>
      <c r="Y163" s="43">
        <v>-0.42642450597940768</v>
      </c>
      <c r="Z163" s="43">
        <v>-0.93956962872115046</v>
      </c>
      <c r="AA163" s="43">
        <v>-74.505535055350336</v>
      </c>
    </row>
    <row r="164" spans="2:27" x14ac:dyDescent="0.3">
      <c r="B164" s="12">
        <v>5108</v>
      </c>
      <c r="C164" s="3" t="s">
        <v>899</v>
      </c>
      <c r="D164" s="3" t="str">
        <f>VLOOKUP(B164,기업리스트!B:G,2,FALSE)</f>
        <v>Bridgestone Corporation</v>
      </c>
      <c r="E164" s="3" t="s">
        <v>821</v>
      </c>
      <c r="F164" s="37">
        <v>23.3</v>
      </c>
      <c r="G164" s="52">
        <v>129081</v>
      </c>
      <c r="H164" s="52">
        <v>87633</v>
      </c>
      <c r="I164" s="52">
        <v>86358</v>
      </c>
      <c r="J164" s="52">
        <v>133238</v>
      </c>
      <c r="K164" s="52">
        <v>147327</v>
      </c>
      <c r="L164" s="52">
        <v>127501</v>
      </c>
      <c r="M164" s="52">
        <v>123119</v>
      </c>
      <c r="N164" s="52">
        <v>125175</v>
      </c>
      <c r="O164" s="52">
        <v>111635</v>
      </c>
      <c r="P164" s="52">
        <v>117755</v>
      </c>
      <c r="Q164" s="52">
        <v>162664</v>
      </c>
      <c r="R164" s="52">
        <v>96705</v>
      </c>
      <c r="S164" s="52">
        <v>99284</v>
      </c>
      <c r="T164" s="52">
        <v>88766</v>
      </c>
      <c r="U164" s="52">
        <v>75718</v>
      </c>
      <c r="V164" s="52">
        <v>129011</v>
      </c>
      <c r="W164" s="53">
        <v>190854</v>
      </c>
      <c r="X164" s="10">
        <v>-6.0849104129233722E-2</v>
      </c>
      <c r="Y164" s="8">
        <v>-0.19432791186784651</v>
      </c>
      <c r="Z164" s="8">
        <v>8.9621136673204482E-2</v>
      </c>
      <c r="AA164" s="9">
        <v>0.23313364512868559</v>
      </c>
    </row>
    <row r="165" spans="2:27" x14ac:dyDescent="0.3">
      <c r="B165" s="12">
        <v>3296</v>
      </c>
      <c r="C165" s="3" t="s">
        <v>899</v>
      </c>
      <c r="D165" s="3" t="str">
        <f>VLOOKUP(B165,기업리스트!B:G,2,FALSE)</f>
        <v>NIPPON REIT Investment Corporation</v>
      </c>
      <c r="E165" s="3" t="s">
        <v>905</v>
      </c>
      <c r="F165" s="37">
        <f>AA165*100</f>
        <v>10.197310983062691</v>
      </c>
      <c r="G165" s="52">
        <v>5506</v>
      </c>
      <c r="H165" s="54"/>
      <c r="I165" s="52">
        <v>6050</v>
      </c>
      <c r="J165" s="54"/>
      <c r="K165" s="52">
        <v>4600</v>
      </c>
      <c r="L165" s="54"/>
      <c r="M165" s="52">
        <v>4444</v>
      </c>
      <c r="N165" s="54"/>
      <c r="O165" s="52">
        <v>4686</v>
      </c>
      <c r="P165" s="54"/>
      <c r="Q165" s="52">
        <v>4706</v>
      </c>
      <c r="R165" s="54"/>
      <c r="S165" s="52">
        <v>5668</v>
      </c>
      <c r="T165" s="54"/>
      <c r="U165" s="52">
        <v>5786</v>
      </c>
      <c r="V165" s="54"/>
      <c r="W165" s="53">
        <v>6836</v>
      </c>
      <c r="X165" s="10">
        <v>2.8696604600219056E-2</v>
      </c>
      <c r="Y165" s="8">
        <v>0.10455706984667801</v>
      </c>
      <c r="Z165" s="8">
        <v>0.10410641989589364</v>
      </c>
      <c r="AA165" s="9">
        <f>SUM(W165,U165)/SUM(U165,S165)-1</f>
        <v>0.10197310983062691</v>
      </c>
    </row>
    <row r="166" spans="2:27" x14ac:dyDescent="0.3">
      <c r="B166" s="12">
        <v>8086</v>
      </c>
      <c r="C166" s="3" t="s">
        <v>899</v>
      </c>
      <c r="D166" s="3" t="str">
        <f>VLOOKUP(B166,기업리스트!B:G,2,FALSE)</f>
        <v>Advanced Wireless Semiconductor Company</v>
      </c>
      <c r="E166" s="3" t="s">
        <v>844</v>
      </c>
      <c r="F166" s="5">
        <v>9.4</v>
      </c>
      <c r="G166" s="52">
        <v>6871</v>
      </c>
      <c r="H166" s="52">
        <v>4149</v>
      </c>
      <c r="I166" s="52">
        <v>2955</v>
      </c>
      <c r="J166" s="52">
        <v>3417</v>
      </c>
      <c r="K166" s="52">
        <v>6808</v>
      </c>
      <c r="L166" s="52">
        <v>4550</v>
      </c>
      <c r="M166" s="53">
        <v>7338</v>
      </c>
      <c r="N166" s="53">
        <v>6150</v>
      </c>
      <c r="O166" s="52">
        <v>8875</v>
      </c>
      <c r="P166" s="52">
        <v>-28</v>
      </c>
      <c r="Q166" s="52">
        <v>5808</v>
      </c>
      <c r="R166" s="52">
        <v>7651</v>
      </c>
      <c r="S166" s="52">
        <v>8746</v>
      </c>
      <c r="T166" s="53">
        <v>4394</v>
      </c>
      <c r="U166" s="52">
        <v>8041</v>
      </c>
      <c r="V166" s="52">
        <v>7297</v>
      </c>
      <c r="W166" s="52">
        <v>11429</v>
      </c>
      <c r="X166" s="7">
        <v>0.19939577039274911</v>
      </c>
      <c r="Y166" s="8">
        <v>8.395052445580653E-2</v>
      </c>
      <c r="Z166" s="8">
        <v>-1.2278024417314071E-2</v>
      </c>
      <c r="AA166" s="8">
        <v>9.4213076761008541E-2</v>
      </c>
    </row>
    <row r="167" spans="2:27" x14ac:dyDescent="0.3">
      <c r="B167" s="12">
        <v>4704</v>
      </c>
      <c r="C167" s="3" t="s">
        <v>899</v>
      </c>
      <c r="D167" s="3" t="str">
        <f>VLOOKUP(B167,기업리스트!B:G,2,FALSE)</f>
        <v>Trend Micro Incorporated</v>
      </c>
      <c r="E167" s="3" t="s">
        <v>821</v>
      </c>
      <c r="F167" s="5">
        <v>8.3000000000000007</v>
      </c>
      <c r="G167" s="52">
        <v>9019</v>
      </c>
      <c r="H167" s="52">
        <v>11115</v>
      </c>
      <c r="I167" s="52">
        <v>7543</v>
      </c>
      <c r="J167" s="52">
        <v>7212</v>
      </c>
      <c r="K167" s="52">
        <v>5471</v>
      </c>
      <c r="L167" s="52">
        <v>9550</v>
      </c>
      <c r="M167" s="52">
        <v>8639</v>
      </c>
      <c r="N167" s="53">
        <v>11425</v>
      </c>
      <c r="O167" s="52">
        <v>2989</v>
      </c>
      <c r="P167" s="52">
        <v>12128</v>
      </c>
      <c r="Q167" s="53">
        <v>12309</v>
      </c>
      <c r="R167" s="52">
        <v>14801</v>
      </c>
      <c r="S167" s="53">
        <v>8869</v>
      </c>
      <c r="T167" s="52">
        <v>15007</v>
      </c>
      <c r="U167" s="52">
        <v>13467</v>
      </c>
      <c r="V167" s="52">
        <v>16000</v>
      </c>
      <c r="W167" s="52">
        <v>13303</v>
      </c>
      <c r="X167" s="10">
        <v>5.9845760492236E-2</v>
      </c>
      <c r="Y167" s="8">
        <v>2.27121170517397E-2</v>
      </c>
      <c r="Z167" s="8">
        <v>2.299401656949995E-2</v>
      </c>
      <c r="AA167" s="8">
        <v>8.31224340588268E-2</v>
      </c>
    </row>
    <row r="168" spans="2:27" x14ac:dyDescent="0.3">
      <c r="B168" s="12">
        <v>3020</v>
      </c>
      <c r="C168" s="3" t="s">
        <v>899</v>
      </c>
      <c r="D168" s="3" t="str">
        <f>VLOOKUP(B168,기업리스트!B:G,2,FALSE)</f>
        <v>YAMAMA Cement Company</v>
      </c>
      <c r="E168" s="3" t="s">
        <v>844</v>
      </c>
      <c r="F168" s="5">
        <v>7.6</v>
      </c>
      <c r="G168" s="52">
        <v>600</v>
      </c>
      <c r="H168" s="52">
        <v>737</v>
      </c>
      <c r="I168" s="52">
        <v>211</v>
      </c>
      <c r="J168" s="52">
        <v>296</v>
      </c>
      <c r="K168" s="52">
        <v>506</v>
      </c>
      <c r="L168" s="52">
        <v>725</v>
      </c>
      <c r="M168" s="52">
        <v>365</v>
      </c>
      <c r="N168" s="52">
        <v>405</v>
      </c>
      <c r="O168" s="52">
        <v>588</v>
      </c>
      <c r="P168" s="52">
        <v>767</v>
      </c>
      <c r="Q168" s="52">
        <v>475</v>
      </c>
      <c r="R168" s="52">
        <v>508</v>
      </c>
      <c r="S168" s="52">
        <v>668</v>
      </c>
      <c r="T168" s="53">
        <v>1017</v>
      </c>
      <c r="U168" s="52">
        <v>568</v>
      </c>
      <c r="V168" s="53">
        <v>945</v>
      </c>
      <c r="W168" s="52">
        <v>911</v>
      </c>
      <c r="X168" s="7">
        <v>0.10339123242349051</v>
      </c>
      <c r="Y168" s="8">
        <v>3.4857571214392813E-2</v>
      </c>
      <c r="Z168" s="9">
        <v>0.15827598696124601</v>
      </c>
      <c r="AA168" s="8">
        <v>7.5984990619136994E-2</v>
      </c>
    </row>
    <row r="169" spans="2:27" x14ac:dyDescent="0.3">
      <c r="B169" s="12">
        <v>8179</v>
      </c>
      <c r="C169" s="3" t="s">
        <v>899</v>
      </c>
      <c r="D169" s="3" t="str">
        <f>VLOOKUP(B169,기업리스트!B:G,2,FALSE)</f>
        <v>ROYAL HOLDINGS Co., Ltd.</v>
      </c>
      <c r="E169" s="3" t="s">
        <v>821</v>
      </c>
      <c r="F169" s="5">
        <v>6.6</v>
      </c>
      <c r="G169" s="52">
        <v>-207</v>
      </c>
      <c r="H169" s="52">
        <v>-1034</v>
      </c>
      <c r="I169" s="52">
        <v>296</v>
      </c>
      <c r="J169" s="52">
        <v>1154</v>
      </c>
      <c r="K169" s="53">
        <v>1777</v>
      </c>
      <c r="L169" s="53">
        <v>1618</v>
      </c>
      <c r="M169" s="53">
        <v>903</v>
      </c>
      <c r="N169" s="53">
        <v>2498</v>
      </c>
      <c r="O169" s="52">
        <v>1055</v>
      </c>
      <c r="P169" s="52">
        <v>1766</v>
      </c>
      <c r="Q169" s="53">
        <v>1678</v>
      </c>
      <c r="R169" s="52">
        <v>2180</v>
      </c>
      <c r="S169" s="53">
        <v>1743</v>
      </c>
      <c r="T169" s="52">
        <v>1596</v>
      </c>
      <c r="U169" s="52">
        <v>1599</v>
      </c>
      <c r="V169" s="52">
        <v>2271</v>
      </c>
      <c r="W169" s="52">
        <v>2221</v>
      </c>
      <c r="X169" s="10">
        <v>-2.307587891950591E-2</v>
      </c>
      <c r="Y169" s="8">
        <v>-1.097679588717526E-2</v>
      </c>
      <c r="Z169" s="8">
        <v>1.2784490025288029E-2</v>
      </c>
      <c r="AA169" s="8">
        <v>6.6306006380912663E-2</v>
      </c>
    </row>
    <row r="170" spans="2:27" x14ac:dyDescent="0.3">
      <c r="B170" s="12">
        <v>3076</v>
      </c>
      <c r="C170" s="3" t="s">
        <v>899</v>
      </c>
      <c r="D170" s="3" t="str">
        <f>VLOOKUP(B170,기업리스트!B:G,2,FALSE)</f>
        <v>Ai Holdings Corporation</v>
      </c>
      <c r="E170" s="3" t="s">
        <v>848</v>
      </c>
      <c r="F170" s="5">
        <v>5.5</v>
      </c>
      <c r="G170" s="52">
        <v>2487</v>
      </c>
      <c r="H170" s="52">
        <v>2516</v>
      </c>
      <c r="I170" s="52">
        <v>2322</v>
      </c>
      <c r="J170" s="52">
        <v>2359</v>
      </c>
      <c r="K170" s="52">
        <v>2671</v>
      </c>
      <c r="L170" s="52">
        <v>2671</v>
      </c>
      <c r="M170" s="52">
        <v>1899</v>
      </c>
      <c r="N170" s="52">
        <v>2354</v>
      </c>
      <c r="O170" s="52">
        <v>2765</v>
      </c>
      <c r="P170" s="52">
        <v>2661</v>
      </c>
      <c r="Q170" s="52">
        <v>2030</v>
      </c>
      <c r="R170" s="52">
        <v>1779</v>
      </c>
      <c r="S170" s="52">
        <v>2105</v>
      </c>
      <c r="T170" s="52">
        <v>3510</v>
      </c>
      <c r="U170" s="52">
        <v>1496</v>
      </c>
      <c r="V170" s="52">
        <v>2040</v>
      </c>
      <c r="W170" s="52">
        <v>2606</v>
      </c>
      <c r="X170" s="10">
        <v>9.900874635568524E-2</v>
      </c>
      <c r="Y170" s="8">
        <v>-5.6663837011884599E-2</v>
      </c>
      <c r="Z170" s="8">
        <v>2.9358830146231751E-2</v>
      </c>
      <c r="AA170" s="8">
        <v>5.474811496011367E-2</v>
      </c>
    </row>
    <row r="171" spans="2:27" x14ac:dyDescent="0.3">
      <c r="B171" s="12">
        <v>8955</v>
      </c>
      <c r="C171" s="3" t="s">
        <v>899</v>
      </c>
      <c r="D171" s="3" t="str">
        <f>VLOOKUP(B171,기업리스트!B:G,2,FALSE)</f>
        <v>Japan Prime Realty Investment Corporation</v>
      </c>
      <c r="E171" s="3" t="s">
        <v>905</v>
      </c>
      <c r="F171" s="5">
        <f>AA171*100</f>
        <v>3.9725308789164915</v>
      </c>
      <c r="G171" s="52">
        <v>9483</v>
      </c>
      <c r="H171" s="54"/>
      <c r="I171" s="52">
        <v>9343</v>
      </c>
      <c r="J171" s="54"/>
      <c r="K171" s="52">
        <v>9484</v>
      </c>
      <c r="L171" s="54"/>
      <c r="M171" s="52">
        <v>8860</v>
      </c>
      <c r="N171" s="54"/>
      <c r="O171" s="52">
        <v>8152</v>
      </c>
      <c r="P171" s="54"/>
      <c r="Q171" s="52">
        <v>8355</v>
      </c>
      <c r="R171" s="54"/>
      <c r="S171" s="52">
        <v>9715</v>
      </c>
      <c r="T171" s="54"/>
      <c r="U171" s="52">
        <v>11254</v>
      </c>
      <c r="V171" s="54"/>
      <c r="W171" s="52">
        <v>10548</v>
      </c>
      <c r="X171" s="10">
        <v>-2.9684928285915846E-2</v>
      </c>
      <c r="Y171" s="8">
        <v>9.4687102441388449E-2</v>
      </c>
      <c r="Z171" s="35">
        <v>0.16043165467625897</v>
      </c>
      <c r="AA171" s="34">
        <f>SUM(W171,U171)/SUM(U171,S171)-1</f>
        <v>3.9725308789164915E-2</v>
      </c>
    </row>
    <row r="172" spans="2:27" hidden="1" x14ac:dyDescent="0.3">
      <c r="B172" s="3" t="s">
        <v>422</v>
      </c>
      <c r="C172" s="3" t="s">
        <v>819</v>
      </c>
      <c r="D172" s="3" t="str">
        <f>VLOOKUP(B172,기업리스트!B:G,2,FALSE)</f>
        <v>Dana Incorporated</v>
      </c>
      <c r="E172" s="3" t="s">
        <v>903</v>
      </c>
      <c r="F172" s="5">
        <v>118.2</v>
      </c>
      <c r="G172" s="4">
        <v>97</v>
      </c>
      <c r="H172" s="4">
        <v>-29</v>
      </c>
      <c r="I172" s="4">
        <v>63</v>
      </c>
      <c r="J172" s="4">
        <v>47</v>
      </c>
      <c r="K172" s="4">
        <v>86</v>
      </c>
      <c r="L172" s="6">
        <v>51</v>
      </c>
      <c r="M172" s="4">
        <v>83</v>
      </c>
      <c r="N172" s="6">
        <v>120</v>
      </c>
      <c r="O172" s="4">
        <v>103</v>
      </c>
      <c r="P172" s="4">
        <v>19</v>
      </c>
      <c r="Q172" s="4">
        <v>-7</v>
      </c>
      <c r="R172" s="4">
        <v>3</v>
      </c>
      <c r="S172" s="4">
        <v>9</v>
      </c>
      <c r="T172" s="4">
        <v>2</v>
      </c>
      <c r="U172" s="6">
        <v>9</v>
      </c>
      <c r="V172" s="6">
        <v>35</v>
      </c>
      <c r="W172" s="6">
        <v>74</v>
      </c>
      <c r="X172" s="10">
        <v>-0.70833333333333326</v>
      </c>
      <c r="Y172" s="9">
        <v>2.285714285714286</v>
      </c>
      <c r="Z172" s="9">
        <v>1.3913043478260869</v>
      </c>
      <c r="AA172" s="9">
        <v>1.1818181818181821</v>
      </c>
    </row>
    <row r="173" spans="2:27" hidden="1" x14ac:dyDescent="0.3">
      <c r="B173" s="3" t="s">
        <v>238</v>
      </c>
      <c r="C173" s="3" t="s">
        <v>819</v>
      </c>
      <c r="D173" s="3" t="str">
        <f>VLOOKUP(B173,기업리스트!B:G,2,FALSE)</f>
        <v>New Gold Inc.</v>
      </c>
      <c r="E173" s="3" t="s">
        <v>903</v>
      </c>
      <c r="F173" s="5">
        <v>59.8</v>
      </c>
      <c r="G173" s="4">
        <v>34.700000000000003</v>
      </c>
      <c r="H173" s="4">
        <v>39.9</v>
      </c>
      <c r="I173" s="4">
        <v>17.3</v>
      </c>
      <c r="J173" s="4">
        <v>-14.2</v>
      </c>
      <c r="K173" s="4">
        <v>-12.2</v>
      </c>
      <c r="L173" s="4">
        <v>-9</v>
      </c>
      <c r="M173" s="4">
        <v>19.8</v>
      </c>
      <c r="N173" s="4">
        <v>12.9</v>
      </c>
      <c r="O173" s="6">
        <v>25.3</v>
      </c>
      <c r="P173" s="6">
        <v>-0.8</v>
      </c>
      <c r="Q173" s="4">
        <v>15.1</v>
      </c>
      <c r="R173" s="6">
        <v>22.7</v>
      </c>
      <c r="S173" s="6">
        <v>64.8</v>
      </c>
      <c r="T173" s="6">
        <v>76.099999999999994</v>
      </c>
      <c r="U173" s="6">
        <v>33</v>
      </c>
      <c r="V173" s="6">
        <v>105.8</v>
      </c>
      <c r="W173" s="6">
        <v>232</v>
      </c>
      <c r="X173" s="7">
        <v>0.75540275049115913</v>
      </c>
      <c r="Y173" s="9">
        <v>0.1001678791270286</v>
      </c>
      <c r="Z173" s="9">
        <v>0.42268565615462861</v>
      </c>
      <c r="AA173" s="9">
        <v>0.59778333929209859</v>
      </c>
    </row>
    <row r="174" spans="2:27" hidden="1" x14ac:dyDescent="0.3">
      <c r="B174" s="3" t="s">
        <v>216</v>
      </c>
      <c r="C174" s="3" t="s">
        <v>819</v>
      </c>
      <c r="D174" s="3" t="str">
        <f>VLOOKUP(B174,기업리스트!B:G,2,FALSE)</f>
        <v>APA Group</v>
      </c>
      <c r="E174" s="3" t="s">
        <v>903</v>
      </c>
      <c r="F174" s="5">
        <v>38.200000000000003</v>
      </c>
      <c r="G174" s="4">
        <v>774</v>
      </c>
      <c r="H174" s="4">
        <v>855</v>
      </c>
      <c r="I174" s="4">
        <v>2497</v>
      </c>
      <c r="J174" s="4">
        <v>400</v>
      </c>
      <c r="K174" s="6">
        <v>1227</v>
      </c>
      <c r="L174" s="4">
        <v>1036</v>
      </c>
      <c r="M174" s="4">
        <v>885</v>
      </c>
      <c r="N174" s="6">
        <v>825</v>
      </c>
      <c r="O174" s="4">
        <v>918</v>
      </c>
      <c r="P174" s="4">
        <v>838</v>
      </c>
      <c r="Q174" s="4">
        <v>594</v>
      </c>
      <c r="R174" s="4">
        <v>891</v>
      </c>
      <c r="S174" s="4">
        <v>-233</v>
      </c>
      <c r="T174" s="4">
        <v>803</v>
      </c>
      <c r="U174" s="4">
        <v>739</v>
      </c>
      <c r="V174" s="4">
        <v>809</v>
      </c>
      <c r="W174" s="6">
        <v>577</v>
      </c>
      <c r="X174" s="10">
        <v>-1.674641148325362E-2</v>
      </c>
      <c r="Y174" s="8">
        <v>7.0559610705596132E-2</v>
      </c>
      <c r="Z174" s="8">
        <v>-3.7272727272727242E-2</v>
      </c>
      <c r="AA174" s="9">
        <v>0.38243626062322938</v>
      </c>
    </row>
    <row r="175" spans="2:27" x14ac:dyDescent="0.3">
      <c r="B175" s="12">
        <v>2801</v>
      </c>
      <c r="C175" s="3" t="s">
        <v>899</v>
      </c>
      <c r="D175" s="3" t="str">
        <f>VLOOKUP(B175,기업리스트!B:G,2,FALSE)</f>
        <v>Chang Hwa Commercial Bank, Ltd.</v>
      </c>
      <c r="E175" s="3" t="s">
        <v>844</v>
      </c>
      <c r="F175" s="5">
        <v>0.2</v>
      </c>
      <c r="G175" s="52">
        <v>16099</v>
      </c>
      <c r="H175" s="52">
        <v>6707</v>
      </c>
      <c r="I175" s="52">
        <v>15704</v>
      </c>
      <c r="J175" s="52">
        <v>14643</v>
      </c>
      <c r="K175" s="52">
        <v>15980</v>
      </c>
      <c r="L175" s="52">
        <v>11567</v>
      </c>
      <c r="M175" s="52">
        <v>13460</v>
      </c>
      <c r="N175" s="52">
        <v>20025</v>
      </c>
      <c r="O175" s="52">
        <v>19862</v>
      </c>
      <c r="P175" s="52">
        <v>16355</v>
      </c>
      <c r="Q175" s="53">
        <v>21475</v>
      </c>
      <c r="R175" s="52">
        <v>20521</v>
      </c>
      <c r="S175" s="52">
        <v>20959</v>
      </c>
      <c r="T175" s="52">
        <v>13778</v>
      </c>
      <c r="U175" s="52">
        <v>19209</v>
      </c>
      <c r="V175" s="52">
        <v>20424</v>
      </c>
      <c r="W175" s="52">
        <v>21130</v>
      </c>
      <c r="X175" s="10">
        <v>-3.2492749968478167E-2</v>
      </c>
      <c r="Y175" s="8">
        <v>-2.9530971029413711E-2</v>
      </c>
      <c r="Z175" s="8">
        <v>-1.302590409174575E-3</v>
      </c>
      <c r="AA175" s="8">
        <v>2.2993142396128259E-3</v>
      </c>
    </row>
    <row r="176" spans="2:27" hidden="1" x14ac:dyDescent="0.3">
      <c r="B176" s="3" t="s">
        <v>434</v>
      </c>
      <c r="C176" s="3" t="s">
        <v>819</v>
      </c>
      <c r="D176" s="3" t="str">
        <f>VLOOKUP(B176,기업리스트!B:G,2,FALSE)</f>
        <v>Amicus Therapeutics, Inc.</v>
      </c>
      <c r="E176" s="3" t="s">
        <v>903</v>
      </c>
      <c r="F176" s="5">
        <v>37.799999999999997</v>
      </c>
      <c r="G176" s="4">
        <v>-15.03</v>
      </c>
      <c r="I176" s="4">
        <v>-3.69</v>
      </c>
      <c r="K176" s="4">
        <v>-21.68</v>
      </c>
      <c r="M176" s="4">
        <v>14.97</v>
      </c>
      <c r="O176" s="4">
        <v>24.8</v>
      </c>
      <c r="Q176" s="6">
        <v>15.97</v>
      </c>
      <c r="S176" s="6">
        <v>-7.95</v>
      </c>
      <c r="U176" s="4">
        <v>-7.77</v>
      </c>
      <c r="W176" s="6">
        <v>34.270000000000003</v>
      </c>
      <c r="X176" s="7">
        <v>1.365277777777778</v>
      </c>
      <c r="Y176" s="9">
        <v>0.40311215502055192</v>
      </c>
      <c r="Z176" s="8">
        <v>-0.47583176396735721</v>
      </c>
      <c r="AA176" s="9">
        <v>0.3780439121756487</v>
      </c>
    </row>
    <row r="177" spans="2:27" hidden="1" x14ac:dyDescent="0.3">
      <c r="B177" s="3" t="s">
        <v>204</v>
      </c>
      <c r="C177" s="3" t="s">
        <v>819</v>
      </c>
      <c r="D177" s="3" t="str">
        <f>VLOOKUP(B177,기업리스트!B:G,2,FALSE)</f>
        <v>Equinox Gold Corp.</v>
      </c>
      <c r="E177" s="3" t="s">
        <v>903</v>
      </c>
      <c r="F177" s="5">
        <v>35.6</v>
      </c>
      <c r="G177" s="6">
        <v>8.6199999999999992</v>
      </c>
      <c r="I177" s="6">
        <v>25.3</v>
      </c>
      <c r="K177" s="4">
        <v>-5.25</v>
      </c>
      <c r="M177" s="4">
        <v>5.9</v>
      </c>
      <c r="O177" s="6">
        <v>84.18</v>
      </c>
      <c r="Q177" s="6">
        <v>147.71</v>
      </c>
      <c r="S177" s="4">
        <v>4.26</v>
      </c>
      <c r="U177" s="6">
        <v>103.8</v>
      </c>
      <c r="W177" s="6">
        <v>205.17</v>
      </c>
      <c r="X177" s="7">
        <v>1.111504585489876</v>
      </c>
      <c r="Y177" s="8">
        <v>4.0896189902812408E-2</v>
      </c>
      <c r="Z177" s="9">
        <v>0.4044618880396611</v>
      </c>
      <c r="AA177" s="9">
        <v>0.35590528018826301</v>
      </c>
    </row>
    <row r="178" spans="2:27" hidden="1" x14ac:dyDescent="0.3">
      <c r="B178" s="3" t="s">
        <v>407</v>
      </c>
      <c r="C178" s="3" t="s">
        <v>819</v>
      </c>
      <c r="D178" s="3" t="str">
        <f>VLOOKUP(B178,기업리스트!B:G,2,FALSE)</f>
        <v>Taseko Mines Limited</v>
      </c>
      <c r="E178" s="3" t="s">
        <v>903</v>
      </c>
      <c r="F178" s="5">
        <v>25.8</v>
      </c>
      <c r="G178" s="4">
        <v>93.84</v>
      </c>
      <c r="I178" s="4">
        <v>62.88</v>
      </c>
      <c r="K178" s="4">
        <v>161.41999999999999</v>
      </c>
      <c r="M178" s="4">
        <v>114.86</v>
      </c>
      <c r="O178" s="4">
        <v>76.13</v>
      </c>
      <c r="Q178" s="4">
        <v>-298.83999999999997</v>
      </c>
      <c r="S178" s="6">
        <v>237.36</v>
      </c>
      <c r="U178" s="6">
        <v>368.31</v>
      </c>
      <c r="W178" s="6">
        <v>175.06</v>
      </c>
      <c r="X178" s="10">
        <v>-0.87100580317368581</v>
      </c>
      <c r="Y178" s="9">
        <v>1.4175844689191719</v>
      </c>
      <c r="Z178" s="9">
        <v>1.9569917380897219</v>
      </c>
      <c r="AA178" s="9">
        <v>0.25832985168163769</v>
      </c>
    </row>
    <row r="179" spans="2:27" hidden="1" x14ac:dyDescent="0.3">
      <c r="B179" s="3" t="s">
        <v>644</v>
      </c>
      <c r="C179" s="3" t="s">
        <v>819</v>
      </c>
      <c r="D179" s="3" t="str">
        <f>VLOOKUP(B179,기업리스트!B:G,2,FALSE)</f>
        <v>Great Lakes Dredge &amp; Dock Corporation</v>
      </c>
      <c r="E179" s="3" t="s">
        <v>903</v>
      </c>
      <c r="F179" s="5">
        <v>10.3</v>
      </c>
      <c r="G179" s="4">
        <v>-5.12</v>
      </c>
      <c r="I179" s="4">
        <v>22.93</v>
      </c>
      <c r="K179" s="6">
        <v>31.48</v>
      </c>
      <c r="M179" s="6">
        <v>14.59</v>
      </c>
      <c r="O179" s="6">
        <v>16.690000000000001</v>
      </c>
      <c r="Q179" s="4">
        <v>27.15</v>
      </c>
      <c r="S179" s="6">
        <v>49.95</v>
      </c>
      <c r="U179" s="4">
        <v>17.09</v>
      </c>
      <c r="W179" s="6">
        <v>28.14</v>
      </c>
      <c r="X179" s="10">
        <v>4.9247286731240569E-2</v>
      </c>
      <c r="Y179" s="9">
        <v>0.20542764987209439</v>
      </c>
      <c r="Z179" s="8">
        <v>2.3066986528879951E-2</v>
      </c>
      <c r="AA179" s="9">
        <v>0.1032647907647908</v>
      </c>
    </row>
    <row r="180" spans="2:27" hidden="1" x14ac:dyDescent="0.3">
      <c r="B180" s="3" t="s">
        <v>430</v>
      </c>
      <c r="C180" s="3" t="s">
        <v>819</v>
      </c>
      <c r="D180" s="3" t="str">
        <f>VLOOKUP(B180,기업리스트!B:G,2,FALSE)</f>
        <v>Zip Co Limited</v>
      </c>
      <c r="E180" s="3" t="s">
        <v>903</v>
      </c>
      <c r="F180" s="5">
        <v>7.1</v>
      </c>
      <c r="G180" s="6">
        <v>40.57</v>
      </c>
      <c r="I180" s="4">
        <v>20.49</v>
      </c>
      <c r="K180" s="4">
        <v>-0.91</v>
      </c>
      <c r="M180" s="4">
        <v>9.42</v>
      </c>
      <c r="O180" s="4">
        <v>-2.94</v>
      </c>
      <c r="Q180" s="4">
        <v>-4.0199999999999996</v>
      </c>
      <c r="S180" s="4">
        <v>-11.67</v>
      </c>
      <c r="U180" s="6">
        <v>-6.66</v>
      </c>
      <c r="W180" s="4">
        <v>-4.7300000000000004</v>
      </c>
      <c r="X180" s="10">
        <v>-0.9405218726016884</v>
      </c>
      <c r="Y180" s="8">
        <v>-6.9419354838709664</v>
      </c>
      <c r="Z180" s="9">
        <v>1.7459283387622151</v>
      </c>
      <c r="AA180" s="8">
        <v>7.0778964017398138E-2</v>
      </c>
    </row>
    <row r="181" spans="2:27" hidden="1" x14ac:dyDescent="0.3">
      <c r="B181" s="3" t="s">
        <v>179</v>
      </c>
      <c r="C181" s="3" t="s">
        <v>819</v>
      </c>
      <c r="D181" s="3" t="str">
        <f>VLOOKUP(B181,기업리스트!B:G,2,FALSE)</f>
        <v>Penumbra, Inc.</v>
      </c>
      <c r="E181" s="3" t="s">
        <v>903</v>
      </c>
      <c r="F181" s="5">
        <v>7</v>
      </c>
      <c r="G181" s="6">
        <v>30.84</v>
      </c>
      <c r="I181" s="6">
        <v>35.03</v>
      </c>
      <c r="K181" s="4">
        <v>16.7</v>
      </c>
      <c r="M181" s="6">
        <v>29.38</v>
      </c>
      <c r="O181" s="4">
        <v>35.36</v>
      </c>
      <c r="Q181" s="6">
        <v>76.14</v>
      </c>
      <c r="S181" s="6">
        <v>40.35</v>
      </c>
      <c r="U181" s="4">
        <v>40.83</v>
      </c>
      <c r="W181" s="4">
        <v>48.84</v>
      </c>
      <c r="X181" s="7">
        <v>0.35296642912337939</v>
      </c>
      <c r="Y181" s="9">
        <v>0.15008249777890589</v>
      </c>
      <c r="Z181" s="8">
        <v>6.3179385311482816E-2</v>
      </c>
      <c r="AA181" s="8">
        <v>6.9960556362881343E-2</v>
      </c>
    </row>
    <row r="182" spans="2:27" hidden="1" x14ac:dyDescent="0.3">
      <c r="B182" s="3" t="s">
        <v>45</v>
      </c>
      <c r="C182" s="3" t="s">
        <v>819</v>
      </c>
      <c r="D182" s="3" t="str">
        <f>VLOOKUP(B182,기업리스트!B:G,2,FALSE)</f>
        <v>Orange S.A.</v>
      </c>
      <c r="E182" s="3" t="s">
        <v>903</v>
      </c>
      <c r="F182" s="5">
        <v>5</v>
      </c>
      <c r="G182" s="4">
        <v>37.57</v>
      </c>
      <c r="I182" s="4">
        <v>52.73</v>
      </c>
      <c r="K182" s="4">
        <v>53.88</v>
      </c>
      <c r="M182" s="4">
        <v>36.08</v>
      </c>
      <c r="O182" s="4">
        <v>29.75</v>
      </c>
      <c r="Q182" s="4">
        <v>50.24</v>
      </c>
      <c r="S182" s="4">
        <v>47.79</v>
      </c>
      <c r="U182" s="4">
        <v>32.06</v>
      </c>
      <c r="W182" s="4">
        <v>37.79</v>
      </c>
      <c r="X182" s="10">
        <v>-1.4439805149617291E-2</v>
      </c>
      <c r="Y182" s="8">
        <v>-3.5834068843777489E-2</v>
      </c>
      <c r="Z182" s="8">
        <v>-2.453313804467239E-2</v>
      </c>
      <c r="AA182" s="8">
        <v>5.0300300300300187E-2</v>
      </c>
    </row>
    <row r="183" spans="2:27" hidden="1" x14ac:dyDescent="0.3">
      <c r="B183" s="3" t="s">
        <v>359</v>
      </c>
      <c r="C183" s="3" t="s">
        <v>819</v>
      </c>
      <c r="D183" s="3" t="str">
        <f>VLOOKUP(B183,기업리스트!B:G,2,FALSE)</f>
        <v>Société Foncière Lyonnaise</v>
      </c>
      <c r="E183" s="3" t="s">
        <v>903</v>
      </c>
      <c r="F183" s="5">
        <v>4.2</v>
      </c>
      <c r="G183" s="3"/>
      <c r="I183" s="3"/>
      <c r="K183" s="3"/>
      <c r="M183" s="4">
        <v>-49.14</v>
      </c>
      <c r="O183" s="4">
        <v>-48.88</v>
      </c>
      <c r="Q183" s="4">
        <v>-32.39</v>
      </c>
      <c r="S183" s="4">
        <v>-56.09</v>
      </c>
      <c r="U183" s="4">
        <v>-52.58</v>
      </c>
      <c r="W183" s="4">
        <v>-56.87</v>
      </c>
      <c r="X183" s="11"/>
      <c r="Y183" s="3"/>
      <c r="Z183" s="8">
        <v>1.844504021447713E-2</v>
      </c>
      <c r="AA183" s="8">
        <v>4.2065915552279787E-2</v>
      </c>
    </row>
    <row r="184" spans="2:27" hidden="1" x14ac:dyDescent="0.3">
      <c r="B184" s="3" t="s">
        <v>785</v>
      </c>
      <c r="C184" s="3" t="s">
        <v>819</v>
      </c>
      <c r="D184" s="3" t="str">
        <f>VLOOKUP(B184,기업리스트!B:G,2,FALSE)</f>
        <v>Autosports Group Limited</v>
      </c>
      <c r="E184" s="3" t="s">
        <v>907</v>
      </c>
      <c r="F184" s="5">
        <v>4.0999999999999996</v>
      </c>
      <c r="G184" s="4">
        <v>-0.38</v>
      </c>
      <c r="I184" s="4">
        <v>-0.4</v>
      </c>
      <c r="K184" s="4">
        <v>-0.4</v>
      </c>
      <c r="M184" s="4">
        <v>-0.47</v>
      </c>
      <c r="O184" s="4">
        <v>-0.47</v>
      </c>
      <c r="Q184" s="6">
        <v>-0.57999999999999996</v>
      </c>
      <c r="S184" s="4">
        <v>-0.57999999999999996</v>
      </c>
      <c r="U184" s="4">
        <v>-0.56000000000000005</v>
      </c>
      <c r="W184" s="4">
        <v>-0.56000000000000005</v>
      </c>
      <c r="X184" s="7">
        <v>0.10344827586206901</v>
      </c>
      <c r="Y184" s="8">
        <v>9.3749999999999778E-2</v>
      </c>
      <c r="Z184" s="8">
        <v>4.2857142857142927E-2</v>
      </c>
      <c r="AA184" s="8">
        <v>4.1095890410959068E-2</v>
      </c>
    </row>
    <row r="185" spans="2:27" x14ac:dyDescent="0.3">
      <c r="B185" s="12">
        <v>7203</v>
      </c>
      <c r="C185" s="3" t="s">
        <v>899</v>
      </c>
      <c r="D185" s="3" t="str">
        <f>VLOOKUP(B185,기업리스트!B:G,2,FALSE)</f>
        <v>Elm Company</v>
      </c>
      <c r="E185" s="3" t="s">
        <v>844</v>
      </c>
      <c r="F185" s="5">
        <v>-0.6</v>
      </c>
      <c r="G185" s="52">
        <v>784371</v>
      </c>
      <c r="H185" s="52">
        <v>463861</v>
      </c>
      <c r="I185" s="52">
        <v>578655</v>
      </c>
      <c r="J185" s="52">
        <v>562789</v>
      </c>
      <c r="K185" s="52">
        <v>956652</v>
      </c>
      <c r="L185" s="52">
        <v>621918</v>
      </c>
      <c r="M185" s="53">
        <v>1120901</v>
      </c>
      <c r="N185" s="53">
        <v>1438393</v>
      </c>
      <c r="O185" s="53">
        <v>1680943</v>
      </c>
      <c r="P185" s="53">
        <v>1114460</v>
      </c>
      <c r="Q185" s="52">
        <v>1308461</v>
      </c>
      <c r="R185" s="52">
        <v>1155756</v>
      </c>
      <c r="S185" s="52">
        <v>1215274</v>
      </c>
      <c r="T185" s="52">
        <v>1105786</v>
      </c>
      <c r="U185" s="52">
        <v>1166141</v>
      </c>
      <c r="V185" s="52">
        <v>839551</v>
      </c>
      <c r="W185" s="52">
        <v>1191029</v>
      </c>
      <c r="X185" s="10">
        <v>-1.8093635083045181E-3</v>
      </c>
      <c r="Y185" s="8">
        <v>-2.9741225011634679E-2</v>
      </c>
      <c r="Z185" s="8">
        <v>-6.8104227542921447E-2</v>
      </c>
      <c r="AA185" s="8">
        <v>-5.6035104392394564E-3</v>
      </c>
    </row>
    <row r="186" spans="2:27" hidden="1" x14ac:dyDescent="0.3">
      <c r="B186" s="3" t="s">
        <v>109</v>
      </c>
      <c r="C186" s="3" t="s">
        <v>819</v>
      </c>
      <c r="D186" s="3" t="str">
        <f>VLOOKUP(B186,기업리스트!B:G,2,FALSE)</f>
        <v>InterContinental Hotels Group PLC</v>
      </c>
      <c r="E186" s="3" t="s">
        <v>906</v>
      </c>
      <c r="F186" s="5">
        <v>2.9</v>
      </c>
      <c r="G186" s="4">
        <v>147</v>
      </c>
      <c r="I186" s="4">
        <v>356</v>
      </c>
      <c r="K186" s="4">
        <v>361</v>
      </c>
      <c r="M186" s="6">
        <v>332</v>
      </c>
      <c r="O186" s="6">
        <v>561</v>
      </c>
      <c r="Q186" s="4">
        <v>463</v>
      </c>
      <c r="S186" s="4">
        <v>523</v>
      </c>
      <c r="U186" s="4">
        <v>518</v>
      </c>
      <c r="W186" s="4">
        <v>620</v>
      </c>
      <c r="X186" s="10">
        <v>6.6459627329192639E-2</v>
      </c>
      <c r="Y186" s="8">
        <v>9.4350611531741402E-2</v>
      </c>
      <c r="Z186" s="8">
        <v>9.8988823842469431E-2</v>
      </c>
      <c r="AA186" s="8">
        <v>2.857142857142847E-2</v>
      </c>
    </row>
    <row r="187" spans="2:27" hidden="1" x14ac:dyDescent="0.3">
      <c r="B187" s="3" t="s">
        <v>261</v>
      </c>
      <c r="C187" s="3" t="s">
        <v>819</v>
      </c>
      <c r="D187" s="3" t="str">
        <f>VLOOKUP(B187,기업리스트!B:G,2,FALSE)</f>
        <v>B2Gold Corp.</v>
      </c>
      <c r="E187" s="3" t="s">
        <v>906</v>
      </c>
      <c r="F187" s="5">
        <v>2.6</v>
      </c>
      <c r="G187" s="4">
        <v>6.05</v>
      </c>
      <c r="I187" s="4">
        <v>4.99</v>
      </c>
      <c r="K187" s="4">
        <v>6.17</v>
      </c>
      <c r="M187" s="4">
        <v>6.63</v>
      </c>
      <c r="O187" s="4">
        <v>7.9</v>
      </c>
      <c r="Q187" s="6">
        <v>7.62</v>
      </c>
      <c r="S187" s="4">
        <v>8.23</v>
      </c>
      <c r="U187" s="4">
        <v>7.63</v>
      </c>
      <c r="W187" s="4">
        <v>8.73</v>
      </c>
      <c r="X187" s="7">
        <v>0.1023744647722848</v>
      </c>
      <c r="Y187" s="8">
        <v>7.2740112994350348E-2</v>
      </c>
      <c r="Z187" s="8">
        <v>3.2916392363397051E-2</v>
      </c>
      <c r="AA187" s="8">
        <v>2.6449968132568499E-2</v>
      </c>
    </row>
    <row r="188" spans="2:27" x14ac:dyDescent="0.3">
      <c r="B188" s="12">
        <v>8951</v>
      </c>
      <c r="C188" s="3" t="s">
        <v>899</v>
      </c>
      <c r="D188" s="3" t="str">
        <f>VLOOKUP(B188,기업리스트!B:G,2,FALSE)</f>
        <v>Nippon Building Fund Inc.</v>
      </c>
      <c r="E188" s="3" t="s">
        <v>904</v>
      </c>
      <c r="F188" s="5">
        <f>AA188*100</f>
        <v>-5.8050338779579658</v>
      </c>
      <c r="G188" s="52">
        <v>26280</v>
      </c>
      <c r="H188" s="54"/>
      <c r="I188" s="52">
        <v>26811</v>
      </c>
      <c r="J188" s="54"/>
      <c r="K188" s="52">
        <v>21602</v>
      </c>
      <c r="L188" s="54"/>
      <c r="M188" s="52">
        <v>20645</v>
      </c>
      <c r="N188" s="54"/>
      <c r="O188" s="52">
        <v>20769</v>
      </c>
      <c r="P188" s="54"/>
      <c r="Q188" s="52">
        <v>24647</v>
      </c>
      <c r="R188" s="54"/>
      <c r="S188" s="52">
        <v>24071</v>
      </c>
      <c r="T188" s="54"/>
      <c r="U188" s="52">
        <v>25076</v>
      </c>
      <c r="V188" s="54"/>
      <c r="W188" s="52">
        <v>21218</v>
      </c>
      <c r="X188" s="10">
        <v>9.6633988506302115E-2</v>
      </c>
      <c r="Y188" s="8">
        <v>7.2705654394926933E-2</v>
      </c>
      <c r="Z188" s="8">
        <v>8.8057802044418931E-3</v>
      </c>
      <c r="AA188" s="34">
        <f>SUM(W188,U188)/SUM(U188,S188)-1</f>
        <v>-5.8050338779579658E-2</v>
      </c>
    </row>
    <row r="189" spans="2:27" hidden="1" x14ac:dyDescent="0.3">
      <c r="B189" s="3" t="s">
        <v>747</v>
      </c>
      <c r="C189" s="3" t="s">
        <v>819</v>
      </c>
      <c r="D189" s="3" t="str">
        <f>VLOOKUP(B189,기업리스트!B:G,2,FALSE)</f>
        <v>PRA Group, Inc.</v>
      </c>
      <c r="E189" s="3" t="s">
        <v>903</v>
      </c>
      <c r="F189" s="5">
        <v>2.1</v>
      </c>
      <c r="G189" s="4">
        <v>48.08</v>
      </c>
      <c r="I189" s="4">
        <v>45.73</v>
      </c>
      <c r="K189" s="6">
        <v>66.400000000000006</v>
      </c>
      <c r="M189" s="6">
        <v>89.22</v>
      </c>
      <c r="O189" s="6">
        <v>89.98</v>
      </c>
      <c r="Q189" s="6">
        <v>94.14</v>
      </c>
      <c r="S189" s="4">
        <v>74.58</v>
      </c>
      <c r="U189" s="4">
        <v>85.11</v>
      </c>
      <c r="W189" s="4">
        <v>97.06</v>
      </c>
      <c r="X189" s="7">
        <v>0.16616894930147949</v>
      </c>
      <c r="Y189" s="8">
        <v>2.4077235533054742E-2</v>
      </c>
      <c r="Z189" s="8">
        <v>-1.181306047367214E-2</v>
      </c>
      <c r="AA189" s="8">
        <v>2.0592769262092411E-2</v>
      </c>
    </row>
    <row r="190" spans="2:27" hidden="1" x14ac:dyDescent="0.3">
      <c r="B190" s="3" t="s">
        <v>383</v>
      </c>
      <c r="C190" s="3" t="s">
        <v>819</v>
      </c>
      <c r="D190" s="3" t="str">
        <f>VLOOKUP(B190,기업리스트!B:G,2,FALSE)</f>
        <v>CCC S.A.</v>
      </c>
      <c r="E190" s="3" t="s">
        <v>903</v>
      </c>
      <c r="F190" s="5">
        <v>1.9</v>
      </c>
      <c r="G190" s="4">
        <v>16.57</v>
      </c>
      <c r="I190" s="6">
        <v>19.36</v>
      </c>
      <c r="K190" s="4">
        <v>7.8</v>
      </c>
      <c r="M190" s="6">
        <v>22.51</v>
      </c>
      <c r="O190" s="6">
        <v>28.69</v>
      </c>
      <c r="Q190" s="6">
        <v>29.71</v>
      </c>
      <c r="S190" s="4">
        <v>-3.2</v>
      </c>
      <c r="U190" s="4">
        <v>24.57</v>
      </c>
      <c r="W190" s="4">
        <v>30.17</v>
      </c>
      <c r="X190" s="7">
        <v>0.1320826952526801</v>
      </c>
      <c r="Y190" s="8">
        <v>-0.12399954909254871</v>
      </c>
      <c r="Z190" s="8">
        <v>2.650881482434686E-2</v>
      </c>
      <c r="AA190" s="8">
        <v>1.8553340854958082E-2</v>
      </c>
    </row>
    <row r="191" spans="2:27" hidden="1" x14ac:dyDescent="0.3">
      <c r="B191" s="3" t="s">
        <v>59</v>
      </c>
      <c r="C191" s="3" t="s">
        <v>819</v>
      </c>
      <c r="D191" s="3" t="str">
        <f>VLOOKUP(B191,기업리스트!B:G,2,FALSE)</f>
        <v>Kinross Gold Corporation</v>
      </c>
      <c r="E191" s="3" t="s">
        <v>903</v>
      </c>
      <c r="F191" s="5">
        <v>-0.2</v>
      </c>
      <c r="G191" s="4">
        <v>414</v>
      </c>
      <c r="I191" s="6">
        <v>328</v>
      </c>
      <c r="K191" s="4">
        <v>393</v>
      </c>
      <c r="M191" s="4">
        <v>493</v>
      </c>
      <c r="O191" s="4">
        <v>456</v>
      </c>
      <c r="Q191" s="6">
        <v>531</v>
      </c>
      <c r="S191" s="4">
        <v>430</v>
      </c>
      <c r="U191" s="4">
        <v>438</v>
      </c>
      <c r="W191" s="4">
        <v>452</v>
      </c>
      <c r="X191" s="7">
        <v>0.1215568862275449</v>
      </c>
      <c r="Y191" s="8">
        <v>1.9754404698344889E-2</v>
      </c>
      <c r="Z191" s="8">
        <v>-2.8795811518324551E-2</v>
      </c>
      <c r="AA191" s="8">
        <v>-2.1563342318059449E-3</v>
      </c>
    </row>
    <row r="192" spans="2:27" hidden="1" x14ac:dyDescent="0.3">
      <c r="B192" s="3" t="s">
        <v>607</v>
      </c>
      <c r="C192" s="3" t="s">
        <v>819</v>
      </c>
      <c r="D192" s="3" t="str">
        <f>VLOOKUP(B192,기업리스트!B:G,2,FALSE)</f>
        <v>ORIC Pharmaceuticals, Inc.</v>
      </c>
      <c r="E192" s="3" t="s">
        <v>903</v>
      </c>
      <c r="F192" s="5">
        <v>-1.1000000000000001</v>
      </c>
      <c r="G192" s="4">
        <v>-28.68</v>
      </c>
      <c r="I192" s="4">
        <v>-31.43</v>
      </c>
      <c r="K192" s="4">
        <v>-28.99</v>
      </c>
      <c r="M192" s="4">
        <v>-36.020000000000003</v>
      </c>
      <c r="O192" s="4">
        <v>-38.32</v>
      </c>
      <c r="Q192" s="4">
        <v>-39.57</v>
      </c>
      <c r="S192" s="4">
        <v>-32.72</v>
      </c>
      <c r="U192" s="4">
        <v>-39.06</v>
      </c>
      <c r="W192" s="4">
        <v>-36.67</v>
      </c>
      <c r="X192" s="10">
        <v>6.0403680617393977E-2</v>
      </c>
      <c r="Y192" s="8">
        <v>2.6102169349195181E-2</v>
      </c>
      <c r="Z192" s="8">
        <v>2.0732455841233181E-2</v>
      </c>
      <c r="AA192" s="8">
        <v>-1.102425335738633E-2</v>
      </c>
    </row>
    <row r="193" spans="2:27" hidden="1" x14ac:dyDescent="0.3">
      <c r="B193" s="3" t="s">
        <v>107</v>
      </c>
      <c r="C193" s="3" t="s">
        <v>819</v>
      </c>
      <c r="D193" s="3" t="str">
        <f>VLOOKUP(B193,기업리스트!B:G,2,FALSE)</f>
        <v>Tenaris S.A.</v>
      </c>
      <c r="E193" s="3" t="s">
        <v>903</v>
      </c>
      <c r="F193" s="5">
        <v>-2.8</v>
      </c>
      <c r="G193" s="4">
        <v>53.01</v>
      </c>
      <c r="I193" s="4">
        <v>74.28</v>
      </c>
      <c r="K193" s="4">
        <v>60.08</v>
      </c>
      <c r="M193" s="4">
        <v>70.459999999999994</v>
      </c>
      <c r="O193" s="4">
        <v>56.95</v>
      </c>
      <c r="Q193" s="4">
        <v>31.64</v>
      </c>
      <c r="S193" s="4">
        <v>57.06</v>
      </c>
      <c r="U193" s="4">
        <v>50.04</v>
      </c>
      <c r="W193" s="4">
        <v>51.56</v>
      </c>
      <c r="X193" s="10">
        <v>-0.16289108759598109</v>
      </c>
      <c r="Y193" s="8">
        <v>-1.378177337653441E-2</v>
      </c>
      <c r="Z193" s="8">
        <v>-9.4488917680810802E-2</v>
      </c>
      <c r="AA193" s="8">
        <v>-2.7543563799887542E-2</v>
      </c>
    </row>
    <row r="194" spans="2:27" hidden="1" x14ac:dyDescent="0.3">
      <c r="B194" s="3" t="s">
        <v>130</v>
      </c>
      <c r="C194" s="3" t="s">
        <v>819</v>
      </c>
      <c r="D194" s="3" t="str">
        <f>VLOOKUP(B194,기업리스트!B:G,2,FALSE)</f>
        <v>ICON Public Limited Company</v>
      </c>
      <c r="E194" s="3" t="s">
        <v>903</v>
      </c>
      <c r="F194" s="5">
        <v>-2.9</v>
      </c>
      <c r="G194" s="4">
        <v>274.74</v>
      </c>
      <c r="I194" s="4">
        <v>275.23</v>
      </c>
      <c r="K194" s="4">
        <v>292.49</v>
      </c>
      <c r="M194" s="4">
        <v>282.47000000000003</v>
      </c>
      <c r="O194" s="4">
        <v>293.29000000000002</v>
      </c>
      <c r="Q194" s="4">
        <v>351.27</v>
      </c>
      <c r="S194" s="4">
        <v>264.31</v>
      </c>
      <c r="U194" s="4">
        <v>258.88</v>
      </c>
      <c r="W194" s="4">
        <v>258.89999999999998</v>
      </c>
      <c r="X194" s="10">
        <v>6.6498758176793515E-2</v>
      </c>
      <c r="Y194" s="8">
        <v>-2.3107452112306359E-2</v>
      </c>
      <c r="Z194" s="8">
        <v>-1.9801232225897029E-2</v>
      </c>
      <c r="AA194" s="8">
        <v>-2.9449796617426749E-2</v>
      </c>
    </row>
    <row r="195" spans="2:27" hidden="1" x14ac:dyDescent="0.3">
      <c r="B195" s="3" t="s">
        <v>375</v>
      </c>
      <c r="C195" s="3" t="s">
        <v>819</v>
      </c>
      <c r="D195" s="3" t="str">
        <f>VLOOKUP(B195,기업리스트!B:G,2,FALSE)</f>
        <v>ALSO Holding AG</v>
      </c>
      <c r="E195" s="3" t="s">
        <v>903</v>
      </c>
      <c r="F195" s="5">
        <v>-4.0999999999999996</v>
      </c>
      <c r="G195" s="4">
        <v>224</v>
      </c>
      <c r="I195" s="4">
        <v>227</v>
      </c>
      <c r="K195" s="4">
        <v>249</v>
      </c>
      <c r="M195" s="4">
        <v>265</v>
      </c>
      <c r="O195" s="4">
        <v>260</v>
      </c>
      <c r="Q195" s="4">
        <v>242</v>
      </c>
      <c r="S195" s="4">
        <v>249</v>
      </c>
      <c r="U195" s="4">
        <v>272</v>
      </c>
      <c r="W195" s="4">
        <v>218</v>
      </c>
      <c r="X195" s="10">
        <v>1.4985014985015029E-2</v>
      </c>
      <c r="Y195" s="8">
        <v>0</v>
      </c>
      <c r="Z195" s="8">
        <v>6.8897637795275468E-3</v>
      </c>
      <c r="AA195" s="8">
        <v>-4.1055718475073277E-2</v>
      </c>
    </row>
    <row r="196" spans="2:27" hidden="1" x14ac:dyDescent="0.3">
      <c r="B196" s="3" t="s">
        <v>566</v>
      </c>
      <c r="C196" s="3" t="s">
        <v>819</v>
      </c>
      <c r="D196" s="3" t="str">
        <f>VLOOKUP(B196,기업리스트!B:G,2,FALSE)</f>
        <v>Tennant Company</v>
      </c>
      <c r="E196" s="3" t="s">
        <v>903</v>
      </c>
      <c r="F196" s="5">
        <v>-7.2</v>
      </c>
      <c r="G196" s="4">
        <v>34.700000000000003</v>
      </c>
      <c r="I196" s="4">
        <v>26.2</v>
      </c>
      <c r="K196" s="4">
        <v>37.5</v>
      </c>
      <c r="M196" s="4">
        <v>39.200000000000003</v>
      </c>
      <c r="O196" s="4">
        <v>30.6</v>
      </c>
      <c r="Q196" s="4">
        <v>15.2</v>
      </c>
      <c r="S196" s="4">
        <v>21.1</v>
      </c>
      <c r="U196" s="4">
        <v>30.3</v>
      </c>
      <c r="W196" s="4">
        <v>23.6</v>
      </c>
      <c r="X196" s="10">
        <v>-8.2397003745318331E-2</v>
      </c>
      <c r="Y196" s="8">
        <v>-0.1338775510204081</v>
      </c>
      <c r="Z196" s="8">
        <v>-8.3883129123468514E-2</v>
      </c>
      <c r="AA196" s="8">
        <v>-7.2016460905349744E-2</v>
      </c>
    </row>
    <row r="197" spans="2:27" hidden="1" x14ac:dyDescent="0.3">
      <c r="B197" s="3" t="s">
        <v>26</v>
      </c>
      <c r="C197" s="3" t="s">
        <v>819</v>
      </c>
      <c r="D197" s="3" t="str">
        <f>VLOOKUP(B197,기업리스트!B:G,2,FALSE)</f>
        <v>Constellation Energy Corporation</v>
      </c>
      <c r="E197" s="3" t="s">
        <v>903</v>
      </c>
      <c r="F197" s="5">
        <v>-10.4</v>
      </c>
      <c r="G197" s="6">
        <v>1085</v>
      </c>
      <c r="I197" s="4">
        <v>-142</v>
      </c>
      <c r="K197" s="6">
        <v>811</v>
      </c>
      <c r="M197" s="6">
        <v>1096</v>
      </c>
      <c r="O197" s="6">
        <v>1462</v>
      </c>
      <c r="Q197" s="6">
        <v>887</v>
      </c>
      <c r="S197" s="4">
        <v>438</v>
      </c>
      <c r="U197" s="4">
        <v>939</v>
      </c>
      <c r="W197" s="4">
        <v>1073</v>
      </c>
      <c r="X197" s="7">
        <v>0.31887201735357928</v>
      </c>
      <c r="Y197" s="8">
        <v>-8.7640977443608992E-2</v>
      </c>
      <c r="Z197" s="8">
        <v>-4.0432655163533338E-2</v>
      </c>
      <c r="AA197" s="8">
        <v>-0.1044015029522276</v>
      </c>
    </row>
    <row r="198" spans="2:27" hidden="1" x14ac:dyDescent="0.3">
      <c r="B198" s="3" t="s">
        <v>347</v>
      </c>
      <c r="C198" s="3" t="s">
        <v>819</v>
      </c>
      <c r="D198" s="3" t="str">
        <f>VLOOKUP(B198,기업리스트!B:G,2,FALSE)</f>
        <v>Dun &amp; Bradstreet Holdings, Inc.</v>
      </c>
      <c r="E198" s="3" t="s">
        <v>907</v>
      </c>
      <c r="F198" s="5">
        <v>-11.4</v>
      </c>
      <c r="G198" s="4">
        <v>16.5</v>
      </c>
      <c r="I198" s="4">
        <v>52.1</v>
      </c>
      <c r="K198" s="4">
        <v>63.8</v>
      </c>
      <c r="M198" s="4">
        <v>16.600000000000001</v>
      </c>
      <c r="O198" s="6">
        <v>37.1</v>
      </c>
      <c r="Q198" s="4">
        <v>62.2</v>
      </c>
      <c r="S198" s="4">
        <v>78.900000000000006</v>
      </c>
      <c r="U198" s="4">
        <v>35.299999999999997</v>
      </c>
      <c r="W198" s="4">
        <v>12.8</v>
      </c>
      <c r="X198" s="10">
        <v>5.9551886792452713E-2</v>
      </c>
      <c r="Y198" s="8">
        <v>8.4028937117418101E-2</v>
      </c>
      <c r="Z198" s="8">
        <v>9.5995893223819184E-2</v>
      </c>
      <c r="AA198" s="8">
        <v>-0.1138173302107728</v>
      </c>
    </row>
    <row r="199" spans="2:27" hidden="1" x14ac:dyDescent="0.3">
      <c r="B199" s="3" t="s">
        <v>601</v>
      </c>
      <c r="C199" s="3" t="s">
        <v>819</v>
      </c>
      <c r="D199" s="3" t="str">
        <f>VLOOKUP(B199,기업리스트!B:G,2,FALSE)</f>
        <v>SRG Global Limited</v>
      </c>
      <c r="E199" s="3" t="s">
        <v>903</v>
      </c>
      <c r="F199" s="5">
        <v>-25.2</v>
      </c>
      <c r="G199" s="4">
        <v>-10.67</v>
      </c>
      <c r="I199" s="4">
        <v>20.149999999999999</v>
      </c>
      <c r="K199" s="4">
        <v>-13.38</v>
      </c>
      <c r="M199" s="4">
        <v>-9.83</v>
      </c>
      <c r="O199" s="6">
        <v>-19.149999999999999</v>
      </c>
      <c r="Q199" s="6">
        <v>-12.22</v>
      </c>
      <c r="S199" s="4">
        <v>-16.46</v>
      </c>
      <c r="U199" s="4">
        <v>-6.73</v>
      </c>
      <c r="W199" s="4">
        <v>-5.42</v>
      </c>
      <c r="X199" s="7">
        <v>1.4574515983791081</v>
      </c>
      <c r="Y199" s="8">
        <v>5.6430927079516247E-2</v>
      </c>
      <c r="Z199" s="8">
        <v>-5.3763440860215013E-2</v>
      </c>
      <c r="AA199" s="8">
        <v>-0.25164956011730211</v>
      </c>
    </row>
    <row r="200" spans="2:27" hidden="1" x14ac:dyDescent="0.3">
      <c r="B200" s="3" t="s">
        <v>689</v>
      </c>
      <c r="C200" s="3" t="s">
        <v>819</v>
      </c>
      <c r="D200" s="3" t="str">
        <f>VLOOKUP(B200,기업리스트!B:G,2,FALSE)</f>
        <v>Teekay Corporation Ltd.</v>
      </c>
      <c r="E200" s="3" t="s">
        <v>907</v>
      </c>
      <c r="F200" s="5">
        <v>-25.8</v>
      </c>
      <c r="G200" s="6">
        <v>157.72999999999999</v>
      </c>
      <c r="I200" s="4">
        <v>81.25</v>
      </c>
      <c r="K200" s="4">
        <v>98.99</v>
      </c>
      <c r="M200" s="4">
        <v>128.88</v>
      </c>
      <c r="O200" s="4">
        <v>102.24</v>
      </c>
      <c r="Q200" s="4">
        <v>57.82</v>
      </c>
      <c r="S200" s="4">
        <v>43.86</v>
      </c>
      <c r="U200" s="4">
        <v>36.24</v>
      </c>
      <c r="W200" s="4">
        <v>40.21</v>
      </c>
      <c r="X200" s="10">
        <v>-5.6957409568261341E-2</v>
      </c>
      <c r="Y200" s="8">
        <v>-0.14211326785760309</v>
      </c>
      <c r="Z200" s="8">
        <v>-0.27836538461538463</v>
      </c>
      <c r="AA200" s="8">
        <v>-0.25828614257161903</v>
      </c>
    </row>
    <row r="201" spans="2:27" hidden="1" x14ac:dyDescent="0.3">
      <c r="B201" s="3" t="s">
        <v>61</v>
      </c>
      <c r="C201" s="3" t="s">
        <v>819</v>
      </c>
      <c r="D201" s="3" t="str">
        <f>VLOOKUP(B201,기업리스트!B:G,2,FALSE)</f>
        <v>Telstra Group Limited</v>
      </c>
      <c r="E201" s="3" t="s">
        <v>903</v>
      </c>
      <c r="F201" s="5">
        <v>-31.6</v>
      </c>
      <c r="G201" s="4">
        <v>-9.34</v>
      </c>
      <c r="I201" s="4">
        <v>-8.0500000000000007</v>
      </c>
      <c r="K201" s="4">
        <v>-8.44</v>
      </c>
      <c r="M201" s="4">
        <v>-8.64</v>
      </c>
      <c r="O201" s="6">
        <v>-16.760000000000002</v>
      </c>
      <c r="Q201" s="4">
        <v>-9.59</v>
      </c>
      <c r="S201" s="4">
        <v>-9.02</v>
      </c>
      <c r="U201" s="4">
        <v>-9.8800000000000008</v>
      </c>
      <c r="W201" s="4">
        <v>-2.4700000000000002</v>
      </c>
      <c r="X201" s="10">
        <v>3.6762950584865013E-2</v>
      </c>
      <c r="Y201" s="8">
        <v>1.33548238544785E-2</v>
      </c>
      <c r="Z201" s="8">
        <v>2.8175414678482062E-2</v>
      </c>
      <c r="AA201" s="8">
        <v>-0.31580110497237568</v>
      </c>
    </row>
    <row r="202" spans="2:27" x14ac:dyDescent="0.3">
      <c r="B202" s="12">
        <v>6036</v>
      </c>
      <c r="C202" s="3" t="s">
        <v>899</v>
      </c>
      <c r="D202" s="3" t="str">
        <f>VLOOKUP(B202,기업리스트!B:G,2,FALSE)</f>
        <v>KeePer Technical Laboratory Co., Ltd.</v>
      </c>
      <c r="E202" s="3" t="s">
        <v>839</v>
      </c>
      <c r="F202" s="5">
        <v>-8.1</v>
      </c>
      <c r="G202" s="52">
        <v>798</v>
      </c>
      <c r="H202" s="52">
        <v>1519</v>
      </c>
      <c r="I202" s="52">
        <v>778</v>
      </c>
      <c r="J202" s="52">
        <v>1232</v>
      </c>
      <c r="K202" s="52">
        <v>1170</v>
      </c>
      <c r="L202" s="52">
        <v>1846</v>
      </c>
      <c r="M202" s="52">
        <v>1020</v>
      </c>
      <c r="N202" s="52">
        <v>1439</v>
      </c>
      <c r="O202" s="52">
        <v>1177</v>
      </c>
      <c r="P202" s="52">
        <v>2143</v>
      </c>
      <c r="Q202" s="52">
        <v>1073</v>
      </c>
      <c r="R202" s="52">
        <v>1708</v>
      </c>
      <c r="S202" s="53">
        <v>1999</v>
      </c>
      <c r="T202" s="52">
        <v>2535</v>
      </c>
      <c r="U202" s="52">
        <v>1372</v>
      </c>
      <c r="V202" s="52">
        <v>1729</v>
      </c>
      <c r="W202" s="52">
        <v>1381</v>
      </c>
      <c r="X202" s="10">
        <v>5.6622851365015103E-2</v>
      </c>
      <c r="Y202" s="8">
        <v>4.0874914559125182E-2</v>
      </c>
      <c r="Z202" s="8">
        <v>2.758077226162392E-3</v>
      </c>
      <c r="AA202" s="8">
        <v>-8.0943025540275104E-2</v>
      </c>
    </row>
    <row r="203" spans="2:27" x14ac:dyDescent="0.3">
      <c r="B203" s="51">
        <v>5310</v>
      </c>
      <c r="C203" s="47" t="s">
        <v>899</v>
      </c>
      <c r="D203" s="47" t="str">
        <f>VLOOKUP(B203,기업리스트!B:G,2,FALSE)</f>
        <v>Toyo Tanso Co., Ltd.</v>
      </c>
      <c r="E203" s="47" t="s">
        <v>821</v>
      </c>
      <c r="F203" s="48">
        <v>-19.3</v>
      </c>
      <c r="G203" s="55">
        <v>1512</v>
      </c>
      <c r="H203" s="55">
        <v>1499</v>
      </c>
      <c r="I203" s="55">
        <v>1534</v>
      </c>
      <c r="J203" s="55">
        <v>1921</v>
      </c>
      <c r="K203" s="55">
        <v>1699</v>
      </c>
      <c r="L203" s="55">
        <v>2134</v>
      </c>
      <c r="M203" s="56">
        <v>2469</v>
      </c>
      <c r="N203" s="55">
        <v>2076</v>
      </c>
      <c r="O203" s="56">
        <v>2589</v>
      </c>
      <c r="P203" s="55">
        <v>2543</v>
      </c>
      <c r="Q203" s="55">
        <v>3258</v>
      </c>
      <c r="R203" s="56">
        <v>3454</v>
      </c>
      <c r="S203" s="55">
        <v>2969</v>
      </c>
      <c r="T203" s="55">
        <v>2145</v>
      </c>
      <c r="U203" s="55">
        <v>1689</v>
      </c>
      <c r="V203" s="55">
        <v>1577</v>
      </c>
      <c r="W203" s="55">
        <v>1349</v>
      </c>
      <c r="X203" s="10">
        <v>-3.2558900523560252E-2</v>
      </c>
      <c r="Y203" s="49">
        <v>-0.13267376966007111</v>
      </c>
      <c r="Z203" s="49">
        <v>-0.18299697767378381</v>
      </c>
      <c r="AA203" s="49">
        <v>-0.19331742243436759</v>
      </c>
    </row>
    <row r="204" spans="2:27" hidden="1" x14ac:dyDescent="0.3">
      <c r="B204" s="3" t="s">
        <v>720</v>
      </c>
      <c r="C204" s="3" t="s">
        <v>899</v>
      </c>
      <c r="D204" s="3" t="e">
        <f>VLOOKUP(B204,기업리스트!B:G,2,FALSE)</f>
        <v>#N/A</v>
      </c>
      <c r="E204" s="3" t="s">
        <v>906</v>
      </c>
      <c r="F204" s="5">
        <v>3.5</v>
      </c>
      <c r="G204" s="4">
        <v>1801</v>
      </c>
      <c r="I204" s="4">
        <v>2088</v>
      </c>
      <c r="K204" s="4">
        <v>2119</v>
      </c>
      <c r="M204" s="6">
        <v>3820</v>
      </c>
      <c r="O204" s="4">
        <v>2330</v>
      </c>
      <c r="Q204" s="4">
        <v>2489</v>
      </c>
      <c r="S204" s="4">
        <v>2383</v>
      </c>
      <c r="U204" s="4">
        <v>165.37</v>
      </c>
      <c r="W204" s="4">
        <v>2589</v>
      </c>
      <c r="X204" s="10">
        <v>3.8717775417592033E-2</v>
      </c>
      <c r="Y204" s="8">
        <v>2.4539877300613581E-2</v>
      </c>
      <c r="Z204" s="8">
        <v>-0.33157593903102889</v>
      </c>
      <c r="AA204" s="8">
        <v>3.5155014611727209E-2</v>
      </c>
    </row>
    <row r="205" spans="2:27" x14ac:dyDescent="0.3">
      <c r="B205" s="46">
        <v>4587</v>
      </c>
      <c r="C205" s="38" t="s">
        <v>899</v>
      </c>
      <c r="D205" s="38" t="str">
        <f>VLOOKUP(B205,기업리스트!B:G,2,FALSE)</f>
        <v>PeptiDream Inc.</v>
      </c>
      <c r="E205" s="38" t="s">
        <v>821</v>
      </c>
      <c r="F205" s="39">
        <v>-33.700000000000003</v>
      </c>
      <c r="G205" s="57">
        <v>1.55</v>
      </c>
      <c r="H205" s="57">
        <v>-1167</v>
      </c>
      <c r="I205" s="57">
        <v>-500</v>
      </c>
      <c r="J205" s="57">
        <v>1240</v>
      </c>
      <c r="K205" s="57">
        <v>9269</v>
      </c>
      <c r="L205" s="58">
        <v>-267</v>
      </c>
      <c r="M205" s="57">
        <v>-719</v>
      </c>
      <c r="N205" s="58">
        <v>7739</v>
      </c>
      <c r="O205" s="57">
        <v>59</v>
      </c>
      <c r="P205" s="57">
        <v>-1098</v>
      </c>
      <c r="Q205" s="58">
        <v>25749</v>
      </c>
      <c r="R205" s="57">
        <v>-126.92</v>
      </c>
      <c r="S205" s="57">
        <v>-3500</v>
      </c>
      <c r="T205" s="57">
        <v>-1367</v>
      </c>
      <c r="U205" s="57">
        <v>-1259</v>
      </c>
      <c r="V205" s="58">
        <v>-1432</v>
      </c>
      <c r="W205" s="57">
        <v>-955.07</v>
      </c>
      <c r="X205" s="42">
        <v>-1.279485237879607E-2</v>
      </c>
      <c r="Y205" s="43">
        <v>-1.3012717850280511</v>
      </c>
      <c r="Z205" s="44">
        <v>0.20871528821734489</v>
      </c>
      <c r="AA205" s="43">
        <v>-0.33672003175443238</v>
      </c>
    </row>
    <row r="206" spans="2:27" hidden="1" x14ac:dyDescent="0.3">
      <c r="B206" s="3" t="s">
        <v>124</v>
      </c>
      <c r="C206" s="3" t="s">
        <v>901</v>
      </c>
      <c r="D206" s="3" t="str">
        <f>VLOOKUP(B206,기업리스트!B:G,2,FALSE)</f>
        <v>Mediobanca Banca di Credito Finanziario S.p.A.</v>
      </c>
      <c r="E206" s="3" t="s">
        <v>906</v>
      </c>
      <c r="F206" s="5">
        <v>6581.8</v>
      </c>
      <c r="G206" s="3"/>
      <c r="I206" s="3"/>
      <c r="K206" s="3"/>
      <c r="M206" s="3"/>
      <c r="O206" s="4">
        <v>7.53</v>
      </c>
      <c r="Q206" s="4">
        <v>-3.34</v>
      </c>
      <c r="S206" s="4">
        <v>-11.53</v>
      </c>
      <c r="U206" s="4">
        <v>6.9</v>
      </c>
      <c r="W206" s="6">
        <v>-21.43</v>
      </c>
      <c r="X206" s="11"/>
      <c r="Y206" s="3"/>
      <c r="Z206" s="3"/>
      <c r="AA206" s="9">
        <v>65.818181818182026</v>
      </c>
    </row>
    <row r="207" spans="2:27" hidden="1" x14ac:dyDescent="0.3">
      <c r="B207" s="3" t="s">
        <v>706</v>
      </c>
      <c r="C207" s="3" t="s">
        <v>901</v>
      </c>
      <c r="D207" s="3" t="str">
        <f>VLOOKUP(B207,기업리스트!B:G,2,FALSE)</f>
        <v>ASP Isotopes Inc.</v>
      </c>
      <c r="E207" s="3" t="s">
        <v>903</v>
      </c>
      <c r="F207" s="5">
        <v>28.9</v>
      </c>
      <c r="G207" s="6">
        <v>-3.95</v>
      </c>
      <c r="I207" s="6">
        <v>-4.0199999999999996</v>
      </c>
      <c r="K207" s="6">
        <v>-5.81</v>
      </c>
      <c r="M207" s="6">
        <v>-7.46</v>
      </c>
      <c r="O207" s="4">
        <v>-5.43</v>
      </c>
      <c r="Q207" s="6">
        <v>-7.65</v>
      </c>
      <c r="S207" s="4">
        <v>-7.95</v>
      </c>
      <c r="U207" s="6">
        <v>-11.97</v>
      </c>
      <c r="W207" s="6">
        <v>-14.97</v>
      </c>
      <c r="X207" s="7">
        <v>0.15977112676056349</v>
      </c>
      <c r="Y207" s="8">
        <v>8.1214421252371993E-2</v>
      </c>
      <c r="Z207" s="9">
        <v>0.15830115830115821</v>
      </c>
      <c r="AA207" s="9">
        <v>0.28909090909090912</v>
      </c>
    </row>
    <row r="208" spans="2:27" x14ac:dyDescent="0.3">
      <c r="B208" s="12" t="s">
        <v>609</v>
      </c>
      <c r="C208" s="3" t="s">
        <v>911</v>
      </c>
      <c r="D208" s="3" t="str">
        <f>VLOOKUP(B208,기업리스트!B:G,2,FALSE)</f>
        <v>Mercialys SA</v>
      </c>
      <c r="E208" s="3" t="s">
        <v>905</v>
      </c>
      <c r="F208" s="5">
        <f>AA208*100</f>
        <v>1.7678776628657245</v>
      </c>
      <c r="G208" s="52">
        <v>38.549999999999997</v>
      </c>
      <c r="H208" s="54"/>
      <c r="I208" s="52">
        <v>56.24</v>
      </c>
      <c r="J208" s="54"/>
      <c r="K208" s="52">
        <v>40.86</v>
      </c>
      <c r="L208" s="54"/>
      <c r="M208" s="52">
        <v>43.48</v>
      </c>
      <c r="N208" s="54"/>
      <c r="O208" s="52">
        <v>39.04</v>
      </c>
      <c r="P208" s="54"/>
      <c r="Q208" s="52">
        <v>63.27</v>
      </c>
      <c r="R208" s="54"/>
      <c r="S208" s="52">
        <v>54.18</v>
      </c>
      <c r="T208" s="54"/>
      <c r="U208" s="52">
        <v>58.95</v>
      </c>
      <c r="V208" s="54"/>
      <c r="W208" s="52">
        <v>56.18</v>
      </c>
      <c r="X208" s="36">
        <v>0.23982064953950566</v>
      </c>
      <c r="Y208" s="35">
        <v>0.14798162447463592</v>
      </c>
      <c r="Z208" s="8">
        <v>-3.6781609195402409E-2</v>
      </c>
      <c r="AA208" s="34">
        <f>SUM(W208,U208)/SUM(U208,S208)-1</f>
        <v>1.7678776628657245E-2</v>
      </c>
    </row>
    <row r="209" spans="2:27" hidden="1" x14ac:dyDescent="0.3">
      <c r="B209" s="3" t="s">
        <v>699</v>
      </c>
      <c r="C209" s="3" t="s">
        <v>901</v>
      </c>
      <c r="D209" s="3" t="s">
        <v>877</v>
      </c>
      <c r="E209" s="3" t="s">
        <v>906</v>
      </c>
      <c r="F209" s="5">
        <v>5.2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4">
        <v>8.58</v>
      </c>
      <c r="T209" s="4">
        <v>0.5</v>
      </c>
      <c r="U209" s="4">
        <v>6.06</v>
      </c>
      <c r="V209" s="4">
        <v>2.2000000000000002</v>
      </c>
      <c r="W209" s="4">
        <v>9.48</v>
      </c>
      <c r="X209" s="11"/>
      <c r="Y209" s="3"/>
      <c r="Z209" s="3"/>
      <c r="AA209" s="8">
        <v>5.190311418685134E-2</v>
      </c>
    </row>
    <row r="210" spans="2:27" hidden="1" x14ac:dyDescent="0.3">
      <c r="B210" s="3" t="s">
        <v>661</v>
      </c>
      <c r="C210" s="3" t="s">
        <v>901</v>
      </c>
      <c r="D210" s="3" t="s">
        <v>909</v>
      </c>
      <c r="E210" s="3" t="s">
        <v>903</v>
      </c>
      <c r="F210" s="5">
        <v>1.7</v>
      </c>
      <c r="G210" s="4">
        <v>-17.27</v>
      </c>
      <c r="H210" s="4">
        <v>-17.72</v>
      </c>
      <c r="I210" s="4">
        <v>-25.47</v>
      </c>
      <c r="J210" s="4">
        <v>-35.57</v>
      </c>
      <c r="K210" s="6">
        <v>-42.99</v>
      </c>
      <c r="L210" s="6">
        <v>-36.14</v>
      </c>
      <c r="M210" s="4">
        <v>-15.34</v>
      </c>
      <c r="N210" s="4">
        <v>-15.34</v>
      </c>
      <c r="O210" s="4">
        <v>-1.3</v>
      </c>
      <c r="P210" s="4">
        <v>5.12</v>
      </c>
      <c r="Q210" s="4">
        <v>-1.42</v>
      </c>
      <c r="R210" s="4">
        <v>-2.19</v>
      </c>
      <c r="S210" s="4">
        <v>-1.48</v>
      </c>
      <c r="T210" s="4">
        <v>-0.3</v>
      </c>
      <c r="U210" s="4">
        <v>-1.81</v>
      </c>
      <c r="V210" s="4">
        <v>-1.77</v>
      </c>
      <c r="W210" s="4">
        <v>-1.57</v>
      </c>
      <c r="X210" s="10">
        <v>-180.66666666666521</v>
      </c>
      <c r="Y210" s="8">
        <v>7.235621521335811E-2</v>
      </c>
      <c r="Z210" s="8">
        <v>-7.2664359861591699E-2</v>
      </c>
      <c r="AA210" s="8">
        <v>1.6791044776119479E-2</v>
      </c>
    </row>
    <row r="211" spans="2:27" hidden="1" x14ac:dyDescent="0.3">
      <c r="B211" s="3" t="s">
        <v>244</v>
      </c>
      <c r="C211" s="3" t="s">
        <v>912</v>
      </c>
      <c r="D211" s="3" t="s">
        <v>900</v>
      </c>
      <c r="E211" s="3" t="s">
        <v>903</v>
      </c>
      <c r="F211" s="5">
        <v>0.6</v>
      </c>
      <c r="G211" s="4">
        <v>996</v>
      </c>
      <c r="H211" s="4">
        <v>-208</v>
      </c>
      <c r="I211" s="4">
        <v>1492</v>
      </c>
      <c r="J211" s="4">
        <v>1280</v>
      </c>
      <c r="K211" s="6">
        <v>1391</v>
      </c>
      <c r="L211" s="4">
        <v>123</v>
      </c>
      <c r="M211" s="4">
        <v>1808</v>
      </c>
      <c r="N211" s="4">
        <v>1515</v>
      </c>
      <c r="O211" s="4">
        <v>633</v>
      </c>
      <c r="P211" s="6">
        <v>1137</v>
      </c>
      <c r="Q211" s="4">
        <v>1914</v>
      </c>
      <c r="R211" s="4">
        <v>1578</v>
      </c>
      <c r="S211" s="6">
        <v>1722</v>
      </c>
      <c r="T211" s="4">
        <v>800</v>
      </c>
      <c r="U211" s="4">
        <v>2103</v>
      </c>
      <c r="V211" s="6">
        <v>2280</v>
      </c>
      <c r="W211" s="4">
        <v>1766</v>
      </c>
      <c r="X211" s="10">
        <v>-5.306250984096994E-2</v>
      </c>
      <c r="Y211" s="8">
        <v>3.1426671100764907E-2</v>
      </c>
      <c r="Z211" s="9">
        <v>0.11317104626793489</v>
      </c>
      <c r="AA211" s="8">
        <v>6.3721940622736284E-3</v>
      </c>
    </row>
    <row r="212" spans="2:27" hidden="1" x14ac:dyDescent="0.3">
      <c r="B212" s="3" t="s">
        <v>321</v>
      </c>
      <c r="C212" s="3" t="s">
        <v>911</v>
      </c>
      <c r="D212" s="3" t="s">
        <v>900</v>
      </c>
      <c r="E212" s="3" t="s">
        <v>906</v>
      </c>
      <c r="F212" s="5">
        <v>-4.7</v>
      </c>
      <c r="G212" s="3"/>
      <c r="H212" s="3"/>
      <c r="I212" s="3"/>
      <c r="J212" s="3"/>
      <c r="K212" s="3"/>
      <c r="L212" s="3"/>
      <c r="M212" s="3"/>
      <c r="N212" s="4">
        <v>22.45</v>
      </c>
      <c r="O212" s="4">
        <v>53.93</v>
      </c>
      <c r="P212" s="4">
        <v>96.15</v>
      </c>
      <c r="Q212" s="4">
        <v>130.61000000000001</v>
      </c>
      <c r="R212" s="6">
        <v>149.43</v>
      </c>
      <c r="S212" s="6">
        <v>142.47999999999999</v>
      </c>
      <c r="T212" s="4">
        <v>127.82</v>
      </c>
      <c r="U212" s="4">
        <v>147.5</v>
      </c>
      <c r="V212" s="4">
        <v>140.29</v>
      </c>
      <c r="W212" s="4">
        <v>116.4</v>
      </c>
      <c r="X212" s="10">
        <v>6.1060018894480088E-2</v>
      </c>
      <c r="Y212" s="8">
        <v>3.069011883562878E-2</v>
      </c>
      <c r="Z212" s="8">
        <v>-1.611339315621552E-2</v>
      </c>
      <c r="AA212" s="8">
        <v>-4.6730814026411438E-2</v>
      </c>
    </row>
    <row r="213" spans="2:27" hidden="1" x14ac:dyDescent="0.3">
      <c r="B213" s="3" t="s">
        <v>726</v>
      </c>
      <c r="C213" s="3" t="s">
        <v>901</v>
      </c>
      <c r="D213" s="3" t="s">
        <v>910</v>
      </c>
      <c r="E213" s="3" t="s">
        <v>903</v>
      </c>
      <c r="F213" s="5">
        <v>-9.6</v>
      </c>
      <c r="G213" s="4">
        <v>0.26</v>
      </c>
      <c r="H213" s="4">
        <v>-0.41</v>
      </c>
      <c r="I213" s="4">
        <v>0.02</v>
      </c>
      <c r="J213" s="4">
        <v>-0.15</v>
      </c>
      <c r="K213" s="6">
        <v>-0.19</v>
      </c>
      <c r="L213" s="4">
        <v>-0.35</v>
      </c>
      <c r="M213" s="6">
        <v>-0.17</v>
      </c>
      <c r="N213" s="4">
        <v>0.41</v>
      </c>
      <c r="O213" s="4">
        <v>-0.09</v>
      </c>
      <c r="P213" s="6">
        <v>-0.57999999999999996</v>
      </c>
      <c r="Q213" s="6">
        <v>-0.75</v>
      </c>
      <c r="R213" s="6">
        <v>-0.31</v>
      </c>
      <c r="S213" s="6">
        <v>-0.48</v>
      </c>
      <c r="T213" s="4">
        <v>-0.51</v>
      </c>
      <c r="U213" s="4">
        <v>-0.85</v>
      </c>
      <c r="V213" s="4">
        <v>7.0000000000000007E-2</v>
      </c>
      <c r="W213" s="4">
        <v>-0.31</v>
      </c>
      <c r="X213" s="10">
        <v>-3.3018867924528461E-2</v>
      </c>
      <c r="Y213" s="8">
        <v>4.8780487804878092E-2</v>
      </c>
      <c r="Z213" s="8">
        <v>-0.17674418604651149</v>
      </c>
      <c r="AA213" s="8">
        <v>-9.6045197740112997E-2</v>
      </c>
    </row>
    <row r="214" spans="2:27" hidden="1" x14ac:dyDescent="0.3">
      <c r="B214" s="3" t="s">
        <v>468</v>
      </c>
      <c r="C214" s="3" t="s">
        <v>901</v>
      </c>
      <c r="D214" s="3" t="s">
        <v>828</v>
      </c>
      <c r="E214" s="3" t="s">
        <v>906</v>
      </c>
      <c r="F214" s="5">
        <v>-25.4</v>
      </c>
      <c r="G214" s="3"/>
      <c r="H214" s="3"/>
      <c r="I214" s="3"/>
      <c r="J214" s="3"/>
      <c r="K214" s="3"/>
      <c r="L214" s="3"/>
      <c r="M214" s="3"/>
      <c r="N214" s="4">
        <v>-2.14</v>
      </c>
      <c r="O214" s="4">
        <v>-1.84</v>
      </c>
      <c r="P214" s="4">
        <v>-4.6500000000000004</v>
      </c>
      <c r="Q214" s="4">
        <v>-2.48</v>
      </c>
      <c r="R214" s="6">
        <v>-3.41</v>
      </c>
      <c r="S214" s="6">
        <v>-3.09</v>
      </c>
      <c r="T214" s="4">
        <v>0</v>
      </c>
      <c r="U214" s="4">
        <v>-2.2999999999999998</v>
      </c>
      <c r="V214" s="4">
        <v>-0.76</v>
      </c>
      <c r="W214" s="4">
        <v>-1.53</v>
      </c>
      <c r="X214" s="10">
        <v>-0.34115920763022739</v>
      </c>
      <c r="Y214" s="8">
        <v>-2.0044543429844072E-2</v>
      </c>
      <c r="Z214" s="8">
        <v>-0.30113636363636381</v>
      </c>
      <c r="AA214" s="8">
        <v>-0.25365853658536591</v>
      </c>
    </row>
    <row r="215" spans="2:27" hidden="1" x14ac:dyDescent="0.3">
      <c r="B215" s="3" t="s">
        <v>397</v>
      </c>
      <c r="C215" s="3" t="s">
        <v>911</v>
      </c>
      <c r="D215" s="3" t="s">
        <v>900</v>
      </c>
      <c r="E215" s="3" t="s">
        <v>906</v>
      </c>
      <c r="F215" s="5">
        <v>-89.1</v>
      </c>
      <c r="G215" s="3"/>
      <c r="H215" s="3"/>
      <c r="I215" s="3"/>
      <c r="J215" s="3"/>
      <c r="K215" s="3"/>
      <c r="L215" s="3"/>
      <c r="M215" s="3"/>
      <c r="N215" s="4">
        <v>0</v>
      </c>
      <c r="O215" s="4">
        <v>174</v>
      </c>
      <c r="P215" s="4">
        <v>580</v>
      </c>
      <c r="Q215" s="4">
        <v>852</v>
      </c>
      <c r="R215" s="6">
        <v>386</v>
      </c>
      <c r="S215" s="4">
        <v>-37</v>
      </c>
      <c r="T215" s="4">
        <v>52</v>
      </c>
      <c r="U215" s="4">
        <v>-36</v>
      </c>
      <c r="V215" s="4">
        <v>85</v>
      </c>
      <c r="W215" s="4">
        <v>-94</v>
      </c>
      <c r="X215" s="10">
        <v>-0.29646266142616512</v>
      </c>
      <c r="Y215" s="8">
        <v>-0.70869912210694341</v>
      </c>
      <c r="Z215" s="8">
        <v>-0.8246575342465754</v>
      </c>
      <c r="AA215" s="8">
        <v>-0.890625</v>
      </c>
    </row>
  </sheetData>
  <autoFilter ref="B2:AA215" xr:uid="{00000000-0009-0000-0000-000002000000}">
    <filterColumn colId="3">
      <filters>
        <filter val="Dec'25"/>
        <filter val="H1 2026"/>
        <filter val="H2 2025"/>
        <filter val="Jun'26"/>
        <filter val="Mar'26"/>
        <filter val="Sep'26"/>
      </filters>
    </filterColumn>
    <sortState xmlns:xlrd2="http://schemas.microsoft.com/office/spreadsheetml/2017/richdata2" ref="B3:AA208">
      <sortCondition descending="1" ref="C2:C215"/>
    </sortState>
  </autoFilter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B50"/>
  <sheetViews>
    <sheetView zoomScale="85" zoomScaleNormal="85" workbookViewId="0">
      <selection activeCell="V22" sqref="V22"/>
    </sheetView>
  </sheetViews>
  <sheetFormatPr defaultRowHeight="16.5" x14ac:dyDescent="0.3"/>
  <cols>
    <col min="1" max="1" width="3" customWidth="1"/>
    <col min="2" max="2" width="23.75" customWidth="1"/>
    <col min="3" max="7" width="9.5" hidden="1" customWidth="1"/>
    <col min="8" max="11" width="9.5" customWidth="1"/>
    <col min="12" max="12" width="10.25" customWidth="1"/>
    <col min="13" max="18" width="9.5" customWidth="1"/>
    <col min="19" max="19" width="11.5" customWidth="1"/>
    <col min="20" max="23" width="10.625" customWidth="1"/>
  </cols>
  <sheetData>
    <row r="2" spans="2:28" x14ac:dyDescent="0.3">
      <c r="B2" s="14" t="s">
        <v>914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2:28" x14ac:dyDescent="0.3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2:28" x14ac:dyDescent="0.3">
      <c r="B4" s="16">
        <v>3296</v>
      </c>
      <c r="C4" s="17">
        <v>6</v>
      </c>
      <c r="D4" s="17">
        <v>7</v>
      </c>
      <c r="E4" s="17">
        <v>8</v>
      </c>
      <c r="F4" s="17">
        <v>9</v>
      </c>
      <c r="G4" s="17">
        <v>10</v>
      </c>
      <c r="H4" s="17">
        <v>11</v>
      </c>
      <c r="I4" s="17">
        <v>12</v>
      </c>
      <c r="J4" s="17">
        <v>13</v>
      </c>
      <c r="K4" s="17">
        <v>14</v>
      </c>
      <c r="L4" s="17">
        <v>15</v>
      </c>
      <c r="M4" s="17">
        <v>16</v>
      </c>
      <c r="N4" s="17">
        <v>17</v>
      </c>
      <c r="O4" s="17">
        <v>18</v>
      </c>
      <c r="P4" s="17">
        <v>19</v>
      </c>
      <c r="Q4" s="17">
        <v>20</v>
      </c>
      <c r="R4" s="17">
        <v>21</v>
      </c>
      <c r="S4" s="17">
        <v>22</v>
      </c>
      <c r="Y4" s="12" t="s">
        <v>758</v>
      </c>
      <c r="Z4" s="12">
        <v>5108</v>
      </c>
      <c r="AA4" s="3" t="s">
        <v>899</v>
      </c>
      <c r="AB4" s="3" t="s">
        <v>76</v>
      </c>
    </row>
    <row r="5" spans="2:28" ht="15.75" customHeight="1" x14ac:dyDescent="0.3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Y5" s="12" t="s">
        <v>255</v>
      </c>
      <c r="Z5" s="12">
        <v>3296</v>
      </c>
      <c r="AA5" s="3" t="s">
        <v>899</v>
      </c>
      <c r="AB5" s="3" t="s">
        <v>615</v>
      </c>
    </row>
    <row r="6" spans="2:28" ht="18" customHeight="1" x14ac:dyDescent="0.3">
      <c r="B6" s="19"/>
      <c r="C6" s="20" t="s">
        <v>915</v>
      </c>
      <c r="D6" s="20" t="s">
        <v>916</v>
      </c>
      <c r="E6" s="20" t="s">
        <v>917</v>
      </c>
      <c r="F6" s="20" t="s">
        <v>918</v>
      </c>
      <c r="G6" s="20" t="s">
        <v>919</v>
      </c>
      <c r="H6" s="20" t="s">
        <v>807</v>
      </c>
      <c r="I6" s="20" t="s">
        <v>920</v>
      </c>
      <c r="J6" s="20" t="s">
        <v>921</v>
      </c>
      <c r="K6" s="20" t="s">
        <v>922</v>
      </c>
      <c r="L6" s="20" t="s">
        <v>811</v>
      </c>
      <c r="M6" s="20" t="s">
        <v>812</v>
      </c>
      <c r="N6" s="20" t="s">
        <v>813</v>
      </c>
      <c r="O6" s="20" t="s">
        <v>814</v>
      </c>
      <c r="P6" s="20" t="s">
        <v>815</v>
      </c>
      <c r="Q6" s="20" t="s">
        <v>816</v>
      </c>
      <c r="R6" s="20" t="s">
        <v>817</v>
      </c>
      <c r="S6" s="21" t="s">
        <v>818</v>
      </c>
      <c r="T6" s="20" t="s">
        <v>923</v>
      </c>
      <c r="U6" s="20" t="s">
        <v>924</v>
      </c>
      <c r="V6" s="20" t="s">
        <v>925</v>
      </c>
      <c r="W6" s="20" t="s">
        <v>926</v>
      </c>
      <c r="Y6" s="12" t="s">
        <v>728</v>
      </c>
    </row>
    <row r="7" spans="2:28" x14ac:dyDescent="0.3">
      <c r="B7" s="22" t="s">
        <v>927</v>
      </c>
      <c r="C7" s="23">
        <f>VLOOKUP($B$4,Revenue!$B:$W,C4,FALSE)</f>
        <v>9411</v>
      </c>
      <c r="D7" s="23">
        <f>VLOOKUP($B$4,Revenue!$B:$W,D4,FALSE)</f>
        <v>0</v>
      </c>
      <c r="E7" s="23">
        <f>VLOOKUP($B$4,Revenue!$B:$W,E4,FALSE)</f>
        <v>10041</v>
      </c>
      <c r="F7" s="23">
        <f>VLOOKUP($B$4,Revenue!$B:$W,F4,FALSE)</f>
        <v>0</v>
      </c>
      <c r="G7" s="23">
        <f>VLOOKUP($B$4,Revenue!$B:$W,G4,FALSE)</f>
        <v>8535</v>
      </c>
      <c r="H7" s="23">
        <f>VLOOKUP($B$4,Revenue!$B:$W,H4,FALSE)</f>
        <v>0</v>
      </c>
      <c r="I7" s="23">
        <f>VLOOKUP($B$4,Revenue!$B:$W,I4,FALSE)</f>
        <v>8548</v>
      </c>
      <c r="J7" s="23">
        <f>VLOOKUP($B$4,Revenue!$B:$W,J4,FALSE)</f>
        <v>0</v>
      </c>
      <c r="K7" s="23">
        <f>VLOOKUP($B$4,Revenue!$B:$W,K4,FALSE)</f>
        <v>8865</v>
      </c>
      <c r="L7" s="23">
        <f>VLOOKUP($B$4,Revenue!$B:$W,L4,FALSE)</f>
        <v>0</v>
      </c>
      <c r="M7" s="23">
        <f>VLOOKUP($B$4,Revenue!$B:$W,M4,FALSE)</f>
        <v>8828</v>
      </c>
      <c r="N7" s="23">
        <f>VLOOKUP($B$4,Revenue!$B:$W,N4,FALSE)</f>
        <v>0</v>
      </c>
      <c r="O7" s="23">
        <f>VLOOKUP($B$4,Revenue!$B:$W,O4,FALSE)</f>
        <v>9865</v>
      </c>
      <c r="P7" s="23">
        <f>VLOOKUP($B$4,Revenue!$B:$W,P4,FALSE)</f>
        <v>0</v>
      </c>
      <c r="Q7" s="23">
        <f>VLOOKUP($B$4,Revenue!$B:$W,Q4,FALSE)</f>
        <v>9964</v>
      </c>
      <c r="R7" s="23">
        <f>VLOOKUP($B$4,Revenue!$B:$W,R4,FALSE)</f>
        <v>0</v>
      </c>
      <c r="S7" s="24">
        <f>VLOOKUP($B$4,Revenue!$B:$W,S4,FALSE)</f>
        <v>11013</v>
      </c>
      <c r="T7" s="23"/>
      <c r="U7" s="23"/>
      <c r="V7" s="23"/>
      <c r="W7" s="23"/>
      <c r="Y7" s="12" t="s">
        <v>247</v>
      </c>
    </row>
    <row r="8" spans="2:28" x14ac:dyDescent="0.3">
      <c r="B8" s="22" t="s">
        <v>928</v>
      </c>
      <c r="C8" s="23">
        <f>VLOOKUP($B$4,'Operating Income'!$B:$W,C4,FALSE)</f>
        <v>5506</v>
      </c>
      <c r="D8" s="23">
        <f>VLOOKUP($B$4,'Operating Income'!$B:$W,D4,FALSE)</f>
        <v>0</v>
      </c>
      <c r="E8" s="23">
        <f>VLOOKUP($B$4,'Operating Income'!$B:$W,E4,FALSE)</f>
        <v>6050</v>
      </c>
      <c r="F8" s="23">
        <f>VLOOKUP($B$4,'Operating Income'!$B:$W,F4,FALSE)</f>
        <v>0</v>
      </c>
      <c r="G8" s="23">
        <f>VLOOKUP($B$4,'Operating Income'!$B:$W,G4,FALSE)</f>
        <v>4600</v>
      </c>
      <c r="H8" s="23">
        <f>VLOOKUP($B$4,'Operating Income'!$B:$W,H4,FALSE)</f>
        <v>0</v>
      </c>
      <c r="I8" s="23">
        <f>VLOOKUP($B$4,'Operating Income'!$B:$W,I4,FALSE)</f>
        <v>4444</v>
      </c>
      <c r="J8" s="23">
        <f>VLOOKUP($B$4,'Operating Income'!$B:$W,J4,FALSE)</f>
        <v>0</v>
      </c>
      <c r="K8" s="23">
        <f>VLOOKUP($B$4,'Operating Income'!$B:$W,K4,FALSE)</f>
        <v>4686</v>
      </c>
      <c r="L8" s="23">
        <f>VLOOKUP($B$4,'Operating Income'!$B:$W,L4,FALSE)</f>
        <v>0</v>
      </c>
      <c r="M8" s="23">
        <f>VLOOKUP($B$4,'Operating Income'!$B:$W,M4,FALSE)</f>
        <v>4706</v>
      </c>
      <c r="N8" s="23">
        <f>VLOOKUP($B$4,'Operating Income'!$B:$W,N4,FALSE)</f>
        <v>0</v>
      </c>
      <c r="O8" s="23">
        <f>VLOOKUP($B$4,'Operating Income'!$B:$W,O4,FALSE)</f>
        <v>5668</v>
      </c>
      <c r="P8" s="23">
        <f>VLOOKUP($B$4,'Operating Income'!$B:$W,P4,FALSE)</f>
        <v>0</v>
      </c>
      <c r="Q8" s="23">
        <f>VLOOKUP($B$4,'Operating Income'!$B:$W,Q4,FALSE)</f>
        <v>5786</v>
      </c>
      <c r="R8" s="23">
        <f>VLOOKUP($B$4,'Operating Income'!$B:$W,R4,FALSE)</f>
        <v>0</v>
      </c>
      <c r="S8" s="24">
        <f>VLOOKUP($B$4,'Operating Income'!$B:$W,S4,FALSE)</f>
        <v>6836</v>
      </c>
      <c r="T8" s="23"/>
      <c r="U8" s="23"/>
      <c r="V8" s="23"/>
      <c r="W8" s="23"/>
      <c r="Y8" s="12" t="s">
        <v>432</v>
      </c>
    </row>
    <row r="9" spans="2:28" x14ac:dyDescent="0.3">
      <c r="B9" s="22" t="s">
        <v>929</v>
      </c>
      <c r="C9" s="23">
        <f>AVERAGE(C8:C8)</f>
        <v>5506</v>
      </c>
      <c r="D9" s="23">
        <f>AVERAGE(C8:D8)</f>
        <v>2753</v>
      </c>
      <c r="E9" s="23">
        <f>AVERAGE(C8:E8)</f>
        <v>3852</v>
      </c>
      <c r="F9" s="23">
        <f t="shared" ref="F9:R9" si="0">AVERAGE(C8:F8)</f>
        <v>2889</v>
      </c>
      <c r="G9" s="23">
        <f t="shared" si="0"/>
        <v>2662.5</v>
      </c>
      <c r="H9" s="23">
        <f t="shared" si="0"/>
        <v>2662.5</v>
      </c>
      <c r="I9" s="23">
        <f t="shared" si="0"/>
        <v>2261</v>
      </c>
      <c r="J9" s="23">
        <f>AVERAGE(G8:J8)</f>
        <v>2261</v>
      </c>
      <c r="K9" s="23">
        <f t="shared" si="0"/>
        <v>2282.5</v>
      </c>
      <c r="L9" s="23">
        <f t="shared" si="0"/>
        <v>2282.5</v>
      </c>
      <c r="M9" s="23">
        <f t="shared" si="0"/>
        <v>2348</v>
      </c>
      <c r="N9" s="23">
        <f t="shared" si="0"/>
        <v>2348</v>
      </c>
      <c r="O9" s="23">
        <f t="shared" si="0"/>
        <v>2593.5</v>
      </c>
      <c r="P9" s="23">
        <f t="shared" si="0"/>
        <v>2593.5</v>
      </c>
      <c r="Q9" s="23">
        <f t="shared" si="0"/>
        <v>2863.5</v>
      </c>
      <c r="R9" s="23">
        <f t="shared" si="0"/>
        <v>2863.5</v>
      </c>
      <c r="S9" s="24">
        <f>AVERAGE(P8:S8)</f>
        <v>3155.5</v>
      </c>
      <c r="T9" s="23"/>
      <c r="U9" s="23"/>
      <c r="V9" s="23"/>
      <c r="W9" s="23"/>
      <c r="Y9" s="12" t="s">
        <v>681</v>
      </c>
    </row>
    <row r="10" spans="2:28" x14ac:dyDescent="0.3">
      <c r="B10" s="22" t="s">
        <v>930</v>
      </c>
      <c r="C10" s="23">
        <f>SUM(C8:C8)</f>
        <v>5506</v>
      </c>
      <c r="D10" s="23">
        <f>SUM(C8:D8)</f>
        <v>5506</v>
      </c>
      <c r="E10" s="23">
        <f>SUM(C8:E8)</f>
        <v>11556</v>
      </c>
      <c r="F10" s="23">
        <f t="shared" ref="F10:S10" si="1">SUM(C8:F8)</f>
        <v>11556</v>
      </c>
      <c r="G10" s="23">
        <f t="shared" si="1"/>
        <v>10650</v>
      </c>
      <c r="H10" s="23">
        <f t="shared" si="1"/>
        <v>10650</v>
      </c>
      <c r="I10" s="23">
        <f t="shared" si="1"/>
        <v>9044</v>
      </c>
      <c r="J10" s="23">
        <f t="shared" si="1"/>
        <v>9044</v>
      </c>
      <c r="K10" s="23">
        <f t="shared" si="1"/>
        <v>9130</v>
      </c>
      <c r="L10" s="23">
        <f t="shared" si="1"/>
        <v>9130</v>
      </c>
      <c r="M10" s="23">
        <f t="shared" si="1"/>
        <v>9392</v>
      </c>
      <c r="N10" s="23">
        <f t="shared" si="1"/>
        <v>9392</v>
      </c>
      <c r="O10" s="23">
        <f t="shared" si="1"/>
        <v>10374</v>
      </c>
      <c r="P10" s="23">
        <f t="shared" si="1"/>
        <v>10374</v>
      </c>
      <c r="Q10" s="23">
        <f t="shared" si="1"/>
        <v>11454</v>
      </c>
      <c r="R10" s="23">
        <f t="shared" si="1"/>
        <v>11454</v>
      </c>
      <c r="S10" s="24">
        <f t="shared" si="1"/>
        <v>12622</v>
      </c>
      <c r="T10" s="23"/>
      <c r="U10" s="23"/>
      <c r="V10" s="23"/>
      <c r="W10" s="23"/>
      <c r="Y10" s="12" t="s">
        <v>673</v>
      </c>
    </row>
    <row r="11" spans="2:28" x14ac:dyDescent="0.3">
      <c r="B11" s="22" t="s">
        <v>931</v>
      </c>
      <c r="C11" s="25"/>
      <c r="D11" s="25">
        <f t="shared" ref="D11:S11" si="2">D9/C9-1</f>
        <v>-0.5</v>
      </c>
      <c r="E11" s="25">
        <f t="shared" si="2"/>
        <v>0.39920087177624408</v>
      </c>
      <c r="F11" s="25">
        <f t="shared" si="2"/>
        <v>-0.25</v>
      </c>
      <c r="G11" s="25">
        <f t="shared" si="2"/>
        <v>-7.8400830737279326E-2</v>
      </c>
      <c r="H11" s="25">
        <f>H9/G9-1</f>
        <v>0</v>
      </c>
      <c r="I11" s="25">
        <f t="shared" si="2"/>
        <v>-0.15079812206572774</v>
      </c>
      <c r="J11" s="25">
        <f>J9/I9-1</f>
        <v>0</v>
      </c>
      <c r="K11" s="25">
        <f t="shared" si="2"/>
        <v>9.5090667846084997E-3</v>
      </c>
      <c r="L11" s="25">
        <f t="shared" si="2"/>
        <v>0</v>
      </c>
      <c r="M11" s="25">
        <f t="shared" si="2"/>
        <v>2.8696604600219056E-2</v>
      </c>
      <c r="N11" s="25">
        <f t="shared" si="2"/>
        <v>0</v>
      </c>
      <c r="O11" s="25">
        <f t="shared" si="2"/>
        <v>0.10455706984667801</v>
      </c>
      <c r="P11" s="26">
        <f t="shared" si="2"/>
        <v>0</v>
      </c>
      <c r="Q11" s="26">
        <f t="shared" si="2"/>
        <v>0.10410641989589364</v>
      </c>
      <c r="R11" s="26">
        <f t="shared" si="2"/>
        <v>0</v>
      </c>
      <c r="S11" s="27">
        <f>S9/R9-1</f>
        <v>0.10197310983062691</v>
      </c>
      <c r="T11" s="28"/>
      <c r="U11" s="28"/>
      <c r="V11" s="28"/>
      <c r="W11" s="28"/>
      <c r="Y11" s="12" t="s">
        <v>646</v>
      </c>
    </row>
    <row r="12" spans="2:28" x14ac:dyDescent="0.3">
      <c r="B12" s="22" t="s">
        <v>913</v>
      </c>
      <c r="C12" s="29">
        <f t="shared" ref="C12:F12" si="3">IFERROR(C8/C7,"-")</f>
        <v>0.58506003612793545</v>
      </c>
      <c r="D12" s="29" t="str">
        <f t="shared" si="3"/>
        <v>-</v>
      </c>
      <c r="E12" s="29">
        <f t="shared" si="3"/>
        <v>0.60252962852305547</v>
      </c>
      <c r="F12" s="29" t="str">
        <f t="shared" si="3"/>
        <v>-</v>
      </c>
      <c r="G12" s="29">
        <f>IFERROR(G8/G7,"-")</f>
        <v>0.53895723491505565</v>
      </c>
      <c r="H12" s="29" t="str">
        <f t="shared" ref="H12:S12" si="4">IFERROR(H8/H7,"-")</f>
        <v>-</v>
      </c>
      <c r="I12" s="29">
        <f t="shared" si="4"/>
        <v>0.51988769302760884</v>
      </c>
      <c r="J12" s="29" t="str">
        <f t="shared" si="4"/>
        <v>-</v>
      </c>
      <c r="K12" s="29">
        <f t="shared" si="4"/>
        <v>0.52859560067681899</v>
      </c>
      <c r="L12" s="29" t="str">
        <f t="shared" si="4"/>
        <v>-</v>
      </c>
      <c r="M12" s="29">
        <f t="shared" si="4"/>
        <v>0.53307657453556867</v>
      </c>
      <c r="N12" s="29" t="str">
        <f t="shared" si="4"/>
        <v>-</v>
      </c>
      <c r="O12" s="29">
        <f t="shared" si="4"/>
        <v>0.57455651292448051</v>
      </c>
      <c r="P12" s="29" t="str">
        <f t="shared" si="4"/>
        <v>-</v>
      </c>
      <c r="Q12" s="29">
        <f t="shared" si="4"/>
        <v>0.58069048574869531</v>
      </c>
      <c r="R12" s="29" t="str">
        <f t="shared" si="4"/>
        <v>-</v>
      </c>
      <c r="S12" s="30">
        <f t="shared" si="4"/>
        <v>0.62072096613093619</v>
      </c>
      <c r="T12" s="31"/>
      <c r="U12" s="31"/>
      <c r="V12" s="31"/>
      <c r="W12" s="31"/>
      <c r="Y12" s="12" t="s">
        <v>460</v>
      </c>
    </row>
    <row r="13" spans="2:28" x14ac:dyDescent="0.3">
      <c r="B13" s="22" t="s">
        <v>932</v>
      </c>
      <c r="C13" s="31" t="e">
        <f>C8/#REF!-1</f>
        <v>#REF!</v>
      </c>
      <c r="D13" s="31" t="e">
        <f>D8/#REF!-1</f>
        <v>#REF!</v>
      </c>
      <c r="E13" s="31" t="e">
        <f>E8/#REF!-1</f>
        <v>#REF!</v>
      </c>
      <c r="F13" s="31" t="e">
        <f>F8/#REF!-1</f>
        <v>#REF!</v>
      </c>
      <c r="G13" s="31">
        <f t="shared" ref="G13:S13" si="5">G8/C8-1</f>
        <v>-0.16454776607337451</v>
      </c>
      <c r="H13" s="31" t="e">
        <f t="shared" si="5"/>
        <v>#DIV/0!</v>
      </c>
      <c r="I13" s="31">
        <f t="shared" si="5"/>
        <v>-0.2654545454545455</v>
      </c>
      <c r="J13" s="31" t="e">
        <f t="shared" si="5"/>
        <v>#DIV/0!</v>
      </c>
      <c r="K13" s="31">
        <f t="shared" si="5"/>
        <v>1.8695652173913002E-2</v>
      </c>
      <c r="L13" s="31" t="e">
        <f t="shared" si="5"/>
        <v>#DIV/0!</v>
      </c>
      <c r="M13" s="31">
        <f t="shared" si="5"/>
        <v>5.8955895589559049E-2</v>
      </c>
      <c r="N13" s="31" t="e">
        <f t="shared" si="5"/>
        <v>#DIV/0!</v>
      </c>
      <c r="O13" s="31">
        <f t="shared" si="5"/>
        <v>0.20956039265898418</v>
      </c>
      <c r="P13" s="32" t="e">
        <f t="shared" si="5"/>
        <v>#DIV/0!</v>
      </c>
      <c r="Q13" s="32">
        <f t="shared" si="5"/>
        <v>0.22949426264343398</v>
      </c>
      <c r="R13" s="32" t="e">
        <f t="shared" si="5"/>
        <v>#DIV/0!</v>
      </c>
      <c r="S13" s="33">
        <f t="shared" si="5"/>
        <v>0.20606916019760058</v>
      </c>
      <c r="T13" s="31"/>
      <c r="U13" s="31"/>
      <c r="V13" s="31"/>
      <c r="W13" s="31"/>
      <c r="Y13" s="12" t="s">
        <v>267</v>
      </c>
    </row>
    <row r="14" spans="2:28" x14ac:dyDescent="0.3">
      <c r="B14" s="22" t="s">
        <v>933</v>
      </c>
      <c r="G14" s="31">
        <f>G7/C7-1</f>
        <v>-9.3082562958240356E-2</v>
      </c>
      <c r="H14" s="31" t="e">
        <f>H7/D7-1</f>
        <v>#DIV/0!</v>
      </c>
      <c r="I14" s="31">
        <f t="shared" ref="I14:S14" si="6">I7/E7-1</f>
        <v>-0.14869036948511105</v>
      </c>
      <c r="J14" s="31" t="e">
        <f t="shared" si="6"/>
        <v>#DIV/0!</v>
      </c>
      <c r="K14" s="31">
        <f t="shared" si="6"/>
        <v>3.8664323374340892E-2</v>
      </c>
      <c r="L14" s="31" t="e">
        <f t="shared" si="6"/>
        <v>#DIV/0!</v>
      </c>
      <c r="M14" s="31">
        <f t="shared" si="6"/>
        <v>3.2756200280767533E-2</v>
      </c>
      <c r="N14" s="31" t="e">
        <f t="shared" si="6"/>
        <v>#DIV/0!</v>
      </c>
      <c r="O14" s="31">
        <f t="shared" si="6"/>
        <v>0.11280315848843769</v>
      </c>
      <c r="P14" s="31" t="e">
        <f t="shared" si="6"/>
        <v>#DIV/0!</v>
      </c>
      <c r="Q14" s="31">
        <f t="shared" si="6"/>
        <v>0.12868146805618497</v>
      </c>
      <c r="R14" s="31" t="e">
        <f t="shared" si="6"/>
        <v>#DIV/0!</v>
      </c>
      <c r="S14" s="31">
        <f t="shared" si="6"/>
        <v>0.11637100861632033</v>
      </c>
      <c r="Y14" s="12" t="s">
        <v>89</v>
      </c>
    </row>
    <row r="15" spans="2:28" x14ac:dyDescent="0.3">
      <c r="Y15" s="12" t="s">
        <v>188</v>
      </c>
    </row>
    <row r="16" spans="2:28" x14ac:dyDescent="0.3">
      <c r="Y16" s="12" t="s">
        <v>122</v>
      </c>
    </row>
    <row r="17" spans="23:25" x14ac:dyDescent="0.3">
      <c r="W17" s="12" t="s">
        <v>11</v>
      </c>
      <c r="Y17" s="12" t="s">
        <v>656</v>
      </c>
    </row>
    <row r="18" spans="23:25" x14ac:dyDescent="0.3">
      <c r="W18" s="12" t="s">
        <v>293</v>
      </c>
      <c r="Y18" s="12" t="s">
        <v>413</v>
      </c>
    </row>
    <row r="19" spans="23:25" x14ac:dyDescent="0.3">
      <c r="W19" s="12" t="s">
        <v>24</v>
      </c>
      <c r="Y19" s="12" t="s">
        <v>236</v>
      </c>
    </row>
    <row r="20" spans="23:25" x14ac:dyDescent="0.3">
      <c r="W20" s="12" t="s">
        <v>769</v>
      </c>
      <c r="Y20" s="12" t="s">
        <v>228</v>
      </c>
    </row>
    <row r="21" spans="23:25" x14ac:dyDescent="0.3">
      <c r="W21" s="12" t="s">
        <v>151</v>
      </c>
      <c r="Y21" s="12" t="s">
        <v>70</v>
      </c>
    </row>
    <row r="22" spans="23:25" x14ac:dyDescent="0.3">
      <c r="W22" s="12" t="s">
        <v>137</v>
      </c>
      <c r="Y22" s="12" t="s">
        <v>190</v>
      </c>
    </row>
    <row r="23" spans="23:25" x14ac:dyDescent="0.3">
      <c r="W23" s="12" t="s">
        <v>361</v>
      </c>
      <c r="Y23" s="12" t="s">
        <v>163</v>
      </c>
    </row>
    <row r="24" spans="23:25" x14ac:dyDescent="0.3">
      <c r="W24" s="12" t="s">
        <v>101</v>
      </c>
      <c r="Y24" s="12" t="s">
        <v>733</v>
      </c>
    </row>
    <row r="25" spans="23:25" x14ac:dyDescent="0.3">
      <c r="W25" s="12" t="s">
        <v>145</v>
      </c>
      <c r="Y25" s="12" t="s">
        <v>301</v>
      </c>
    </row>
    <row r="26" spans="23:25" x14ac:dyDescent="0.3">
      <c r="W26" s="12" t="s">
        <v>145</v>
      </c>
      <c r="Y26" s="12" t="s">
        <v>38</v>
      </c>
    </row>
    <row r="27" spans="23:25" x14ac:dyDescent="0.3">
      <c r="W27" s="12" t="s">
        <v>95</v>
      </c>
      <c r="Y27" s="12" t="s">
        <v>724</v>
      </c>
    </row>
    <row r="28" spans="23:25" x14ac:dyDescent="0.3">
      <c r="W28" s="12" t="s">
        <v>207</v>
      </c>
      <c r="Y28" s="12" t="s">
        <v>135</v>
      </c>
    </row>
    <row r="29" spans="23:25" x14ac:dyDescent="0.3">
      <c r="W29" s="12" t="s">
        <v>341</v>
      </c>
      <c r="Y29" s="12" t="s">
        <v>68</v>
      </c>
    </row>
    <row r="30" spans="23:25" x14ac:dyDescent="0.3">
      <c r="Y30" s="12" t="s">
        <v>87</v>
      </c>
    </row>
    <row r="31" spans="23:25" x14ac:dyDescent="0.3">
      <c r="Y31" s="12" t="s">
        <v>428</v>
      </c>
    </row>
    <row r="32" spans="23:25" x14ac:dyDescent="0.3">
      <c r="Y32" s="12" t="s">
        <v>114</v>
      </c>
    </row>
    <row r="33" spans="25:25" x14ac:dyDescent="0.3">
      <c r="Y33" s="12" t="s">
        <v>14</v>
      </c>
    </row>
    <row r="34" spans="25:25" x14ac:dyDescent="0.3">
      <c r="Y34" s="12" t="s">
        <v>165</v>
      </c>
    </row>
    <row r="35" spans="25:25" x14ac:dyDescent="0.3">
      <c r="Y35" s="12" t="s">
        <v>642</v>
      </c>
    </row>
    <row r="36" spans="25:25" x14ac:dyDescent="0.3">
      <c r="Y36" s="12" t="s">
        <v>290</v>
      </c>
    </row>
    <row r="37" spans="25:25" x14ac:dyDescent="0.3">
      <c r="Y37" s="12" t="s">
        <v>571</v>
      </c>
    </row>
    <row r="38" spans="25:25" x14ac:dyDescent="0.3">
      <c r="Y38" s="12" t="s">
        <v>11</v>
      </c>
    </row>
    <row r="39" spans="25:25" x14ac:dyDescent="0.3">
      <c r="Y39" s="12" t="s">
        <v>293</v>
      </c>
    </row>
    <row r="40" spans="25:25" x14ac:dyDescent="0.3">
      <c r="Y40" s="12" t="s">
        <v>24</v>
      </c>
    </row>
    <row r="41" spans="25:25" x14ac:dyDescent="0.3">
      <c r="Y41" s="12" t="s">
        <v>769</v>
      </c>
    </row>
    <row r="42" spans="25:25" x14ac:dyDescent="0.3">
      <c r="Y42" s="12" t="s">
        <v>151</v>
      </c>
    </row>
    <row r="43" spans="25:25" x14ac:dyDescent="0.3">
      <c r="Y43" s="12" t="s">
        <v>137</v>
      </c>
    </row>
    <row r="44" spans="25:25" x14ac:dyDescent="0.3">
      <c r="Y44" s="12" t="s">
        <v>361</v>
      </c>
    </row>
    <row r="45" spans="25:25" x14ac:dyDescent="0.3">
      <c r="Y45" s="12" t="s">
        <v>101</v>
      </c>
    </row>
    <row r="46" spans="25:25" x14ac:dyDescent="0.3">
      <c r="Y46" s="12" t="s">
        <v>145</v>
      </c>
    </row>
    <row r="47" spans="25:25" x14ac:dyDescent="0.3">
      <c r="Y47" s="12" t="s">
        <v>145</v>
      </c>
    </row>
    <row r="48" spans="25:25" x14ac:dyDescent="0.3">
      <c r="Y48" s="12" t="s">
        <v>95</v>
      </c>
    </row>
    <row r="49" spans="25:25" x14ac:dyDescent="0.3">
      <c r="Y49" s="12" t="s">
        <v>207</v>
      </c>
    </row>
    <row r="50" spans="25:25" x14ac:dyDescent="0.3">
      <c r="Y50" s="12" t="s">
        <v>341</v>
      </c>
    </row>
  </sheetData>
  <phoneticPr fontId="7" type="noConversion"/>
  <conditionalFormatting sqref="B10">
    <cfRule type="top10" dxfId="6" priority="22" percent="1" rank="5"/>
  </conditionalFormatting>
  <conditionalFormatting sqref="B8:S8">
    <cfRule type="top10" dxfId="5" priority="23" percent="1" rank="10"/>
  </conditionalFormatting>
  <conditionalFormatting sqref="B10">
    <cfRule type="top10" priority="24" rank="10"/>
  </conditionalFormatting>
  <conditionalFormatting sqref="B11:W11">
    <cfRule type="cellIs" dxfId="4" priority="8" operator="greaterThan">
      <formula>0.1</formula>
    </cfRule>
  </conditionalFormatting>
  <conditionalFormatting sqref="C13:P13"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7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5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8">
      <iconSet iconSet="3Arrows">
        <cfvo type="percent" val="0"/>
        <cfvo type="percent" val="33"/>
        <cfvo type="percent" val="67"/>
      </iconSet>
    </cfRule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6">
      <iconSet iconSet="3Arrows">
        <cfvo type="percent" val="0"/>
        <cfvo type="percent" val="33"/>
        <cfvo type="percent" val="67"/>
      </iconSet>
    </cfRule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3" priority="9" percent="1" rank="10"/>
  </conditionalFormatting>
  <conditionalFormatting sqref="T10:W10">
    <cfRule type="top10" priority="10" rank="10"/>
  </conditionalFormatting>
  <conditionalFormatting sqref="T12:W12">
    <cfRule type="iconSet" priority="7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5">
      <iconSet iconSet="3Arrows">
        <cfvo type="percent" val="0"/>
        <cfvo type="percent" val="33"/>
        <cfvo type="percent" val="67"/>
      </iconSe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C10:P10">
    <cfRule type="top10" dxfId="0" priority="1" percent="1" rank="5"/>
  </conditionalFormatting>
  <conditionalFormatting sqref="C10:S10">
    <cfRule type="top10" priority="2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2026-02-19T09:09:27Z</dcterms:created>
  <dcterms:modified xsi:type="dcterms:W3CDTF">2026-02-19T11:40:52Z</dcterms:modified>
</cp:coreProperties>
</file>