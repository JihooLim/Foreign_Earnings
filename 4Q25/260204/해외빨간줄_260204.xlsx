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F035F0B0-544D-4031-AD6A-0F95684B03D0}" xr6:coauthVersionLast="47" xr6:coauthVersionMax="47" xr10:uidLastSave="{00000000-0000-0000-0000-000000000000}"/>
  <bookViews>
    <workbookView xWindow="28680" yWindow="465" windowWidth="29040" windowHeight="15720" activeTab="2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Income'!$B$2:$AA$187</definedName>
    <definedName name="_xlnm._FilterDatabase" localSheetId="1" hidden="1">Revenue!$B$2:$AA$186</definedName>
    <definedName name="_xlnm._FilterDatabase" localSheetId="0" hidden="1">기업리스트!$B$3:$G$261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4" l="1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C9" i="4" s="1"/>
  <c r="S8" i="4"/>
  <c r="D7" i="4"/>
  <c r="E7" i="4"/>
  <c r="F7" i="4"/>
  <c r="G7" i="4"/>
  <c r="C7" i="4"/>
  <c r="I7" i="4"/>
  <c r="J7" i="4"/>
  <c r="K7" i="4"/>
  <c r="L7" i="4"/>
  <c r="M7" i="4"/>
  <c r="N7" i="4"/>
  <c r="O7" i="4"/>
  <c r="P7" i="4"/>
  <c r="Q7" i="4"/>
  <c r="R7" i="4"/>
  <c r="S7" i="4"/>
  <c r="H7" i="4"/>
  <c r="O9" i="4" l="1"/>
  <c r="Q10" i="4"/>
  <c r="J10" i="4"/>
  <c r="H10" i="4"/>
  <c r="G10" i="4"/>
  <c r="I10" i="4"/>
  <c r="C12" i="4"/>
  <c r="O12" i="4"/>
  <c r="S13" i="4"/>
  <c r="S10" i="4"/>
  <c r="M12" i="4"/>
  <c r="G14" i="4"/>
  <c r="R10" i="4"/>
  <c r="Q13" i="4"/>
  <c r="R13" i="4"/>
  <c r="H13" i="4"/>
  <c r="E9" i="4"/>
  <c r="L9" i="4"/>
  <c r="Q9" i="4"/>
  <c r="L10" i="4"/>
  <c r="N9" i="4"/>
  <c r="D9" i="4"/>
  <c r="D11" i="4" s="1"/>
  <c r="P9" i="4"/>
  <c r="K10" i="4"/>
  <c r="N12" i="4"/>
  <c r="I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J9" i="4"/>
  <c r="E10" i="4"/>
  <c r="H12" i="4"/>
  <c r="C13" i="4"/>
  <c r="O13" i="4"/>
  <c r="J13" i="4"/>
  <c r="K9" i="4"/>
  <c r="F10" i="4"/>
  <c r="I12" i="4"/>
  <c r="D13" i="4"/>
  <c r="P13" i="4"/>
  <c r="J12" i="4"/>
  <c r="E13" i="4"/>
  <c r="M9" i="4"/>
  <c r="K12" i="4"/>
  <c r="F13" i="4"/>
  <c r="L12" i="4"/>
  <c r="G13" i="4"/>
  <c r="O11" i="4" l="1"/>
  <c r="O14" i="4"/>
  <c r="Q14" i="4"/>
  <c r="L14" i="4"/>
  <c r="F11" i="4"/>
  <c r="N14" i="4"/>
  <c r="N11" i="4"/>
  <c r="G11" i="4"/>
  <c r="P11" i="4"/>
  <c r="P14" i="4"/>
  <c r="L11" i="4"/>
  <c r="S14" i="4"/>
  <c r="S11" i="4"/>
  <c r="Q11" i="4"/>
  <c r="M11" i="4"/>
  <c r="M14" i="4"/>
  <c r="R11" i="4"/>
  <c r="R14" i="4"/>
  <c r="E11" i="4"/>
  <c r="I14" i="4"/>
  <c r="I11" i="4"/>
  <c r="J11" i="4"/>
  <c r="J14" i="4"/>
  <c r="H11" i="4"/>
  <c r="H14" i="4"/>
  <c r="K11" i="4"/>
  <c r="K14" i="4"/>
  <c r="D116" i="3" l="1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15" i="3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</calcChain>
</file>

<file path=xl/sharedStrings.xml><?xml version="1.0" encoding="utf-8"?>
<sst xmlns="http://schemas.openxmlformats.org/spreadsheetml/2006/main" count="2531" uniqueCount="605">
  <si>
    <t>실적 기업 정보</t>
  </si>
  <si>
    <t>Ticker</t>
  </si>
  <si>
    <t>Company</t>
  </si>
  <si>
    <t>Date</t>
  </si>
  <si>
    <t>Time</t>
  </si>
  <si>
    <t>Quarter Ending</t>
  </si>
  <si>
    <t>Market Cap (mil$)</t>
  </si>
  <si>
    <t>GOOGL</t>
  </si>
  <si>
    <t>Alphabet Inc.</t>
  </si>
  <si>
    <t>04-Feb-26</t>
  </si>
  <si>
    <t>After Hours</t>
  </si>
  <si>
    <t>Dec-25</t>
  </si>
  <si>
    <t>LLY</t>
  </si>
  <si>
    <t>Eli Lilly and Company</t>
  </si>
  <si>
    <t>Pre Market</t>
  </si>
  <si>
    <t>ABBV</t>
  </si>
  <si>
    <t>AbbVie Inc.</t>
  </si>
  <si>
    <t>NOVN</t>
  </si>
  <si>
    <t>Novartis AG</t>
  </si>
  <si>
    <t>NOVO B</t>
  </si>
  <si>
    <t>Novo Nordisk A/S</t>
  </si>
  <si>
    <t>Mitsubishi UFJ Financial Group, Inc.</t>
  </si>
  <si>
    <t>UBER</t>
  </si>
  <si>
    <t>Uber Technologies, Inc.</t>
  </si>
  <si>
    <t>QCOM</t>
  </si>
  <si>
    <t>QUALCOMM Incorporated</t>
  </si>
  <si>
    <t>UBSG</t>
  </si>
  <si>
    <t>UBS Group AG</t>
  </si>
  <si>
    <t>BSX</t>
  </si>
  <si>
    <t>Boston Scientific Corporation</t>
  </si>
  <si>
    <t>ARM</t>
  </si>
  <si>
    <t>Arm Holdings plc</t>
  </si>
  <si>
    <t>CME</t>
  </si>
  <si>
    <t>CME Group Inc.</t>
  </si>
  <si>
    <t>GSK</t>
  </si>
  <si>
    <t>GSK plc</t>
  </si>
  <si>
    <t>MCK</t>
  </si>
  <si>
    <t>McKesson Corporation</t>
  </si>
  <si>
    <t>ITUB4</t>
  </si>
  <si>
    <t>Itaú Unibanco Holding S.A.</t>
  </si>
  <si>
    <t>MediaTek Inc.</t>
  </si>
  <si>
    <t>ORLY</t>
  </si>
  <si>
    <t>O'Reilly Automotive, Inc.</t>
  </si>
  <si>
    <t>BAM</t>
  </si>
  <si>
    <t>Brookfield Asset Management Ltd.</t>
  </si>
  <si>
    <t>JCI</t>
  </si>
  <si>
    <t>Johnson Controls International plc</t>
  </si>
  <si>
    <t>COR</t>
  </si>
  <si>
    <t>Cencora, Inc.</t>
  </si>
  <si>
    <t>EQNR</t>
  </si>
  <si>
    <t>Equinor ASA</t>
  </si>
  <si>
    <t>DSV</t>
  </si>
  <si>
    <t>DSV A/S</t>
  </si>
  <si>
    <t>ACA</t>
  </si>
  <si>
    <t>Crédit Agricole S.A.</t>
  </si>
  <si>
    <t>IFX</t>
  </si>
  <si>
    <t>Infineon Technologies AG</t>
  </si>
  <si>
    <t>AFL</t>
  </si>
  <si>
    <t>Aflac Incorporated</t>
  </si>
  <si>
    <t>PSX</t>
  </si>
  <si>
    <t>Phillips 66</t>
  </si>
  <si>
    <t>ALL</t>
  </si>
  <si>
    <t>The Allstate Corporation</t>
  </si>
  <si>
    <t>MET</t>
  </si>
  <si>
    <t>MetLife, Inc.</t>
  </si>
  <si>
    <t>YUM</t>
  </si>
  <si>
    <t>Yum! Brands, Inc.</t>
  </si>
  <si>
    <t>DNB</t>
  </si>
  <si>
    <t>DNB Bank ASA</t>
  </si>
  <si>
    <t>CTSH</t>
  </si>
  <si>
    <t>Cognizant Technology Solutions Corporation</t>
  </si>
  <si>
    <t>CCI</t>
  </si>
  <si>
    <t>Crown Castle Inc.</t>
  </si>
  <si>
    <t>GEHC</t>
  </si>
  <si>
    <t>GE HealthCare Technologies Inc.</t>
  </si>
  <si>
    <t>Daikin Industries,Ltd.</t>
  </si>
  <si>
    <t>ODFL</t>
  </si>
  <si>
    <t>Old Dominion Freight Line, Inc.</t>
  </si>
  <si>
    <t>FOX</t>
  </si>
  <si>
    <t>Fox Entertainment Group, LLC</t>
  </si>
  <si>
    <t>BAJAJFINSV</t>
  </si>
  <si>
    <t>Bajaj Finserv Ltd.</t>
  </si>
  <si>
    <t>Panasonic Holdings Corporation</t>
  </si>
  <si>
    <t>NTDT.Y</t>
  </si>
  <si>
    <t>NTT DATA Group Corporation</t>
  </si>
  <si>
    <t>SHB A</t>
  </si>
  <si>
    <t>Svenska Handelsbanken AB (publ)</t>
  </si>
  <si>
    <t>A042660</t>
  </si>
  <si>
    <t>Hanwha Ocean Co., Ltd.</t>
  </si>
  <si>
    <t>FOXA</t>
  </si>
  <si>
    <t>Fox Corporation</t>
  </si>
  <si>
    <t>BPE</t>
  </si>
  <si>
    <t>BPER Banca SpA</t>
  </si>
  <si>
    <t>EFX</t>
  </si>
  <si>
    <t>Equifax Inc.</t>
  </si>
  <si>
    <t>STE</t>
  </si>
  <si>
    <t>STERIS plc</t>
  </si>
  <si>
    <t>MKL</t>
  </si>
  <si>
    <t>Markel Group Inc.</t>
  </si>
  <si>
    <t>AVB</t>
  </si>
  <si>
    <t>AvalonBay Communities, Inc.</t>
  </si>
  <si>
    <t>Astellas Pharma Inc.</t>
  </si>
  <si>
    <t>FLEX</t>
  </si>
  <si>
    <t>Flex Ltd.</t>
  </si>
  <si>
    <t>TROW</t>
  </si>
  <si>
    <t>T. Rowe Price Group, Inc.</t>
  </si>
  <si>
    <t>RI</t>
  </si>
  <si>
    <t>Pernod Ricard SA</t>
  </si>
  <si>
    <t>PTC</t>
  </si>
  <si>
    <t>PTC Inc.</t>
  </si>
  <si>
    <t>CPAY</t>
  </si>
  <si>
    <t>Corpay, Inc.</t>
  </si>
  <si>
    <t>SANB11</t>
  </si>
  <si>
    <t>Banco Santander (Brasil) S.A.</t>
  </si>
  <si>
    <t>Trent Limited</t>
  </si>
  <si>
    <t>BG</t>
  </si>
  <si>
    <t>Bunge Global SA</t>
  </si>
  <si>
    <t>COHR</t>
  </si>
  <si>
    <t>Coherent Corp.</t>
  </si>
  <si>
    <t>OMV</t>
  </si>
  <si>
    <t>OMV Aktiengesellschaft</t>
  </si>
  <si>
    <t>LY Corporation</t>
  </si>
  <si>
    <t>WRT1V</t>
  </si>
  <si>
    <t>Wärtsilä Oyj Abp</t>
  </si>
  <si>
    <t>CARL B</t>
  </si>
  <si>
    <t>Carlsberg A/S</t>
  </si>
  <si>
    <t>CDW</t>
  </si>
  <si>
    <t>CDW Corporation</t>
  </si>
  <si>
    <t>BANDAI NAMCO Holdings Inc.</t>
  </si>
  <si>
    <t>FTV</t>
  </si>
  <si>
    <t>Fortive Corporation</t>
  </si>
  <si>
    <t>ESS</t>
  </si>
  <si>
    <t>Essex Property Trust, Inc.</t>
  </si>
  <si>
    <t>PFGC</t>
  </si>
  <si>
    <t>Performance Food Group Company</t>
  </si>
  <si>
    <t>MAA</t>
  </si>
  <si>
    <t>Mid-America Apartment Communities, Inc.</t>
  </si>
  <si>
    <t>YUMC</t>
  </si>
  <si>
    <t>Yum China Holdings, Inc.</t>
  </si>
  <si>
    <t>EQH</t>
  </si>
  <si>
    <t>Equitable Holdings, Inc.</t>
  </si>
  <si>
    <t>Nippon Sanso Holdings Corporation</t>
  </si>
  <si>
    <t>EG</t>
  </si>
  <si>
    <t>Everest Group, Ltd.</t>
  </si>
  <si>
    <t>Bajaj Holdings &amp; Investment Limited</t>
  </si>
  <si>
    <t>BMED</t>
  </si>
  <si>
    <t>Banca Mediolanum S.p.A.</t>
  </si>
  <si>
    <t>UPM</t>
  </si>
  <si>
    <t>UPM-Kymmene Oyj</t>
  </si>
  <si>
    <t>S68</t>
  </si>
  <si>
    <t>Singapore Exchange Limited</t>
  </si>
  <si>
    <t>SNAP</t>
  </si>
  <si>
    <t>Snap Inc.</t>
  </si>
  <si>
    <t>Tata Power Company Limited</t>
  </si>
  <si>
    <t>A138040</t>
  </si>
  <si>
    <t>Meritz Financial Group Inc.</t>
  </si>
  <si>
    <t>GARAN</t>
  </si>
  <si>
    <t>Turkiye Garanti Bankasi A.S.</t>
  </si>
  <si>
    <t>AVY</t>
  </si>
  <si>
    <t>Avery Dennison Corporation</t>
  </si>
  <si>
    <t>EVR</t>
  </si>
  <si>
    <t>Evercore Inc.</t>
  </si>
  <si>
    <t>IEX</t>
  </si>
  <si>
    <t>IDEX Corporation</t>
  </si>
  <si>
    <t>Cummins India Limited</t>
  </si>
  <si>
    <t>OHI</t>
  </si>
  <si>
    <t>Omega Healthcare Investors, Inc.</t>
  </si>
  <si>
    <t>SWK</t>
  </si>
  <si>
    <t>Stanley Black &amp; Decker, Inc.</t>
  </si>
  <si>
    <t>A010130</t>
  </si>
  <si>
    <t>Korea Zinc Company, Ltd.</t>
  </si>
  <si>
    <t>GL</t>
  </si>
  <si>
    <t>Globe Life Inc.</t>
  </si>
  <si>
    <t>CCK</t>
  </si>
  <si>
    <t>Crown Holdings, Inc.</t>
  </si>
  <si>
    <t>DAY</t>
  </si>
  <si>
    <t>Dayforce, Inc.</t>
  </si>
  <si>
    <t>M3, Inc.</t>
  </si>
  <si>
    <t>ENSG</t>
  </si>
  <si>
    <t>The Ensign Group, Inc.</t>
  </si>
  <si>
    <t>UHAL</t>
  </si>
  <si>
    <t>U-Haul Holding Company</t>
  </si>
  <si>
    <t>REXR</t>
  </si>
  <si>
    <t>Rexford Industrial Realty, Inc.</t>
  </si>
  <si>
    <t>NHPC</t>
  </si>
  <si>
    <t>NHPC Limited</t>
  </si>
  <si>
    <t>RRX</t>
  </si>
  <si>
    <t>Regal Rexnord Corporation</t>
  </si>
  <si>
    <t>TECH</t>
  </si>
  <si>
    <t>Bio-Techne Corporation</t>
  </si>
  <si>
    <t>BSE</t>
  </si>
  <si>
    <t>BSE Limited</t>
  </si>
  <si>
    <t>QGEN</t>
  </si>
  <si>
    <t>Qiagen N.V.</t>
  </si>
  <si>
    <t>ALGN</t>
  </si>
  <si>
    <t>Align Technology, Inc.</t>
  </si>
  <si>
    <t>SKX</t>
  </si>
  <si>
    <t>Skechers U.S.A., Inc.</t>
  </si>
  <si>
    <t>EGP</t>
  </si>
  <si>
    <t>EastGroup Properties, Inc.</t>
  </si>
  <si>
    <t>NYT</t>
  </si>
  <si>
    <t>The New York Times Company</t>
  </si>
  <si>
    <t>CAI</t>
  </si>
  <si>
    <t>Caris Life Sciences, Inc.</t>
  </si>
  <si>
    <t>STERV</t>
  </si>
  <si>
    <t>Stora Enso Oyj</t>
  </si>
  <si>
    <t>SITM</t>
  </si>
  <si>
    <t>SiTime Corporation</t>
  </si>
  <si>
    <t>SECU B</t>
  </si>
  <si>
    <t>Securitas AB (publ)</t>
  </si>
  <si>
    <t>A034730</t>
  </si>
  <si>
    <t>SK Inc.</t>
  </si>
  <si>
    <t>FSV</t>
  </si>
  <si>
    <t>FirstService Corporation</t>
  </si>
  <si>
    <t>SYM</t>
  </si>
  <si>
    <t>Symbotic Inc.</t>
  </si>
  <si>
    <t>A267250</t>
  </si>
  <si>
    <t>HD Hyundai Co., Ltd.</t>
  </si>
  <si>
    <t>UGI</t>
  </si>
  <si>
    <t>UGI Corporation</t>
  </si>
  <si>
    <t>MUSA</t>
  </si>
  <si>
    <t>Murphy USA Inc.</t>
  </si>
  <si>
    <t>MOD</t>
  </si>
  <si>
    <t>Modine Manufacturing Company</t>
  </si>
  <si>
    <t>FR</t>
  </si>
  <si>
    <t>First Industrial Realty Trust, Inc.</t>
  </si>
  <si>
    <t>TTMI</t>
  </si>
  <si>
    <t>TTM Technologies, Inc.</t>
  </si>
  <si>
    <t>BRIS</t>
  </si>
  <si>
    <t>PT Bank Syariah Indonesia Tbk</t>
  </si>
  <si>
    <t>Coherent, Inc.</t>
  </si>
  <si>
    <t>NOV</t>
  </si>
  <si>
    <t>NOV Inc.</t>
  </si>
  <si>
    <t>LEA</t>
  </si>
  <si>
    <t>Lear Corporation</t>
  </si>
  <si>
    <t>TKR</t>
  </si>
  <si>
    <t>The Timken Company</t>
  </si>
  <si>
    <t>TRNO</t>
  </si>
  <si>
    <t>Terreno Realty Corporation</t>
  </si>
  <si>
    <t>RILBA</t>
  </si>
  <si>
    <t>Ringkjøbing Landbobank A/S</t>
  </si>
  <si>
    <t>ENS</t>
  </si>
  <si>
    <t>EnerSys</t>
  </si>
  <si>
    <t>BOOT</t>
  </si>
  <si>
    <t>Boot Barn Holdings, Inc.</t>
  </si>
  <si>
    <t>TIINDIA</t>
  </si>
  <si>
    <t>Tube Investments of India Limited</t>
  </si>
  <si>
    <t>Fukuoka Financial Group, Inc.</t>
  </si>
  <si>
    <t>WEX</t>
  </si>
  <si>
    <t>WEX Inc.</t>
  </si>
  <si>
    <t>ROHM Co., Ltd.</t>
  </si>
  <si>
    <t>REYN</t>
  </si>
  <si>
    <t>Reynolds Consumer Products Inc.</t>
  </si>
  <si>
    <t>A161390</t>
  </si>
  <si>
    <t>Hankook Tire &amp; Technology Co., Ltd.</t>
  </si>
  <si>
    <t>RAL</t>
  </si>
  <si>
    <t>Ralliant Corporation</t>
  </si>
  <si>
    <t>MC</t>
  </si>
  <si>
    <t>Moelis &amp; Company</t>
  </si>
  <si>
    <t>QEWS</t>
  </si>
  <si>
    <t>Qatar Electricity &amp; Water Company Q.P.S.C.</t>
  </si>
  <si>
    <t>SNEX</t>
  </si>
  <si>
    <t>StoneX Group Inc.</t>
  </si>
  <si>
    <t>FORM</t>
  </si>
  <si>
    <t>FormFactor, Inc.</t>
  </si>
  <si>
    <t>ELF</t>
  </si>
  <si>
    <t>e.l.f. Beauty, Inc.</t>
  </si>
  <si>
    <t>SLGN</t>
  </si>
  <si>
    <t>Silgan Holdings Inc.</t>
  </si>
  <si>
    <t>AMBU B</t>
  </si>
  <si>
    <t>Ambu A/S</t>
  </si>
  <si>
    <t>BKH</t>
  </si>
  <si>
    <t>Black Hills Corporation</t>
  </si>
  <si>
    <t>VCTR</t>
  </si>
  <si>
    <t>Victory Capital Holdings, Inc.</t>
  </si>
  <si>
    <t>VKTX</t>
  </si>
  <si>
    <t>Viking Therapeutics, Inc.</t>
  </si>
  <si>
    <t>VVV</t>
  </si>
  <si>
    <t>Valvoline Inc.</t>
  </si>
  <si>
    <t>Organo Corporation</t>
  </si>
  <si>
    <t>SKY Perfect JSAT Holdings Inc.</t>
  </si>
  <si>
    <t>MWA</t>
  </si>
  <si>
    <t>Mueller Water Products, Inc.</t>
  </si>
  <si>
    <t>APOLLOTYRE</t>
  </si>
  <si>
    <t>Apollo Tyres Limited</t>
  </si>
  <si>
    <t>MIAX</t>
  </si>
  <si>
    <t>Miami International Holdings, Inc.</t>
  </si>
  <si>
    <t>BIPROGY Inc.</t>
  </si>
  <si>
    <t>Sankyo Co., Ltd.</t>
  </si>
  <si>
    <t>Tobu Railway Co., Ltd.</t>
  </si>
  <si>
    <t>TENB</t>
  </si>
  <si>
    <t>Tenable Holdings, Inc.</t>
  </si>
  <si>
    <t>A009830</t>
  </si>
  <si>
    <t>Hanwha Solutions Corporation</t>
  </si>
  <si>
    <t>ZFCVINDIA</t>
  </si>
  <si>
    <t>ZF Commercial Vehicle Control Systems India Limited</t>
  </si>
  <si>
    <t>Yamaha Corporation</t>
  </si>
  <si>
    <t>HUSQ B</t>
  </si>
  <si>
    <t>Husqvarna AB (publ)</t>
  </si>
  <si>
    <t>HP</t>
  </si>
  <si>
    <t>Helmerich &amp; Payne, Inc.</t>
  </si>
  <si>
    <t>LOOMIS</t>
  </si>
  <si>
    <t>Loomis AB (publ)</t>
  </si>
  <si>
    <t>KLNMA</t>
  </si>
  <si>
    <t>Türkiye Kalkinma ve Yatirim Bankasi A.S.</t>
  </si>
  <si>
    <t>CFT</t>
  </si>
  <si>
    <t>Compagnie Financière Tradition SA</t>
  </si>
  <si>
    <t>Saudi Industrial Investment Group</t>
  </si>
  <si>
    <t>KMT</t>
  </si>
  <si>
    <t>Kennametal Inc.</t>
  </si>
  <si>
    <t>Emami Limited</t>
  </si>
  <si>
    <t>Timken India Limited</t>
  </si>
  <si>
    <t>Chugin Financial Group,Inc.</t>
  </si>
  <si>
    <t>GS Yuasa Corporation</t>
  </si>
  <si>
    <t>Japan Airport Terminal Co., Ltd.</t>
  </si>
  <si>
    <t>VSH</t>
  </si>
  <si>
    <t>Vishay Intertechnology, Inc.</t>
  </si>
  <si>
    <t>REDINGTON</t>
  </si>
  <si>
    <t>Redington Limited</t>
  </si>
  <si>
    <t>KMPR</t>
  </si>
  <si>
    <t>Kemper Corporation</t>
  </si>
  <si>
    <t>KPIL</t>
  </si>
  <si>
    <t>Kalpataru Projects International Limited</t>
  </si>
  <si>
    <t>ALIF B</t>
  </si>
  <si>
    <t>AddLife AB (publ)</t>
  </si>
  <si>
    <t>PLUS</t>
  </si>
  <si>
    <t>ePlus inc.</t>
  </si>
  <si>
    <t>PEAB B</t>
  </si>
  <si>
    <t>Peab AB (publ)</t>
  </si>
  <si>
    <t>HI</t>
  </si>
  <si>
    <t>Hillenbrand, Inc.</t>
  </si>
  <si>
    <t>Aozora Bank, Ltd.</t>
  </si>
  <si>
    <t>PTRN</t>
  </si>
  <si>
    <t>Pattern Group Inc.</t>
  </si>
  <si>
    <t>A011170</t>
  </si>
  <si>
    <t>Lotte Chemical Corporation</t>
  </si>
  <si>
    <t>DHT</t>
  </si>
  <si>
    <t>DHT Holdings, Inc.</t>
  </si>
  <si>
    <t>CSGS</t>
  </si>
  <si>
    <t>CSG Systems International, Inc.</t>
  </si>
  <si>
    <t>PTEN</t>
  </si>
  <si>
    <t>Patterson-UTI Energy, Inc.</t>
  </si>
  <si>
    <t>TGI</t>
  </si>
  <si>
    <t>Triumph Group, Inc.</t>
  </si>
  <si>
    <t>DEVYANI</t>
  </si>
  <si>
    <t>Devyani International Limited</t>
  </si>
  <si>
    <t>KLIC</t>
  </si>
  <si>
    <t>Kulicke and Soffa Industries, Inc.</t>
  </si>
  <si>
    <t>STC</t>
  </si>
  <si>
    <t>Stewart Information Services Corporation</t>
  </si>
  <si>
    <t>BRG</t>
  </si>
  <si>
    <t>Borregaard ASA</t>
  </si>
  <si>
    <t>A008930</t>
  </si>
  <si>
    <t>Hanmi Science Co., Ltd.</t>
  </si>
  <si>
    <t>Century Plyboards (India) Limited</t>
  </si>
  <si>
    <t>CHEMM</t>
  </si>
  <si>
    <t>ChemoMetec A/S</t>
  </si>
  <si>
    <t>A012510</t>
  </si>
  <si>
    <t>Douzone Bizon Co., Ltd.</t>
  </si>
  <si>
    <t>CENT</t>
  </si>
  <si>
    <t>Central Garden &amp; Pet Company</t>
  </si>
  <si>
    <t>CMRE</t>
  </si>
  <si>
    <t>Costamare Inc.</t>
  </si>
  <si>
    <t>ASGN</t>
  </si>
  <si>
    <t>ASGN Incorporated</t>
  </si>
  <si>
    <t>FLNC</t>
  </si>
  <si>
    <t>Fluence Energy, Inc.</t>
  </si>
  <si>
    <t>QATI</t>
  </si>
  <si>
    <t>Qatar Insurance Company Q.S.P.C.</t>
  </si>
  <si>
    <t>MCRI</t>
  </si>
  <si>
    <t>Monarch Casino &amp; Resort, Inc.</t>
  </si>
  <si>
    <t>FMC</t>
  </si>
  <si>
    <t>FMC Corporation</t>
  </si>
  <si>
    <t>AZTA</t>
  </si>
  <si>
    <t>Azenta, Inc.</t>
  </si>
  <si>
    <t>UBE Corporation</t>
  </si>
  <si>
    <t>ADNT</t>
  </si>
  <si>
    <t>Adient plc</t>
  </si>
  <si>
    <t>H2O Retailing Corporation</t>
  </si>
  <si>
    <t>DGII</t>
  </si>
  <si>
    <t>Digi International Inc.</t>
  </si>
  <si>
    <t>PAHC</t>
  </si>
  <si>
    <t>Phibro Animal Health Corporation</t>
  </si>
  <si>
    <t>BLBD</t>
  </si>
  <si>
    <t>Blue Bird Corporation</t>
  </si>
  <si>
    <t>ALGT</t>
  </si>
  <si>
    <t>Allegiant Travel Company</t>
  </si>
  <si>
    <t>BEML Limited</t>
  </si>
  <si>
    <t>CNGO</t>
  </si>
  <si>
    <t>Cengage Learning Holdings II, Inc.</t>
  </si>
  <si>
    <t>CNXN</t>
  </si>
  <si>
    <t>PC Connection, Inc.</t>
  </si>
  <si>
    <t>Okuma Corporation</t>
  </si>
  <si>
    <t>AMSC</t>
  </si>
  <si>
    <t>American Superconductor Corporation</t>
  </si>
  <si>
    <t>MINDACORP</t>
  </si>
  <si>
    <t>Minda Corporation Limited</t>
  </si>
  <si>
    <t>UTI</t>
  </si>
  <si>
    <t>Universal Technical Institute, Inc.</t>
  </si>
  <si>
    <t>ATEN</t>
  </si>
  <si>
    <t>A10 Networks, Inc.</t>
  </si>
  <si>
    <t>EZPW</t>
  </si>
  <si>
    <t>EZCORP, Inc.</t>
  </si>
  <si>
    <t>LUCK</t>
  </si>
  <si>
    <t>Lucky Strike Entertainment Corporation</t>
  </si>
  <si>
    <t>A007070</t>
  </si>
  <si>
    <t>GS Retail Co., Ltd.</t>
  </si>
  <si>
    <t>Inabata &amp; Co.,Ltd.</t>
  </si>
  <si>
    <t>SAMMAANCAP</t>
  </si>
  <si>
    <t>Sammaan Capital Limited</t>
  </si>
  <si>
    <t>Dec-24</t>
  </si>
  <si>
    <t>NCK</t>
  </si>
  <si>
    <t>Nick Scali Limited</t>
  </si>
  <si>
    <t>JUBLINGREA</t>
  </si>
  <si>
    <t>Jubilant Ingrevia Limited</t>
  </si>
  <si>
    <t>RITES</t>
  </si>
  <si>
    <t>RITES Limited</t>
  </si>
  <si>
    <t>Performance Food Group, Inc.</t>
  </si>
  <si>
    <t>CLA B</t>
  </si>
  <si>
    <t>Cloetta AB (publ)</t>
  </si>
  <si>
    <t>A073240</t>
  </si>
  <si>
    <t>Kumho Tire Co., Inc.</t>
  </si>
  <si>
    <t>Xintec Inc.</t>
  </si>
  <si>
    <t>F.C.C. Co., Ltd.</t>
  </si>
  <si>
    <t>AZAD</t>
  </si>
  <si>
    <t>Azad Engineering Limited</t>
  </si>
  <si>
    <t>DNORD</t>
  </si>
  <si>
    <t>Dampskibsselskabet Norden A/S</t>
  </si>
  <si>
    <t>CMP</t>
  </si>
  <si>
    <t>Compass Minerals International, Inc.</t>
  </si>
  <si>
    <t>BASS</t>
  </si>
  <si>
    <t>BASSAC Société anonyme</t>
  </si>
  <si>
    <t>TOM2</t>
  </si>
  <si>
    <t>TomTom N.V.</t>
  </si>
  <si>
    <t>Galilei Co. Ltd.</t>
  </si>
  <si>
    <t>CLB</t>
  </si>
  <si>
    <t>Core Laboratories Inc.</t>
  </si>
  <si>
    <t>A294870</t>
  </si>
  <si>
    <t>HDC Hyundai Development Company</t>
  </si>
  <si>
    <t>BERG B</t>
  </si>
  <si>
    <t>Bergman &amp; Beving AB (publ)</t>
  </si>
  <si>
    <t>Nishio Holdings Co., Ltd.</t>
  </si>
  <si>
    <t>TOCALO Co.,Ltd.</t>
  </si>
  <si>
    <t>SAP</t>
  </si>
  <si>
    <t>Sappi Limited</t>
  </si>
  <si>
    <t>Hochiki Corporation</t>
  </si>
  <si>
    <t>Nichicon Corporation</t>
  </si>
  <si>
    <t>Prism Johnson Limited</t>
  </si>
  <si>
    <t>Fuji Kyuko Co., Ltd.</t>
  </si>
  <si>
    <t>NRG</t>
  </si>
  <si>
    <t>NRJ Group SA</t>
  </si>
  <si>
    <t>KE</t>
  </si>
  <si>
    <t>Kimball Electronics, Inc.</t>
  </si>
  <si>
    <t>Daiichi Jitsugyo Co., Ltd.</t>
  </si>
  <si>
    <t>7177</t>
  </si>
  <si>
    <t>GMO Financial Holdings, Inc.</t>
  </si>
  <si>
    <t>RRHI</t>
  </si>
  <si>
    <t>Robinsons Retail Holdings, Inc.</t>
  </si>
  <si>
    <t>Arata Corporation</t>
  </si>
  <si>
    <t>SAPPHIRE</t>
  </si>
  <si>
    <t>Sapphire Foods India Limited</t>
  </si>
  <si>
    <t>GULFOILLUB</t>
  </si>
  <si>
    <t>Gulf Oil Lubricants India Limited</t>
  </si>
  <si>
    <t>A012630</t>
  </si>
  <si>
    <t>HDC HOLDINGS CO.,Ltd</t>
  </si>
  <si>
    <t>NTGR</t>
  </si>
  <si>
    <t>NETGEAR, Inc.</t>
  </si>
  <si>
    <t>SURYAROSNI</t>
  </si>
  <si>
    <t>Surya Roshni Limited</t>
  </si>
  <si>
    <t>KYORIN Pharmaceutical Co., Ltd.</t>
  </si>
  <si>
    <t>HEBA B</t>
  </si>
  <si>
    <t>Heba Fastighets AB (publ)</t>
  </si>
  <si>
    <t>GMM Pfaudler Limited</t>
  </si>
  <si>
    <t>Kennametal India Limited</t>
  </si>
  <si>
    <t>A381970</t>
  </si>
  <si>
    <t>K Car Co., Ltd.</t>
  </si>
  <si>
    <t>CRNC</t>
  </si>
  <si>
    <t>Cerence Inc.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</si>
  <si>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</si>
  <si>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</si>
  <si>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</si>
  <si>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</si>
  <si>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</si>
  <si>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</si>
  <si>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</si>
  <si>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</si>
  <si>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</si>
  <si>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</si>
  <si>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</si>
  <si>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</si>
  <si>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</si>
  <si>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</si>
  <si>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</si>
  <si>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</si>
  <si>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</si>
  <si>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</si>
  <si>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</si>
  <si>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</si>
  <si>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</si>
  <si>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</si>
  <si>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Software - Application</t>
  </si>
  <si>
    <t>Mar'26</t>
  </si>
  <si>
    <t>Farm Products</t>
  </si>
  <si>
    <t>Dec'25</t>
  </si>
  <si>
    <t>Semiconductors</t>
  </si>
  <si>
    <t>Utilities - Renewable</t>
  </si>
  <si>
    <t>Asset Management</t>
  </si>
  <si>
    <t>Drug Manufacturers - General</t>
  </si>
  <si>
    <t>Household &amp; Personal Products</t>
  </si>
  <si>
    <t>Sep'26</t>
  </si>
  <si>
    <t>Oil &amp; Gas Drilling</t>
  </si>
  <si>
    <t>Capital Markets</t>
  </si>
  <si>
    <t>Insurance - Life</t>
  </si>
  <si>
    <t>Other Industrial Metals &amp; Mining</t>
  </si>
  <si>
    <t>Auto Parts</t>
  </si>
  <si>
    <t>Semiconductor Equipment &amp; Materials</t>
  </si>
  <si>
    <t>Software - Infrastructure</t>
  </si>
  <si>
    <t>Specialty Industrial Machinery</t>
  </si>
  <si>
    <t>Credit Services</t>
  </si>
  <si>
    <t>Medical Care Facilities</t>
  </si>
  <si>
    <t>Apparel Retail</t>
  </si>
  <si>
    <t>Drug Manufacturers - Specialty &amp; Generic</t>
  </si>
  <si>
    <t>Jun'26</t>
  </si>
  <si>
    <t>Internet Content &amp; Information</t>
  </si>
  <si>
    <t>Insurance - Property &amp; Casualty</t>
  </si>
  <si>
    <t>Electronic Components</t>
  </si>
  <si>
    <t>Communication Equipment</t>
  </si>
  <si>
    <t>Scientific &amp; Technical Instruments</t>
  </si>
  <si>
    <t>Medical Devices</t>
  </si>
  <si>
    <t>Specialty Retail</t>
  </si>
  <si>
    <t>REIT - Healthcare Facilities</t>
  </si>
  <si>
    <t>Publishing</t>
  </si>
  <si>
    <t>Medical Distribution</t>
  </si>
  <si>
    <t>Auto &amp; Truck Dealerships</t>
  </si>
  <si>
    <t>Tools &amp; Accessories</t>
  </si>
  <si>
    <t>Education &amp; Training Services</t>
  </si>
  <si>
    <t>Consulting Services</t>
  </si>
  <si>
    <t>Financial Data &amp; Stock Exchanges</t>
  </si>
  <si>
    <t>Oil &amp; Gas Refining &amp; Marketing</t>
  </si>
  <si>
    <t>Restaurants</t>
  </si>
  <si>
    <t>Packaging &amp; Containers</t>
  </si>
  <si>
    <t>Utilities - Regulated Gas</t>
  </si>
  <si>
    <t>Building Products &amp; Equipment</t>
  </si>
  <si>
    <t>Information Technology Services</t>
  </si>
  <si>
    <t>Medical Instruments &amp; Supplies</t>
  </si>
  <si>
    <t>Food Distribution</t>
  </si>
  <si>
    <t>Farm &amp; Heavy Construction Machinery</t>
  </si>
  <si>
    <t>Airlines</t>
  </si>
  <si>
    <t>REIT - Residential</t>
  </si>
  <si>
    <t>Entertainment</t>
  </si>
  <si>
    <t>Leisure</t>
  </si>
  <si>
    <t>Rental &amp; Leasing Services</t>
  </si>
  <si>
    <t>Electrical Equipment &amp; Parts</t>
  </si>
  <si>
    <t>Real Estate Services</t>
  </si>
  <si>
    <t>Biotechnology</t>
  </si>
  <si>
    <t>Electronics &amp; Computer Distribution</t>
  </si>
  <si>
    <t>Insurance - Reinsurance</t>
  </si>
  <si>
    <t>Oil &amp; Gas Equipment &amp; Services</t>
  </si>
  <si>
    <t>Oil &amp; Gas Integrated</t>
  </si>
  <si>
    <t>Packaged Foods</t>
  </si>
  <si>
    <t>Trucking</t>
  </si>
  <si>
    <t>Agricultural Inputs</t>
  </si>
  <si>
    <t>REIT - Specialty</t>
  </si>
  <si>
    <t>Japan</t>
  </si>
  <si>
    <t>N/A</t>
  </si>
  <si>
    <t>India</t>
  </si>
  <si>
    <t>Sep'25</t>
  </si>
  <si>
    <t>Engineering &amp; Construction</t>
  </si>
  <si>
    <t>REIT - Industrial</t>
  </si>
  <si>
    <t>Jun'25</t>
  </si>
  <si>
    <t>Mar'25</t>
  </si>
  <si>
    <t>Diagnostics &amp; Research</t>
  </si>
  <si>
    <t>Utilities - Independent Power Producers</t>
  </si>
  <si>
    <t>Resorts &amp; Casinos</t>
  </si>
  <si>
    <t>Marine Shipping</t>
  </si>
  <si>
    <t>Oil &amp; Gas Midstream</t>
  </si>
  <si>
    <t>France</t>
  </si>
  <si>
    <t>H1 2025</t>
  </si>
  <si>
    <t>Unknown</t>
  </si>
  <si>
    <t>opm</t>
  </si>
  <si>
    <t>APOLLOTYRE</t>
    <phoneticPr fontId="6" type="noConversion"/>
  </si>
  <si>
    <t>SURYAROSNI</t>
    <phoneticPr fontId="6" type="noConversion"/>
  </si>
  <si>
    <t>BAJAJFINSV</t>
    <phoneticPr fontId="6" type="noConversion"/>
  </si>
  <si>
    <t>TIINDIA</t>
    <phoneticPr fontId="6" type="noConversion"/>
  </si>
  <si>
    <t>4Q21</t>
    <phoneticPr fontId="10" type="noConversion"/>
  </si>
  <si>
    <t>1Q22</t>
    <phoneticPr fontId="10" type="noConversion"/>
  </si>
  <si>
    <t>2Q22</t>
    <phoneticPr fontId="10" type="noConversion"/>
  </si>
  <si>
    <t>3Q22</t>
    <phoneticPr fontId="10" type="noConversion"/>
  </si>
  <si>
    <t>4Q22</t>
    <phoneticPr fontId="10" type="noConversion"/>
  </si>
  <si>
    <t>2Q23</t>
    <phoneticPr fontId="10" type="noConversion"/>
  </si>
  <si>
    <t>3Q23</t>
    <phoneticPr fontId="10" type="noConversion"/>
  </si>
  <si>
    <t>4Q23</t>
    <phoneticPr fontId="10" type="noConversion"/>
  </si>
  <si>
    <t>1Q26</t>
    <phoneticPr fontId="10" type="noConversion"/>
  </si>
  <si>
    <t>2Q26</t>
    <phoneticPr fontId="10" type="noConversion"/>
  </si>
  <si>
    <t>3Q26</t>
    <phoneticPr fontId="10" type="noConversion"/>
  </si>
  <si>
    <t>4Q26</t>
    <phoneticPr fontId="10" type="noConversion"/>
  </si>
  <si>
    <t>Revenue</t>
    <phoneticPr fontId="10" type="noConversion"/>
  </si>
  <si>
    <t>OP</t>
    <phoneticPr fontId="10" type="noConversion"/>
  </si>
  <si>
    <t>Trailing 4Q OP avg.</t>
    <phoneticPr fontId="10" type="noConversion"/>
  </si>
  <si>
    <t>Trailing 4Q OP sum.</t>
    <phoneticPr fontId="10" type="noConversion"/>
  </si>
  <si>
    <t>Trailing OP Delta</t>
    <phoneticPr fontId="10" type="noConversion"/>
  </si>
  <si>
    <t>op yoy</t>
    <phoneticPr fontId="10" type="noConversion"/>
  </si>
  <si>
    <t>rv yoy</t>
    <phoneticPr fontId="6" type="noConversion"/>
  </si>
  <si>
    <t>(단위: mil $)</t>
    <phoneticPr fontId="6" type="noConversion"/>
  </si>
  <si>
    <t>Ticker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</si>
</sst>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2" x14ac:knownFonts="1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9"/>
      <name val="Pretendard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Pretendar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0" borderId="1" xfId="0" applyNumberFormat="1" applyFont="1" applyBorder="1"/>
    <xf numFmtId="177" fontId="3" fillId="0" borderId="0" xfId="0" applyNumberFormat="1" applyFont="1"/>
    <xf numFmtId="177" fontId="3" fillId="3" borderId="0" xfId="0" applyNumberFormat="1" applyFont="1" applyFill="1"/>
    <xf numFmtId="177" fontId="3" fillId="3" borderId="1" xfId="0" applyNumberFormat="1" applyFont="1" applyFill="1" applyBorder="1"/>
    <xf numFmtId="0" fontId="3" fillId="0" borderId="1" xfId="0" applyFont="1" applyBorder="1"/>
    <xf numFmtId="0" fontId="4" fillId="0" borderId="0" xfId="0" applyFont="1"/>
    <xf numFmtId="0" fontId="2" fillId="0" borderId="0" xfId="0" applyFont="1"/>
    <xf numFmtId="176" fontId="2" fillId="4" borderId="0" xfId="0" applyNumberFormat="1" applyFont="1" applyFill="1"/>
    <xf numFmtId="0" fontId="2" fillId="2" borderId="2" xfId="0" applyFont="1" applyFill="1" applyBorder="1" applyAlignment="1">
      <alignment horizontal="center"/>
    </xf>
    <xf numFmtId="0" fontId="7" fillId="0" borderId="0" xfId="0" applyFont="1"/>
    <xf numFmtId="0" fontId="2" fillId="0" borderId="3" xfId="0" applyFont="1" applyBorder="1"/>
    <xf numFmtId="0" fontId="3" fillId="0" borderId="3" xfId="0" applyFont="1" applyBorder="1"/>
    <xf numFmtId="176" fontId="3" fillId="0" borderId="3" xfId="0" applyNumberFormat="1" applyFont="1" applyBorder="1"/>
    <xf numFmtId="3" fontId="3" fillId="0" borderId="3" xfId="0" applyNumberFormat="1" applyFont="1" applyBorder="1"/>
    <xf numFmtId="177" fontId="3" fillId="0" borderId="4" xfId="0" applyNumberFormat="1" applyFont="1" applyBorder="1"/>
    <xf numFmtId="177" fontId="3" fillId="0" borderId="3" xfId="0" applyNumberFormat="1" applyFont="1" applyBorder="1"/>
    <xf numFmtId="0" fontId="2" fillId="0" borderId="0" xfId="0" applyFont="1" applyBorder="1"/>
    <xf numFmtId="0" fontId="3" fillId="0" borderId="0" xfId="0" applyFont="1" applyBorder="1"/>
    <xf numFmtId="176" fontId="3" fillId="0" borderId="0" xfId="0" applyNumberFormat="1" applyFont="1" applyBorder="1"/>
    <xf numFmtId="3" fontId="3" fillId="0" borderId="0" xfId="0" applyNumberFormat="1" applyFont="1" applyBorder="1"/>
    <xf numFmtId="177" fontId="3" fillId="0" borderId="0" xfId="0" applyNumberFormat="1" applyFont="1" applyBorder="1"/>
    <xf numFmtId="0" fontId="8" fillId="5" borderId="5" xfId="0" applyFont="1" applyFill="1" applyBorder="1" applyAlignment="1">
      <alignment vertical="center"/>
    </xf>
    <xf numFmtId="0" fontId="9" fillId="5" borderId="0" xfId="0" applyFont="1" applyFill="1" applyAlignment="1">
      <alignment horizontal="right" vertical="center"/>
    </xf>
    <xf numFmtId="0" fontId="9" fillId="5" borderId="5" xfId="0" applyFont="1" applyFill="1" applyBorder="1" applyAlignment="1">
      <alignment horizontal="right" vertical="center"/>
    </xf>
    <xf numFmtId="0" fontId="11" fillId="0" borderId="5" xfId="0" applyFont="1" applyBorder="1" applyAlignment="1">
      <alignment vertical="center"/>
    </xf>
    <xf numFmtId="178" fontId="11" fillId="0" borderId="0" xfId="0" applyNumberFormat="1" applyFont="1" applyAlignment="1">
      <alignment vertical="center"/>
    </xf>
    <xf numFmtId="178" fontId="11" fillId="0" borderId="5" xfId="0" applyNumberFormat="1" applyFont="1" applyBorder="1" applyAlignment="1">
      <alignment vertical="center"/>
    </xf>
    <xf numFmtId="177" fontId="11" fillId="0" borderId="0" xfId="1" applyNumberFormat="1" applyFont="1" applyFill="1">
      <alignment vertical="center"/>
    </xf>
    <xf numFmtId="177" fontId="11" fillId="0" borderId="0" xfId="1" applyNumberFormat="1" applyFont="1" applyFill="1" applyBorder="1">
      <alignment vertical="center"/>
    </xf>
    <xf numFmtId="177" fontId="11" fillId="0" borderId="5" xfId="1" applyNumberFormat="1" applyFont="1" applyFill="1" applyBorder="1">
      <alignment vertical="center"/>
    </xf>
    <xf numFmtId="9" fontId="11" fillId="0" borderId="0" xfId="1" applyFont="1" applyFill="1">
      <alignment vertical="center"/>
    </xf>
    <xf numFmtId="9" fontId="11" fillId="0" borderId="0" xfId="1" applyFont="1" applyAlignment="1">
      <alignment horizontal="right" vertical="center"/>
    </xf>
    <xf numFmtId="9" fontId="11" fillId="0" borderId="5" xfId="1" applyFont="1" applyBorder="1" applyAlignment="1">
      <alignment horizontal="right" vertical="center"/>
    </xf>
    <xf numFmtId="9" fontId="11" fillId="0" borderId="0" xfId="1" applyFont="1">
      <alignment vertical="center"/>
    </xf>
    <xf numFmtId="9" fontId="11" fillId="0" borderId="0" xfId="1" applyFont="1" applyBorder="1">
      <alignment vertical="center"/>
    </xf>
    <xf numFmtId="9" fontId="11" fillId="0" borderId="5" xfId="1" applyFont="1" applyBorder="1">
      <alignment vertical="center"/>
    </xf>
    <xf numFmtId="0" fontId="0" fillId="0" borderId="0" xfId="0" applyFill="1"/>
    <xf numFmtId="178" fontId="3" fillId="0" borderId="0" xfId="0" applyNumberFormat="1" applyFont="1"/>
    <xf numFmtId="178" fontId="3" fillId="3" borderId="0" xfId="0" applyNumberFormat="1" applyFont="1" applyFill="1"/>
    <xf numFmtId="178" fontId="3" fillId="0" borderId="3" xfId="0" applyNumberFormat="1" applyFont="1" applyBorder="1"/>
    <xf numFmtId="178" fontId="3" fillId="3" borderId="3" xfId="0" applyNumberFormat="1" applyFont="1" applyFill="1" applyBorder="1"/>
    <xf numFmtId="178" fontId="3" fillId="0" borderId="0" xfId="0" applyNumberFormat="1" applyFont="1" applyBorder="1"/>
    <xf numFmtId="178" fontId="3" fillId="3" borderId="0" xfId="0" applyNumberFormat="1" applyFont="1" applyFill="1" applyBorder="1"/>
  </cellXfs>
  <cellStyles count="2">
    <cellStyle name="백분율" xfId="1" builtinId="5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61"/>
  <sheetViews>
    <sheetView workbookViewId="0">
      <selection activeCell="I10" sqref="I10"/>
    </sheetView>
  </sheetViews>
  <sheetFormatPr defaultRowHeight="16.5" x14ac:dyDescent="0.3"/>
  <cols>
    <col min="1" max="1" width="3" customWidth="1"/>
    <col min="2" max="2" width="12" style="16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 x14ac:dyDescent="0.3">
      <c r="B2" s="1" t="s">
        <v>0</v>
      </c>
    </row>
    <row r="3" spans="2:7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1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4">
        <v>4081510</v>
      </c>
    </row>
    <row r="5" spans="2:7" x14ac:dyDescent="0.3">
      <c r="B5" s="13" t="s">
        <v>12</v>
      </c>
      <c r="C5" s="3" t="s">
        <v>13</v>
      </c>
      <c r="D5" s="3" t="s">
        <v>9</v>
      </c>
      <c r="E5" s="3" t="s">
        <v>14</v>
      </c>
      <c r="F5" s="3" t="s">
        <v>11</v>
      </c>
      <c r="G5" s="4">
        <v>928644</v>
      </c>
    </row>
    <row r="6" spans="2:7" x14ac:dyDescent="0.3">
      <c r="B6" s="13" t="s">
        <v>15</v>
      </c>
      <c r="C6" s="3" t="s">
        <v>16</v>
      </c>
      <c r="D6" s="3" t="s">
        <v>9</v>
      </c>
      <c r="E6" s="3" t="s">
        <v>14</v>
      </c>
      <c r="F6" s="3" t="s">
        <v>11</v>
      </c>
      <c r="G6" s="4">
        <v>394144</v>
      </c>
    </row>
    <row r="7" spans="2:7" x14ac:dyDescent="0.3">
      <c r="B7" s="13" t="s">
        <v>17</v>
      </c>
      <c r="C7" s="3" t="s">
        <v>18</v>
      </c>
      <c r="D7" s="3" t="s">
        <v>9</v>
      </c>
      <c r="E7" s="3" t="s">
        <v>14</v>
      </c>
      <c r="F7" s="3" t="s">
        <v>11</v>
      </c>
      <c r="G7" s="4">
        <v>284517</v>
      </c>
    </row>
    <row r="8" spans="2:7" x14ac:dyDescent="0.3">
      <c r="B8" s="13" t="s">
        <v>19</v>
      </c>
      <c r="C8" s="3" t="s">
        <v>20</v>
      </c>
      <c r="D8" s="3" t="s">
        <v>9</v>
      </c>
      <c r="E8" s="3" t="s">
        <v>14</v>
      </c>
      <c r="F8" s="3" t="s">
        <v>11</v>
      </c>
      <c r="G8" s="4">
        <v>261350</v>
      </c>
    </row>
    <row r="9" spans="2:7" x14ac:dyDescent="0.3">
      <c r="B9" s="13">
        <v>8306</v>
      </c>
      <c r="C9" s="3" t="s">
        <v>21</v>
      </c>
      <c r="D9" s="3" t="s">
        <v>9</v>
      </c>
      <c r="E9" s="3"/>
      <c r="F9" s="3" t="s">
        <v>11</v>
      </c>
      <c r="G9" s="4">
        <v>206552</v>
      </c>
    </row>
    <row r="10" spans="2:7" x14ac:dyDescent="0.3">
      <c r="B10" s="13" t="s">
        <v>22</v>
      </c>
      <c r="C10" s="3" t="s">
        <v>23</v>
      </c>
      <c r="D10" s="3" t="s">
        <v>9</v>
      </c>
      <c r="E10" s="3" t="s">
        <v>14</v>
      </c>
      <c r="F10" s="3" t="s">
        <v>11</v>
      </c>
      <c r="G10" s="4">
        <v>166330</v>
      </c>
    </row>
    <row r="11" spans="2:7" x14ac:dyDescent="0.3">
      <c r="B11" s="13" t="s">
        <v>24</v>
      </c>
      <c r="C11" s="3" t="s">
        <v>25</v>
      </c>
      <c r="D11" s="3" t="s">
        <v>9</v>
      </c>
      <c r="E11" s="3" t="s">
        <v>10</v>
      </c>
      <c r="F11" s="3" t="s">
        <v>11</v>
      </c>
      <c r="G11" s="4">
        <v>161905</v>
      </c>
    </row>
    <row r="12" spans="2:7" x14ac:dyDescent="0.3">
      <c r="B12" s="13" t="s">
        <v>26</v>
      </c>
      <c r="C12" s="3" t="s">
        <v>27</v>
      </c>
      <c r="D12" s="3" t="s">
        <v>9</v>
      </c>
      <c r="E12" s="3"/>
      <c r="F12" s="3" t="s">
        <v>11</v>
      </c>
      <c r="G12" s="4">
        <v>149193</v>
      </c>
    </row>
    <row r="13" spans="2:7" x14ac:dyDescent="0.3">
      <c r="B13" s="13" t="s">
        <v>28</v>
      </c>
      <c r="C13" s="3" t="s">
        <v>29</v>
      </c>
      <c r="D13" s="3" t="s">
        <v>9</v>
      </c>
      <c r="E13" s="3" t="s">
        <v>14</v>
      </c>
      <c r="F13" s="3" t="s">
        <v>11</v>
      </c>
      <c r="G13" s="4">
        <v>138707</v>
      </c>
    </row>
    <row r="14" spans="2:7" x14ac:dyDescent="0.3">
      <c r="B14" s="13" t="s">
        <v>30</v>
      </c>
      <c r="C14" s="3" t="s">
        <v>31</v>
      </c>
      <c r="D14" s="3" t="s">
        <v>9</v>
      </c>
      <c r="E14" s="3" t="s">
        <v>10</v>
      </c>
      <c r="F14" s="3" t="s">
        <v>11</v>
      </c>
      <c r="G14" s="4">
        <v>111787</v>
      </c>
    </row>
    <row r="15" spans="2:7" x14ac:dyDescent="0.3">
      <c r="B15" s="13" t="s">
        <v>32</v>
      </c>
      <c r="C15" s="3" t="s">
        <v>33</v>
      </c>
      <c r="D15" s="3" t="s">
        <v>9</v>
      </c>
      <c r="E15" s="3" t="s">
        <v>14</v>
      </c>
      <c r="F15" s="3" t="s">
        <v>11</v>
      </c>
      <c r="G15" s="4">
        <v>104235</v>
      </c>
    </row>
    <row r="16" spans="2:7" x14ac:dyDescent="0.3">
      <c r="B16" s="13" t="s">
        <v>34</v>
      </c>
      <c r="C16" s="3" t="s">
        <v>35</v>
      </c>
      <c r="D16" s="3" t="s">
        <v>9</v>
      </c>
      <c r="E16" s="3" t="s">
        <v>14</v>
      </c>
      <c r="F16" s="3" t="s">
        <v>11</v>
      </c>
      <c r="G16" s="4">
        <v>103526</v>
      </c>
    </row>
    <row r="17" spans="2:7" x14ac:dyDescent="0.3">
      <c r="B17" s="13" t="s">
        <v>36</v>
      </c>
      <c r="C17" s="3" t="s">
        <v>37</v>
      </c>
      <c r="D17" s="3" t="s">
        <v>9</v>
      </c>
      <c r="E17" s="3" t="s">
        <v>10</v>
      </c>
      <c r="F17" s="3" t="s">
        <v>11</v>
      </c>
      <c r="G17" s="4">
        <v>102593</v>
      </c>
    </row>
    <row r="18" spans="2:7" x14ac:dyDescent="0.3">
      <c r="B18" s="13" t="s">
        <v>38</v>
      </c>
      <c r="C18" s="3" t="s">
        <v>39</v>
      </c>
      <c r="D18" s="3" t="s">
        <v>9</v>
      </c>
      <c r="E18" s="3"/>
      <c r="F18" s="3" t="s">
        <v>11</v>
      </c>
      <c r="G18" s="4">
        <v>91584.13</v>
      </c>
    </row>
    <row r="19" spans="2:7" x14ac:dyDescent="0.3">
      <c r="B19" s="13">
        <v>2454</v>
      </c>
      <c r="C19" s="3" t="s">
        <v>40</v>
      </c>
      <c r="D19" s="3" t="s">
        <v>9</v>
      </c>
      <c r="E19" s="3"/>
      <c r="F19" s="3" t="s">
        <v>11</v>
      </c>
      <c r="G19" s="4">
        <v>89081.89</v>
      </c>
    </row>
    <row r="20" spans="2:7" x14ac:dyDescent="0.3">
      <c r="B20" s="13" t="s">
        <v>41</v>
      </c>
      <c r="C20" s="3" t="s">
        <v>42</v>
      </c>
      <c r="D20" s="3" t="s">
        <v>9</v>
      </c>
      <c r="E20" s="3" t="s">
        <v>10</v>
      </c>
      <c r="F20" s="3" t="s">
        <v>11</v>
      </c>
      <c r="G20" s="4">
        <v>83068.28</v>
      </c>
    </row>
    <row r="21" spans="2:7" x14ac:dyDescent="0.3">
      <c r="B21" s="13" t="s">
        <v>43</v>
      </c>
      <c r="C21" s="3" t="s">
        <v>44</v>
      </c>
      <c r="D21" s="3" t="s">
        <v>9</v>
      </c>
      <c r="E21" s="3"/>
      <c r="F21" s="3" t="s">
        <v>11</v>
      </c>
      <c r="G21" s="4">
        <v>80111.55</v>
      </c>
    </row>
    <row r="22" spans="2:7" x14ac:dyDescent="0.3">
      <c r="B22" s="13" t="s">
        <v>45</v>
      </c>
      <c r="C22" s="3" t="s">
        <v>46</v>
      </c>
      <c r="D22" s="3" t="s">
        <v>9</v>
      </c>
      <c r="E22" s="3" t="s">
        <v>14</v>
      </c>
      <c r="F22" s="3" t="s">
        <v>11</v>
      </c>
      <c r="G22" s="4">
        <v>72995.02</v>
      </c>
    </row>
    <row r="23" spans="2:7" x14ac:dyDescent="0.3">
      <c r="B23" s="13" t="s">
        <v>47</v>
      </c>
      <c r="C23" s="3" t="s">
        <v>48</v>
      </c>
      <c r="D23" s="3" t="s">
        <v>9</v>
      </c>
      <c r="E23" s="3" t="s">
        <v>14</v>
      </c>
      <c r="F23" s="3" t="s">
        <v>11</v>
      </c>
      <c r="G23" s="4">
        <v>69877.66</v>
      </c>
    </row>
    <row r="24" spans="2:7" x14ac:dyDescent="0.3">
      <c r="B24" s="13" t="s">
        <v>49</v>
      </c>
      <c r="C24" s="3" t="s">
        <v>50</v>
      </c>
      <c r="D24" s="3" t="s">
        <v>9</v>
      </c>
      <c r="E24" s="3" t="s">
        <v>14</v>
      </c>
      <c r="F24" s="3" t="s">
        <v>11</v>
      </c>
      <c r="G24" s="4">
        <v>66562.759999999995</v>
      </c>
    </row>
    <row r="25" spans="2:7" x14ac:dyDescent="0.3">
      <c r="B25" s="13" t="s">
        <v>51</v>
      </c>
      <c r="C25" s="3" t="s">
        <v>52</v>
      </c>
      <c r="D25" s="3" t="s">
        <v>9</v>
      </c>
      <c r="E25" s="3"/>
      <c r="F25" s="3" t="s">
        <v>11</v>
      </c>
      <c r="G25" s="4">
        <v>66477.22</v>
      </c>
    </row>
    <row r="26" spans="2:7" x14ac:dyDescent="0.3">
      <c r="B26" s="13" t="s">
        <v>53</v>
      </c>
      <c r="C26" s="3" t="s">
        <v>54</v>
      </c>
      <c r="D26" s="3" t="s">
        <v>9</v>
      </c>
      <c r="E26" s="3"/>
      <c r="F26" s="3" t="s">
        <v>11</v>
      </c>
      <c r="G26" s="4">
        <v>65863.42</v>
      </c>
    </row>
    <row r="27" spans="2:7" x14ac:dyDescent="0.3">
      <c r="B27" s="13" t="s">
        <v>55</v>
      </c>
      <c r="C27" s="3" t="s">
        <v>56</v>
      </c>
      <c r="D27" s="3" t="s">
        <v>9</v>
      </c>
      <c r="E27" s="3"/>
      <c r="F27" s="3" t="s">
        <v>11</v>
      </c>
      <c r="G27" s="4">
        <v>64543.33</v>
      </c>
    </row>
    <row r="28" spans="2:7" x14ac:dyDescent="0.3">
      <c r="B28" s="13" t="s">
        <v>57</v>
      </c>
      <c r="C28" s="3" t="s">
        <v>58</v>
      </c>
      <c r="D28" s="3" t="s">
        <v>9</v>
      </c>
      <c r="E28" s="3" t="s">
        <v>10</v>
      </c>
      <c r="F28" s="3" t="s">
        <v>11</v>
      </c>
      <c r="G28" s="4">
        <v>58150.44</v>
      </c>
    </row>
    <row r="29" spans="2:7" x14ac:dyDescent="0.3">
      <c r="B29" s="13" t="s">
        <v>59</v>
      </c>
      <c r="C29" s="3" t="s">
        <v>60</v>
      </c>
      <c r="D29" s="3" t="s">
        <v>9</v>
      </c>
      <c r="E29" s="3" t="s">
        <v>14</v>
      </c>
      <c r="F29" s="3" t="s">
        <v>11</v>
      </c>
      <c r="G29" s="4">
        <v>57843.360000000001</v>
      </c>
    </row>
    <row r="30" spans="2:7" x14ac:dyDescent="0.3">
      <c r="B30" s="13" t="s">
        <v>61</v>
      </c>
      <c r="C30" s="3" t="s">
        <v>62</v>
      </c>
      <c r="D30" s="3" t="s">
        <v>9</v>
      </c>
      <c r="E30" s="3"/>
      <c r="F30" s="3" t="s">
        <v>11</v>
      </c>
      <c r="G30" s="4">
        <v>52072.04</v>
      </c>
    </row>
    <row r="31" spans="2:7" x14ac:dyDescent="0.3">
      <c r="B31" s="13" t="s">
        <v>63</v>
      </c>
      <c r="C31" s="3" t="s">
        <v>64</v>
      </c>
      <c r="D31" s="3" t="s">
        <v>9</v>
      </c>
      <c r="E31" s="3" t="s">
        <v>10</v>
      </c>
      <c r="F31" s="3" t="s">
        <v>11</v>
      </c>
      <c r="G31" s="4">
        <v>51973.37</v>
      </c>
    </row>
    <row r="32" spans="2:7" x14ac:dyDescent="0.3">
      <c r="B32" s="13" t="s">
        <v>65</v>
      </c>
      <c r="C32" s="3" t="s">
        <v>66</v>
      </c>
      <c r="D32" s="3" t="s">
        <v>9</v>
      </c>
      <c r="E32" s="3" t="s">
        <v>14</v>
      </c>
      <c r="F32" s="3" t="s">
        <v>11</v>
      </c>
      <c r="G32" s="4">
        <v>43175.01</v>
      </c>
    </row>
    <row r="33" spans="2:7" x14ac:dyDescent="0.3">
      <c r="B33" s="13" t="s">
        <v>67</v>
      </c>
      <c r="C33" s="3" t="s">
        <v>68</v>
      </c>
      <c r="D33" s="3" t="s">
        <v>9</v>
      </c>
      <c r="E33" s="3"/>
      <c r="F33" s="3" t="s">
        <v>11</v>
      </c>
      <c r="G33" s="4">
        <v>40905.53</v>
      </c>
    </row>
    <row r="34" spans="2:7" x14ac:dyDescent="0.3">
      <c r="B34" s="13" t="s">
        <v>69</v>
      </c>
      <c r="C34" s="3" t="s">
        <v>70</v>
      </c>
      <c r="D34" s="3" t="s">
        <v>9</v>
      </c>
      <c r="E34" s="3" t="s">
        <v>14</v>
      </c>
      <c r="F34" s="3" t="s">
        <v>11</v>
      </c>
      <c r="G34" s="4">
        <v>40899.46</v>
      </c>
    </row>
    <row r="35" spans="2:7" x14ac:dyDescent="0.3">
      <c r="B35" s="13" t="s">
        <v>71</v>
      </c>
      <c r="C35" s="3" t="s">
        <v>72</v>
      </c>
      <c r="D35" s="3" t="s">
        <v>9</v>
      </c>
      <c r="E35" s="3" t="s">
        <v>10</v>
      </c>
      <c r="F35" s="3" t="s">
        <v>11</v>
      </c>
      <c r="G35" s="4">
        <v>39571.980000000003</v>
      </c>
    </row>
    <row r="36" spans="2:7" x14ac:dyDescent="0.3">
      <c r="B36" s="13" t="s">
        <v>73</v>
      </c>
      <c r="C36" s="3" t="s">
        <v>74</v>
      </c>
      <c r="D36" s="3" t="s">
        <v>9</v>
      </c>
      <c r="E36" s="3" t="s">
        <v>14</v>
      </c>
      <c r="F36" s="3" t="s">
        <v>11</v>
      </c>
      <c r="G36" s="4">
        <v>37238.89</v>
      </c>
    </row>
    <row r="37" spans="2:7" x14ac:dyDescent="0.3">
      <c r="B37" s="13">
        <v>6367</v>
      </c>
      <c r="C37" s="3" t="s">
        <v>75</v>
      </c>
      <c r="D37" s="3" t="s">
        <v>9</v>
      </c>
      <c r="E37" s="3"/>
      <c r="F37" s="3" t="s">
        <v>11</v>
      </c>
      <c r="G37" s="4">
        <v>37094.49</v>
      </c>
    </row>
    <row r="38" spans="2:7" x14ac:dyDescent="0.3">
      <c r="B38" s="13" t="s">
        <v>76</v>
      </c>
      <c r="C38" s="3" t="s">
        <v>77</v>
      </c>
      <c r="D38" s="3" t="s">
        <v>9</v>
      </c>
      <c r="E38" s="3" t="s">
        <v>14</v>
      </c>
      <c r="F38" s="3" t="s">
        <v>11</v>
      </c>
      <c r="G38" s="4">
        <v>36728.14</v>
      </c>
    </row>
    <row r="39" spans="2:7" x14ac:dyDescent="0.3">
      <c r="B39" s="13" t="s">
        <v>78</v>
      </c>
      <c r="C39" s="3" t="s">
        <v>79</v>
      </c>
      <c r="D39" s="3" t="s">
        <v>9</v>
      </c>
      <c r="E39" s="3"/>
      <c r="F39" s="3" t="s">
        <v>11</v>
      </c>
      <c r="G39" s="4">
        <v>35421.589999999997</v>
      </c>
    </row>
    <row r="40" spans="2:7" x14ac:dyDescent="0.3">
      <c r="B40" s="13" t="s">
        <v>80</v>
      </c>
      <c r="C40" s="3" t="s">
        <v>81</v>
      </c>
      <c r="D40" s="3" t="s">
        <v>9</v>
      </c>
      <c r="E40" s="3"/>
      <c r="F40" s="3" t="s">
        <v>11</v>
      </c>
      <c r="G40" s="4">
        <v>35222.410000000003</v>
      </c>
    </row>
    <row r="41" spans="2:7" x14ac:dyDescent="0.3">
      <c r="B41" s="13">
        <v>6752</v>
      </c>
      <c r="C41" s="3" t="s">
        <v>82</v>
      </c>
      <c r="D41" s="3" t="s">
        <v>9</v>
      </c>
      <c r="E41" s="3"/>
      <c r="F41" s="3" t="s">
        <v>11</v>
      </c>
      <c r="G41" s="4">
        <v>33089.83</v>
      </c>
    </row>
    <row r="42" spans="2:7" x14ac:dyDescent="0.3">
      <c r="B42" s="13" t="s">
        <v>83</v>
      </c>
      <c r="C42" s="3" t="s">
        <v>84</v>
      </c>
      <c r="D42" s="3" t="s">
        <v>9</v>
      </c>
      <c r="E42" s="3"/>
      <c r="F42" s="3" t="s">
        <v>11</v>
      </c>
      <c r="G42" s="4">
        <v>32257.24</v>
      </c>
    </row>
    <row r="43" spans="2:7" x14ac:dyDescent="0.3">
      <c r="B43" s="13" t="s">
        <v>85</v>
      </c>
      <c r="C43" s="3" t="s">
        <v>86</v>
      </c>
      <c r="D43" s="3" t="s">
        <v>9</v>
      </c>
      <c r="E43" s="3"/>
      <c r="F43" s="3" t="s">
        <v>11</v>
      </c>
      <c r="G43" s="4">
        <v>30692.720000000001</v>
      </c>
    </row>
    <row r="44" spans="2:7" x14ac:dyDescent="0.3">
      <c r="B44" s="13" t="s">
        <v>87</v>
      </c>
      <c r="C44" s="3" t="s">
        <v>88</v>
      </c>
      <c r="D44" s="3" t="s">
        <v>9</v>
      </c>
      <c r="E44" s="3"/>
      <c r="F44" s="3" t="s">
        <v>11</v>
      </c>
      <c r="G44" s="4">
        <v>30591.02</v>
      </c>
    </row>
    <row r="45" spans="2:7" x14ac:dyDescent="0.3">
      <c r="B45" s="13" t="s">
        <v>89</v>
      </c>
      <c r="C45" s="3" t="s">
        <v>90</v>
      </c>
      <c r="D45" s="3" t="s">
        <v>9</v>
      </c>
      <c r="E45" s="3" t="s">
        <v>14</v>
      </c>
      <c r="F45" s="3" t="s">
        <v>11</v>
      </c>
      <c r="G45" s="4">
        <v>30411.67</v>
      </c>
    </row>
    <row r="46" spans="2:7" x14ac:dyDescent="0.3">
      <c r="B46" s="13" t="s">
        <v>91</v>
      </c>
      <c r="C46" s="3" t="s">
        <v>92</v>
      </c>
      <c r="D46" s="3" t="s">
        <v>9</v>
      </c>
      <c r="E46" s="3"/>
      <c r="F46" s="3" t="s">
        <v>11</v>
      </c>
      <c r="G46" s="4">
        <v>27669.03</v>
      </c>
    </row>
    <row r="47" spans="2:7" x14ac:dyDescent="0.3">
      <c r="B47" s="13" t="s">
        <v>93</v>
      </c>
      <c r="C47" s="3" t="s">
        <v>94</v>
      </c>
      <c r="D47" s="3" t="s">
        <v>9</v>
      </c>
      <c r="E47" s="3"/>
      <c r="F47" s="3" t="s">
        <v>11</v>
      </c>
      <c r="G47" s="4">
        <v>26874.06</v>
      </c>
    </row>
    <row r="48" spans="2:7" x14ac:dyDescent="0.3">
      <c r="B48" s="13" t="s">
        <v>95</v>
      </c>
      <c r="C48" s="3" t="s">
        <v>96</v>
      </c>
      <c r="D48" s="3" t="s">
        <v>9</v>
      </c>
      <c r="E48" s="3" t="s">
        <v>10</v>
      </c>
      <c r="F48" s="3" t="s">
        <v>11</v>
      </c>
      <c r="G48" s="4">
        <v>26367.19</v>
      </c>
    </row>
    <row r="49" spans="2:7" x14ac:dyDescent="0.3">
      <c r="B49" s="13" t="s">
        <v>97</v>
      </c>
      <c r="C49" s="3" t="s">
        <v>98</v>
      </c>
      <c r="D49" s="3" t="s">
        <v>9</v>
      </c>
      <c r="E49" s="3" t="s">
        <v>10</v>
      </c>
      <c r="F49" s="3" t="s">
        <v>11</v>
      </c>
      <c r="G49" s="4">
        <v>25970.94</v>
      </c>
    </row>
    <row r="50" spans="2:7" x14ac:dyDescent="0.3">
      <c r="B50" s="13" t="s">
        <v>99</v>
      </c>
      <c r="C50" s="3" t="s">
        <v>100</v>
      </c>
      <c r="D50" s="3" t="s">
        <v>9</v>
      </c>
      <c r="E50" s="3" t="s">
        <v>10</v>
      </c>
      <c r="F50" s="3" t="s">
        <v>11</v>
      </c>
      <c r="G50" s="4">
        <v>25798.58</v>
      </c>
    </row>
    <row r="51" spans="2:7" x14ac:dyDescent="0.3">
      <c r="B51" s="13">
        <v>4503</v>
      </c>
      <c r="C51" s="3" t="s">
        <v>101</v>
      </c>
      <c r="D51" s="3" t="s">
        <v>9</v>
      </c>
      <c r="E51" s="3"/>
      <c r="F51" s="3" t="s">
        <v>11</v>
      </c>
      <c r="G51" s="4">
        <v>25426.93</v>
      </c>
    </row>
    <row r="52" spans="2:7" x14ac:dyDescent="0.3">
      <c r="B52" s="13" t="s">
        <v>102</v>
      </c>
      <c r="C52" s="3" t="s">
        <v>103</v>
      </c>
      <c r="D52" s="3" t="s">
        <v>9</v>
      </c>
      <c r="E52" s="3" t="s">
        <v>14</v>
      </c>
      <c r="F52" s="3" t="s">
        <v>11</v>
      </c>
      <c r="G52" s="4">
        <v>23973.51</v>
      </c>
    </row>
    <row r="53" spans="2:7" x14ac:dyDescent="0.3">
      <c r="B53" s="13" t="s">
        <v>104</v>
      </c>
      <c r="C53" s="3" t="s">
        <v>105</v>
      </c>
      <c r="D53" s="3" t="s">
        <v>9</v>
      </c>
      <c r="E53" s="3" t="s">
        <v>14</v>
      </c>
      <c r="F53" s="3" t="s">
        <v>11</v>
      </c>
      <c r="G53" s="4">
        <v>23240.06</v>
      </c>
    </row>
    <row r="54" spans="2:7" x14ac:dyDescent="0.3">
      <c r="B54" s="13" t="s">
        <v>106</v>
      </c>
      <c r="C54" s="3" t="s">
        <v>107</v>
      </c>
      <c r="D54" s="3" t="s">
        <v>9</v>
      </c>
      <c r="E54" s="3"/>
      <c r="F54" s="3" t="s">
        <v>11</v>
      </c>
      <c r="G54" s="4">
        <v>21863.27</v>
      </c>
    </row>
    <row r="55" spans="2:7" x14ac:dyDescent="0.3">
      <c r="B55" s="13" t="s">
        <v>108</v>
      </c>
      <c r="C55" s="3" t="s">
        <v>109</v>
      </c>
      <c r="D55" s="3" t="s">
        <v>9</v>
      </c>
      <c r="E55" s="3" t="s">
        <v>10</v>
      </c>
      <c r="F55" s="3" t="s">
        <v>11</v>
      </c>
      <c r="G55" s="4">
        <v>20586.189999999999</v>
      </c>
    </row>
    <row r="56" spans="2:7" x14ac:dyDescent="0.3">
      <c r="B56" s="13" t="s">
        <v>110</v>
      </c>
      <c r="C56" s="3" t="s">
        <v>111</v>
      </c>
      <c r="D56" s="3" t="s">
        <v>9</v>
      </c>
      <c r="E56" s="3" t="s">
        <v>10</v>
      </c>
      <c r="F56" s="3" t="s">
        <v>11</v>
      </c>
      <c r="G56" s="4">
        <v>20360.25</v>
      </c>
    </row>
    <row r="57" spans="2:7" x14ac:dyDescent="0.3">
      <c r="B57" s="13" t="s">
        <v>112</v>
      </c>
      <c r="C57" s="3" t="s">
        <v>113</v>
      </c>
      <c r="D57" s="3" t="s">
        <v>9</v>
      </c>
      <c r="E57" s="3"/>
      <c r="F57" s="3" t="s">
        <v>11</v>
      </c>
      <c r="G57" s="4">
        <v>20120.439999999999</v>
      </c>
    </row>
    <row r="58" spans="2:7" x14ac:dyDescent="0.3">
      <c r="B58" s="13">
        <v>500251</v>
      </c>
      <c r="C58" s="3" t="s">
        <v>114</v>
      </c>
      <c r="D58" s="3" t="s">
        <v>9</v>
      </c>
      <c r="E58" s="3"/>
      <c r="F58" s="3" t="s">
        <v>11</v>
      </c>
      <c r="G58" s="4">
        <v>18671.490000000002</v>
      </c>
    </row>
    <row r="59" spans="2:7" x14ac:dyDescent="0.3">
      <c r="B59" s="13" t="s">
        <v>115</v>
      </c>
      <c r="C59" s="3" t="s">
        <v>116</v>
      </c>
      <c r="D59" s="3" t="s">
        <v>9</v>
      </c>
      <c r="E59" s="3" t="s">
        <v>14</v>
      </c>
      <c r="F59" s="3" t="s">
        <v>11</v>
      </c>
      <c r="G59" s="4">
        <v>18620.669999999998</v>
      </c>
    </row>
    <row r="60" spans="2:7" x14ac:dyDescent="0.3">
      <c r="B60" s="13" t="s">
        <v>117</v>
      </c>
      <c r="C60" s="3" t="s">
        <v>118</v>
      </c>
      <c r="D60" s="3" t="s">
        <v>9</v>
      </c>
      <c r="E60" s="3" t="s">
        <v>10</v>
      </c>
      <c r="F60" s="3" t="s">
        <v>11</v>
      </c>
      <c r="G60" s="4">
        <v>17696.39</v>
      </c>
    </row>
    <row r="61" spans="2:7" x14ac:dyDescent="0.3">
      <c r="B61" s="13" t="s">
        <v>119</v>
      </c>
      <c r="C61" s="3" t="s">
        <v>120</v>
      </c>
      <c r="D61" s="3" t="s">
        <v>9</v>
      </c>
      <c r="E61" s="3"/>
      <c r="F61" s="3" t="s">
        <v>11</v>
      </c>
      <c r="G61" s="4">
        <v>17542.46</v>
      </c>
    </row>
    <row r="62" spans="2:7" x14ac:dyDescent="0.3">
      <c r="B62" s="13">
        <v>4689</v>
      </c>
      <c r="C62" s="3" t="s">
        <v>121</v>
      </c>
      <c r="D62" s="3" t="s">
        <v>9</v>
      </c>
      <c r="E62" s="3"/>
      <c r="F62" s="3" t="s">
        <v>11</v>
      </c>
      <c r="G62" s="4">
        <v>17495.169999999998</v>
      </c>
    </row>
    <row r="63" spans="2:7" x14ac:dyDescent="0.3">
      <c r="B63" s="13" t="s">
        <v>122</v>
      </c>
      <c r="C63" s="3" t="s">
        <v>123</v>
      </c>
      <c r="D63" s="3" t="s">
        <v>9</v>
      </c>
      <c r="E63" s="3"/>
      <c r="F63" s="3" t="s">
        <v>11</v>
      </c>
      <c r="G63" s="4">
        <v>17269.57</v>
      </c>
    </row>
    <row r="64" spans="2:7" x14ac:dyDescent="0.3">
      <c r="B64" s="13" t="s">
        <v>124</v>
      </c>
      <c r="C64" s="3" t="s">
        <v>125</v>
      </c>
      <c r="D64" s="3" t="s">
        <v>9</v>
      </c>
      <c r="E64" s="3"/>
      <c r="F64" s="3" t="s">
        <v>11</v>
      </c>
      <c r="G64" s="4">
        <v>17174.810000000001</v>
      </c>
    </row>
    <row r="65" spans="2:7" x14ac:dyDescent="0.3">
      <c r="B65" s="13" t="s">
        <v>126</v>
      </c>
      <c r="C65" s="3" t="s">
        <v>127</v>
      </c>
      <c r="D65" s="3" t="s">
        <v>9</v>
      </c>
      <c r="E65" s="3" t="s">
        <v>14</v>
      </c>
      <c r="F65" s="3" t="s">
        <v>11</v>
      </c>
      <c r="G65" s="4">
        <v>17153.009999999998</v>
      </c>
    </row>
    <row r="66" spans="2:7" x14ac:dyDescent="0.3">
      <c r="B66" s="13">
        <v>7832</v>
      </c>
      <c r="C66" s="3" t="s">
        <v>128</v>
      </c>
      <c r="D66" s="3" t="s">
        <v>9</v>
      </c>
      <c r="E66" s="3"/>
      <c r="F66" s="3" t="s">
        <v>11</v>
      </c>
      <c r="G66" s="4">
        <v>17085.16</v>
      </c>
    </row>
    <row r="67" spans="2:7" x14ac:dyDescent="0.3">
      <c r="B67" s="13" t="s">
        <v>129</v>
      </c>
      <c r="C67" s="3" t="s">
        <v>130</v>
      </c>
      <c r="D67" s="3" t="s">
        <v>9</v>
      </c>
      <c r="E67" s="3" t="s">
        <v>14</v>
      </c>
      <c r="F67" s="3" t="s">
        <v>11</v>
      </c>
      <c r="G67" s="4">
        <v>17055.54</v>
      </c>
    </row>
    <row r="68" spans="2:7" x14ac:dyDescent="0.3">
      <c r="B68" s="13" t="s">
        <v>131</v>
      </c>
      <c r="C68" s="3" t="s">
        <v>132</v>
      </c>
      <c r="D68" s="3" t="s">
        <v>9</v>
      </c>
      <c r="E68" s="3" t="s">
        <v>10</v>
      </c>
      <c r="F68" s="3" t="s">
        <v>11</v>
      </c>
      <c r="G68" s="4">
        <v>17032.93</v>
      </c>
    </row>
    <row r="69" spans="2:7" x14ac:dyDescent="0.3">
      <c r="B69" s="13" t="s">
        <v>133</v>
      </c>
      <c r="C69" s="3" t="s">
        <v>134</v>
      </c>
      <c r="D69" s="3" t="s">
        <v>9</v>
      </c>
      <c r="E69" s="3" t="s">
        <v>14</v>
      </c>
      <c r="F69" s="3" t="s">
        <v>11</v>
      </c>
      <c r="G69" s="4">
        <v>16054.16</v>
      </c>
    </row>
    <row r="70" spans="2:7" x14ac:dyDescent="0.3">
      <c r="B70" s="13" t="s">
        <v>135</v>
      </c>
      <c r="C70" s="3" t="s">
        <v>136</v>
      </c>
      <c r="D70" s="3" t="s">
        <v>9</v>
      </c>
      <c r="E70" s="3" t="s">
        <v>10</v>
      </c>
      <c r="F70" s="3" t="s">
        <v>11</v>
      </c>
      <c r="G70" s="4">
        <v>16003.62</v>
      </c>
    </row>
    <row r="71" spans="2:7" x14ac:dyDescent="0.3">
      <c r="B71" s="13" t="s">
        <v>137</v>
      </c>
      <c r="C71" s="3" t="s">
        <v>138</v>
      </c>
      <c r="D71" s="3" t="s">
        <v>9</v>
      </c>
      <c r="E71" s="3" t="s">
        <v>14</v>
      </c>
      <c r="F71" s="3" t="s">
        <v>11</v>
      </c>
      <c r="G71" s="4">
        <v>15343.26</v>
      </c>
    </row>
    <row r="72" spans="2:7" x14ac:dyDescent="0.3">
      <c r="B72" s="13" t="s">
        <v>139</v>
      </c>
      <c r="C72" s="3" t="s">
        <v>140</v>
      </c>
      <c r="D72" s="3" t="s">
        <v>9</v>
      </c>
      <c r="E72" s="3" t="s">
        <v>10</v>
      </c>
      <c r="F72" s="3" t="s">
        <v>11</v>
      </c>
      <c r="G72" s="4">
        <v>15324.29</v>
      </c>
    </row>
    <row r="73" spans="2:7" x14ac:dyDescent="0.3">
      <c r="B73" s="13">
        <v>4091</v>
      </c>
      <c r="C73" s="3" t="s">
        <v>141</v>
      </c>
      <c r="D73" s="3" t="s">
        <v>9</v>
      </c>
      <c r="E73" s="3"/>
      <c r="F73" s="3" t="s">
        <v>11</v>
      </c>
      <c r="G73" s="4">
        <v>15011.19</v>
      </c>
    </row>
    <row r="74" spans="2:7" x14ac:dyDescent="0.3">
      <c r="B74" s="13" t="s">
        <v>142</v>
      </c>
      <c r="C74" s="3" t="s">
        <v>143</v>
      </c>
      <c r="D74" s="3" t="s">
        <v>9</v>
      </c>
      <c r="E74" s="3" t="s">
        <v>10</v>
      </c>
      <c r="F74" s="3" t="s">
        <v>11</v>
      </c>
      <c r="G74" s="4">
        <v>14967.46</v>
      </c>
    </row>
    <row r="75" spans="2:7" x14ac:dyDescent="0.3">
      <c r="B75" s="13">
        <v>500490</v>
      </c>
      <c r="C75" s="3" t="s">
        <v>144</v>
      </c>
      <c r="D75" s="3" t="s">
        <v>9</v>
      </c>
      <c r="E75" s="3"/>
      <c r="F75" s="3" t="s">
        <v>11</v>
      </c>
      <c r="G75" s="4">
        <v>14819.65</v>
      </c>
    </row>
    <row r="76" spans="2:7" x14ac:dyDescent="0.3">
      <c r="B76" s="13" t="s">
        <v>145</v>
      </c>
      <c r="C76" s="3" t="s">
        <v>146</v>
      </c>
      <c r="D76" s="3" t="s">
        <v>9</v>
      </c>
      <c r="E76" s="3"/>
      <c r="F76" s="3" t="s">
        <v>11</v>
      </c>
      <c r="G76" s="4">
        <v>14767.96</v>
      </c>
    </row>
    <row r="77" spans="2:7" x14ac:dyDescent="0.3">
      <c r="B77" s="13" t="s">
        <v>147</v>
      </c>
      <c r="C77" s="3" t="s">
        <v>148</v>
      </c>
      <c r="D77" s="3" t="s">
        <v>9</v>
      </c>
      <c r="E77" s="3"/>
      <c r="F77" s="3" t="s">
        <v>11</v>
      </c>
      <c r="G77" s="4">
        <v>14621.4</v>
      </c>
    </row>
    <row r="78" spans="2:7" x14ac:dyDescent="0.3">
      <c r="B78" s="13" t="s">
        <v>149</v>
      </c>
      <c r="C78" s="3" t="s">
        <v>150</v>
      </c>
      <c r="D78" s="3" t="s">
        <v>9</v>
      </c>
      <c r="E78" s="3"/>
      <c r="F78" s="3" t="s">
        <v>11</v>
      </c>
      <c r="G78" s="4">
        <v>14562.99</v>
      </c>
    </row>
    <row r="79" spans="2:7" x14ac:dyDescent="0.3">
      <c r="B79" s="13" t="s">
        <v>151</v>
      </c>
      <c r="C79" s="3" t="s">
        <v>152</v>
      </c>
      <c r="D79" s="3" t="s">
        <v>9</v>
      </c>
      <c r="E79" s="3" t="s">
        <v>10</v>
      </c>
      <c r="F79" s="3" t="s">
        <v>11</v>
      </c>
      <c r="G79" s="4">
        <v>14431.17</v>
      </c>
    </row>
    <row r="80" spans="2:7" x14ac:dyDescent="0.3">
      <c r="B80" s="13">
        <v>500400</v>
      </c>
      <c r="C80" s="3" t="s">
        <v>153</v>
      </c>
      <c r="D80" s="3" t="s">
        <v>9</v>
      </c>
      <c r="E80" s="3"/>
      <c r="F80" s="3" t="s">
        <v>11</v>
      </c>
      <c r="G80" s="4">
        <v>14211.42</v>
      </c>
    </row>
    <row r="81" spans="2:7" x14ac:dyDescent="0.3">
      <c r="B81" s="13" t="s">
        <v>154</v>
      </c>
      <c r="C81" s="3" t="s">
        <v>155</v>
      </c>
      <c r="D81" s="3" t="s">
        <v>9</v>
      </c>
      <c r="E81" s="3"/>
      <c r="F81" s="3" t="s">
        <v>11</v>
      </c>
      <c r="G81" s="4">
        <v>14140.24</v>
      </c>
    </row>
    <row r="82" spans="2:7" x14ac:dyDescent="0.3">
      <c r="B82" s="13" t="s">
        <v>156</v>
      </c>
      <c r="C82" s="3" t="s">
        <v>157</v>
      </c>
      <c r="D82" s="3" t="s">
        <v>9</v>
      </c>
      <c r="E82" s="3"/>
      <c r="F82" s="3" t="s">
        <v>11</v>
      </c>
      <c r="G82" s="4">
        <v>13672.97</v>
      </c>
    </row>
    <row r="83" spans="2:7" x14ac:dyDescent="0.3">
      <c r="B83" s="13" t="s">
        <v>158</v>
      </c>
      <c r="C83" s="3" t="s">
        <v>159</v>
      </c>
      <c r="D83" s="3" t="s">
        <v>9</v>
      </c>
      <c r="E83" s="3" t="s">
        <v>14</v>
      </c>
      <c r="F83" s="3" t="s">
        <v>11</v>
      </c>
      <c r="G83" s="4">
        <v>12745.31</v>
      </c>
    </row>
    <row r="84" spans="2:7" x14ac:dyDescent="0.3">
      <c r="B84" s="13" t="s">
        <v>160</v>
      </c>
      <c r="C84" s="3" t="s">
        <v>161</v>
      </c>
      <c r="D84" s="3" t="s">
        <v>9</v>
      </c>
      <c r="E84" s="3" t="s">
        <v>14</v>
      </c>
      <c r="F84" s="3" t="s">
        <v>11</v>
      </c>
      <c r="G84" s="4">
        <v>12701.04</v>
      </c>
    </row>
    <row r="85" spans="2:7" x14ac:dyDescent="0.3">
      <c r="B85" s="13" t="s">
        <v>162</v>
      </c>
      <c r="C85" s="3" t="s">
        <v>163</v>
      </c>
      <c r="D85" s="3" t="s">
        <v>9</v>
      </c>
      <c r="E85" s="3" t="s">
        <v>14</v>
      </c>
      <c r="F85" s="3" t="s">
        <v>11</v>
      </c>
      <c r="G85" s="4">
        <v>12572.98</v>
      </c>
    </row>
    <row r="86" spans="2:7" x14ac:dyDescent="0.3">
      <c r="B86" s="13">
        <v>500480</v>
      </c>
      <c r="C86" s="3" t="s">
        <v>164</v>
      </c>
      <c r="D86" s="3" t="s">
        <v>9</v>
      </c>
      <c r="E86" s="3"/>
      <c r="F86" s="3" t="s">
        <v>11</v>
      </c>
      <c r="G86" s="4">
        <v>12277.08</v>
      </c>
    </row>
    <row r="87" spans="2:7" x14ac:dyDescent="0.3">
      <c r="B87" s="13" t="s">
        <v>165</v>
      </c>
      <c r="C87" s="3" t="s">
        <v>166</v>
      </c>
      <c r="D87" s="3" t="s">
        <v>9</v>
      </c>
      <c r="E87" s="3" t="s">
        <v>10</v>
      </c>
      <c r="F87" s="3" t="s">
        <v>11</v>
      </c>
      <c r="G87" s="4">
        <v>12139.25</v>
      </c>
    </row>
    <row r="88" spans="2:7" x14ac:dyDescent="0.3">
      <c r="B88" s="13" t="s">
        <v>167</v>
      </c>
      <c r="C88" s="3" t="s">
        <v>168</v>
      </c>
      <c r="D88" s="3" t="s">
        <v>9</v>
      </c>
      <c r="E88" s="3" t="s">
        <v>14</v>
      </c>
      <c r="F88" s="3" t="s">
        <v>11</v>
      </c>
      <c r="G88" s="4">
        <v>11674.43</v>
      </c>
    </row>
    <row r="89" spans="2:7" x14ac:dyDescent="0.3">
      <c r="B89" s="13" t="s">
        <v>169</v>
      </c>
      <c r="C89" s="3" t="s">
        <v>170</v>
      </c>
      <c r="D89" s="3" t="s">
        <v>9</v>
      </c>
      <c r="E89" s="3"/>
      <c r="F89" s="3" t="s">
        <v>11</v>
      </c>
      <c r="G89" s="4">
        <v>11443.3</v>
      </c>
    </row>
    <row r="90" spans="2:7" x14ac:dyDescent="0.3">
      <c r="B90" s="13" t="s">
        <v>171</v>
      </c>
      <c r="C90" s="3" t="s">
        <v>172</v>
      </c>
      <c r="D90" s="3" t="s">
        <v>9</v>
      </c>
      <c r="E90" s="3" t="s">
        <v>10</v>
      </c>
      <c r="F90" s="3" t="s">
        <v>11</v>
      </c>
      <c r="G90" s="4">
        <v>11144.47</v>
      </c>
    </row>
    <row r="91" spans="2:7" x14ac:dyDescent="0.3">
      <c r="B91" s="13" t="s">
        <v>173</v>
      </c>
      <c r="C91" s="3" t="s">
        <v>174</v>
      </c>
      <c r="D91" s="3" t="s">
        <v>9</v>
      </c>
      <c r="E91" s="3" t="s">
        <v>10</v>
      </c>
      <c r="F91" s="3" t="s">
        <v>11</v>
      </c>
      <c r="G91" s="4">
        <v>11093.82</v>
      </c>
    </row>
    <row r="92" spans="2:7" x14ac:dyDescent="0.3">
      <c r="B92" s="13" t="s">
        <v>175</v>
      </c>
      <c r="C92" s="3" t="s">
        <v>176</v>
      </c>
      <c r="D92" s="3" t="s">
        <v>9</v>
      </c>
      <c r="E92" s="3"/>
      <c r="F92" s="3" t="s">
        <v>11</v>
      </c>
      <c r="G92" s="4">
        <v>10894.84</v>
      </c>
    </row>
    <row r="93" spans="2:7" x14ac:dyDescent="0.3">
      <c r="B93" s="13">
        <v>2413</v>
      </c>
      <c r="C93" s="3" t="s">
        <v>177</v>
      </c>
      <c r="D93" s="3" t="s">
        <v>9</v>
      </c>
      <c r="E93" s="3"/>
      <c r="F93" s="3" t="s">
        <v>11</v>
      </c>
      <c r="G93" s="4">
        <v>10393.459999999999</v>
      </c>
    </row>
    <row r="94" spans="2:7" x14ac:dyDescent="0.3">
      <c r="B94" s="13" t="s">
        <v>178</v>
      </c>
      <c r="C94" s="3" t="s">
        <v>179</v>
      </c>
      <c r="D94" s="3" t="s">
        <v>9</v>
      </c>
      <c r="E94" s="3"/>
      <c r="F94" s="3" t="s">
        <v>11</v>
      </c>
      <c r="G94" s="4">
        <v>10340.94</v>
      </c>
    </row>
    <row r="95" spans="2:7" x14ac:dyDescent="0.3">
      <c r="B95" s="13" t="s">
        <v>180</v>
      </c>
      <c r="C95" s="3" t="s">
        <v>181</v>
      </c>
      <c r="D95" s="3" t="s">
        <v>9</v>
      </c>
      <c r="E95" s="3" t="s">
        <v>10</v>
      </c>
      <c r="F95" s="3" t="s">
        <v>11</v>
      </c>
      <c r="G95" s="4">
        <v>10209.19</v>
      </c>
    </row>
    <row r="96" spans="2:7" x14ac:dyDescent="0.3">
      <c r="B96" s="13" t="s">
        <v>182</v>
      </c>
      <c r="C96" s="3" t="s">
        <v>183</v>
      </c>
      <c r="D96" s="3" t="s">
        <v>9</v>
      </c>
      <c r="E96" s="3" t="s">
        <v>10</v>
      </c>
      <c r="F96" s="3" t="s">
        <v>11</v>
      </c>
      <c r="G96" s="4">
        <v>9839.5</v>
      </c>
    </row>
    <row r="97" spans="2:7" x14ac:dyDescent="0.3">
      <c r="B97" s="13" t="s">
        <v>184</v>
      </c>
      <c r="C97" s="3" t="s">
        <v>185</v>
      </c>
      <c r="D97" s="3" t="s">
        <v>9</v>
      </c>
      <c r="E97" s="3"/>
      <c r="F97" s="3" t="s">
        <v>11</v>
      </c>
      <c r="G97" s="4">
        <v>9835.7900000000009</v>
      </c>
    </row>
    <row r="98" spans="2:7" x14ac:dyDescent="0.3">
      <c r="B98" s="13" t="s">
        <v>186</v>
      </c>
      <c r="C98" s="3" t="s">
        <v>187</v>
      </c>
      <c r="D98" s="3" t="s">
        <v>9</v>
      </c>
      <c r="E98" s="3" t="s">
        <v>10</v>
      </c>
      <c r="F98" s="3" t="s">
        <v>11</v>
      </c>
      <c r="G98" s="4">
        <v>9819.4</v>
      </c>
    </row>
    <row r="99" spans="2:7" x14ac:dyDescent="0.3">
      <c r="B99" s="13" t="s">
        <v>188</v>
      </c>
      <c r="C99" s="3" t="s">
        <v>189</v>
      </c>
      <c r="D99" s="3" t="s">
        <v>9</v>
      </c>
      <c r="E99" s="3"/>
      <c r="F99" s="3" t="s">
        <v>11</v>
      </c>
      <c r="G99" s="4">
        <v>9800.9</v>
      </c>
    </row>
    <row r="100" spans="2:7" x14ac:dyDescent="0.3">
      <c r="B100" s="13" t="s">
        <v>190</v>
      </c>
      <c r="C100" s="3" t="s">
        <v>191</v>
      </c>
      <c r="D100" s="3" t="s">
        <v>9</v>
      </c>
      <c r="E100" s="3"/>
      <c r="F100" s="3" t="s">
        <v>11</v>
      </c>
      <c r="G100" s="4">
        <v>9714.39</v>
      </c>
    </row>
    <row r="101" spans="2:7" x14ac:dyDescent="0.3">
      <c r="B101" s="13" t="s">
        <v>192</v>
      </c>
      <c r="C101" s="3" t="s">
        <v>193</v>
      </c>
      <c r="D101" s="3" t="s">
        <v>9</v>
      </c>
      <c r="E101" s="3" t="s">
        <v>10</v>
      </c>
      <c r="F101" s="3" t="s">
        <v>11</v>
      </c>
      <c r="G101" s="4">
        <v>9655.93</v>
      </c>
    </row>
    <row r="102" spans="2:7" x14ac:dyDescent="0.3">
      <c r="B102" s="13" t="s">
        <v>194</v>
      </c>
      <c r="C102" s="3" t="s">
        <v>195</v>
      </c>
      <c r="D102" s="3" t="s">
        <v>9</v>
      </c>
      <c r="E102" s="3" t="s">
        <v>10</v>
      </c>
      <c r="F102" s="3" t="s">
        <v>11</v>
      </c>
      <c r="G102" s="4">
        <v>9580.52</v>
      </c>
    </row>
    <row r="103" spans="2:7" x14ac:dyDescent="0.3">
      <c r="B103" s="13" t="s">
        <v>196</v>
      </c>
      <c r="C103" s="3" t="s">
        <v>197</v>
      </c>
      <c r="D103" s="3" t="s">
        <v>9</v>
      </c>
      <c r="E103" s="3"/>
      <c r="F103" s="3" t="s">
        <v>11</v>
      </c>
      <c r="G103" s="4">
        <v>9486.92</v>
      </c>
    </row>
    <row r="104" spans="2:7" x14ac:dyDescent="0.3">
      <c r="B104" s="13" t="s">
        <v>198</v>
      </c>
      <c r="C104" s="3" t="s">
        <v>199</v>
      </c>
      <c r="D104" s="3" t="s">
        <v>9</v>
      </c>
      <c r="E104" s="3" t="s">
        <v>10</v>
      </c>
      <c r="F104" s="3" t="s">
        <v>11</v>
      </c>
      <c r="G104" s="4">
        <v>9115.32</v>
      </c>
    </row>
    <row r="105" spans="2:7" x14ac:dyDescent="0.3">
      <c r="B105" s="13" t="s">
        <v>200</v>
      </c>
      <c r="C105" s="3" t="s">
        <v>201</v>
      </c>
      <c r="D105" s="3" t="s">
        <v>9</v>
      </c>
      <c r="E105" s="3"/>
      <c r="F105" s="3" t="s">
        <v>11</v>
      </c>
      <c r="G105" s="4">
        <v>9057.61</v>
      </c>
    </row>
    <row r="106" spans="2:7" x14ac:dyDescent="0.3">
      <c r="B106" s="13" t="s">
        <v>202</v>
      </c>
      <c r="C106" s="3" t="s">
        <v>203</v>
      </c>
      <c r="D106" s="3" t="s">
        <v>9</v>
      </c>
      <c r="E106" s="3"/>
      <c r="F106" s="3" t="s">
        <v>11</v>
      </c>
      <c r="G106" s="4">
        <v>8937.2999999999993</v>
      </c>
    </row>
    <row r="107" spans="2:7" x14ac:dyDescent="0.3">
      <c r="B107" s="13" t="s">
        <v>204</v>
      </c>
      <c r="C107" s="3" t="s">
        <v>205</v>
      </c>
      <c r="D107" s="3" t="s">
        <v>9</v>
      </c>
      <c r="E107" s="3"/>
      <c r="F107" s="3" t="s">
        <v>11</v>
      </c>
      <c r="G107" s="4">
        <v>8897.75</v>
      </c>
    </row>
    <row r="108" spans="2:7" x14ac:dyDescent="0.3">
      <c r="B108" s="13" t="s">
        <v>206</v>
      </c>
      <c r="C108" s="3" t="s">
        <v>207</v>
      </c>
      <c r="D108" s="3" t="s">
        <v>9</v>
      </c>
      <c r="E108" s="3" t="s">
        <v>10</v>
      </c>
      <c r="F108" s="3" t="s">
        <v>11</v>
      </c>
      <c r="G108" s="4">
        <v>8692.2900000000009</v>
      </c>
    </row>
    <row r="109" spans="2:7" x14ac:dyDescent="0.3">
      <c r="B109" s="13" t="s">
        <v>208</v>
      </c>
      <c r="C109" s="3" t="s">
        <v>209</v>
      </c>
      <c r="D109" s="3" t="s">
        <v>9</v>
      </c>
      <c r="E109" s="3"/>
      <c r="F109" s="3" t="s">
        <v>11</v>
      </c>
      <c r="G109" s="4">
        <v>8672.82</v>
      </c>
    </row>
    <row r="110" spans="2:7" x14ac:dyDescent="0.3">
      <c r="B110" s="13" t="s">
        <v>210</v>
      </c>
      <c r="C110" s="3" t="s">
        <v>211</v>
      </c>
      <c r="D110" s="3" t="s">
        <v>9</v>
      </c>
      <c r="E110" s="3"/>
      <c r="F110" s="3" t="s">
        <v>11</v>
      </c>
      <c r="G110" s="4">
        <v>8613.52</v>
      </c>
    </row>
    <row r="111" spans="2:7" x14ac:dyDescent="0.3">
      <c r="B111" s="13" t="s">
        <v>212</v>
      </c>
      <c r="C111" s="3" t="s">
        <v>213</v>
      </c>
      <c r="D111" s="3" t="s">
        <v>9</v>
      </c>
      <c r="E111" s="3" t="s">
        <v>14</v>
      </c>
      <c r="F111" s="3" t="s">
        <v>11</v>
      </c>
      <c r="G111" s="4">
        <v>8603.85</v>
      </c>
    </row>
    <row r="112" spans="2:7" x14ac:dyDescent="0.3">
      <c r="B112" s="13" t="s">
        <v>214</v>
      </c>
      <c r="C112" s="3" t="s">
        <v>215</v>
      </c>
      <c r="D112" s="3" t="s">
        <v>9</v>
      </c>
      <c r="E112" s="3" t="s">
        <v>10</v>
      </c>
      <c r="F112" s="3" t="s">
        <v>11</v>
      </c>
      <c r="G112" s="4">
        <v>8365.58</v>
      </c>
    </row>
    <row r="113" spans="2:7" x14ac:dyDescent="0.3">
      <c r="B113" s="13" t="s">
        <v>216</v>
      </c>
      <c r="C113" s="3" t="s">
        <v>217</v>
      </c>
      <c r="D113" s="3" t="s">
        <v>9</v>
      </c>
      <c r="E113" s="3"/>
      <c r="F113" s="3" t="s">
        <v>11</v>
      </c>
      <c r="G113" s="4">
        <v>8267.67</v>
      </c>
    </row>
    <row r="114" spans="2:7" x14ac:dyDescent="0.3">
      <c r="B114" s="13" t="s">
        <v>218</v>
      </c>
      <c r="C114" s="3" t="s">
        <v>219</v>
      </c>
      <c r="D114" s="3" t="s">
        <v>9</v>
      </c>
      <c r="E114" s="3" t="s">
        <v>10</v>
      </c>
      <c r="F114" s="3" t="s">
        <v>11</v>
      </c>
      <c r="G114" s="4">
        <v>8108.94</v>
      </c>
    </row>
    <row r="115" spans="2:7" x14ac:dyDescent="0.3">
      <c r="B115" s="13" t="s">
        <v>220</v>
      </c>
      <c r="C115" s="3" t="s">
        <v>221</v>
      </c>
      <c r="D115" s="3" t="s">
        <v>9</v>
      </c>
      <c r="E115" s="3" t="s">
        <v>10</v>
      </c>
      <c r="F115" s="3" t="s">
        <v>11</v>
      </c>
      <c r="G115" s="4">
        <v>7803.65</v>
      </c>
    </row>
    <row r="116" spans="2:7" x14ac:dyDescent="0.3">
      <c r="B116" s="13" t="s">
        <v>222</v>
      </c>
      <c r="C116" s="3" t="s">
        <v>223</v>
      </c>
      <c r="D116" s="3" t="s">
        <v>9</v>
      </c>
      <c r="E116" s="3" t="s">
        <v>10</v>
      </c>
      <c r="F116" s="3" t="s">
        <v>11</v>
      </c>
      <c r="G116" s="4">
        <v>7748.08</v>
      </c>
    </row>
    <row r="117" spans="2:7" x14ac:dyDescent="0.3">
      <c r="B117" s="13" t="s">
        <v>224</v>
      </c>
      <c r="C117" s="3" t="s">
        <v>225</v>
      </c>
      <c r="D117" s="3" t="s">
        <v>9</v>
      </c>
      <c r="E117" s="3" t="s">
        <v>10</v>
      </c>
      <c r="F117" s="3" t="s">
        <v>11</v>
      </c>
      <c r="G117" s="4">
        <v>7432.86</v>
      </c>
    </row>
    <row r="118" spans="2:7" x14ac:dyDescent="0.3">
      <c r="B118" s="13" t="s">
        <v>226</v>
      </c>
      <c r="C118" s="3" t="s">
        <v>227</v>
      </c>
      <c r="D118" s="3" t="s">
        <v>9</v>
      </c>
      <c r="E118" s="3" t="s">
        <v>10</v>
      </c>
      <c r="F118" s="3" t="s">
        <v>11</v>
      </c>
      <c r="G118" s="4">
        <v>7025.46</v>
      </c>
    </row>
    <row r="119" spans="2:7" x14ac:dyDescent="0.3">
      <c r="B119" s="13" t="s">
        <v>228</v>
      </c>
      <c r="C119" s="3" t="s">
        <v>229</v>
      </c>
      <c r="D119" s="3" t="s">
        <v>9</v>
      </c>
      <c r="E119" s="3"/>
      <c r="F119" s="3" t="s">
        <v>11</v>
      </c>
      <c r="G119" s="4">
        <v>6838.87</v>
      </c>
    </row>
    <row r="120" spans="2:7" x14ac:dyDescent="0.3">
      <c r="B120" s="13" t="s">
        <v>117</v>
      </c>
      <c r="C120" s="3" t="s">
        <v>230</v>
      </c>
      <c r="D120" s="3" t="s">
        <v>9</v>
      </c>
      <c r="E120" s="3"/>
      <c r="F120" s="3" t="s">
        <v>11</v>
      </c>
      <c r="G120" s="4">
        <v>6605.56</v>
      </c>
    </row>
    <row r="121" spans="2:7" x14ac:dyDescent="0.3">
      <c r="B121" s="13" t="s">
        <v>231</v>
      </c>
      <c r="C121" s="3" t="s">
        <v>232</v>
      </c>
      <c r="D121" s="3" t="s">
        <v>9</v>
      </c>
      <c r="E121" s="3" t="s">
        <v>10</v>
      </c>
      <c r="F121" s="3" t="s">
        <v>11</v>
      </c>
      <c r="G121" s="4">
        <v>6375.88</v>
      </c>
    </row>
    <row r="122" spans="2:7" x14ac:dyDescent="0.3">
      <c r="B122" s="13" t="s">
        <v>233</v>
      </c>
      <c r="C122" s="3" t="s">
        <v>234</v>
      </c>
      <c r="D122" s="3" t="s">
        <v>9</v>
      </c>
      <c r="E122" s="3" t="s">
        <v>14</v>
      </c>
      <c r="F122" s="3" t="s">
        <v>11</v>
      </c>
      <c r="G122" s="4">
        <v>6271.62</v>
      </c>
    </row>
    <row r="123" spans="2:7" x14ac:dyDescent="0.3">
      <c r="B123" s="13" t="s">
        <v>235</v>
      </c>
      <c r="C123" s="3" t="s">
        <v>236</v>
      </c>
      <c r="D123" s="3" t="s">
        <v>9</v>
      </c>
      <c r="E123" s="3"/>
      <c r="F123" s="3" t="s">
        <v>11</v>
      </c>
      <c r="G123" s="4">
        <v>6153.37</v>
      </c>
    </row>
    <row r="124" spans="2:7" x14ac:dyDescent="0.3">
      <c r="B124" s="13" t="s">
        <v>237</v>
      </c>
      <c r="C124" s="3" t="s">
        <v>238</v>
      </c>
      <c r="D124" s="3" t="s">
        <v>9</v>
      </c>
      <c r="E124" s="3"/>
      <c r="F124" s="3" t="s">
        <v>11</v>
      </c>
      <c r="G124" s="4">
        <v>6101.35</v>
      </c>
    </row>
    <row r="125" spans="2:7" x14ac:dyDescent="0.3">
      <c r="B125" s="13" t="s">
        <v>239</v>
      </c>
      <c r="C125" s="3" t="s">
        <v>240</v>
      </c>
      <c r="D125" s="3" t="s">
        <v>9</v>
      </c>
      <c r="E125" s="3"/>
      <c r="F125" s="3" t="s">
        <v>11</v>
      </c>
      <c r="G125" s="4">
        <v>6001.21</v>
      </c>
    </row>
    <row r="126" spans="2:7" x14ac:dyDescent="0.3">
      <c r="B126" s="13" t="s">
        <v>241</v>
      </c>
      <c r="C126" s="3" t="s">
        <v>242</v>
      </c>
      <c r="D126" s="3" t="s">
        <v>9</v>
      </c>
      <c r="E126" s="3" t="s">
        <v>10</v>
      </c>
      <c r="F126" s="3" t="s">
        <v>11</v>
      </c>
      <c r="G126" s="4">
        <v>5717.96</v>
      </c>
    </row>
    <row r="127" spans="2:7" x14ac:dyDescent="0.3">
      <c r="B127" s="13" t="s">
        <v>243</v>
      </c>
      <c r="C127" s="3" t="s">
        <v>244</v>
      </c>
      <c r="D127" s="3" t="s">
        <v>9</v>
      </c>
      <c r="E127" s="3" t="s">
        <v>10</v>
      </c>
      <c r="F127" s="3" t="s">
        <v>11</v>
      </c>
      <c r="G127" s="4">
        <v>5455.05</v>
      </c>
    </row>
    <row r="128" spans="2:7" x14ac:dyDescent="0.3">
      <c r="B128" s="13" t="s">
        <v>245</v>
      </c>
      <c r="C128" s="3" t="s">
        <v>246</v>
      </c>
      <c r="D128" s="3" t="s">
        <v>9</v>
      </c>
      <c r="E128" s="3"/>
      <c r="F128" s="3" t="s">
        <v>11</v>
      </c>
      <c r="G128" s="4">
        <v>5440.75</v>
      </c>
    </row>
    <row r="129" spans="2:7" x14ac:dyDescent="0.3">
      <c r="B129" s="13">
        <v>8354</v>
      </c>
      <c r="C129" s="3" t="s">
        <v>247</v>
      </c>
      <c r="D129" s="3" t="s">
        <v>9</v>
      </c>
      <c r="E129" s="3"/>
      <c r="F129" s="3" t="s">
        <v>11</v>
      </c>
      <c r="G129" s="4">
        <v>5397.54</v>
      </c>
    </row>
    <row r="130" spans="2:7" x14ac:dyDescent="0.3">
      <c r="B130" s="13" t="s">
        <v>248</v>
      </c>
      <c r="C130" s="3" t="s">
        <v>249</v>
      </c>
      <c r="D130" s="3" t="s">
        <v>9</v>
      </c>
      <c r="E130" s="3" t="s">
        <v>10</v>
      </c>
      <c r="F130" s="3" t="s">
        <v>11</v>
      </c>
      <c r="G130" s="4">
        <v>5302.03</v>
      </c>
    </row>
    <row r="131" spans="2:7" x14ac:dyDescent="0.3">
      <c r="B131" s="13">
        <v>6963</v>
      </c>
      <c r="C131" s="3" t="s">
        <v>250</v>
      </c>
      <c r="D131" s="3" t="s">
        <v>9</v>
      </c>
      <c r="E131" s="3"/>
      <c r="F131" s="3" t="s">
        <v>11</v>
      </c>
      <c r="G131" s="4">
        <v>5223.4399999999996</v>
      </c>
    </row>
    <row r="132" spans="2:7" x14ac:dyDescent="0.3">
      <c r="B132" s="13" t="s">
        <v>251</v>
      </c>
      <c r="C132" s="3" t="s">
        <v>252</v>
      </c>
      <c r="D132" s="3" t="s">
        <v>9</v>
      </c>
      <c r="E132" s="3" t="s">
        <v>14</v>
      </c>
      <c r="F132" s="3" t="s">
        <v>11</v>
      </c>
      <c r="G132" s="4">
        <v>5201.45</v>
      </c>
    </row>
    <row r="133" spans="2:7" x14ac:dyDescent="0.3">
      <c r="B133" s="13" t="s">
        <v>253</v>
      </c>
      <c r="C133" s="3" t="s">
        <v>254</v>
      </c>
      <c r="D133" s="3" t="s">
        <v>9</v>
      </c>
      <c r="E133" s="3"/>
      <c r="F133" s="3" t="s">
        <v>11</v>
      </c>
      <c r="G133" s="4">
        <v>4978.66</v>
      </c>
    </row>
    <row r="134" spans="2:7" x14ac:dyDescent="0.3">
      <c r="B134" s="13" t="s">
        <v>255</v>
      </c>
      <c r="C134" s="3" t="s">
        <v>256</v>
      </c>
      <c r="D134" s="3" t="s">
        <v>9</v>
      </c>
      <c r="E134" s="3" t="s">
        <v>10</v>
      </c>
      <c r="F134" s="3" t="s">
        <v>11</v>
      </c>
      <c r="G134" s="4">
        <v>4868.08</v>
      </c>
    </row>
    <row r="135" spans="2:7" x14ac:dyDescent="0.3">
      <c r="B135" s="13" t="s">
        <v>257</v>
      </c>
      <c r="C135" s="3" t="s">
        <v>258</v>
      </c>
      <c r="D135" s="3" t="s">
        <v>9</v>
      </c>
      <c r="E135" s="3" t="s">
        <v>10</v>
      </c>
      <c r="F135" s="3" t="s">
        <v>11</v>
      </c>
      <c r="G135" s="4">
        <v>4829.16</v>
      </c>
    </row>
    <row r="136" spans="2:7" x14ac:dyDescent="0.3">
      <c r="B136" s="13" t="s">
        <v>259</v>
      </c>
      <c r="C136" s="3" t="s">
        <v>260</v>
      </c>
      <c r="D136" s="3" t="s">
        <v>9</v>
      </c>
      <c r="E136" s="3"/>
      <c r="F136" s="3" t="s">
        <v>11</v>
      </c>
      <c r="G136" s="4">
        <v>4804.29</v>
      </c>
    </row>
    <row r="137" spans="2:7" x14ac:dyDescent="0.3">
      <c r="B137" s="13" t="s">
        <v>261</v>
      </c>
      <c r="C137" s="3" t="s">
        <v>262</v>
      </c>
      <c r="D137" s="3" t="s">
        <v>9</v>
      </c>
      <c r="E137" s="3" t="s">
        <v>10</v>
      </c>
      <c r="F137" s="3" t="s">
        <v>11</v>
      </c>
      <c r="G137" s="4">
        <v>4697.21</v>
      </c>
    </row>
    <row r="138" spans="2:7" x14ac:dyDescent="0.3">
      <c r="B138" s="13" t="s">
        <v>263</v>
      </c>
      <c r="C138" s="3" t="s">
        <v>264</v>
      </c>
      <c r="D138" s="3" t="s">
        <v>9</v>
      </c>
      <c r="E138" s="3" t="s">
        <v>10</v>
      </c>
      <c r="F138" s="3" t="s">
        <v>11</v>
      </c>
      <c r="G138" s="4">
        <v>4591.34</v>
      </c>
    </row>
    <row r="139" spans="2:7" x14ac:dyDescent="0.3">
      <c r="B139" s="13" t="s">
        <v>265</v>
      </c>
      <c r="C139" s="3" t="s">
        <v>266</v>
      </c>
      <c r="D139" s="3" t="s">
        <v>9</v>
      </c>
      <c r="E139" s="3" t="s">
        <v>10</v>
      </c>
      <c r="F139" s="3" t="s">
        <v>11</v>
      </c>
      <c r="G139" s="4">
        <v>4582.49</v>
      </c>
    </row>
    <row r="140" spans="2:7" x14ac:dyDescent="0.3">
      <c r="B140" s="13" t="s">
        <v>267</v>
      </c>
      <c r="C140" s="3" t="s">
        <v>268</v>
      </c>
      <c r="D140" s="3" t="s">
        <v>9</v>
      </c>
      <c r="E140" s="3" t="s">
        <v>14</v>
      </c>
      <c r="F140" s="3" t="s">
        <v>11</v>
      </c>
      <c r="G140" s="4">
        <v>4575.03</v>
      </c>
    </row>
    <row r="141" spans="2:7" x14ac:dyDescent="0.3">
      <c r="B141" s="13" t="s">
        <v>269</v>
      </c>
      <c r="C141" s="3" t="s">
        <v>270</v>
      </c>
      <c r="D141" s="3" t="s">
        <v>9</v>
      </c>
      <c r="E141" s="3"/>
      <c r="F141" s="3" t="s">
        <v>11</v>
      </c>
      <c r="G141" s="4">
        <v>4478.34</v>
      </c>
    </row>
    <row r="142" spans="2:7" x14ac:dyDescent="0.3">
      <c r="B142" s="13" t="s">
        <v>271</v>
      </c>
      <c r="C142" s="3" t="s">
        <v>272</v>
      </c>
      <c r="D142" s="3" t="s">
        <v>9</v>
      </c>
      <c r="E142" s="3" t="s">
        <v>10</v>
      </c>
      <c r="F142" s="3" t="s">
        <v>11</v>
      </c>
      <c r="G142" s="4">
        <v>4383.78</v>
      </c>
    </row>
    <row r="143" spans="2:7" x14ac:dyDescent="0.3">
      <c r="B143" s="13" t="s">
        <v>273</v>
      </c>
      <c r="C143" s="3" t="s">
        <v>274</v>
      </c>
      <c r="D143" s="3" t="s">
        <v>9</v>
      </c>
      <c r="E143" s="3" t="s">
        <v>10</v>
      </c>
      <c r="F143" s="3" t="s">
        <v>11</v>
      </c>
      <c r="G143" s="4">
        <v>4366.3</v>
      </c>
    </row>
    <row r="144" spans="2:7" x14ac:dyDescent="0.3">
      <c r="B144" s="13" t="s">
        <v>275</v>
      </c>
      <c r="C144" s="3" t="s">
        <v>276</v>
      </c>
      <c r="D144" s="3" t="s">
        <v>9</v>
      </c>
      <c r="E144" s="3"/>
      <c r="F144" s="3" t="s">
        <v>11</v>
      </c>
      <c r="G144" s="4">
        <v>4242.25</v>
      </c>
    </row>
    <row r="145" spans="2:7" x14ac:dyDescent="0.3">
      <c r="B145" s="13" t="s">
        <v>277</v>
      </c>
      <c r="C145" s="3" t="s">
        <v>278</v>
      </c>
      <c r="D145" s="3" t="s">
        <v>9</v>
      </c>
      <c r="E145" s="3" t="s">
        <v>14</v>
      </c>
      <c r="F145" s="3" t="s">
        <v>11</v>
      </c>
      <c r="G145" s="4">
        <v>3939.34</v>
      </c>
    </row>
    <row r="146" spans="2:7" x14ac:dyDescent="0.3">
      <c r="B146" s="13">
        <v>6368</v>
      </c>
      <c r="C146" s="3" t="s">
        <v>279</v>
      </c>
      <c r="D146" s="3" t="s">
        <v>9</v>
      </c>
      <c r="E146" s="3"/>
      <c r="F146" s="3" t="s">
        <v>11</v>
      </c>
      <c r="G146" s="4">
        <v>3915.8</v>
      </c>
    </row>
    <row r="147" spans="2:7" x14ac:dyDescent="0.3">
      <c r="B147" s="13">
        <v>9412</v>
      </c>
      <c r="C147" s="3" t="s">
        <v>280</v>
      </c>
      <c r="D147" s="3" t="s">
        <v>9</v>
      </c>
      <c r="E147" s="3"/>
      <c r="F147" s="3" t="s">
        <v>11</v>
      </c>
      <c r="G147" s="4">
        <v>3876.07</v>
      </c>
    </row>
    <row r="148" spans="2:7" x14ac:dyDescent="0.3">
      <c r="B148" s="13" t="s">
        <v>281</v>
      </c>
      <c r="C148" s="3" t="s">
        <v>282</v>
      </c>
      <c r="D148" s="3" t="s">
        <v>9</v>
      </c>
      <c r="E148" s="3"/>
      <c r="F148" s="3" t="s">
        <v>11</v>
      </c>
      <c r="G148" s="4">
        <v>3855.57</v>
      </c>
    </row>
    <row r="149" spans="2:7" x14ac:dyDescent="0.3">
      <c r="B149" s="13" t="s">
        <v>283</v>
      </c>
      <c r="C149" s="3" t="s">
        <v>284</v>
      </c>
      <c r="D149" s="3" t="s">
        <v>9</v>
      </c>
      <c r="E149" s="3"/>
      <c r="F149" s="3" t="s">
        <v>11</v>
      </c>
      <c r="G149" s="4">
        <v>3678.88</v>
      </c>
    </row>
    <row r="150" spans="2:7" x14ac:dyDescent="0.3">
      <c r="B150" s="13" t="s">
        <v>285</v>
      </c>
      <c r="C150" s="3" t="s">
        <v>286</v>
      </c>
      <c r="D150" s="3" t="s">
        <v>9</v>
      </c>
      <c r="E150" s="3"/>
      <c r="F150" s="3" t="s">
        <v>11</v>
      </c>
      <c r="G150" s="4">
        <v>3470.76</v>
      </c>
    </row>
    <row r="151" spans="2:7" x14ac:dyDescent="0.3">
      <c r="B151" s="13">
        <v>8056</v>
      </c>
      <c r="C151" s="3" t="s">
        <v>287</v>
      </c>
      <c r="D151" s="3" t="s">
        <v>9</v>
      </c>
      <c r="E151" s="3"/>
      <c r="F151" s="3" t="s">
        <v>11</v>
      </c>
      <c r="G151" s="4">
        <v>3398.82</v>
      </c>
    </row>
    <row r="152" spans="2:7" x14ac:dyDescent="0.3">
      <c r="B152" s="13">
        <v>6417</v>
      </c>
      <c r="C152" s="3" t="s">
        <v>288</v>
      </c>
      <c r="D152" s="3" t="s">
        <v>9</v>
      </c>
      <c r="E152" s="3"/>
      <c r="F152" s="3" t="s">
        <v>11</v>
      </c>
      <c r="G152" s="4">
        <v>3254.21</v>
      </c>
    </row>
    <row r="153" spans="2:7" x14ac:dyDescent="0.3">
      <c r="B153" s="13">
        <v>9001</v>
      </c>
      <c r="C153" s="3" t="s">
        <v>289</v>
      </c>
      <c r="D153" s="3" t="s">
        <v>9</v>
      </c>
      <c r="E153" s="3"/>
      <c r="F153" s="3" t="s">
        <v>11</v>
      </c>
      <c r="G153" s="4">
        <v>3207.84</v>
      </c>
    </row>
    <row r="154" spans="2:7" x14ac:dyDescent="0.3">
      <c r="B154" s="13" t="s">
        <v>290</v>
      </c>
      <c r="C154" s="3" t="s">
        <v>291</v>
      </c>
      <c r="D154" s="3" t="s">
        <v>9</v>
      </c>
      <c r="E154" s="3" t="s">
        <v>10</v>
      </c>
      <c r="F154" s="3" t="s">
        <v>11</v>
      </c>
      <c r="G154" s="4">
        <v>3199.62</v>
      </c>
    </row>
    <row r="155" spans="2:7" x14ac:dyDescent="0.3">
      <c r="B155" s="13" t="s">
        <v>292</v>
      </c>
      <c r="C155" s="3" t="s">
        <v>293</v>
      </c>
      <c r="D155" s="3" t="s">
        <v>9</v>
      </c>
      <c r="E155" s="3"/>
      <c r="F155" s="3" t="s">
        <v>11</v>
      </c>
      <c r="G155" s="4">
        <v>3169.66</v>
      </c>
    </row>
    <row r="156" spans="2:7" x14ac:dyDescent="0.3">
      <c r="B156" s="13" t="s">
        <v>294</v>
      </c>
      <c r="C156" s="3" t="s">
        <v>295</v>
      </c>
      <c r="D156" s="3" t="s">
        <v>9</v>
      </c>
      <c r="E156" s="3"/>
      <c r="F156" s="3" t="s">
        <v>11</v>
      </c>
      <c r="G156" s="4">
        <v>2979.56</v>
      </c>
    </row>
    <row r="157" spans="2:7" x14ac:dyDescent="0.3">
      <c r="B157" s="13">
        <v>7951</v>
      </c>
      <c r="C157" s="3" t="s">
        <v>296</v>
      </c>
      <c r="D157" s="3" t="s">
        <v>9</v>
      </c>
      <c r="E157" s="3"/>
      <c r="F157" s="3" t="s">
        <v>11</v>
      </c>
      <c r="G157" s="4">
        <v>2929.06</v>
      </c>
    </row>
    <row r="158" spans="2:7" x14ac:dyDescent="0.3">
      <c r="B158" s="13" t="s">
        <v>297</v>
      </c>
      <c r="C158" s="3" t="s">
        <v>298</v>
      </c>
      <c r="D158" s="3" t="s">
        <v>9</v>
      </c>
      <c r="E158" s="3"/>
      <c r="F158" s="3" t="s">
        <v>11</v>
      </c>
      <c r="G158" s="4">
        <v>2910.02</v>
      </c>
    </row>
    <row r="159" spans="2:7" x14ac:dyDescent="0.3">
      <c r="B159" s="13" t="s">
        <v>299</v>
      </c>
      <c r="C159" s="3" t="s">
        <v>300</v>
      </c>
      <c r="D159" s="3" t="s">
        <v>9</v>
      </c>
      <c r="E159" s="3" t="s">
        <v>10</v>
      </c>
      <c r="F159" s="3" t="s">
        <v>11</v>
      </c>
      <c r="G159" s="4">
        <v>2895.37</v>
      </c>
    </row>
    <row r="160" spans="2:7" x14ac:dyDescent="0.3">
      <c r="B160" s="13" t="s">
        <v>301</v>
      </c>
      <c r="C160" s="3" t="s">
        <v>302</v>
      </c>
      <c r="D160" s="3" t="s">
        <v>9</v>
      </c>
      <c r="E160" s="3"/>
      <c r="F160" s="3" t="s">
        <v>11</v>
      </c>
      <c r="G160" s="4">
        <v>2876.72</v>
      </c>
    </row>
    <row r="161" spans="2:7" x14ac:dyDescent="0.3">
      <c r="B161" s="13" t="s">
        <v>303</v>
      </c>
      <c r="C161" s="3" t="s">
        <v>304</v>
      </c>
      <c r="D161" s="3" t="s">
        <v>9</v>
      </c>
      <c r="E161" s="3"/>
      <c r="F161" s="3" t="s">
        <v>11</v>
      </c>
      <c r="G161" s="4">
        <v>2869.88</v>
      </c>
    </row>
    <row r="162" spans="2:7" x14ac:dyDescent="0.3">
      <c r="B162" s="13" t="s">
        <v>305</v>
      </c>
      <c r="C162" s="3" t="s">
        <v>306</v>
      </c>
      <c r="D162" s="3" t="s">
        <v>9</v>
      </c>
      <c r="E162" s="3"/>
      <c r="F162" s="3" t="s">
        <v>11</v>
      </c>
      <c r="G162" s="4">
        <v>2843.64</v>
      </c>
    </row>
    <row r="163" spans="2:7" x14ac:dyDescent="0.3">
      <c r="B163" s="13">
        <v>2250</v>
      </c>
      <c r="C163" s="3" t="s">
        <v>307</v>
      </c>
      <c r="D163" s="3" t="s">
        <v>9</v>
      </c>
      <c r="E163" s="3"/>
      <c r="F163" s="3" t="s">
        <v>11</v>
      </c>
      <c r="G163" s="4">
        <v>2818.96</v>
      </c>
    </row>
    <row r="164" spans="2:7" x14ac:dyDescent="0.3">
      <c r="B164" s="13" t="s">
        <v>308</v>
      </c>
      <c r="C164" s="3" t="s">
        <v>309</v>
      </c>
      <c r="D164" s="3" t="s">
        <v>9</v>
      </c>
      <c r="E164" s="3" t="s">
        <v>14</v>
      </c>
      <c r="F164" s="3" t="s">
        <v>11</v>
      </c>
      <c r="G164" s="4">
        <v>2624.45</v>
      </c>
    </row>
    <row r="165" spans="2:7" x14ac:dyDescent="0.3">
      <c r="B165" s="13">
        <v>531162</v>
      </c>
      <c r="C165" s="3" t="s">
        <v>310</v>
      </c>
      <c r="D165" s="3" t="s">
        <v>9</v>
      </c>
      <c r="E165" s="3"/>
      <c r="F165" s="3" t="s">
        <v>11</v>
      </c>
      <c r="G165" s="4">
        <v>2619.27</v>
      </c>
    </row>
    <row r="166" spans="2:7" x14ac:dyDescent="0.3">
      <c r="B166" s="13">
        <v>522113</v>
      </c>
      <c r="C166" s="3" t="s">
        <v>311</v>
      </c>
      <c r="D166" s="3" t="s">
        <v>9</v>
      </c>
      <c r="E166" s="3"/>
      <c r="F166" s="3" t="s">
        <v>11</v>
      </c>
      <c r="G166" s="4">
        <v>2553.3200000000002</v>
      </c>
    </row>
    <row r="167" spans="2:7" x14ac:dyDescent="0.3">
      <c r="B167" s="13">
        <v>5832</v>
      </c>
      <c r="C167" s="3" t="s">
        <v>312</v>
      </c>
      <c r="D167" s="3" t="s">
        <v>9</v>
      </c>
      <c r="E167" s="3"/>
      <c r="F167" s="3" t="s">
        <v>11</v>
      </c>
      <c r="G167" s="4">
        <v>2515.35</v>
      </c>
    </row>
    <row r="168" spans="2:7" x14ac:dyDescent="0.3">
      <c r="B168" s="13">
        <v>6674</v>
      </c>
      <c r="C168" s="3" t="s">
        <v>313</v>
      </c>
      <c r="D168" s="3" t="s">
        <v>9</v>
      </c>
      <c r="E168" s="3"/>
      <c r="F168" s="3" t="s">
        <v>11</v>
      </c>
      <c r="G168" s="4">
        <v>2511.5700000000002</v>
      </c>
    </row>
    <row r="169" spans="2:7" x14ac:dyDescent="0.3">
      <c r="B169" s="13">
        <v>9706</v>
      </c>
      <c r="C169" s="3" t="s">
        <v>314</v>
      </c>
      <c r="D169" s="3" t="s">
        <v>9</v>
      </c>
      <c r="E169" s="3"/>
      <c r="F169" s="3" t="s">
        <v>11</v>
      </c>
      <c r="G169" s="4">
        <v>2509.11</v>
      </c>
    </row>
    <row r="170" spans="2:7" x14ac:dyDescent="0.3">
      <c r="B170" s="13" t="s">
        <v>315</v>
      </c>
      <c r="C170" s="3" t="s">
        <v>316</v>
      </c>
      <c r="D170" s="3" t="s">
        <v>9</v>
      </c>
      <c r="E170" s="3" t="s">
        <v>14</v>
      </c>
      <c r="F170" s="3" t="s">
        <v>11</v>
      </c>
      <c r="G170" s="4">
        <v>2501.61</v>
      </c>
    </row>
    <row r="171" spans="2:7" x14ac:dyDescent="0.3">
      <c r="B171" s="13" t="s">
        <v>317</v>
      </c>
      <c r="C171" s="3" t="s">
        <v>318</v>
      </c>
      <c r="D171" s="3" t="s">
        <v>9</v>
      </c>
      <c r="E171" s="3"/>
      <c r="F171" s="3" t="s">
        <v>11</v>
      </c>
      <c r="G171" s="4">
        <v>2440.5700000000002</v>
      </c>
    </row>
    <row r="172" spans="2:7" x14ac:dyDescent="0.3">
      <c r="B172" s="13" t="s">
        <v>319</v>
      </c>
      <c r="C172" s="3" t="s">
        <v>320</v>
      </c>
      <c r="D172" s="3" t="s">
        <v>9</v>
      </c>
      <c r="E172" s="3" t="s">
        <v>10</v>
      </c>
      <c r="F172" s="3" t="s">
        <v>11</v>
      </c>
      <c r="G172" s="4">
        <v>2415.64</v>
      </c>
    </row>
    <row r="173" spans="2:7" x14ac:dyDescent="0.3">
      <c r="B173" s="13" t="s">
        <v>321</v>
      </c>
      <c r="C173" s="3" t="s">
        <v>322</v>
      </c>
      <c r="D173" s="3" t="s">
        <v>9</v>
      </c>
      <c r="E173" s="3"/>
      <c r="F173" s="3" t="s">
        <v>11</v>
      </c>
      <c r="G173" s="4">
        <v>2368.31</v>
      </c>
    </row>
    <row r="174" spans="2:7" x14ac:dyDescent="0.3">
      <c r="B174" s="13" t="s">
        <v>323</v>
      </c>
      <c r="C174" s="3" t="s">
        <v>324</v>
      </c>
      <c r="D174" s="3" t="s">
        <v>9</v>
      </c>
      <c r="E174" s="3"/>
      <c r="F174" s="3" t="s">
        <v>11</v>
      </c>
      <c r="G174" s="4">
        <v>2293.5500000000002</v>
      </c>
    </row>
    <row r="175" spans="2:7" x14ac:dyDescent="0.3">
      <c r="B175" s="13" t="s">
        <v>325</v>
      </c>
      <c r="C175" s="3" t="s">
        <v>326</v>
      </c>
      <c r="D175" s="3" t="s">
        <v>9</v>
      </c>
      <c r="E175" s="3" t="s">
        <v>10</v>
      </c>
      <c r="F175" s="3" t="s">
        <v>11</v>
      </c>
      <c r="G175" s="4">
        <v>2284.1999999999998</v>
      </c>
    </row>
    <row r="176" spans="2:7" x14ac:dyDescent="0.3">
      <c r="B176" s="13" t="s">
        <v>327</v>
      </c>
      <c r="C176" s="3" t="s">
        <v>328</v>
      </c>
      <c r="D176" s="3" t="s">
        <v>9</v>
      </c>
      <c r="E176" s="3"/>
      <c r="F176" s="3" t="s">
        <v>11</v>
      </c>
      <c r="G176" s="4">
        <v>2259.58</v>
      </c>
    </row>
    <row r="177" spans="2:7" x14ac:dyDescent="0.3">
      <c r="B177" s="13" t="s">
        <v>329</v>
      </c>
      <c r="C177" s="3" t="s">
        <v>330</v>
      </c>
      <c r="D177" s="3" t="s">
        <v>9</v>
      </c>
      <c r="E177" s="3"/>
      <c r="F177" s="3" t="s">
        <v>11</v>
      </c>
      <c r="G177" s="4">
        <v>2248.52</v>
      </c>
    </row>
    <row r="178" spans="2:7" x14ac:dyDescent="0.3">
      <c r="B178" s="13">
        <v>8304</v>
      </c>
      <c r="C178" s="3" t="s">
        <v>331</v>
      </c>
      <c r="D178" s="3" t="s">
        <v>9</v>
      </c>
      <c r="E178" s="3"/>
      <c r="F178" s="3" t="s">
        <v>11</v>
      </c>
      <c r="G178" s="4">
        <v>2243.7399999999998</v>
      </c>
    </row>
    <row r="179" spans="2:7" x14ac:dyDescent="0.3">
      <c r="B179" s="13" t="s">
        <v>332</v>
      </c>
      <c r="C179" s="3" t="s">
        <v>333</v>
      </c>
      <c r="D179" s="3" t="s">
        <v>9</v>
      </c>
      <c r="E179" s="3"/>
      <c r="F179" s="3" t="s">
        <v>11</v>
      </c>
      <c r="G179" s="4">
        <v>2241.58</v>
      </c>
    </row>
    <row r="180" spans="2:7" x14ac:dyDescent="0.3">
      <c r="B180" s="13" t="s">
        <v>334</v>
      </c>
      <c r="C180" s="3" t="s">
        <v>335</v>
      </c>
      <c r="D180" s="3" t="s">
        <v>9</v>
      </c>
      <c r="E180" s="3"/>
      <c r="F180" s="3" t="s">
        <v>11</v>
      </c>
      <c r="G180" s="4">
        <v>2238.98</v>
      </c>
    </row>
    <row r="181" spans="2:7" x14ac:dyDescent="0.3">
      <c r="B181" s="13" t="s">
        <v>336</v>
      </c>
      <c r="C181" s="3" t="s">
        <v>337</v>
      </c>
      <c r="D181" s="3" t="s">
        <v>9</v>
      </c>
      <c r="E181" s="3" t="s">
        <v>10</v>
      </c>
      <c r="F181" s="3" t="s">
        <v>11</v>
      </c>
      <c r="G181" s="4">
        <v>2207.7800000000002</v>
      </c>
    </row>
    <row r="182" spans="2:7" x14ac:dyDescent="0.3">
      <c r="B182" s="13" t="s">
        <v>338</v>
      </c>
      <c r="C182" s="3" t="s">
        <v>339</v>
      </c>
      <c r="D182" s="3" t="s">
        <v>9</v>
      </c>
      <c r="E182" s="3"/>
      <c r="F182" s="3" t="s">
        <v>11</v>
      </c>
      <c r="G182" s="4">
        <v>2114.46</v>
      </c>
    </row>
    <row r="183" spans="2:7" x14ac:dyDescent="0.3">
      <c r="B183" s="13" t="s">
        <v>340</v>
      </c>
      <c r="C183" s="3" t="s">
        <v>341</v>
      </c>
      <c r="D183" s="3" t="s">
        <v>9</v>
      </c>
      <c r="E183" s="3" t="s">
        <v>10</v>
      </c>
      <c r="F183" s="3" t="s">
        <v>11</v>
      </c>
      <c r="G183" s="4">
        <v>2097.21</v>
      </c>
    </row>
    <row r="184" spans="2:7" x14ac:dyDescent="0.3">
      <c r="B184" s="13" t="s">
        <v>342</v>
      </c>
      <c r="C184" s="3" t="s">
        <v>343</v>
      </c>
      <c r="D184" s="3" t="s">
        <v>9</v>
      </c>
      <c r="E184" s="3"/>
      <c r="F184" s="3" t="s">
        <v>11</v>
      </c>
      <c r="G184" s="4">
        <v>2021.37</v>
      </c>
    </row>
    <row r="185" spans="2:7" x14ac:dyDescent="0.3">
      <c r="B185" s="13" t="s">
        <v>344</v>
      </c>
      <c r="C185" s="3" t="s">
        <v>345</v>
      </c>
      <c r="D185" s="3" t="s">
        <v>9</v>
      </c>
      <c r="E185" s="3"/>
      <c r="F185" s="3" t="s">
        <v>11</v>
      </c>
      <c r="G185" s="4">
        <v>2006.7</v>
      </c>
    </row>
    <row r="186" spans="2:7" x14ac:dyDescent="0.3">
      <c r="B186" s="13" t="s">
        <v>346</v>
      </c>
      <c r="C186" s="3" t="s">
        <v>347</v>
      </c>
      <c r="D186" s="3" t="s">
        <v>9</v>
      </c>
      <c r="E186" s="3" t="s">
        <v>10</v>
      </c>
      <c r="F186" s="3" t="s">
        <v>11</v>
      </c>
      <c r="G186" s="4">
        <v>2001.87</v>
      </c>
    </row>
    <row r="187" spans="2:7" x14ac:dyDescent="0.3">
      <c r="B187" s="13" t="s">
        <v>348</v>
      </c>
      <c r="C187" s="3" t="s">
        <v>349</v>
      </c>
      <c r="D187" s="3" t="s">
        <v>9</v>
      </c>
      <c r="E187" s="3" t="s">
        <v>10</v>
      </c>
      <c r="F187" s="3" t="s">
        <v>11</v>
      </c>
      <c r="G187" s="4">
        <v>1981.72</v>
      </c>
    </row>
    <row r="188" spans="2:7" x14ac:dyDescent="0.3">
      <c r="B188" s="13" t="s">
        <v>350</v>
      </c>
      <c r="C188" s="3" t="s">
        <v>351</v>
      </c>
      <c r="D188" s="3" t="s">
        <v>9</v>
      </c>
      <c r="E188" s="3"/>
      <c r="F188" s="3" t="s">
        <v>11</v>
      </c>
      <c r="G188" s="4">
        <v>1916.58</v>
      </c>
    </row>
    <row r="189" spans="2:7" x14ac:dyDescent="0.3">
      <c r="B189" s="13" t="s">
        <v>352</v>
      </c>
      <c r="C189" s="3" t="s">
        <v>353</v>
      </c>
      <c r="D189" s="3" t="s">
        <v>9</v>
      </c>
      <c r="E189" s="3"/>
      <c r="F189" s="3" t="s">
        <v>11</v>
      </c>
      <c r="G189" s="4">
        <v>1900.37</v>
      </c>
    </row>
    <row r="190" spans="2:7" x14ac:dyDescent="0.3">
      <c r="B190" s="13">
        <v>532548</v>
      </c>
      <c r="C190" s="3" t="s">
        <v>354</v>
      </c>
      <c r="D190" s="3" t="s">
        <v>9</v>
      </c>
      <c r="E190" s="3"/>
      <c r="F190" s="3" t="s">
        <v>11</v>
      </c>
      <c r="G190" s="4">
        <v>1898.06</v>
      </c>
    </row>
    <row r="191" spans="2:7" x14ac:dyDescent="0.3">
      <c r="B191" s="13" t="s">
        <v>355</v>
      </c>
      <c r="C191" s="3" t="s">
        <v>356</v>
      </c>
      <c r="D191" s="3" t="s">
        <v>9</v>
      </c>
      <c r="E191" s="3"/>
      <c r="F191" s="3" t="s">
        <v>11</v>
      </c>
      <c r="G191" s="4">
        <v>1884.3</v>
      </c>
    </row>
    <row r="192" spans="2:7" x14ac:dyDescent="0.3">
      <c r="B192" s="13" t="s">
        <v>357</v>
      </c>
      <c r="C192" s="3" t="s">
        <v>358</v>
      </c>
      <c r="D192" s="3" t="s">
        <v>9</v>
      </c>
      <c r="E192" s="3"/>
      <c r="F192" s="3" t="s">
        <v>11</v>
      </c>
      <c r="G192" s="4">
        <v>1874.14</v>
      </c>
    </row>
    <row r="193" spans="2:7" x14ac:dyDescent="0.3">
      <c r="B193" s="13" t="s">
        <v>359</v>
      </c>
      <c r="C193" s="3" t="s">
        <v>360</v>
      </c>
      <c r="D193" s="3" t="s">
        <v>9</v>
      </c>
      <c r="E193" s="3" t="s">
        <v>10</v>
      </c>
      <c r="F193" s="3" t="s">
        <v>11</v>
      </c>
      <c r="G193" s="4">
        <v>1872.67</v>
      </c>
    </row>
    <row r="194" spans="2:7" x14ac:dyDescent="0.3">
      <c r="B194" s="13" t="s">
        <v>361</v>
      </c>
      <c r="C194" s="3" t="s">
        <v>362</v>
      </c>
      <c r="D194" s="3" t="s">
        <v>9</v>
      </c>
      <c r="E194" s="3"/>
      <c r="F194" s="3" t="s">
        <v>11</v>
      </c>
      <c r="G194" s="4">
        <v>1848.56</v>
      </c>
    </row>
    <row r="195" spans="2:7" x14ac:dyDescent="0.3">
      <c r="B195" s="13" t="s">
        <v>363</v>
      </c>
      <c r="C195" s="3" t="s">
        <v>364</v>
      </c>
      <c r="D195" s="3" t="s">
        <v>9</v>
      </c>
      <c r="E195" s="3" t="s">
        <v>10</v>
      </c>
      <c r="F195" s="3" t="s">
        <v>11</v>
      </c>
      <c r="G195" s="4">
        <v>1835.67</v>
      </c>
    </row>
    <row r="196" spans="2:7" x14ac:dyDescent="0.3">
      <c r="B196" s="13" t="s">
        <v>365</v>
      </c>
      <c r="C196" s="3" t="s">
        <v>366</v>
      </c>
      <c r="D196" s="3" t="s">
        <v>9</v>
      </c>
      <c r="E196" s="3" t="s">
        <v>10</v>
      </c>
      <c r="F196" s="3" t="s">
        <v>11</v>
      </c>
      <c r="G196" s="4">
        <v>1806.59</v>
      </c>
    </row>
    <row r="197" spans="2:7" x14ac:dyDescent="0.3">
      <c r="B197" s="13" t="s">
        <v>367</v>
      </c>
      <c r="C197" s="3" t="s">
        <v>368</v>
      </c>
      <c r="D197" s="3" t="s">
        <v>9</v>
      </c>
      <c r="E197" s="3"/>
      <c r="F197" s="3" t="s">
        <v>11</v>
      </c>
      <c r="G197" s="4">
        <v>1794.27</v>
      </c>
    </row>
    <row r="198" spans="2:7" x14ac:dyDescent="0.3">
      <c r="B198" s="13" t="s">
        <v>369</v>
      </c>
      <c r="C198" s="3" t="s">
        <v>370</v>
      </c>
      <c r="D198" s="3" t="s">
        <v>9</v>
      </c>
      <c r="E198" s="3" t="s">
        <v>10</v>
      </c>
      <c r="F198" s="3" t="s">
        <v>11</v>
      </c>
      <c r="G198" s="4">
        <v>1763.16</v>
      </c>
    </row>
    <row r="199" spans="2:7" x14ac:dyDescent="0.3">
      <c r="B199" s="13" t="s">
        <v>371</v>
      </c>
      <c r="C199" s="3" t="s">
        <v>372</v>
      </c>
      <c r="D199" s="3" t="s">
        <v>9</v>
      </c>
      <c r="E199" s="3" t="s">
        <v>10</v>
      </c>
      <c r="F199" s="3" t="s">
        <v>11</v>
      </c>
      <c r="G199" s="4">
        <v>1737.64</v>
      </c>
    </row>
    <row r="200" spans="2:7" x14ac:dyDescent="0.3">
      <c r="B200" s="13" t="s">
        <v>373</v>
      </c>
      <c r="C200" s="3" t="s">
        <v>374</v>
      </c>
      <c r="D200" s="3" t="s">
        <v>9</v>
      </c>
      <c r="E200" s="3" t="s">
        <v>14</v>
      </c>
      <c r="F200" s="3" t="s">
        <v>11</v>
      </c>
      <c r="G200" s="4">
        <v>1725.06</v>
      </c>
    </row>
    <row r="201" spans="2:7" x14ac:dyDescent="0.3">
      <c r="B201" s="13">
        <v>4208</v>
      </c>
      <c r="C201" s="3" t="s">
        <v>375</v>
      </c>
      <c r="D201" s="3" t="s">
        <v>9</v>
      </c>
      <c r="E201" s="3"/>
      <c r="F201" s="3" t="s">
        <v>11</v>
      </c>
      <c r="G201" s="4">
        <v>1698.18</v>
      </c>
    </row>
    <row r="202" spans="2:7" x14ac:dyDescent="0.3">
      <c r="B202" s="13" t="s">
        <v>376</v>
      </c>
      <c r="C202" s="3" t="s">
        <v>377</v>
      </c>
      <c r="D202" s="3" t="s">
        <v>9</v>
      </c>
      <c r="E202" s="3" t="s">
        <v>14</v>
      </c>
      <c r="F202" s="3" t="s">
        <v>11</v>
      </c>
      <c r="G202" s="4">
        <v>1692.95</v>
      </c>
    </row>
    <row r="203" spans="2:7" x14ac:dyDescent="0.3">
      <c r="B203" s="13">
        <v>8242</v>
      </c>
      <c r="C203" s="3" t="s">
        <v>378</v>
      </c>
      <c r="D203" s="3" t="s">
        <v>9</v>
      </c>
      <c r="E203" s="3"/>
      <c r="F203" s="3" t="s">
        <v>11</v>
      </c>
      <c r="G203" s="4">
        <v>1614.66</v>
      </c>
    </row>
    <row r="204" spans="2:7" x14ac:dyDescent="0.3">
      <c r="B204" s="13" t="s">
        <v>379</v>
      </c>
      <c r="C204" s="3" t="s">
        <v>380</v>
      </c>
      <c r="D204" s="3" t="s">
        <v>9</v>
      </c>
      <c r="E204" s="3" t="s">
        <v>10</v>
      </c>
      <c r="F204" s="3" t="s">
        <v>11</v>
      </c>
      <c r="G204" s="4">
        <v>1591.53</v>
      </c>
    </row>
    <row r="205" spans="2:7" x14ac:dyDescent="0.3">
      <c r="B205" s="13" t="s">
        <v>381</v>
      </c>
      <c r="C205" s="3" t="s">
        <v>382</v>
      </c>
      <c r="D205" s="3" t="s">
        <v>9</v>
      </c>
      <c r="E205" s="3" t="s">
        <v>10</v>
      </c>
      <c r="F205" s="3" t="s">
        <v>11</v>
      </c>
      <c r="G205" s="4">
        <v>1581.22</v>
      </c>
    </row>
    <row r="206" spans="2:7" x14ac:dyDescent="0.3">
      <c r="B206" s="13" t="s">
        <v>383</v>
      </c>
      <c r="C206" s="3" t="s">
        <v>384</v>
      </c>
      <c r="D206" s="3" t="s">
        <v>9</v>
      </c>
      <c r="E206" s="3" t="s">
        <v>10</v>
      </c>
      <c r="F206" s="3" t="s">
        <v>11</v>
      </c>
      <c r="G206" s="4">
        <v>1572.11</v>
      </c>
    </row>
    <row r="207" spans="2:7" x14ac:dyDescent="0.3">
      <c r="B207" s="13" t="s">
        <v>385</v>
      </c>
      <c r="C207" s="3" t="s">
        <v>386</v>
      </c>
      <c r="D207" s="3" t="s">
        <v>9</v>
      </c>
      <c r="E207" s="3" t="s">
        <v>10</v>
      </c>
      <c r="F207" s="3" t="s">
        <v>11</v>
      </c>
      <c r="G207" s="4">
        <v>1566.98</v>
      </c>
    </row>
    <row r="208" spans="2:7" x14ac:dyDescent="0.3">
      <c r="B208" s="13">
        <v>500048</v>
      </c>
      <c r="C208" s="3" t="s">
        <v>387</v>
      </c>
      <c r="D208" s="3" t="s">
        <v>9</v>
      </c>
      <c r="E208" s="3"/>
      <c r="F208" s="3" t="s">
        <v>11</v>
      </c>
      <c r="G208" s="4">
        <v>1495.98</v>
      </c>
    </row>
    <row r="209" spans="2:7" x14ac:dyDescent="0.3">
      <c r="B209" s="13" t="s">
        <v>388</v>
      </c>
      <c r="C209" s="3" t="s">
        <v>389</v>
      </c>
      <c r="D209" s="3" t="s">
        <v>9</v>
      </c>
      <c r="E209" s="3"/>
      <c r="F209" s="3" t="s">
        <v>11</v>
      </c>
      <c r="G209" s="4">
        <v>1475.8</v>
      </c>
    </row>
    <row r="210" spans="2:7" x14ac:dyDescent="0.3">
      <c r="B210" s="13" t="s">
        <v>390</v>
      </c>
      <c r="C210" s="3" t="s">
        <v>391</v>
      </c>
      <c r="D210" s="3" t="s">
        <v>9</v>
      </c>
      <c r="E210" s="3" t="s">
        <v>10</v>
      </c>
      <c r="F210" s="3" t="s">
        <v>11</v>
      </c>
      <c r="G210" s="4">
        <v>1456.4</v>
      </c>
    </row>
    <row r="211" spans="2:7" x14ac:dyDescent="0.3">
      <c r="B211" s="13">
        <v>6103</v>
      </c>
      <c r="C211" s="3" t="s">
        <v>392</v>
      </c>
      <c r="D211" s="3" t="s">
        <v>9</v>
      </c>
      <c r="E211" s="3"/>
      <c r="F211" s="3" t="s">
        <v>11</v>
      </c>
      <c r="G211" s="4">
        <v>1434.55</v>
      </c>
    </row>
    <row r="212" spans="2:7" x14ac:dyDescent="0.3">
      <c r="B212" s="13" t="s">
        <v>393</v>
      </c>
      <c r="C212" s="3" t="s">
        <v>394</v>
      </c>
      <c r="D212" s="3" t="s">
        <v>9</v>
      </c>
      <c r="E212" s="3"/>
      <c r="F212" s="3" t="s">
        <v>11</v>
      </c>
      <c r="G212" s="4">
        <v>1403.95</v>
      </c>
    </row>
    <row r="213" spans="2:7" x14ac:dyDescent="0.3">
      <c r="B213" s="13" t="s">
        <v>395</v>
      </c>
      <c r="C213" s="3" t="s">
        <v>396</v>
      </c>
      <c r="D213" s="3" t="s">
        <v>9</v>
      </c>
      <c r="E213" s="3"/>
      <c r="F213" s="3" t="s">
        <v>11</v>
      </c>
      <c r="G213" s="4">
        <v>1394.29</v>
      </c>
    </row>
    <row r="214" spans="2:7" x14ac:dyDescent="0.3">
      <c r="B214" s="13" t="s">
        <v>397</v>
      </c>
      <c r="C214" s="3" t="s">
        <v>398</v>
      </c>
      <c r="D214" s="3" t="s">
        <v>9</v>
      </c>
      <c r="E214" s="3"/>
      <c r="F214" s="3" t="s">
        <v>11</v>
      </c>
      <c r="G214" s="4">
        <v>1352.04</v>
      </c>
    </row>
    <row r="215" spans="2:7" x14ac:dyDescent="0.3">
      <c r="B215" s="13" t="s">
        <v>399</v>
      </c>
      <c r="C215" s="3" t="s">
        <v>400</v>
      </c>
      <c r="D215" s="3" t="s">
        <v>9</v>
      </c>
      <c r="E215" s="3" t="s">
        <v>10</v>
      </c>
      <c r="F215" s="3" t="s">
        <v>11</v>
      </c>
      <c r="G215" s="4">
        <v>1299.68</v>
      </c>
    </row>
    <row r="216" spans="2:7" x14ac:dyDescent="0.3">
      <c r="B216" s="13" t="s">
        <v>401</v>
      </c>
      <c r="C216" s="3" t="s">
        <v>402</v>
      </c>
      <c r="D216" s="3" t="s">
        <v>9</v>
      </c>
      <c r="E216" s="3" t="s">
        <v>10</v>
      </c>
      <c r="F216" s="3" t="s">
        <v>11</v>
      </c>
      <c r="G216" s="4">
        <v>1277.51</v>
      </c>
    </row>
    <row r="217" spans="2:7" x14ac:dyDescent="0.3">
      <c r="B217" s="13" t="s">
        <v>403</v>
      </c>
      <c r="C217" s="3" t="s">
        <v>404</v>
      </c>
      <c r="D217" s="3" t="s">
        <v>9</v>
      </c>
      <c r="E217" s="3" t="s">
        <v>10</v>
      </c>
      <c r="F217" s="3" t="s">
        <v>11</v>
      </c>
      <c r="G217" s="4">
        <v>1262.31</v>
      </c>
    </row>
    <row r="218" spans="2:7" x14ac:dyDescent="0.3">
      <c r="B218" s="13" t="s">
        <v>405</v>
      </c>
      <c r="C218" s="3" t="s">
        <v>406</v>
      </c>
      <c r="D218" s="3" t="s">
        <v>9</v>
      </c>
      <c r="E218" s="3"/>
      <c r="F218" s="3" t="s">
        <v>11</v>
      </c>
      <c r="G218" s="4">
        <v>1247.68</v>
      </c>
    </row>
    <row r="219" spans="2:7" x14ac:dyDescent="0.3">
      <c r="B219" s="13">
        <v>8098</v>
      </c>
      <c r="C219" s="3" t="s">
        <v>407</v>
      </c>
      <c r="D219" s="3" t="s">
        <v>9</v>
      </c>
      <c r="E219" s="3"/>
      <c r="F219" s="3" t="s">
        <v>11</v>
      </c>
      <c r="G219" s="4">
        <v>1246.78</v>
      </c>
    </row>
    <row r="220" spans="2:7" x14ac:dyDescent="0.3">
      <c r="B220" s="13" t="s">
        <v>408</v>
      </c>
      <c r="C220" s="3" t="s">
        <v>409</v>
      </c>
      <c r="D220" s="3" t="s">
        <v>9</v>
      </c>
      <c r="E220" s="3"/>
      <c r="F220" s="3" t="s">
        <v>410</v>
      </c>
      <c r="G220" s="4">
        <v>1233.76</v>
      </c>
    </row>
    <row r="221" spans="2:7" x14ac:dyDescent="0.3">
      <c r="B221" s="13" t="s">
        <v>411</v>
      </c>
      <c r="C221" s="3" t="s">
        <v>412</v>
      </c>
      <c r="D221" s="3" t="s">
        <v>9</v>
      </c>
      <c r="E221" s="3"/>
      <c r="F221" s="3" t="s">
        <v>11</v>
      </c>
      <c r="G221" s="4">
        <v>1228.3599999999999</v>
      </c>
    </row>
    <row r="222" spans="2:7" x14ac:dyDescent="0.3">
      <c r="B222" s="13" t="s">
        <v>413</v>
      </c>
      <c r="C222" s="3" t="s">
        <v>414</v>
      </c>
      <c r="D222" s="3" t="s">
        <v>9</v>
      </c>
      <c r="E222" s="3"/>
      <c r="F222" s="3" t="s">
        <v>11</v>
      </c>
      <c r="G222" s="4">
        <v>1223.33</v>
      </c>
    </row>
    <row r="223" spans="2:7" x14ac:dyDescent="0.3">
      <c r="B223" s="13" t="s">
        <v>415</v>
      </c>
      <c r="C223" s="3" t="s">
        <v>416</v>
      </c>
      <c r="D223" s="3" t="s">
        <v>9</v>
      </c>
      <c r="E223" s="3"/>
      <c r="F223" s="3" t="s">
        <v>11</v>
      </c>
      <c r="G223" s="4">
        <v>1214.83</v>
      </c>
    </row>
    <row r="224" spans="2:7" x14ac:dyDescent="0.3">
      <c r="B224" s="13" t="s">
        <v>133</v>
      </c>
      <c r="C224" s="3" t="s">
        <v>417</v>
      </c>
      <c r="D224" s="3" t="s">
        <v>9</v>
      </c>
      <c r="E224" s="3"/>
      <c r="F224" s="3" t="s">
        <v>11</v>
      </c>
      <c r="G224" s="4">
        <v>1212.55</v>
      </c>
    </row>
    <row r="225" spans="2:7" x14ac:dyDescent="0.3">
      <c r="B225" s="13" t="s">
        <v>418</v>
      </c>
      <c r="C225" s="3" t="s">
        <v>419</v>
      </c>
      <c r="D225" s="3" t="s">
        <v>9</v>
      </c>
      <c r="E225" s="3"/>
      <c r="F225" s="3" t="s">
        <v>11</v>
      </c>
      <c r="G225" s="4">
        <v>1192.95</v>
      </c>
    </row>
    <row r="226" spans="2:7" x14ac:dyDescent="0.3">
      <c r="B226" s="13" t="s">
        <v>420</v>
      </c>
      <c r="C226" s="3" t="s">
        <v>421</v>
      </c>
      <c r="D226" s="3" t="s">
        <v>9</v>
      </c>
      <c r="E226" s="3"/>
      <c r="F226" s="3" t="s">
        <v>11</v>
      </c>
      <c r="G226" s="4">
        <v>1188.01</v>
      </c>
    </row>
    <row r="227" spans="2:7" x14ac:dyDescent="0.3">
      <c r="B227" s="13">
        <v>3374</v>
      </c>
      <c r="C227" s="3" t="s">
        <v>422</v>
      </c>
      <c r="D227" s="3" t="s">
        <v>9</v>
      </c>
      <c r="E227" s="3"/>
      <c r="F227" s="3" t="s">
        <v>11</v>
      </c>
      <c r="G227" s="4">
        <v>1182.23</v>
      </c>
    </row>
    <row r="228" spans="2:7" x14ac:dyDescent="0.3">
      <c r="B228" s="13">
        <v>7296</v>
      </c>
      <c r="C228" s="3" t="s">
        <v>423</v>
      </c>
      <c r="D228" s="3" t="s">
        <v>9</v>
      </c>
      <c r="E228" s="3"/>
      <c r="F228" s="3" t="s">
        <v>11</v>
      </c>
      <c r="G228" s="4">
        <v>1163.69</v>
      </c>
    </row>
    <row r="229" spans="2:7" x14ac:dyDescent="0.3">
      <c r="B229" s="13" t="s">
        <v>424</v>
      </c>
      <c r="C229" s="3" t="s">
        <v>425</v>
      </c>
      <c r="D229" s="3" t="s">
        <v>9</v>
      </c>
      <c r="E229" s="3"/>
      <c r="F229" s="3" t="s">
        <v>11</v>
      </c>
      <c r="G229" s="4">
        <v>1155.08</v>
      </c>
    </row>
    <row r="230" spans="2:7" x14ac:dyDescent="0.3">
      <c r="B230" s="13" t="s">
        <v>426</v>
      </c>
      <c r="C230" s="3" t="s">
        <v>427</v>
      </c>
      <c r="D230" s="3" t="s">
        <v>9</v>
      </c>
      <c r="E230" s="3"/>
      <c r="F230" s="3" t="s">
        <v>11</v>
      </c>
      <c r="G230" s="4">
        <v>1150.79</v>
      </c>
    </row>
    <row r="231" spans="2:7" x14ac:dyDescent="0.3">
      <c r="B231" s="13" t="s">
        <v>428</v>
      </c>
      <c r="C231" s="3" t="s">
        <v>429</v>
      </c>
      <c r="D231" s="3" t="s">
        <v>9</v>
      </c>
      <c r="E231" s="3" t="s">
        <v>10</v>
      </c>
      <c r="F231" s="3" t="s">
        <v>11</v>
      </c>
      <c r="G231" s="4">
        <v>1069.32</v>
      </c>
    </row>
    <row r="232" spans="2:7" x14ac:dyDescent="0.3">
      <c r="B232" s="13" t="s">
        <v>430</v>
      </c>
      <c r="C232" s="3" t="s">
        <v>431</v>
      </c>
      <c r="D232" s="3" t="s">
        <v>9</v>
      </c>
      <c r="E232" s="3"/>
      <c r="F232" s="3" t="s">
        <v>11</v>
      </c>
      <c r="G232" s="4">
        <v>1010.09</v>
      </c>
    </row>
    <row r="233" spans="2:7" x14ac:dyDescent="0.3">
      <c r="B233" s="13" t="s">
        <v>432</v>
      </c>
      <c r="C233" s="3" t="s">
        <v>433</v>
      </c>
      <c r="D233" s="3" t="s">
        <v>9</v>
      </c>
      <c r="E233" s="3"/>
      <c r="F233" s="3" t="s">
        <v>11</v>
      </c>
      <c r="G233" s="4">
        <v>981.9</v>
      </c>
    </row>
    <row r="234" spans="2:7" x14ac:dyDescent="0.3">
      <c r="B234" s="13">
        <v>6420</v>
      </c>
      <c r="C234" s="3" t="s">
        <v>434</v>
      </c>
      <c r="D234" s="3" t="s">
        <v>9</v>
      </c>
      <c r="E234" s="3"/>
      <c r="F234" s="3" t="s">
        <v>11</v>
      </c>
      <c r="G234" s="4">
        <v>969.66</v>
      </c>
    </row>
    <row r="235" spans="2:7" x14ac:dyDescent="0.3">
      <c r="B235" s="13" t="s">
        <v>435</v>
      </c>
      <c r="C235" s="3" t="s">
        <v>436</v>
      </c>
      <c r="D235" s="3" t="s">
        <v>9</v>
      </c>
      <c r="E235" s="3" t="s">
        <v>10</v>
      </c>
      <c r="F235" s="3" t="s">
        <v>11</v>
      </c>
      <c r="G235" s="4">
        <v>906.12</v>
      </c>
    </row>
    <row r="236" spans="2:7" x14ac:dyDescent="0.3">
      <c r="B236" s="13" t="s">
        <v>437</v>
      </c>
      <c r="C236" s="3" t="s">
        <v>438</v>
      </c>
      <c r="D236" s="3" t="s">
        <v>9</v>
      </c>
      <c r="E236" s="3"/>
      <c r="F236" s="3" t="s">
        <v>11</v>
      </c>
      <c r="G236" s="4">
        <v>889.38</v>
      </c>
    </row>
    <row r="237" spans="2:7" x14ac:dyDescent="0.3">
      <c r="B237" s="13" t="s">
        <v>439</v>
      </c>
      <c r="C237" s="3" t="s">
        <v>440</v>
      </c>
      <c r="D237" s="3" t="s">
        <v>9</v>
      </c>
      <c r="E237" s="3"/>
      <c r="F237" s="3" t="s">
        <v>11</v>
      </c>
      <c r="G237" s="4">
        <v>869.15</v>
      </c>
    </row>
    <row r="238" spans="2:7" x14ac:dyDescent="0.3">
      <c r="B238" s="13">
        <v>9699</v>
      </c>
      <c r="C238" s="3" t="s">
        <v>441</v>
      </c>
      <c r="D238" s="3" t="s">
        <v>9</v>
      </c>
      <c r="E238" s="3"/>
      <c r="F238" s="3" t="s">
        <v>11</v>
      </c>
      <c r="G238" s="4">
        <v>866.8</v>
      </c>
    </row>
    <row r="239" spans="2:7" x14ac:dyDescent="0.3">
      <c r="B239" s="13">
        <v>3433</v>
      </c>
      <c r="C239" s="3" t="s">
        <v>442</v>
      </c>
      <c r="D239" s="3" t="s">
        <v>9</v>
      </c>
      <c r="E239" s="3"/>
      <c r="F239" s="3" t="s">
        <v>11</v>
      </c>
      <c r="G239" s="4">
        <v>840.19</v>
      </c>
    </row>
    <row r="240" spans="2:7" x14ac:dyDescent="0.3">
      <c r="B240" s="13" t="s">
        <v>443</v>
      </c>
      <c r="C240" s="3" t="s">
        <v>444</v>
      </c>
      <c r="D240" s="3" t="s">
        <v>9</v>
      </c>
      <c r="E240" s="3"/>
      <c r="F240" s="3" t="s">
        <v>11</v>
      </c>
      <c r="G240" s="4">
        <v>838.1</v>
      </c>
    </row>
    <row r="241" spans="2:7" x14ac:dyDescent="0.3">
      <c r="B241" s="13">
        <v>6745</v>
      </c>
      <c r="C241" s="3" t="s">
        <v>445</v>
      </c>
      <c r="D241" s="3" t="s">
        <v>9</v>
      </c>
      <c r="E241" s="3"/>
      <c r="F241" s="3" t="s">
        <v>11</v>
      </c>
      <c r="G241" s="4">
        <v>782.82</v>
      </c>
    </row>
    <row r="242" spans="2:7" x14ac:dyDescent="0.3">
      <c r="B242" s="13">
        <v>6996</v>
      </c>
      <c r="C242" s="3" t="s">
        <v>446</v>
      </c>
      <c r="D242" s="3" t="s">
        <v>9</v>
      </c>
      <c r="E242" s="3"/>
      <c r="F242" s="3" t="s">
        <v>11</v>
      </c>
      <c r="G242" s="4">
        <v>750.38</v>
      </c>
    </row>
    <row r="243" spans="2:7" x14ac:dyDescent="0.3">
      <c r="B243" s="13">
        <v>500338</v>
      </c>
      <c r="C243" s="3" t="s">
        <v>447</v>
      </c>
      <c r="D243" s="3" t="s">
        <v>9</v>
      </c>
      <c r="E243" s="3"/>
      <c r="F243" s="3" t="s">
        <v>11</v>
      </c>
      <c r="G243" s="4">
        <v>731.25</v>
      </c>
    </row>
    <row r="244" spans="2:7" x14ac:dyDescent="0.3">
      <c r="B244" s="13">
        <v>9010</v>
      </c>
      <c r="C244" s="3" t="s">
        <v>448</v>
      </c>
      <c r="D244" s="3" t="s">
        <v>9</v>
      </c>
      <c r="E244" s="3"/>
      <c r="F244" s="3" t="s">
        <v>11</v>
      </c>
      <c r="G244" s="4">
        <v>729.92</v>
      </c>
    </row>
    <row r="245" spans="2:7" x14ac:dyDescent="0.3">
      <c r="B245" s="13" t="s">
        <v>449</v>
      </c>
      <c r="C245" s="3" t="s">
        <v>450</v>
      </c>
      <c r="D245" s="3" t="s">
        <v>9</v>
      </c>
      <c r="E245" s="3"/>
      <c r="F245" s="3" t="s">
        <v>11</v>
      </c>
      <c r="G245" s="4">
        <v>724.66</v>
      </c>
    </row>
    <row r="246" spans="2:7" x14ac:dyDescent="0.3">
      <c r="B246" s="13" t="s">
        <v>451</v>
      </c>
      <c r="C246" s="3" t="s">
        <v>452</v>
      </c>
      <c r="D246" s="3" t="s">
        <v>9</v>
      </c>
      <c r="E246" s="3" t="s">
        <v>10</v>
      </c>
      <c r="F246" s="3" t="s">
        <v>11</v>
      </c>
      <c r="G246" s="4">
        <v>720.9</v>
      </c>
    </row>
    <row r="247" spans="2:7" x14ac:dyDescent="0.3">
      <c r="B247" s="13">
        <v>8059</v>
      </c>
      <c r="C247" s="3" t="s">
        <v>453</v>
      </c>
      <c r="D247" s="3" t="s">
        <v>9</v>
      </c>
      <c r="E247" s="3"/>
      <c r="F247" s="3" t="s">
        <v>11</v>
      </c>
      <c r="G247" s="4">
        <v>660.92</v>
      </c>
    </row>
    <row r="248" spans="2:7" x14ac:dyDescent="0.3">
      <c r="B248" s="13">
        <v>7177</v>
      </c>
      <c r="C248" s="3" t="s">
        <v>455</v>
      </c>
      <c r="D248" s="3" t="s">
        <v>9</v>
      </c>
      <c r="E248" s="3"/>
      <c r="F248" s="3" t="s">
        <v>11</v>
      </c>
      <c r="G248" s="4">
        <v>656.44</v>
      </c>
    </row>
    <row r="249" spans="2:7" x14ac:dyDescent="0.3">
      <c r="B249" s="13" t="s">
        <v>456</v>
      </c>
      <c r="C249" s="3" t="s">
        <v>457</v>
      </c>
      <c r="D249" s="3" t="s">
        <v>9</v>
      </c>
      <c r="E249" s="3"/>
      <c r="F249" s="3" t="s">
        <v>11</v>
      </c>
      <c r="G249" s="4">
        <v>649.19000000000005</v>
      </c>
    </row>
    <row r="250" spans="2:7" x14ac:dyDescent="0.3">
      <c r="B250" s="13">
        <v>2733</v>
      </c>
      <c r="C250" s="3" t="s">
        <v>458</v>
      </c>
      <c r="D250" s="3" t="s">
        <v>9</v>
      </c>
      <c r="E250" s="3"/>
      <c r="F250" s="3" t="s">
        <v>11</v>
      </c>
      <c r="G250" s="4">
        <v>648.58000000000004</v>
      </c>
    </row>
    <row r="251" spans="2:7" x14ac:dyDescent="0.3">
      <c r="B251" s="13" t="s">
        <v>459</v>
      </c>
      <c r="C251" s="3" t="s">
        <v>460</v>
      </c>
      <c r="D251" s="3" t="s">
        <v>9</v>
      </c>
      <c r="E251" s="3"/>
      <c r="F251" s="3" t="s">
        <v>11</v>
      </c>
      <c r="G251" s="4">
        <v>648.54</v>
      </c>
    </row>
    <row r="252" spans="2:7" x14ac:dyDescent="0.3">
      <c r="B252" s="13" t="s">
        <v>461</v>
      </c>
      <c r="C252" s="3" t="s">
        <v>462</v>
      </c>
      <c r="D252" s="3" t="s">
        <v>9</v>
      </c>
      <c r="E252" s="3"/>
      <c r="F252" s="3" t="s">
        <v>11</v>
      </c>
      <c r="G252" s="4">
        <v>635.95000000000005</v>
      </c>
    </row>
    <row r="253" spans="2:7" x14ac:dyDescent="0.3">
      <c r="B253" s="13" t="s">
        <v>463</v>
      </c>
      <c r="C253" s="3" t="s">
        <v>464</v>
      </c>
      <c r="D253" s="3" t="s">
        <v>9</v>
      </c>
      <c r="E253" s="3"/>
      <c r="F253" s="3" t="s">
        <v>11</v>
      </c>
      <c r="G253" s="4">
        <v>626.63</v>
      </c>
    </row>
    <row r="254" spans="2:7" x14ac:dyDescent="0.3">
      <c r="B254" s="13" t="s">
        <v>465</v>
      </c>
      <c r="C254" s="3" t="s">
        <v>466</v>
      </c>
      <c r="D254" s="3" t="s">
        <v>9</v>
      </c>
      <c r="E254" s="3" t="s">
        <v>10</v>
      </c>
      <c r="F254" s="3" t="s">
        <v>11</v>
      </c>
      <c r="G254" s="4">
        <v>601.85</v>
      </c>
    </row>
    <row r="255" spans="2:7" x14ac:dyDescent="0.3">
      <c r="B255" s="13" t="s">
        <v>467</v>
      </c>
      <c r="C255" s="3" t="s">
        <v>468</v>
      </c>
      <c r="D255" s="3" t="s">
        <v>9</v>
      </c>
      <c r="E255" s="3"/>
      <c r="F255" s="3" t="s">
        <v>11</v>
      </c>
      <c r="G255" s="4">
        <v>562.28</v>
      </c>
    </row>
    <row r="256" spans="2:7" x14ac:dyDescent="0.3">
      <c r="B256" s="13">
        <v>4569</v>
      </c>
      <c r="C256" s="3" t="s">
        <v>469</v>
      </c>
      <c r="D256" s="3" t="s">
        <v>9</v>
      </c>
      <c r="E256" s="3"/>
      <c r="F256" s="3" t="s">
        <v>11</v>
      </c>
      <c r="G256" s="4">
        <v>552.12</v>
      </c>
    </row>
    <row r="257" spans="2:7" x14ac:dyDescent="0.3">
      <c r="B257" s="13" t="s">
        <v>470</v>
      </c>
      <c r="C257" s="3" t="s">
        <v>471</v>
      </c>
      <c r="D257" s="3" t="s">
        <v>9</v>
      </c>
      <c r="E257" s="3"/>
      <c r="F257" s="3" t="s">
        <v>11</v>
      </c>
      <c r="G257" s="4">
        <v>545.55999999999995</v>
      </c>
    </row>
    <row r="258" spans="2:7" x14ac:dyDescent="0.3">
      <c r="B258" s="13">
        <v>505255</v>
      </c>
      <c r="C258" s="3" t="s">
        <v>472</v>
      </c>
      <c r="D258" s="3" t="s">
        <v>9</v>
      </c>
      <c r="E258" s="3"/>
      <c r="F258" s="3" t="s">
        <v>11</v>
      </c>
      <c r="G258" s="4">
        <v>536.07000000000005</v>
      </c>
    </row>
    <row r="259" spans="2:7" x14ac:dyDescent="0.3">
      <c r="B259" s="13">
        <v>505890</v>
      </c>
      <c r="C259" s="3" t="s">
        <v>473</v>
      </c>
      <c r="D259" s="3" t="s">
        <v>9</v>
      </c>
      <c r="E259" s="3"/>
      <c r="F259" s="3" t="s">
        <v>11</v>
      </c>
      <c r="G259" s="4">
        <v>525.01</v>
      </c>
    </row>
    <row r="260" spans="2:7" x14ac:dyDescent="0.3">
      <c r="B260" s="13" t="s">
        <v>474</v>
      </c>
      <c r="C260" s="3" t="s">
        <v>475</v>
      </c>
      <c r="D260" s="3" t="s">
        <v>9</v>
      </c>
      <c r="E260" s="3"/>
      <c r="F260" s="3" t="s">
        <v>11</v>
      </c>
      <c r="G260" s="4">
        <v>524.84</v>
      </c>
    </row>
    <row r="261" spans="2:7" x14ac:dyDescent="0.3">
      <c r="B261" s="13" t="s">
        <v>476</v>
      </c>
      <c r="C261" s="3" t="s">
        <v>477</v>
      </c>
      <c r="D261" s="3" t="s">
        <v>9</v>
      </c>
      <c r="E261" s="3" t="s">
        <v>10</v>
      </c>
      <c r="F261" s="3" t="s">
        <v>11</v>
      </c>
      <c r="G261" s="4">
        <v>517.02</v>
      </c>
    </row>
  </sheetData>
  <autoFilter ref="B3:G261" xr:uid="{00000000-0009-0000-0000-000000000000}">
    <sortState xmlns:xlrd2="http://schemas.microsoft.com/office/spreadsheetml/2017/richdata2" ref="B4:G261">
      <sortCondition descending="1" ref="G3:G261"/>
    </sortState>
  </autoFilter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186"/>
  <sheetViews>
    <sheetView zoomScale="70" zoomScaleNormal="70" workbookViewId="0">
      <selection activeCell="I26" sqref="B26:I26"/>
    </sheetView>
  </sheetViews>
  <sheetFormatPr defaultRowHeight="16.5" x14ac:dyDescent="0.3"/>
  <cols>
    <col min="1" max="1" width="3" customWidth="1"/>
    <col min="2" max="2" width="12" style="16" customWidth="1"/>
    <col min="3" max="3" width="14" customWidth="1"/>
    <col min="4" max="4" width="43.125" bestFit="1" customWidth="1"/>
    <col min="5" max="6" width="12" customWidth="1"/>
    <col min="7" max="23" width="9" customWidth="1"/>
    <col min="24" max="27" width="10" customWidth="1"/>
  </cols>
  <sheetData>
    <row r="2" spans="2:27" x14ac:dyDescent="0.3">
      <c r="B2" s="15" t="s">
        <v>1</v>
      </c>
      <c r="C2" s="15" t="s">
        <v>478</v>
      </c>
      <c r="D2" s="15" t="s">
        <v>479</v>
      </c>
      <c r="E2" s="15" t="s">
        <v>480</v>
      </c>
      <c r="F2" s="15" t="s">
        <v>481</v>
      </c>
      <c r="G2" s="15" t="s">
        <v>482</v>
      </c>
      <c r="H2" s="15" t="s">
        <v>483</v>
      </c>
      <c r="I2" s="15" t="s">
        <v>484</v>
      </c>
      <c r="J2" s="15" t="s">
        <v>485</v>
      </c>
      <c r="K2" s="15" t="s">
        <v>486</v>
      </c>
      <c r="L2" s="15" t="s">
        <v>487</v>
      </c>
      <c r="M2" s="15" t="s">
        <v>488</v>
      </c>
      <c r="N2" s="15" t="s">
        <v>489</v>
      </c>
      <c r="O2" s="15" t="s">
        <v>490</v>
      </c>
      <c r="P2" s="15" t="s">
        <v>491</v>
      </c>
      <c r="Q2" s="15" t="s">
        <v>492</v>
      </c>
      <c r="R2" s="15" t="s">
        <v>493</v>
      </c>
      <c r="S2" s="15" t="s">
        <v>494</v>
      </c>
      <c r="T2" s="15" t="s">
        <v>495</v>
      </c>
      <c r="U2" s="15" t="s">
        <v>496</v>
      </c>
      <c r="V2" s="15" t="s">
        <v>497</v>
      </c>
      <c r="W2" s="15" t="s">
        <v>498</v>
      </c>
      <c r="X2" s="15" t="s">
        <v>495</v>
      </c>
      <c r="Y2" s="15" t="s">
        <v>496</v>
      </c>
      <c r="Z2" s="15" t="s">
        <v>497</v>
      </c>
      <c r="AA2" s="15" t="s">
        <v>498</v>
      </c>
    </row>
    <row r="3" spans="2:27" x14ac:dyDescent="0.3">
      <c r="B3" s="13" t="s">
        <v>476</v>
      </c>
      <c r="C3" s="3" t="s">
        <v>499</v>
      </c>
      <c r="D3" s="3" t="s">
        <v>500</v>
      </c>
      <c r="E3" s="3" t="s">
        <v>501</v>
      </c>
      <c r="F3" s="14">
        <v>25.5</v>
      </c>
      <c r="G3" s="44">
        <v>94.43</v>
      </c>
      <c r="H3" s="44">
        <v>86.28</v>
      </c>
      <c r="I3" s="44">
        <v>89.04</v>
      </c>
      <c r="J3" s="44">
        <v>58.14</v>
      </c>
      <c r="K3" s="44">
        <v>83.66</v>
      </c>
      <c r="L3" s="44">
        <v>68.39</v>
      </c>
      <c r="M3" s="44">
        <v>61.66</v>
      </c>
      <c r="N3" s="44">
        <v>80.760000000000005</v>
      </c>
      <c r="O3" s="45">
        <v>138.34</v>
      </c>
      <c r="P3" s="44">
        <v>67.83</v>
      </c>
      <c r="Q3" s="44">
        <v>70.540000000000006</v>
      </c>
      <c r="R3" s="44">
        <v>54.81</v>
      </c>
      <c r="S3" s="44">
        <v>50.9</v>
      </c>
      <c r="T3" s="44">
        <v>78.010000000000005</v>
      </c>
      <c r="U3" s="44">
        <v>62.24</v>
      </c>
      <c r="V3" s="44">
        <v>60.64</v>
      </c>
      <c r="W3" s="45">
        <v>115.08</v>
      </c>
      <c r="X3" s="7">
        <v>4.1707636840380147E-2</v>
      </c>
      <c r="Y3" s="8">
        <v>-3.2643750491622818E-2</v>
      </c>
      <c r="Z3" s="8">
        <v>2.3703041144901741E-2</v>
      </c>
      <c r="AA3" s="9">
        <v>0.25489495214265873</v>
      </c>
    </row>
    <row r="4" spans="2:27" x14ac:dyDescent="0.3">
      <c r="B4" s="13" t="s">
        <v>115</v>
      </c>
      <c r="C4" s="3" t="s">
        <v>499</v>
      </c>
      <c r="D4" s="3" t="s">
        <v>502</v>
      </c>
      <c r="E4" s="3" t="s">
        <v>503</v>
      </c>
      <c r="F4" s="14">
        <v>17</v>
      </c>
      <c r="G4" s="44">
        <v>16683</v>
      </c>
      <c r="H4" s="44">
        <v>15880</v>
      </c>
      <c r="I4" s="44">
        <v>17933</v>
      </c>
      <c r="J4" s="44">
        <v>16759</v>
      </c>
      <c r="K4" s="44">
        <v>16660</v>
      </c>
      <c r="L4" s="44">
        <v>15328</v>
      </c>
      <c r="M4" s="44">
        <v>15049</v>
      </c>
      <c r="N4" s="44">
        <v>14227</v>
      </c>
      <c r="O4" s="44">
        <v>14936</v>
      </c>
      <c r="P4" s="44">
        <v>13417</v>
      </c>
      <c r="Q4" s="44">
        <v>13241</v>
      </c>
      <c r="R4" s="44">
        <v>12908</v>
      </c>
      <c r="S4" s="44">
        <v>13542</v>
      </c>
      <c r="T4" s="44">
        <v>11643</v>
      </c>
      <c r="U4" s="44">
        <v>12769</v>
      </c>
      <c r="V4" s="45">
        <v>22155</v>
      </c>
      <c r="W4" s="45">
        <v>23762</v>
      </c>
      <c r="X4" s="7">
        <v>-3.3403630338178843E-2</v>
      </c>
      <c r="Y4" s="8">
        <v>-9.194685783301515E-3</v>
      </c>
      <c r="Z4" s="9">
        <v>0.1818056702449766</v>
      </c>
      <c r="AA4" s="9">
        <v>0.17002445557237689</v>
      </c>
    </row>
    <row r="5" spans="2:27" x14ac:dyDescent="0.3">
      <c r="B5" s="13" t="s">
        <v>206</v>
      </c>
      <c r="C5" s="3" t="s">
        <v>499</v>
      </c>
      <c r="D5" s="3" t="s">
        <v>504</v>
      </c>
      <c r="E5" s="3" t="s">
        <v>503</v>
      </c>
      <c r="F5" s="14">
        <v>16</v>
      </c>
      <c r="G5" s="44">
        <v>75.739999999999995</v>
      </c>
      <c r="H5" s="44">
        <v>70.25</v>
      </c>
      <c r="I5" s="44">
        <v>79.42</v>
      </c>
      <c r="J5" s="44">
        <v>73.099999999999994</v>
      </c>
      <c r="K5" s="44">
        <v>60.84</v>
      </c>
      <c r="L5" s="44">
        <v>38.340000000000003</v>
      </c>
      <c r="M5" s="44">
        <v>27.73</v>
      </c>
      <c r="N5" s="44">
        <v>35.520000000000003</v>
      </c>
      <c r="O5" s="44">
        <v>42.4</v>
      </c>
      <c r="P5" s="44">
        <v>33.020000000000003</v>
      </c>
      <c r="Q5" s="45">
        <v>43.87</v>
      </c>
      <c r="R5" s="45">
        <v>57.7</v>
      </c>
      <c r="S5" s="45">
        <v>68.11</v>
      </c>
      <c r="T5" s="45">
        <v>60.31</v>
      </c>
      <c r="U5" s="45">
        <v>69.489999999999995</v>
      </c>
      <c r="V5" s="45">
        <v>83.57</v>
      </c>
      <c r="W5" s="45">
        <v>113.28</v>
      </c>
      <c r="X5" s="10">
        <v>0.13463246176615701</v>
      </c>
      <c r="Y5" s="9">
        <v>0.11139614765859381</v>
      </c>
      <c r="Z5" s="9">
        <v>0.10120887289229689</v>
      </c>
      <c r="AA5" s="9">
        <v>0.16047321301691039</v>
      </c>
    </row>
    <row r="6" spans="2:27" x14ac:dyDescent="0.3">
      <c r="B6" s="13" t="s">
        <v>365</v>
      </c>
      <c r="C6" s="3" t="s">
        <v>499</v>
      </c>
      <c r="D6" s="3" t="s">
        <v>505</v>
      </c>
      <c r="E6" s="3" t="s">
        <v>501</v>
      </c>
      <c r="F6" s="14">
        <v>12.7</v>
      </c>
      <c r="G6" s="44">
        <v>174.89</v>
      </c>
      <c r="H6" s="44">
        <v>342.72</v>
      </c>
      <c r="I6" s="44">
        <v>239.01</v>
      </c>
      <c r="J6" s="44">
        <v>441.98</v>
      </c>
      <c r="K6" s="45">
        <v>310.45999999999998</v>
      </c>
      <c r="L6" s="45">
        <v>698.19</v>
      </c>
      <c r="M6" s="45">
        <v>536.35</v>
      </c>
      <c r="N6" s="45">
        <v>672.98</v>
      </c>
      <c r="O6" s="44">
        <v>363.96</v>
      </c>
      <c r="P6" s="44">
        <v>623.14</v>
      </c>
      <c r="Q6" s="44">
        <v>483.32</v>
      </c>
      <c r="R6" s="45">
        <v>1228</v>
      </c>
      <c r="S6" s="44">
        <v>186.79</v>
      </c>
      <c r="T6" s="44">
        <v>431.62</v>
      </c>
      <c r="U6" s="44">
        <v>602.53</v>
      </c>
      <c r="V6" s="44">
        <v>1042</v>
      </c>
      <c r="W6" s="45">
        <v>475.23</v>
      </c>
      <c r="X6" s="7">
        <v>-7.596232027764005E-2</v>
      </c>
      <c r="Y6" s="8">
        <v>5.1169019585960651E-2</v>
      </c>
      <c r="Z6" s="8">
        <v>-7.595122787818398E-2</v>
      </c>
      <c r="AA6" s="9">
        <v>0.12746250452950589</v>
      </c>
    </row>
    <row r="7" spans="2:27" x14ac:dyDescent="0.3">
      <c r="B7" s="13" t="s">
        <v>273</v>
      </c>
      <c r="C7" s="3" t="s">
        <v>499</v>
      </c>
      <c r="D7" s="3" t="s">
        <v>506</v>
      </c>
      <c r="E7" s="3" t="s">
        <v>503</v>
      </c>
      <c r="F7" s="14">
        <v>12.2</v>
      </c>
      <c r="G7" s="44">
        <v>229.12</v>
      </c>
      <c r="H7" s="44">
        <v>230.02</v>
      </c>
      <c r="I7" s="44">
        <v>216.01</v>
      </c>
      <c r="J7" s="44">
        <v>207.26</v>
      </c>
      <c r="K7" s="44">
        <v>201.52</v>
      </c>
      <c r="L7" s="44">
        <v>201.32</v>
      </c>
      <c r="M7" s="44">
        <v>204.23</v>
      </c>
      <c r="N7" s="44">
        <v>209.69</v>
      </c>
      <c r="O7" s="44">
        <v>205.79</v>
      </c>
      <c r="P7" s="44">
        <v>215.86</v>
      </c>
      <c r="Q7" s="44">
        <v>219.62</v>
      </c>
      <c r="R7" s="44">
        <v>225.63</v>
      </c>
      <c r="S7" s="44">
        <v>232.37</v>
      </c>
      <c r="T7" s="44">
        <v>219.6</v>
      </c>
      <c r="U7" s="45">
        <v>351.21</v>
      </c>
      <c r="V7" s="45">
        <v>361.2</v>
      </c>
      <c r="W7" s="45">
        <v>374.12</v>
      </c>
      <c r="X7" s="7">
        <v>4.1858799301608407E-3</v>
      </c>
      <c r="Y7" s="9">
        <v>0.14666414034462011</v>
      </c>
      <c r="Z7" s="9">
        <v>0.13177360251163961</v>
      </c>
      <c r="AA7" s="9">
        <v>0.1217386076710352</v>
      </c>
    </row>
    <row r="8" spans="2:27" x14ac:dyDescent="0.3">
      <c r="B8" s="13" t="s">
        <v>12</v>
      </c>
      <c r="C8" s="3" t="s">
        <v>499</v>
      </c>
      <c r="D8" s="3" t="s">
        <v>507</v>
      </c>
      <c r="E8" s="3" t="s">
        <v>503</v>
      </c>
      <c r="F8" s="5">
        <v>9.6999999999999993</v>
      </c>
      <c r="G8" s="44">
        <v>8000</v>
      </c>
      <c r="H8" s="44">
        <v>7810</v>
      </c>
      <c r="I8" s="44">
        <v>6488</v>
      </c>
      <c r="J8" s="44">
        <v>6942</v>
      </c>
      <c r="K8" s="44">
        <v>7302</v>
      </c>
      <c r="L8" s="44">
        <v>6960</v>
      </c>
      <c r="M8" s="44">
        <v>8312</v>
      </c>
      <c r="N8" s="44">
        <v>9499</v>
      </c>
      <c r="O8" s="44">
        <v>9353</v>
      </c>
      <c r="P8" s="44">
        <v>8768</v>
      </c>
      <c r="Q8" s="44">
        <v>11303</v>
      </c>
      <c r="R8" s="44">
        <v>11439</v>
      </c>
      <c r="S8" s="45">
        <v>13533</v>
      </c>
      <c r="T8" s="44">
        <v>12729</v>
      </c>
      <c r="U8" s="44">
        <v>15558</v>
      </c>
      <c r="V8" s="45">
        <v>17601</v>
      </c>
      <c r="W8" s="44">
        <v>19292</v>
      </c>
      <c r="X8" s="7">
        <v>8.7938192393934633E-2</v>
      </c>
      <c r="Y8" s="8">
        <v>8.6829646559464457E-2</v>
      </c>
      <c r="Z8" s="9">
        <v>0.11569875513997641</v>
      </c>
      <c r="AA8" s="8">
        <v>9.6918597802123863E-2</v>
      </c>
    </row>
    <row r="9" spans="2:27" x14ac:dyDescent="0.3">
      <c r="B9" s="13" t="s">
        <v>265</v>
      </c>
      <c r="C9" s="3" t="s">
        <v>499</v>
      </c>
      <c r="D9" s="3" t="s">
        <v>508</v>
      </c>
      <c r="E9" s="3" t="s">
        <v>509</v>
      </c>
      <c r="F9" s="5">
        <v>9.6999999999999993</v>
      </c>
      <c r="G9" s="44">
        <v>98.12</v>
      </c>
      <c r="H9" s="44">
        <v>105.14</v>
      </c>
      <c r="I9" s="44">
        <v>122.6</v>
      </c>
      <c r="J9" s="44">
        <v>122.35</v>
      </c>
      <c r="K9" s="45">
        <v>146.54</v>
      </c>
      <c r="L9" s="45">
        <v>187.36</v>
      </c>
      <c r="M9" s="45">
        <v>216.34</v>
      </c>
      <c r="N9" s="45">
        <v>215.51</v>
      </c>
      <c r="O9" s="45">
        <v>270.94</v>
      </c>
      <c r="P9" s="45">
        <v>321.14</v>
      </c>
      <c r="Q9" s="45">
        <v>324.48</v>
      </c>
      <c r="R9" s="44">
        <v>301.08</v>
      </c>
      <c r="S9" s="44">
        <v>355.32</v>
      </c>
      <c r="T9" s="44">
        <v>332.65</v>
      </c>
      <c r="U9" s="44">
        <v>353.74</v>
      </c>
      <c r="V9" s="44">
        <v>343.94</v>
      </c>
      <c r="W9" s="44">
        <v>489.51</v>
      </c>
      <c r="X9" s="7">
        <v>8.8401099829495955E-3</v>
      </c>
      <c r="Y9" s="8">
        <v>2.227585209321448E-2</v>
      </c>
      <c r="Z9" s="8">
        <v>3.1918617207456153E-2</v>
      </c>
      <c r="AA9" s="8">
        <v>9.6842637029552758E-2</v>
      </c>
    </row>
    <row r="10" spans="2:27" x14ac:dyDescent="0.3">
      <c r="B10" s="13" t="s">
        <v>299</v>
      </c>
      <c r="C10" s="3" t="s">
        <v>499</v>
      </c>
      <c r="D10" s="3" t="s">
        <v>510</v>
      </c>
      <c r="E10" s="3" t="s">
        <v>501</v>
      </c>
      <c r="F10" s="5">
        <v>9.1</v>
      </c>
      <c r="G10" s="44">
        <v>409.78</v>
      </c>
      <c r="H10" s="44">
        <v>467.6</v>
      </c>
      <c r="I10" s="44">
        <v>550.23</v>
      </c>
      <c r="J10" s="44">
        <v>631.33000000000004</v>
      </c>
      <c r="K10" s="45">
        <v>719.64</v>
      </c>
      <c r="L10" s="45">
        <v>769.22</v>
      </c>
      <c r="M10" s="44">
        <v>723.96</v>
      </c>
      <c r="N10" s="44">
        <v>659.61</v>
      </c>
      <c r="O10" s="44">
        <v>677.15</v>
      </c>
      <c r="P10" s="44">
        <v>687.94</v>
      </c>
      <c r="Q10" s="44">
        <v>697.72</v>
      </c>
      <c r="R10" s="44">
        <v>693.79</v>
      </c>
      <c r="S10" s="44">
        <v>677.3</v>
      </c>
      <c r="T10" s="45">
        <v>1016</v>
      </c>
      <c r="U10" s="45">
        <v>1041</v>
      </c>
      <c r="V10" s="44">
        <v>1012</v>
      </c>
      <c r="W10" s="44">
        <v>1017</v>
      </c>
      <c r="X10" s="10">
        <v>0.1190024485354131</v>
      </c>
      <c r="Y10" s="9">
        <v>0.1112807595929735</v>
      </c>
      <c r="Z10" s="8">
        <v>9.2824284076555852E-2</v>
      </c>
      <c r="AA10" s="8">
        <v>9.0676133785334789E-2</v>
      </c>
    </row>
    <row r="11" spans="2:27" x14ac:dyDescent="0.3">
      <c r="B11" s="13" t="s">
        <v>160</v>
      </c>
      <c r="C11" s="3" t="s">
        <v>499</v>
      </c>
      <c r="D11" s="3" t="s">
        <v>511</v>
      </c>
      <c r="E11" s="3" t="s">
        <v>503</v>
      </c>
      <c r="F11" s="5">
        <v>8.8000000000000007</v>
      </c>
      <c r="G11" s="44">
        <v>1116</v>
      </c>
      <c r="H11" s="44">
        <v>722.85</v>
      </c>
      <c r="I11" s="44">
        <v>630.91999999999996</v>
      </c>
      <c r="J11" s="44">
        <v>576.94000000000005</v>
      </c>
      <c r="K11" s="44">
        <v>831.34</v>
      </c>
      <c r="L11" s="44">
        <v>572.14</v>
      </c>
      <c r="M11" s="44">
        <v>499.42</v>
      </c>
      <c r="N11" s="44">
        <v>570.22</v>
      </c>
      <c r="O11" s="44">
        <v>784.17</v>
      </c>
      <c r="P11" s="44">
        <v>580.82000000000005</v>
      </c>
      <c r="Q11" s="44">
        <v>689.22</v>
      </c>
      <c r="R11" s="44">
        <v>734.88</v>
      </c>
      <c r="S11" s="44">
        <v>975.33</v>
      </c>
      <c r="T11" s="44">
        <v>694.83</v>
      </c>
      <c r="U11" s="44">
        <v>833.83</v>
      </c>
      <c r="V11" s="44">
        <v>1039</v>
      </c>
      <c r="W11" s="44">
        <v>1288</v>
      </c>
      <c r="X11" s="7">
        <v>3.8255179934569387E-2</v>
      </c>
      <c r="Y11" s="8">
        <v>4.6734922081531398E-2</v>
      </c>
      <c r="Z11" s="8">
        <v>9.3896945539648113E-2</v>
      </c>
      <c r="AA11" s="8">
        <v>8.8250319645271302E-2</v>
      </c>
    </row>
    <row r="12" spans="2:27" x14ac:dyDescent="0.3">
      <c r="B12" s="13" t="s">
        <v>261</v>
      </c>
      <c r="C12" s="3" t="s">
        <v>499</v>
      </c>
      <c r="D12" s="3" t="s">
        <v>511</v>
      </c>
      <c r="E12" s="3" t="s">
        <v>501</v>
      </c>
      <c r="F12" s="5">
        <v>8.3000000000000007</v>
      </c>
      <c r="G12" s="44">
        <v>14314</v>
      </c>
      <c r="H12" s="44">
        <v>16358</v>
      </c>
      <c r="I12" s="44">
        <v>18892</v>
      </c>
      <c r="J12" s="44">
        <v>16292</v>
      </c>
      <c r="K12" s="44">
        <v>12843</v>
      </c>
      <c r="L12" s="44">
        <v>15967</v>
      </c>
      <c r="M12" s="44">
        <v>14817</v>
      </c>
      <c r="N12" s="44">
        <v>16369</v>
      </c>
      <c r="O12" s="45">
        <v>19324</v>
      </c>
      <c r="P12" s="44">
        <v>21831</v>
      </c>
      <c r="Q12" s="45">
        <v>26749</v>
      </c>
      <c r="R12" s="45">
        <v>30801</v>
      </c>
      <c r="S12" s="44">
        <v>27614</v>
      </c>
      <c r="T12" s="45">
        <v>36559</v>
      </c>
      <c r="U12" s="44">
        <v>34437</v>
      </c>
      <c r="V12" s="44">
        <v>32287</v>
      </c>
      <c r="W12" s="44">
        <v>38542</v>
      </c>
      <c r="X12" s="10">
        <v>0.1376512921164541</v>
      </c>
      <c r="Y12" s="8">
        <v>6.3159797244563443E-2</v>
      </c>
      <c r="Z12" s="8">
        <v>1.148279512560757E-2</v>
      </c>
      <c r="AA12" s="8">
        <v>8.3485488590265611E-2</v>
      </c>
    </row>
    <row r="13" spans="2:27" x14ac:dyDescent="0.3">
      <c r="B13" s="13" t="s">
        <v>63</v>
      </c>
      <c r="C13" s="3" t="s">
        <v>499</v>
      </c>
      <c r="D13" s="3" t="s">
        <v>512</v>
      </c>
      <c r="E13" s="3" t="s">
        <v>503</v>
      </c>
      <c r="F13" s="5">
        <v>7.2</v>
      </c>
      <c r="G13" s="44">
        <v>20089</v>
      </c>
      <c r="H13" s="44">
        <v>15405</v>
      </c>
      <c r="I13" s="44">
        <v>15474</v>
      </c>
      <c r="J13" s="44">
        <v>22283</v>
      </c>
      <c r="K13" s="44">
        <v>15602</v>
      </c>
      <c r="L13" s="44">
        <v>15388</v>
      </c>
      <c r="M13" s="44">
        <v>16623</v>
      </c>
      <c r="N13" s="44">
        <v>15866</v>
      </c>
      <c r="O13" s="44">
        <v>19024</v>
      </c>
      <c r="P13" s="44">
        <v>16057</v>
      </c>
      <c r="Q13" s="44">
        <v>17820</v>
      </c>
      <c r="R13" s="44">
        <v>18439</v>
      </c>
      <c r="S13" s="44">
        <v>18662</v>
      </c>
      <c r="T13" s="44">
        <v>18569</v>
      </c>
      <c r="U13" s="44">
        <v>17337</v>
      </c>
      <c r="V13" s="44">
        <v>17360</v>
      </c>
      <c r="W13" s="44">
        <v>23814</v>
      </c>
      <c r="X13" s="7">
        <v>3.5391247992335728E-2</v>
      </c>
      <c r="Y13" s="8">
        <v>-6.572322765002081E-3</v>
      </c>
      <c r="Z13" s="8">
        <v>-1.477940471461636E-2</v>
      </c>
      <c r="AA13" s="8">
        <v>7.1627182738293937E-2</v>
      </c>
    </row>
    <row r="14" spans="2:27" x14ac:dyDescent="0.3">
      <c r="B14" s="13" t="s">
        <v>428</v>
      </c>
      <c r="C14" s="3" t="s">
        <v>499</v>
      </c>
      <c r="D14" s="3" t="s">
        <v>513</v>
      </c>
      <c r="E14" s="3" t="s">
        <v>501</v>
      </c>
      <c r="F14" s="5">
        <v>7.1</v>
      </c>
      <c r="G14" s="44">
        <v>331.5</v>
      </c>
      <c r="H14" s="44">
        <v>448.5</v>
      </c>
      <c r="I14" s="44">
        <v>214.7</v>
      </c>
      <c r="J14" s="44">
        <v>249.4</v>
      </c>
      <c r="K14" s="44">
        <v>352.4</v>
      </c>
      <c r="L14" s="44">
        <v>411.1</v>
      </c>
      <c r="M14" s="44">
        <v>207.6</v>
      </c>
      <c r="N14" s="44">
        <v>233.6</v>
      </c>
      <c r="O14" s="44">
        <v>341.7</v>
      </c>
      <c r="P14" s="44">
        <v>364</v>
      </c>
      <c r="Q14" s="44">
        <v>202.9</v>
      </c>
      <c r="R14" s="44">
        <v>208.8</v>
      </c>
      <c r="S14" s="44">
        <v>307.2</v>
      </c>
      <c r="T14" s="45">
        <v>494.6</v>
      </c>
      <c r="U14" s="44">
        <v>214.6</v>
      </c>
      <c r="V14" s="44">
        <v>227.5</v>
      </c>
      <c r="W14" s="44">
        <v>396.1</v>
      </c>
      <c r="X14" s="10">
        <v>0.1206020869886415</v>
      </c>
      <c r="Y14" s="8">
        <v>9.6415327564896014E-3</v>
      </c>
      <c r="Z14" s="8">
        <v>1.5262814234410669E-2</v>
      </c>
      <c r="AA14" s="8">
        <v>7.1468767585818771E-2</v>
      </c>
    </row>
    <row r="15" spans="2:27" x14ac:dyDescent="0.3">
      <c r="B15" s="13" t="s">
        <v>222</v>
      </c>
      <c r="C15" s="3" t="s">
        <v>499</v>
      </c>
      <c r="D15" s="3" t="s">
        <v>514</v>
      </c>
      <c r="E15" s="3" t="s">
        <v>509</v>
      </c>
      <c r="F15" s="5">
        <v>7</v>
      </c>
      <c r="G15" s="44">
        <v>502.2</v>
      </c>
      <c r="H15" s="44">
        <v>574.4</v>
      </c>
      <c r="I15" s="44">
        <v>541</v>
      </c>
      <c r="J15" s="44">
        <v>578.79999999999995</v>
      </c>
      <c r="K15" s="44">
        <v>560</v>
      </c>
      <c r="L15" s="44">
        <v>618.1</v>
      </c>
      <c r="M15" s="44">
        <v>622.4</v>
      </c>
      <c r="N15" s="44">
        <v>620.5</v>
      </c>
      <c r="O15" s="44">
        <v>561.4</v>
      </c>
      <c r="P15" s="44">
        <v>603.5</v>
      </c>
      <c r="Q15" s="44">
        <v>661.5</v>
      </c>
      <c r="R15" s="44">
        <v>658</v>
      </c>
      <c r="S15" s="44">
        <v>616.79999999999995</v>
      </c>
      <c r="T15" s="44">
        <v>647.20000000000005</v>
      </c>
      <c r="U15" s="44">
        <v>682.8</v>
      </c>
      <c r="V15" s="44">
        <v>738.9</v>
      </c>
      <c r="W15" s="44">
        <v>805</v>
      </c>
      <c r="X15" s="7">
        <v>1.720607921883599E-2</v>
      </c>
      <c r="Y15" s="8">
        <v>8.2446293787499236E-3</v>
      </c>
      <c r="Z15" s="8">
        <v>3.105804668304657E-2</v>
      </c>
      <c r="AA15" s="8">
        <v>7.0074840823621587E-2</v>
      </c>
    </row>
    <row r="16" spans="2:27" x14ac:dyDescent="0.3">
      <c r="B16" s="13" t="s">
        <v>30</v>
      </c>
      <c r="C16" s="3" t="s">
        <v>499</v>
      </c>
      <c r="D16" s="3" t="s">
        <v>504</v>
      </c>
      <c r="E16" s="3" t="s">
        <v>509</v>
      </c>
      <c r="F16" s="5">
        <v>5.9</v>
      </c>
      <c r="G16" s="44"/>
      <c r="H16" s="44"/>
      <c r="I16" s="44">
        <v>692</v>
      </c>
      <c r="J16" s="44">
        <v>630</v>
      </c>
      <c r="K16" s="44">
        <v>724</v>
      </c>
      <c r="L16" s="44">
        <v>633</v>
      </c>
      <c r="M16" s="44">
        <v>675</v>
      </c>
      <c r="N16" s="44">
        <v>806</v>
      </c>
      <c r="O16" s="44">
        <v>824</v>
      </c>
      <c r="P16" s="45">
        <v>928</v>
      </c>
      <c r="Q16" s="44">
        <v>939</v>
      </c>
      <c r="R16" s="44">
        <v>844</v>
      </c>
      <c r="S16" s="44">
        <v>983</v>
      </c>
      <c r="T16" s="44">
        <v>1241</v>
      </c>
      <c r="U16" s="44">
        <v>1053</v>
      </c>
      <c r="V16" s="44">
        <v>1135</v>
      </c>
      <c r="W16" s="44">
        <v>1242</v>
      </c>
      <c r="X16" s="7">
        <v>8.4731997834325945E-2</v>
      </c>
      <c r="Y16" s="8">
        <v>2.8450212128774629E-2</v>
      </c>
      <c r="Z16" s="8">
        <v>7.0613928658092684E-2</v>
      </c>
      <c r="AA16" s="8">
        <v>5.8703535811423402E-2</v>
      </c>
    </row>
    <row r="17" spans="2:27" x14ac:dyDescent="0.3">
      <c r="B17" s="13" t="s">
        <v>346</v>
      </c>
      <c r="C17" s="3" t="s">
        <v>499</v>
      </c>
      <c r="D17" s="3" t="s">
        <v>515</v>
      </c>
      <c r="E17" s="3" t="s">
        <v>501</v>
      </c>
      <c r="F17" s="5">
        <v>5.0999999999999996</v>
      </c>
      <c r="G17" s="44">
        <v>460.89</v>
      </c>
      <c r="H17" s="44">
        <v>384.28</v>
      </c>
      <c r="I17" s="44">
        <v>372.14</v>
      </c>
      <c r="J17" s="44">
        <v>286.31</v>
      </c>
      <c r="K17" s="44">
        <v>176.23</v>
      </c>
      <c r="L17" s="44">
        <v>173.02</v>
      </c>
      <c r="M17" s="44">
        <v>190.92</v>
      </c>
      <c r="N17" s="44">
        <v>202.32</v>
      </c>
      <c r="O17" s="44">
        <v>171.19</v>
      </c>
      <c r="P17" s="44">
        <v>172.07</v>
      </c>
      <c r="Q17" s="44">
        <v>181.65</v>
      </c>
      <c r="R17" s="44">
        <v>181.32</v>
      </c>
      <c r="S17" s="44">
        <v>166.12</v>
      </c>
      <c r="T17" s="44">
        <v>161.99</v>
      </c>
      <c r="U17" s="44">
        <v>148.41</v>
      </c>
      <c r="V17" s="44">
        <v>177.56</v>
      </c>
      <c r="W17" s="44">
        <v>199.63</v>
      </c>
      <c r="X17" s="7">
        <v>-1.43761766215984E-2</v>
      </c>
      <c r="Y17" s="8">
        <v>-4.8098628234068408E-2</v>
      </c>
      <c r="Z17" s="8">
        <v>-5.7156755442052676E-3</v>
      </c>
      <c r="AA17" s="8">
        <v>5.1232265166340378E-2</v>
      </c>
    </row>
    <row r="18" spans="2:27" x14ac:dyDescent="0.3">
      <c r="B18" s="13" t="s">
        <v>110</v>
      </c>
      <c r="C18" s="3" t="s">
        <v>499</v>
      </c>
      <c r="D18" s="3" t="s">
        <v>516</v>
      </c>
      <c r="E18" s="3" t="s">
        <v>503</v>
      </c>
      <c r="F18" s="5">
        <v>5</v>
      </c>
      <c r="G18" s="44">
        <v>802.26</v>
      </c>
      <c r="H18" s="44">
        <v>789.24</v>
      </c>
      <c r="I18" s="44">
        <v>861.28</v>
      </c>
      <c r="J18" s="44">
        <v>893</v>
      </c>
      <c r="K18" s="44">
        <v>883.61</v>
      </c>
      <c r="L18" s="44">
        <v>901.33</v>
      </c>
      <c r="M18" s="44">
        <v>948.17</v>
      </c>
      <c r="N18" s="44">
        <v>970.89</v>
      </c>
      <c r="O18" s="44">
        <v>937.32</v>
      </c>
      <c r="P18" s="44">
        <v>935.25</v>
      </c>
      <c r="Q18" s="44">
        <v>975.71</v>
      </c>
      <c r="R18" s="44">
        <v>1029</v>
      </c>
      <c r="S18" s="44">
        <v>1034</v>
      </c>
      <c r="T18" s="44">
        <v>1006</v>
      </c>
      <c r="U18" s="44">
        <v>1102</v>
      </c>
      <c r="V18" s="44">
        <v>1172</v>
      </c>
      <c r="W18" s="44">
        <v>1248</v>
      </c>
      <c r="X18" s="7">
        <v>1.780340013487813E-2</v>
      </c>
      <c r="Y18" s="8">
        <v>3.1223499336169969E-2</v>
      </c>
      <c r="Z18" s="8">
        <v>3.428434428194671E-2</v>
      </c>
      <c r="AA18" s="8">
        <v>4.960593416782566E-2</v>
      </c>
    </row>
    <row r="19" spans="2:27" x14ac:dyDescent="0.3">
      <c r="B19" s="13" t="s">
        <v>393</v>
      </c>
      <c r="C19" s="3" t="s">
        <v>499</v>
      </c>
      <c r="D19" s="3" t="s">
        <v>517</v>
      </c>
      <c r="E19" s="3" t="s">
        <v>509</v>
      </c>
      <c r="F19" s="5">
        <v>4.9000000000000004</v>
      </c>
      <c r="G19" s="44">
        <v>26.8</v>
      </c>
      <c r="H19" s="44">
        <v>28.31</v>
      </c>
      <c r="I19" s="44">
        <v>22.68</v>
      </c>
      <c r="J19" s="44">
        <v>27.68</v>
      </c>
      <c r="K19" s="44">
        <v>23.88</v>
      </c>
      <c r="L19" s="44">
        <v>31.74</v>
      </c>
      <c r="M19" s="44">
        <v>30.25</v>
      </c>
      <c r="N19" s="44">
        <v>34</v>
      </c>
      <c r="O19" s="45">
        <v>39.35</v>
      </c>
      <c r="P19" s="44">
        <v>42.03</v>
      </c>
      <c r="Q19" s="44">
        <v>40.29</v>
      </c>
      <c r="R19" s="45">
        <v>54.47</v>
      </c>
      <c r="S19" s="45">
        <v>61.4</v>
      </c>
      <c r="T19" s="45">
        <v>66.66</v>
      </c>
      <c r="U19" s="45">
        <v>72.36</v>
      </c>
      <c r="V19" s="44">
        <v>65.86</v>
      </c>
      <c r="W19" s="44">
        <v>74.53</v>
      </c>
      <c r="X19" s="10">
        <v>0.1242746859074626</v>
      </c>
      <c r="Y19" s="9">
        <v>0.1439278341262005</v>
      </c>
      <c r="Z19" s="8">
        <v>4.4685942955784867E-2</v>
      </c>
      <c r="AA19" s="8">
        <v>4.9308998047168373E-2</v>
      </c>
    </row>
    <row r="20" spans="2:27" x14ac:dyDescent="0.3">
      <c r="B20" s="13" t="s">
        <v>401</v>
      </c>
      <c r="C20" s="3" t="s">
        <v>499</v>
      </c>
      <c r="D20" s="3" t="s">
        <v>518</v>
      </c>
      <c r="E20" s="3" t="s">
        <v>501</v>
      </c>
      <c r="F20" s="5">
        <v>4.9000000000000004</v>
      </c>
      <c r="G20" s="44">
        <v>220.99</v>
      </c>
      <c r="H20" s="44">
        <v>215.98</v>
      </c>
      <c r="I20" s="44">
        <v>215.84</v>
      </c>
      <c r="J20" s="44">
        <v>233.41</v>
      </c>
      <c r="K20" s="44">
        <v>264.33</v>
      </c>
      <c r="L20" s="44">
        <v>258.42</v>
      </c>
      <c r="M20" s="44">
        <v>255.81</v>
      </c>
      <c r="N20" s="44">
        <v>270.48</v>
      </c>
      <c r="O20" s="44">
        <v>299.99</v>
      </c>
      <c r="P20" s="44">
        <v>285.64</v>
      </c>
      <c r="Q20" s="44">
        <v>281.42</v>
      </c>
      <c r="R20" s="44">
        <v>294.55</v>
      </c>
      <c r="S20" s="44">
        <v>320.17</v>
      </c>
      <c r="T20" s="44">
        <v>306.32</v>
      </c>
      <c r="U20" s="44">
        <v>310.98</v>
      </c>
      <c r="V20" s="44">
        <v>336.81</v>
      </c>
      <c r="W20" s="44">
        <v>382.02</v>
      </c>
      <c r="X20" s="7">
        <v>1.7499026891638181E-2</v>
      </c>
      <c r="Y20" s="8">
        <v>2.4582938309798189E-2</v>
      </c>
      <c r="Z20" s="8">
        <v>3.4301391211181587E-2</v>
      </c>
      <c r="AA20" s="8">
        <v>4.8537213171359728E-2</v>
      </c>
    </row>
    <row r="21" spans="2:27" x14ac:dyDescent="0.3">
      <c r="B21" s="13" t="s">
        <v>22</v>
      </c>
      <c r="C21" s="3" t="s">
        <v>499</v>
      </c>
      <c r="D21" s="3" t="s">
        <v>500</v>
      </c>
      <c r="E21" s="3" t="s">
        <v>503</v>
      </c>
      <c r="F21" s="5">
        <v>4.9000000000000004</v>
      </c>
      <c r="G21" s="44">
        <v>5778</v>
      </c>
      <c r="H21" s="44">
        <v>6854</v>
      </c>
      <c r="I21" s="44">
        <v>8073</v>
      </c>
      <c r="J21" s="44">
        <v>8343</v>
      </c>
      <c r="K21" s="44">
        <v>8607</v>
      </c>
      <c r="L21" s="44">
        <v>8823</v>
      </c>
      <c r="M21" s="44">
        <v>9230</v>
      </c>
      <c r="N21" s="44">
        <v>9292</v>
      </c>
      <c r="O21" s="44">
        <v>9936</v>
      </c>
      <c r="P21" s="44">
        <v>10131</v>
      </c>
      <c r="Q21" s="44">
        <v>10700</v>
      </c>
      <c r="R21" s="44">
        <v>11188</v>
      </c>
      <c r="S21" s="44">
        <v>11959</v>
      </c>
      <c r="T21" s="44">
        <v>11533</v>
      </c>
      <c r="U21" s="44">
        <v>12651</v>
      </c>
      <c r="V21" s="44">
        <v>13467</v>
      </c>
      <c r="W21" s="44">
        <v>14366</v>
      </c>
      <c r="X21" s="7">
        <v>3.187957615171233E-2</v>
      </c>
      <c r="Y21" s="8">
        <v>4.2992507712648731E-2</v>
      </c>
      <c r="Z21" s="8">
        <v>4.8150260928355733E-2</v>
      </c>
      <c r="AA21" s="8">
        <v>4.8518443862124672E-2</v>
      </c>
    </row>
    <row r="22" spans="2:27" x14ac:dyDescent="0.3">
      <c r="B22" s="13" t="s">
        <v>178</v>
      </c>
      <c r="C22" s="3" t="s">
        <v>499</v>
      </c>
      <c r="D22" s="3" t="s">
        <v>519</v>
      </c>
      <c r="E22" s="3" t="s">
        <v>503</v>
      </c>
      <c r="F22" s="5">
        <v>4.7</v>
      </c>
      <c r="G22" s="44">
        <v>693.14</v>
      </c>
      <c r="H22" s="44">
        <v>713.45</v>
      </c>
      <c r="I22" s="44">
        <v>732.49</v>
      </c>
      <c r="J22" s="44">
        <v>770.01</v>
      </c>
      <c r="K22" s="44">
        <v>809.53</v>
      </c>
      <c r="L22" s="44">
        <v>886.84</v>
      </c>
      <c r="M22" s="44">
        <v>921.35</v>
      </c>
      <c r="N22" s="44">
        <v>940.79</v>
      </c>
      <c r="O22" s="44">
        <v>980.38</v>
      </c>
      <c r="P22" s="44">
        <v>1010</v>
      </c>
      <c r="Q22" s="44">
        <v>1036</v>
      </c>
      <c r="R22" s="44">
        <v>1082</v>
      </c>
      <c r="S22" s="44">
        <v>1132</v>
      </c>
      <c r="T22" s="44">
        <v>1173</v>
      </c>
      <c r="U22" s="44">
        <v>1228</v>
      </c>
      <c r="V22" s="44">
        <v>1296</v>
      </c>
      <c r="W22" s="44">
        <v>1361</v>
      </c>
      <c r="X22" s="7">
        <v>3.8262910798122052E-2</v>
      </c>
      <c r="Y22" s="8">
        <v>4.340945059914092E-2</v>
      </c>
      <c r="Z22" s="8">
        <v>4.6370530877573042E-2</v>
      </c>
      <c r="AA22" s="8">
        <v>4.7421826465106731E-2</v>
      </c>
    </row>
    <row r="23" spans="2:27" x14ac:dyDescent="0.3">
      <c r="B23" s="13" t="s">
        <v>243</v>
      </c>
      <c r="C23" s="3" t="s">
        <v>499</v>
      </c>
      <c r="D23" s="3" t="s">
        <v>520</v>
      </c>
      <c r="E23" s="3" t="s">
        <v>509</v>
      </c>
      <c r="F23" s="5">
        <v>4.7</v>
      </c>
      <c r="G23" s="44">
        <v>485.9</v>
      </c>
      <c r="H23" s="44">
        <v>383.31</v>
      </c>
      <c r="I23" s="44">
        <v>365.86</v>
      </c>
      <c r="J23" s="44">
        <v>351.55</v>
      </c>
      <c r="K23" s="44">
        <v>514.54999999999995</v>
      </c>
      <c r="L23" s="44">
        <v>425.66</v>
      </c>
      <c r="M23" s="44">
        <v>383.7</v>
      </c>
      <c r="N23" s="44">
        <v>374.46</v>
      </c>
      <c r="O23" s="44">
        <v>520.4</v>
      </c>
      <c r="P23" s="44">
        <v>388.46</v>
      </c>
      <c r="Q23" s="44">
        <v>423.39</v>
      </c>
      <c r="R23" s="44">
        <v>425.8</v>
      </c>
      <c r="S23" s="44">
        <v>608.16999999999996</v>
      </c>
      <c r="T23" s="44">
        <v>453.75</v>
      </c>
      <c r="U23" s="44">
        <v>504.07</v>
      </c>
      <c r="V23" s="44">
        <v>505.4</v>
      </c>
      <c r="W23" s="44">
        <v>705.64</v>
      </c>
      <c r="X23" s="7">
        <v>3.5371813069529967E-2</v>
      </c>
      <c r="Y23" s="8">
        <v>4.2216303614130091E-2</v>
      </c>
      <c r="Z23" s="8">
        <v>3.99640524352467E-2</v>
      </c>
      <c r="AA23" s="8">
        <v>4.7055358961856752E-2</v>
      </c>
    </row>
    <row r="24" spans="2:27" x14ac:dyDescent="0.3">
      <c r="B24" s="13" t="s">
        <v>381</v>
      </c>
      <c r="C24" s="3" t="s">
        <v>499</v>
      </c>
      <c r="D24" s="3" t="s">
        <v>521</v>
      </c>
      <c r="E24" s="3" t="s">
        <v>522</v>
      </c>
      <c r="F24" s="5">
        <v>4.5999999999999996</v>
      </c>
      <c r="G24" s="44">
        <v>232.71</v>
      </c>
      <c r="H24" s="44">
        <v>239.62</v>
      </c>
      <c r="I24" s="44">
        <v>255.27</v>
      </c>
      <c r="J24" s="44">
        <v>232.52</v>
      </c>
      <c r="K24" s="44">
        <v>244.65</v>
      </c>
      <c r="L24" s="44">
        <v>245.67</v>
      </c>
      <c r="M24" s="44">
        <v>255.05</v>
      </c>
      <c r="N24" s="44">
        <v>231.35</v>
      </c>
      <c r="O24" s="44">
        <v>249.94</v>
      </c>
      <c r="P24" s="44">
        <v>263.22000000000003</v>
      </c>
      <c r="Q24" s="44">
        <v>273.16000000000003</v>
      </c>
      <c r="R24" s="44">
        <v>260.43</v>
      </c>
      <c r="S24" s="44">
        <v>309.26</v>
      </c>
      <c r="T24" s="44">
        <v>347.83</v>
      </c>
      <c r="U24" s="44">
        <v>378.7</v>
      </c>
      <c r="V24" s="44">
        <v>363.89</v>
      </c>
      <c r="W24" s="44">
        <v>373.91</v>
      </c>
      <c r="X24" s="7">
        <v>7.649606263618014E-2</v>
      </c>
      <c r="Y24" s="8">
        <v>8.8638425101622564E-2</v>
      </c>
      <c r="Z24" s="8">
        <v>7.9816697782783663E-2</v>
      </c>
      <c r="AA24" s="8">
        <v>4.6189128943758602E-2</v>
      </c>
    </row>
    <row r="25" spans="2:27" x14ac:dyDescent="0.3">
      <c r="B25" s="13" t="s">
        <v>325</v>
      </c>
      <c r="C25" s="3" t="s">
        <v>499</v>
      </c>
      <c r="D25" s="3" t="s">
        <v>500</v>
      </c>
      <c r="E25" s="3" t="s">
        <v>509</v>
      </c>
      <c r="F25" s="5">
        <v>4.5999999999999996</v>
      </c>
      <c r="G25" s="44">
        <v>494.83</v>
      </c>
      <c r="H25" s="44">
        <v>451.52</v>
      </c>
      <c r="I25" s="44">
        <v>458.36</v>
      </c>
      <c r="J25" s="44">
        <v>493.71</v>
      </c>
      <c r="K25" s="44">
        <v>623.48</v>
      </c>
      <c r="L25" s="44">
        <v>492.18</v>
      </c>
      <c r="M25" s="44">
        <v>574.17999999999995</v>
      </c>
      <c r="N25" s="44">
        <v>587.61</v>
      </c>
      <c r="O25" s="44">
        <v>509.06</v>
      </c>
      <c r="P25" s="44">
        <v>554.46</v>
      </c>
      <c r="Q25" s="44">
        <v>535.65</v>
      </c>
      <c r="R25" s="44">
        <v>493.37</v>
      </c>
      <c r="S25" s="44">
        <v>510.97</v>
      </c>
      <c r="T25" s="44">
        <v>498.11</v>
      </c>
      <c r="U25" s="44">
        <v>637.32000000000005</v>
      </c>
      <c r="V25" s="44">
        <v>608.83000000000004</v>
      </c>
      <c r="W25" s="44">
        <v>614.77</v>
      </c>
      <c r="X25" s="7">
        <v>-2.690443791926278E-2</v>
      </c>
      <c r="Y25" s="8">
        <v>4.9884696531082851E-2</v>
      </c>
      <c r="Z25" s="8">
        <v>5.3959070367376023E-2</v>
      </c>
      <c r="AA25" s="8">
        <v>4.6026347645251382E-2</v>
      </c>
    </row>
    <row r="26" spans="2:27" x14ac:dyDescent="0.3">
      <c r="B26" s="13" t="s">
        <v>7</v>
      </c>
      <c r="C26" s="3" t="s">
        <v>499</v>
      </c>
      <c r="D26" s="3" t="s">
        <v>523</v>
      </c>
      <c r="E26" s="3" t="s">
        <v>503</v>
      </c>
      <c r="F26" s="5">
        <v>4.5</v>
      </c>
      <c r="G26" s="44">
        <v>75325</v>
      </c>
      <c r="H26" s="44">
        <v>68011</v>
      </c>
      <c r="I26" s="44">
        <v>69685</v>
      </c>
      <c r="J26" s="44">
        <v>69092</v>
      </c>
      <c r="K26" s="44">
        <v>76048</v>
      </c>
      <c r="L26" s="44">
        <v>69787</v>
      </c>
      <c r="M26" s="44">
        <v>74604</v>
      </c>
      <c r="N26" s="44">
        <v>76693</v>
      </c>
      <c r="O26" s="44">
        <v>86310</v>
      </c>
      <c r="P26" s="44">
        <v>80539</v>
      </c>
      <c r="Q26" s="44">
        <v>84742</v>
      </c>
      <c r="R26" s="44">
        <v>88268</v>
      </c>
      <c r="S26" s="44">
        <v>96469</v>
      </c>
      <c r="T26" s="44">
        <v>90234</v>
      </c>
      <c r="U26" s="44">
        <v>96428</v>
      </c>
      <c r="V26" s="44">
        <v>102346</v>
      </c>
      <c r="W26" s="44">
        <v>113828</v>
      </c>
      <c r="X26" s="7">
        <v>2.7698575501831298E-2</v>
      </c>
      <c r="Y26" s="8">
        <v>3.2487010477797673E-2</v>
      </c>
      <c r="Z26" s="8">
        <v>3.7905325539379531E-2</v>
      </c>
      <c r="AA26" s="8">
        <v>4.5032518152833927E-2</v>
      </c>
    </row>
    <row r="27" spans="2:27" x14ac:dyDescent="0.3">
      <c r="B27" s="13" t="s">
        <v>348</v>
      </c>
      <c r="C27" s="3" t="s">
        <v>499</v>
      </c>
      <c r="D27" s="3" t="s">
        <v>524</v>
      </c>
      <c r="E27" s="3" t="s">
        <v>503</v>
      </c>
      <c r="F27" s="5">
        <v>4.5</v>
      </c>
      <c r="G27" s="44">
        <v>961.77</v>
      </c>
      <c r="H27" s="44">
        <v>852.92</v>
      </c>
      <c r="I27" s="44">
        <v>846.67</v>
      </c>
      <c r="J27" s="44">
        <v>716.4</v>
      </c>
      <c r="K27" s="44">
        <v>655.91</v>
      </c>
      <c r="L27" s="44">
        <v>524.30999999999995</v>
      </c>
      <c r="M27" s="44">
        <v>549.16</v>
      </c>
      <c r="N27" s="44">
        <v>601.71</v>
      </c>
      <c r="O27" s="44">
        <v>584.47</v>
      </c>
      <c r="P27" s="44">
        <v>554.32000000000005</v>
      </c>
      <c r="Q27" s="44">
        <v>602.23</v>
      </c>
      <c r="R27" s="44">
        <v>667.94</v>
      </c>
      <c r="S27" s="44">
        <v>665.43</v>
      </c>
      <c r="T27" s="44">
        <v>611.98</v>
      </c>
      <c r="U27" s="44">
        <v>722.18</v>
      </c>
      <c r="V27" s="44">
        <v>796.92</v>
      </c>
      <c r="W27" s="44">
        <v>790.55</v>
      </c>
      <c r="X27" s="7">
        <v>2.3157370517928211E-2</v>
      </c>
      <c r="Y27" s="8">
        <v>4.7083899229857229E-2</v>
      </c>
      <c r="Z27" s="8">
        <v>4.8351846089828447E-2</v>
      </c>
      <c r="AA27" s="8">
        <v>4.4741481346392657E-2</v>
      </c>
    </row>
    <row r="28" spans="2:27" x14ac:dyDescent="0.3">
      <c r="B28" s="13" t="s">
        <v>226</v>
      </c>
      <c r="C28" s="3" t="s">
        <v>499</v>
      </c>
      <c r="D28" s="3" t="s">
        <v>525</v>
      </c>
      <c r="E28" s="3" t="s">
        <v>503</v>
      </c>
      <c r="F28" s="5">
        <v>4.4000000000000004</v>
      </c>
      <c r="G28" s="44">
        <v>598.14</v>
      </c>
      <c r="H28" s="44">
        <v>581.26</v>
      </c>
      <c r="I28" s="44">
        <v>625.54999999999995</v>
      </c>
      <c r="J28" s="44">
        <v>671.08</v>
      </c>
      <c r="K28" s="44">
        <v>617.16</v>
      </c>
      <c r="L28" s="44">
        <v>544.44000000000005</v>
      </c>
      <c r="M28" s="44">
        <v>546.51</v>
      </c>
      <c r="N28" s="44">
        <v>572.58000000000004</v>
      </c>
      <c r="O28" s="44">
        <v>569.04</v>
      </c>
      <c r="P28" s="44">
        <v>570.11</v>
      </c>
      <c r="Q28" s="44">
        <v>605.14</v>
      </c>
      <c r="R28" s="44">
        <v>616.54</v>
      </c>
      <c r="S28" s="44">
        <v>650.97</v>
      </c>
      <c r="T28" s="44">
        <v>648.66999999999996</v>
      </c>
      <c r="U28" s="44">
        <v>730.62</v>
      </c>
      <c r="V28" s="44">
        <v>752.74</v>
      </c>
      <c r="W28" s="44">
        <v>774.32</v>
      </c>
      <c r="X28" s="7">
        <v>3.2160343218326608E-2</v>
      </c>
      <c r="Y28" s="8">
        <v>4.9767582060190829E-2</v>
      </c>
      <c r="Z28" s="8">
        <v>5.1458364817893232E-2</v>
      </c>
      <c r="AA28" s="8">
        <v>4.4322673374056709E-2</v>
      </c>
    </row>
    <row r="29" spans="2:27" x14ac:dyDescent="0.3">
      <c r="B29" s="13" t="s">
        <v>108</v>
      </c>
      <c r="C29" s="3" t="s">
        <v>499</v>
      </c>
      <c r="D29" s="3" t="s">
        <v>500</v>
      </c>
      <c r="E29" s="3" t="s">
        <v>501</v>
      </c>
      <c r="F29" s="5">
        <v>4.4000000000000004</v>
      </c>
      <c r="G29" s="44">
        <v>457.72</v>
      </c>
      <c r="H29" s="44">
        <v>505.23</v>
      </c>
      <c r="I29" s="44">
        <v>462.47</v>
      </c>
      <c r="J29" s="44">
        <v>507.93</v>
      </c>
      <c r="K29" s="44">
        <v>465.91</v>
      </c>
      <c r="L29" s="44">
        <v>542.17999999999995</v>
      </c>
      <c r="M29" s="44">
        <v>542.34</v>
      </c>
      <c r="N29" s="44">
        <v>546.62</v>
      </c>
      <c r="O29" s="44">
        <v>550.21</v>
      </c>
      <c r="P29" s="44">
        <v>603.07000000000005</v>
      </c>
      <c r="Q29" s="44">
        <v>518.64</v>
      </c>
      <c r="R29" s="44">
        <v>626.54999999999995</v>
      </c>
      <c r="S29" s="44">
        <v>565.13</v>
      </c>
      <c r="T29" s="44">
        <v>636.37</v>
      </c>
      <c r="U29" s="44">
        <v>643.94000000000005</v>
      </c>
      <c r="V29" s="45">
        <v>893.8</v>
      </c>
      <c r="W29" s="44">
        <v>685.83</v>
      </c>
      <c r="X29" s="7">
        <v>1.4394460078067439E-2</v>
      </c>
      <c r="Y29" s="8">
        <v>5.3394355453851849E-2</v>
      </c>
      <c r="Z29" s="9">
        <v>0.1081112787673089</v>
      </c>
      <c r="AA29" s="8">
        <v>4.4063316832406267E-2</v>
      </c>
    </row>
    <row r="30" spans="2:27" x14ac:dyDescent="0.3">
      <c r="B30" s="13" t="s">
        <v>379</v>
      </c>
      <c r="C30" s="3" t="s">
        <v>499</v>
      </c>
      <c r="D30" s="3" t="s">
        <v>526</v>
      </c>
      <c r="E30" s="3" t="s">
        <v>501</v>
      </c>
      <c r="F30" s="5">
        <v>4.3</v>
      </c>
      <c r="G30" s="44">
        <v>84.26</v>
      </c>
      <c r="H30" s="44">
        <v>94.71</v>
      </c>
      <c r="I30" s="44">
        <v>103.52</v>
      </c>
      <c r="J30" s="44">
        <v>105.74</v>
      </c>
      <c r="K30" s="44">
        <v>109.31</v>
      </c>
      <c r="L30" s="44">
        <v>111.14</v>
      </c>
      <c r="M30" s="44">
        <v>112.24</v>
      </c>
      <c r="N30" s="44">
        <v>112.16</v>
      </c>
      <c r="O30" s="44">
        <v>106.09</v>
      </c>
      <c r="P30" s="44">
        <v>107.7</v>
      </c>
      <c r="Q30" s="44">
        <v>105.2</v>
      </c>
      <c r="R30" s="44">
        <v>105.05</v>
      </c>
      <c r="S30" s="44">
        <v>103.87</v>
      </c>
      <c r="T30" s="44">
        <v>104.5</v>
      </c>
      <c r="U30" s="44">
        <v>107.51</v>
      </c>
      <c r="V30" s="44">
        <v>114.34</v>
      </c>
      <c r="W30" s="44">
        <v>122.46</v>
      </c>
      <c r="X30" s="7">
        <v>-7.5861741975249419E-3</v>
      </c>
      <c r="Y30" s="8">
        <v>5.518131001863269E-3</v>
      </c>
      <c r="Z30" s="8">
        <v>2.2070177939324861E-2</v>
      </c>
      <c r="AA30" s="8">
        <v>4.3210450467202843E-2</v>
      </c>
    </row>
    <row r="31" spans="2:27" x14ac:dyDescent="0.3">
      <c r="B31" s="13" t="s">
        <v>117</v>
      </c>
      <c r="C31" s="3" t="s">
        <v>499</v>
      </c>
      <c r="D31" s="3" t="s">
        <v>527</v>
      </c>
      <c r="E31" s="3" t="s">
        <v>522</v>
      </c>
      <c r="F31" s="5">
        <v>4.2</v>
      </c>
      <c r="G31" s="44">
        <v>806.82</v>
      </c>
      <c r="H31" s="44">
        <v>827.72</v>
      </c>
      <c r="I31" s="44">
        <v>886.96</v>
      </c>
      <c r="J31" s="44">
        <v>1345</v>
      </c>
      <c r="K31" s="45">
        <v>1370</v>
      </c>
      <c r="L31" s="44">
        <v>1240</v>
      </c>
      <c r="M31" s="44">
        <v>1205</v>
      </c>
      <c r="N31" s="44">
        <v>1053</v>
      </c>
      <c r="O31" s="44">
        <v>1131</v>
      </c>
      <c r="P31" s="44">
        <v>1209</v>
      </c>
      <c r="Q31" s="44">
        <v>1314</v>
      </c>
      <c r="R31" s="44">
        <v>1348</v>
      </c>
      <c r="S31" s="44">
        <v>1435</v>
      </c>
      <c r="T31" s="44">
        <v>1498</v>
      </c>
      <c r="U31" s="44">
        <v>1529</v>
      </c>
      <c r="V31" s="44">
        <v>1581</v>
      </c>
      <c r="W31" s="44">
        <v>1686</v>
      </c>
      <c r="X31" s="7">
        <v>5.446664153788161E-2</v>
      </c>
      <c r="Y31" s="8">
        <v>3.8427167113494143E-2</v>
      </c>
      <c r="Z31" s="8">
        <v>4.0103270223752041E-2</v>
      </c>
      <c r="AA31" s="8">
        <v>4.1535661095482457E-2</v>
      </c>
    </row>
    <row r="32" spans="2:27" x14ac:dyDescent="0.3">
      <c r="B32" s="13" t="s">
        <v>117</v>
      </c>
      <c r="C32" s="3" t="s">
        <v>499</v>
      </c>
      <c r="D32" s="3" t="s">
        <v>527</v>
      </c>
      <c r="E32" s="3" t="s">
        <v>522</v>
      </c>
      <c r="F32" s="5">
        <v>4.2</v>
      </c>
      <c r="G32" s="44">
        <v>806.82</v>
      </c>
      <c r="H32" s="44">
        <v>827.72</v>
      </c>
      <c r="I32" s="44">
        <v>886.96</v>
      </c>
      <c r="J32" s="44">
        <v>1345</v>
      </c>
      <c r="K32" s="45">
        <v>1370</v>
      </c>
      <c r="L32" s="44">
        <v>1240</v>
      </c>
      <c r="M32" s="44">
        <v>1205</v>
      </c>
      <c r="N32" s="44">
        <v>1053</v>
      </c>
      <c r="O32" s="44">
        <v>1131</v>
      </c>
      <c r="P32" s="44">
        <v>1209</v>
      </c>
      <c r="Q32" s="44">
        <v>1314</v>
      </c>
      <c r="R32" s="44">
        <v>1348</v>
      </c>
      <c r="S32" s="44">
        <v>1435</v>
      </c>
      <c r="T32" s="44">
        <v>1498</v>
      </c>
      <c r="U32" s="44">
        <v>1529</v>
      </c>
      <c r="V32" s="44">
        <v>1581</v>
      </c>
      <c r="W32" s="44">
        <v>1686</v>
      </c>
      <c r="X32" s="7">
        <v>5.446664153788161E-2</v>
      </c>
      <c r="Y32" s="8">
        <v>3.8427167113494143E-2</v>
      </c>
      <c r="Z32" s="8">
        <v>4.0103270223752041E-2</v>
      </c>
      <c r="AA32" s="8">
        <v>4.1535661095482457E-2</v>
      </c>
    </row>
    <row r="33" spans="2:27" x14ac:dyDescent="0.3">
      <c r="B33" s="13" t="s">
        <v>28</v>
      </c>
      <c r="C33" s="3" t="s">
        <v>499</v>
      </c>
      <c r="D33" s="3" t="s">
        <v>528</v>
      </c>
      <c r="E33" s="3" t="s">
        <v>503</v>
      </c>
      <c r="F33" s="5">
        <v>3.7</v>
      </c>
      <c r="G33" s="44">
        <v>3127</v>
      </c>
      <c r="H33" s="44">
        <v>3026</v>
      </c>
      <c r="I33" s="44">
        <v>3244</v>
      </c>
      <c r="J33" s="44">
        <v>3170</v>
      </c>
      <c r="K33" s="44">
        <v>3242</v>
      </c>
      <c r="L33" s="44">
        <v>3389</v>
      </c>
      <c r="M33" s="44">
        <v>3599</v>
      </c>
      <c r="N33" s="44">
        <v>3527</v>
      </c>
      <c r="O33" s="44">
        <v>3725</v>
      </c>
      <c r="P33" s="44">
        <v>3856</v>
      </c>
      <c r="Q33" s="44">
        <v>4120</v>
      </c>
      <c r="R33" s="44">
        <v>4209</v>
      </c>
      <c r="S33" s="44">
        <v>4561</v>
      </c>
      <c r="T33" s="44">
        <v>4663</v>
      </c>
      <c r="U33" s="44">
        <v>5061</v>
      </c>
      <c r="V33" s="44">
        <v>5065</v>
      </c>
      <c r="W33" s="44">
        <v>5286</v>
      </c>
      <c r="X33" s="7">
        <v>4.8190612683626011E-2</v>
      </c>
      <c r="Y33" s="8">
        <v>5.3609069674699583E-2</v>
      </c>
      <c r="Z33" s="8">
        <v>4.6285281712987958E-2</v>
      </c>
      <c r="AA33" s="8">
        <v>3.7467700258397851E-2</v>
      </c>
    </row>
    <row r="34" spans="2:27" x14ac:dyDescent="0.3">
      <c r="B34" s="13" t="s">
        <v>220</v>
      </c>
      <c r="C34" s="3" t="s">
        <v>499</v>
      </c>
      <c r="D34" s="3" t="s">
        <v>529</v>
      </c>
      <c r="E34" s="3" t="s">
        <v>503</v>
      </c>
      <c r="F34" s="5">
        <v>3.6</v>
      </c>
      <c r="G34" s="44">
        <v>4240</v>
      </c>
      <c r="H34" s="44">
        <v>4604</v>
      </c>
      <c r="I34" s="44">
        <v>6212</v>
      </c>
      <c r="J34" s="44">
        <v>5625</v>
      </c>
      <c r="K34" s="44">
        <v>4825</v>
      </c>
      <c r="L34" s="44">
        <v>4532</v>
      </c>
      <c r="M34" s="44">
        <v>4991</v>
      </c>
      <c r="N34" s="44">
        <v>5216</v>
      </c>
      <c r="O34" s="44">
        <v>4499</v>
      </c>
      <c r="P34" s="44">
        <v>4285</v>
      </c>
      <c r="Q34" s="44">
        <v>4854</v>
      </c>
      <c r="R34" s="44">
        <v>4637</v>
      </c>
      <c r="S34" s="44">
        <v>4133</v>
      </c>
      <c r="T34" s="44">
        <v>3974</v>
      </c>
      <c r="U34" s="44">
        <v>4406</v>
      </c>
      <c r="V34" s="44">
        <v>4496</v>
      </c>
      <c r="W34" s="44">
        <v>4744</v>
      </c>
      <c r="X34" s="7">
        <v>-1.7365570383605981E-2</v>
      </c>
      <c r="Y34" s="8">
        <v>-2.5457438345266481E-2</v>
      </c>
      <c r="Z34" s="8">
        <v>-8.2215743440233746E-3</v>
      </c>
      <c r="AA34" s="8">
        <v>3.5922158857075732E-2</v>
      </c>
    </row>
    <row r="35" spans="2:27" x14ac:dyDescent="0.3">
      <c r="B35" s="13" t="s">
        <v>165</v>
      </c>
      <c r="C35" s="3" t="s">
        <v>499</v>
      </c>
      <c r="D35" s="3" t="s">
        <v>530</v>
      </c>
      <c r="E35" s="3" t="s">
        <v>503</v>
      </c>
      <c r="F35" s="5">
        <v>3.5</v>
      </c>
      <c r="G35" s="44">
        <v>249.95</v>
      </c>
      <c r="H35" s="44">
        <v>249.32</v>
      </c>
      <c r="I35" s="44">
        <v>244.65</v>
      </c>
      <c r="J35" s="44">
        <v>239.43</v>
      </c>
      <c r="K35" s="44">
        <v>144.85</v>
      </c>
      <c r="L35" s="44">
        <v>218.2</v>
      </c>
      <c r="M35" s="44">
        <v>250.19</v>
      </c>
      <c r="N35" s="44">
        <v>242.03</v>
      </c>
      <c r="O35" s="45">
        <v>239.32</v>
      </c>
      <c r="P35" s="44">
        <v>243.3</v>
      </c>
      <c r="Q35" s="44">
        <v>252.75</v>
      </c>
      <c r="R35" s="44">
        <v>276.02999999999997</v>
      </c>
      <c r="S35" s="44">
        <v>279.32</v>
      </c>
      <c r="T35" s="44">
        <v>276.79000000000002</v>
      </c>
      <c r="U35" s="44">
        <v>282.51</v>
      </c>
      <c r="V35" s="44">
        <v>311.58999999999997</v>
      </c>
      <c r="W35" s="44">
        <v>319.22000000000003</v>
      </c>
      <c r="X35" s="7">
        <v>3.1852767738253629E-2</v>
      </c>
      <c r="Y35" s="8">
        <v>2.743135248734907E-2</v>
      </c>
      <c r="Z35" s="8">
        <v>3.1902390885031107E-2</v>
      </c>
      <c r="AA35" s="8">
        <v>3.4689317602872638E-2</v>
      </c>
    </row>
    <row r="36" spans="2:27" x14ac:dyDescent="0.3">
      <c r="B36" s="13" t="s">
        <v>263</v>
      </c>
      <c r="C36" s="3" t="s">
        <v>499</v>
      </c>
      <c r="D36" s="3" t="s">
        <v>515</v>
      </c>
      <c r="E36" s="3" t="s">
        <v>503</v>
      </c>
      <c r="F36" s="5">
        <v>3.4</v>
      </c>
      <c r="G36" s="44">
        <v>205</v>
      </c>
      <c r="H36" s="44">
        <v>197.17</v>
      </c>
      <c r="I36" s="44">
        <v>203.91</v>
      </c>
      <c r="J36" s="44">
        <v>180.87</v>
      </c>
      <c r="K36" s="44">
        <v>165.99</v>
      </c>
      <c r="L36" s="44">
        <v>167.45</v>
      </c>
      <c r="M36" s="44">
        <v>155.91999999999999</v>
      </c>
      <c r="N36" s="44">
        <v>171.58</v>
      </c>
      <c r="O36" s="44">
        <v>168.16</v>
      </c>
      <c r="P36" s="44">
        <v>168.73</v>
      </c>
      <c r="Q36" s="44">
        <v>197.47</v>
      </c>
      <c r="R36" s="44">
        <v>207.92</v>
      </c>
      <c r="S36" s="44">
        <v>189.48</v>
      </c>
      <c r="T36" s="44">
        <v>171.36</v>
      </c>
      <c r="U36" s="44">
        <v>195.8</v>
      </c>
      <c r="V36" s="44">
        <v>202.68</v>
      </c>
      <c r="W36" s="44">
        <v>215.16</v>
      </c>
      <c r="X36" s="7">
        <v>3.4442116291253382E-3</v>
      </c>
      <c r="Y36" s="8">
        <v>-2.1795022382314899E-3</v>
      </c>
      <c r="Z36" s="8">
        <v>-6.8536151511979782E-3</v>
      </c>
      <c r="AA36" s="8">
        <v>3.3819733445714428E-2</v>
      </c>
    </row>
    <row r="37" spans="2:27" x14ac:dyDescent="0.3">
      <c r="B37" s="13" t="s">
        <v>257</v>
      </c>
      <c r="C37" s="3" t="s">
        <v>499</v>
      </c>
      <c r="D37" s="3" t="s">
        <v>511</v>
      </c>
      <c r="E37" s="3" t="s">
        <v>503</v>
      </c>
      <c r="F37" s="5">
        <v>3.4</v>
      </c>
      <c r="G37" s="44">
        <v>425.02</v>
      </c>
      <c r="H37" s="44">
        <v>302.08999999999997</v>
      </c>
      <c r="I37" s="44">
        <v>242.52</v>
      </c>
      <c r="J37" s="44">
        <v>233.51</v>
      </c>
      <c r="K37" s="44">
        <v>207.18</v>
      </c>
      <c r="L37" s="44">
        <v>187.82</v>
      </c>
      <c r="M37" s="44">
        <v>179.87</v>
      </c>
      <c r="N37" s="44">
        <v>272.18</v>
      </c>
      <c r="O37" s="44">
        <v>214.88</v>
      </c>
      <c r="P37" s="44">
        <v>217.49</v>
      </c>
      <c r="Q37" s="44">
        <v>264.58999999999997</v>
      </c>
      <c r="R37" s="44">
        <v>273.76</v>
      </c>
      <c r="S37" s="45">
        <v>438.72</v>
      </c>
      <c r="T37" s="44">
        <v>306.58999999999997</v>
      </c>
      <c r="U37" s="44">
        <v>365.38</v>
      </c>
      <c r="V37" s="44">
        <v>356.89</v>
      </c>
      <c r="W37" s="44">
        <v>487.94</v>
      </c>
      <c r="X37" s="7">
        <v>7.4588132869006118E-2</v>
      </c>
      <c r="Y37" s="8">
        <v>7.8517676020130045E-2</v>
      </c>
      <c r="Z37" s="8">
        <v>6.004550543537146E-2</v>
      </c>
      <c r="AA37" s="8">
        <v>3.3538205753689709E-2</v>
      </c>
    </row>
    <row r="38" spans="2:27" x14ac:dyDescent="0.3">
      <c r="B38" s="13" t="s">
        <v>200</v>
      </c>
      <c r="C38" s="3" t="s">
        <v>499</v>
      </c>
      <c r="D38" s="3" t="s">
        <v>531</v>
      </c>
      <c r="E38" s="3" t="s">
        <v>503</v>
      </c>
      <c r="F38" s="5">
        <v>3</v>
      </c>
      <c r="G38" s="44">
        <v>587.23</v>
      </c>
      <c r="H38" s="44">
        <v>530.42999999999995</v>
      </c>
      <c r="I38" s="44">
        <v>548.48</v>
      </c>
      <c r="J38" s="44">
        <v>540.38</v>
      </c>
      <c r="K38" s="44">
        <v>660.04</v>
      </c>
      <c r="L38" s="44">
        <v>553.44000000000005</v>
      </c>
      <c r="M38" s="44">
        <v>584.35</v>
      </c>
      <c r="N38" s="44">
        <v>591.54999999999995</v>
      </c>
      <c r="O38" s="44">
        <v>669.72</v>
      </c>
      <c r="P38" s="44">
        <v>587.32000000000005</v>
      </c>
      <c r="Q38" s="44">
        <v>618.4</v>
      </c>
      <c r="R38" s="44">
        <v>633.58000000000004</v>
      </c>
      <c r="S38" s="44">
        <v>719.53</v>
      </c>
      <c r="T38" s="44">
        <v>629.21</v>
      </c>
      <c r="U38" s="44">
        <v>679.17</v>
      </c>
      <c r="V38" s="44">
        <v>694.12</v>
      </c>
      <c r="W38" s="44">
        <v>802.31</v>
      </c>
      <c r="X38" s="7">
        <v>1.6370763200369121E-2</v>
      </c>
      <c r="Y38" s="8">
        <v>2.3366606170598821E-2</v>
      </c>
      <c r="Z38" s="8">
        <v>2.274665694779987E-2</v>
      </c>
      <c r="AA38" s="8">
        <v>3.041112698978354E-2</v>
      </c>
    </row>
    <row r="39" spans="2:27" x14ac:dyDescent="0.3">
      <c r="B39" s="13" t="s">
        <v>315</v>
      </c>
      <c r="C39" s="3" t="s">
        <v>499</v>
      </c>
      <c r="D39" s="3" t="s">
        <v>504</v>
      </c>
      <c r="E39" s="3" t="s">
        <v>503</v>
      </c>
      <c r="F39" s="5">
        <v>2.9</v>
      </c>
      <c r="G39" s="44">
        <v>843.07</v>
      </c>
      <c r="H39" s="44">
        <v>853.79</v>
      </c>
      <c r="I39" s="44">
        <v>863.51</v>
      </c>
      <c r="J39" s="44">
        <v>924.8</v>
      </c>
      <c r="K39" s="44">
        <v>855.3</v>
      </c>
      <c r="L39" s="44">
        <v>871.05</v>
      </c>
      <c r="M39" s="44">
        <v>892.11</v>
      </c>
      <c r="N39" s="44">
        <v>853.65</v>
      </c>
      <c r="O39" s="44">
        <v>785.24</v>
      </c>
      <c r="P39" s="44">
        <v>746.28</v>
      </c>
      <c r="Q39" s="44">
        <v>741.24</v>
      </c>
      <c r="R39" s="44">
        <v>735.35</v>
      </c>
      <c r="S39" s="44">
        <v>714.72</v>
      </c>
      <c r="T39" s="44">
        <v>715.24</v>
      </c>
      <c r="U39" s="44">
        <v>762.25</v>
      </c>
      <c r="V39" s="44">
        <v>790.64</v>
      </c>
      <c r="W39" s="44">
        <v>800.92</v>
      </c>
      <c r="X39" s="7">
        <v>-1.0566484771530439E-2</v>
      </c>
      <c r="Y39" s="8">
        <v>7.2285011439678906E-3</v>
      </c>
      <c r="Z39" s="8">
        <v>1.888603478664819E-2</v>
      </c>
      <c r="AA39" s="8">
        <v>2.8898536634426989E-2</v>
      </c>
    </row>
    <row r="40" spans="2:27" x14ac:dyDescent="0.3">
      <c r="B40" s="13" t="s">
        <v>36</v>
      </c>
      <c r="C40" s="3" t="s">
        <v>499</v>
      </c>
      <c r="D40" s="3" t="s">
        <v>532</v>
      </c>
      <c r="E40" s="3" t="s">
        <v>509</v>
      </c>
      <c r="F40" s="5">
        <v>2.8</v>
      </c>
      <c r="G40" s="44">
        <v>68614</v>
      </c>
      <c r="H40" s="44">
        <v>66102</v>
      </c>
      <c r="I40" s="44">
        <v>67154</v>
      </c>
      <c r="J40" s="44">
        <v>70157</v>
      </c>
      <c r="K40" s="44">
        <v>70490</v>
      </c>
      <c r="L40" s="44">
        <v>68910</v>
      </c>
      <c r="M40" s="44">
        <v>74483</v>
      </c>
      <c r="N40" s="44">
        <v>77215</v>
      </c>
      <c r="O40" s="44">
        <v>80898</v>
      </c>
      <c r="P40" s="44">
        <v>76355</v>
      </c>
      <c r="Q40" s="44">
        <v>79283</v>
      </c>
      <c r="R40" s="44">
        <v>93651</v>
      </c>
      <c r="S40" s="44">
        <v>95294</v>
      </c>
      <c r="T40" s="44">
        <v>90823</v>
      </c>
      <c r="U40" s="44">
        <v>97827</v>
      </c>
      <c r="V40" s="44">
        <v>103150</v>
      </c>
      <c r="W40" s="44">
        <v>106158</v>
      </c>
      <c r="X40" s="7">
        <v>4.1986981365882858E-2</v>
      </c>
      <c r="Y40" s="8">
        <v>5.1647259024484082E-2</v>
      </c>
      <c r="Z40" s="8">
        <v>2.5156583111534792E-2</v>
      </c>
      <c r="AA40" s="8">
        <v>2.8065534469663641E-2</v>
      </c>
    </row>
    <row r="41" spans="2:27" x14ac:dyDescent="0.3">
      <c r="B41" s="13" t="s">
        <v>277</v>
      </c>
      <c r="C41" s="3" t="s">
        <v>499</v>
      </c>
      <c r="D41" s="3" t="s">
        <v>533</v>
      </c>
      <c r="E41" s="3" t="s">
        <v>501</v>
      </c>
      <c r="F41" s="5">
        <v>2.8</v>
      </c>
      <c r="G41" s="44">
        <v>287.3</v>
      </c>
      <c r="H41" s="44">
        <v>296</v>
      </c>
      <c r="I41" s="44">
        <v>317.39999999999998</v>
      </c>
      <c r="J41" s="44">
        <v>335.4</v>
      </c>
      <c r="K41" s="44">
        <v>332.8</v>
      </c>
      <c r="L41" s="44">
        <v>344.5</v>
      </c>
      <c r="M41" s="44">
        <v>376.2</v>
      </c>
      <c r="N41" s="44">
        <v>390</v>
      </c>
      <c r="O41" s="44">
        <v>373.4</v>
      </c>
      <c r="P41" s="44">
        <v>388.7</v>
      </c>
      <c r="Q41" s="44">
        <v>421.4</v>
      </c>
      <c r="R41" s="44">
        <v>435.5</v>
      </c>
      <c r="S41" s="44">
        <v>414.3</v>
      </c>
      <c r="T41" s="44">
        <v>403.2</v>
      </c>
      <c r="U41" s="44">
        <v>439</v>
      </c>
      <c r="V41" s="44">
        <v>453.8</v>
      </c>
      <c r="W41" s="44">
        <v>461.8</v>
      </c>
      <c r="X41" s="7">
        <v>8.7354659919272049E-3</v>
      </c>
      <c r="Y41" s="8">
        <v>1.051122790253212E-2</v>
      </c>
      <c r="Z41" s="8">
        <v>1.081560283687932E-2</v>
      </c>
      <c r="AA41" s="8">
        <v>2.7772905338244721E-2</v>
      </c>
    </row>
    <row r="42" spans="2:27" x14ac:dyDescent="0.3">
      <c r="B42" s="13" t="s">
        <v>151</v>
      </c>
      <c r="C42" s="3" t="s">
        <v>499</v>
      </c>
      <c r="D42" s="3" t="s">
        <v>523</v>
      </c>
      <c r="E42" s="3" t="s">
        <v>503</v>
      </c>
      <c r="F42" s="5">
        <v>2.8</v>
      </c>
      <c r="G42" s="44">
        <v>1298</v>
      </c>
      <c r="H42" s="44">
        <v>1063</v>
      </c>
      <c r="I42" s="44">
        <v>1111</v>
      </c>
      <c r="J42" s="44">
        <v>1128</v>
      </c>
      <c r="K42" s="44">
        <v>1300</v>
      </c>
      <c r="L42" s="44">
        <v>988.61</v>
      </c>
      <c r="M42" s="44">
        <v>1068</v>
      </c>
      <c r="N42" s="44">
        <v>1189</v>
      </c>
      <c r="O42" s="44">
        <v>1361</v>
      </c>
      <c r="P42" s="44">
        <v>1195</v>
      </c>
      <c r="Q42" s="44">
        <v>1237</v>
      </c>
      <c r="R42" s="44">
        <v>1373</v>
      </c>
      <c r="S42" s="44">
        <v>1557</v>
      </c>
      <c r="T42" s="44">
        <v>1363</v>
      </c>
      <c r="U42" s="44">
        <v>1345</v>
      </c>
      <c r="V42" s="44">
        <v>1507</v>
      </c>
      <c r="W42" s="44">
        <v>1716</v>
      </c>
      <c r="X42" s="7">
        <v>3.1331592689294967E-2</v>
      </c>
      <c r="Y42" s="8">
        <v>1.9529837251356149E-2</v>
      </c>
      <c r="Z42" s="8">
        <v>2.3767293366441899E-2</v>
      </c>
      <c r="AA42" s="8">
        <v>2.7546777546777479E-2</v>
      </c>
    </row>
    <row r="43" spans="2:27" x14ac:dyDescent="0.3">
      <c r="B43" s="13" t="s">
        <v>290</v>
      </c>
      <c r="C43" s="3" t="s">
        <v>499</v>
      </c>
      <c r="D43" s="3" t="s">
        <v>516</v>
      </c>
      <c r="E43" s="3" t="s">
        <v>503</v>
      </c>
      <c r="F43" s="5">
        <v>2.5</v>
      </c>
      <c r="G43" s="44">
        <v>149.02000000000001</v>
      </c>
      <c r="H43" s="44">
        <v>159.37</v>
      </c>
      <c r="I43" s="44">
        <v>164.34</v>
      </c>
      <c r="J43" s="44">
        <v>174.85</v>
      </c>
      <c r="K43" s="44">
        <v>184.63</v>
      </c>
      <c r="L43" s="44">
        <v>188.84</v>
      </c>
      <c r="M43" s="44">
        <v>195.04</v>
      </c>
      <c r="N43" s="44">
        <v>201.53</v>
      </c>
      <c r="O43" s="44">
        <v>213.31</v>
      </c>
      <c r="P43" s="44">
        <v>215.96</v>
      </c>
      <c r="Q43" s="44">
        <v>221.24</v>
      </c>
      <c r="R43" s="44">
        <v>227.09</v>
      </c>
      <c r="S43" s="44">
        <v>235.73</v>
      </c>
      <c r="T43" s="44">
        <v>239.14</v>
      </c>
      <c r="U43" s="44">
        <v>247.3</v>
      </c>
      <c r="V43" s="44">
        <v>252.44</v>
      </c>
      <c r="W43" s="44">
        <v>260.52999999999997</v>
      </c>
      <c r="X43" s="7">
        <v>2.575498322259517E-2</v>
      </c>
      <c r="Y43" s="8">
        <v>2.8227902946273749E-2</v>
      </c>
      <c r="Z43" s="8">
        <v>2.6705012325390239E-2</v>
      </c>
      <c r="AA43" s="8">
        <v>2.5446075866243811E-2</v>
      </c>
    </row>
    <row r="44" spans="2:27" x14ac:dyDescent="0.3">
      <c r="B44" s="13" t="s">
        <v>15</v>
      </c>
      <c r="C44" s="3" t="s">
        <v>499</v>
      </c>
      <c r="D44" s="3" t="s">
        <v>507</v>
      </c>
      <c r="E44" s="3" t="s">
        <v>503</v>
      </c>
      <c r="F44" s="5">
        <v>2.5</v>
      </c>
      <c r="G44" s="44">
        <v>14886</v>
      </c>
      <c r="H44" s="44">
        <v>13538</v>
      </c>
      <c r="I44" s="44">
        <v>14583</v>
      </c>
      <c r="J44" s="44">
        <v>14812</v>
      </c>
      <c r="K44" s="44">
        <v>15121</v>
      </c>
      <c r="L44" s="44">
        <v>12225</v>
      </c>
      <c r="M44" s="44">
        <v>13865</v>
      </c>
      <c r="N44" s="44">
        <v>13927</v>
      </c>
      <c r="O44" s="44">
        <v>14301</v>
      </c>
      <c r="P44" s="44">
        <v>12310</v>
      </c>
      <c r="Q44" s="44">
        <v>14462</v>
      </c>
      <c r="R44" s="44">
        <v>14460</v>
      </c>
      <c r="S44" s="44">
        <v>15102</v>
      </c>
      <c r="T44" s="44">
        <v>13343</v>
      </c>
      <c r="U44" s="44">
        <v>15423</v>
      </c>
      <c r="V44" s="44">
        <v>15776</v>
      </c>
      <c r="W44" s="44">
        <v>16618</v>
      </c>
      <c r="X44" s="7">
        <v>1.8337061099868549E-2</v>
      </c>
      <c r="Y44" s="8">
        <v>1.6751791099412609E-2</v>
      </c>
      <c r="Z44" s="8">
        <v>2.256206281717188E-2</v>
      </c>
      <c r="AA44" s="8">
        <v>2.5417477030380331E-2</v>
      </c>
    </row>
    <row r="45" spans="2:27" x14ac:dyDescent="0.3">
      <c r="B45" s="13" t="s">
        <v>214</v>
      </c>
      <c r="C45" s="3" t="s">
        <v>499</v>
      </c>
      <c r="D45" s="3" t="s">
        <v>517</v>
      </c>
      <c r="E45" s="3" t="s">
        <v>503</v>
      </c>
      <c r="F45" s="5">
        <v>2.5</v>
      </c>
      <c r="G45" s="44">
        <v>91.71</v>
      </c>
      <c r="H45" s="44">
        <v>77.06</v>
      </c>
      <c r="I45" s="44">
        <v>96.28</v>
      </c>
      <c r="J45" s="44">
        <v>175.55</v>
      </c>
      <c r="K45" s="45">
        <v>244.41</v>
      </c>
      <c r="L45" s="45">
        <v>206.31</v>
      </c>
      <c r="M45" s="45">
        <v>266.85000000000002</v>
      </c>
      <c r="N45" s="45">
        <v>311.83999999999997</v>
      </c>
      <c r="O45" s="45">
        <v>391.89</v>
      </c>
      <c r="P45" s="45">
        <v>359.94</v>
      </c>
      <c r="Q45" s="44">
        <v>393.33</v>
      </c>
      <c r="R45" s="45">
        <v>470.34</v>
      </c>
      <c r="S45" s="45">
        <v>564.57000000000005</v>
      </c>
      <c r="T45" s="44">
        <v>486.69</v>
      </c>
      <c r="U45" s="44">
        <v>549.65</v>
      </c>
      <c r="V45" s="44">
        <v>592.12</v>
      </c>
      <c r="W45" s="44">
        <v>618.46</v>
      </c>
      <c r="X45" s="7">
        <v>7.0882125960473719E-2</v>
      </c>
      <c r="Y45" s="8">
        <v>8.1632226765469218E-2</v>
      </c>
      <c r="Z45" s="8">
        <v>5.8795413397706893E-2</v>
      </c>
      <c r="AA45" s="8">
        <v>2.4573307250698839E-2</v>
      </c>
    </row>
    <row r="46" spans="2:27" x14ac:dyDescent="0.3">
      <c r="B46" s="13" t="s">
        <v>308</v>
      </c>
      <c r="C46" s="3" t="s">
        <v>499</v>
      </c>
      <c r="D46" s="3" t="s">
        <v>534</v>
      </c>
      <c r="E46" s="3" t="s">
        <v>522</v>
      </c>
      <c r="F46" s="5">
        <v>2.4</v>
      </c>
      <c r="G46" s="44">
        <v>486.67</v>
      </c>
      <c r="H46" s="44">
        <v>512.26</v>
      </c>
      <c r="I46" s="44">
        <v>530.02</v>
      </c>
      <c r="J46" s="44">
        <v>494.79</v>
      </c>
      <c r="K46" s="44">
        <v>497.12</v>
      </c>
      <c r="L46" s="44">
        <v>536.04</v>
      </c>
      <c r="M46" s="44">
        <v>550.24</v>
      </c>
      <c r="N46" s="44">
        <v>492.48</v>
      </c>
      <c r="O46" s="44">
        <v>495.32</v>
      </c>
      <c r="P46" s="44">
        <v>515.79</v>
      </c>
      <c r="Q46" s="44">
        <v>543.30999999999995</v>
      </c>
      <c r="R46" s="44">
        <v>481.95</v>
      </c>
      <c r="S46" s="44">
        <v>482.05</v>
      </c>
      <c r="T46" s="44">
        <v>486.4</v>
      </c>
      <c r="U46" s="44">
        <v>516.45000000000005</v>
      </c>
      <c r="V46" s="44">
        <v>497.97</v>
      </c>
      <c r="W46" s="44">
        <v>529.53</v>
      </c>
      <c r="X46" s="7">
        <v>-1.4527210716227529E-2</v>
      </c>
      <c r="Y46" s="8">
        <v>-1.347237060555451E-2</v>
      </c>
      <c r="Z46" s="8">
        <v>8.1450034318835129E-3</v>
      </c>
      <c r="AA46" s="8">
        <v>2.3945089693222291E-2</v>
      </c>
    </row>
    <row r="47" spans="2:27" x14ac:dyDescent="0.3">
      <c r="B47" s="13" t="s">
        <v>97</v>
      </c>
      <c r="C47" s="3" t="s">
        <v>499</v>
      </c>
      <c r="D47" s="3" t="s">
        <v>524</v>
      </c>
      <c r="E47" s="3" t="s">
        <v>503</v>
      </c>
      <c r="F47" s="5">
        <v>2.2999999999999998</v>
      </c>
      <c r="G47" s="44">
        <v>3758</v>
      </c>
      <c r="H47" s="44">
        <v>2606</v>
      </c>
      <c r="I47" s="44">
        <v>1792</v>
      </c>
      <c r="J47" s="44">
        <v>3066</v>
      </c>
      <c r="K47" s="44">
        <v>4211</v>
      </c>
      <c r="L47" s="44">
        <v>3643</v>
      </c>
      <c r="M47" s="45">
        <v>4143</v>
      </c>
      <c r="N47" s="44">
        <v>3375</v>
      </c>
      <c r="O47" s="44">
        <v>4643</v>
      </c>
      <c r="P47" s="44">
        <v>4467</v>
      </c>
      <c r="Q47" s="44">
        <v>3702</v>
      </c>
      <c r="R47" s="44">
        <v>4611</v>
      </c>
      <c r="S47" s="44">
        <v>3841</v>
      </c>
      <c r="T47" s="44">
        <v>3399</v>
      </c>
      <c r="U47" s="44">
        <v>4603</v>
      </c>
      <c r="V47" s="44">
        <v>4367</v>
      </c>
      <c r="W47" s="44">
        <v>4220</v>
      </c>
      <c r="X47" s="7">
        <v>-6.4256061608808146E-2</v>
      </c>
      <c r="Y47" s="8">
        <v>5.7930945798238209E-2</v>
      </c>
      <c r="Z47" s="8">
        <v>-1.482922085814997E-2</v>
      </c>
      <c r="AA47" s="8">
        <v>2.3380629241209091E-2</v>
      </c>
    </row>
    <row r="48" spans="2:27" x14ac:dyDescent="0.3">
      <c r="B48" s="13" t="s">
        <v>397</v>
      </c>
      <c r="C48" s="3" t="s">
        <v>499</v>
      </c>
      <c r="D48" s="3" t="s">
        <v>535</v>
      </c>
      <c r="E48" s="3" t="s">
        <v>501</v>
      </c>
      <c r="F48" s="5">
        <v>2.2999999999999998</v>
      </c>
      <c r="G48" s="44">
        <v>105.08</v>
      </c>
      <c r="H48" s="44">
        <v>102.09</v>
      </c>
      <c r="I48" s="44">
        <v>100.97</v>
      </c>
      <c r="J48" s="44">
        <v>110.64</v>
      </c>
      <c r="K48" s="44">
        <v>120</v>
      </c>
      <c r="L48" s="45">
        <v>163.82</v>
      </c>
      <c r="M48" s="45">
        <v>153.29</v>
      </c>
      <c r="N48" s="45">
        <v>170.3</v>
      </c>
      <c r="O48" s="44">
        <v>174.7</v>
      </c>
      <c r="P48" s="44">
        <v>184.18</v>
      </c>
      <c r="Q48" s="44">
        <v>177.46</v>
      </c>
      <c r="R48" s="44">
        <v>196.36</v>
      </c>
      <c r="S48" s="44">
        <v>201.43</v>
      </c>
      <c r="T48" s="44">
        <v>207.45</v>
      </c>
      <c r="U48" s="44">
        <v>204.3</v>
      </c>
      <c r="V48" s="44">
        <v>222.44</v>
      </c>
      <c r="W48" s="44">
        <v>220.84</v>
      </c>
      <c r="X48" s="7">
        <v>3.0641402104209629E-2</v>
      </c>
      <c r="Y48" s="8">
        <v>3.4291554874153363E-2</v>
      </c>
      <c r="Z48" s="8">
        <v>3.2215826271709817E-2</v>
      </c>
      <c r="AA48" s="8">
        <v>2.322826165003233E-2</v>
      </c>
    </row>
    <row r="49" spans="2:27" x14ac:dyDescent="0.3">
      <c r="B49" s="13" t="s">
        <v>93</v>
      </c>
      <c r="C49" s="3" t="s">
        <v>499</v>
      </c>
      <c r="D49" s="3" t="s">
        <v>536</v>
      </c>
      <c r="E49" s="3" t="s">
        <v>503</v>
      </c>
      <c r="F49" s="5">
        <v>2.2000000000000002</v>
      </c>
      <c r="G49" s="44">
        <v>1253</v>
      </c>
      <c r="H49" s="44">
        <v>1363</v>
      </c>
      <c r="I49" s="44">
        <v>1317</v>
      </c>
      <c r="J49" s="44">
        <v>1244</v>
      </c>
      <c r="K49" s="44">
        <v>1198</v>
      </c>
      <c r="L49" s="44">
        <v>1302</v>
      </c>
      <c r="M49" s="44">
        <v>1318</v>
      </c>
      <c r="N49" s="44">
        <v>1319</v>
      </c>
      <c r="O49" s="44">
        <v>1327</v>
      </c>
      <c r="P49" s="44">
        <v>1389</v>
      </c>
      <c r="Q49" s="44">
        <v>1431</v>
      </c>
      <c r="R49" s="44">
        <v>1442</v>
      </c>
      <c r="S49" s="44">
        <v>1419</v>
      </c>
      <c r="T49" s="44">
        <v>1442</v>
      </c>
      <c r="U49" s="44">
        <v>1537</v>
      </c>
      <c r="V49" s="44">
        <v>1545</v>
      </c>
      <c r="W49" s="44">
        <v>1551</v>
      </c>
      <c r="X49" s="7">
        <v>9.3293434254533292E-3</v>
      </c>
      <c r="Y49" s="8">
        <v>1.848622253226373E-2</v>
      </c>
      <c r="Z49" s="8">
        <v>1.7636986301369891E-2</v>
      </c>
      <c r="AA49" s="8">
        <v>2.2211004543160051E-2</v>
      </c>
    </row>
    <row r="50" spans="2:27" x14ac:dyDescent="0.3">
      <c r="B50" s="13" t="s">
        <v>95</v>
      </c>
      <c r="C50" s="3" t="s">
        <v>499</v>
      </c>
      <c r="D50" s="3" t="s">
        <v>528</v>
      </c>
      <c r="E50" s="3" t="s">
        <v>509</v>
      </c>
      <c r="F50" s="5">
        <v>2.2000000000000002</v>
      </c>
      <c r="G50" s="44">
        <v>1209</v>
      </c>
      <c r="H50" s="44">
        <v>1211</v>
      </c>
      <c r="I50" s="44">
        <v>1156</v>
      </c>
      <c r="J50" s="44">
        <v>1201</v>
      </c>
      <c r="K50" s="44">
        <v>1216</v>
      </c>
      <c r="L50" s="44">
        <v>0</v>
      </c>
      <c r="M50" s="44">
        <v>1183</v>
      </c>
      <c r="N50" s="44">
        <v>1238</v>
      </c>
      <c r="O50" s="44">
        <v>1298</v>
      </c>
      <c r="P50" s="45">
        <v>1419</v>
      </c>
      <c r="Q50" s="44">
        <v>1280</v>
      </c>
      <c r="R50" s="44">
        <v>1329</v>
      </c>
      <c r="S50" s="44">
        <v>1371</v>
      </c>
      <c r="T50" s="44">
        <v>1481</v>
      </c>
      <c r="U50" s="44">
        <v>1391</v>
      </c>
      <c r="V50" s="44">
        <v>1460</v>
      </c>
      <c r="W50" s="44">
        <v>1496</v>
      </c>
      <c r="X50" s="7">
        <v>1.1483608075569579E-2</v>
      </c>
      <c r="Y50" s="8">
        <v>2.0325947628639481E-2</v>
      </c>
      <c r="Z50" s="8">
        <v>2.351040918880121E-2</v>
      </c>
      <c r="AA50" s="8">
        <v>2.1918288620024651E-2</v>
      </c>
    </row>
    <row r="51" spans="2:27" x14ac:dyDescent="0.3">
      <c r="B51" s="13" t="s">
        <v>399</v>
      </c>
      <c r="C51" s="3" t="s">
        <v>499</v>
      </c>
      <c r="D51" s="3" t="s">
        <v>516</v>
      </c>
      <c r="E51" s="3" t="s">
        <v>503</v>
      </c>
      <c r="F51" s="5">
        <v>2.2000000000000002</v>
      </c>
      <c r="G51" s="44">
        <v>70.67</v>
      </c>
      <c r="H51" s="44">
        <v>62.67</v>
      </c>
      <c r="I51" s="44">
        <v>67.97</v>
      </c>
      <c r="J51" s="44">
        <v>72.06</v>
      </c>
      <c r="K51" s="44">
        <v>77.63</v>
      </c>
      <c r="L51" s="44">
        <v>57.69</v>
      </c>
      <c r="M51" s="44">
        <v>65.819999999999993</v>
      </c>
      <c r="N51" s="44">
        <v>57.78</v>
      </c>
      <c r="O51" s="44">
        <v>70.42</v>
      </c>
      <c r="P51" s="44">
        <v>60.68</v>
      </c>
      <c r="Q51" s="44">
        <v>60.1</v>
      </c>
      <c r="R51" s="44">
        <v>66.72</v>
      </c>
      <c r="S51" s="44">
        <v>74.2</v>
      </c>
      <c r="T51" s="44">
        <v>66.14</v>
      </c>
      <c r="U51" s="44">
        <v>69.38</v>
      </c>
      <c r="V51" s="44">
        <v>74.680000000000007</v>
      </c>
      <c r="W51" s="44">
        <v>80.36</v>
      </c>
      <c r="X51" s="7">
        <v>2.0863584256782811E-2</v>
      </c>
      <c r="Y51" s="8">
        <v>3.4735738883066247E-2</v>
      </c>
      <c r="Z51" s="8">
        <v>2.879467515554901E-2</v>
      </c>
      <c r="AA51" s="8">
        <v>2.1659634317862331E-2</v>
      </c>
    </row>
    <row r="52" spans="2:27" x14ac:dyDescent="0.3">
      <c r="B52" s="13" t="s">
        <v>32</v>
      </c>
      <c r="C52" s="3" t="s">
        <v>499</v>
      </c>
      <c r="D52" s="3" t="s">
        <v>537</v>
      </c>
      <c r="E52" s="3" t="s">
        <v>503</v>
      </c>
      <c r="F52" s="5">
        <v>2.1</v>
      </c>
      <c r="G52" s="44">
        <v>1030</v>
      </c>
      <c r="H52" s="44">
        <v>1344</v>
      </c>
      <c r="I52" s="44">
        <v>1234</v>
      </c>
      <c r="J52" s="44">
        <v>1225</v>
      </c>
      <c r="K52" s="44">
        <v>1205</v>
      </c>
      <c r="L52" s="44">
        <v>1439</v>
      </c>
      <c r="M52" s="44">
        <v>1358</v>
      </c>
      <c r="N52" s="44">
        <v>1335</v>
      </c>
      <c r="O52" s="44">
        <v>1437</v>
      </c>
      <c r="P52" s="44">
        <v>1486</v>
      </c>
      <c r="Q52" s="44">
        <v>1530</v>
      </c>
      <c r="R52" s="44">
        <v>1582</v>
      </c>
      <c r="S52" s="44">
        <v>1523</v>
      </c>
      <c r="T52" s="44">
        <v>1639</v>
      </c>
      <c r="U52" s="44">
        <v>1689</v>
      </c>
      <c r="V52" s="44">
        <v>1534</v>
      </c>
      <c r="W52" s="44">
        <v>1658</v>
      </c>
      <c r="X52" s="7">
        <v>2.4995915700048998E-2</v>
      </c>
      <c r="Y52" s="8">
        <v>2.5342684093082601E-2</v>
      </c>
      <c r="Z52" s="8">
        <v>-7.4615265039639223E-3</v>
      </c>
      <c r="AA52" s="8">
        <v>2.114330462020364E-2</v>
      </c>
    </row>
    <row r="53" spans="2:27" x14ac:dyDescent="0.3">
      <c r="B53" s="13" t="s">
        <v>59</v>
      </c>
      <c r="C53" s="3" t="s">
        <v>499</v>
      </c>
      <c r="D53" s="3" t="s">
        <v>538</v>
      </c>
      <c r="E53" s="3" t="s">
        <v>503</v>
      </c>
      <c r="F53" s="5">
        <v>2</v>
      </c>
      <c r="G53" s="44">
        <v>32604</v>
      </c>
      <c r="H53" s="44">
        <v>36179</v>
      </c>
      <c r="I53" s="44">
        <v>48577</v>
      </c>
      <c r="J53" s="44">
        <v>44955</v>
      </c>
      <c r="K53" s="44">
        <v>40279</v>
      </c>
      <c r="L53" s="44">
        <v>34396</v>
      </c>
      <c r="M53" s="44">
        <v>35090</v>
      </c>
      <c r="N53" s="44">
        <v>39643</v>
      </c>
      <c r="O53" s="44">
        <v>38270</v>
      </c>
      <c r="P53" s="44">
        <v>35811</v>
      </c>
      <c r="Q53" s="44">
        <v>38129</v>
      </c>
      <c r="R53" s="44">
        <v>35528</v>
      </c>
      <c r="S53" s="44">
        <v>33685</v>
      </c>
      <c r="T53" s="44">
        <v>30430</v>
      </c>
      <c r="U53" s="44">
        <v>33323</v>
      </c>
      <c r="V53" s="44">
        <v>34515</v>
      </c>
      <c r="W53" s="44">
        <v>36333</v>
      </c>
      <c r="X53" s="7">
        <v>-3.7589152864417767E-2</v>
      </c>
      <c r="Y53" s="8">
        <v>-3.4883720930232509E-2</v>
      </c>
      <c r="Z53" s="8">
        <v>-7.6184889370214393E-3</v>
      </c>
      <c r="AA53" s="8">
        <v>2.006775139633055E-2</v>
      </c>
    </row>
    <row r="54" spans="2:27" x14ac:dyDescent="0.3">
      <c r="B54" s="13" t="s">
        <v>137</v>
      </c>
      <c r="C54" s="3" t="s">
        <v>499</v>
      </c>
      <c r="D54" s="3" t="s">
        <v>539</v>
      </c>
      <c r="E54" s="3" t="s">
        <v>503</v>
      </c>
      <c r="F54" s="5">
        <v>2</v>
      </c>
      <c r="G54" s="44">
        <v>2291</v>
      </c>
      <c r="H54" s="44">
        <v>2668</v>
      </c>
      <c r="I54" s="44">
        <v>2128</v>
      </c>
      <c r="J54" s="44">
        <v>2685</v>
      </c>
      <c r="K54" s="44">
        <v>2088</v>
      </c>
      <c r="L54" s="44">
        <v>2917</v>
      </c>
      <c r="M54" s="44">
        <v>2654</v>
      </c>
      <c r="N54" s="44">
        <v>2914</v>
      </c>
      <c r="O54" s="44">
        <v>2493</v>
      </c>
      <c r="P54" s="44">
        <v>2958</v>
      </c>
      <c r="Q54" s="44">
        <v>2679</v>
      </c>
      <c r="R54" s="44">
        <v>3071</v>
      </c>
      <c r="S54" s="44">
        <v>2595</v>
      </c>
      <c r="T54" s="44">
        <v>2981</v>
      </c>
      <c r="U54" s="44">
        <v>2787</v>
      </c>
      <c r="V54" s="44">
        <v>3206</v>
      </c>
      <c r="W54" s="44">
        <v>2823</v>
      </c>
      <c r="X54" s="7">
        <v>2.0348580023001879E-3</v>
      </c>
      <c r="Y54" s="8">
        <v>9.5355818470774789E-3</v>
      </c>
      <c r="Z54" s="8">
        <v>1.180689172643001E-2</v>
      </c>
      <c r="AA54" s="8">
        <v>1.9707839917019632E-2</v>
      </c>
    </row>
    <row r="55" spans="2:27" x14ac:dyDescent="0.3">
      <c r="B55" s="13" t="s">
        <v>102</v>
      </c>
      <c r="C55" s="3" t="s">
        <v>499</v>
      </c>
      <c r="D55" s="3" t="s">
        <v>525</v>
      </c>
      <c r="E55" s="3" t="s">
        <v>509</v>
      </c>
      <c r="F55" s="5">
        <v>1.9</v>
      </c>
      <c r="G55" s="44">
        <v>6619</v>
      </c>
      <c r="H55" s="44">
        <v>6851</v>
      </c>
      <c r="I55" s="44">
        <v>7347</v>
      </c>
      <c r="J55" s="44">
        <v>7766</v>
      </c>
      <c r="K55" s="44">
        <v>7756</v>
      </c>
      <c r="L55" s="44">
        <v>0</v>
      </c>
      <c r="M55" s="44">
        <v>6892</v>
      </c>
      <c r="N55" s="44">
        <v>6933</v>
      </c>
      <c r="O55" s="44">
        <v>6421</v>
      </c>
      <c r="P55" s="45">
        <v>6169</v>
      </c>
      <c r="Q55" s="44">
        <v>6314</v>
      </c>
      <c r="R55" s="44">
        <v>6545</v>
      </c>
      <c r="S55" s="44">
        <v>6556</v>
      </c>
      <c r="T55" s="44">
        <v>6398</v>
      </c>
      <c r="U55" s="44">
        <v>6575</v>
      </c>
      <c r="V55" s="44">
        <v>6804</v>
      </c>
      <c r="W55" s="44">
        <v>7058</v>
      </c>
      <c r="X55" s="7">
        <v>8.9509068167605843E-3</v>
      </c>
      <c r="Y55" s="8">
        <v>1.0111184286987211E-2</v>
      </c>
      <c r="Z55" s="8">
        <v>9.933266855871814E-3</v>
      </c>
      <c r="AA55" s="8">
        <v>1.9063532449777879E-2</v>
      </c>
    </row>
    <row r="56" spans="2:27" x14ac:dyDescent="0.3">
      <c r="B56" s="13" t="s">
        <v>65</v>
      </c>
      <c r="C56" s="3" t="s">
        <v>499</v>
      </c>
      <c r="D56" s="3" t="s">
        <v>539</v>
      </c>
      <c r="E56" s="3" t="s">
        <v>503</v>
      </c>
      <c r="F56" s="5">
        <v>1.9</v>
      </c>
      <c r="G56" s="44">
        <v>1890</v>
      </c>
      <c r="H56" s="44">
        <v>1547</v>
      </c>
      <c r="I56" s="44">
        <v>1636</v>
      </c>
      <c r="J56" s="44">
        <v>1640</v>
      </c>
      <c r="K56" s="44">
        <v>2019</v>
      </c>
      <c r="L56" s="44">
        <v>1645</v>
      </c>
      <c r="M56" s="44">
        <v>1687</v>
      </c>
      <c r="N56" s="44">
        <v>1708</v>
      </c>
      <c r="O56" s="44">
        <v>2036</v>
      </c>
      <c r="P56" s="44">
        <v>1598</v>
      </c>
      <c r="Q56" s="44">
        <v>1763</v>
      </c>
      <c r="R56" s="44">
        <v>1826</v>
      </c>
      <c r="S56" s="44">
        <v>2362</v>
      </c>
      <c r="T56" s="44">
        <v>1787</v>
      </c>
      <c r="U56" s="44">
        <v>1932</v>
      </c>
      <c r="V56" s="44">
        <v>1979</v>
      </c>
      <c r="W56" s="44">
        <v>2514</v>
      </c>
      <c r="X56" s="7">
        <v>2.503642866604849E-2</v>
      </c>
      <c r="Y56" s="8">
        <v>2.184026880330836E-2</v>
      </c>
      <c r="Z56" s="8">
        <v>1.9349943088402769E-2</v>
      </c>
      <c r="AA56" s="8">
        <v>1.885856079404458E-2</v>
      </c>
    </row>
    <row r="57" spans="2:27" x14ac:dyDescent="0.3">
      <c r="B57" s="13" t="s">
        <v>73</v>
      </c>
      <c r="C57" s="3" t="s">
        <v>499</v>
      </c>
      <c r="D57" s="3" t="s">
        <v>528</v>
      </c>
      <c r="E57" s="3" t="s">
        <v>503</v>
      </c>
      <c r="F57" s="5">
        <v>1.9</v>
      </c>
      <c r="G57" s="44">
        <v>4589</v>
      </c>
      <c r="H57" s="44">
        <v>4343</v>
      </c>
      <c r="I57" s="44">
        <v>4484</v>
      </c>
      <c r="J57" s="44">
        <v>4576</v>
      </c>
      <c r="K57" s="44">
        <v>4938</v>
      </c>
      <c r="L57" s="44">
        <v>4707</v>
      </c>
      <c r="M57" s="44">
        <v>4817</v>
      </c>
      <c r="N57" s="44">
        <v>4822</v>
      </c>
      <c r="O57" s="44">
        <v>5206</v>
      </c>
      <c r="P57" s="44">
        <v>4650</v>
      </c>
      <c r="Q57" s="44">
        <v>4839</v>
      </c>
      <c r="R57" s="44">
        <v>4863</v>
      </c>
      <c r="S57" s="44">
        <v>5319</v>
      </c>
      <c r="T57" s="44">
        <v>4777</v>
      </c>
      <c r="U57" s="44">
        <v>5007</v>
      </c>
      <c r="V57" s="44">
        <v>5143</v>
      </c>
      <c r="W57" s="44">
        <v>5698</v>
      </c>
      <c r="X57" s="7">
        <v>6.4562045650957689E-3</v>
      </c>
      <c r="Y57" s="8">
        <v>8.4857056268310416E-3</v>
      </c>
      <c r="Z57" s="8">
        <v>1.4023840528899051E-2</v>
      </c>
      <c r="AA57" s="8">
        <v>1.8719747110540249E-2</v>
      </c>
    </row>
    <row r="58" spans="2:27" x14ac:dyDescent="0.3">
      <c r="B58" s="13" t="s">
        <v>173</v>
      </c>
      <c r="C58" s="3" t="s">
        <v>499</v>
      </c>
      <c r="D58" s="3" t="s">
        <v>540</v>
      </c>
      <c r="E58" s="3" t="s">
        <v>503</v>
      </c>
      <c r="F58" s="5">
        <v>1.8</v>
      </c>
      <c r="G58" s="44">
        <v>3054</v>
      </c>
      <c r="H58" s="44">
        <v>3162</v>
      </c>
      <c r="I58" s="44">
        <v>3510</v>
      </c>
      <c r="J58" s="44">
        <v>3259</v>
      </c>
      <c r="K58" s="44">
        <v>3012</v>
      </c>
      <c r="L58" s="44">
        <v>2974</v>
      </c>
      <c r="M58" s="44">
        <v>3109</v>
      </c>
      <c r="N58" s="44">
        <v>3069</v>
      </c>
      <c r="O58" s="44">
        <v>2858</v>
      </c>
      <c r="P58" s="44">
        <v>2784</v>
      </c>
      <c r="Q58" s="44">
        <v>3040</v>
      </c>
      <c r="R58" s="44">
        <v>3074</v>
      </c>
      <c r="S58" s="44">
        <v>2903</v>
      </c>
      <c r="T58" s="44">
        <v>2887</v>
      </c>
      <c r="U58" s="44">
        <v>3149</v>
      </c>
      <c r="V58" s="44">
        <v>3202</v>
      </c>
      <c r="W58" s="44">
        <v>3127</v>
      </c>
      <c r="X58" s="7">
        <v>8.7280738920429979E-3</v>
      </c>
      <c r="Y58" s="8">
        <v>9.1565860215054862E-3</v>
      </c>
      <c r="Z58" s="8">
        <v>1.0655123616082561E-2</v>
      </c>
      <c r="AA58" s="8">
        <v>1.8449880569969549E-2</v>
      </c>
    </row>
    <row r="59" spans="2:27" x14ac:dyDescent="0.3">
      <c r="B59" s="13" t="s">
        <v>41</v>
      </c>
      <c r="C59" s="3" t="s">
        <v>499</v>
      </c>
      <c r="D59" s="3" t="s">
        <v>514</v>
      </c>
      <c r="E59" s="3" t="s">
        <v>503</v>
      </c>
      <c r="F59" s="5">
        <v>1.8</v>
      </c>
      <c r="G59" s="44">
        <v>3291</v>
      </c>
      <c r="H59" s="44">
        <v>3296</v>
      </c>
      <c r="I59" s="44">
        <v>3671</v>
      </c>
      <c r="J59" s="44">
        <v>3799</v>
      </c>
      <c r="K59" s="44">
        <v>3644</v>
      </c>
      <c r="L59" s="44">
        <v>3708</v>
      </c>
      <c r="M59" s="44">
        <v>4069</v>
      </c>
      <c r="N59" s="44">
        <v>4203</v>
      </c>
      <c r="O59" s="44">
        <v>3832</v>
      </c>
      <c r="P59" s="44">
        <v>3976</v>
      </c>
      <c r="Q59" s="44">
        <v>4272</v>
      </c>
      <c r="R59" s="44">
        <v>4364</v>
      </c>
      <c r="S59" s="44">
        <v>4096</v>
      </c>
      <c r="T59" s="44">
        <v>4137</v>
      </c>
      <c r="U59" s="44">
        <v>4525</v>
      </c>
      <c r="V59" s="44">
        <v>4706</v>
      </c>
      <c r="W59" s="44">
        <v>4414</v>
      </c>
      <c r="X59" s="7">
        <v>9.6361024658846439E-3</v>
      </c>
      <c r="Y59" s="8">
        <v>1.4997925188215079E-2</v>
      </c>
      <c r="Z59" s="8">
        <v>1.9974302067515382E-2</v>
      </c>
      <c r="AA59" s="8">
        <v>1.8208886852954631E-2</v>
      </c>
    </row>
    <row r="60" spans="2:27" x14ac:dyDescent="0.3">
      <c r="B60" s="13" t="s">
        <v>271</v>
      </c>
      <c r="C60" s="3" t="s">
        <v>499</v>
      </c>
      <c r="D60" s="3" t="s">
        <v>541</v>
      </c>
      <c r="E60" s="3" t="s">
        <v>503</v>
      </c>
      <c r="F60" s="5">
        <v>1.7</v>
      </c>
      <c r="G60" s="44">
        <v>562.51</v>
      </c>
      <c r="H60" s="44">
        <v>823.57</v>
      </c>
      <c r="I60" s="44">
        <v>474.2</v>
      </c>
      <c r="J60" s="44">
        <v>462.61</v>
      </c>
      <c r="K60" s="44">
        <v>791.42</v>
      </c>
      <c r="L60" s="44">
        <v>921.2</v>
      </c>
      <c r="M60" s="44">
        <v>411.3</v>
      </c>
      <c r="N60" s="44">
        <v>407.1</v>
      </c>
      <c r="O60" s="44">
        <v>591.70000000000005</v>
      </c>
      <c r="P60" s="44">
        <v>726.4</v>
      </c>
      <c r="Q60" s="44">
        <v>402.6</v>
      </c>
      <c r="R60" s="44">
        <v>401.6</v>
      </c>
      <c r="S60" s="44">
        <v>597.1</v>
      </c>
      <c r="T60" s="44">
        <v>805.2</v>
      </c>
      <c r="U60" s="44">
        <v>439</v>
      </c>
      <c r="V60" s="44">
        <v>430.2</v>
      </c>
      <c r="W60" s="44">
        <v>635.5</v>
      </c>
      <c r="X60" s="7">
        <v>3.703529632936986E-2</v>
      </c>
      <c r="Y60" s="8">
        <v>1.6496714253342541E-2</v>
      </c>
      <c r="Z60" s="8">
        <v>1.275134870034322E-2</v>
      </c>
      <c r="AA60" s="8">
        <v>1.6905128769535649E-2</v>
      </c>
    </row>
    <row r="61" spans="2:27" x14ac:dyDescent="0.3">
      <c r="B61" s="13" t="s">
        <v>45</v>
      </c>
      <c r="C61" s="3" t="s">
        <v>499</v>
      </c>
      <c r="D61" s="3" t="s">
        <v>542</v>
      </c>
      <c r="E61" s="3" t="s">
        <v>501</v>
      </c>
      <c r="F61" s="5">
        <v>1.6</v>
      </c>
      <c r="G61" s="44">
        <v>5862</v>
      </c>
      <c r="H61" s="44">
        <v>6098</v>
      </c>
      <c r="I61" s="44">
        <v>6614</v>
      </c>
      <c r="J61" s="44">
        <v>6725</v>
      </c>
      <c r="K61" s="44">
        <v>6068</v>
      </c>
      <c r="L61" s="44">
        <v>6686</v>
      </c>
      <c r="M61" s="44">
        <v>7133</v>
      </c>
      <c r="N61" s="44">
        <v>0</v>
      </c>
      <c r="O61" s="44">
        <v>5209</v>
      </c>
      <c r="P61" s="44">
        <v>5597</v>
      </c>
      <c r="Q61" s="44">
        <v>5898</v>
      </c>
      <c r="R61" s="45">
        <v>6248</v>
      </c>
      <c r="S61" s="44">
        <v>5426</v>
      </c>
      <c r="T61" s="44">
        <v>5676</v>
      </c>
      <c r="U61" s="44">
        <v>6052</v>
      </c>
      <c r="V61" s="44">
        <v>6442</v>
      </c>
      <c r="W61" s="44">
        <v>5797</v>
      </c>
      <c r="X61" s="7">
        <v>3.4097285165521911E-3</v>
      </c>
      <c r="Y61" s="8">
        <v>6.6242257398485549E-3</v>
      </c>
      <c r="Z61" s="8">
        <v>8.2898897530125915E-3</v>
      </c>
      <c r="AA61" s="8">
        <v>1.572300389896597E-2</v>
      </c>
    </row>
    <row r="62" spans="2:27" x14ac:dyDescent="0.3">
      <c r="B62" s="13" t="s">
        <v>34</v>
      </c>
      <c r="C62" s="3" t="s">
        <v>499</v>
      </c>
      <c r="D62" s="3" t="s">
        <v>507</v>
      </c>
      <c r="E62" s="3" t="s">
        <v>503</v>
      </c>
      <c r="F62" s="5">
        <v>1.6</v>
      </c>
      <c r="G62" s="44">
        <v>7076</v>
      </c>
      <c r="H62" s="44">
        <v>7190</v>
      </c>
      <c r="I62" s="44">
        <v>6929</v>
      </c>
      <c r="J62" s="44">
        <v>7829</v>
      </c>
      <c r="K62" s="44">
        <v>7376</v>
      </c>
      <c r="L62" s="44">
        <v>6951</v>
      </c>
      <c r="M62" s="44">
        <v>7178</v>
      </c>
      <c r="N62" s="44">
        <v>8147</v>
      </c>
      <c r="O62" s="44">
        <v>8052</v>
      </c>
      <c r="P62" s="44">
        <v>7363</v>
      </c>
      <c r="Q62" s="44">
        <v>7884</v>
      </c>
      <c r="R62" s="44">
        <v>8012</v>
      </c>
      <c r="S62" s="44">
        <v>8117</v>
      </c>
      <c r="T62" s="44">
        <v>7516</v>
      </c>
      <c r="U62" s="44">
        <v>7986</v>
      </c>
      <c r="V62" s="44">
        <v>8547</v>
      </c>
      <c r="W62" s="44">
        <v>8618</v>
      </c>
      <c r="X62" s="7">
        <v>4.8763386027537159E-3</v>
      </c>
      <c r="Y62" s="8">
        <v>3.2351168765263338E-3</v>
      </c>
      <c r="Z62" s="8">
        <v>1.6913787107584399E-2</v>
      </c>
      <c r="AA62" s="8">
        <v>1.5575452340981229E-2</v>
      </c>
    </row>
    <row r="63" spans="2:27" x14ac:dyDescent="0.3">
      <c r="B63" s="13" t="s">
        <v>104</v>
      </c>
      <c r="C63" s="3" t="s">
        <v>499</v>
      </c>
      <c r="D63" s="3" t="s">
        <v>506</v>
      </c>
      <c r="E63" s="3" t="s">
        <v>503</v>
      </c>
      <c r="F63" s="5">
        <v>1.5</v>
      </c>
      <c r="G63" s="44">
        <v>1962</v>
      </c>
      <c r="H63" s="44">
        <v>1863</v>
      </c>
      <c r="I63" s="44">
        <v>1513</v>
      </c>
      <c r="J63" s="44">
        <v>1588</v>
      </c>
      <c r="K63" s="44">
        <v>1524</v>
      </c>
      <c r="L63" s="44">
        <v>1538</v>
      </c>
      <c r="M63" s="44">
        <v>1610</v>
      </c>
      <c r="N63" s="44">
        <v>1671</v>
      </c>
      <c r="O63" s="44">
        <v>1642</v>
      </c>
      <c r="P63" s="44">
        <v>1750</v>
      </c>
      <c r="Q63" s="44">
        <v>1733</v>
      </c>
      <c r="R63" s="44">
        <v>1786</v>
      </c>
      <c r="S63" s="44">
        <v>1825</v>
      </c>
      <c r="T63" s="44">
        <v>1764</v>
      </c>
      <c r="U63" s="44">
        <v>1723</v>
      </c>
      <c r="V63" s="44">
        <v>1894</v>
      </c>
      <c r="W63" s="44">
        <v>1934</v>
      </c>
      <c r="X63" s="7">
        <v>1.973498731322243E-3</v>
      </c>
      <c r="Y63" s="8">
        <v>-1.406865503657873E-3</v>
      </c>
      <c r="Z63" s="8">
        <v>1.5215553677092149E-2</v>
      </c>
      <c r="AA63" s="8">
        <v>1.5126283652511899E-2</v>
      </c>
    </row>
    <row r="64" spans="2:27" x14ac:dyDescent="0.3">
      <c r="B64" s="13" t="s">
        <v>126</v>
      </c>
      <c r="C64" s="3" t="s">
        <v>499</v>
      </c>
      <c r="D64" s="3" t="s">
        <v>543</v>
      </c>
      <c r="E64" s="3" t="s">
        <v>503</v>
      </c>
      <c r="F64" s="5">
        <v>1.5</v>
      </c>
      <c r="G64" s="44">
        <v>5537</v>
      </c>
      <c r="H64" s="44">
        <v>5949</v>
      </c>
      <c r="I64" s="44">
        <v>6146</v>
      </c>
      <c r="J64" s="44">
        <v>6216</v>
      </c>
      <c r="K64" s="44">
        <v>5438</v>
      </c>
      <c r="L64" s="44">
        <v>5103</v>
      </c>
      <c r="M64" s="44">
        <v>5626</v>
      </c>
      <c r="N64" s="44">
        <v>5628</v>
      </c>
      <c r="O64" s="44">
        <v>5019</v>
      </c>
      <c r="P64" s="44">
        <v>4873</v>
      </c>
      <c r="Q64" s="44">
        <v>5423</v>
      </c>
      <c r="R64" s="44">
        <v>5517</v>
      </c>
      <c r="S64" s="44">
        <v>5186</v>
      </c>
      <c r="T64" s="44">
        <v>5199</v>
      </c>
      <c r="U64" s="44">
        <v>5977</v>
      </c>
      <c r="V64" s="44">
        <v>5737</v>
      </c>
      <c r="W64" s="44">
        <v>5511</v>
      </c>
      <c r="X64" s="7">
        <v>1.5524548788037549E-2</v>
      </c>
      <c r="Y64" s="8">
        <v>2.5978898007033902E-2</v>
      </c>
      <c r="Z64" s="8">
        <v>1.00553041729512E-2</v>
      </c>
      <c r="AA64" s="8">
        <v>1.470654780759317E-2</v>
      </c>
    </row>
    <row r="65" spans="2:27" x14ac:dyDescent="0.3">
      <c r="B65" s="13" t="s">
        <v>248</v>
      </c>
      <c r="C65" s="3" t="s">
        <v>499</v>
      </c>
      <c r="D65" s="3" t="s">
        <v>516</v>
      </c>
      <c r="E65" s="3" t="s">
        <v>503</v>
      </c>
      <c r="F65" s="5">
        <v>1.4</v>
      </c>
      <c r="G65" s="44">
        <v>497.54</v>
      </c>
      <c r="H65" s="44">
        <v>517.6</v>
      </c>
      <c r="I65" s="44">
        <v>598.20000000000005</v>
      </c>
      <c r="J65" s="44">
        <v>616.1</v>
      </c>
      <c r="K65" s="44">
        <v>618.70000000000005</v>
      </c>
      <c r="L65" s="44">
        <v>612</v>
      </c>
      <c r="M65" s="44">
        <v>621.29999999999995</v>
      </c>
      <c r="N65" s="44">
        <v>651.4</v>
      </c>
      <c r="O65" s="44">
        <v>663.3</v>
      </c>
      <c r="P65" s="44">
        <v>652.70000000000005</v>
      </c>
      <c r="Q65" s="44">
        <v>673.5</v>
      </c>
      <c r="R65" s="44">
        <v>665.5</v>
      </c>
      <c r="S65" s="44">
        <v>636.5</v>
      </c>
      <c r="T65" s="44">
        <v>636.6</v>
      </c>
      <c r="U65" s="44">
        <v>659.6</v>
      </c>
      <c r="V65" s="44">
        <v>691.8</v>
      </c>
      <c r="W65" s="44">
        <v>672.9</v>
      </c>
      <c r="X65" s="7">
        <v>-6.1258656114450138E-3</v>
      </c>
      <c r="Y65" s="8">
        <v>-5.3213889207917031E-3</v>
      </c>
      <c r="Z65" s="8">
        <v>1.0122392425525369E-2</v>
      </c>
      <c r="AA65" s="8">
        <v>1.3869308439702801E-2</v>
      </c>
    </row>
    <row r="66" spans="2:27" x14ac:dyDescent="0.3">
      <c r="B66" s="13" t="s">
        <v>47</v>
      </c>
      <c r="C66" s="3" t="s">
        <v>499</v>
      </c>
      <c r="D66" s="3" t="s">
        <v>532</v>
      </c>
      <c r="E66" s="3" t="s">
        <v>501</v>
      </c>
      <c r="F66" s="5">
        <v>1.4</v>
      </c>
      <c r="G66" s="44">
        <v>59629</v>
      </c>
      <c r="H66" s="44">
        <v>57719</v>
      </c>
      <c r="I66" s="44">
        <v>60065</v>
      </c>
      <c r="J66" s="44">
        <v>61174</v>
      </c>
      <c r="K66" s="44">
        <v>62847</v>
      </c>
      <c r="L66" s="44">
        <v>63457</v>
      </c>
      <c r="M66" s="44">
        <v>66947</v>
      </c>
      <c r="N66" s="44">
        <v>68922</v>
      </c>
      <c r="O66" s="44">
        <v>72253</v>
      </c>
      <c r="P66" s="44">
        <v>68414</v>
      </c>
      <c r="Q66" s="44">
        <v>74241</v>
      </c>
      <c r="R66" s="44">
        <v>79050</v>
      </c>
      <c r="S66" s="44">
        <v>81487</v>
      </c>
      <c r="T66" s="44">
        <v>75454</v>
      </c>
      <c r="U66" s="44">
        <v>80664</v>
      </c>
      <c r="V66" s="44">
        <v>83729</v>
      </c>
      <c r="W66" s="44">
        <v>85932</v>
      </c>
      <c r="X66" s="7">
        <v>2.3219610016095519E-2</v>
      </c>
      <c r="Y66" s="8">
        <v>2.0703860336780181E-2</v>
      </c>
      <c r="Z66" s="8">
        <v>1.477633386493182E-2</v>
      </c>
      <c r="AA66" s="8">
        <v>1.383295885278257E-2</v>
      </c>
    </row>
    <row r="67" spans="2:27" x14ac:dyDescent="0.3">
      <c r="B67" s="13" t="s">
        <v>194</v>
      </c>
      <c r="C67" s="3" t="s">
        <v>499</v>
      </c>
      <c r="D67" s="3" t="s">
        <v>544</v>
      </c>
      <c r="E67" s="3" t="s">
        <v>503</v>
      </c>
      <c r="F67" s="5">
        <v>1.3</v>
      </c>
      <c r="G67" s="44">
        <v>1031</v>
      </c>
      <c r="H67" s="44">
        <v>973.22</v>
      </c>
      <c r="I67" s="44">
        <v>969.55</v>
      </c>
      <c r="J67" s="44">
        <v>890.35</v>
      </c>
      <c r="K67" s="44">
        <v>901.52</v>
      </c>
      <c r="L67" s="44">
        <v>943.15</v>
      </c>
      <c r="M67" s="44">
        <v>1002</v>
      </c>
      <c r="N67" s="44">
        <v>960.21</v>
      </c>
      <c r="O67" s="44">
        <v>956.73</v>
      </c>
      <c r="P67" s="44">
        <v>997.43</v>
      </c>
      <c r="Q67" s="44">
        <v>1028</v>
      </c>
      <c r="R67" s="44">
        <v>977.87</v>
      </c>
      <c r="S67" s="44">
        <v>995.22</v>
      </c>
      <c r="T67" s="44">
        <v>979.26</v>
      </c>
      <c r="U67" s="44">
        <v>1012</v>
      </c>
      <c r="V67" s="44">
        <v>995.69</v>
      </c>
      <c r="W67" s="44">
        <v>1048</v>
      </c>
      <c r="X67" s="7">
        <v>-4.5441813470984416E-3</v>
      </c>
      <c r="Y67" s="8">
        <v>-4.0197470071727803E-3</v>
      </c>
      <c r="Z67" s="8">
        <v>4.4950622422339492E-3</v>
      </c>
      <c r="AA67" s="8">
        <v>1.3254080061875669E-2</v>
      </c>
    </row>
    <row r="68" spans="2:27" x14ac:dyDescent="0.3">
      <c r="B68" s="13" t="s">
        <v>24</v>
      </c>
      <c r="C68" s="3" t="s">
        <v>499</v>
      </c>
      <c r="D68" s="3" t="s">
        <v>504</v>
      </c>
      <c r="E68" s="3" t="s">
        <v>501</v>
      </c>
      <c r="F68" s="5">
        <v>1.3</v>
      </c>
      <c r="G68" s="44">
        <v>10705</v>
      </c>
      <c r="H68" s="44">
        <v>11164</v>
      </c>
      <c r="I68" s="44">
        <v>10936</v>
      </c>
      <c r="J68" s="44">
        <v>0</v>
      </c>
      <c r="K68" s="44">
        <v>9463</v>
      </c>
      <c r="L68" s="44">
        <v>9275</v>
      </c>
      <c r="M68" s="44">
        <v>8451</v>
      </c>
      <c r="N68" s="45">
        <v>8631</v>
      </c>
      <c r="O68" s="44">
        <v>9935</v>
      </c>
      <c r="P68" s="44">
        <v>9389</v>
      </c>
      <c r="Q68" s="44">
        <v>9393</v>
      </c>
      <c r="R68" s="44">
        <v>10244</v>
      </c>
      <c r="S68" s="44">
        <v>11669</v>
      </c>
      <c r="T68" s="44">
        <v>10979</v>
      </c>
      <c r="U68" s="44">
        <v>10365</v>
      </c>
      <c r="V68" s="44">
        <v>11271</v>
      </c>
      <c r="W68" s="44">
        <v>12252</v>
      </c>
      <c r="X68" s="7">
        <v>3.9071138960560248E-2</v>
      </c>
      <c r="Y68" s="8">
        <v>2.2986874778290201E-2</v>
      </c>
      <c r="Z68" s="8">
        <v>2.3741822132834049E-2</v>
      </c>
      <c r="AA68" s="8">
        <v>1.316502574293188E-2</v>
      </c>
    </row>
    <row r="69" spans="2:27" x14ac:dyDescent="0.3">
      <c r="B69" s="13" t="s">
        <v>133</v>
      </c>
      <c r="C69" s="3" t="s">
        <v>499</v>
      </c>
      <c r="D69" s="3" t="s">
        <v>545</v>
      </c>
      <c r="E69" s="3" t="s">
        <v>522</v>
      </c>
      <c r="F69" s="5">
        <v>1.3</v>
      </c>
      <c r="G69" s="44">
        <v>11220</v>
      </c>
      <c r="H69" s="44">
        <v>12097</v>
      </c>
      <c r="I69" s="44">
        <v>13490</v>
      </c>
      <c r="J69" s="44">
        <v>14719</v>
      </c>
      <c r="K69" s="44">
        <v>13899</v>
      </c>
      <c r="L69" s="44">
        <v>13771</v>
      </c>
      <c r="M69" s="44">
        <v>10965</v>
      </c>
      <c r="N69" s="44">
        <v>14939</v>
      </c>
      <c r="O69" s="44">
        <v>14296</v>
      </c>
      <c r="P69" s="44">
        <v>13858</v>
      </c>
      <c r="Q69" s="44">
        <v>11589</v>
      </c>
      <c r="R69" s="44">
        <v>15416</v>
      </c>
      <c r="S69" s="44">
        <v>15638</v>
      </c>
      <c r="T69" s="44">
        <v>15306</v>
      </c>
      <c r="U69" s="44">
        <v>13539</v>
      </c>
      <c r="V69" s="44">
        <v>17076</v>
      </c>
      <c r="W69" s="44">
        <v>16445</v>
      </c>
      <c r="X69" s="7">
        <v>2.5627864993539969E-2</v>
      </c>
      <c r="Y69" s="8">
        <v>3.3650278693333702E-2</v>
      </c>
      <c r="Z69" s="8">
        <v>2.7713317417653149E-2</v>
      </c>
      <c r="AA69" s="8">
        <v>1.310937474617857E-2</v>
      </c>
    </row>
    <row r="70" spans="2:27" x14ac:dyDescent="0.3">
      <c r="B70" s="13" t="s">
        <v>133</v>
      </c>
      <c r="C70" s="3" t="s">
        <v>499</v>
      </c>
      <c r="D70" s="3" t="s">
        <v>545</v>
      </c>
      <c r="E70" s="3" t="s">
        <v>522</v>
      </c>
      <c r="F70" s="5">
        <v>1.3</v>
      </c>
      <c r="G70" s="44">
        <v>11220</v>
      </c>
      <c r="H70" s="44">
        <v>12097</v>
      </c>
      <c r="I70" s="44">
        <v>13490</v>
      </c>
      <c r="J70" s="44">
        <v>14719</v>
      </c>
      <c r="K70" s="44">
        <v>13899</v>
      </c>
      <c r="L70" s="44">
        <v>13771</v>
      </c>
      <c r="M70" s="44">
        <v>10965</v>
      </c>
      <c r="N70" s="44">
        <v>14939</v>
      </c>
      <c r="O70" s="44">
        <v>14296</v>
      </c>
      <c r="P70" s="44">
        <v>13858</v>
      </c>
      <c r="Q70" s="44">
        <v>11589</v>
      </c>
      <c r="R70" s="44">
        <v>15416</v>
      </c>
      <c r="S70" s="44">
        <v>15638</v>
      </c>
      <c r="T70" s="44">
        <v>15306</v>
      </c>
      <c r="U70" s="44">
        <v>13539</v>
      </c>
      <c r="V70" s="44">
        <v>17076</v>
      </c>
      <c r="W70" s="44">
        <v>16445</v>
      </c>
      <c r="X70" s="7">
        <v>2.5627864993539969E-2</v>
      </c>
      <c r="Y70" s="8">
        <v>3.3650278693333702E-2</v>
      </c>
      <c r="Z70" s="8">
        <v>2.7713317417653149E-2</v>
      </c>
      <c r="AA70" s="8">
        <v>1.310937474617857E-2</v>
      </c>
    </row>
    <row r="71" spans="2:27" x14ac:dyDescent="0.3">
      <c r="B71" s="13" t="s">
        <v>383</v>
      </c>
      <c r="C71" s="3" t="s">
        <v>499</v>
      </c>
      <c r="D71" s="3" t="s">
        <v>546</v>
      </c>
      <c r="E71" s="3" t="s">
        <v>501</v>
      </c>
      <c r="F71" s="5">
        <v>1.3</v>
      </c>
      <c r="G71" s="44">
        <v>129.22</v>
      </c>
      <c r="H71" s="44">
        <v>207.66</v>
      </c>
      <c r="I71" s="44">
        <v>206.08</v>
      </c>
      <c r="J71" s="44">
        <v>257.67</v>
      </c>
      <c r="K71" s="45">
        <v>235.73</v>
      </c>
      <c r="L71" s="45">
        <v>299.81</v>
      </c>
      <c r="M71" s="44">
        <v>294.27999999999997</v>
      </c>
      <c r="N71" s="44">
        <v>302.95999999999998</v>
      </c>
      <c r="O71" s="44">
        <v>317.66000000000003</v>
      </c>
      <c r="P71" s="44">
        <v>345.92</v>
      </c>
      <c r="Q71" s="44">
        <v>333.37</v>
      </c>
      <c r="R71" s="44">
        <v>350.21</v>
      </c>
      <c r="S71" s="44">
        <v>313.87</v>
      </c>
      <c r="T71" s="44">
        <v>358.85</v>
      </c>
      <c r="U71" s="44">
        <v>398.01</v>
      </c>
      <c r="V71" s="44">
        <v>409.37</v>
      </c>
      <c r="W71" s="44">
        <v>333.08</v>
      </c>
      <c r="X71" s="7">
        <v>9.6250474552803666E-3</v>
      </c>
      <c r="Y71" s="8">
        <v>4.7659072476590847E-2</v>
      </c>
      <c r="Z71" s="8">
        <v>4.1634411023688367E-2</v>
      </c>
      <c r="AA71" s="8">
        <v>1.297885278021749E-2</v>
      </c>
    </row>
    <row r="72" spans="2:27" x14ac:dyDescent="0.3">
      <c r="B72" s="13" t="s">
        <v>61</v>
      </c>
      <c r="C72" s="3" t="s">
        <v>499</v>
      </c>
      <c r="D72" s="3" t="s">
        <v>524</v>
      </c>
      <c r="E72" s="3" t="s">
        <v>503</v>
      </c>
      <c r="F72" s="5">
        <v>1.3</v>
      </c>
      <c r="G72" s="44">
        <v>13011</v>
      </c>
      <c r="H72" s="44">
        <v>12336</v>
      </c>
      <c r="I72" s="44">
        <v>12219</v>
      </c>
      <c r="J72" s="44">
        <v>13208</v>
      </c>
      <c r="K72" s="44">
        <v>13648</v>
      </c>
      <c r="L72" s="44">
        <v>13786</v>
      </c>
      <c r="M72" s="44">
        <v>13979</v>
      </c>
      <c r="N72" s="44">
        <v>14497</v>
      </c>
      <c r="O72" s="44">
        <v>14832</v>
      </c>
      <c r="P72" s="44">
        <v>15259</v>
      </c>
      <c r="Q72" s="44">
        <v>15714</v>
      </c>
      <c r="R72" s="44">
        <v>16627</v>
      </c>
      <c r="S72" s="44">
        <v>16506</v>
      </c>
      <c r="T72" s="44">
        <v>16452</v>
      </c>
      <c r="U72" s="44">
        <v>16633</v>
      </c>
      <c r="V72" s="44">
        <v>17255</v>
      </c>
      <c r="W72" s="44">
        <v>17345</v>
      </c>
      <c r="X72" s="7">
        <v>1.8609802514585331E-2</v>
      </c>
      <c r="Y72" s="8">
        <v>1.4073722415350881E-2</v>
      </c>
      <c r="Z72" s="8">
        <v>9.4838261499894383E-3</v>
      </c>
      <c r="AA72" s="8">
        <v>1.2551237172007349E-2</v>
      </c>
    </row>
    <row r="73" spans="2:27" x14ac:dyDescent="0.3">
      <c r="B73" s="13" t="s">
        <v>69</v>
      </c>
      <c r="C73" s="3" t="s">
        <v>499</v>
      </c>
      <c r="D73" s="3" t="s">
        <v>543</v>
      </c>
      <c r="E73" s="3" t="s">
        <v>503</v>
      </c>
      <c r="F73" s="5">
        <v>1.2</v>
      </c>
      <c r="G73" s="44">
        <v>4777</v>
      </c>
      <c r="H73" s="44">
        <v>4826</v>
      </c>
      <c r="I73" s="44">
        <v>4906</v>
      </c>
      <c r="J73" s="44">
        <v>4857</v>
      </c>
      <c r="K73" s="44">
        <v>4839</v>
      </c>
      <c r="L73" s="44">
        <v>4812</v>
      </c>
      <c r="M73" s="44">
        <v>4886</v>
      </c>
      <c r="N73" s="44">
        <v>4897</v>
      </c>
      <c r="O73" s="44">
        <v>4758</v>
      </c>
      <c r="P73" s="44">
        <v>4760</v>
      </c>
      <c r="Q73" s="44">
        <v>4850</v>
      </c>
      <c r="R73" s="44">
        <v>5044</v>
      </c>
      <c r="S73" s="44">
        <v>5082</v>
      </c>
      <c r="T73" s="44">
        <v>5115</v>
      </c>
      <c r="U73" s="44">
        <v>5245</v>
      </c>
      <c r="V73" s="44">
        <v>5415</v>
      </c>
      <c r="W73" s="44">
        <v>5333</v>
      </c>
      <c r="X73" s="7">
        <v>1.7987434130522839E-2</v>
      </c>
      <c r="Y73" s="8">
        <v>1.966054452242294E-2</v>
      </c>
      <c r="Z73" s="8">
        <v>1.8109928731816941E-2</v>
      </c>
      <c r="AA73" s="8">
        <v>1.2034329002253539E-2</v>
      </c>
    </row>
    <row r="74" spans="2:27" x14ac:dyDescent="0.3">
      <c r="B74" s="13" t="s">
        <v>233</v>
      </c>
      <c r="C74" s="3" t="s">
        <v>499</v>
      </c>
      <c r="D74" s="3" t="s">
        <v>514</v>
      </c>
      <c r="E74" s="3" t="s">
        <v>503</v>
      </c>
      <c r="F74" s="5">
        <v>1.2</v>
      </c>
      <c r="G74" s="44">
        <v>4880</v>
      </c>
      <c r="H74" s="44">
        <v>5208</v>
      </c>
      <c r="I74" s="44">
        <v>5071</v>
      </c>
      <c r="J74" s="44">
        <v>5241</v>
      </c>
      <c r="K74" s="44">
        <v>5371</v>
      </c>
      <c r="L74" s="44">
        <v>5846</v>
      </c>
      <c r="M74" s="44">
        <v>5999</v>
      </c>
      <c r="N74" s="44">
        <v>5781</v>
      </c>
      <c r="O74" s="44">
        <v>5841</v>
      </c>
      <c r="P74" s="44">
        <v>5995</v>
      </c>
      <c r="Q74" s="44">
        <v>6012</v>
      </c>
      <c r="R74" s="44">
        <v>5584</v>
      </c>
      <c r="S74" s="44">
        <v>5715</v>
      </c>
      <c r="T74" s="44">
        <v>5560</v>
      </c>
      <c r="U74" s="44">
        <v>6030</v>
      </c>
      <c r="V74" s="44">
        <v>5680</v>
      </c>
      <c r="W74" s="44">
        <v>5989</v>
      </c>
      <c r="X74" s="7">
        <v>-1.8664721530936231E-2</v>
      </c>
      <c r="Y74" s="8">
        <v>7.870228673867441E-4</v>
      </c>
      <c r="Z74" s="8">
        <v>4.194154397308747E-3</v>
      </c>
      <c r="AA74" s="8">
        <v>1.1920817924733431E-2</v>
      </c>
    </row>
    <row r="75" spans="2:27" x14ac:dyDescent="0.3">
      <c r="B75" s="13" t="s">
        <v>385</v>
      </c>
      <c r="C75" s="3" t="s">
        <v>499</v>
      </c>
      <c r="D75" s="3" t="s">
        <v>547</v>
      </c>
      <c r="E75" s="3" t="s">
        <v>503</v>
      </c>
      <c r="F75" s="5">
        <v>1.1000000000000001</v>
      </c>
      <c r="G75" s="44">
        <v>496.88</v>
      </c>
      <c r="H75" s="44">
        <v>500.11</v>
      </c>
      <c r="I75" s="44">
        <v>629.85</v>
      </c>
      <c r="J75" s="44">
        <v>560.33000000000004</v>
      </c>
      <c r="K75" s="44">
        <v>611.54999999999995</v>
      </c>
      <c r="L75" s="44">
        <v>649.69000000000005</v>
      </c>
      <c r="M75" s="44">
        <v>683.81</v>
      </c>
      <c r="N75" s="44">
        <v>565.36</v>
      </c>
      <c r="O75" s="44">
        <v>611</v>
      </c>
      <c r="P75" s="44">
        <v>656.41</v>
      </c>
      <c r="Q75" s="44">
        <v>666.28</v>
      </c>
      <c r="R75" s="44">
        <v>562.20000000000005</v>
      </c>
      <c r="S75" s="44">
        <v>627.71</v>
      </c>
      <c r="T75" s="44">
        <v>699.07</v>
      </c>
      <c r="U75" s="44">
        <v>689.38</v>
      </c>
      <c r="V75" s="44">
        <v>561.92999999999995</v>
      </c>
      <c r="W75" s="44">
        <v>656.19</v>
      </c>
      <c r="X75" s="7">
        <v>1.6978428719255149E-2</v>
      </c>
      <c r="Y75" s="8">
        <v>9.0401759507838797E-3</v>
      </c>
      <c r="Z75" s="8">
        <v>-1.047177275477207E-4</v>
      </c>
      <c r="AA75" s="8">
        <v>1.104693784933808E-2</v>
      </c>
    </row>
    <row r="76" spans="2:27" x14ac:dyDescent="0.3">
      <c r="B76" s="13" t="s">
        <v>162</v>
      </c>
      <c r="C76" s="3" t="s">
        <v>499</v>
      </c>
      <c r="D76" s="3" t="s">
        <v>517</v>
      </c>
      <c r="E76" s="3" t="s">
        <v>503</v>
      </c>
      <c r="F76" s="5">
        <v>1.1000000000000001</v>
      </c>
      <c r="G76" s="44">
        <v>714.8</v>
      </c>
      <c r="H76" s="44">
        <v>751.1</v>
      </c>
      <c r="I76" s="44">
        <v>796.1</v>
      </c>
      <c r="J76" s="44">
        <v>824</v>
      </c>
      <c r="K76" s="44">
        <v>810.7</v>
      </c>
      <c r="L76" s="44">
        <v>845.4</v>
      </c>
      <c r="M76" s="44">
        <v>846.2</v>
      </c>
      <c r="N76" s="44">
        <v>793.4</v>
      </c>
      <c r="O76" s="44">
        <v>788.9</v>
      </c>
      <c r="P76" s="44">
        <v>800.5</v>
      </c>
      <c r="Q76" s="44">
        <v>807.2</v>
      </c>
      <c r="R76" s="44">
        <v>798.2</v>
      </c>
      <c r="S76" s="44">
        <v>862.9</v>
      </c>
      <c r="T76" s="44">
        <v>814.3</v>
      </c>
      <c r="U76" s="44">
        <v>865.4</v>
      </c>
      <c r="V76" s="44">
        <v>878.7</v>
      </c>
      <c r="W76" s="44">
        <v>899.1</v>
      </c>
      <c r="X76" s="7">
        <v>4.2217327459617149E-3</v>
      </c>
      <c r="Y76" s="8">
        <v>1.7729848290988889E-2</v>
      </c>
      <c r="Z76" s="8">
        <v>2.4096024904214589E-2</v>
      </c>
      <c r="AA76" s="8">
        <v>1.058077339023167E-2</v>
      </c>
    </row>
    <row r="77" spans="2:27" x14ac:dyDescent="0.3">
      <c r="B77" s="13" t="s">
        <v>186</v>
      </c>
      <c r="C77" s="3" t="s">
        <v>499</v>
      </c>
      <c r="D77" s="3" t="s">
        <v>517</v>
      </c>
      <c r="E77" s="3" t="s">
        <v>503</v>
      </c>
      <c r="F77" s="5">
        <v>1.1000000000000001</v>
      </c>
      <c r="G77" s="44">
        <v>1217</v>
      </c>
      <c r="H77" s="44">
        <v>1299</v>
      </c>
      <c r="I77" s="44">
        <v>1349</v>
      </c>
      <c r="J77" s="44">
        <v>1325</v>
      </c>
      <c r="K77" s="44">
        <v>1245</v>
      </c>
      <c r="L77" s="44">
        <v>1224</v>
      </c>
      <c r="M77" s="44">
        <v>1769</v>
      </c>
      <c r="N77" s="44">
        <v>1650</v>
      </c>
      <c r="O77" s="44">
        <v>1608</v>
      </c>
      <c r="P77" s="44">
        <v>1548</v>
      </c>
      <c r="Q77" s="44">
        <v>1548</v>
      </c>
      <c r="R77" s="44">
        <v>1477</v>
      </c>
      <c r="S77" s="44">
        <v>1461</v>
      </c>
      <c r="T77" s="44">
        <v>1418</v>
      </c>
      <c r="U77" s="44">
        <v>1496</v>
      </c>
      <c r="V77" s="44">
        <v>1497</v>
      </c>
      <c r="W77" s="44">
        <v>1523</v>
      </c>
      <c r="X77" s="7">
        <v>-2.1544580709313869E-2</v>
      </c>
      <c r="Y77" s="8">
        <v>-8.807588075880779E-3</v>
      </c>
      <c r="Z77" s="8">
        <v>3.41763499658243E-3</v>
      </c>
      <c r="AA77" s="8">
        <v>1.055858310626712E-2</v>
      </c>
    </row>
    <row r="78" spans="2:27" x14ac:dyDescent="0.3">
      <c r="B78" s="13" t="s">
        <v>376</v>
      </c>
      <c r="C78" s="3" t="s">
        <v>499</v>
      </c>
      <c r="D78" s="3" t="s">
        <v>514</v>
      </c>
      <c r="E78" s="3" t="s">
        <v>501</v>
      </c>
      <c r="F78" s="5">
        <v>1</v>
      </c>
      <c r="G78" s="44">
        <v>3480</v>
      </c>
      <c r="H78" s="44">
        <v>3506</v>
      </c>
      <c r="I78" s="44">
        <v>3485</v>
      </c>
      <c r="J78" s="44">
        <v>3650</v>
      </c>
      <c r="K78" s="44">
        <v>3699</v>
      </c>
      <c r="L78" s="44">
        <v>3912</v>
      </c>
      <c r="M78" s="44">
        <v>4055</v>
      </c>
      <c r="N78" s="44">
        <v>3729</v>
      </c>
      <c r="O78" s="44">
        <v>3660</v>
      </c>
      <c r="P78" s="44">
        <v>3750</v>
      </c>
      <c r="Q78" s="44">
        <v>3716</v>
      </c>
      <c r="R78" s="44">
        <v>3562</v>
      </c>
      <c r="S78" s="44">
        <v>3495</v>
      </c>
      <c r="T78" s="44">
        <v>3611</v>
      </c>
      <c r="U78" s="44">
        <v>3741</v>
      </c>
      <c r="V78" s="44">
        <v>3688</v>
      </c>
      <c r="W78" s="44">
        <v>3644</v>
      </c>
      <c r="X78" s="7">
        <v>-9.571025270260991E-3</v>
      </c>
      <c r="Y78" s="8">
        <v>1.7380422691879449E-3</v>
      </c>
      <c r="Z78" s="8">
        <v>8.744534665833914E-3</v>
      </c>
      <c r="AA78" s="8">
        <v>1.025111799105605E-2</v>
      </c>
    </row>
    <row r="79" spans="2:27" x14ac:dyDescent="0.3">
      <c r="B79" s="13" t="s">
        <v>281</v>
      </c>
      <c r="C79" s="3" t="s">
        <v>499</v>
      </c>
      <c r="D79" s="3" t="s">
        <v>517</v>
      </c>
      <c r="E79" s="3" t="s">
        <v>501</v>
      </c>
      <c r="F79" s="5">
        <v>1</v>
      </c>
      <c r="G79" s="44">
        <v>272.3</v>
      </c>
      <c r="H79" s="44">
        <v>310.5</v>
      </c>
      <c r="I79" s="44">
        <v>333.2</v>
      </c>
      <c r="J79" s="44">
        <v>331.4</v>
      </c>
      <c r="K79" s="44">
        <v>314.8</v>
      </c>
      <c r="L79" s="44">
        <v>332.9</v>
      </c>
      <c r="M79" s="44">
        <v>326.60000000000002</v>
      </c>
      <c r="N79" s="44">
        <v>301.39999999999998</v>
      </c>
      <c r="O79" s="44">
        <v>256.39999999999998</v>
      </c>
      <c r="P79" s="44">
        <v>353.4</v>
      </c>
      <c r="Q79" s="44">
        <v>356.7</v>
      </c>
      <c r="R79" s="44">
        <v>348.2</v>
      </c>
      <c r="S79" s="44">
        <v>304.3</v>
      </c>
      <c r="T79" s="44">
        <v>364.3</v>
      </c>
      <c r="U79" s="44">
        <v>380.3</v>
      </c>
      <c r="V79" s="44">
        <v>380.8</v>
      </c>
      <c r="W79" s="44">
        <v>318.2</v>
      </c>
      <c r="X79" s="7">
        <v>7.9994128871276882E-3</v>
      </c>
      <c r="Y79" s="8">
        <v>1.718238077903167E-2</v>
      </c>
      <c r="Z79" s="8">
        <v>2.3334049101710889E-2</v>
      </c>
      <c r="AA79" s="8">
        <v>9.7223193676994057E-3</v>
      </c>
    </row>
    <row r="80" spans="2:27" x14ac:dyDescent="0.3">
      <c r="B80" s="13" t="s">
        <v>158</v>
      </c>
      <c r="C80" s="3" t="s">
        <v>499</v>
      </c>
      <c r="D80" s="3" t="s">
        <v>540</v>
      </c>
      <c r="E80" s="3" t="s">
        <v>503</v>
      </c>
      <c r="F80" s="5">
        <v>1</v>
      </c>
      <c r="G80" s="44">
        <v>2183</v>
      </c>
      <c r="H80" s="44">
        <v>2349</v>
      </c>
      <c r="I80" s="44">
        <v>2347</v>
      </c>
      <c r="J80" s="44">
        <v>2317</v>
      </c>
      <c r="K80" s="44">
        <v>2026</v>
      </c>
      <c r="L80" s="44">
        <v>2065</v>
      </c>
      <c r="M80" s="44">
        <v>2091</v>
      </c>
      <c r="N80" s="44">
        <v>2098</v>
      </c>
      <c r="O80" s="44">
        <v>2111</v>
      </c>
      <c r="P80" s="44">
        <v>2151</v>
      </c>
      <c r="Q80" s="44">
        <v>2235</v>
      </c>
      <c r="R80" s="44">
        <v>2183</v>
      </c>
      <c r="S80" s="44">
        <v>2186</v>
      </c>
      <c r="T80" s="44">
        <v>2148</v>
      </c>
      <c r="U80" s="44">
        <v>2221</v>
      </c>
      <c r="V80" s="44">
        <v>2216</v>
      </c>
      <c r="W80" s="44">
        <v>2271</v>
      </c>
      <c r="X80" s="7">
        <v>-3.4266133637916862E-4</v>
      </c>
      <c r="Y80" s="8">
        <v>-1.5996343692870061E-3</v>
      </c>
      <c r="Z80" s="8">
        <v>3.776607919432351E-3</v>
      </c>
      <c r="AA80" s="8">
        <v>9.6910272488883731E-3</v>
      </c>
    </row>
    <row r="81" spans="2:27" x14ac:dyDescent="0.3">
      <c r="B81" s="13" t="s">
        <v>171</v>
      </c>
      <c r="C81" s="3" t="s">
        <v>499</v>
      </c>
      <c r="D81" s="3" t="s">
        <v>512</v>
      </c>
      <c r="E81" s="3" t="s">
        <v>503</v>
      </c>
      <c r="F81" s="5">
        <v>0.9</v>
      </c>
      <c r="G81" s="44">
        <v>1297</v>
      </c>
      <c r="H81" s="44">
        <v>1303</v>
      </c>
      <c r="I81" s="44">
        <v>1292</v>
      </c>
      <c r="J81" s="44">
        <v>1297</v>
      </c>
      <c r="K81" s="44">
        <v>1335</v>
      </c>
      <c r="L81" s="44">
        <v>1321</v>
      </c>
      <c r="M81" s="44">
        <v>1326</v>
      </c>
      <c r="N81" s="44">
        <v>1384</v>
      </c>
      <c r="O81" s="44">
        <v>1416</v>
      </c>
      <c r="P81" s="44">
        <v>1416</v>
      </c>
      <c r="Q81" s="44">
        <v>1440</v>
      </c>
      <c r="R81" s="44">
        <v>1455</v>
      </c>
      <c r="S81" s="44">
        <v>1466</v>
      </c>
      <c r="T81" s="44">
        <v>1480</v>
      </c>
      <c r="U81" s="44">
        <v>1481</v>
      </c>
      <c r="V81" s="44">
        <v>1513</v>
      </c>
      <c r="W81" s="44">
        <v>1520</v>
      </c>
      <c r="X81" s="7">
        <v>1.1078414401938691E-2</v>
      </c>
      <c r="Y81" s="8">
        <v>7.0193460023968424E-3</v>
      </c>
      <c r="Z81" s="8">
        <v>9.8605916354981282E-3</v>
      </c>
      <c r="AA81" s="8">
        <v>9.0909090909090384E-3</v>
      </c>
    </row>
    <row r="82" spans="2:27" x14ac:dyDescent="0.3">
      <c r="B82" s="13" t="s">
        <v>267</v>
      </c>
      <c r="C82" s="3" t="s">
        <v>499</v>
      </c>
      <c r="D82" s="3" t="s">
        <v>540</v>
      </c>
      <c r="E82" s="3" t="s">
        <v>503</v>
      </c>
      <c r="F82" s="5">
        <v>0.9</v>
      </c>
      <c r="G82" s="44">
        <v>1439</v>
      </c>
      <c r="H82" s="44">
        <v>1442</v>
      </c>
      <c r="I82" s="44">
        <v>1544</v>
      </c>
      <c r="J82" s="44">
        <v>1970</v>
      </c>
      <c r="K82" s="44">
        <v>1455</v>
      </c>
      <c r="L82" s="44">
        <v>1418</v>
      </c>
      <c r="M82" s="44">
        <v>1427</v>
      </c>
      <c r="N82" s="44">
        <v>1803</v>
      </c>
      <c r="O82" s="44">
        <v>1340</v>
      </c>
      <c r="P82" s="44">
        <v>1317</v>
      </c>
      <c r="Q82" s="44">
        <v>1381</v>
      </c>
      <c r="R82" s="44">
        <v>1745</v>
      </c>
      <c r="S82" s="44">
        <v>1411</v>
      </c>
      <c r="T82" s="44">
        <v>1467</v>
      </c>
      <c r="U82" s="44">
        <v>1539</v>
      </c>
      <c r="V82" s="44">
        <v>2009</v>
      </c>
      <c r="W82" s="44">
        <v>1469</v>
      </c>
      <c r="X82" s="7">
        <v>2.5623505295524481E-2</v>
      </c>
      <c r="Y82" s="8">
        <v>2.6315789473684289E-2</v>
      </c>
      <c r="Z82" s="8">
        <v>4.2843232716650359E-2</v>
      </c>
      <c r="AA82" s="8">
        <v>9.0258325552443619E-3</v>
      </c>
    </row>
    <row r="83" spans="2:27" x14ac:dyDescent="0.3">
      <c r="B83" s="13" t="s">
        <v>443</v>
      </c>
      <c r="C83" s="3" t="s">
        <v>499</v>
      </c>
      <c r="D83" s="3" t="s">
        <v>500</v>
      </c>
      <c r="E83" s="3" t="s">
        <v>503</v>
      </c>
      <c r="F83" s="5">
        <v>0.8</v>
      </c>
      <c r="G83" s="44">
        <v>7981</v>
      </c>
      <c r="H83" s="44">
        <v>6773</v>
      </c>
      <c r="I83" s="44">
        <v>7205</v>
      </c>
      <c r="J83" s="44">
        <v>7478</v>
      </c>
      <c r="K83" s="44">
        <v>8064</v>
      </c>
      <c r="L83" s="44">
        <v>7442</v>
      </c>
      <c r="M83" s="44">
        <v>7552</v>
      </c>
      <c r="N83" s="44">
        <v>7744</v>
      </c>
      <c r="O83" s="44">
        <v>8468</v>
      </c>
      <c r="P83" s="44">
        <v>8041</v>
      </c>
      <c r="Q83" s="44">
        <v>8288</v>
      </c>
      <c r="R83" s="44">
        <v>8470</v>
      </c>
      <c r="S83" s="44">
        <v>9378</v>
      </c>
      <c r="T83" s="44">
        <v>9013</v>
      </c>
      <c r="U83" s="44">
        <v>9027</v>
      </c>
      <c r="V83" s="44">
        <v>9076</v>
      </c>
      <c r="W83" s="44">
        <v>9684</v>
      </c>
      <c r="X83" s="7">
        <v>2.8440179067794169E-2</v>
      </c>
      <c r="Y83" s="8">
        <v>2.1024780221343461E-2</v>
      </c>
      <c r="Z83" s="8">
        <v>1.688586714222029E-2</v>
      </c>
      <c r="AA83" s="8">
        <v>8.3849399901354538E-3</v>
      </c>
    </row>
    <row r="84" spans="2:27" x14ac:dyDescent="0.3">
      <c r="B84" s="13" t="s">
        <v>235</v>
      </c>
      <c r="C84" s="3" t="s">
        <v>499</v>
      </c>
      <c r="D84" s="3" t="s">
        <v>534</v>
      </c>
      <c r="E84" s="3" t="s">
        <v>503</v>
      </c>
      <c r="F84" s="5">
        <v>0.8</v>
      </c>
      <c r="G84" s="44">
        <v>1007</v>
      </c>
      <c r="H84" s="44">
        <v>1125</v>
      </c>
      <c r="I84" s="44">
        <v>1154</v>
      </c>
      <c r="J84" s="44">
        <v>1136</v>
      </c>
      <c r="K84" s="44">
        <v>1082</v>
      </c>
      <c r="L84" s="44">
        <v>1263</v>
      </c>
      <c r="M84" s="44">
        <v>1272</v>
      </c>
      <c r="N84" s="44">
        <v>1143</v>
      </c>
      <c r="O84" s="44">
        <v>1091</v>
      </c>
      <c r="P84" s="44">
        <v>1190</v>
      </c>
      <c r="Q84" s="44">
        <v>1182</v>
      </c>
      <c r="R84" s="44">
        <v>1127</v>
      </c>
      <c r="S84" s="44">
        <v>1074</v>
      </c>
      <c r="T84" s="44">
        <v>1140</v>
      </c>
      <c r="U84" s="44">
        <v>1173</v>
      </c>
      <c r="V84" s="44">
        <v>1157</v>
      </c>
      <c r="W84" s="44">
        <v>1111</v>
      </c>
      <c r="X84" s="7">
        <v>-1.093374152635029E-2</v>
      </c>
      <c r="Y84" s="8">
        <v>-1.98982975900952E-3</v>
      </c>
      <c r="Z84" s="8">
        <v>6.645990252547529E-3</v>
      </c>
      <c r="AA84" s="8">
        <v>8.1426056338027575E-3</v>
      </c>
    </row>
    <row r="85" spans="2:27" x14ac:dyDescent="0.3">
      <c r="B85" s="13" t="s">
        <v>99</v>
      </c>
      <c r="C85" s="3" t="s">
        <v>499</v>
      </c>
      <c r="D85" s="3" t="s">
        <v>548</v>
      </c>
      <c r="E85" s="3" t="s">
        <v>503</v>
      </c>
      <c r="F85" s="5">
        <v>0.7</v>
      </c>
      <c r="G85" s="44">
        <v>583.52</v>
      </c>
      <c r="H85" s="44">
        <v>614.24</v>
      </c>
      <c r="I85" s="44">
        <v>647.04</v>
      </c>
      <c r="J85" s="44">
        <v>709.07</v>
      </c>
      <c r="K85" s="44">
        <v>638.35</v>
      </c>
      <c r="L85" s="44">
        <v>679.55</v>
      </c>
      <c r="M85" s="44">
        <v>695.83</v>
      </c>
      <c r="N85" s="44">
        <v>699.57</v>
      </c>
      <c r="O85" s="44">
        <v>706.41</v>
      </c>
      <c r="P85" s="44">
        <v>720.59</v>
      </c>
      <c r="Q85" s="44">
        <v>717.35</v>
      </c>
      <c r="R85" s="44">
        <v>734.3</v>
      </c>
      <c r="S85" s="44">
        <v>744.84</v>
      </c>
      <c r="T85" s="44">
        <v>744.88</v>
      </c>
      <c r="U85" s="44">
        <v>761.59</v>
      </c>
      <c r="V85" s="44">
        <v>766.93</v>
      </c>
      <c r="W85" s="44">
        <v>767.33</v>
      </c>
      <c r="X85" s="7">
        <v>8.3268199706556523E-3</v>
      </c>
      <c r="Y85" s="8">
        <v>1.504061032784043E-2</v>
      </c>
      <c r="Z85" s="8">
        <v>1.092908986773211E-2</v>
      </c>
      <c r="AA85" s="8">
        <v>7.451362383375848E-3</v>
      </c>
    </row>
    <row r="86" spans="2:27" x14ac:dyDescent="0.3">
      <c r="B86" s="13" t="s">
        <v>218</v>
      </c>
      <c r="C86" s="3" t="s">
        <v>499</v>
      </c>
      <c r="D86" s="3" t="s">
        <v>541</v>
      </c>
      <c r="E86" s="3" t="s">
        <v>501</v>
      </c>
      <c r="F86" s="5">
        <v>0.7</v>
      </c>
      <c r="G86" s="44">
        <v>2673</v>
      </c>
      <c r="H86" s="44">
        <v>3466</v>
      </c>
      <c r="I86" s="44">
        <v>2033</v>
      </c>
      <c r="J86" s="44">
        <v>1934</v>
      </c>
      <c r="K86" s="44">
        <v>2759</v>
      </c>
      <c r="L86" s="44">
        <v>3106</v>
      </c>
      <c r="M86" s="44">
        <v>1659</v>
      </c>
      <c r="N86" s="44">
        <v>1404</v>
      </c>
      <c r="O86" s="44">
        <v>2121</v>
      </c>
      <c r="P86" s="44">
        <v>2467</v>
      </c>
      <c r="Q86" s="44">
        <v>1380</v>
      </c>
      <c r="R86" s="44">
        <v>1242</v>
      </c>
      <c r="S86" s="44">
        <v>2030</v>
      </c>
      <c r="T86" s="44">
        <v>2666</v>
      </c>
      <c r="U86" s="44">
        <v>1394</v>
      </c>
      <c r="V86" s="44">
        <v>1197</v>
      </c>
      <c r="W86" s="44">
        <v>2083</v>
      </c>
      <c r="X86" s="7">
        <v>2.7953364236550149E-2</v>
      </c>
      <c r="Y86" s="8">
        <v>1.9130910084723669E-3</v>
      </c>
      <c r="Z86" s="8">
        <v>-6.1374795417348249E-3</v>
      </c>
      <c r="AA86" s="8">
        <v>7.2732262933992153E-3</v>
      </c>
    </row>
    <row r="87" spans="2:27" x14ac:dyDescent="0.3">
      <c r="B87" s="13" t="s">
        <v>78</v>
      </c>
      <c r="C87" s="3" t="s">
        <v>499</v>
      </c>
      <c r="D87" s="3" t="s">
        <v>549</v>
      </c>
      <c r="E87" s="3" t="s">
        <v>522</v>
      </c>
      <c r="F87" s="5">
        <v>0.6</v>
      </c>
      <c r="G87" s="44">
        <v>4441</v>
      </c>
      <c r="H87" s="44">
        <v>3455</v>
      </c>
      <c r="I87" s="44">
        <v>3033</v>
      </c>
      <c r="J87" s="44">
        <v>3192</v>
      </c>
      <c r="K87" s="44">
        <v>4605</v>
      </c>
      <c r="L87" s="44">
        <v>4084</v>
      </c>
      <c r="M87" s="44">
        <v>3032</v>
      </c>
      <c r="N87" s="44">
        <v>3207</v>
      </c>
      <c r="O87" s="44">
        <v>4234</v>
      </c>
      <c r="P87" s="44">
        <v>3447</v>
      </c>
      <c r="Q87" s="44">
        <v>3092</v>
      </c>
      <c r="R87" s="44">
        <v>3564</v>
      </c>
      <c r="S87" s="44">
        <v>5078</v>
      </c>
      <c r="T87" s="44">
        <v>4371</v>
      </c>
      <c r="U87" s="44">
        <v>3287</v>
      </c>
      <c r="V87" s="44">
        <v>3738</v>
      </c>
      <c r="W87" s="44">
        <v>5182</v>
      </c>
      <c r="X87" s="7">
        <v>6.0865555628746508E-2</v>
      </c>
      <c r="Y87" s="8">
        <v>1.210804098106188E-2</v>
      </c>
      <c r="Z87" s="8">
        <v>1.06748466257669E-2</v>
      </c>
      <c r="AA87" s="8">
        <v>6.3129780259802981E-3</v>
      </c>
    </row>
    <row r="88" spans="2:27" x14ac:dyDescent="0.3">
      <c r="B88" s="13" t="s">
        <v>89</v>
      </c>
      <c r="C88" s="3" t="s">
        <v>499</v>
      </c>
      <c r="D88" s="3" t="s">
        <v>549</v>
      </c>
      <c r="E88" s="3" t="s">
        <v>522</v>
      </c>
      <c r="F88" s="5">
        <v>0.6</v>
      </c>
      <c r="G88" s="44">
        <v>4441</v>
      </c>
      <c r="H88" s="44">
        <v>3455</v>
      </c>
      <c r="I88" s="44">
        <v>3033</v>
      </c>
      <c r="J88" s="44">
        <v>3192</v>
      </c>
      <c r="K88" s="44">
        <v>4605</v>
      </c>
      <c r="L88" s="44">
        <v>4084</v>
      </c>
      <c r="M88" s="44">
        <v>3032</v>
      </c>
      <c r="N88" s="44">
        <v>3207</v>
      </c>
      <c r="O88" s="44">
        <v>4234</v>
      </c>
      <c r="P88" s="44">
        <v>3447</v>
      </c>
      <c r="Q88" s="44">
        <v>3092</v>
      </c>
      <c r="R88" s="44">
        <v>3564</v>
      </c>
      <c r="S88" s="44">
        <v>5078</v>
      </c>
      <c r="T88" s="44">
        <v>4371</v>
      </c>
      <c r="U88" s="44">
        <v>3287</v>
      </c>
      <c r="V88" s="44">
        <v>3738</v>
      </c>
      <c r="W88" s="44">
        <v>5182</v>
      </c>
      <c r="X88" s="7">
        <v>6.0865555628746508E-2</v>
      </c>
      <c r="Y88" s="8">
        <v>1.210804098106188E-2</v>
      </c>
      <c r="Z88" s="8">
        <v>1.06748466257669E-2</v>
      </c>
      <c r="AA88" s="8">
        <v>6.3129780259802981E-3</v>
      </c>
    </row>
    <row r="89" spans="2:27" x14ac:dyDescent="0.3">
      <c r="B89" s="13" t="s">
        <v>403</v>
      </c>
      <c r="C89" s="3" t="s">
        <v>499</v>
      </c>
      <c r="D89" s="3" t="s">
        <v>550</v>
      </c>
      <c r="E89" s="3" t="s">
        <v>522</v>
      </c>
      <c r="F89" s="5">
        <v>0.6</v>
      </c>
      <c r="G89" s="44">
        <v>205.19</v>
      </c>
      <c r="H89" s="44">
        <v>257.82</v>
      </c>
      <c r="I89" s="44">
        <v>267.72000000000003</v>
      </c>
      <c r="J89" s="44">
        <v>230.26</v>
      </c>
      <c r="K89" s="44">
        <v>273.39</v>
      </c>
      <c r="L89" s="44">
        <v>315.73</v>
      </c>
      <c r="M89" s="44">
        <v>239.42</v>
      </c>
      <c r="N89" s="44">
        <v>227.41</v>
      </c>
      <c r="O89" s="44">
        <v>305.67</v>
      </c>
      <c r="P89" s="44">
        <v>337.67</v>
      </c>
      <c r="Q89" s="44">
        <v>283.87</v>
      </c>
      <c r="R89" s="44">
        <v>260.2</v>
      </c>
      <c r="S89" s="44">
        <v>300.07</v>
      </c>
      <c r="T89" s="44">
        <v>339.88</v>
      </c>
      <c r="U89" s="44">
        <v>301.18</v>
      </c>
      <c r="V89" s="44">
        <v>292.27999999999997</v>
      </c>
      <c r="W89" s="44">
        <v>306.86</v>
      </c>
      <c r="X89" s="7">
        <v>1.8700129462434489E-3</v>
      </c>
      <c r="Y89" s="8">
        <v>1.461968547828585E-2</v>
      </c>
      <c r="Z89" s="8">
        <v>2.6703736691833239E-2</v>
      </c>
      <c r="AA89" s="8">
        <v>5.5050631987743071E-3</v>
      </c>
    </row>
    <row r="90" spans="2:27" x14ac:dyDescent="0.3">
      <c r="B90" s="13" t="s">
        <v>338</v>
      </c>
      <c r="C90" s="3" t="s">
        <v>499</v>
      </c>
      <c r="D90" s="3" t="s">
        <v>516</v>
      </c>
      <c r="E90" s="3" t="s">
        <v>503</v>
      </c>
      <c r="F90" s="5">
        <v>0.5</v>
      </c>
      <c r="G90" s="44">
        <v>275.02999999999997</v>
      </c>
      <c r="H90" s="44">
        <v>264.39999999999998</v>
      </c>
      <c r="I90" s="44">
        <v>262.17</v>
      </c>
      <c r="J90" s="44">
        <v>273.31</v>
      </c>
      <c r="K90" s="44">
        <v>289.88</v>
      </c>
      <c r="L90" s="44">
        <v>298.74</v>
      </c>
      <c r="M90" s="44">
        <v>286.33</v>
      </c>
      <c r="N90" s="44">
        <v>286.87</v>
      </c>
      <c r="O90" s="44">
        <v>297.32</v>
      </c>
      <c r="P90" s="44">
        <v>295.14</v>
      </c>
      <c r="Q90" s="44">
        <v>290.32</v>
      </c>
      <c r="R90" s="44">
        <v>295.14</v>
      </c>
      <c r="S90" s="44">
        <v>316.64999999999998</v>
      </c>
      <c r="T90" s="44">
        <v>299.45</v>
      </c>
      <c r="U90" s="44">
        <v>297.13</v>
      </c>
      <c r="V90" s="44">
        <v>303.62</v>
      </c>
      <c r="W90" s="44">
        <v>323.08999999999997</v>
      </c>
      <c r="X90" s="7">
        <v>3.5999164752558151E-3</v>
      </c>
      <c r="Y90" s="8">
        <v>5.6676320782982348E-3</v>
      </c>
      <c r="Z90" s="8">
        <v>7.0177180830375274E-3</v>
      </c>
      <c r="AA90" s="8">
        <v>5.2923532070510149E-3</v>
      </c>
    </row>
    <row r="91" spans="2:27" x14ac:dyDescent="0.3">
      <c r="B91" s="13" t="s">
        <v>180</v>
      </c>
      <c r="C91" s="3" t="s">
        <v>499</v>
      </c>
      <c r="D91" s="3" t="s">
        <v>551</v>
      </c>
      <c r="E91" s="3" t="s">
        <v>509</v>
      </c>
      <c r="F91" s="5">
        <v>0.5</v>
      </c>
      <c r="G91" s="44">
        <v>1404</v>
      </c>
      <c r="H91" s="44">
        <v>1198</v>
      </c>
      <c r="I91" s="44">
        <v>1598</v>
      </c>
      <c r="J91" s="44">
        <v>1703</v>
      </c>
      <c r="K91" s="44">
        <v>1375</v>
      </c>
      <c r="L91" s="44">
        <v>1189</v>
      </c>
      <c r="M91" s="44">
        <v>1540</v>
      </c>
      <c r="N91" s="44">
        <v>1650</v>
      </c>
      <c r="O91" s="44">
        <v>1340</v>
      </c>
      <c r="P91" s="44">
        <v>1096</v>
      </c>
      <c r="Q91" s="44">
        <v>1548</v>
      </c>
      <c r="R91" s="44">
        <v>1658</v>
      </c>
      <c r="S91" s="44">
        <v>1389</v>
      </c>
      <c r="T91" s="44">
        <v>1234</v>
      </c>
      <c r="U91" s="44">
        <v>1630</v>
      </c>
      <c r="V91" s="44">
        <v>1720</v>
      </c>
      <c r="W91" s="44">
        <v>1416</v>
      </c>
      <c r="X91" s="7">
        <v>2.4248813916710521E-2</v>
      </c>
      <c r="Y91" s="8">
        <v>1.406759306913696E-2</v>
      </c>
      <c r="Z91" s="8">
        <v>1.048891896464221E-2</v>
      </c>
      <c r="AA91" s="8">
        <v>4.5203415369161606E-3</v>
      </c>
    </row>
    <row r="92" spans="2:27" x14ac:dyDescent="0.3">
      <c r="B92" s="13" t="s">
        <v>251</v>
      </c>
      <c r="C92" s="3" t="s">
        <v>499</v>
      </c>
      <c r="D92" s="3" t="s">
        <v>540</v>
      </c>
      <c r="E92" s="3" t="s">
        <v>503</v>
      </c>
      <c r="F92" s="5">
        <v>0.4</v>
      </c>
      <c r="G92" s="44">
        <v>1022</v>
      </c>
      <c r="H92" s="44">
        <v>845</v>
      </c>
      <c r="I92" s="44">
        <v>917</v>
      </c>
      <c r="J92" s="44">
        <v>967</v>
      </c>
      <c r="K92" s="44">
        <v>1088</v>
      </c>
      <c r="L92" s="44">
        <v>874</v>
      </c>
      <c r="M92" s="44">
        <v>940</v>
      </c>
      <c r="N92" s="44">
        <v>935</v>
      </c>
      <c r="O92" s="44">
        <v>1006</v>
      </c>
      <c r="P92" s="44">
        <v>833</v>
      </c>
      <c r="Q92" s="44">
        <v>930</v>
      </c>
      <c r="R92" s="44">
        <v>910</v>
      </c>
      <c r="S92" s="44">
        <v>1020</v>
      </c>
      <c r="T92" s="44">
        <v>818</v>
      </c>
      <c r="U92" s="44">
        <v>938</v>
      </c>
      <c r="V92" s="44">
        <v>931</v>
      </c>
      <c r="W92" s="44">
        <v>1034</v>
      </c>
      <c r="X92" s="7">
        <v>-4.0617384240454468E-3</v>
      </c>
      <c r="Y92" s="8">
        <v>2.175095160413365E-3</v>
      </c>
      <c r="Z92" s="8">
        <v>5.6972327726532157E-3</v>
      </c>
      <c r="AA92" s="8">
        <v>3.7766387914754951E-3</v>
      </c>
    </row>
    <row r="93" spans="2:27" x14ac:dyDescent="0.3">
      <c r="B93" s="13" t="s">
        <v>241</v>
      </c>
      <c r="C93" s="3" t="s">
        <v>499</v>
      </c>
      <c r="D93" s="3" t="s">
        <v>552</v>
      </c>
      <c r="E93" s="3" t="s">
        <v>509</v>
      </c>
      <c r="F93" s="5">
        <v>0.3</v>
      </c>
      <c r="G93" s="44">
        <v>844.01</v>
      </c>
      <c r="H93" s="44">
        <v>907.03</v>
      </c>
      <c r="I93" s="44">
        <v>898.97</v>
      </c>
      <c r="J93" s="44">
        <v>899.44</v>
      </c>
      <c r="K93" s="44">
        <v>920.23</v>
      </c>
      <c r="L93" s="44">
        <v>989.94</v>
      </c>
      <c r="M93" s="44">
        <v>908.57</v>
      </c>
      <c r="N93" s="44">
        <v>901.03</v>
      </c>
      <c r="O93" s="44">
        <v>861.55</v>
      </c>
      <c r="P93" s="44">
        <v>910.72</v>
      </c>
      <c r="Q93" s="44">
        <v>852.92</v>
      </c>
      <c r="R93" s="44">
        <v>883.67</v>
      </c>
      <c r="S93" s="44">
        <v>906.15</v>
      </c>
      <c r="T93" s="44">
        <v>974.84</v>
      </c>
      <c r="U93" s="44">
        <v>893.02</v>
      </c>
      <c r="V93" s="44">
        <v>951.29</v>
      </c>
      <c r="W93" s="44">
        <v>919.13</v>
      </c>
      <c r="X93" s="7">
        <v>1.8044384909355889E-2</v>
      </c>
      <c r="Y93" s="8">
        <v>1.1084758319097171E-2</v>
      </c>
      <c r="Z93" s="8">
        <v>1.8487128453008591E-2</v>
      </c>
      <c r="AA93" s="8">
        <v>3.4842831449815041E-3</v>
      </c>
    </row>
    <row r="94" spans="2:27" x14ac:dyDescent="0.3">
      <c r="B94" s="13" t="s">
        <v>212</v>
      </c>
      <c r="C94" s="3" t="s">
        <v>499</v>
      </c>
      <c r="D94" s="3" t="s">
        <v>553</v>
      </c>
      <c r="E94" s="3" t="s">
        <v>503</v>
      </c>
      <c r="F94" s="5">
        <v>0.3</v>
      </c>
      <c r="G94" s="44">
        <v>856.95</v>
      </c>
      <c r="H94" s="44">
        <v>834.57</v>
      </c>
      <c r="I94" s="44">
        <v>930.71</v>
      </c>
      <c r="J94" s="44">
        <v>960.46</v>
      </c>
      <c r="K94" s="44">
        <v>1020</v>
      </c>
      <c r="L94" s="44">
        <v>1018</v>
      </c>
      <c r="M94" s="44">
        <v>1120</v>
      </c>
      <c r="N94" s="44">
        <v>1117</v>
      </c>
      <c r="O94" s="44">
        <v>1079</v>
      </c>
      <c r="P94" s="44">
        <v>1158</v>
      </c>
      <c r="Q94" s="44">
        <v>1297</v>
      </c>
      <c r="R94" s="44">
        <v>1396</v>
      </c>
      <c r="S94" s="44">
        <v>1365</v>
      </c>
      <c r="T94" s="44">
        <v>1251</v>
      </c>
      <c r="U94" s="44">
        <v>1416</v>
      </c>
      <c r="V94" s="44">
        <v>1448</v>
      </c>
      <c r="W94" s="44">
        <v>1383</v>
      </c>
      <c r="X94" s="7">
        <v>1.7829754601226929E-2</v>
      </c>
      <c r="Y94" s="8">
        <v>2.2414767376153669E-2</v>
      </c>
      <c r="Z94" s="8">
        <v>9.579955784819516E-3</v>
      </c>
      <c r="AA94" s="8">
        <v>3.284671532846728E-3</v>
      </c>
    </row>
    <row r="95" spans="2:27" x14ac:dyDescent="0.3">
      <c r="B95" s="13" t="s">
        <v>255</v>
      </c>
      <c r="C95" s="3" t="s">
        <v>499</v>
      </c>
      <c r="D95" s="3" t="s">
        <v>525</v>
      </c>
      <c r="E95" s="3" t="s">
        <v>503</v>
      </c>
      <c r="F95" s="5">
        <v>0.3</v>
      </c>
      <c r="G95" s="44"/>
      <c r="H95" s="44"/>
      <c r="I95" s="44"/>
      <c r="J95" s="44"/>
      <c r="K95" s="44"/>
      <c r="L95" s="44"/>
      <c r="M95" s="44"/>
      <c r="N95" s="44"/>
      <c r="O95" s="44"/>
      <c r="P95" s="44">
        <v>541.20000000000005</v>
      </c>
      <c r="Q95" s="44">
        <v>533.70000000000005</v>
      </c>
      <c r="R95" s="44">
        <v>531.70000000000005</v>
      </c>
      <c r="S95" s="44">
        <v>548.1</v>
      </c>
      <c r="T95" s="44">
        <v>481.8</v>
      </c>
      <c r="U95" s="44">
        <v>503.3</v>
      </c>
      <c r="V95" s="44">
        <v>529.1</v>
      </c>
      <c r="W95" s="44">
        <v>554.6</v>
      </c>
      <c r="X95" s="7">
        <v>-2.756764282730784E-2</v>
      </c>
      <c r="Y95" s="8">
        <v>-1.4508662244070099E-2</v>
      </c>
      <c r="Z95" s="8">
        <v>-1.259140878492881E-3</v>
      </c>
      <c r="AA95" s="8">
        <v>3.151820782621328E-3</v>
      </c>
    </row>
    <row r="96" spans="2:27" x14ac:dyDescent="0.3">
      <c r="B96" s="13" t="s">
        <v>373</v>
      </c>
      <c r="C96" s="3" t="s">
        <v>499</v>
      </c>
      <c r="D96" s="3" t="s">
        <v>544</v>
      </c>
      <c r="E96" s="3" t="s">
        <v>501</v>
      </c>
      <c r="F96" s="5">
        <v>0.2</v>
      </c>
      <c r="G96" s="44">
        <v>139.65</v>
      </c>
      <c r="H96" s="44">
        <v>145.54</v>
      </c>
      <c r="I96" s="44">
        <v>132.74</v>
      </c>
      <c r="J96" s="44">
        <v>137.57</v>
      </c>
      <c r="K96" s="44">
        <v>178.37</v>
      </c>
      <c r="L96" s="44">
        <v>148.4</v>
      </c>
      <c r="M96" s="44">
        <v>165.95</v>
      </c>
      <c r="N96" s="44">
        <v>172.36</v>
      </c>
      <c r="O96" s="44">
        <v>141.72999999999999</v>
      </c>
      <c r="P96" s="44">
        <v>136.36000000000001</v>
      </c>
      <c r="Q96" s="44">
        <v>144.29</v>
      </c>
      <c r="R96" s="44">
        <v>151.08000000000001</v>
      </c>
      <c r="S96" s="44">
        <v>147.51</v>
      </c>
      <c r="T96" s="44">
        <v>143.41999999999999</v>
      </c>
      <c r="U96" s="44">
        <v>143.94</v>
      </c>
      <c r="V96" s="44">
        <v>158.94999999999999</v>
      </c>
      <c r="W96" s="44">
        <v>148.63999999999999</v>
      </c>
      <c r="X96" s="7">
        <v>1.218838478005657E-2</v>
      </c>
      <c r="Y96" s="8">
        <v>-5.9696401159803347E-4</v>
      </c>
      <c r="Z96" s="8">
        <v>1.343118013482369E-2</v>
      </c>
      <c r="AA96" s="8">
        <v>1.902933548886931E-3</v>
      </c>
    </row>
    <row r="97" spans="2:27" x14ac:dyDescent="0.3">
      <c r="B97" s="13" t="s">
        <v>465</v>
      </c>
      <c r="C97" s="3" t="s">
        <v>499</v>
      </c>
      <c r="D97" s="3" t="s">
        <v>526</v>
      </c>
      <c r="E97" s="3" t="s">
        <v>503</v>
      </c>
      <c r="F97" s="5">
        <v>0</v>
      </c>
      <c r="G97" s="44">
        <v>251.19</v>
      </c>
      <c r="H97" s="44">
        <v>210.56</v>
      </c>
      <c r="I97" s="44">
        <v>223.22</v>
      </c>
      <c r="J97" s="44">
        <v>249.59</v>
      </c>
      <c r="K97" s="44">
        <v>249.1</v>
      </c>
      <c r="L97" s="44">
        <v>180.91</v>
      </c>
      <c r="M97" s="44">
        <v>173.41</v>
      </c>
      <c r="N97" s="44">
        <v>197.85</v>
      </c>
      <c r="O97" s="44">
        <v>188.67</v>
      </c>
      <c r="P97" s="44">
        <v>164.59</v>
      </c>
      <c r="Q97" s="44">
        <v>143.9</v>
      </c>
      <c r="R97" s="44">
        <v>182.85</v>
      </c>
      <c r="S97" s="44">
        <v>182.42</v>
      </c>
      <c r="T97" s="44">
        <v>162.06</v>
      </c>
      <c r="U97" s="44">
        <v>170.53</v>
      </c>
      <c r="V97" s="44">
        <v>184.56</v>
      </c>
      <c r="W97" s="44">
        <v>182.47</v>
      </c>
      <c r="X97" s="7">
        <v>-3.755046307290399E-3</v>
      </c>
      <c r="Y97" s="8">
        <v>3.9673435335131117E-2</v>
      </c>
      <c r="Z97" s="8">
        <v>2.4503482073767739E-3</v>
      </c>
      <c r="AA97" s="8">
        <v>7.147247594962991E-5</v>
      </c>
    </row>
    <row r="98" spans="2:27" x14ac:dyDescent="0.3">
      <c r="B98" s="13" t="s">
        <v>188</v>
      </c>
      <c r="C98" s="3" t="s">
        <v>499</v>
      </c>
      <c r="D98" s="3" t="s">
        <v>554</v>
      </c>
      <c r="E98" s="3" t="s">
        <v>522</v>
      </c>
      <c r="F98" s="5">
        <v>-0.1</v>
      </c>
      <c r="G98" s="44">
        <v>269.27999999999997</v>
      </c>
      <c r="H98" s="44">
        <v>290.38</v>
      </c>
      <c r="I98" s="44">
        <v>288.23</v>
      </c>
      <c r="J98" s="44">
        <v>269.66000000000003</v>
      </c>
      <c r="K98" s="44">
        <v>271.58</v>
      </c>
      <c r="L98" s="44">
        <v>294.14999999999998</v>
      </c>
      <c r="M98" s="44">
        <v>301.32</v>
      </c>
      <c r="N98" s="44">
        <v>276.94</v>
      </c>
      <c r="O98" s="44">
        <v>272.60000000000002</v>
      </c>
      <c r="P98" s="44">
        <v>303.43</v>
      </c>
      <c r="Q98" s="44">
        <v>306.10000000000002</v>
      </c>
      <c r="R98" s="44">
        <v>289.45999999999998</v>
      </c>
      <c r="S98" s="44">
        <v>297.02999999999997</v>
      </c>
      <c r="T98" s="44">
        <v>316.18</v>
      </c>
      <c r="U98" s="44">
        <v>316.95999999999998</v>
      </c>
      <c r="V98" s="44">
        <v>286.56</v>
      </c>
      <c r="W98" s="44">
        <v>295.88</v>
      </c>
      <c r="X98" s="7">
        <v>1.066035685021993E-2</v>
      </c>
      <c r="Y98" s="8">
        <v>8.984339452501322E-3</v>
      </c>
      <c r="Z98" s="8">
        <v>-2.3777703073881722E-3</v>
      </c>
      <c r="AA98" s="8">
        <v>-9.4515627953617454E-4</v>
      </c>
    </row>
    <row r="99" spans="2:27" x14ac:dyDescent="0.3">
      <c r="B99" s="13" t="s">
        <v>363</v>
      </c>
      <c r="C99" s="3" t="s">
        <v>499</v>
      </c>
      <c r="D99" s="3" t="s">
        <v>543</v>
      </c>
      <c r="E99" s="3" t="s">
        <v>503</v>
      </c>
      <c r="F99" s="5">
        <v>-0.1</v>
      </c>
      <c r="G99" s="44">
        <v>1054</v>
      </c>
      <c r="H99" s="44">
        <v>1091</v>
      </c>
      <c r="I99" s="44">
        <v>1142</v>
      </c>
      <c r="J99" s="44">
        <v>1198</v>
      </c>
      <c r="K99" s="44">
        <v>1150</v>
      </c>
      <c r="L99" s="44">
        <v>1129</v>
      </c>
      <c r="M99" s="44">
        <v>1131</v>
      </c>
      <c r="N99" s="44">
        <v>1117</v>
      </c>
      <c r="O99" s="44">
        <v>1074</v>
      </c>
      <c r="P99" s="44">
        <v>1049</v>
      </c>
      <c r="Q99" s="44">
        <v>1035</v>
      </c>
      <c r="R99" s="44">
        <v>1031</v>
      </c>
      <c r="S99" s="44">
        <v>985</v>
      </c>
      <c r="T99" s="44">
        <v>968.3</v>
      </c>
      <c r="U99" s="44">
        <v>1021</v>
      </c>
      <c r="V99" s="44">
        <v>1011</v>
      </c>
      <c r="W99" s="44">
        <v>980.1</v>
      </c>
      <c r="X99" s="7">
        <v>-1.9682926829268199E-2</v>
      </c>
      <c r="Y99" s="8">
        <v>-3.4831935909237499E-3</v>
      </c>
      <c r="Z99" s="8">
        <v>-4.9933837665093739E-3</v>
      </c>
      <c r="AA99" s="8">
        <v>-1.2295184804155259E-3</v>
      </c>
    </row>
    <row r="100" spans="2:27" x14ac:dyDescent="0.3">
      <c r="B100" s="13" t="s">
        <v>390</v>
      </c>
      <c r="C100" s="3" t="s">
        <v>499</v>
      </c>
      <c r="D100" s="3" t="s">
        <v>555</v>
      </c>
      <c r="E100" s="3" t="s">
        <v>503</v>
      </c>
      <c r="F100" s="5">
        <v>-0.2</v>
      </c>
      <c r="G100" s="44">
        <v>800.17</v>
      </c>
      <c r="H100" s="44">
        <v>788.34</v>
      </c>
      <c r="I100" s="44">
        <v>828.51</v>
      </c>
      <c r="J100" s="44">
        <v>775.69</v>
      </c>
      <c r="K100" s="44">
        <v>732.45</v>
      </c>
      <c r="L100" s="44">
        <v>727.55</v>
      </c>
      <c r="M100" s="44">
        <v>733.55</v>
      </c>
      <c r="N100" s="44">
        <v>693.09</v>
      </c>
      <c r="O100" s="44">
        <v>696.47</v>
      </c>
      <c r="P100" s="44">
        <v>632.03</v>
      </c>
      <c r="Q100" s="44">
        <v>736.48</v>
      </c>
      <c r="R100" s="44">
        <v>724.72</v>
      </c>
      <c r="S100" s="44">
        <v>708.9</v>
      </c>
      <c r="T100" s="44">
        <v>701.05</v>
      </c>
      <c r="U100" s="44">
        <v>759.69</v>
      </c>
      <c r="V100" s="44">
        <v>709.07</v>
      </c>
      <c r="W100" s="44">
        <v>702.94</v>
      </c>
      <c r="X100" s="7">
        <v>2.4631262646629629E-2</v>
      </c>
      <c r="Y100" s="8">
        <v>8.0838688330460151E-3</v>
      </c>
      <c r="Z100" s="8">
        <v>-5.4070675382468236E-3</v>
      </c>
      <c r="AA100" s="8">
        <v>-2.070371798479242E-3</v>
      </c>
    </row>
    <row r="101" spans="2:27" x14ac:dyDescent="0.3">
      <c r="B101" s="13" t="s">
        <v>167</v>
      </c>
      <c r="C101" s="3" t="s">
        <v>499</v>
      </c>
      <c r="D101" s="3" t="s">
        <v>534</v>
      </c>
      <c r="E101" s="3" t="s">
        <v>503</v>
      </c>
      <c r="F101" s="5">
        <v>-0.2</v>
      </c>
      <c r="G101" s="44">
        <v>3982</v>
      </c>
      <c r="H101" s="44">
        <v>4448</v>
      </c>
      <c r="I101" s="44">
        <v>4393</v>
      </c>
      <c r="J101" s="44">
        <v>4120</v>
      </c>
      <c r="K101" s="44">
        <v>3987</v>
      </c>
      <c r="L101" s="44">
        <v>3932</v>
      </c>
      <c r="M101" s="44">
        <v>4159</v>
      </c>
      <c r="N101" s="44">
        <v>3954</v>
      </c>
      <c r="O101" s="44">
        <v>3737</v>
      </c>
      <c r="P101" s="44">
        <v>3870</v>
      </c>
      <c r="Q101" s="44">
        <v>4024</v>
      </c>
      <c r="R101" s="44">
        <v>3751</v>
      </c>
      <c r="S101" s="44">
        <v>3721</v>
      </c>
      <c r="T101" s="44">
        <v>3745</v>
      </c>
      <c r="U101" s="44">
        <v>3945</v>
      </c>
      <c r="V101" s="44">
        <v>3756</v>
      </c>
      <c r="W101" s="44">
        <v>3685</v>
      </c>
      <c r="X101" s="7">
        <v>-8.1348431602238369E-3</v>
      </c>
      <c r="Y101" s="8">
        <v>-5.1833869168689262E-3</v>
      </c>
      <c r="Z101" s="8">
        <v>3.2977179791582317E-4</v>
      </c>
      <c r="AA101" s="8">
        <v>-2.3735742071603338E-3</v>
      </c>
    </row>
    <row r="102" spans="2:27" x14ac:dyDescent="0.3">
      <c r="B102" s="13" t="s">
        <v>142</v>
      </c>
      <c r="C102" s="3" t="s">
        <v>499</v>
      </c>
      <c r="D102" s="3" t="s">
        <v>556</v>
      </c>
      <c r="E102" s="3" t="s">
        <v>503</v>
      </c>
      <c r="F102" s="5">
        <v>-0.3</v>
      </c>
      <c r="G102" s="44">
        <v>3126</v>
      </c>
      <c r="H102" s="44">
        <v>2881</v>
      </c>
      <c r="I102" s="44">
        <v>2906</v>
      </c>
      <c r="J102" s="44">
        <v>3089</v>
      </c>
      <c r="K102" s="44">
        <v>3285</v>
      </c>
      <c r="L102" s="44">
        <v>3365</v>
      </c>
      <c r="M102" s="44">
        <v>3613</v>
      </c>
      <c r="N102" s="44">
        <v>3888</v>
      </c>
      <c r="O102" s="44">
        <v>3743</v>
      </c>
      <c r="P102" s="44">
        <v>4102</v>
      </c>
      <c r="Q102" s="44">
        <v>4204</v>
      </c>
      <c r="R102" s="44">
        <v>4387</v>
      </c>
      <c r="S102" s="44">
        <v>4475</v>
      </c>
      <c r="T102" s="44">
        <v>4336</v>
      </c>
      <c r="U102" s="44">
        <v>4518</v>
      </c>
      <c r="V102" s="44">
        <v>4348</v>
      </c>
      <c r="W102" s="44">
        <v>4424</v>
      </c>
      <c r="X102" s="7">
        <v>1.3630009319664399E-2</v>
      </c>
      <c r="Y102" s="8">
        <v>1.80439029996553E-2</v>
      </c>
      <c r="Z102" s="8">
        <v>-2.2013998645292738E-3</v>
      </c>
      <c r="AA102" s="8">
        <v>-2.885104938620819E-3</v>
      </c>
    </row>
    <row r="103" spans="2:27" x14ac:dyDescent="0.3">
      <c r="B103" s="13" t="s">
        <v>231</v>
      </c>
      <c r="C103" s="3" t="s">
        <v>499</v>
      </c>
      <c r="D103" s="3" t="s">
        <v>557</v>
      </c>
      <c r="E103" s="3" t="s">
        <v>503</v>
      </c>
      <c r="F103" s="5">
        <v>-0.4</v>
      </c>
      <c r="G103" s="44">
        <v>1517</v>
      </c>
      <c r="H103" s="44">
        <v>1548</v>
      </c>
      <c r="I103" s="44">
        <v>1727</v>
      </c>
      <c r="J103" s="44">
        <v>1889</v>
      </c>
      <c r="K103" s="44">
        <v>2073</v>
      </c>
      <c r="L103" s="44">
        <v>1962</v>
      </c>
      <c r="M103" s="44">
        <v>2093</v>
      </c>
      <c r="N103" s="44">
        <v>2185</v>
      </c>
      <c r="O103" s="44">
        <v>2343</v>
      </c>
      <c r="P103" s="44">
        <v>2155</v>
      </c>
      <c r="Q103" s="44">
        <v>2216</v>
      </c>
      <c r="R103" s="44">
        <v>2191</v>
      </c>
      <c r="S103" s="44">
        <v>2308</v>
      </c>
      <c r="T103" s="44">
        <v>2103</v>
      </c>
      <c r="U103" s="44">
        <v>2188</v>
      </c>
      <c r="V103" s="44">
        <v>2176</v>
      </c>
      <c r="W103" s="44">
        <v>2277</v>
      </c>
      <c r="X103" s="7">
        <v>-5.8624577226606966E-3</v>
      </c>
      <c r="Y103" s="8">
        <v>-3.1753232025402141E-3</v>
      </c>
      <c r="Z103" s="8">
        <v>-1.7064846416382511E-3</v>
      </c>
      <c r="AA103" s="8">
        <v>-3.5327635327635498E-3</v>
      </c>
    </row>
    <row r="104" spans="2:27" x14ac:dyDescent="0.3">
      <c r="B104" s="13" t="s">
        <v>319</v>
      </c>
      <c r="C104" s="3" t="s">
        <v>499</v>
      </c>
      <c r="D104" s="3" t="s">
        <v>524</v>
      </c>
      <c r="E104" s="3" t="s">
        <v>503</v>
      </c>
      <c r="F104" s="5">
        <v>-0.9</v>
      </c>
      <c r="G104" s="44">
        <v>1478</v>
      </c>
      <c r="H104" s="44">
        <v>1370</v>
      </c>
      <c r="I104" s="44">
        <v>1418</v>
      </c>
      <c r="J104" s="44">
        <v>1362</v>
      </c>
      <c r="K104" s="44">
        <v>1375</v>
      </c>
      <c r="L104" s="44">
        <v>1295</v>
      </c>
      <c r="M104" s="44">
        <v>1263</v>
      </c>
      <c r="N104" s="44">
        <v>1200</v>
      </c>
      <c r="O104" s="44">
        <v>1187</v>
      </c>
      <c r="P104" s="44">
        <v>1143</v>
      </c>
      <c r="Q104" s="44">
        <v>1130</v>
      </c>
      <c r="R104" s="44">
        <v>1179</v>
      </c>
      <c r="S104" s="44">
        <v>1187</v>
      </c>
      <c r="T104" s="44">
        <v>1193</v>
      </c>
      <c r="U104" s="44">
        <v>1226</v>
      </c>
      <c r="V104" s="44">
        <v>1240</v>
      </c>
      <c r="W104" s="44">
        <v>1142</v>
      </c>
      <c r="X104" s="7">
        <v>1.07781849536539E-2</v>
      </c>
      <c r="Y104" s="8">
        <v>2.0473448496481032E-2</v>
      </c>
      <c r="Z104" s="8">
        <v>1.274817136886108E-2</v>
      </c>
      <c r="AA104" s="8">
        <v>-9.2860090796532679E-3</v>
      </c>
    </row>
    <row r="105" spans="2:27" x14ac:dyDescent="0.3">
      <c r="B105" s="13" t="s">
        <v>451</v>
      </c>
      <c r="C105" s="3" t="s">
        <v>499</v>
      </c>
      <c r="D105" s="3" t="s">
        <v>552</v>
      </c>
      <c r="E105" s="3" t="s">
        <v>522</v>
      </c>
      <c r="F105" s="5">
        <v>-1.1000000000000001</v>
      </c>
      <c r="G105" s="44">
        <v>315.26</v>
      </c>
      <c r="H105" s="44">
        <v>368.06</v>
      </c>
      <c r="I105" s="44">
        <v>373.5</v>
      </c>
      <c r="J105" s="44">
        <v>405.89</v>
      </c>
      <c r="K105" s="44">
        <v>436.7</v>
      </c>
      <c r="L105" s="44">
        <v>484.7</v>
      </c>
      <c r="M105" s="44">
        <v>496.14</v>
      </c>
      <c r="N105" s="44">
        <v>438.08</v>
      </c>
      <c r="O105" s="44">
        <v>421.24</v>
      </c>
      <c r="P105" s="44">
        <v>425.04</v>
      </c>
      <c r="Q105" s="44">
        <v>430.16</v>
      </c>
      <c r="R105" s="44">
        <v>374.26</v>
      </c>
      <c r="S105" s="44">
        <v>357.39</v>
      </c>
      <c r="T105" s="44">
        <v>374.61</v>
      </c>
      <c r="U105" s="44">
        <v>380.47</v>
      </c>
      <c r="V105" s="44">
        <v>365.6</v>
      </c>
      <c r="W105" s="44">
        <v>341.28</v>
      </c>
      <c r="X105" s="7">
        <v>-3.1779941393326287E-2</v>
      </c>
      <c r="Y105" s="8">
        <v>-3.2341417060439248E-2</v>
      </c>
      <c r="Z105" s="8">
        <v>-5.82486396319426E-3</v>
      </c>
      <c r="AA105" s="8">
        <v>-1.0899348474700201E-2</v>
      </c>
    </row>
    <row r="106" spans="2:27" x14ac:dyDescent="0.3">
      <c r="B106" s="13" t="s">
        <v>49</v>
      </c>
      <c r="C106" s="3" t="s">
        <v>499</v>
      </c>
      <c r="D106" s="3" t="s">
        <v>558</v>
      </c>
      <c r="E106" s="3" t="s">
        <v>503</v>
      </c>
      <c r="F106" s="5">
        <v>-1.1000000000000001</v>
      </c>
      <c r="G106" s="44">
        <v>32125</v>
      </c>
      <c r="H106" s="44">
        <v>36050</v>
      </c>
      <c r="I106" s="44">
        <v>36387</v>
      </c>
      <c r="J106" s="44">
        <v>42726</v>
      </c>
      <c r="K106" s="44">
        <v>33841</v>
      </c>
      <c r="L106" s="44">
        <v>29211</v>
      </c>
      <c r="M106" s="44">
        <v>22870</v>
      </c>
      <c r="N106" s="44">
        <v>25924</v>
      </c>
      <c r="O106" s="44">
        <v>28843</v>
      </c>
      <c r="P106" s="44">
        <v>25089</v>
      </c>
      <c r="Q106" s="44">
        <v>25461</v>
      </c>
      <c r="R106" s="44">
        <v>25416</v>
      </c>
      <c r="S106" s="44">
        <v>26535</v>
      </c>
      <c r="T106" s="44">
        <v>29384</v>
      </c>
      <c r="U106" s="44">
        <v>25130</v>
      </c>
      <c r="V106" s="44">
        <v>26017</v>
      </c>
      <c r="W106" s="44">
        <v>25346</v>
      </c>
      <c r="X106" s="7">
        <v>4.1902030224095332E-2</v>
      </c>
      <c r="Y106" s="8">
        <v>-3.0993670174912502E-3</v>
      </c>
      <c r="Z106" s="8">
        <v>5.6450476682476944E-3</v>
      </c>
      <c r="AA106" s="8">
        <v>-1.110529953486639E-2</v>
      </c>
    </row>
    <row r="107" spans="2:27" x14ac:dyDescent="0.3">
      <c r="B107" s="13" t="s">
        <v>359</v>
      </c>
      <c r="C107" s="3" t="s">
        <v>499</v>
      </c>
      <c r="D107" s="3" t="s">
        <v>559</v>
      </c>
      <c r="E107" s="3" t="s">
        <v>501</v>
      </c>
      <c r="F107" s="5">
        <v>-1.2</v>
      </c>
      <c r="G107" s="44">
        <v>661.4</v>
      </c>
      <c r="H107" s="44">
        <v>954.37</v>
      </c>
      <c r="I107" s="44">
        <v>1015</v>
      </c>
      <c r="J107" s="44">
        <v>707.44</v>
      </c>
      <c r="K107" s="44">
        <v>627.66</v>
      </c>
      <c r="L107" s="44">
        <v>909</v>
      </c>
      <c r="M107" s="44">
        <v>1023</v>
      </c>
      <c r="N107" s="44">
        <v>750.15</v>
      </c>
      <c r="O107" s="44">
        <v>634.53</v>
      </c>
      <c r="P107" s="44">
        <v>900.09</v>
      </c>
      <c r="Q107" s="44">
        <v>996.35</v>
      </c>
      <c r="R107" s="44">
        <v>669.49</v>
      </c>
      <c r="S107" s="44">
        <v>656.44</v>
      </c>
      <c r="T107" s="44">
        <v>833.54</v>
      </c>
      <c r="U107" s="44">
        <v>960.91</v>
      </c>
      <c r="V107" s="44">
        <v>678.18</v>
      </c>
      <c r="W107" s="44">
        <v>617.37</v>
      </c>
      <c r="X107" s="7">
        <v>-2.0652501109431839E-2</v>
      </c>
      <c r="Y107" s="8">
        <v>-1.1230044806104339E-2</v>
      </c>
      <c r="Z107" s="8">
        <v>2.7849172216203311E-3</v>
      </c>
      <c r="AA107" s="8">
        <v>-1.248613805379861E-2</v>
      </c>
    </row>
    <row r="108" spans="2:27" x14ac:dyDescent="0.3">
      <c r="B108" s="13" t="s">
        <v>76</v>
      </c>
      <c r="C108" s="3" t="s">
        <v>499</v>
      </c>
      <c r="D108" s="3" t="s">
        <v>560</v>
      </c>
      <c r="E108" s="3" t="s">
        <v>503</v>
      </c>
      <c r="F108" s="5">
        <v>-1.4</v>
      </c>
      <c r="G108" s="44">
        <v>1410</v>
      </c>
      <c r="H108" s="44">
        <v>1497</v>
      </c>
      <c r="I108" s="44">
        <v>1667</v>
      </c>
      <c r="J108" s="44">
        <v>1604</v>
      </c>
      <c r="K108" s="44">
        <v>1492</v>
      </c>
      <c r="L108" s="44">
        <v>1442</v>
      </c>
      <c r="M108" s="44">
        <v>1413</v>
      </c>
      <c r="N108" s="44">
        <v>1515</v>
      </c>
      <c r="O108" s="44">
        <v>1496</v>
      </c>
      <c r="P108" s="44">
        <v>1460</v>
      </c>
      <c r="Q108" s="44">
        <v>1499</v>
      </c>
      <c r="R108" s="44">
        <v>1470</v>
      </c>
      <c r="S108" s="44">
        <v>1386</v>
      </c>
      <c r="T108" s="44">
        <v>1375</v>
      </c>
      <c r="U108" s="44">
        <v>1408</v>
      </c>
      <c r="V108" s="44">
        <v>1407</v>
      </c>
      <c r="W108" s="44">
        <v>1307</v>
      </c>
      <c r="X108" s="7">
        <v>-1.461736887360277E-2</v>
      </c>
      <c r="Y108" s="8">
        <v>-1.5881326352530589E-2</v>
      </c>
      <c r="Z108" s="8">
        <v>-1.117219365135658E-2</v>
      </c>
      <c r="AA108" s="8">
        <v>-1.4167862266857959E-2</v>
      </c>
    </row>
    <row r="109" spans="2:27" x14ac:dyDescent="0.3">
      <c r="B109" s="13" t="s">
        <v>57</v>
      </c>
      <c r="C109" s="3" t="s">
        <v>499</v>
      </c>
      <c r="D109" s="3" t="s">
        <v>512</v>
      </c>
      <c r="E109" s="3" t="s">
        <v>503</v>
      </c>
      <c r="F109" s="5">
        <v>-3</v>
      </c>
      <c r="G109" s="44">
        <v>5436</v>
      </c>
      <c r="H109" s="44">
        <v>5173</v>
      </c>
      <c r="I109" s="44">
        <v>5315</v>
      </c>
      <c r="J109" s="44">
        <v>4704</v>
      </c>
      <c r="K109" s="44">
        <v>3948</v>
      </c>
      <c r="L109" s="44">
        <v>4800</v>
      </c>
      <c r="M109" s="44">
        <v>5172</v>
      </c>
      <c r="N109" s="44">
        <v>4950</v>
      </c>
      <c r="O109" s="44">
        <v>3778</v>
      </c>
      <c r="P109" s="44">
        <v>5436</v>
      </c>
      <c r="Q109" s="44">
        <v>5138</v>
      </c>
      <c r="R109" s="44">
        <v>2949</v>
      </c>
      <c r="S109" s="44">
        <v>5403</v>
      </c>
      <c r="T109" s="44">
        <v>3398</v>
      </c>
      <c r="U109" s="44">
        <v>4160</v>
      </c>
      <c r="V109" s="45">
        <v>4740</v>
      </c>
      <c r="W109" s="44">
        <v>4866</v>
      </c>
      <c r="X109" s="7">
        <v>-0.1076825531015534</v>
      </c>
      <c r="Y109" s="8">
        <v>-5.7910942681193789E-2</v>
      </c>
      <c r="Z109" s="9">
        <v>0.1125707102451288</v>
      </c>
      <c r="AA109" s="8">
        <v>-3.0337269080842891E-2</v>
      </c>
    </row>
    <row r="110" spans="2:27" x14ac:dyDescent="0.3">
      <c r="B110" s="13" t="s">
        <v>371</v>
      </c>
      <c r="C110" s="3" t="s">
        <v>499</v>
      </c>
      <c r="D110" s="3" t="s">
        <v>561</v>
      </c>
      <c r="E110" s="3" t="s">
        <v>503</v>
      </c>
      <c r="F110" s="5">
        <v>-3.9</v>
      </c>
      <c r="G110" s="44">
        <v>1414</v>
      </c>
      <c r="H110" s="44">
        <v>1351</v>
      </c>
      <c r="I110" s="44">
        <v>1452</v>
      </c>
      <c r="J110" s="44">
        <v>1377</v>
      </c>
      <c r="K110" s="44">
        <v>1622</v>
      </c>
      <c r="L110" s="44">
        <v>1344</v>
      </c>
      <c r="M110" s="44">
        <v>1015</v>
      </c>
      <c r="N110" s="44">
        <v>981.9</v>
      </c>
      <c r="O110" s="44">
        <v>1146</v>
      </c>
      <c r="P110" s="44">
        <v>918</v>
      </c>
      <c r="Q110" s="44">
        <v>1038</v>
      </c>
      <c r="R110" s="44">
        <v>1065</v>
      </c>
      <c r="S110" s="44">
        <v>1224</v>
      </c>
      <c r="T110" s="44">
        <v>791.4</v>
      </c>
      <c r="U110" s="44">
        <v>1051</v>
      </c>
      <c r="V110" s="44">
        <v>542.20000000000005</v>
      </c>
      <c r="W110" s="44">
        <v>1083</v>
      </c>
      <c r="X110" s="7">
        <v>-2.982332155477041E-2</v>
      </c>
      <c r="Y110" s="8">
        <v>3.1565656565657458E-3</v>
      </c>
      <c r="Z110" s="8">
        <v>-0.12654306046376529</v>
      </c>
      <c r="AA110" s="8">
        <v>-3.9073324835116163E-2</v>
      </c>
    </row>
    <row r="111" spans="2:27" x14ac:dyDescent="0.3">
      <c r="B111" s="13" t="s">
        <v>139</v>
      </c>
      <c r="C111" s="3" t="s">
        <v>499</v>
      </c>
      <c r="D111" s="3" t="s">
        <v>506</v>
      </c>
      <c r="E111" s="3" t="s">
        <v>503</v>
      </c>
      <c r="F111" s="5">
        <v>-4.5999999999999996</v>
      </c>
      <c r="G111" s="44">
        <v>3260</v>
      </c>
      <c r="H111" s="44">
        <v>3146</v>
      </c>
      <c r="I111" s="44">
        <v>4993</v>
      </c>
      <c r="J111" s="44">
        <v>3117</v>
      </c>
      <c r="K111" s="44">
        <v>1880</v>
      </c>
      <c r="L111" s="44">
        <v>2357</v>
      </c>
      <c r="M111" s="44">
        <v>2386</v>
      </c>
      <c r="N111" s="44">
        <v>3912</v>
      </c>
      <c r="O111" s="44">
        <v>1861</v>
      </c>
      <c r="P111" s="44">
        <v>2230</v>
      </c>
      <c r="Q111" s="45">
        <v>3760</v>
      </c>
      <c r="R111" s="44">
        <v>2930</v>
      </c>
      <c r="S111" s="45">
        <v>3833</v>
      </c>
      <c r="T111" s="45">
        <v>4576</v>
      </c>
      <c r="U111" s="44">
        <v>2362</v>
      </c>
      <c r="V111" s="44">
        <v>1446</v>
      </c>
      <c r="W111" s="44">
        <v>3277</v>
      </c>
      <c r="X111" s="10">
        <v>0.18395671606680791</v>
      </c>
      <c r="Y111" s="8">
        <v>-9.2588913173057841E-2</v>
      </c>
      <c r="Z111" s="8">
        <v>-0.1083132618057077</v>
      </c>
      <c r="AA111" s="8">
        <v>-4.5510354424163069E-2</v>
      </c>
    </row>
    <row r="112" spans="2:27" x14ac:dyDescent="0.3">
      <c r="B112" s="13" t="s">
        <v>329</v>
      </c>
      <c r="C112" s="3" t="s">
        <v>499</v>
      </c>
      <c r="D112" s="3" t="s">
        <v>517</v>
      </c>
      <c r="E112" s="3" t="s">
        <v>503</v>
      </c>
      <c r="F112" s="5">
        <v>-6.5</v>
      </c>
      <c r="G112" s="44">
        <v>754.9</v>
      </c>
      <c r="H112" s="44">
        <v>565.9</v>
      </c>
      <c r="I112" s="44">
        <v>565.70000000000005</v>
      </c>
      <c r="J112" s="44">
        <v>579.79999999999995</v>
      </c>
      <c r="K112" s="44">
        <v>603.9</v>
      </c>
      <c r="L112" s="44">
        <v>655.7</v>
      </c>
      <c r="M112" s="44">
        <v>690.9</v>
      </c>
      <c r="N112" s="44">
        <v>716.6</v>
      </c>
      <c r="O112" s="44">
        <v>762.8</v>
      </c>
      <c r="P112" s="44">
        <v>773.3</v>
      </c>
      <c r="Q112" s="44">
        <v>785.3</v>
      </c>
      <c r="R112" s="44">
        <v>786.6</v>
      </c>
      <c r="S112" s="44">
        <v>837.6</v>
      </c>
      <c r="T112" s="44">
        <v>706.9</v>
      </c>
      <c r="U112" s="44">
        <v>715.9</v>
      </c>
      <c r="V112" s="44">
        <v>598.9</v>
      </c>
      <c r="W112" s="44">
        <v>652.1</v>
      </c>
      <c r="X112" s="7">
        <v>-2.0862133970089292E-2</v>
      </c>
      <c r="Y112" s="8">
        <v>-2.226928507251957E-2</v>
      </c>
      <c r="Z112" s="8">
        <v>-6.1601575319986779E-2</v>
      </c>
      <c r="AA112" s="8">
        <v>-6.487601860595249E-2</v>
      </c>
    </row>
    <row r="113" spans="2:27" x14ac:dyDescent="0.3">
      <c r="B113" s="13" t="s">
        <v>71</v>
      </c>
      <c r="C113" s="3" t="s">
        <v>499</v>
      </c>
      <c r="D113" s="3" t="s">
        <v>562</v>
      </c>
      <c r="E113" s="3" t="s">
        <v>503</v>
      </c>
      <c r="F113" s="5">
        <v>-11.9</v>
      </c>
      <c r="G113" s="44">
        <v>1654</v>
      </c>
      <c r="H113" s="44">
        <v>1742</v>
      </c>
      <c r="I113" s="44">
        <v>1734</v>
      </c>
      <c r="J113" s="44">
        <v>1746</v>
      </c>
      <c r="K113" s="44">
        <v>1764</v>
      </c>
      <c r="L113" s="44">
        <v>1773</v>
      </c>
      <c r="M113" s="44">
        <v>1867</v>
      </c>
      <c r="N113" s="44">
        <v>1667</v>
      </c>
      <c r="O113" s="44">
        <v>1674</v>
      </c>
      <c r="P113" s="44">
        <v>1114</v>
      </c>
      <c r="Q113" s="44">
        <v>1107</v>
      </c>
      <c r="R113" s="44">
        <v>1120</v>
      </c>
      <c r="S113" s="44">
        <v>1649</v>
      </c>
      <c r="T113" s="44">
        <v>1061</v>
      </c>
      <c r="U113" s="44">
        <v>1060</v>
      </c>
      <c r="V113" s="44">
        <v>1072</v>
      </c>
      <c r="W113" s="44">
        <v>1072</v>
      </c>
      <c r="X113" s="7">
        <v>-1.062124248496998E-2</v>
      </c>
      <c r="Y113" s="8">
        <v>-9.519951387482295E-3</v>
      </c>
      <c r="Z113" s="8">
        <v>-9.8159509202454531E-3</v>
      </c>
      <c r="AA113" s="8">
        <v>-0.11916563403552249</v>
      </c>
    </row>
    <row r="114" spans="2:27" x14ac:dyDescent="0.3">
      <c r="B114" s="17" t="s">
        <v>129</v>
      </c>
      <c r="C114" s="18" t="s">
        <v>499</v>
      </c>
      <c r="D114" s="18" t="s">
        <v>527</v>
      </c>
      <c r="E114" s="18" t="s">
        <v>503</v>
      </c>
      <c r="F114" s="19">
        <v>-12.1</v>
      </c>
      <c r="G114" s="46">
        <v>1375</v>
      </c>
      <c r="H114" s="46">
        <v>1377</v>
      </c>
      <c r="I114" s="46">
        <v>1463</v>
      </c>
      <c r="J114" s="46">
        <v>1456</v>
      </c>
      <c r="K114" s="46">
        <v>1530</v>
      </c>
      <c r="L114" s="46">
        <v>1461</v>
      </c>
      <c r="M114" s="46">
        <v>1526</v>
      </c>
      <c r="N114" s="46">
        <v>1495</v>
      </c>
      <c r="O114" s="46">
        <v>1584</v>
      </c>
      <c r="P114" s="46">
        <v>1525</v>
      </c>
      <c r="Q114" s="46">
        <v>0</v>
      </c>
      <c r="R114" s="46">
        <v>1004</v>
      </c>
      <c r="S114" s="46">
        <v>1620</v>
      </c>
      <c r="T114" s="46">
        <v>1474</v>
      </c>
      <c r="U114" s="46">
        <v>0</v>
      </c>
      <c r="V114" s="46">
        <v>1027</v>
      </c>
      <c r="W114" s="46">
        <v>1123</v>
      </c>
      <c r="X114" s="21">
        <v>-1.2292118582791001E-2</v>
      </c>
      <c r="Y114" s="22">
        <v>0</v>
      </c>
      <c r="Z114" s="22">
        <v>5.6124938994630558E-3</v>
      </c>
      <c r="AA114" s="22">
        <v>-0.12060179568066</v>
      </c>
    </row>
    <row r="115" spans="2:27" x14ac:dyDescent="0.3">
      <c r="B115" s="13">
        <v>8304</v>
      </c>
      <c r="C115" s="3" t="s">
        <v>563</v>
      </c>
      <c r="D115" s="3" t="str">
        <f>VLOOKUP(B115,기업리스트!B:G,2,FALSE)</f>
        <v>Aozora Bank, Ltd.</v>
      </c>
      <c r="E115" s="3" t="s">
        <v>509</v>
      </c>
      <c r="F115" s="5">
        <v>6.8</v>
      </c>
      <c r="G115" s="44">
        <v>29225</v>
      </c>
      <c r="H115" s="44">
        <v>27711</v>
      </c>
      <c r="I115" s="44">
        <v>35533</v>
      </c>
      <c r="J115" s="44">
        <v>27983</v>
      </c>
      <c r="K115" s="44">
        <v>21635</v>
      </c>
      <c r="L115" s="44">
        <v>23647</v>
      </c>
      <c r="M115" s="44">
        <v>28490</v>
      </c>
      <c r="N115" s="44">
        <v>28621</v>
      </c>
      <c r="O115" s="44">
        <v>-16466</v>
      </c>
      <c r="P115" s="44">
        <v>17705</v>
      </c>
      <c r="Q115" s="44">
        <v>28905</v>
      </c>
      <c r="R115" s="44">
        <v>27722</v>
      </c>
      <c r="S115" s="45">
        <v>28024</v>
      </c>
      <c r="T115" s="44">
        <v>20035</v>
      </c>
      <c r="U115" s="44">
        <v>33535</v>
      </c>
      <c r="V115" s="44">
        <v>23149</v>
      </c>
      <c r="W115" s="44">
        <v>35127</v>
      </c>
      <c r="X115" s="7">
        <v>2.2763687521982101E-2</v>
      </c>
      <c r="Y115" s="8">
        <v>4.4227499379095647E-2</v>
      </c>
      <c r="Z115" s="8">
        <v>-4.1832851549635897E-2</v>
      </c>
      <c r="AA115" s="8">
        <v>6.7813600908891214E-2</v>
      </c>
    </row>
    <row r="116" spans="2:27" x14ac:dyDescent="0.3">
      <c r="B116" s="13">
        <v>5832</v>
      </c>
      <c r="C116" s="3" t="s">
        <v>563</v>
      </c>
      <c r="D116" s="3" t="str">
        <f>VLOOKUP(B116,기업리스트!B:G,2,FALSE)</f>
        <v>Chugin Financial Group,Inc.</v>
      </c>
      <c r="E116" s="3" t="s">
        <v>509</v>
      </c>
      <c r="F116" s="5">
        <v>5.6</v>
      </c>
      <c r="G116" s="44">
        <v>31769</v>
      </c>
      <c r="H116" s="44">
        <v>23441</v>
      </c>
      <c r="I116" s="44">
        <v>28974</v>
      </c>
      <c r="J116" s="44">
        <v>31056</v>
      </c>
      <c r="K116" s="45">
        <v>49889</v>
      </c>
      <c r="L116" s="44">
        <v>32240</v>
      </c>
      <c r="M116" s="44">
        <v>29444</v>
      </c>
      <c r="N116" s="44">
        <v>25727</v>
      </c>
      <c r="O116" s="44">
        <v>30808</v>
      </c>
      <c r="P116" s="44">
        <v>27729</v>
      </c>
      <c r="Q116" s="44">
        <v>33129</v>
      </c>
      <c r="R116" s="44">
        <v>28918</v>
      </c>
      <c r="S116" s="44">
        <v>40945</v>
      </c>
      <c r="T116" s="44">
        <v>20039</v>
      </c>
      <c r="U116" s="44">
        <v>38465</v>
      </c>
      <c r="V116" s="44">
        <v>33486</v>
      </c>
      <c r="W116" s="44">
        <v>48389</v>
      </c>
      <c r="X116" s="7">
        <v>-5.882757934838323E-2</v>
      </c>
      <c r="Y116" s="8">
        <v>4.3371182872609333E-2</v>
      </c>
      <c r="Z116" s="8">
        <v>3.5585469785848423E-2</v>
      </c>
      <c r="AA116" s="8">
        <v>5.5997291909579923E-2</v>
      </c>
    </row>
    <row r="117" spans="2:27" x14ac:dyDescent="0.3">
      <c r="B117" s="13">
        <v>8354</v>
      </c>
      <c r="C117" s="3" t="s">
        <v>563</v>
      </c>
      <c r="D117" s="3" t="str">
        <f>VLOOKUP(B117,기업리스트!B:G,2,FALSE)</f>
        <v>Fukuoka Financial Group, Inc.</v>
      </c>
      <c r="E117" s="3" t="s">
        <v>509</v>
      </c>
      <c r="F117" s="5">
        <v>5.2</v>
      </c>
      <c r="G117" s="44">
        <v>69246</v>
      </c>
      <c r="H117" s="44">
        <v>68465</v>
      </c>
      <c r="I117" s="44">
        <v>69558</v>
      </c>
      <c r="J117" s="44">
        <v>68612</v>
      </c>
      <c r="K117" s="44">
        <v>76663</v>
      </c>
      <c r="L117" s="44">
        <v>66739</v>
      </c>
      <c r="M117" s="44">
        <v>70233</v>
      </c>
      <c r="N117" s="44">
        <v>66897</v>
      </c>
      <c r="O117" s="44">
        <v>69893</v>
      </c>
      <c r="P117" s="44">
        <v>67176</v>
      </c>
      <c r="Q117" s="44">
        <v>76944</v>
      </c>
      <c r="R117" s="44">
        <v>86582</v>
      </c>
      <c r="S117" s="44">
        <v>79755</v>
      </c>
      <c r="T117" s="44">
        <v>74955</v>
      </c>
      <c r="U117" s="44">
        <v>86691</v>
      </c>
      <c r="V117" s="44">
        <v>82851</v>
      </c>
      <c r="W117" s="44">
        <v>96718</v>
      </c>
      <c r="X117" s="7">
        <v>2.505661009415161E-2</v>
      </c>
      <c r="Y117" s="8">
        <v>3.0628213024296521E-2</v>
      </c>
      <c r="Z117" s="8">
        <v>-1.1375589588484719E-2</v>
      </c>
      <c r="AA117" s="8">
        <v>5.2314249410952092E-2</v>
      </c>
    </row>
    <row r="118" spans="2:27" x14ac:dyDescent="0.3">
      <c r="B118" s="13">
        <v>8306</v>
      </c>
      <c r="C118" s="3" t="s">
        <v>563</v>
      </c>
      <c r="D118" s="3" t="str">
        <f>VLOOKUP(B118,기업리스트!B:G,2,FALSE)</f>
        <v>Mitsubishi UFJ Financial Group, Inc.</v>
      </c>
      <c r="E118" s="3" t="s">
        <v>509</v>
      </c>
      <c r="F118" s="5">
        <v>4.2</v>
      </c>
      <c r="G118" s="44">
        <v>1235387</v>
      </c>
      <c r="H118" s="44">
        <v>-1003745</v>
      </c>
      <c r="I118" s="44">
        <v>1817412</v>
      </c>
      <c r="J118" s="44">
        <v>1458367</v>
      </c>
      <c r="K118" s="44">
        <v>1507080</v>
      </c>
      <c r="L118" s="44">
        <v>-1293392</v>
      </c>
      <c r="M118" s="44">
        <v>1623164</v>
      </c>
      <c r="N118" s="44">
        <v>1513288</v>
      </c>
      <c r="O118" s="44">
        <v>1515521</v>
      </c>
      <c r="P118" s="45">
        <v>288991</v>
      </c>
      <c r="Q118" s="44">
        <v>2000653</v>
      </c>
      <c r="R118" s="44">
        <v>1770049</v>
      </c>
      <c r="S118" s="44">
        <v>1951004</v>
      </c>
      <c r="T118" s="44">
        <v>-391306</v>
      </c>
      <c r="U118" s="44">
        <v>1904488</v>
      </c>
      <c r="V118" s="44">
        <v>2036482</v>
      </c>
      <c r="W118" s="44">
        <v>2179759</v>
      </c>
      <c r="X118" s="7">
        <v>-0.1131810503840071</v>
      </c>
      <c r="Y118" s="8">
        <v>-1.8040859972985102E-2</v>
      </c>
      <c r="Z118" s="8">
        <v>5.0901994274234807E-2</v>
      </c>
      <c r="AA118" s="8">
        <v>4.1586767279901293E-2</v>
      </c>
    </row>
    <row r="119" spans="2:27" x14ac:dyDescent="0.3">
      <c r="B119" s="13">
        <v>2413</v>
      </c>
      <c r="C119" s="3" t="s">
        <v>563</v>
      </c>
      <c r="D119" s="3" t="str">
        <f>VLOOKUP(B119,기업리스트!B:G,2,FALSE)</f>
        <v>M3, Inc.</v>
      </c>
      <c r="E119" s="3" t="s">
        <v>509</v>
      </c>
      <c r="F119" s="5">
        <v>3.9</v>
      </c>
      <c r="G119" s="44">
        <v>56521</v>
      </c>
      <c r="H119" s="44">
        <v>53990</v>
      </c>
      <c r="I119" s="44">
        <v>56996</v>
      </c>
      <c r="J119" s="44">
        <v>55621</v>
      </c>
      <c r="K119" s="44">
        <v>62538</v>
      </c>
      <c r="L119" s="44">
        <v>55663</v>
      </c>
      <c r="M119" s="44">
        <v>57396</v>
      </c>
      <c r="N119" s="44">
        <v>58399</v>
      </c>
      <c r="O119" s="44">
        <v>63394</v>
      </c>
      <c r="P119" s="44">
        <v>59694</v>
      </c>
      <c r="Q119" s="44">
        <v>64209</v>
      </c>
      <c r="R119" s="44">
        <v>60610</v>
      </c>
      <c r="S119" s="44">
        <v>80702</v>
      </c>
      <c r="T119" s="44">
        <v>79379</v>
      </c>
      <c r="U119" s="44">
        <v>86200</v>
      </c>
      <c r="V119" s="44">
        <v>84685</v>
      </c>
      <c r="W119" s="44">
        <v>93510</v>
      </c>
      <c r="X119" s="7">
        <v>7.4222800369511566E-2</v>
      </c>
      <c r="Y119" s="8">
        <v>7.7188487188487143E-2</v>
      </c>
      <c r="Z119" s="8">
        <v>7.8448048329863074E-2</v>
      </c>
      <c r="AA119" s="8">
        <v>3.8698839155683729E-2</v>
      </c>
    </row>
    <row r="120" spans="2:27" x14ac:dyDescent="0.3">
      <c r="B120" s="13">
        <v>6103</v>
      </c>
      <c r="C120" s="3" t="s">
        <v>563</v>
      </c>
      <c r="D120" s="3" t="str">
        <f>VLOOKUP(B120,기업리스트!B:G,2,FALSE)</f>
        <v>Okuma Corporation</v>
      </c>
      <c r="E120" s="3" t="s">
        <v>509</v>
      </c>
      <c r="F120" s="5">
        <v>3.5</v>
      </c>
      <c r="G120" s="44">
        <v>45339</v>
      </c>
      <c r="H120" s="44">
        <v>50076</v>
      </c>
      <c r="I120" s="44">
        <v>49328</v>
      </c>
      <c r="J120" s="44">
        <v>59571</v>
      </c>
      <c r="K120" s="44">
        <v>58680</v>
      </c>
      <c r="L120" s="44">
        <v>60057</v>
      </c>
      <c r="M120" s="44">
        <v>50591</v>
      </c>
      <c r="N120" s="44">
        <v>59921</v>
      </c>
      <c r="O120" s="44">
        <v>56778</v>
      </c>
      <c r="P120" s="44">
        <v>60704</v>
      </c>
      <c r="Q120" s="44">
        <v>45329</v>
      </c>
      <c r="R120" s="44">
        <v>49918</v>
      </c>
      <c r="S120" s="44">
        <v>53720</v>
      </c>
      <c r="T120" s="44">
        <v>57855</v>
      </c>
      <c r="U120" s="44">
        <v>44646</v>
      </c>
      <c r="V120" s="44">
        <v>60571</v>
      </c>
      <c r="W120" s="44">
        <v>61291</v>
      </c>
      <c r="X120" s="7">
        <v>-1.3587954461990461E-2</v>
      </c>
      <c r="Y120" s="8">
        <v>-3.3023566158338902E-3</v>
      </c>
      <c r="Z120" s="8">
        <v>5.1678721639282221E-2</v>
      </c>
      <c r="AA120" s="8">
        <v>3.4922875382855427E-2</v>
      </c>
    </row>
    <row r="121" spans="2:27" x14ac:dyDescent="0.3">
      <c r="B121" s="13">
        <v>6963</v>
      </c>
      <c r="C121" s="3" t="s">
        <v>563</v>
      </c>
      <c r="D121" s="3" t="str">
        <f>VLOOKUP(B121,기업리스트!B:G,2,FALSE)</f>
        <v>ROHM Co., Ltd.</v>
      </c>
      <c r="E121" s="3" t="s">
        <v>509</v>
      </c>
      <c r="F121" s="5">
        <v>2.7</v>
      </c>
      <c r="G121" s="44">
        <v>115531</v>
      </c>
      <c r="H121" s="44">
        <v>113936</v>
      </c>
      <c r="I121" s="44">
        <v>125112</v>
      </c>
      <c r="J121" s="44">
        <v>134800</v>
      </c>
      <c r="K121" s="44">
        <v>130246</v>
      </c>
      <c r="L121" s="44">
        <v>117724</v>
      </c>
      <c r="M121" s="44">
        <v>120163</v>
      </c>
      <c r="N121" s="44">
        <v>119156</v>
      </c>
      <c r="O121" s="44">
        <v>115807</v>
      </c>
      <c r="P121" s="44">
        <v>112654</v>
      </c>
      <c r="Q121" s="44">
        <v>118276</v>
      </c>
      <c r="R121" s="44">
        <v>113746</v>
      </c>
      <c r="S121" s="44">
        <v>112620</v>
      </c>
      <c r="T121" s="44">
        <v>103824</v>
      </c>
      <c r="U121" s="44">
        <v>116205</v>
      </c>
      <c r="V121" s="44">
        <v>128023</v>
      </c>
      <c r="W121" s="44">
        <v>125287</v>
      </c>
      <c r="X121" s="7">
        <v>-1.930915643259512E-2</v>
      </c>
      <c r="Y121" s="8">
        <v>-4.6179643495828371E-3</v>
      </c>
      <c r="Z121" s="8">
        <v>3.1982885112960442E-2</v>
      </c>
      <c r="AA121" s="8">
        <v>2.7496787302028421E-2</v>
      </c>
    </row>
    <row r="122" spans="2:27" x14ac:dyDescent="0.3">
      <c r="B122" s="13">
        <v>4503</v>
      </c>
      <c r="C122" s="3" t="s">
        <v>563</v>
      </c>
      <c r="D122" s="3" t="str">
        <f>VLOOKUP(B122,기업리스트!B:G,2,FALSE)</f>
        <v>Astellas Pharma Inc.</v>
      </c>
      <c r="E122" s="3" t="s">
        <v>509</v>
      </c>
      <c r="F122" s="5">
        <v>2.7</v>
      </c>
      <c r="G122" s="44">
        <v>340627</v>
      </c>
      <c r="H122" s="44">
        <v>303870</v>
      </c>
      <c r="I122" s="44">
        <v>381791</v>
      </c>
      <c r="J122" s="44">
        <v>380394</v>
      </c>
      <c r="K122" s="44">
        <v>402180</v>
      </c>
      <c r="L122" s="44">
        <v>354254</v>
      </c>
      <c r="M122" s="44">
        <v>374990</v>
      </c>
      <c r="N122" s="44">
        <v>392148</v>
      </c>
      <c r="O122" s="44">
        <v>421932</v>
      </c>
      <c r="P122" s="44">
        <v>414602</v>
      </c>
      <c r="Q122" s="44">
        <v>473124</v>
      </c>
      <c r="R122" s="44">
        <v>462497</v>
      </c>
      <c r="S122" s="44">
        <v>517408</v>
      </c>
      <c r="T122" s="44">
        <v>459294</v>
      </c>
      <c r="U122" s="44">
        <v>505794</v>
      </c>
      <c r="V122" s="44">
        <v>524320</v>
      </c>
      <c r="W122" s="44">
        <v>571206</v>
      </c>
      <c r="X122" s="7">
        <v>2.3929780561577681E-2</v>
      </c>
      <c r="Y122" s="8">
        <v>1.708393404252306E-2</v>
      </c>
      <c r="Z122" s="8">
        <v>3.1785718509012677E-2</v>
      </c>
      <c r="AA122" s="8">
        <v>2.6807639564364601E-2</v>
      </c>
    </row>
    <row r="123" spans="2:27" x14ac:dyDescent="0.3">
      <c r="B123" s="13">
        <v>9706</v>
      </c>
      <c r="C123" s="3" t="s">
        <v>563</v>
      </c>
      <c r="D123" s="3" t="str">
        <f>VLOOKUP(B123,기업리스트!B:G,2,FALSE)</f>
        <v>Japan Airport Terminal Co., Ltd.</v>
      </c>
      <c r="E123" s="3" t="s">
        <v>522</v>
      </c>
      <c r="F123" s="5">
        <v>2.2000000000000002</v>
      </c>
      <c r="G123" s="44">
        <v>13904</v>
      </c>
      <c r="H123" s="44">
        <v>16694</v>
      </c>
      <c r="I123" s="44">
        <v>14467</v>
      </c>
      <c r="J123" s="44">
        <v>19371</v>
      </c>
      <c r="K123" s="45">
        <v>24242</v>
      </c>
      <c r="L123" s="45">
        <v>32414</v>
      </c>
      <c r="M123" s="45">
        <v>37023</v>
      </c>
      <c r="N123" s="45">
        <v>45996</v>
      </c>
      <c r="O123" s="45">
        <v>54152</v>
      </c>
      <c r="P123" s="45">
        <v>58871</v>
      </c>
      <c r="Q123" s="45">
        <v>58559</v>
      </c>
      <c r="R123" s="44">
        <v>65334</v>
      </c>
      <c r="S123" s="44">
        <v>66418</v>
      </c>
      <c r="T123" s="44">
        <v>69801</v>
      </c>
      <c r="U123" s="44">
        <v>68370</v>
      </c>
      <c r="V123" s="44">
        <v>68994</v>
      </c>
      <c r="W123" s="44">
        <v>72550</v>
      </c>
      <c r="X123" s="7">
        <v>4.386352144215877E-2</v>
      </c>
      <c r="Y123" s="8">
        <v>3.771836747247348E-2</v>
      </c>
      <c r="Z123" s="8">
        <v>1.355942250197284E-2</v>
      </c>
      <c r="AA123" s="8">
        <v>2.241367336420752E-2</v>
      </c>
    </row>
    <row r="124" spans="2:27" x14ac:dyDescent="0.3">
      <c r="B124" s="13">
        <v>8056</v>
      </c>
      <c r="C124" s="3" t="s">
        <v>563</v>
      </c>
      <c r="D124" s="3" t="str">
        <f>VLOOKUP(B124,기업리스트!B:G,2,FALSE)</f>
        <v>BIPROGY Inc.</v>
      </c>
      <c r="E124" s="3" t="s">
        <v>509</v>
      </c>
      <c r="F124" s="5">
        <v>2</v>
      </c>
      <c r="G124" s="44">
        <v>71927</v>
      </c>
      <c r="H124" s="44">
        <v>99758</v>
      </c>
      <c r="I124" s="44">
        <v>70517</v>
      </c>
      <c r="J124" s="44">
        <v>84264</v>
      </c>
      <c r="K124" s="44">
        <v>75194</v>
      </c>
      <c r="L124" s="44">
        <v>109922</v>
      </c>
      <c r="M124" s="44">
        <v>79854</v>
      </c>
      <c r="N124" s="44">
        <v>93123</v>
      </c>
      <c r="O124" s="44">
        <v>85897</v>
      </c>
      <c r="P124" s="44">
        <v>111267</v>
      </c>
      <c r="Q124" s="44">
        <v>93016</v>
      </c>
      <c r="R124" s="44">
        <v>97680</v>
      </c>
      <c r="S124" s="44">
        <v>93233</v>
      </c>
      <c r="T124" s="44">
        <v>124745</v>
      </c>
      <c r="U124" s="44">
        <v>102566</v>
      </c>
      <c r="V124" s="44">
        <v>108288</v>
      </c>
      <c r="W124" s="44">
        <v>101712</v>
      </c>
      <c r="X124" s="7">
        <v>3.4104596200366322E-2</v>
      </c>
      <c r="Y124" s="8">
        <v>2.3368259297141591E-2</v>
      </c>
      <c r="Z124" s="8">
        <v>2.5364398025938151E-2</v>
      </c>
      <c r="AA124" s="8">
        <v>1.9772311767778609E-2</v>
      </c>
    </row>
    <row r="125" spans="2:27" x14ac:dyDescent="0.3">
      <c r="B125" s="13">
        <v>6367</v>
      </c>
      <c r="C125" s="3" t="s">
        <v>563</v>
      </c>
      <c r="D125" s="3" t="str">
        <f>VLOOKUP(B125,기업리스트!B:G,2,FALSE)</f>
        <v>Daikin Industries,Ltd.</v>
      </c>
      <c r="E125" s="3" t="s">
        <v>509</v>
      </c>
      <c r="F125" s="5">
        <v>1.8</v>
      </c>
      <c r="G125" s="44">
        <v>743076</v>
      </c>
      <c r="H125" s="44">
        <v>807167</v>
      </c>
      <c r="I125" s="44">
        <v>967755</v>
      </c>
      <c r="J125" s="44">
        <v>1052035</v>
      </c>
      <c r="K125" s="44">
        <v>965877</v>
      </c>
      <c r="L125" s="44">
        <v>995911</v>
      </c>
      <c r="M125" s="44">
        <v>1094715</v>
      </c>
      <c r="N125" s="44">
        <v>1130439</v>
      </c>
      <c r="O125" s="44">
        <v>1038498</v>
      </c>
      <c r="P125" s="44">
        <v>1131665</v>
      </c>
      <c r="Q125" s="44">
        <v>1251029</v>
      </c>
      <c r="R125" s="44">
        <v>1242035</v>
      </c>
      <c r="S125" s="44">
        <v>1100160</v>
      </c>
      <c r="T125" s="44">
        <v>1159111</v>
      </c>
      <c r="U125" s="44">
        <v>1213821</v>
      </c>
      <c r="V125" s="44">
        <v>1264977</v>
      </c>
      <c r="W125" s="44">
        <v>1187531</v>
      </c>
      <c r="X125" s="7">
        <v>5.8088137096976578E-3</v>
      </c>
      <c r="Y125" s="8">
        <v>-7.829414382613975E-3</v>
      </c>
      <c r="Z125" s="8">
        <v>4.8656165570937224E-3</v>
      </c>
      <c r="AA125" s="8">
        <v>1.8440212668916489E-2</v>
      </c>
    </row>
    <row r="126" spans="2:27" x14ac:dyDescent="0.3">
      <c r="B126" s="13">
        <v>6420</v>
      </c>
      <c r="C126" s="3" t="s">
        <v>563</v>
      </c>
      <c r="D126" s="3" t="str">
        <f>VLOOKUP(B126,기업리스트!B:G,2,FALSE)</f>
        <v>Galilei Co. Ltd.</v>
      </c>
      <c r="E126" s="3" t="s">
        <v>522</v>
      </c>
      <c r="F126" s="5">
        <v>1.8</v>
      </c>
      <c r="G126" s="44">
        <v>24705</v>
      </c>
      <c r="H126" s="44">
        <v>24746</v>
      </c>
      <c r="I126" s="44">
        <v>24299</v>
      </c>
      <c r="J126" s="44">
        <v>23069</v>
      </c>
      <c r="K126" s="44">
        <v>25400</v>
      </c>
      <c r="L126" s="44">
        <v>28043</v>
      </c>
      <c r="M126" s="44">
        <v>28484</v>
      </c>
      <c r="N126" s="44">
        <v>25807</v>
      </c>
      <c r="O126" s="44">
        <v>27729</v>
      </c>
      <c r="P126" s="44">
        <v>30739</v>
      </c>
      <c r="Q126" s="44">
        <v>31540</v>
      </c>
      <c r="R126" s="44">
        <v>28659</v>
      </c>
      <c r="S126" s="44">
        <v>32352</v>
      </c>
      <c r="T126" s="44">
        <v>33878</v>
      </c>
      <c r="U126" s="44">
        <v>35750</v>
      </c>
      <c r="V126" s="44">
        <v>33215</v>
      </c>
      <c r="W126" s="44">
        <v>34788</v>
      </c>
      <c r="X126" s="7">
        <v>2.5460296861059328E-2</v>
      </c>
      <c r="Y126" s="8">
        <v>3.3299322149190402E-2</v>
      </c>
      <c r="Z126" s="8">
        <v>3.4874731129295178E-2</v>
      </c>
      <c r="AA126" s="8">
        <v>1.801841784089642E-2</v>
      </c>
    </row>
    <row r="127" spans="2:27" x14ac:dyDescent="0.3">
      <c r="B127" s="13">
        <v>4091</v>
      </c>
      <c r="C127" s="3" t="s">
        <v>563</v>
      </c>
      <c r="D127" s="3" t="str">
        <f>VLOOKUP(B127,기업리스트!B:G,2,FALSE)</f>
        <v>Nippon Sanso Holdings Corporation</v>
      </c>
      <c r="E127" s="3" t="s">
        <v>522</v>
      </c>
      <c r="F127" s="5">
        <v>1.7</v>
      </c>
      <c r="G127" s="44">
        <v>229070</v>
      </c>
      <c r="H127" s="44">
        <v>244161</v>
      </c>
      <c r="I127" s="44">
        <v>265634</v>
      </c>
      <c r="J127" s="44">
        <v>276006</v>
      </c>
      <c r="K127" s="44">
        <v>297693</v>
      </c>
      <c r="L127" s="44">
        <v>299342</v>
      </c>
      <c r="M127" s="44">
        <v>313641</v>
      </c>
      <c r="N127" s="44">
        <v>308903</v>
      </c>
      <c r="O127" s="44">
        <v>303668</v>
      </c>
      <c r="P127" s="44">
        <v>316084</v>
      </c>
      <c r="Q127" s="44">
        <v>326425</v>
      </c>
      <c r="R127" s="44">
        <v>329274</v>
      </c>
      <c r="S127" s="44">
        <v>313771</v>
      </c>
      <c r="T127" s="44">
        <v>328218</v>
      </c>
      <c r="U127" s="44">
        <v>336761</v>
      </c>
      <c r="V127" s="44">
        <v>314758</v>
      </c>
      <c r="W127" s="44">
        <v>336071</v>
      </c>
      <c r="X127" s="7">
        <v>9.4387322508429072E-3</v>
      </c>
      <c r="Y127" s="8">
        <v>7.9649345605414812E-3</v>
      </c>
      <c r="Z127" s="8">
        <v>-1.1097655700507031E-2</v>
      </c>
      <c r="AA127" s="8">
        <v>1.7239939760712811E-2</v>
      </c>
    </row>
    <row r="128" spans="2:27" x14ac:dyDescent="0.3">
      <c r="B128" s="13">
        <v>9001</v>
      </c>
      <c r="C128" s="3" t="s">
        <v>563</v>
      </c>
      <c r="D128" s="3" t="str">
        <f>VLOOKUP(B128,기업리스트!B:G,2,FALSE)</f>
        <v>Tobu Railway Co., Ltd.</v>
      </c>
      <c r="E128" s="3" t="s">
        <v>509</v>
      </c>
      <c r="F128" s="5">
        <v>1.4</v>
      </c>
      <c r="G128" s="44">
        <v>133902</v>
      </c>
      <c r="H128" s="44">
        <v>138290</v>
      </c>
      <c r="I128" s="44">
        <v>139026</v>
      </c>
      <c r="J128" s="44">
        <v>146396</v>
      </c>
      <c r="K128" s="44">
        <v>161914</v>
      </c>
      <c r="L128" s="44">
        <v>167415</v>
      </c>
      <c r="M128" s="44">
        <v>157375</v>
      </c>
      <c r="N128" s="44">
        <v>151207</v>
      </c>
      <c r="O128" s="44">
        <v>158136</v>
      </c>
      <c r="P128" s="44">
        <v>169246</v>
      </c>
      <c r="Q128" s="44">
        <v>149914</v>
      </c>
      <c r="R128" s="44">
        <v>152082</v>
      </c>
      <c r="S128" s="44">
        <v>156481</v>
      </c>
      <c r="T128" s="44">
        <v>172984</v>
      </c>
      <c r="U128" s="44">
        <v>148613</v>
      </c>
      <c r="V128" s="44">
        <v>162140</v>
      </c>
      <c r="W128" s="44">
        <v>165167</v>
      </c>
      <c r="X128" s="7">
        <v>5.9548558838851129E-3</v>
      </c>
      <c r="Y128" s="8">
        <v>-2.0603014279583221E-3</v>
      </c>
      <c r="Z128" s="8">
        <v>1.5961025771232599E-2</v>
      </c>
      <c r="AA128" s="8">
        <v>1.3567253654223951E-2</v>
      </c>
    </row>
    <row r="129" spans="2:27" x14ac:dyDescent="0.3">
      <c r="B129" s="13">
        <v>4569</v>
      </c>
      <c r="C129" s="3" t="s">
        <v>563</v>
      </c>
      <c r="D129" s="3" t="str">
        <f>VLOOKUP(B129,기업리스트!B:G,2,FALSE)</f>
        <v>KYORIN Pharmaceutical Co., Ltd.</v>
      </c>
      <c r="E129" s="3" t="s">
        <v>522</v>
      </c>
      <c r="F129" s="5">
        <v>1.4</v>
      </c>
      <c r="G129" s="44">
        <v>24407</v>
      </c>
      <c r="H129" s="44">
        <v>28615</v>
      </c>
      <c r="I129" s="44">
        <v>27817</v>
      </c>
      <c r="J129" s="44">
        <v>24619</v>
      </c>
      <c r="K129" s="44">
        <v>24474</v>
      </c>
      <c r="L129" s="44">
        <v>31614</v>
      </c>
      <c r="M129" s="44">
        <v>32563</v>
      </c>
      <c r="N129" s="44">
        <v>27854</v>
      </c>
      <c r="O129" s="44">
        <v>27083</v>
      </c>
      <c r="P129" s="44">
        <v>32330</v>
      </c>
      <c r="Q129" s="44">
        <v>32265</v>
      </c>
      <c r="R129" s="44">
        <v>28419</v>
      </c>
      <c r="S129" s="44">
        <v>26720</v>
      </c>
      <c r="T129" s="44">
        <v>34147</v>
      </c>
      <c r="U129" s="44">
        <v>40801</v>
      </c>
      <c r="V129" s="44">
        <v>30229</v>
      </c>
      <c r="W129" s="44">
        <v>28502</v>
      </c>
      <c r="X129" s="7">
        <v>1.5175305259992999E-2</v>
      </c>
      <c r="Y129" s="8">
        <v>7.0225666592623748E-2</v>
      </c>
      <c r="Z129" s="8">
        <v>1.391376540315337E-2</v>
      </c>
      <c r="AA129" s="8">
        <v>1.3510542317111129E-2</v>
      </c>
    </row>
    <row r="130" spans="2:27" x14ac:dyDescent="0.3">
      <c r="B130" s="13">
        <v>9412</v>
      </c>
      <c r="C130" s="3" t="s">
        <v>563</v>
      </c>
      <c r="D130" s="3" t="str">
        <f>VLOOKUP(B130,기업리스트!B:G,2,FALSE)</f>
        <v>SKY Perfect JSAT Holdings Inc.</v>
      </c>
      <c r="E130" s="3" t="s">
        <v>509</v>
      </c>
      <c r="F130" s="5">
        <v>1.3</v>
      </c>
      <c r="G130" s="44">
        <v>30047</v>
      </c>
      <c r="H130" s="44">
        <v>31196</v>
      </c>
      <c r="I130" s="44">
        <v>28806</v>
      </c>
      <c r="J130" s="44">
        <v>29190</v>
      </c>
      <c r="K130" s="44">
        <v>30598</v>
      </c>
      <c r="L130" s="44">
        <v>32546</v>
      </c>
      <c r="M130" s="44">
        <v>30009</v>
      </c>
      <c r="N130" s="44">
        <v>30489</v>
      </c>
      <c r="O130" s="44">
        <v>30524</v>
      </c>
      <c r="P130" s="44">
        <v>30850</v>
      </c>
      <c r="Q130" s="44">
        <v>30490</v>
      </c>
      <c r="R130" s="44">
        <v>30526</v>
      </c>
      <c r="S130" s="44">
        <v>30844</v>
      </c>
      <c r="T130" s="44">
        <v>31861</v>
      </c>
      <c r="U130" s="44">
        <v>29825</v>
      </c>
      <c r="V130" s="44">
        <v>31046</v>
      </c>
      <c r="W130" s="44">
        <v>32461</v>
      </c>
      <c r="X130" s="7">
        <v>8.2389373319207149E-3</v>
      </c>
      <c r="Y130" s="8">
        <v>-5.3749969689866886E-3</v>
      </c>
      <c r="Z130" s="8">
        <v>4.2257183721232661E-3</v>
      </c>
      <c r="AA130" s="8">
        <v>1.30850650611769E-2</v>
      </c>
    </row>
    <row r="131" spans="2:27" x14ac:dyDescent="0.3">
      <c r="B131" s="13">
        <v>9010</v>
      </c>
      <c r="C131" s="3" t="s">
        <v>563</v>
      </c>
      <c r="D131" s="3" t="str">
        <f>VLOOKUP(B131,기업리스트!B:G,2,FALSE)</f>
        <v>Fuji Kyuko Co., Ltd.</v>
      </c>
      <c r="E131" s="3" t="s">
        <v>522</v>
      </c>
      <c r="F131" s="5">
        <v>1.3</v>
      </c>
      <c r="G131" s="44">
        <v>9518</v>
      </c>
      <c r="H131" s="44">
        <v>9864</v>
      </c>
      <c r="I131" s="44">
        <v>8271</v>
      </c>
      <c r="J131" s="44">
        <v>9098</v>
      </c>
      <c r="K131" s="44">
        <v>11512</v>
      </c>
      <c r="L131" s="44">
        <v>11265</v>
      </c>
      <c r="M131" s="44">
        <v>11049</v>
      </c>
      <c r="N131" s="44">
        <v>11278</v>
      </c>
      <c r="O131" s="44">
        <v>14639</v>
      </c>
      <c r="P131" s="44">
        <v>13110</v>
      </c>
      <c r="Q131" s="44">
        <v>11674</v>
      </c>
      <c r="R131" s="44">
        <v>12233</v>
      </c>
      <c r="S131" s="44">
        <v>13578</v>
      </c>
      <c r="T131" s="44">
        <v>13622</v>
      </c>
      <c r="U131" s="44">
        <v>12796</v>
      </c>
      <c r="V131" s="44">
        <v>12342</v>
      </c>
      <c r="W131" s="44">
        <v>14262</v>
      </c>
      <c r="X131" s="7">
        <v>1.011957703330379E-2</v>
      </c>
      <c r="Y131" s="8">
        <v>2.1953939773416531E-2</v>
      </c>
      <c r="Z131" s="8">
        <v>2.0869631813742462E-3</v>
      </c>
      <c r="AA131" s="8">
        <v>1.3068898314799959E-2</v>
      </c>
    </row>
    <row r="132" spans="2:27" x14ac:dyDescent="0.3">
      <c r="B132" s="13">
        <v>6368</v>
      </c>
      <c r="C132" s="3" t="s">
        <v>563</v>
      </c>
      <c r="D132" s="3" t="str">
        <f>VLOOKUP(B132,기업리스트!B:G,2,FALSE)</f>
        <v>Organo Corporation</v>
      </c>
      <c r="E132" s="3" t="s">
        <v>522</v>
      </c>
      <c r="F132" s="5">
        <v>1.2</v>
      </c>
      <c r="G132" s="44">
        <v>27694</v>
      </c>
      <c r="H132" s="44">
        <v>27833</v>
      </c>
      <c r="I132" s="44">
        <v>34235</v>
      </c>
      <c r="J132" s="44">
        <v>27835</v>
      </c>
      <c r="K132" s="44">
        <v>34282</v>
      </c>
      <c r="L132" s="44">
        <v>33010</v>
      </c>
      <c r="M132" s="44">
        <v>37299</v>
      </c>
      <c r="N132" s="44">
        <v>29612</v>
      </c>
      <c r="O132" s="44">
        <v>35857</v>
      </c>
      <c r="P132" s="44">
        <v>40767</v>
      </c>
      <c r="Q132" s="44">
        <v>44120</v>
      </c>
      <c r="R132" s="44">
        <v>31619</v>
      </c>
      <c r="S132" s="44">
        <v>42704</v>
      </c>
      <c r="T132" s="44">
        <v>41375</v>
      </c>
      <c r="U132" s="44">
        <v>47571</v>
      </c>
      <c r="V132" s="44">
        <v>38110</v>
      </c>
      <c r="W132" s="44">
        <v>44683</v>
      </c>
      <c r="X132" s="7">
        <v>3.8188555995226641E-3</v>
      </c>
      <c r="Y132" s="8">
        <v>2.1593312392846901E-2</v>
      </c>
      <c r="Z132" s="8">
        <v>3.9756475509741478E-2</v>
      </c>
      <c r="AA132" s="8">
        <v>1.1657634307257411E-2</v>
      </c>
    </row>
    <row r="133" spans="2:27" x14ac:dyDescent="0.3">
      <c r="B133" s="13">
        <v>7832</v>
      </c>
      <c r="C133" s="3" t="s">
        <v>563</v>
      </c>
      <c r="D133" s="3" t="str">
        <f>VLOOKUP(B133,기업리스트!B:G,2,FALSE)</f>
        <v>BANDAI NAMCO Holdings Inc.</v>
      </c>
      <c r="E133" s="3" t="s">
        <v>522</v>
      </c>
      <c r="F133" s="5">
        <v>1</v>
      </c>
      <c r="G133" s="44">
        <v>215597</v>
      </c>
      <c r="H133" s="44">
        <v>234665</v>
      </c>
      <c r="I133" s="44">
        <v>260959</v>
      </c>
      <c r="J133" s="44">
        <v>216241</v>
      </c>
      <c r="K133" s="44">
        <v>261379</v>
      </c>
      <c r="L133" s="44">
        <v>265567</v>
      </c>
      <c r="M133" s="44">
        <v>246902</v>
      </c>
      <c r="N133" s="44">
        <v>224812</v>
      </c>
      <c r="O133" s="44">
        <v>277190</v>
      </c>
      <c r="P133" s="44">
        <v>270033</v>
      </c>
      <c r="Q133" s="44">
        <v>278175</v>
      </c>
      <c r="R133" s="44">
        <v>280627</v>
      </c>
      <c r="S133" s="44">
        <v>330764</v>
      </c>
      <c r="T133" s="44">
        <v>344272</v>
      </c>
      <c r="U133" s="44">
        <v>285850</v>
      </c>
      <c r="V133" s="44">
        <v>300430</v>
      </c>
      <c r="W133" s="44">
        <v>343386</v>
      </c>
      <c r="X133" s="7">
        <v>6.4021269421584481E-2</v>
      </c>
      <c r="Y133" s="8">
        <v>6.2204276412300974E-3</v>
      </c>
      <c r="Z133" s="8">
        <v>1.595069886501399E-2</v>
      </c>
      <c r="AA133" s="8">
        <v>1.000700855297176E-2</v>
      </c>
    </row>
    <row r="134" spans="2:27" x14ac:dyDescent="0.3">
      <c r="B134" s="13">
        <v>7296</v>
      </c>
      <c r="C134" s="3" t="s">
        <v>563</v>
      </c>
      <c r="D134" s="3" t="str">
        <f>VLOOKUP(B134,기업리스트!B:G,2,FALSE)</f>
        <v>F.C.C. Co., Ltd.</v>
      </c>
      <c r="E134" s="3" t="s">
        <v>522</v>
      </c>
      <c r="F134" s="5">
        <v>1</v>
      </c>
      <c r="G134" s="44">
        <v>40944</v>
      </c>
      <c r="H134" s="44">
        <v>43638</v>
      </c>
      <c r="I134" s="44">
        <v>47962</v>
      </c>
      <c r="J134" s="44">
        <v>48441</v>
      </c>
      <c r="K134" s="44">
        <v>58706</v>
      </c>
      <c r="L134" s="44">
        <v>55206</v>
      </c>
      <c r="M134" s="44">
        <v>56584</v>
      </c>
      <c r="N134" s="44">
        <v>56440</v>
      </c>
      <c r="O134" s="44">
        <v>60520</v>
      </c>
      <c r="P134" s="44">
        <v>60547</v>
      </c>
      <c r="Q134" s="44">
        <v>62775</v>
      </c>
      <c r="R134" s="44">
        <v>64129</v>
      </c>
      <c r="S134" s="44">
        <v>63194</v>
      </c>
      <c r="T134" s="44">
        <v>62431</v>
      </c>
      <c r="U134" s="44">
        <v>66865</v>
      </c>
      <c r="V134" s="44">
        <v>63188</v>
      </c>
      <c r="W134" s="44">
        <v>65670</v>
      </c>
      <c r="X134" s="7">
        <v>7.5166071535439638E-3</v>
      </c>
      <c r="Y134" s="8">
        <v>1.619615964899079E-2</v>
      </c>
      <c r="Z134" s="8">
        <v>-3.6669147646900551E-3</v>
      </c>
      <c r="AA134" s="8">
        <v>9.6840557263433436E-3</v>
      </c>
    </row>
    <row r="135" spans="2:27" x14ac:dyDescent="0.3">
      <c r="B135" s="13">
        <v>9699</v>
      </c>
      <c r="C135" s="3" t="s">
        <v>563</v>
      </c>
      <c r="D135" s="3" t="str">
        <f>VLOOKUP(B135,기업리스트!B:G,2,FALSE)</f>
        <v>Nishio Holdings Co., Ltd.</v>
      </c>
      <c r="E135" s="3" t="s">
        <v>503</v>
      </c>
      <c r="F135" s="5">
        <v>0.7</v>
      </c>
      <c r="G135" s="44">
        <v>42929</v>
      </c>
      <c r="H135" s="44">
        <v>43398</v>
      </c>
      <c r="I135" s="44">
        <v>43146</v>
      </c>
      <c r="J135" s="44">
        <v>40486</v>
      </c>
      <c r="K135" s="44">
        <v>43604</v>
      </c>
      <c r="L135" s="44">
        <v>49062</v>
      </c>
      <c r="M135" s="44">
        <v>45475</v>
      </c>
      <c r="N135" s="44">
        <v>43536</v>
      </c>
      <c r="O135" s="44">
        <v>47587</v>
      </c>
      <c r="P135" s="44">
        <v>52540</v>
      </c>
      <c r="Q135" s="44">
        <v>48924</v>
      </c>
      <c r="R135" s="44">
        <v>47071</v>
      </c>
      <c r="S135" s="44">
        <v>50460</v>
      </c>
      <c r="T135" s="44">
        <v>55772</v>
      </c>
      <c r="U135" s="44">
        <v>54823</v>
      </c>
      <c r="V135" s="44">
        <v>51558</v>
      </c>
      <c r="W135" s="44">
        <v>51853</v>
      </c>
      <c r="X135" s="7">
        <v>1.624161411090741E-2</v>
      </c>
      <c r="Y135" s="8">
        <v>2.9170189935072921E-2</v>
      </c>
      <c r="Z135" s="8">
        <v>2.1559055572105471E-2</v>
      </c>
      <c r="AA135" s="8">
        <v>6.5518100962782544E-3</v>
      </c>
    </row>
    <row r="136" spans="2:27" x14ac:dyDescent="0.3">
      <c r="B136" s="13">
        <v>4208</v>
      </c>
      <c r="C136" s="3" t="s">
        <v>563</v>
      </c>
      <c r="D136" s="3" t="str">
        <f>VLOOKUP(B136,기업리스트!B:G,2,FALSE)</f>
        <v>UBE Corporation</v>
      </c>
      <c r="E136" s="3" t="s">
        <v>509</v>
      </c>
      <c r="F136" s="5">
        <v>0.6</v>
      </c>
      <c r="G136" s="44">
        <v>169938</v>
      </c>
      <c r="H136" s="44">
        <v>178642</v>
      </c>
      <c r="I136" s="44">
        <v>116179</v>
      </c>
      <c r="J136" s="44">
        <v>128602</v>
      </c>
      <c r="K136" s="44">
        <v>123613</v>
      </c>
      <c r="L136" s="44">
        <v>126344</v>
      </c>
      <c r="M136" s="44">
        <v>109220</v>
      </c>
      <c r="N136" s="44">
        <v>108859</v>
      </c>
      <c r="O136" s="44">
        <v>114868</v>
      </c>
      <c r="P136" s="44">
        <v>135290</v>
      </c>
      <c r="Q136" s="44">
        <v>115385</v>
      </c>
      <c r="R136" s="44">
        <v>127654</v>
      </c>
      <c r="S136" s="44">
        <v>116582</v>
      </c>
      <c r="T136" s="44">
        <v>127181</v>
      </c>
      <c r="U136" s="44">
        <v>100459</v>
      </c>
      <c r="V136" s="44">
        <v>112245</v>
      </c>
      <c r="W136" s="44">
        <v>119446</v>
      </c>
      <c r="X136" s="7">
        <v>-1.6384764129308119E-2</v>
      </c>
      <c r="Y136" s="8">
        <v>-3.066133664200232E-2</v>
      </c>
      <c r="Z136" s="8">
        <v>-3.2654765234934602E-2</v>
      </c>
      <c r="AA136" s="8">
        <v>6.2742761251086687E-3</v>
      </c>
    </row>
    <row r="137" spans="2:27" x14ac:dyDescent="0.3">
      <c r="B137" s="13">
        <v>2733</v>
      </c>
      <c r="C137" s="3" t="s">
        <v>563</v>
      </c>
      <c r="D137" s="3" t="str">
        <f>VLOOKUP(B137,기업리스트!B:G,2,FALSE)</f>
        <v>Arata Corporation</v>
      </c>
      <c r="E137" s="3" t="s">
        <v>522</v>
      </c>
      <c r="F137" s="5">
        <v>0.6</v>
      </c>
      <c r="G137" s="44">
        <v>215653</v>
      </c>
      <c r="H137" s="44">
        <v>223387</v>
      </c>
      <c r="I137" s="44">
        <v>204207</v>
      </c>
      <c r="J137" s="44">
        <v>220051</v>
      </c>
      <c r="K137" s="44">
        <v>225169</v>
      </c>
      <c r="L137" s="44">
        <v>233776</v>
      </c>
      <c r="M137" s="44">
        <v>212604</v>
      </c>
      <c r="N137" s="44">
        <v>235239</v>
      </c>
      <c r="O137" s="44">
        <v>236149</v>
      </c>
      <c r="P137" s="44">
        <v>247731</v>
      </c>
      <c r="Q137" s="44">
        <v>225030</v>
      </c>
      <c r="R137" s="44">
        <v>245604</v>
      </c>
      <c r="S137" s="44">
        <v>245918</v>
      </c>
      <c r="T137" s="44">
        <v>262978</v>
      </c>
      <c r="U137" s="44">
        <v>231712</v>
      </c>
      <c r="V137" s="44">
        <v>251192</v>
      </c>
      <c r="W137" s="44">
        <v>252107</v>
      </c>
      <c r="X137" s="7">
        <v>1.5811748210846851E-2</v>
      </c>
      <c r="Y137" s="8">
        <v>6.8216389492921081E-3</v>
      </c>
      <c r="Z137" s="8">
        <v>5.666124524950078E-3</v>
      </c>
      <c r="AA137" s="8">
        <v>6.2401693889897469E-3</v>
      </c>
    </row>
    <row r="138" spans="2:27" x14ac:dyDescent="0.3">
      <c r="B138" s="13">
        <v>6674</v>
      </c>
      <c r="C138" s="3" t="s">
        <v>563</v>
      </c>
      <c r="D138" s="3" t="str">
        <f>VLOOKUP(B138,기업리스트!B:G,2,FALSE)</f>
        <v>GS Yuasa Corporation</v>
      </c>
      <c r="E138" s="3" t="s">
        <v>522</v>
      </c>
      <c r="F138" s="5">
        <v>0.6</v>
      </c>
      <c r="G138" s="44">
        <v>99666</v>
      </c>
      <c r="H138" s="44">
        <v>118022</v>
      </c>
      <c r="I138" s="44">
        <v>118987</v>
      </c>
      <c r="J138" s="44">
        <v>111429</v>
      </c>
      <c r="K138" s="44">
        <v>123795</v>
      </c>
      <c r="L138" s="44">
        <v>139656</v>
      </c>
      <c r="M138" s="44">
        <v>142855</v>
      </c>
      <c r="N138" s="44">
        <v>120540</v>
      </c>
      <c r="O138" s="44">
        <v>136265</v>
      </c>
      <c r="P138" s="44">
        <v>154786</v>
      </c>
      <c r="Q138" s="44">
        <v>151306</v>
      </c>
      <c r="R138" s="44">
        <v>127583</v>
      </c>
      <c r="S138" s="44">
        <v>136922</v>
      </c>
      <c r="T138" s="44">
        <v>162310</v>
      </c>
      <c r="U138" s="44">
        <v>153525</v>
      </c>
      <c r="V138" s="44">
        <v>131879</v>
      </c>
      <c r="W138" s="44">
        <v>140272</v>
      </c>
      <c r="X138" s="7">
        <v>1.31861892018359E-2</v>
      </c>
      <c r="Y138" s="8">
        <v>3.838296827134879E-3</v>
      </c>
      <c r="Z138" s="8">
        <v>7.4025571216873587E-3</v>
      </c>
      <c r="AA138" s="8">
        <v>5.7300610978454616E-3</v>
      </c>
    </row>
    <row r="139" spans="2:27" x14ac:dyDescent="0.3">
      <c r="B139" s="13">
        <v>7951</v>
      </c>
      <c r="C139" s="3" t="s">
        <v>563</v>
      </c>
      <c r="D139" s="3" t="str">
        <f>VLOOKUP(B139,기업리스트!B:G,2,FALSE)</f>
        <v>Yamaha Corporation</v>
      </c>
      <c r="E139" s="3" t="s">
        <v>509</v>
      </c>
      <c r="F139" s="5">
        <v>0.5</v>
      </c>
      <c r="G139" s="44">
        <v>103833</v>
      </c>
      <c r="H139" s="44">
        <v>105866</v>
      </c>
      <c r="I139" s="44">
        <v>105889</v>
      </c>
      <c r="J139" s="44">
        <v>112119</v>
      </c>
      <c r="K139" s="44">
        <v>120211</v>
      </c>
      <c r="L139" s="44">
        <v>113189</v>
      </c>
      <c r="M139" s="44">
        <v>106196</v>
      </c>
      <c r="N139" s="44">
        <v>113432</v>
      </c>
      <c r="O139" s="44">
        <v>122160</v>
      </c>
      <c r="P139" s="44">
        <v>121078</v>
      </c>
      <c r="Q139" s="44">
        <v>112146</v>
      </c>
      <c r="R139" s="44">
        <v>115988</v>
      </c>
      <c r="S139" s="44">
        <v>122556</v>
      </c>
      <c r="T139" s="44">
        <v>111390</v>
      </c>
      <c r="U139" s="44">
        <v>103888</v>
      </c>
      <c r="V139" s="44">
        <v>112476</v>
      </c>
      <c r="W139" s="44">
        <v>124650</v>
      </c>
      <c r="X139" s="7">
        <v>-2.053551745773341E-2</v>
      </c>
      <c r="Y139" s="8">
        <v>-1.787136426592795E-2</v>
      </c>
      <c r="Z139" s="8">
        <v>-7.7387169418846602E-3</v>
      </c>
      <c r="AA139" s="8">
        <v>4.6501299105061733E-3</v>
      </c>
    </row>
    <row r="140" spans="2:27" x14ac:dyDescent="0.3">
      <c r="B140" s="13">
        <v>6745</v>
      </c>
      <c r="C140" s="3" t="s">
        <v>563</v>
      </c>
      <c r="D140" s="3" t="str">
        <f>VLOOKUP(B140,기업리스트!B:G,2,FALSE)</f>
        <v>Hochiki Corporation</v>
      </c>
      <c r="E140" s="3" t="s">
        <v>509</v>
      </c>
      <c r="F140" s="5">
        <v>0.5</v>
      </c>
      <c r="G140" s="44">
        <v>20810</v>
      </c>
      <c r="H140" s="44">
        <v>24631</v>
      </c>
      <c r="I140" s="44">
        <v>17178</v>
      </c>
      <c r="J140" s="44">
        <v>20484</v>
      </c>
      <c r="K140" s="44">
        <v>21724</v>
      </c>
      <c r="L140" s="44">
        <v>26071</v>
      </c>
      <c r="M140" s="44">
        <v>18204</v>
      </c>
      <c r="N140" s="44">
        <v>23364</v>
      </c>
      <c r="O140" s="44">
        <v>24721</v>
      </c>
      <c r="P140" s="44">
        <v>27196</v>
      </c>
      <c r="Q140" s="44">
        <v>20879</v>
      </c>
      <c r="R140" s="44">
        <v>24652</v>
      </c>
      <c r="S140" s="44">
        <v>26741</v>
      </c>
      <c r="T140" s="44">
        <v>28628</v>
      </c>
      <c r="U140" s="44">
        <v>22362</v>
      </c>
      <c r="V140" s="44">
        <v>26232</v>
      </c>
      <c r="W140" s="44">
        <v>27218</v>
      </c>
      <c r="X140" s="7">
        <v>1.439658985804471E-2</v>
      </c>
      <c r="Y140" s="8">
        <v>1.469772051536178E-2</v>
      </c>
      <c r="Z140" s="8">
        <v>1.5432249494544911E-2</v>
      </c>
      <c r="AA140" s="8">
        <v>4.5881707915316214E-3</v>
      </c>
    </row>
    <row r="141" spans="2:27" x14ac:dyDescent="0.3">
      <c r="B141" s="13">
        <v>3433</v>
      </c>
      <c r="C141" s="3" t="s">
        <v>563</v>
      </c>
      <c r="D141" s="3" t="str">
        <f>VLOOKUP(B141,기업리스트!B:G,2,FALSE)</f>
        <v>TOCALO Co.,Ltd.</v>
      </c>
      <c r="E141" s="3" t="s">
        <v>522</v>
      </c>
      <c r="F141" s="5">
        <v>0.3</v>
      </c>
      <c r="G141" s="44">
        <v>10362</v>
      </c>
      <c r="H141" s="44">
        <v>11129</v>
      </c>
      <c r="I141" s="44">
        <v>11586</v>
      </c>
      <c r="J141" s="44">
        <v>11906</v>
      </c>
      <c r="K141" s="44">
        <v>12090</v>
      </c>
      <c r="L141" s="44">
        <v>12428</v>
      </c>
      <c r="M141" s="44">
        <v>11720</v>
      </c>
      <c r="N141" s="44">
        <v>11787</v>
      </c>
      <c r="O141" s="44">
        <v>11184</v>
      </c>
      <c r="P141" s="44">
        <v>11833</v>
      </c>
      <c r="Q141" s="44">
        <v>11931</v>
      </c>
      <c r="R141" s="44">
        <v>12864</v>
      </c>
      <c r="S141" s="44">
        <v>12999</v>
      </c>
      <c r="T141" s="44">
        <v>14040</v>
      </c>
      <c r="U141" s="44">
        <v>14328</v>
      </c>
      <c r="V141" s="44">
        <v>15151</v>
      </c>
      <c r="W141" s="44">
        <v>13160</v>
      </c>
      <c r="X141" s="7">
        <v>4.4471759324561162E-2</v>
      </c>
      <c r="Y141" s="8">
        <v>4.6243778215071092E-2</v>
      </c>
      <c r="Z141" s="8">
        <v>4.2171451752687661E-2</v>
      </c>
      <c r="AA141" s="8">
        <v>2.8486499876145821E-3</v>
      </c>
    </row>
    <row r="142" spans="2:27" x14ac:dyDescent="0.3">
      <c r="B142" s="13">
        <v>8242</v>
      </c>
      <c r="C142" s="3" t="s">
        <v>563</v>
      </c>
      <c r="D142" s="3" t="str">
        <f>VLOOKUP(B142,기업리스트!B:G,2,FALSE)</f>
        <v>H2O Retailing Corporation</v>
      </c>
      <c r="E142" s="3" t="s">
        <v>522</v>
      </c>
      <c r="F142" s="5">
        <v>0</v>
      </c>
      <c r="G142" s="44">
        <v>122735</v>
      </c>
      <c r="H142" s="44">
        <v>134283</v>
      </c>
      <c r="I142" s="44">
        <v>147144</v>
      </c>
      <c r="J142" s="44">
        <v>149352</v>
      </c>
      <c r="K142" s="44">
        <v>155073</v>
      </c>
      <c r="L142" s="44">
        <v>170471</v>
      </c>
      <c r="M142" s="44">
        <v>153193</v>
      </c>
      <c r="N142" s="44">
        <v>154813</v>
      </c>
      <c r="O142" s="44">
        <v>163730</v>
      </c>
      <c r="P142" s="44">
        <v>176921</v>
      </c>
      <c r="Q142" s="44">
        <v>161936</v>
      </c>
      <c r="R142" s="44">
        <v>161895</v>
      </c>
      <c r="S142" s="44">
        <v>169359</v>
      </c>
      <c r="T142" s="44">
        <v>183633</v>
      </c>
      <c r="U142" s="44">
        <v>166872</v>
      </c>
      <c r="V142" s="44">
        <v>163644</v>
      </c>
      <c r="W142" s="44">
        <v>169380</v>
      </c>
      <c r="X142" s="7">
        <v>1.001625103900694E-2</v>
      </c>
      <c r="Y142" s="8">
        <v>7.292896370247437E-3</v>
      </c>
      <c r="Z142" s="8">
        <v>2.5654226786884231E-3</v>
      </c>
      <c r="AA142" s="8">
        <v>3.0723854000269668E-5</v>
      </c>
    </row>
    <row r="143" spans="2:27" x14ac:dyDescent="0.3">
      <c r="B143" s="13">
        <v>8059</v>
      </c>
      <c r="C143" s="3" t="s">
        <v>563</v>
      </c>
      <c r="D143" s="3" t="str">
        <f>VLOOKUP(B143,기업리스트!B:G,2,FALSE)</f>
        <v>Daiichi Jitsugyo Co., Ltd.</v>
      </c>
      <c r="E143" s="3" t="s">
        <v>522</v>
      </c>
      <c r="F143" s="5">
        <v>0</v>
      </c>
      <c r="G143" s="44">
        <v>42398</v>
      </c>
      <c r="H143" s="44">
        <v>39395</v>
      </c>
      <c r="I143" s="44">
        <v>40095</v>
      </c>
      <c r="J143" s="44">
        <v>29616</v>
      </c>
      <c r="K143" s="44">
        <v>39843</v>
      </c>
      <c r="L143" s="44">
        <v>36374</v>
      </c>
      <c r="M143" s="44">
        <v>47841</v>
      </c>
      <c r="N143" s="44">
        <v>34388</v>
      </c>
      <c r="O143" s="44">
        <v>44250</v>
      </c>
      <c r="P143" s="44">
        <v>38807</v>
      </c>
      <c r="Q143" s="45">
        <v>70345</v>
      </c>
      <c r="R143" s="44">
        <v>43372</v>
      </c>
      <c r="S143" s="44">
        <v>57916</v>
      </c>
      <c r="T143" s="44">
        <v>59488</v>
      </c>
      <c r="U143" s="44">
        <v>60979</v>
      </c>
      <c r="V143" s="44">
        <v>49489</v>
      </c>
      <c r="W143" s="44">
        <v>57837</v>
      </c>
      <c r="X143" s="7">
        <v>9.8275042767534737E-2</v>
      </c>
      <c r="Y143" s="8">
        <v>-4.0524227569108777E-2</v>
      </c>
      <c r="Z143" s="8">
        <v>2.7584496403688648E-2</v>
      </c>
      <c r="AA143" s="8">
        <v>-3.4668585872765778E-4</v>
      </c>
    </row>
    <row r="144" spans="2:27" x14ac:dyDescent="0.3">
      <c r="B144" s="13">
        <v>3374</v>
      </c>
      <c r="C144" s="3" t="s">
        <v>563</v>
      </c>
      <c r="D144" s="3" t="str">
        <f>VLOOKUP(B144,기업리스트!B:G,2,FALSE)</f>
        <v>Xintec Inc.</v>
      </c>
      <c r="E144" s="3" t="s">
        <v>522</v>
      </c>
      <c r="F144" s="5">
        <v>-0.1</v>
      </c>
      <c r="G144" s="44">
        <v>9127</v>
      </c>
      <c r="H144" s="44">
        <v>10170</v>
      </c>
      <c r="I144" s="44">
        <v>10166</v>
      </c>
      <c r="J144" s="44">
        <v>11409</v>
      </c>
      <c r="K144" s="44">
        <v>11834</v>
      </c>
      <c r="L144" s="44">
        <v>10551</v>
      </c>
      <c r="M144" s="44">
        <v>11487</v>
      </c>
      <c r="N144" s="44">
        <v>10899</v>
      </c>
      <c r="O144" s="44">
        <v>9579</v>
      </c>
      <c r="P144" s="44">
        <v>9824</v>
      </c>
      <c r="Q144" s="44">
        <v>8711</v>
      </c>
      <c r="R144" s="44">
        <v>8115</v>
      </c>
      <c r="S144" s="44">
        <v>8046</v>
      </c>
      <c r="T144" s="44">
        <v>10070</v>
      </c>
      <c r="U144" s="44">
        <v>9106</v>
      </c>
      <c r="V144" s="44">
        <v>7212</v>
      </c>
      <c r="W144" s="44">
        <v>8028</v>
      </c>
      <c r="X144" s="7">
        <v>7.0901544846668774E-3</v>
      </c>
      <c r="Y144" s="8">
        <v>1.130444736992731E-2</v>
      </c>
      <c r="Z144" s="8">
        <v>-2.5553951948382721E-2</v>
      </c>
      <c r="AA144" s="8">
        <v>-5.2273915316258801E-4</v>
      </c>
    </row>
    <row r="145" spans="2:27" x14ac:dyDescent="0.3">
      <c r="B145" s="13">
        <v>4689</v>
      </c>
      <c r="C145" s="3" t="s">
        <v>563</v>
      </c>
      <c r="D145" s="3" t="str">
        <f>VLOOKUP(B145,기업리스트!B:G,2,FALSE)</f>
        <v>LY Corporation</v>
      </c>
      <c r="E145" s="3" t="s">
        <v>509</v>
      </c>
      <c r="F145" s="5">
        <v>-0.2</v>
      </c>
      <c r="G145" s="44">
        <v>409174</v>
      </c>
      <c r="H145" s="44">
        <v>407285</v>
      </c>
      <c r="I145" s="44">
        <v>390565</v>
      </c>
      <c r="J145" s="44">
        <v>394343</v>
      </c>
      <c r="K145" s="44">
        <v>453687</v>
      </c>
      <c r="L145" s="44">
        <v>433781</v>
      </c>
      <c r="M145" s="44">
        <v>430523</v>
      </c>
      <c r="N145" s="44">
        <v>441276</v>
      </c>
      <c r="O145" s="44">
        <v>475041</v>
      </c>
      <c r="P145" s="44">
        <v>467823</v>
      </c>
      <c r="Q145" s="44">
        <v>463085</v>
      </c>
      <c r="R145" s="44">
        <v>462208</v>
      </c>
      <c r="S145" s="44">
        <v>503466</v>
      </c>
      <c r="T145" s="44">
        <v>488719</v>
      </c>
      <c r="U145" s="44">
        <v>489631</v>
      </c>
      <c r="V145" s="44">
        <v>505736</v>
      </c>
      <c r="W145" s="44">
        <v>499990</v>
      </c>
      <c r="X145" s="7">
        <v>1.101771502629467E-2</v>
      </c>
      <c r="Y145" s="8">
        <v>1.3844226635194801E-2</v>
      </c>
      <c r="Z145" s="8">
        <v>2.2390670074031949E-2</v>
      </c>
      <c r="AA145" s="8">
        <v>-1.7488850606173221E-3</v>
      </c>
    </row>
    <row r="146" spans="2:27" x14ac:dyDescent="0.3">
      <c r="B146" s="13">
        <v>8098</v>
      </c>
      <c r="C146" s="3" t="s">
        <v>563</v>
      </c>
      <c r="D146" s="3" t="str">
        <f>VLOOKUP(B146,기업리스트!B:G,2,FALSE)</f>
        <v>Inabata &amp; Co.,Ltd.</v>
      </c>
      <c r="E146" s="3" t="s">
        <v>509</v>
      </c>
      <c r="F146" s="5">
        <v>-0.2</v>
      </c>
      <c r="G146" s="44">
        <v>176385</v>
      </c>
      <c r="H146" s="44">
        <v>175991</v>
      </c>
      <c r="I146" s="44">
        <v>184062</v>
      </c>
      <c r="J146" s="44">
        <v>189353</v>
      </c>
      <c r="K146" s="44">
        <v>187739</v>
      </c>
      <c r="L146" s="44">
        <v>174466</v>
      </c>
      <c r="M146" s="44">
        <v>184557</v>
      </c>
      <c r="N146" s="44">
        <v>190639</v>
      </c>
      <c r="O146" s="44">
        <v>197799</v>
      </c>
      <c r="P146" s="44">
        <v>193027</v>
      </c>
      <c r="Q146" s="44">
        <v>213591</v>
      </c>
      <c r="R146" s="44">
        <v>208020</v>
      </c>
      <c r="S146" s="44">
        <v>213495</v>
      </c>
      <c r="T146" s="44">
        <v>202732</v>
      </c>
      <c r="U146" s="44">
        <v>204109</v>
      </c>
      <c r="V146" s="44">
        <v>208778</v>
      </c>
      <c r="W146" s="44">
        <v>211907</v>
      </c>
      <c r="X146" s="7">
        <v>1.171913207178066E-2</v>
      </c>
      <c r="Y146" s="8">
        <v>-1.131722361602128E-2</v>
      </c>
      <c r="Z146" s="8">
        <v>9.1506550323772196E-4</v>
      </c>
      <c r="AA146" s="8">
        <v>-1.9152975344766121E-3</v>
      </c>
    </row>
    <row r="147" spans="2:27" x14ac:dyDescent="0.3">
      <c r="B147" s="13">
        <v>6752</v>
      </c>
      <c r="C147" s="3" t="s">
        <v>563</v>
      </c>
      <c r="D147" s="3" t="str">
        <f>VLOOKUP(B147,기업리스트!B:G,2,FALSE)</f>
        <v>Panasonic Holdings Corporation</v>
      </c>
      <c r="E147" s="3" t="s">
        <v>509</v>
      </c>
      <c r="F147" s="5">
        <v>-1.1000000000000001</v>
      </c>
      <c r="G147" s="44">
        <v>1889802</v>
      </c>
      <c r="H147" s="44">
        <v>1965435</v>
      </c>
      <c r="I147" s="44">
        <v>1973861</v>
      </c>
      <c r="J147" s="44">
        <v>2090068</v>
      </c>
      <c r="K147" s="44">
        <v>2160592</v>
      </c>
      <c r="L147" s="44">
        <v>2154421</v>
      </c>
      <c r="M147" s="44">
        <v>2029694</v>
      </c>
      <c r="N147" s="44">
        <v>2089730</v>
      </c>
      <c r="O147" s="44">
        <v>2180882</v>
      </c>
      <c r="P147" s="44">
        <v>2196114</v>
      </c>
      <c r="Q147" s="44">
        <v>2121689</v>
      </c>
      <c r="R147" s="44">
        <v>2129621</v>
      </c>
      <c r="S147" s="44">
        <v>2152587</v>
      </c>
      <c r="T147" s="44">
        <v>2054288</v>
      </c>
      <c r="U147" s="44">
        <v>1896691</v>
      </c>
      <c r="V147" s="44">
        <v>1923785</v>
      </c>
      <c r="W147" s="44">
        <v>2063304</v>
      </c>
      <c r="X147" s="7">
        <v>-1.649137425521896E-2</v>
      </c>
      <c r="Y147" s="8">
        <v>-2.6601215272543669E-2</v>
      </c>
      <c r="Z147" s="8">
        <v>-2.5000768232277482E-2</v>
      </c>
      <c r="AA147" s="8">
        <v>-1.1122349078793279E-2</v>
      </c>
    </row>
    <row r="148" spans="2:27" x14ac:dyDescent="0.3">
      <c r="B148" s="13">
        <v>6996</v>
      </c>
      <c r="C148" s="3" t="s">
        <v>563</v>
      </c>
      <c r="D148" s="3" t="str">
        <f>VLOOKUP(B148,기업리스트!B:G,2,FALSE)</f>
        <v>Nichicon Corporation</v>
      </c>
      <c r="E148" s="3" t="s">
        <v>522</v>
      </c>
      <c r="F148" s="5">
        <v>-1.3</v>
      </c>
      <c r="G148" s="44">
        <v>33880</v>
      </c>
      <c r="H148" s="44">
        <v>37685</v>
      </c>
      <c r="I148" s="44">
        <v>39438</v>
      </c>
      <c r="J148" s="44">
        <v>41014</v>
      </c>
      <c r="K148" s="44">
        <v>46614</v>
      </c>
      <c r="L148" s="44">
        <v>49644</v>
      </c>
      <c r="M148" s="44">
        <v>47453</v>
      </c>
      <c r="N148" s="44">
        <v>44910</v>
      </c>
      <c r="O148" s="44">
        <v>47645</v>
      </c>
      <c r="P148" s="44">
        <v>46196</v>
      </c>
      <c r="Q148" s="44">
        <v>42892</v>
      </c>
      <c r="R148" s="44">
        <v>41150</v>
      </c>
      <c r="S148" s="44">
        <v>43357</v>
      </c>
      <c r="T148" s="44">
        <v>48238</v>
      </c>
      <c r="U148" s="44">
        <v>43006</v>
      </c>
      <c r="V148" s="44">
        <v>39601</v>
      </c>
      <c r="W148" s="44">
        <v>41131</v>
      </c>
      <c r="X148" s="7">
        <v>1.176301160747717E-2</v>
      </c>
      <c r="Y148" s="8">
        <v>6.490659712929947E-4</v>
      </c>
      <c r="Z148" s="8">
        <v>-8.8136056124858975E-3</v>
      </c>
      <c r="AA148" s="8">
        <v>-1.2778268906212359E-2</v>
      </c>
    </row>
    <row r="149" spans="2:27" x14ac:dyDescent="0.3">
      <c r="B149" s="17">
        <v>6417</v>
      </c>
      <c r="C149" s="18" t="s">
        <v>563</v>
      </c>
      <c r="D149" s="18" t="str">
        <f>VLOOKUP(B149,기업리스트!B:G,2,FALSE)</f>
        <v>Sankyo Co., Ltd.</v>
      </c>
      <c r="E149" s="18" t="s">
        <v>522</v>
      </c>
      <c r="F149" s="19">
        <v>-1.6</v>
      </c>
      <c r="G149" s="46">
        <v>17129</v>
      </c>
      <c r="H149" s="46">
        <v>42283</v>
      </c>
      <c r="I149" s="46">
        <v>14513</v>
      </c>
      <c r="J149" s="46">
        <v>27763</v>
      </c>
      <c r="K149" s="47">
        <v>42200</v>
      </c>
      <c r="L149" s="47">
        <v>58102</v>
      </c>
      <c r="M149" s="47">
        <v>29231</v>
      </c>
      <c r="N149" s="47">
        <v>50777</v>
      </c>
      <c r="O149" s="47">
        <v>65413</v>
      </c>
      <c r="P149" s="46">
        <v>54398</v>
      </c>
      <c r="Q149" s="46">
        <v>28511</v>
      </c>
      <c r="R149" s="46">
        <v>42210</v>
      </c>
      <c r="S149" s="46">
        <v>48519</v>
      </c>
      <c r="T149" s="46">
        <v>62971</v>
      </c>
      <c r="U149" s="46">
        <v>38121</v>
      </c>
      <c r="V149" s="46">
        <v>55185</v>
      </c>
      <c r="W149" s="46">
        <v>45224</v>
      </c>
      <c r="X149" s="21">
        <v>4.9372833135604033E-2</v>
      </c>
      <c r="Y149" s="22">
        <v>5.2741052955090462E-2</v>
      </c>
      <c r="Z149" s="22">
        <v>6.7641186314324253E-2</v>
      </c>
      <c r="AA149" s="22">
        <v>-1.6089181429324809E-2</v>
      </c>
    </row>
    <row r="150" spans="2:27" x14ac:dyDescent="0.3">
      <c r="B150" s="13" t="s">
        <v>582</v>
      </c>
      <c r="C150" s="3" t="s">
        <v>565</v>
      </c>
      <c r="D150" s="3" t="str">
        <f>VLOOKUP(B150,기업리스트!B:G,2,FALSE)</f>
        <v>Bajaj Finserv Ltd.</v>
      </c>
      <c r="E150" s="3" t="s">
        <v>509</v>
      </c>
      <c r="F150" s="5">
        <v>6</v>
      </c>
      <c r="G150" s="44">
        <v>172555</v>
      </c>
      <c r="H150" s="44">
        <v>185394</v>
      </c>
      <c r="I150" s="44">
        <v>154961</v>
      </c>
      <c r="J150" s="44">
        <v>204128</v>
      </c>
      <c r="K150" s="44">
        <v>214615</v>
      </c>
      <c r="L150" s="44">
        <v>234725</v>
      </c>
      <c r="M150" s="44">
        <v>229393</v>
      </c>
      <c r="N150" s="44">
        <v>256892</v>
      </c>
      <c r="O150" s="44">
        <v>286655</v>
      </c>
      <c r="P150" s="44">
        <v>318269</v>
      </c>
      <c r="Q150" s="44">
        <v>309398</v>
      </c>
      <c r="R150" s="44">
        <v>330960</v>
      </c>
      <c r="S150" s="44">
        <v>313223</v>
      </c>
      <c r="T150" s="44">
        <v>362626</v>
      </c>
      <c r="U150" s="44">
        <v>349276</v>
      </c>
      <c r="V150" s="44">
        <v>367571</v>
      </c>
      <c r="W150" s="44">
        <v>397081</v>
      </c>
      <c r="X150" s="7">
        <v>3.4875968077996637E-2</v>
      </c>
      <c r="Y150" s="8">
        <v>3.0297665944642341E-2</v>
      </c>
      <c r="Z150" s="8">
        <v>2.699757021130678E-2</v>
      </c>
      <c r="AA150" s="8">
        <v>6.0212709737085479E-2</v>
      </c>
    </row>
    <row r="151" spans="2:27" x14ac:dyDescent="0.3">
      <c r="B151" s="13" t="s">
        <v>583</v>
      </c>
      <c r="C151" s="3" t="s">
        <v>565</v>
      </c>
      <c r="D151" s="3" t="str">
        <f>VLOOKUP(B151,기업리스트!B:G,2,FALSE)</f>
        <v>Tube Investments of India Limited</v>
      </c>
      <c r="E151" s="3" t="s">
        <v>509</v>
      </c>
      <c r="F151" s="5">
        <v>4.8</v>
      </c>
      <c r="G151" s="44">
        <v>33125</v>
      </c>
      <c r="H151" s="44">
        <v>31607</v>
      </c>
      <c r="I151" s="44">
        <v>36552</v>
      </c>
      <c r="J151" s="44">
        <v>36487</v>
      </c>
      <c r="K151" s="44">
        <v>35380</v>
      </c>
      <c r="L151" s="44">
        <v>35959</v>
      </c>
      <c r="M151" s="44">
        <v>37675</v>
      </c>
      <c r="N151" s="44">
        <v>41693</v>
      </c>
      <c r="O151" s="44">
        <v>40532</v>
      </c>
      <c r="P151" s="44">
        <v>43524</v>
      </c>
      <c r="Q151" s="44">
        <v>44337</v>
      </c>
      <c r="R151" s="44">
        <v>47825</v>
      </c>
      <c r="S151" s="44">
        <v>46817</v>
      </c>
      <c r="T151" s="44">
        <v>50238</v>
      </c>
      <c r="U151" s="44">
        <v>51707</v>
      </c>
      <c r="V151" s="44">
        <v>53801</v>
      </c>
      <c r="W151" s="44">
        <v>56515</v>
      </c>
      <c r="X151" s="7">
        <v>3.6788436354470821E-2</v>
      </c>
      <c r="Y151" s="8">
        <v>3.8949988637384518E-2</v>
      </c>
      <c r="Z151" s="8">
        <v>3.0398754749805471E-2</v>
      </c>
      <c r="AA151" s="8">
        <v>4.787646312505256E-2</v>
      </c>
    </row>
    <row r="152" spans="2:27" x14ac:dyDescent="0.3">
      <c r="B152" s="13" t="s">
        <v>395</v>
      </c>
      <c r="C152" s="3" t="s">
        <v>565</v>
      </c>
      <c r="D152" s="3" t="str">
        <f>VLOOKUP(B152,기업리스트!B:G,2,FALSE)</f>
        <v>Minda Corporation Limited</v>
      </c>
      <c r="E152" s="3" t="s">
        <v>522</v>
      </c>
      <c r="F152" s="5">
        <v>4.7</v>
      </c>
      <c r="G152" s="44">
        <v>7313</v>
      </c>
      <c r="H152" s="44">
        <v>7383</v>
      </c>
      <c r="I152" s="44">
        <v>9477</v>
      </c>
      <c r="J152" s="44">
        <v>10102</v>
      </c>
      <c r="K152" s="45">
        <v>11471</v>
      </c>
      <c r="L152" s="44">
        <v>10683</v>
      </c>
      <c r="M152" s="44">
        <v>10745</v>
      </c>
      <c r="N152" s="44">
        <v>10745</v>
      </c>
      <c r="O152" s="44">
        <v>11958</v>
      </c>
      <c r="P152" s="44">
        <v>11658</v>
      </c>
      <c r="Q152" s="44">
        <v>12149</v>
      </c>
      <c r="R152" s="44">
        <v>11924</v>
      </c>
      <c r="S152" s="44">
        <v>12900</v>
      </c>
      <c r="T152" s="44">
        <v>12526</v>
      </c>
      <c r="U152" s="44">
        <v>13212</v>
      </c>
      <c r="V152" s="44">
        <v>13859</v>
      </c>
      <c r="W152" s="44">
        <v>15354</v>
      </c>
      <c r="X152" s="7">
        <v>1.7848697332977E-2</v>
      </c>
      <c r="Y152" s="8">
        <v>2.1475181316794378E-2</v>
      </c>
      <c r="Z152" s="8">
        <v>3.8269846920612423E-2</v>
      </c>
      <c r="AA152" s="8">
        <v>4.6745528315903728E-2</v>
      </c>
    </row>
    <row r="153" spans="2:27" x14ac:dyDescent="0.3">
      <c r="B153" s="13" t="s">
        <v>467</v>
      </c>
      <c r="C153" s="3" t="s">
        <v>565</v>
      </c>
      <c r="D153" s="3" t="str">
        <f>VLOOKUP(B153,기업리스트!B:G,2,FALSE)</f>
        <v>Surya Roshni Limited</v>
      </c>
      <c r="E153" s="3" t="s">
        <v>522</v>
      </c>
      <c r="F153" s="5">
        <v>4.4000000000000004</v>
      </c>
      <c r="G153" s="44">
        <v>19457</v>
      </c>
      <c r="H153" s="44">
        <v>20303</v>
      </c>
      <c r="I153" s="44">
        <v>23014</v>
      </c>
      <c r="J153" s="44">
        <v>18399</v>
      </c>
      <c r="K153" s="44">
        <v>19842</v>
      </c>
      <c r="L153" s="44">
        <v>20213</v>
      </c>
      <c r="M153" s="44">
        <v>21513</v>
      </c>
      <c r="N153" s="44">
        <v>18753</v>
      </c>
      <c r="O153" s="44">
        <v>19157</v>
      </c>
      <c r="P153" s="44">
        <v>19378</v>
      </c>
      <c r="Q153" s="44">
        <v>20805</v>
      </c>
      <c r="R153" s="44">
        <v>18932</v>
      </c>
      <c r="S153" s="44">
        <v>15289</v>
      </c>
      <c r="T153" s="44">
        <v>18680</v>
      </c>
      <c r="U153" s="44">
        <v>21458</v>
      </c>
      <c r="V153" s="44">
        <v>16045</v>
      </c>
      <c r="W153" s="44">
        <v>18452</v>
      </c>
      <c r="X153" s="7">
        <v>-9.3812160636524977E-3</v>
      </c>
      <c r="Y153" s="8">
        <v>8.8595229696362132E-3</v>
      </c>
      <c r="Z153" s="8">
        <v>-3.8825159025807188E-2</v>
      </c>
      <c r="AA153" s="8">
        <v>4.4255092903514592E-2</v>
      </c>
    </row>
    <row r="154" spans="2:27" x14ac:dyDescent="0.3">
      <c r="B154" s="13" t="s">
        <v>317</v>
      </c>
      <c r="C154" s="3" t="s">
        <v>565</v>
      </c>
      <c r="D154" s="3" t="str">
        <f>VLOOKUP(B154,기업리스트!B:G,2,FALSE)</f>
        <v>Redington Limited</v>
      </c>
      <c r="E154" s="3" t="s">
        <v>509</v>
      </c>
      <c r="F154" s="5">
        <v>3.9</v>
      </c>
      <c r="G154" s="44">
        <v>166198</v>
      </c>
      <c r="H154" s="44">
        <v>172878</v>
      </c>
      <c r="I154" s="44">
        <v>168283</v>
      </c>
      <c r="J154" s="44">
        <v>190808</v>
      </c>
      <c r="K154" s="44">
        <v>217146</v>
      </c>
      <c r="L154" s="44">
        <v>218157</v>
      </c>
      <c r="M154" s="44">
        <v>211872</v>
      </c>
      <c r="N154" s="44">
        <v>222202</v>
      </c>
      <c r="O154" s="44">
        <v>235050</v>
      </c>
      <c r="P154" s="44">
        <v>225569</v>
      </c>
      <c r="Q154" s="44">
        <v>212823</v>
      </c>
      <c r="R154" s="44">
        <v>248956</v>
      </c>
      <c r="S154" s="44">
        <v>267161</v>
      </c>
      <c r="T154" s="44">
        <v>265490</v>
      </c>
      <c r="U154" s="44">
        <v>259520</v>
      </c>
      <c r="V154" s="44">
        <v>290756</v>
      </c>
      <c r="W154" s="44">
        <v>309590</v>
      </c>
      <c r="X154" s="7">
        <v>4.1823597263095369E-2</v>
      </c>
      <c r="Y154" s="8">
        <v>4.6958559174602447E-2</v>
      </c>
      <c r="Z154" s="8">
        <v>4.0148800290454423E-2</v>
      </c>
      <c r="AA154" s="8">
        <v>3.9179926255417108E-2</v>
      </c>
    </row>
    <row r="155" spans="2:27" x14ac:dyDescent="0.3">
      <c r="B155" s="13" t="s">
        <v>283</v>
      </c>
      <c r="C155" s="3" t="s">
        <v>565</v>
      </c>
      <c r="D155" s="3" t="str">
        <f>VLOOKUP(B155,기업리스트!B:G,2,FALSE)</f>
        <v>Apollo Tyres Limited</v>
      </c>
      <c r="E155" s="3" t="s">
        <v>509</v>
      </c>
      <c r="F155" s="5">
        <v>3.2</v>
      </c>
      <c r="G155" s="44">
        <v>57075</v>
      </c>
      <c r="H155" s="44">
        <v>52116</v>
      </c>
      <c r="I155" s="44">
        <v>59420</v>
      </c>
      <c r="J155" s="44">
        <v>59560</v>
      </c>
      <c r="K155" s="44">
        <v>64228</v>
      </c>
      <c r="L155" s="44">
        <v>62473</v>
      </c>
      <c r="M155" s="44">
        <v>62446</v>
      </c>
      <c r="N155" s="44">
        <v>62796</v>
      </c>
      <c r="O155" s="44">
        <v>65954</v>
      </c>
      <c r="P155" s="44">
        <v>62582</v>
      </c>
      <c r="Q155" s="44">
        <v>63349</v>
      </c>
      <c r="R155" s="44">
        <v>64370</v>
      </c>
      <c r="S155" s="44">
        <v>69280</v>
      </c>
      <c r="T155" s="44">
        <v>64236</v>
      </c>
      <c r="U155" s="44">
        <v>65608</v>
      </c>
      <c r="V155" s="44">
        <v>68311</v>
      </c>
      <c r="W155" s="44">
        <v>77926</v>
      </c>
      <c r="X155" s="7">
        <v>6.3718068733844557E-3</v>
      </c>
      <c r="Y155" s="8">
        <v>8.6473864528107125E-3</v>
      </c>
      <c r="Z155" s="8">
        <v>1.495669730620053E-2</v>
      </c>
      <c r="AA155" s="8">
        <v>3.2329351057266198E-2</v>
      </c>
    </row>
    <row r="156" spans="2:27" x14ac:dyDescent="0.3">
      <c r="B156" s="13" t="s">
        <v>344</v>
      </c>
      <c r="C156" s="3" t="s">
        <v>565</v>
      </c>
      <c r="D156" s="3" t="str">
        <f>VLOOKUP(B156,기업리스트!B:G,2,FALSE)</f>
        <v>Devyani International Limited</v>
      </c>
      <c r="E156" s="3" t="s">
        <v>509</v>
      </c>
      <c r="F156" s="5">
        <v>3</v>
      </c>
      <c r="G156" s="44">
        <v>6244</v>
      </c>
      <c r="H156" s="44">
        <v>5907</v>
      </c>
      <c r="I156" s="44">
        <v>7047</v>
      </c>
      <c r="J156" s="44">
        <v>7474</v>
      </c>
      <c r="K156" s="44">
        <v>7906</v>
      </c>
      <c r="L156" s="44">
        <v>7550</v>
      </c>
      <c r="M156" s="44">
        <v>8466</v>
      </c>
      <c r="N156" s="44">
        <v>8195</v>
      </c>
      <c r="O156" s="44">
        <v>8431</v>
      </c>
      <c r="P156" s="44">
        <v>10471</v>
      </c>
      <c r="Q156" s="45">
        <v>12219</v>
      </c>
      <c r="R156" s="45">
        <v>12222</v>
      </c>
      <c r="S156" s="45">
        <v>12944</v>
      </c>
      <c r="T156" s="44">
        <v>12126</v>
      </c>
      <c r="U156" s="44">
        <v>13570</v>
      </c>
      <c r="V156" s="44">
        <v>13768</v>
      </c>
      <c r="W156" s="44">
        <v>14532</v>
      </c>
      <c r="X156" s="7">
        <v>3.4582915412905368E-2</v>
      </c>
      <c r="Y156" s="8">
        <v>2.7286865545030459E-2</v>
      </c>
      <c r="Z156" s="8">
        <v>3.0395973418269051E-2</v>
      </c>
      <c r="AA156" s="8">
        <v>3.0300717447717899E-2</v>
      </c>
    </row>
    <row r="157" spans="2:27" x14ac:dyDescent="0.3">
      <c r="B157" s="13" t="s">
        <v>461</v>
      </c>
      <c r="C157" s="3" t="s">
        <v>565</v>
      </c>
      <c r="D157" s="3" t="str">
        <f>VLOOKUP(B157,기업리스트!B:G,2,FALSE)</f>
        <v>Gulf Oil Lubricants India Limited</v>
      </c>
      <c r="E157" s="3" t="s">
        <v>522</v>
      </c>
      <c r="F157" s="5">
        <v>2.7</v>
      </c>
      <c r="G157" s="44">
        <v>5335</v>
      </c>
      <c r="H157" s="44">
        <v>6018</v>
      </c>
      <c r="I157" s="44">
        <v>6368</v>
      </c>
      <c r="J157" s="44">
        <v>7065</v>
      </c>
      <c r="K157" s="44">
        <v>7195</v>
      </c>
      <c r="L157" s="44">
        <v>7811</v>
      </c>
      <c r="M157" s="44">
        <v>7920</v>
      </c>
      <c r="N157" s="44">
        <v>8117</v>
      </c>
      <c r="O157" s="44">
        <v>8023</v>
      </c>
      <c r="P157" s="44">
        <v>8175</v>
      </c>
      <c r="Q157" s="44">
        <v>8696</v>
      </c>
      <c r="R157" s="44">
        <v>8940</v>
      </c>
      <c r="S157" s="44">
        <v>8640</v>
      </c>
      <c r="T157" s="44">
        <v>9324</v>
      </c>
      <c r="U157" s="44">
        <v>9408</v>
      </c>
      <c r="V157" s="44">
        <v>10165</v>
      </c>
      <c r="W157" s="44">
        <v>9668</v>
      </c>
      <c r="X157" s="7">
        <v>3.3351716931293802E-2</v>
      </c>
      <c r="Y157" s="8">
        <v>2.0000000000000021E-2</v>
      </c>
      <c r="Z157" s="8">
        <v>3.3735404274069181E-2</v>
      </c>
      <c r="AA157" s="8">
        <v>2.738631217199039E-2</v>
      </c>
    </row>
    <row r="158" spans="2:27" x14ac:dyDescent="0.3">
      <c r="B158" s="13" t="s">
        <v>459</v>
      </c>
      <c r="C158" s="3" t="s">
        <v>565</v>
      </c>
      <c r="D158" s="3" t="str">
        <f>VLOOKUP(B158,기업리스트!B:G,2,FALSE)</f>
        <v>Sapphire Foods India Limited</v>
      </c>
      <c r="E158" s="3" t="s">
        <v>522</v>
      </c>
      <c r="F158" s="5">
        <v>1.6</v>
      </c>
      <c r="G158" s="44">
        <v>4142</v>
      </c>
      <c r="H158" s="44">
        <v>5075</v>
      </c>
      <c r="I158" s="44">
        <v>4968</v>
      </c>
      <c r="J158" s="44">
        <v>5463</v>
      </c>
      <c r="K158" s="44">
        <v>5628</v>
      </c>
      <c r="L158" s="44">
        <v>5961</v>
      </c>
      <c r="M158" s="44">
        <v>5604</v>
      </c>
      <c r="N158" s="44">
        <v>6544</v>
      </c>
      <c r="O158" s="44">
        <v>6426</v>
      </c>
      <c r="P158" s="44">
        <v>6656</v>
      </c>
      <c r="Q158" s="44">
        <v>6317</v>
      </c>
      <c r="R158" s="44">
        <v>7183</v>
      </c>
      <c r="S158" s="44">
        <v>6957</v>
      </c>
      <c r="T158" s="44">
        <v>7565</v>
      </c>
      <c r="U158" s="44">
        <v>7113</v>
      </c>
      <c r="V158" s="44">
        <v>7768</v>
      </c>
      <c r="W158" s="44">
        <v>7424</v>
      </c>
      <c r="X158" s="7">
        <v>3.3526352672149873E-2</v>
      </c>
      <c r="Y158" s="8">
        <v>2.8406252230390509E-2</v>
      </c>
      <c r="Z158" s="8">
        <v>2.0299812617114329E-2</v>
      </c>
      <c r="AA158" s="8">
        <v>1.5882733054450201E-2</v>
      </c>
    </row>
    <row r="159" spans="2:27" x14ac:dyDescent="0.3">
      <c r="B159" s="13" t="s">
        <v>415</v>
      </c>
      <c r="C159" s="3" t="s">
        <v>565</v>
      </c>
      <c r="D159" s="3" t="str">
        <f>VLOOKUP(B159,기업리스트!B:G,2,FALSE)</f>
        <v>RITES Limited</v>
      </c>
      <c r="E159" s="3" t="s">
        <v>509</v>
      </c>
      <c r="F159" s="5">
        <v>1.5</v>
      </c>
      <c r="G159" s="44">
        <v>7752</v>
      </c>
      <c r="H159" s="44">
        <v>7660</v>
      </c>
      <c r="I159" s="44">
        <v>6050</v>
      </c>
      <c r="J159" s="44">
        <v>6591</v>
      </c>
      <c r="K159" s="44">
        <v>6773</v>
      </c>
      <c r="L159" s="44">
        <v>6868</v>
      </c>
      <c r="M159" s="44">
        <v>5444</v>
      </c>
      <c r="N159" s="44">
        <v>5824</v>
      </c>
      <c r="O159" s="44">
        <v>6829</v>
      </c>
      <c r="P159" s="44">
        <v>6433</v>
      </c>
      <c r="Q159" s="44">
        <v>4858</v>
      </c>
      <c r="R159" s="44">
        <v>5409</v>
      </c>
      <c r="S159" s="44">
        <v>5758</v>
      </c>
      <c r="T159" s="44">
        <v>6154</v>
      </c>
      <c r="U159" s="44">
        <v>4897</v>
      </c>
      <c r="V159" s="44">
        <v>5487</v>
      </c>
      <c r="W159" s="44">
        <v>6086</v>
      </c>
      <c r="X159" s="7">
        <v>-1.2423189954581909E-2</v>
      </c>
      <c r="Y159" s="8">
        <v>1.75842012714722E-3</v>
      </c>
      <c r="Z159" s="8">
        <v>3.510667026735081E-3</v>
      </c>
      <c r="AA159" s="8">
        <v>1.4711158952278369E-2</v>
      </c>
    </row>
    <row r="160" spans="2:27" x14ac:dyDescent="0.3">
      <c r="B160" s="13" t="s">
        <v>413</v>
      </c>
      <c r="C160" s="3" t="s">
        <v>565</v>
      </c>
      <c r="D160" s="3" t="str">
        <f>VLOOKUP(B160,기업리스트!B:G,2,FALSE)</f>
        <v>Jubilant Ingrevia Limited</v>
      </c>
      <c r="E160" s="3" t="s">
        <v>509</v>
      </c>
      <c r="F160" s="5">
        <v>0.1</v>
      </c>
      <c r="G160" s="44">
        <v>12865</v>
      </c>
      <c r="H160" s="44">
        <v>12957</v>
      </c>
      <c r="I160" s="44">
        <v>11658</v>
      </c>
      <c r="J160" s="44">
        <v>13036</v>
      </c>
      <c r="K160" s="44">
        <v>11583</v>
      </c>
      <c r="L160" s="44">
        <v>11450</v>
      </c>
      <c r="M160" s="44">
        <v>10750</v>
      </c>
      <c r="N160" s="44">
        <v>10199</v>
      </c>
      <c r="O160" s="44">
        <v>9664</v>
      </c>
      <c r="P160" s="44">
        <v>10744</v>
      </c>
      <c r="Q160" s="44">
        <v>10243</v>
      </c>
      <c r="R160" s="44">
        <v>10452</v>
      </c>
      <c r="S160" s="44">
        <v>10568</v>
      </c>
      <c r="T160" s="44">
        <v>10513</v>
      </c>
      <c r="U160" s="44">
        <v>10380</v>
      </c>
      <c r="V160" s="44">
        <v>11207</v>
      </c>
      <c r="W160" s="44">
        <v>10604</v>
      </c>
      <c r="X160" s="7">
        <v>-5.4990834860856319E-3</v>
      </c>
      <c r="Y160" s="8">
        <v>3.279394867866658E-3</v>
      </c>
      <c r="Z160" s="8">
        <v>1.8013504163385981E-2</v>
      </c>
      <c r="AA160" s="8">
        <v>8.4372363363649505E-4</v>
      </c>
    </row>
    <row r="161" spans="2:27" x14ac:dyDescent="0.3">
      <c r="B161" s="13" t="s">
        <v>294</v>
      </c>
      <c r="C161" s="3" t="s">
        <v>565</v>
      </c>
      <c r="D161" s="3" t="str">
        <f>VLOOKUP(B161,기업리스트!B:G,2,FALSE)</f>
        <v>ZF Commercial Vehicle Control Systems India Limited</v>
      </c>
      <c r="E161" s="3" t="s">
        <v>522</v>
      </c>
      <c r="F161" s="5">
        <v>0.1</v>
      </c>
      <c r="G161" s="44">
        <v>6165</v>
      </c>
      <c r="H161" s="44">
        <v>6529</v>
      </c>
      <c r="I161" s="44">
        <v>7820</v>
      </c>
      <c r="J161" s="44">
        <v>7984</v>
      </c>
      <c r="K161" s="44">
        <v>7928</v>
      </c>
      <c r="L161" s="44">
        <v>8761</v>
      </c>
      <c r="M161" s="44">
        <v>9769</v>
      </c>
      <c r="N161" s="44">
        <v>9668</v>
      </c>
      <c r="O161" s="44">
        <v>9917</v>
      </c>
      <c r="P161" s="44">
        <v>8985</v>
      </c>
      <c r="Q161" s="44">
        <v>9586</v>
      </c>
      <c r="R161" s="44">
        <v>9458</v>
      </c>
      <c r="S161" s="44">
        <v>9109</v>
      </c>
      <c r="T161" s="44">
        <v>9624</v>
      </c>
      <c r="U161" s="44">
        <v>10119</v>
      </c>
      <c r="V161" s="44">
        <v>9756</v>
      </c>
      <c r="W161" s="44">
        <v>9132</v>
      </c>
      <c r="X161" s="7">
        <v>1.720609618180835E-2</v>
      </c>
      <c r="Y161" s="8">
        <v>1.4109114011170879E-2</v>
      </c>
      <c r="Z161" s="8">
        <v>7.7786478726180608E-3</v>
      </c>
      <c r="AA161" s="8">
        <v>5.957314546207737E-4</v>
      </c>
    </row>
    <row r="162" spans="2:27" x14ac:dyDescent="0.3">
      <c r="B162" s="13" t="s">
        <v>408</v>
      </c>
      <c r="C162" s="3" t="s">
        <v>565</v>
      </c>
      <c r="D162" s="3" t="str">
        <f>VLOOKUP(B162,기업리스트!B:G,2,FALSE)</f>
        <v>Sammaan Capital Limited</v>
      </c>
      <c r="E162" s="3" t="s">
        <v>509</v>
      </c>
      <c r="F162" s="5">
        <v>-2.7</v>
      </c>
      <c r="G162" s="44">
        <v>6444</v>
      </c>
      <c r="H162" s="44">
        <v>10373</v>
      </c>
      <c r="I162" s="44">
        <v>5242</v>
      </c>
      <c r="J162" s="44">
        <v>5937</v>
      </c>
      <c r="K162" s="44">
        <v>6831</v>
      </c>
      <c r="L162" s="44">
        <v>0</v>
      </c>
      <c r="M162" s="44">
        <v>6071</v>
      </c>
      <c r="N162" s="44">
        <v>6200</v>
      </c>
      <c r="O162" s="44">
        <v>5493</v>
      </c>
      <c r="P162" s="44">
        <v>0</v>
      </c>
      <c r="Q162" s="44">
        <v>6380</v>
      </c>
      <c r="R162" s="44">
        <v>-33293</v>
      </c>
      <c r="S162" s="44">
        <v>8162</v>
      </c>
      <c r="T162" s="44">
        <v>10141</v>
      </c>
      <c r="U162" s="44">
        <v>7382</v>
      </c>
      <c r="V162" s="44">
        <v>7356</v>
      </c>
      <c r="W162" s="44">
        <v>7254</v>
      </c>
      <c r="X162" s="7">
        <v>-0.54082448936056737</v>
      </c>
      <c r="Y162" s="8">
        <v>-0.11637630662020899</v>
      </c>
      <c r="Z162" s="8">
        <v>-5.3429284963196633</v>
      </c>
      <c r="AA162" s="8">
        <v>-2.7481008444054319E-2</v>
      </c>
    </row>
    <row r="163" spans="2:27" hidden="1" x14ac:dyDescent="0.3">
      <c r="B163" s="3" t="s">
        <v>202</v>
      </c>
      <c r="C163" s="3" t="s">
        <v>499</v>
      </c>
      <c r="D163" s="3" t="s">
        <v>554</v>
      </c>
      <c r="E163" s="3" t="s">
        <v>566</v>
      </c>
      <c r="F163" s="5">
        <v>23.2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4">
        <v>80.680000000000007</v>
      </c>
      <c r="S163" s="4">
        <v>100.05</v>
      </c>
      <c r="T163" s="4">
        <v>101.62</v>
      </c>
      <c r="U163" s="4">
        <v>120.92</v>
      </c>
      <c r="V163" s="6">
        <v>181.4</v>
      </c>
      <c r="W163" s="6">
        <v>216.83</v>
      </c>
      <c r="X163" s="11"/>
      <c r="Y163" s="3"/>
      <c r="Z163" s="9">
        <v>0.24975822649837581</v>
      </c>
      <c r="AA163" s="9">
        <v>0.23171094664576669</v>
      </c>
    </row>
    <row r="164" spans="2:27" hidden="1" x14ac:dyDescent="0.3">
      <c r="B164" s="3" t="s">
        <v>332</v>
      </c>
      <c r="C164" s="3" t="s">
        <v>499</v>
      </c>
      <c r="D164" s="3" t="s">
        <v>500</v>
      </c>
      <c r="E164" s="3" t="s">
        <v>566</v>
      </c>
      <c r="F164" s="5">
        <v>10.4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4">
        <v>410.67</v>
      </c>
      <c r="S164" s="4">
        <v>430.63</v>
      </c>
      <c r="T164" s="4">
        <v>439.4</v>
      </c>
      <c r="U164" s="4">
        <v>540.41</v>
      </c>
      <c r="V164" s="6">
        <v>598.15</v>
      </c>
      <c r="W164" s="6">
        <v>639.66</v>
      </c>
      <c r="X164" s="11"/>
      <c r="Y164" s="3"/>
      <c r="Z164" s="9">
        <v>0.1029482019208066</v>
      </c>
      <c r="AA164" s="9">
        <v>0.10406802782051081</v>
      </c>
    </row>
    <row r="165" spans="2:27" hidden="1" x14ac:dyDescent="0.3">
      <c r="B165" s="3" t="s">
        <v>53</v>
      </c>
      <c r="C165" s="3" t="s">
        <v>499</v>
      </c>
      <c r="D165" s="3" t="s">
        <v>567</v>
      </c>
      <c r="E165" s="3" t="s">
        <v>566</v>
      </c>
      <c r="F165" s="5">
        <v>5.9</v>
      </c>
      <c r="G165" s="4">
        <v>559.1</v>
      </c>
      <c r="H165" s="4">
        <v>521.79999999999995</v>
      </c>
      <c r="I165" s="4">
        <v>535.79999999999995</v>
      </c>
      <c r="J165" s="4">
        <v>602.79999999999995</v>
      </c>
      <c r="K165" s="4">
        <v>603.9</v>
      </c>
      <c r="L165" s="4">
        <v>500.3</v>
      </c>
      <c r="M165" s="4">
        <v>549.20000000000005</v>
      </c>
      <c r="N165" s="4">
        <v>584.79999999999995</v>
      </c>
      <c r="O165" s="4">
        <v>591.70000000000005</v>
      </c>
      <c r="P165" s="4">
        <v>582.20000000000005</v>
      </c>
      <c r="Q165" s="4">
        <v>598.6</v>
      </c>
      <c r="R165" s="4">
        <v>664.7</v>
      </c>
      <c r="S165" s="4">
        <v>640.4</v>
      </c>
      <c r="T165" s="4">
        <v>666.2</v>
      </c>
      <c r="U165" s="4">
        <v>632</v>
      </c>
      <c r="V165" s="4">
        <v>736.9</v>
      </c>
      <c r="W165" s="4">
        <v>797.8</v>
      </c>
      <c r="X165" s="7">
        <v>3.3790578864797423E-2</v>
      </c>
      <c r="Y165" s="8">
        <v>1.299661465426682E-2</v>
      </c>
      <c r="Z165" s="8">
        <v>2.773402988514562E-2</v>
      </c>
      <c r="AA165" s="8">
        <v>5.8830125210241002E-2</v>
      </c>
    </row>
    <row r="166" spans="2:27" hidden="1" x14ac:dyDescent="0.3">
      <c r="B166" s="3" t="s">
        <v>285</v>
      </c>
      <c r="C166" s="3" t="s">
        <v>499</v>
      </c>
      <c r="D166" s="3" t="s">
        <v>511</v>
      </c>
      <c r="E166" s="3" t="s">
        <v>566</v>
      </c>
      <c r="F166" s="5">
        <v>5</v>
      </c>
      <c r="G166" s="3"/>
      <c r="H166" s="4">
        <v>196.35</v>
      </c>
      <c r="I166" s="4">
        <v>205.62</v>
      </c>
      <c r="J166" s="4">
        <v>196.2</v>
      </c>
      <c r="K166" s="4">
        <v>184.38</v>
      </c>
      <c r="L166" s="4">
        <v>211.73</v>
      </c>
      <c r="M166" s="4">
        <v>269.64</v>
      </c>
      <c r="N166" s="4">
        <v>261.45999999999998</v>
      </c>
      <c r="O166" s="4">
        <v>252.85</v>
      </c>
      <c r="P166" s="4">
        <v>257.06</v>
      </c>
      <c r="Q166" s="4">
        <v>272.91000000000003</v>
      </c>
      <c r="R166" s="4">
        <v>266.61</v>
      </c>
      <c r="S166" s="4">
        <v>276.66000000000003</v>
      </c>
      <c r="T166" s="4">
        <v>323.89999999999998</v>
      </c>
      <c r="U166" s="4">
        <v>327.08</v>
      </c>
      <c r="V166" s="4">
        <v>327.78</v>
      </c>
      <c r="W166" s="4">
        <v>339.78</v>
      </c>
      <c r="X166" s="7">
        <v>6.2278707465245331E-2</v>
      </c>
      <c r="Y166" s="8">
        <v>4.751420952915586E-2</v>
      </c>
      <c r="Z166" s="8">
        <v>5.1220431232991581E-2</v>
      </c>
      <c r="AA166" s="8">
        <v>5.0277994615347772E-2</v>
      </c>
    </row>
    <row r="167" spans="2:27" hidden="1" x14ac:dyDescent="0.3">
      <c r="B167" s="3" t="s">
        <v>237</v>
      </c>
      <c r="C167" s="3" t="s">
        <v>499</v>
      </c>
      <c r="D167" s="3" t="s">
        <v>568</v>
      </c>
      <c r="E167" s="3" t="s">
        <v>566</v>
      </c>
      <c r="F167" s="5">
        <v>3.9</v>
      </c>
      <c r="G167" s="4">
        <v>57.27</v>
      </c>
      <c r="H167" s="4">
        <v>60.68</v>
      </c>
      <c r="I167" s="4">
        <v>64.040000000000006</v>
      </c>
      <c r="J167" s="4">
        <v>65.37</v>
      </c>
      <c r="K167" s="4">
        <v>70.8</v>
      </c>
      <c r="L167" s="4">
        <v>76.010000000000005</v>
      </c>
      <c r="M167" s="4">
        <v>74.650000000000006</v>
      </c>
      <c r="N167" s="4">
        <v>79.540000000000006</v>
      </c>
      <c r="O167" s="4">
        <v>82.92</v>
      </c>
      <c r="P167" s="4">
        <v>86.48</v>
      </c>
      <c r="Q167" s="4">
        <v>85.03</v>
      </c>
      <c r="R167" s="4">
        <v>94.25</v>
      </c>
      <c r="S167" s="4">
        <v>99.64</v>
      </c>
      <c r="T167" s="4">
        <v>103.71</v>
      </c>
      <c r="U167" s="4">
        <v>110.42</v>
      </c>
      <c r="V167" s="4">
        <v>112.23</v>
      </c>
      <c r="W167" s="4">
        <v>116.25</v>
      </c>
      <c r="X167" s="7">
        <v>4.7153804050355852E-2</v>
      </c>
      <c r="Y167" s="8">
        <v>6.6356532420353886E-2</v>
      </c>
      <c r="Z167" s="8">
        <v>4.4066467330032832E-2</v>
      </c>
      <c r="AA167" s="8">
        <v>3.8990610328638597E-2</v>
      </c>
    </row>
    <row r="168" spans="2:27" hidden="1" x14ac:dyDescent="0.3">
      <c r="B168" s="3" t="s">
        <v>43</v>
      </c>
      <c r="C168" s="3" t="s">
        <v>499</v>
      </c>
      <c r="D168" s="3" t="s">
        <v>506</v>
      </c>
      <c r="E168" s="3" t="s">
        <v>566</v>
      </c>
      <c r="F168" s="5">
        <v>3.1</v>
      </c>
      <c r="G168" s="4">
        <v>846</v>
      </c>
      <c r="H168" s="4">
        <v>868</v>
      </c>
      <c r="I168" s="4">
        <v>755</v>
      </c>
      <c r="J168" s="4">
        <v>924</v>
      </c>
      <c r="K168" s="4">
        <v>831</v>
      </c>
      <c r="L168" s="4">
        <v>1117</v>
      </c>
      <c r="M168" s="4">
        <v>1054</v>
      </c>
      <c r="N168" s="4">
        <v>985</v>
      </c>
      <c r="O168" s="4">
        <v>893</v>
      </c>
      <c r="P168" s="4">
        <v>1130</v>
      </c>
      <c r="Q168" s="4">
        <v>884</v>
      </c>
      <c r="R168" s="4">
        <v>916</v>
      </c>
      <c r="S168" s="4">
        <v>1117</v>
      </c>
      <c r="T168" s="4">
        <v>1063</v>
      </c>
      <c r="U168" s="4">
        <v>1081</v>
      </c>
      <c r="V168" s="4">
        <v>1090</v>
      </c>
      <c r="W168" s="4">
        <v>1252</v>
      </c>
      <c r="X168" s="7">
        <v>-1.655547319001727E-2</v>
      </c>
      <c r="Y168" s="8">
        <v>4.949748743718585E-2</v>
      </c>
      <c r="Z168" s="8">
        <v>4.1656691405314923E-2</v>
      </c>
      <c r="AA168" s="8">
        <v>3.102735003447488E-2</v>
      </c>
    </row>
    <row r="169" spans="2:27" hidden="1" x14ac:dyDescent="0.3">
      <c r="B169" s="3" t="s">
        <v>196</v>
      </c>
      <c r="C169" s="3" t="s">
        <v>499</v>
      </c>
      <c r="D169" s="3" t="s">
        <v>564</v>
      </c>
      <c r="E169" s="3" t="s">
        <v>569</v>
      </c>
      <c r="F169" s="5">
        <v>3.1</v>
      </c>
      <c r="G169" s="4">
        <v>1662</v>
      </c>
      <c r="H169" s="4">
        <v>1558</v>
      </c>
      <c r="I169" s="4">
        <v>1655</v>
      </c>
      <c r="J169" s="4">
        <v>1820</v>
      </c>
      <c r="K169" s="4">
        <v>1868</v>
      </c>
      <c r="L169" s="4">
        <v>1878</v>
      </c>
      <c r="M169" s="4">
        <v>1879</v>
      </c>
      <c r="N169" s="4">
        <v>2002</v>
      </c>
      <c r="O169" s="4">
        <v>2013</v>
      </c>
      <c r="P169" s="4">
        <v>2025</v>
      </c>
      <c r="Q169" s="4">
        <v>1961</v>
      </c>
      <c r="R169" s="4">
        <v>2252</v>
      </c>
      <c r="S169" s="4">
        <v>2158</v>
      </c>
      <c r="T169" s="4">
        <v>2348</v>
      </c>
      <c r="U169" s="4">
        <v>2212</v>
      </c>
      <c r="V169" s="4">
        <v>2412</v>
      </c>
      <c r="W169" s="4">
        <v>2440</v>
      </c>
      <c r="X169" s="7">
        <v>3.8470700333492092E-2</v>
      </c>
      <c r="Y169" s="8">
        <v>2.8787705012042641E-2</v>
      </c>
      <c r="Z169" s="8">
        <v>1.7837235228539638E-2</v>
      </c>
      <c r="AA169" s="8">
        <v>3.0887185104052639E-2</v>
      </c>
    </row>
    <row r="170" spans="2:27" hidden="1" x14ac:dyDescent="0.3">
      <c r="B170" s="3" t="s">
        <v>198</v>
      </c>
      <c r="C170" s="3" t="s">
        <v>499</v>
      </c>
      <c r="D170" s="3" t="s">
        <v>568</v>
      </c>
      <c r="E170" s="3" t="s">
        <v>566</v>
      </c>
      <c r="F170" s="5">
        <v>2.8</v>
      </c>
      <c r="G170" s="4">
        <v>104.6</v>
      </c>
      <c r="H170" s="4">
        <v>107.37</v>
      </c>
      <c r="I170" s="4">
        <v>112.97</v>
      </c>
      <c r="J170" s="4">
        <v>118.55</v>
      </c>
      <c r="K170" s="4">
        <v>125.66</v>
      </c>
      <c r="L170" s="4">
        <v>129.84</v>
      </c>
      <c r="M170" s="4">
        <v>135.03</v>
      </c>
      <c r="N170" s="4">
        <v>137.82</v>
      </c>
      <c r="O170" s="4">
        <v>144.41</v>
      </c>
      <c r="P170" s="4">
        <v>149.15</v>
      </c>
      <c r="Q170" s="4">
        <v>154.22</v>
      </c>
      <c r="R170" s="4">
        <v>157.38</v>
      </c>
      <c r="S170" s="4">
        <v>162.88</v>
      </c>
      <c r="T170" s="4">
        <v>164.04</v>
      </c>
      <c r="U170" s="4">
        <v>172.69</v>
      </c>
      <c r="V170" s="4">
        <v>177.29</v>
      </c>
      <c r="W170" s="4">
        <v>182.14</v>
      </c>
      <c r="X170" s="7">
        <v>2.3876336930551689E-2</v>
      </c>
      <c r="Y170" s="8">
        <v>2.8926266992419961E-2</v>
      </c>
      <c r="Z170" s="8">
        <v>3.0304875264463679E-2</v>
      </c>
      <c r="AA170" s="8">
        <v>2.8453242724183699E-2</v>
      </c>
    </row>
    <row r="171" spans="2:27" hidden="1" x14ac:dyDescent="0.3">
      <c r="B171" s="3" t="s">
        <v>175</v>
      </c>
      <c r="C171" s="3" t="s">
        <v>499</v>
      </c>
      <c r="D171" s="3" t="s">
        <v>500</v>
      </c>
      <c r="E171" s="3" t="s">
        <v>566</v>
      </c>
      <c r="F171" s="5">
        <v>2.2000000000000002</v>
      </c>
      <c r="G171" s="4">
        <v>257.2</v>
      </c>
      <c r="H171" s="4">
        <v>282.10000000000002</v>
      </c>
      <c r="I171" s="4">
        <v>293.3</v>
      </c>
      <c r="J171" s="4">
        <v>301.2</v>
      </c>
      <c r="K171" s="4">
        <v>315.60000000000002</v>
      </c>
      <c r="L171" s="4">
        <v>336.1</v>
      </c>
      <c r="M171" s="4">
        <v>370.6</v>
      </c>
      <c r="N171" s="4">
        <v>365.9</v>
      </c>
      <c r="O171" s="4">
        <v>377.5</v>
      </c>
      <c r="P171" s="4">
        <v>399.7</v>
      </c>
      <c r="Q171" s="4">
        <v>431.5</v>
      </c>
      <c r="R171" s="4">
        <v>423.3</v>
      </c>
      <c r="S171" s="4">
        <v>440</v>
      </c>
      <c r="T171" s="4">
        <v>465.2</v>
      </c>
      <c r="U171" s="4">
        <v>481.8</v>
      </c>
      <c r="V171" s="4">
        <v>464.7</v>
      </c>
      <c r="W171" s="4">
        <v>481.6</v>
      </c>
      <c r="X171" s="7">
        <v>3.8654470345234497E-2</v>
      </c>
      <c r="Y171" s="8">
        <v>2.8579545454545441E-2</v>
      </c>
      <c r="Z171" s="8">
        <v>2.2869137711981399E-2</v>
      </c>
      <c r="AA171" s="8">
        <v>2.246584219906023E-2</v>
      </c>
    </row>
    <row r="172" spans="2:27" hidden="1" x14ac:dyDescent="0.3">
      <c r="B172" s="3" t="s">
        <v>224</v>
      </c>
      <c r="C172" s="3" t="s">
        <v>499</v>
      </c>
      <c r="D172" s="3" t="s">
        <v>568</v>
      </c>
      <c r="E172" s="3" t="s">
        <v>566</v>
      </c>
      <c r="F172" s="5">
        <v>1.9</v>
      </c>
      <c r="G172" s="4">
        <v>121.07</v>
      </c>
      <c r="H172" s="4">
        <v>121.54</v>
      </c>
      <c r="I172" s="4">
        <v>125.49</v>
      </c>
      <c r="J172" s="4">
        <v>130.02000000000001</v>
      </c>
      <c r="K172" s="4">
        <v>139.75</v>
      </c>
      <c r="L172" s="4">
        <v>144.59</v>
      </c>
      <c r="M172" s="4">
        <v>149.43</v>
      </c>
      <c r="N172" s="4">
        <v>153.63</v>
      </c>
      <c r="O172" s="4">
        <v>156.49</v>
      </c>
      <c r="P172" s="4">
        <v>158.66</v>
      </c>
      <c r="Q172" s="4">
        <v>163.54</v>
      </c>
      <c r="R172" s="4">
        <v>165.17</v>
      </c>
      <c r="S172" s="4">
        <v>168.16</v>
      </c>
      <c r="T172" s="4">
        <v>175.31</v>
      </c>
      <c r="U172" s="4">
        <v>177.25</v>
      </c>
      <c r="V172" s="4">
        <v>179.82</v>
      </c>
      <c r="W172" s="4">
        <v>181.65</v>
      </c>
      <c r="X172" s="7">
        <v>2.5399295226762989E-2</v>
      </c>
      <c r="Y172" s="8">
        <v>2.0396322413639201E-2</v>
      </c>
      <c r="Z172" s="8">
        <v>2.1359110061380141E-2</v>
      </c>
      <c r="AA172" s="8">
        <v>1.9256573500442631E-2</v>
      </c>
    </row>
    <row r="173" spans="2:27" hidden="1" x14ac:dyDescent="0.3">
      <c r="B173" s="3" t="s">
        <v>342</v>
      </c>
      <c r="C173" s="3" t="s">
        <v>499</v>
      </c>
      <c r="D173" s="3" t="s">
        <v>564</v>
      </c>
      <c r="E173" s="3" t="s">
        <v>570</v>
      </c>
      <c r="F173" s="5">
        <v>1.6</v>
      </c>
      <c r="G173" s="4">
        <v>466.83</v>
      </c>
      <c r="H173" s="4">
        <v>396.65</v>
      </c>
      <c r="I173" s="4">
        <v>357.4</v>
      </c>
      <c r="J173" s="4">
        <v>319.25</v>
      </c>
      <c r="K173" s="4">
        <v>189.41</v>
      </c>
      <c r="L173" s="4">
        <v>349.38</v>
      </c>
      <c r="M173" s="4">
        <v>307.60000000000002</v>
      </c>
      <c r="N173" s="4">
        <v>261.66000000000003</v>
      </c>
      <c r="O173" s="6">
        <v>325.45999999999998</v>
      </c>
      <c r="P173" s="4">
        <v>263.82</v>
      </c>
      <c r="Q173" s="4">
        <v>284.68</v>
      </c>
      <c r="R173" s="4">
        <v>284.95999999999998</v>
      </c>
      <c r="S173" s="4">
        <v>358.59</v>
      </c>
      <c r="T173" s="4">
        <v>281.02</v>
      </c>
      <c r="U173" s="4">
        <v>287.5</v>
      </c>
      <c r="V173" s="4">
        <v>315.56</v>
      </c>
      <c r="W173" s="4">
        <v>377.9</v>
      </c>
      <c r="X173" s="7">
        <v>1.442892496120129E-2</v>
      </c>
      <c r="Y173" s="8">
        <v>2.332023981806763E-3</v>
      </c>
      <c r="Z173" s="8">
        <v>2.5246066646315901E-2</v>
      </c>
      <c r="AA173" s="8">
        <v>1.553912140793612E-2</v>
      </c>
    </row>
    <row r="174" spans="2:27" hidden="1" x14ac:dyDescent="0.3">
      <c r="B174" s="3" t="s">
        <v>131</v>
      </c>
      <c r="C174" s="3" t="s">
        <v>499</v>
      </c>
      <c r="D174" s="3" t="s">
        <v>548</v>
      </c>
      <c r="E174" s="3" t="s">
        <v>566</v>
      </c>
      <c r="F174" s="5">
        <v>1.5</v>
      </c>
      <c r="G174" s="4">
        <v>388.29</v>
      </c>
      <c r="H174" s="4">
        <v>422.63</v>
      </c>
      <c r="I174" s="4">
        <v>403.08</v>
      </c>
      <c r="J174" s="4">
        <v>391.58</v>
      </c>
      <c r="K174" s="4">
        <v>420.73</v>
      </c>
      <c r="L174" s="4">
        <v>417.33</v>
      </c>
      <c r="M174" s="4">
        <v>423.29</v>
      </c>
      <c r="N174" s="4">
        <v>428.28</v>
      </c>
      <c r="O174" s="4">
        <v>429.88</v>
      </c>
      <c r="P174" s="4">
        <v>398.79</v>
      </c>
      <c r="Q174" s="4">
        <v>439.29</v>
      </c>
      <c r="R174" s="4">
        <v>452.01</v>
      </c>
      <c r="S174" s="4">
        <v>462.35</v>
      </c>
      <c r="T174" s="4">
        <v>469.01</v>
      </c>
      <c r="U174" s="4">
        <v>477.79</v>
      </c>
      <c r="V174" s="4">
        <v>478.81</v>
      </c>
      <c r="W174" s="4">
        <v>491.1</v>
      </c>
      <c r="X174" s="7">
        <v>4.0069845472598287E-2</v>
      </c>
      <c r="Y174" s="8">
        <v>2.1122974114755388E-2</v>
      </c>
      <c r="Z174" s="8">
        <v>1.4399621741279621E-2</v>
      </c>
      <c r="AA174" s="8">
        <v>1.522807686603533E-2</v>
      </c>
    </row>
    <row r="175" spans="2:27" hidden="1" x14ac:dyDescent="0.3">
      <c r="B175" s="3" t="s">
        <v>192</v>
      </c>
      <c r="C175" s="3" t="s">
        <v>499</v>
      </c>
      <c r="D175" s="3" t="s">
        <v>571</v>
      </c>
      <c r="E175" s="3" t="s">
        <v>566</v>
      </c>
      <c r="F175" s="5">
        <v>1.5</v>
      </c>
      <c r="G175" s="4">
        <v>534.75</v>
      </c>
      <c r="H175" s="4">
        <v>582.4</v>
      </c>
      <c r="I175" s="4">
        <v>628.39</v>
      </c>
      <c r="J175" s="4">
        <v>515.51</v>
      </c>
      <c r="K175" s="4">
        <v>499.63</v>
      </c>
      <c r="L175" s="4">
        <v>497.98</v>
      </c>
      <c r="M175" s="4">
        <v>485.4</v>
      </c>
      <c r="N175" s="4">
        <v>494.86</v>
      </c>
      <c r="O175" s="4">
        <v>475.89</v>
      </c>
      <c r="P175" s="4">
        <v>509.16</v>
      </c>
      <c r="Q175" s="4">
        <v>458.8</v>
      </c>
      <c r="R175" s="4">
        <v>496.35</v>
      </c>
      <c r="S175" s="4">
        <v>501.87</v>
      </c>
      <c r="T175" s="4">
        <v>521.20000000000005</v>
      </c>
      <c r="U175" s="4">
        <v>483.46</v>
      </c>
      <c r="V175" s="4">
        <v>533.54</v>
      </c>
      <c r="W175" s="4">
        <v>532.58000000000004</v>
      </c>
      <c r="X175" s="7">
        <v>6.1235492172639896E-3</v>
      </c>
      <c r="Y175" s="8">
        <v>1.246575203971245E-2</v>
      </c>
      <c r="Z175" s="8">
        <v>1.8568261703147289E-2</v>
      </c>
      <c r="AA175" s="8">
        <v>1.5053405030219791E-2</v>
      </c>
    </row>
    <row r="176" spans="2:27" hidden="1" x14ac:dyDescent="0.3">
      <c r="B176" s="3" t="s">
        <v>449</v>
      </c>
      <c r="C176" s="3" t="s">
        <v>499</v>
      </c>
      <c r="D176" s="3" t="s">
        <v>572</v>
      </c>
      <c r="E176" s="3" t="s">
        <v>566</v>
      </c>
      <c r="F176" s="5">
        <v>1.4</v>
      </c>
      <c r="G176" s="4">
        <v>6609</v>
      </c>
      <c r="H176" s="4">
        <v>7046</v>
      </c>
      <c r="I176" s="4">
        <v>7896</v>
      </c>
      <c r="J176" s="4">
        <v>7282</v>
      </c>
      <c r="K176" s="4">
        <v>8510</v>
      </c>
      <c r="L176" s="4">
        <v>7855</v>
      </c>
      <c r="M176" s="4">
        <v>7722</v>
      </c>
      <c r="N176" s="4">
        <v>6348</v>
      </c>
      <c r="O176" s="4">
        <v>7946</v>
      </c>
      <c r="P176" s="4">
        <v>6807</v>
      </c>
      <c r="Q176" s="4">
        <v>7429</v>
      </c>
      <c r="R176" s="4">
        <v>6659</v>
      </c>
      <c r="S176" s="4">
        <v>7223</v>
      </c>
      <c r="T176" s="4">
        <v>6819</v>
      </c>
      <c r="U176" s="4">
        <v>8585</v>
      </c>
      <c r="V176" s="4">
        <v>6740</v>
      </c>
      <c r="W176" s="4">
        <v>7635</v>
      </c>
      <c r="X176" s="7">
        <v>4.267728856959252E-4</v>
      </c>
      <c r="Y176" s="8">
        <v>4.1094916459296187E-2</v>
      </c>
      <c r="Z176" s="8">
        <v>2.7658266748618039E-3</v>
      </c>
      <c r="AA176" s="8">
        <v>1.402935267477101E-2</v>
      </c>
    </row>
    <row r="177" spans="2:27" hidden="1" x14ac:dyDescent="0.3">
      <c r="B177" s="3" t="s">
        <v>182</v>
      </c>
      <c r="C177" s="3" t="s">
        <v>499</v>
      </c>
      <c r="D177" s="3" t="s">
        <v>568</v>
      </c>
      <c r="E177" s="3" t="s">
        <v>566</v>
      </c>
      <c r="F177" s="5">
        <v>1.2</v>
      </c>
      <c r="G177" s="4">
        <v>115.4</v>
      </c>
      <c r="H177" s="4">
        <v>132.71</v>
      </c>
      <c r="I177" s="4">
        <v>140.75</v>
      </c>
      <c r="J177" s="4">
        <v>149.12</v>
      </c>
      <c r="K177" s="4">
        <v>162.75</v>
      </c>
      <c r="L177" s="4">
        <v>178.59</v>
      </c>
      <c r="M177" s="4">
        <v>186.24</v>
      </c>
      <c r="N177" s="4">
        <v>195.77</v>
      </c>
      <c r="O177" s="4">
        <v>205.4</v>
      </c>
      <c r="P177" s="4">
        <v>210.43</v>
      </c>
      <c r="Q177" s="4">
        <v>214.1</v>
      </c>
      <c r="R177" s="4">
        <v>237.57</v>
      </c>
      <c r="S177" s="4">
        <v>241.84</v>
      </c>
      <c r="T177" s="4">
        <v>242.9</v>
      </c>
      <c r="U177" s="4">
        <v>252.29</v>
      </c>
      <c r="V177" s="4">
        <v>249.51</v>
      </c>
      <c r="W177" s="4">
        <v>253.24</v>
      </c>
      <c r="X177" s="7">
        <v>3.5920525698608152E-2</v>
      </c>
      <c r="Y177" s="8">
        <v>4.0783417520103393E-2</v>
      </c>
      <c r="Z177" s="8">
        <v>1.2251179971270121E-2</v>
      </c>
      <c r="AA177" s="8">
        <v>1.155553753522431E-2</v>
      </c>
    </row>
    <row r="178" spans="2:27" hidden="1" x14ac:dyDescent="0.3">
      <c r="B178" s="3" t="s">
        <v>369</v>
      </c>
      <c r="C178" s="3" t="s">
        <v>499</v>
      </c>
      <c r="D178" s="3" t="s">
        <v>573</v>
      </c>
      <c r="E178" s="3" t="s">
        <v>566</v>
      </c>
      <c r="F178" s="5">
        <v>0.9</v>
      </c>
      <c r="G178" s="4">
        <v>111.63</v>
      </c>
      <c r="H178" s="4">
        <v>111.07</v>
      </c>
      <c r="I178" s="4">
        <v>108.32</v>
      </c>
      <c r="J178" s="4">
        <v>115.29</v>
      </c>
      <c r="K178" s="4">
        <v>133.72999999999999</v>
      </c>
      <c r="L178" s="4">
        <v>120.54</v>
      </c>
      <c r="M178" s="4">
        <v>116.64</v>
      </c>
      <c r="N178" s="4">
        <v>123.68</v>
      </c>
      <c r="O178" s="4">
        <v>132.97</v>
      </c>
      <c r="P178" s="4">
        <v>128.19</v>
      </c>
      <c r="Q178" s="4">
        <v>121.66</v>
      </c>
      <c r="R178" s="4">
        <v>128.13999999999999</v>
      </c>
      <c r="S178" s="4">
        <v>137.87</v>
      </c>
      <c r="T178" s="4">
        <v>134.51</v>
      </c>
      <c r="U178" s="4">
        <v>125.39</v>
      </c>
      <c r="V178" s="4">
        <v>136.91</v>
      </c>
      <c r="W178" s="4">
        <v>142.81</v>
      </c>
      <c r="X178" s="7">
        <v>1.225138603497067E-2</v>
      </c>
      <c r="Y178" s="8">
        <v>7.1431307212073136E-3</v>
      </c>
      <c r="Z178" s="8">
        <v>1.6675857085813209E-2</v>
      </c>
      <c r="AA178" s="8">
        <v>9.2391710929902171E-3</v>
      </c>
    </row>
    <row r="179" spans="2:27" hidden="1" x14ac:dyDescent="0.3">
      <c r="B179" s="3" t="s">
        <v>67</v>
      </c>
      <c r="C179" s="3" t="s">
        <v>499</v>
      </c>
      <c r="D179" s="3" t="s">
        <v>564</v>
      </c>
      <c r="E179" s="3" t="s">
        <v>569</v>
      </c>
      <c r="F179" s="5">
        <v>0.4</v>
      </c>
      <c r="G179" s="4">
        <v>520.9</v>
      </c>
      <c r="H179" s="4">
        <v>541.9</v>
      </c>
      <c r="I179" s="4">
        <v>598.29999999999995</v>
      </c>
      <c r="J179" s="4">
        <v>536</v>
      </c>
      <c r="K179" s="4">
        <v>537.29999999999995</v>
      </c>
      <c r="L179" s="4">
        <v>556.29999999999995</v>
      </c>
      <c r="M179" s="4">
        <v>595</v>
      </c>
      <c r="N179" s="4">
        <v>540.4</v>
      </c>
      <c r="O179" s="4">
        <v>554.70000000000005</v>
      </c>
      <c r="P179" s="4">
        <v>588.5</v>
      </c>
      <c r="Q179" s="4">
        <v>630.4</v>
      </c>
      <c r="R179" s="4">
        <v>564.5</v>
      </c>
      <c r="S179" s="4">
        <v>576.20000000000005</v>
      </c>
      <c r="T179" s="4">
        <v>609.1</v>
      </c>
      <c r="U179" s="4">
        <v>631.9</v>
      </c>
      <c r="V179" s="4">
        <v>579.79999999999995</v>
      </c>
      <c r="W179" s="4">
        <v>585.20000000000005</v>
      </c>
      <c r="X179" s="7">
        <v>8.7302932700457081E-3</v>
      </c>
      <c r="Y179" s="8">
        <v>6.3019914292916646E-4</v>
      </c>
      <c r="Z179" s="8">
        <v>6.4239828693790626E-3</v>
      </c>
      <c r="AA179" s="8">
        <v>3.754693366708306E-3</v>
      </c>
    </row>
    <row r="180" spans="2:27" hidden="1" x14ac:dyDescent="0.3">
      <c r="B180" s="3" t="s">
        <v>135</v>
      </c>
      <c r="C180" s="3" t="s">
        <v>499</v>
      </c>
      <c r="D180" s="3" t="s">
        <v>548</v>
      </c>
      <c r="E180" s="3" t="s">
        <v>566</v>
      </c>
      <c r="F180" s="5">
        <v>0.1</v>
      </c>
      <c r="G180" s="4">
        <v>452.58</v>
      </c>
      <c r="H180" s="4">
        <v>463.58</v>
      </c>
      <c r="I180" s="4">
        <v>476.08</v>
      </c>
      <c r="J180" s="4">
        <v>495.04</v>
      </c>
      <c r="K180" s="4">
        <v>520.78</v>
      </c>
      <c r="L180" s="4">
        <v>527.97</v>
      </c>
      <c r="M180" s="4">
        <v>529.03</v>
      </c>
      <c r="N180" s="4">
        <v>535.15</v>
      </c>
      <c r="O180" s="4">
        <v>542.04</v>
      </c>
      <c r="P180" s="4">
        <v>542.25</v>
      </c>
      <c r="Q180" s="4">
        <v>543.62</v>
      </c>
      <c r="R180" s="4">
        <v>546.44000000000005</v>
      </c>
      <c r="S180" s="4">
        <v>551.13</v>
      </c>
      <c r="T180" s="4">
        <v>549.83000000000004</v>
      </c>
      <c r="U180" s="4">
        <v>549.29999999999995</v>
      </c>
      <c r="V180" s="4">
        <v>549.9</v>
      </c>
      <c r="W180" s="4">
        <v>554.37</v>
      </c>
      <c r="X180" s="7">
        <v>3.471586120983305E-3</v>
      </c>
      <c r="Y180" s="8">
        <v>2.592399886810703E-3</v>
      </c>
      <c r="Z180" s="8">
        <v>1.5750899075885889E-3</v>
      </c>
      <c r="AA180" s="8">
        <v>1.472620173078365E-3</v>
      </c>
    </row>
    <row r="181" spans="2:27" hidden="1" x14ac:dyDescent="0.3">
      <c r="B181" s="3" t="s">
        <v>435</v>
      </c>
      <c r="C181" s="3" t="s">
        <v>499</v>
      </c>
      <c r="D181" s="3" t="s">
        <v>557</v>
      </c>
      <c r="E181" s="3" t="s">
        <v>566</v>
      </c>
      <c r="F181" s="5">
        <v>0</v>
      </c>
      <c r="G181" s="4">
        <v>117.99</v>
      </c>
      <c r="H181" s="4">
        <v>125.14</v>
      </c>
      <c r="I181" s="4">
        <v>115.3</v>
      </c>
      <c r="J181" s="4">
        <v>120.9</v>
      </c>
      <c r="K181" s="4">
        <v>125.97</v>
      </c>
      <c r="L181" s="4">
        <v>127.57</v>
      </c>
      <c r="M181" s="4">
        <v>128.36000000000001</v>
      </c>
      <c r="N181" s="4">
        <v>127.88</v>
      </c>
      <c r="O181" s="4">
        <v>125.34</v>
      </c>
      <c r="P181" s="4">
        <v>128.21</v>
      </c>
      <c r="Q181" s="4">
        <v>129.63999999999999</v>
      </c>
      <c r="R181" s="4">
        <v>130.58000000000001</v>
      </c>
      <c r="S181" s="4">
        <v>134.4</v>
      </c>
      <c r="T181" s="4">
        <v>129.24</v>
      </c>
      <c r="U181" s="4">
        <v>123.59</v>
      </c>
      <c r="V181" s="4">
        <v>130.16</v>
      </c>
      <c r="W181" s="4">
        <v>134.52000000000001</v>
      </c>
      <c r="X181" s="7">
        <v>1.970047625423188E-3</v>
      </c>
      <c r="Y181" s="8">
        <v>-1.154888710724233E-2</v>
      </c>
      <c r="Z181" s="8">
        <v>-8.1110832158526325E-4</v>
      </c>
      <c r="AA181" s="8">
        <v>2.3193335781512839E-4</v>
      </c>
    </row>
    <row r="182" spans="2:27" hidden="1" x14ac:dyDescent="0.3">
      <c r="B182" s="3" t="s">
        <v>361</v>
      </c>
      <c r="C182" s="3" t="s">
        <v>499</v>
      </c>
      <c r="D182" s="3" t="s">
        <v>574</v>
      </c>
      <c r="E182" s="3" t="s">
        <v>566</v>
      </c>
      <c r="F182" s="5">
        <v>0</v>
      </c>
      <c r="G182" s="4">
        <v>216.23</v>
      </c>
      <c r="H182" s="4">
        <v>283.92</v>
      </c>
      <c r="I182" s="4">
        <v>268.01</v>
      </c>
      <c r="J182" s="4">
        <v>290.93</v>
      </c>
      <c r="K182" s="4">
        <v>289.49</v>
      </c>
      <c r="L182" s="4">
        <v>265.43</v>
      </c>
      <c r="M182" s="4">
        <v>248.77</v>
      </c>
      <c r="N182" s="4">
        <v>367.42</v>
      </c>
      <c r="O182" s="4">
        <v>400.37</v>
      </c>
      <c r="P182" s="6">
        <v>494.85</v>
      </c>
      <c r="Q182" s="6">
        <v>475.43</v>
      </c>
      <c r="R182" s="4">
        <v>0</v>
      </c>
      <c r="S182" s="4">
        <v>225.75</v>
      </c>
      <c r="T182" s="4">
        <v>548.4</v>
      </c>
      <c r="U182" s="4">
        <v>446.23</v>
      </c>
      <c r="V182" s="6">
        <v>217.9</v>
      </c>
      <c r="W182" s="4">
        <v>225.17</v>
      </c>
      <c r="X182" s="7">
        <v>4.4773124419956067E-2</v>
      </c>
      <c r="Y182" s="8">
        <v>-2.3367851598136809E-2</v>
      </c>
      <c r="Z182" s="9">
        <v>0.1785509431488552</v>
      </c>
      <c r="AA182" s="8">
        <v>-4.0325944878605302E-4</v>
      </c>
    </row>
    <row r="183" spans="2:27" hidden="1" x14ac:dyDescent="0.3">
      <c r="B183" s="3" t="s">
        <v>336</v>
      </c>
      <c r="C183" s="3" t="s">
        <v>499</v>
      </c>
      <c r="D183" s="3" t="s">
        <v>575</v>
      </c>
      <c r="E183" s="3" t="s">
        <v>566</v>
      </c>
      <c r="F183" s="5">
        <v>-3.4</v>
      </c>
      <c r="G183" s="4">
        <v>59.1</v>
      </c>
      <c r="H183" s="4">
        <v>98.99</v>
      </c>
      <c r="I183" s="4">
        <v>76.400000000000006</v>
      </c>
      <c r="J183" s="4">
        <v>112.6</v>
      </c>
      <c r="K183" s="6">
        <v>116.77</v>
      </c>
      <c r="L183" s="6">
        <v>167.89</v>
      </c>
      <c r="M183" s="6">
        <v>132.57</v>
      </c>
      <c r="N183" s="4">
        <v>153.05000000000001</v>
      </c>
      <c r="O183" s="4">
        <v>131.57</v>
      </c>
      <c r="P183" s="4">
        <v>143.38</v>
      </c>
      <c r="Q183" s="4">
        <v>147.04</v>
      </c>
      <c r="R183" s="4">
        <v>151.24</v>
      </c>
      <c r="S183" s="4">
        <v>142.11000000000001</v>
      </c>
      <c r="T183" s="4">
        <v>131.38999999999999</v>
      </c>
      <c r="U183" s="4">
        <v>138.37</v>
      </c>
      <c r="V183" s="4">
        <v>145.78</v>
      </c>
      <c r="W183" s="4">
        <v>123.04</v>
      </c>
      <c r="X183" s="7">
        <v>-2.0538910872432651E-2</v>
      </c>
      <c r="Y183" s="8">
        <v>-1.516317464759165E-2</v>
      </c>
      <c r="Z183" s="8">
        <v>-9.6961517287919019E-3</v>
      </c>
      <c r="AA183" s="8">
        <v>-3.4197077019635813E-2</v>
      </c>
    </row>
    <row r="184" spans="2:27" hidden="1" x14ac:dyDescent="0.3">
      <c r="B184" s="3" t="s">
        <v>340</v>
      </c>
      <c r="C184" s="3" t="s">
        <v>499</v>
      </c>
      <c r="D184" s="3" t="s">
        <v>510</v>
      </c>
      <c r="E184" s="3" t="s">
        <v>566</v>
      </c>
      <c r="F184" s="5">
        <v>-3.6</v>
      </c>
      <c r="G184" s="4">
        <v>357.89</v>
      </c>
      <c r="H184" s="4">
        <v>0</v>
      </c>
      <c r="I184" s="4">
        <v>509.38</v>
      </c>
      <c r="J184" s="4">
        <v>622.24</v>
      </c>
      <c r="K184" s="6">
        <v>727.5</v>
      </c>
      <c r="L184" s="6">
        <v>788.48</v>
      </c>
      <c r="M184" s="6">
        <v>791.8</v>
      </c>
      <c r="N184" s="4">
        <v>758.89</v>
      </c>
      <c r="O184" s="4">
        <v>1011</v>
      </c>
      <c r="P184" s="6">
        <v>1584</v>
      </c>
      <c r="Q184" s="6">
        <v>1510</v>
      </c>
      <c r="R184" s="6">
        <v>1348</v>
      </c>
      <c r="S184" s="4">
        <v>1357</v>
      </c>
      <c r="T184" s="4">
        <v>1162</v>
      </c>
      <c r="U184" s="4">
        <v>1281</v>
      </c>
      <c r="V184" s="4">
        <v>1219</v>
      </c>
      <c r="W184" s="4">
        <v>1176</v>
      </c>
      <c r="X184" s="7">
        <v>-7.2771167442662543E-2</v>
      </c>
      <c r="Y184" s="8">
        <v>-4.2588804165891718E-2</v>
      </c>
      <c r="Z184" s="8">
        <v>-2.505827505827507E-2</v>
      </c>
      <c r="AA184" s="8">
        <v>-3.6062960749153272E-2</v>
      </c>
    </row>
    <row r="185" spans="2:27" hidden="1" x14ac:dyDescent="0.3">
      <c r="B185" s="3" t="s">
        <v>454</v>
      </c>
      <c r="C185" s="3" t="s">
        <v>563</v>
      </c>
      <c r="D185" s="3" t="s">
        <v>564</v>
      </c>
      <c r="E185" s="3" t="s">
        <v>566</v>
      </c>
      <c r="F185" s="5">
        <v>0.2</v>
      </c>
      <c r="G185" s="4">
        <v>8742</v>
      </c>
      <c r="H185" s="4">
        <v>12365</v>
      </c>
      <c r="I185" s="4">
        <v>11321</v>
      </c>
      <c r="J185" s="4">
        <v>10836</v>
      </c>
      <c r="K185" s="4">
        <v>9931</v>
      </c>
      <c r="L185" s="4">
        <v>8383</v>
      </c>
      <c r="M185" s="4">
        <v>11377</v>
      </c>
      <c r="N185" s="4">
        <v>11585</v>
      </c>
      <c r="O185" s="4">
        <v>11030</v>
      </c>
      <c r="P185" s="4">
        <v>11014</v>
      </c>
      <c r="Q185" s="4">
        <v>11990</v>
      </c>
      <c r="R185" s="4">
        <v>7883</v>
      </c>
      <c r="S185" s="4">
        <v>11221</v>
      </c>
      <c r="T185" s="4">
        <v>9223</v>
      </c>
      <c r="U185" s="4">
        <v>11869</v>
      </c>
      <c r="V185" s="6">
        <v>13201</v>
      </c>
      <c r="W185" s="4">
        <v>11321</v>
      </c>
      <c r="X185" s="7">
        <v>-4.2533485323454023E-2</v>
      </c>
      <c r="Y185" s="8">
        <v>-3.001215368206966E-3</v>
      </c>
      <c r="Z185" s="9">
        <v>0.1323017215643347</v>
      </c>
      <c r="AA185" s="8">
        <v>2.1971261589841529E-3</v>
      </c>
    </row>
    <row r="186" spans="2:27" hidden="1" x14ac:dyDescent="0.3">
      <c r="B186" s="3" t="s">
        <v>430</v>
      </c>
      <c r="C186" s="3" t="s">
        <v>576</v>
      </c>
      <c r="D186" s="3" t="s">
        <v>564</v>
      </c>
      <c r="E186" s="3" t="s">
        <v>577</v>
      </c>
      <c r="F186" s="5">
        <v>0.9</v>
      </c>
      <c r="G186" s="3"/>
      <c r="H186" s="3"/>
      <c r="I186" s="3"/>
      <c r="J186" s="3"/>
      <c r="K186" s="3"/>
      <c r="L186" s="3"/>
      <c r="M186" s="3"/>
      <c r="N186" s="4">
        <v>588.42999999999995</v>
      </c>
      <c r="O186" s="4">
        <v>480.78</v>
      </c>
      <c r="P186" s="4">
        <v>728.72</v>
      </c>
      <c r="Q186" s="4">
        <v>578.92999999999995</v>
      </c>
      <c r="R186" s="4">
        <v>718.24</v>
      </c>
      <c r="S186" s="4">
        <v>570.59</v>
      </c>
      <c r="T186" s="4">
        <v>726.31</v>
      </c>
      <c r="U186" s="4">
        <v>492.76</v>
      </c>
      <c r="V186" s="4">
        <v>910.88</v>
      </c>
      <c r="W186" s="4">
        <v>594.64</v>
      </c>
      <c r="X186" s="7">
        <v>-9.2817968942582318E-4</v>
      </c>
      <c r="Y186" s="8">
        <v>-3.3218070445284693E-2</v>
      </c>
      <c r="Z186" s="8">
        <v>7.6813270066589556E-2</v>
      </c>
      <c r="AA186" s="8">
        <v>8.9056262821509691E-3</v>
      </c>
    </row>
  </sheetData>
  <autoFilter ref="B2:AA186" xr:uid="{00000000-0009-0000-0000-000001000000}">
    <filterColumn colId="3">
      <filters>
        <filter val="Dec'25"/>
        <filter val="Jun'26"/>
        <filter val="Mar'26"/>
        <filter val="Sep'26"/>
      </filters>
    </filterColumn>
    <sortState xmlns:xlrd2="http://schemas.microsoft.com/office/spreadsheetml/2017/richdata2" ref="B3:AA162">
      <sortCondition descending="1" ref="C2:C186"/>
    </sortState>
  </autoFilter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187"/>
  <sheetViews>
    <sheetView tabSelected="1" zoomScale="85" zoomScaleNormal="85" workbookViewId="0">
      <selection activeCell="B2" sqref="B2:AA162"/>
    </sheetView>
  </sheetViews>
  <sheetFormatPr defaultRowHeight="16.5" x14ac:dyDescent="0.3"/>
  <cols>
    <col min="1" max="1" width="3" customWidth="1"/>
    <col min="2" max="2" width="14.25" style="16" bestFit="1" customWidth="1"/>
    <col min="3" max="3" width="14" customWidth="1"/>
    <col min="4" max="4" width="34" bestFit="1" customWidth="1"/>
    <col min="5" max="6" width="12" customWidth="1"/>
    <col min="7" max="11" width="9" hidden="1" customWidth="1"/>
    <col min="12" max="23" width="9" customWidth="1"/>
    <col min="24" max="27" width="10" customWidth="1"/>
  </cols>
  <sheetData>
    <row r="2" spans="2:27" x14ac:dyDescent="0.3">
      <c r="B2" s="15" t="s">
        <v>604</v>
      </c>
      <c r="C2" s="15" t="s">
        <v>478</v>
      </c>
      <c r="D2" s="15" t="s">
        <v>479</v>
      </c>
      <c r="E2" s="15" t="s">
        <v>480</v>
      </c>
      <c r="F2" s="15" t="s">
        <v>481</v>
      </c>
      <c r="G2" s="15" t="s">
        <v>482</v>
      </c>
      <c r="H2" s="15" t="s">
        <v>483</v>
      </c>
      <c r="I2" s="15" t="s">
        <v>484</v>
      </c>
      <c r="J2" s="15" t="s">
        <v>485</v>
      </c>
      <c r="K2" s="15" t="s">
        <v>486</v>
      </c>
      <c r="L2" s="15" t="s">
        <v>487</v>
      </c>
      <c r="M2" s="15" t="s">
        <v>488</v>
      </c>
      <c r="N2" s="15" t="s">
        <v>489</v>
      </c>
      <c r="O2" s="15" t="s">
        <v>490</v>
      </c>
      <c r="P2" s="15" t="s">
        <v>491</v>
      </c>
      <c r="Q2" s="15" t="s">
        <v>492</v>
      </c>
      <c r="R2" s="15" t="s">
        <v>493</v>
      </c>
      <c r="S2" s="15" t="s">
        <v>494</v>
      </c>
      <c r="T2" s="15" t="s">
        <v>495</v>
      </c>
      <c r="U2" s="15" t="s">
        <v>496</v>
      </c>
      <c r="V2" s="15" t="s">
        <v>497</v>
      </c>
      <c r="W2" s="15" t="s">
        <v>498</v>
      </c>
      <c r="X2" s="15" t="s">
        <v>495</v>
      </c>
      <c r="Y2" s="15" t="s">
        <v>496</v>
      </c>
      <c r="Z2" s="15" t="s">
        <v>497</v>
      </c>
      <c r="AA2" s="15" t="s">
        <v>498</v>
      </c>
    </row>
    <row r="3" spans="2:27" x14ac:dyDescent="0.3">
      <c r="B3" s="13" t="s">
        <v>476</v>
      </c>
      <c r="C3" s="3" t="s">
        <v>499</v>
      </c>
      <c r="D3" s="3" t="s">
        <v>500</v>
      </c>
      <c r="E3" s="3" t="s">
        <v>501</v>
      </c>
      <c r="F3" s="14">
        <v>327.60000000000002</v>
      </c>
      <c r="G3" s="4">
        <v>27.85</v>
      </c>
      <c r="H3" s="4">
        <v>6.75</v>
      </c>
      <c r="I3" s="4">
        <v>16.97</v>
      </c>
      <c r="J3" s="4">
        <v>-13.24</v>
      </c>
      <c r="K3" s="4">
        <v>2.21</v>
      </c>
      <c r="L3" s="44">
        <v>-14.9</v>
      </c>
      <c r="M3" s="45">
        <v>-7.33</v>
      </c>
      <c r="N3" s="44">
        <v>4.74</v>
      </c>
      <c r="O3" s="44">
        <v>59.29</v>
      </c>
      <c r="P3" s="45">
        <v>-7.74</v>
      </c>
      <c r="Q3" s="45">
        <v>3.66</v>
      </c>
      <c r="R3" s="44">
        <v>-8.9</v>
      </c>
      <c r="S3" s="44">
        <v>-5.87</v>
      </c>
      <c r="T3" s="44">
        <v>20.18</v>
      </c>
      <c r="U3" s="44">
        <v>-0.1</v>
      </c>
      <c r="V3" s="45">
        <v>-1.0900000000000001</v>
      </c>
      <c r="W3" s="45">
        <v>37.11</v>
      </c>
      <c r="X3" s="7">
        <v>-1.481167108753316</v>
      </c>
      <c r="Y3" s="8">
        <v>-0.41455347298787221</v>
      </c>
      <c r="Z3" s="9">
        <v>1.470809792843691</v>
      </c>
      <c r="AA3" s="9">
        <v>3.2759146341463419</v>
      </c>
    </row>
    <row r="4" spans="2:27" x14ac:dyDescent="0.3">
      <c r="B4" s="13" t="s">
        <v>142</v>
      </c>
      <c r="C4" s="3" t="s">
        <v>499</v>
      </c>
      <c r="D4" s="3" t="s">
        <v>556</v>
      </c>
      <c r="E4" s="3" t="s">
        <v>503</v>
      </c>
      <c r="F4" s="14">
        <v>206.9</v>
      </c>
      <c r="G4" s="4">
        <v>527.70000000000005</v>
      </c>
      <c r="H4" s="4">
        <v>311</v>
      </c>
      <c r="I4" s="4">
        <v>214</v>
      </c>
      <c r="J4" s="4">
        <v>-360</v>
      </c>
      <c r="K4" s="6">
        <v>625.1</v>
      </c>
      <c r="L4" s="45">
        <v>519</v>
      </c>
      <c r="M4" s="45">
        <v>745</v>
      </c>
      <c r="N4" s="45">
        <v>656</v>
      </c>
      <c r="O4" s="44">
        <v>392</v>
      </c>
      <c r="P4" s="45">
        <v>837</v>
      </c>
      <c r="Q4" s="44">
        <v>847</v>
      </c>
      <c r="R4" s="44">
        <v>716</v>
      </c>
      <c r="S4" s="44">
        <v>-870</v>
      </c>
      <c r="T4" s="44">
        <v>360</v>
      </c>
      <c r="U4" s="44">
        <v>881</v>
      </c>
      <c r="V4" s="44">
        <v>336</v>
      </c>
      <c r="W4" s="45">
        <v>593</v>
      </c>
      <c r="X4" s="7">
        <v>-0.31176470588235289</v>
      </c>
      <c r="Y4" s="8">
        <v>3.228869895536568E-2</v>
      </c>
      <c r="Z4" s="8">
        <v>-0.34958601655933758</v>
      </c>
      <c r="AA4" s="9">
        <v>2.0693069306930689</v>
      </c>
    </row>
    <row r="5" spans="2:27" x14ac:dyDescent="0.3">
      <c r="B5" s="13" t="s">
        <v>218</v>
      </c>
      <c r="C5" s="3" t="s">
        <v>499</v>
      </c>
      <c r="D5" s="3" t="s">
        <v>541</v>
      </c>
      <c r="E5" s="3" t="s">
        <v>501</v>
      </c>
      <c r="F5" s="14">
        <v>143.19999999999999</v>
      </c>
      <c r="G5" s="4">
        <v>-64</v>
      </c>
      <c r="H5" s="4">
        <v>1352</v>
      </c>
      <c r="I5" s="4">
        <v>107</v>
      </c>
      <c r="J5" s="4">
        <v>278</v>
      </c>
      <c r="K5" s="4">
        <v>-960</v>
      </c>
      <c r="L5" s="44">
        <v>265</v>
      </c>
      <c r="M5" s="45">
        <v>-67</v>
      </c>
      <c r="N5" s="45">
        <v>130</v>
      </c>
      <c r="O5" s="44">
        <v>274</v>
      </c>
      <c r="P5" s="45">
        <v>765</v>
      </c>
      <c r="Q5" s="45">
        <v>151</v>
      </c>
      <c r="R5" s="44">
        <v>-92</v>
      </c>
      <c r="S5" s="45">
        <v>489</v>
      </c>
      <c r="T5" s="44">
        <v>700</v>
      </c>
      <c r="U5" s="44">
        <v>-42</v>
      </c>
      <c r="V5" s="44">
        <v>-34</v>
      </c>
      <c r="W5" s="45">
        <v>2083</v>
      </c>
      <c r="X5" s="7">
        <v>-4.9504950495049549E-2</v>
      </c>
      <c r="Y5" s="8">
        <v>-0.1546474358974359</v>
      </c>
      <c r="Z5" s="8">
        <v>5.4976303317535453E-2</v>
      </c>
      <c r="AA5" s="9">
        <v>1.4321653189577721</v>
      </c>
    </row>
    <row r="6" spans="2:27" x14ac:dyDescent="0.3">
      <c r="B6" s="13" t="s">
        <v>59</v>
      </c>
      <c r="C6" s="3" t="s">
        <v>499</v>
      </c>
      <c r="D6" s="3" t="s">
        <v>538</v>
      </c>
      <c r="E6" s="3" t="s">
        <v>503</v>
      </c>
      <c r="F6" s="14">
        <v>119.8</v>
      </c>
      <c r="G6" s="4">
        <v>816</v>
      </c>
      <c r="H6" s="4">
        <v>443</v>
      </c>
      <c r="I6" s="4">
        <v>3567</v>
      </c>
      <c r="J6" s="4">
        <v>3534</v>
      </c>
      <c r="K6" s="6">
        <v>2132</v>
      </c>
      <c r="L6" s="45">
        <v>2216</v>
      </c>
      <c r="M6" s="44">
        <v>1890</v>
      </c>
      <c r="N6" s="44">
        <v>2308</v>
      </c>
      <c r="O6" s="44">
        <v>1868</v>
      </c>
      <c r="P6" s="44">
        <v>776</v>
      </c>
      <c r="Q6" s="44">
        <v>1016</v>
      </c>
      <c r="R6" s="44">
        <v>735.9</v>
      </c>
      <c r="S6" s="44">
        <v>194</v>
      </c>
      <c r="T6" s="44">
        <v>-147</v>
      </c>
      <c r="U6" s="45">
        <v>1473</v>
      </c>
      <c r="V6" s="45">
        <v>1517</v>
      </c>
      <c r="W6" s="45">
        <v>3833</v>
      </c>
      <c r="X6" s="7">
        <v>-0.33910136301847971</v>
      </c>
      <c r="Y6" s="9">
        <v>0.25404413808438497</v>
      </c>
      <c r="Z6" s="9">
        <v>0.34624761735892551</v>
      </c>
      <c r="AA6" s="9">
        <v>1.1982219295357259</v>
      </c>
    </row>
    <row r="7" spans="2:27" x14ac:dyDescent="0.3">
      <c r="B7" s="13" t="s">
        <v>346</v>
      </c>
      <c r="C7" s="3" t="s">
        <v>499</v>
      </c>
      <c r="D7" s="3" t="s">
        <v>515</v>
      </c>
      <c r="E7" s="3" t="s">
        <v>501</v>
      </c>
      <c r="F7" s="14">
        <v>86.1</v>
      </c>
      <c r="G7" s="4">
        <v>151.11000000000001</v>
      </c>
      <c r="H7" s="4">
        <v>129.34</v>
      </c>
      <c r="I7" s="4">
        <v>123.42</v>
      </c>
      <c r="J7" s="4">
        <v>67.540000000000006</v>
      </c>
      <c r="K7" s="4">
        <v>11.82</v>
      </c>
      <c r="L7" s="44">
        <v>12.63</v>
      </c>
      <c r="M7" s="44">
        <v>17.05</v>
      </c>
      <c r="N7" s="44">
        <v>19.97</v>
      </c>
      <c r="O7" s="44">
        <v>1.69</v>
      </c>
      <c r="P7" s="44">
        <v>-60.68</v>
      </c>
      <c r="Q7" s="45">
        <v>8.2799999999999994</v>
      </c>
      <c r="R7" s="44">
        <v>68.05</v>
      </c>
      <c r="S7" s="45">
        <v>10.66</v>
      </c>
      <c r="T7" s="45">
        <v>1.91</v>
      </c>
      <c r="U7" s="44">
        <v>-2.82</v>
      </c>
      <c r="V7" s="44">
        <v>-1.43</v>
      </c>
      <c r="W7" s="45">
        <v>17.82</v>
      </c>
      <c r="X7" s="10">
        <v>2.3789433675408591</v>
      </c>
      <c r="Y7" s="8">
        <v>-0.1248593925759279</v>
      </c>
      <c r="Z7" s="8">
        <v>-0.89305912596401027</v>
      </c>
      <c r="AA7" s="9">
        <v>0.86057692307692313</v>
      </c>
    </row>
    <row r="8" spans="2:27" x14ac:dyDescent="0.3">
      <c r="B8" s="13" t="s">
        <v>428</v>
      </c>
      <c r="C8" s="3" t="s">
        <v>499</v>
      </c>
      <c r="D8" s="3" t="s">
        <v>513</v>
      </c>
      <c r="E8" s="3" t="s">
        <v>501</v>
      </c>
      <c r="F8" s="14">
        <v>47.9</v>
      </c>
      <c r="G8" s="4">
        <v>20.399999999999999</v>
      </c>
      <c r="H8" s="4">
        <v>20.5</v>
      </c>
      <c r="I8" s="4">
        <v>-3.5</v>
      </c>
      <c r="J8" s="4">
        <v>6</v>
      </c>
      <c r="K8" s="6">
        <v>27.9</v>
      </c>
      <c r="L8" s="45">
        <v>47.9</v>
      </c>
      <c r="M8" s="44">
        <v>1.6</v>
      </c>
      <c r="N8" s="44">
        <v>-3.7</v>
      </c>
      <c r="O8" s="44">
        <v>25.3</v>
      </c>
      <c r="P8" s="44">
        <v>47.6</v>
      </c>
      <c r="Q8" s="44">
        <v>6.5</v>
      </c>
      <c r="R8" s="44">
        <v>-12.6</v>
      </c>
      <c r="S8" s="44">
        <v>0.5</v>
      </c>
      <c r="T8" s="44">
        <v>46</v>
      </c>
      <c r="U8" s="45">
        <v>16.899999999999999</v>
      </c>
      <c r="V8" s="45">
        <v>12</v>
      </c>
      <c r="W8" s="45">
        <v>36.6</v>
      </c>
      <c r="X8" s="7">
        <v>-3.8095238095238182E-2</v>
      </c>
      <c r="Y8" s="9">
        <v>0.25742574257425738</v>
      </c>
      <c r="Z8" s="9">
        <v>0.48425196850393731</v>
      </c>
      <c r="AA8" s="9">
        <v>0.4787798408488062</v>
      </c>
    </row>
    <row r="9" spans="2:27" x14ac:dyDescent="0.3">
      <c r="B9" s="13" t="s">
        <v>385</v>
      </c>
      <c r="C9" s="3" t="s">
        <v>499</v>
      </c>
      <c r="D9" s="3" t="s">
        <v>547</v>
      </c>
      <c r="E9" s="3" t="s">
        <v>503</v>
      </c>
      <c r="F9" s="14">
        <v>46.5</v>
      </c>
      <c r="G9" s="4">
        <v>41.35</v>
      </c>
      <c r="H9" s="4">
        <v>7.37</v>
      </c>
      <c r="I9" s="4">
        <v>26.27</v>
      </c>
      <c r="J9" s="4">
        <v>4.2300000000000004</v>
      </c>
      <c r="K9" s="6">
        <v>90.54</v>
      </c>
      <c r="L9" s="45">
        <v>93.21</v>
      </c>
      <c r="M9" s="45">
        <v>122.22</v>
      </c>
      <c r="N9" s="44">
        <v>14.77</v>
      </c>
      <c r="O9" s="44">
        <v>20.350000000000001</v>
      </c>
      <c r="P9" s="44">
        <v>28.55</v>
      </c>
      <c r="Q9" s="44">
        <v>53.01</v>
      </c>
      <c r="R9" s="44">
        <v>-17.55</v>
      </c>
      <c r="S9" s="45">
        <v>29.21</v>
      </c>
      <c r="T9" s="45">
        <v>63.45</v>
      </c>
      <c r="U9" s="44">
        <v>50.44</v>
      </c>
      <c r="V9" s="44">
        <v>-23.72</v>
      </c>
      <c r="W9" s="45">
        <v>84.71</v>
      </c>
      <c r="X9" s="10">
        <v>0.37438317957519862</v>
      </c>
      <c r="Y9" s="8">
        <v>-2.0059319388073701E-2</v>
      </c>
      <c r="Z9" s="8">
        <v>-4.914376742333737E-2</v>
      </c>
      <c r="AA9" s="9">
        <v>0.4649019936337746</v>
      </c>
    </row>
    <row r="10" spans="2:27" x14ac:dyDescent="0.3">
      <c r="B10" s="13" t="s">
        <v>263</v>
      </c>
      <c r="C10" s="3" t="s">
        <v>499</v>
      </c>
      <c r="D10" s="3" t="s">
        <v>515</v>
      </c>
      <c r="E10" s="3" t="s">
        <v>503</v>
      </c>
      <c r="F10" s="14">
        <v>37.700000000000003</v>
      </c>
      <c r="G10" s="4">
        <v>31.47</v>
      </c>
      <c r="H10" s="4">
        <v>34.5</v>
      </c>
      <c r="I10" s="4">
        <v>33.229999999999997</v>
      </c>
      <c r="J10" s="4">
        <v>10.199999999999999</v>
      </c>
      <c r="K10" s="4">
        <v>-7.1</v>
      </c>
      <c r="L10" s="44">
        <v>0.09</v>
      </c>
      <c r="M10" s="44">
        <v>-1.31</v>
      </c>
      <c r="N10" s="44">
        <v>2.71</v>
      </c>
      <c r="O10" s="44">
        <v>8.82</v>
      </c>
      <c r="P10" s="44">
        <v>1.03</v>
      </c>
      <c r="Q10" s="45">
        <v>17.46</v>
      </c>
      <c r="R10" s="45">
        <v>17.86</v>
      </c>
      <c r="S10" s="44">
        <v>7.85</v>
      </c>
      <c r="T10" s="44">
        <v>3.27</v>
      </c>
      <c r="U10" s="44">
        <v>12.31</v>
      </c>
      <c r="V10" s="44">
        <v>18.010000000000002</v>
      </c>
      <c r="W10" s="45">
        <v>23.49</v>
      </c>
      <c r="X10" s="7">
        <v>5.0678733031674028E-2</v>
      </c>
      <c r="Y10" s="8">
        <v>-0.1108957795004306</v>
      </c>
      <c r="Z10" s="8">
        <v>3.6328408815695661E-3</v>
      </c>
      <c r="AA10" s="9">
        <v>0.37741312741312721</v>
      </c>
    </row>
    <row r="11" spans="2:27" x14ac:dyDescent="0.3">
      <c r="B11" s="13" t="s">
        <v>61</v>
      </c>
      <c r="C11" s="3" t="s">
        <v>499</v>
      </c>
      <c r="D11" s="3" t="s">
        <v>524</v>
      </c>
      <c r="E11" s="3" t="s">
        <v>503</v>
      </c>
      <c r="F11" s="14">
        <v>25.9</v>
      </c>
      <c r="G11" s="4">
        <v>1524</v>
      </c>
      <c r="H11" s="4">
        <v>896</v>
      </c>
      <c r="I11" s="4">
        <v>-1227</v>
      </c>
      <c r="J11" s="4">
        <v>-811</v>
      </c>
      <c r="K11" s="4">
        <v>-302</v>
      </c>
      <c r="L11" s="45">
        <v>-293</v>
      </c>
      <c r="M11" s="45">
        <v>-1623</v>
      </c>
      <c r="N11" s="44">
        <v>154</v>
      </c>
      <c r="O11" s="44">
        <v>1962</v>
      </c>
      <c r="P11" s="45">
        <v>1571</v>
      </c>
      <c r="Q11" s="45">
        <v>541</v>
      </c>
      <c r="R11" s="45">
        <v>1550</v>
      </c>
      <c r="S11" s="45">
        <v>2560</v>
      </c>
      <c r="T11" s="44">
        <v>835</v>
      </c>
      <c r="U11" s="45">
        <v>1928</v>
      </c>
      <c r="V11" s="45">
        <v>4217</v>
      </c>
      <c r="W11" s="45">
        <v>5033</v>
      </c>
      <c r="X11" s="7">
        <v>-0.1182899389263903</v>
      </c>
      <c r="Y11" s="9">
        <v>0.25282537367845431</v>
      </c>
      <c r="Z11" s="9">
        <v>0.38804015713662171</v>
      </c>
      <c r="AA11" s="9">
        <v>0.25922431865828099</v>
      </c>
    </row>
    <row r="12" spans="2:27" x14ac:dyDescent="0.3">
      <c r="B12" s="13" t="s">
        <v>265</v>
      </c>
      <c r="C12" s="3" t="s">
        <v>499</v>
      </c>
      <c r="D12" s="3" t="s">
        <v>508</v>
      </c>
      <c r="E12" s="3" t="s">
        <v>509</v>
      </c>
      <c r="F12" s="14">
        <v>23.9</v>
      </c>
      <c r="G12" s="4">
        <v>8.9600000000000009</v>
      </c>
      <c r="H12" s="4">
        <v>2.17</v>
      </c>
      <c r="I12" s="4">
        <v>21.43</v>
      </c>
      <c r="J12" s="4">
        <v>15.38</v>
      </c>
      <c r="K12" s="6">
        <v>23.29</v>
      </c>
      <c r="L12" s="44">
        <v>8.0500000000000007</v>
      </c>
      <c r="M12" s="45">
        <v>60.63</v>
      </c>
      <c r="N12" s="45">
        <v>42.58</v>
      </c>
      <c r="O12" s="44">
        <v>32.44</v>
      </c>
      <c r="P12" s="44">
        <v>17.329999999999998</v>
      </c>
      <c r="Q12" s="44">
        <v>51.11</v>
      </c>
      <c r="R12" s="44">
        <v>31.52</v>
      </c>
      <c r="S12" s="44">
        <v>35.090000000000003</v>
      </c>
      <c r="T12" s="45">
        <v>44.32</v>
      </c>
      <c r="U12" s="44">
        <v>48.71</v>
      </c>
      <c r="V12" s="44">
        <v>7.72</v>
      </c>
      <c r="W12" s="45">
        <v>67.540000000000006</v>
      </c>
      <c r="X12" s="10">
        <v>0.19985190670122169</v>
      </c>
      <c r="Y12" s="8">
        <v>-1.4811157738829789E-2</v>
      </c>
      <c r="Z12" s="8">
        <v>-0.14908544224505141</v>
      </c>
      <c r="AA12" s="9">
        <v>0.23888398115429929</v>
      </c>
    </row>
    <row r="13" spans="2:27" x14ac:dyDescent="0.3">
      <c r="B13" s="13" t="s">
        <v>214</v>
      </c>
      <c r="C13" s="3" t="s">
        <v>499</v>
      </c>
      <c r="D13" s="3" t="s">
        <v>517</v>
      </c>
      <c r="E13" s="3" t="s">
        <v>503</v>
      </c>
      <c r="F13" s="14">
        <v>22.3</v>
      </c>
      <c r="G13" s="4">
        <v>-31.49</v>
      </c>
      <c r="H13" s="4">
        <v>-23.08</v>
      </c>
      <c r="I13" s="4">
        <v>-29.96</v>
      </c>
      <c r="J13" s="4">
        <v>-33.03</v>
      </c>
      <c r="K13" s="6">
        <v>-54.31</v>
      </c>
      <c r="L13" s="45">
        <v>-69.569999999999993</v>
      </c>
      <c r="M13" s="45">
        <v>-50.18</v>
      </c>
      <c r="N13" s="44">
        <v>-42.01</v>
      </c>
      <c r="O13" s="44">
        <v>-39.68</v>
      </c>
      <c r="P13" s="44">
        <v>-25.1</v>
      </c>
      <c r="Q13" s="44">
        <v>-30.69</v>
      </c>
      <c r="R13" s="44">
        <v>-37.619999999999997</v>
      </c>
      <c r="S13" s="44">
        <v>10.44</v>
      </c>
      <c r="T13" s="44">
        <v>-24.63</v>
      </c>
      <c r="U13" s="44">
        <v>-32.29</v>
      </c>
      <c r="V13" s="44">
        <v>-20.2</v>
      </c>
      <c r="W13" s="45">
        <v>-4.42</v>
      </c>
      <c r="X13" s="7">
        <v>-5.6646980836446703E-3</v>
      </c>
      <c r="Y13" s="8">
        <v>1.93939393939393E-2</v>
      </c>
      <c r="Z13" s="8">
        <v>-0.2071343638525566</v>
      </c>
      <c r="AA13" s="9">
        <v>0.22285542891421731</v>
      </c>
    </row>
    <row r="14" spans="2:27" x14ac:dyDescent="0.3">
      <c r="B14" s="13" t="s">
        <v>22</v>
      </c>
      <c r="C14" s="3" t="s">
        <v>499</v>
      </c>
      <c r="D14" s="3" t="s">
        <v>500</v>
      </c>
      <c r="E14" s="3" t="s">
        <v>503</v>
      </c>
      <c r="F14" s="14">
        <v>22</v>
      </c>
      <c r="G14" s="4">
        <v>-550</v>
      </c>
      <c r="H14" s="4">
        <v>-482</v>
      </c>
      <c r="I14" s="4">
        <v>-713</v>
      </c>
      <c r="J14" s="4">
        <v>-495</v>
      </c>
      <c r="K14" s="4">
        <v>-142</v>
      </c>
      <c r="L14" s="44">
        <v>-262</v>
      </c>
      <c r="M14" s="44">
        <v>326</v>
      </c>
      <c r="N14" s="44">
        <v>394</v>
      </c>
      <c r="O14" s="45">
        <v>652</v>
      </c>
      <c r="P14" s="45">
        <v>172</v>
      </c>
      <c r="Q14" s="45">
        <v>796</v>
      </c>
      <c r="R14" s="45">
        <v>1061</v>
      </c>
      <c r="S14" s="44">
        <v>770</v>
      </c>
      <c r="T14" s="45">
        <v>1228</v>
      </c>
      <c r="U14" s="45">
        <v>1450</v>
      </c>
      <c r="V14" s="44">
        <v>1113</v>
      </c>
      <c r="W14" s="45">
        <v>1774</v>
      </c>
      <c r="X14" s="10">
        <v>0.37727759914255099</v>
      </c>
      <c r="Y14" s="9">
        <v>0.16964980544747091</v>
      </c>
      <c r="Z14" s="8">
        <v>1.1532490574406751E-2</v>
      </c>
      <c r="AA14" s="9">
        <v>0.22012716509537381</v>
      </c>
    </row>
    <row r="15" spans="2:27" x14ac:dyDescent="0.3">
      <c r="B15" s="13" t="s">
        <v>365</v>
      </c>
      <c r="C15" s="3" t="s">
        <v>499</v>
      </c>
      <c r="D15" s="3" t="s">
        <v>505</v>
      </c>
      <c r="E15" s="3" t="s">
        <v>501</v>
      </c>
      <c r="F15" s="14">
        <v>20.8</v>
      </c>
      <c r="G15" s="4">
        <v>-73.989999999999995</v>
      </c>
      <c r="H15" s="4">
        <v>-58.3</v>
      </c>
      <c r="I15" s="4">
        <v>-61.03</v>
      </c>
      <c r="J15" s="4">
        <v>-98.59</v>
      </c>
      <c r="K15" s="4">
        <v>-49.42</v>
      </c>
      <c r="L15" s="44">
        <v>-36.450000000000003</v>
      </c>
      <c r="M15" s="44">
        <v>-38.51</v>
      </c>
      <c r="N15" s="44">
        <v>12.71</v>
      </c>
      <c r="O15" s="44">
        <v>-29.97</v>
      </c>
      <c r="P15" s="44">
        <v>-15.59</v>
      </c>
      <c r="Q15" s="44">
        <v>4.57</v>
      </c>
      <c r="R15" s="44">
        <v>67.61</v>
      </c>
      <c r="S15" s="44">
        <v>-53.72</v>
      </c>
      <c r="T15" s="44">
        <v>-44.78</v>
      </c>
      <c r="U15" s="44">
        <v>4.34</v>
      </c>
      <c r="V15" s="45">
        <v>49.04</v>
      </c>
      <c r="W15" s="45">
        <v>-63.12</v>
      </c>
      <c r="X15" s="7">
        <v>-10.170731707317071</v>
      </c>
      <c r="Y15" s="8">
        <v>8.7386018237081142E-3</v>
      </c>
      <c r="Z15" s="9">
        <v>0.69943502824858772</v>
      </c>
      <c r="AA15" s="9">
        <v>0.20833333333333301</v>
      </c>
    </row>
    <row r="16" spans="2:27" x14ac:dyDescent="0.3">
      <c r="B16" s="13" t="s">
        <v>261</v>
      </c>
      <c r="C16" s="3" t="s">
        <v>499</v>
      </c>
      <c r="D16" s="3" t="s">
        <v>511</v>
      </c>
      <c r="E16" s="3" t="s">
        <v>501</v>
      </c>
      <c r="F16" s="14">
        <v>16.600000000000001</v>
      </c>
      <c r="G16" s="4">
        <v>52.5</v>
      </c>
      <c r="H16" s="4">
        <v>81</v>
      </c>
      <c r="I16" s="4">
        <v>70.900000000000006</v>
      </c>
      <c r="J16" s="4">
        <v>69</v>
      </c>
      <c r="K16" s="4">
        <v>72.099999999999994</v>
      </c>
      <c r="L16" s="44">
        <v>69.599999999999994</v>
      </c>
      <c r="M16" s="44">
        <v>95.2</v>
      </c>
      <c r="N16" s="44">
        <v>75</v>
      </c>
      <c r="O16" s="44">
        <v>97</v>
      </c>
      <c r="P16" s="44">
        <v>66.5</v>
      </c>
      <c r="Q16" s="44">
        <v>90.3</v>
      </c>
      <c r="R16" s="44">
        <v>99.5</v>
      </c>
      <c r="S16" s="44">
        <v>116.4</v>
      </c>
      <c r="T16" s="44">
        <v>99.1</v>
      </c>
      <c r="U16" s="44">
        <v>88.3</v>
      </c>
      <c r="V16" s="44">
        <v>110.4</v>
      </c>
      <c r="W16" s="45">
        <v>185.3</v>
      </c>
      <c r="X16" s="7">
        <v>8.7469814864502338E-2</v>
      </c>
      <c r="Y16" s="8">
        <v>-4.9346163335800552E-3</v>
      </c>
      <c r="Z16" s="8">
        <v>2.702702702702697E-2</v>
      </c>
      <c r="AA16" s="9">
        <v>0.16634476098503151</v>
      </c>
    </row>
    <row r="17" spans="2:27" x14ac:dyDescent="0.3">
      <c r="B17" s="13" t="s">
        <v>167</v>
      </c>
      <c r="C17" s="3" t="s">
        <v>499</v>
      </c>
      <c r="D17" s="3" t="s">
        <v>534</v>
      </c>
      <c r="E17" s="3" t="s">
        <v>503</v>
      </c>
      <c r="F17" s="14">
        <v>15.3</v>
      </c>
      <c r="G17" s="4">
        <v>262.5</v>
      </c>
      <c r="H17" s="4">
        <v>449.4</v>
      </c>
      <c r="I17" s="4">
        <v>328.7</v>
      </c>
      <c r="J17" s="4">
        <v>221.1</v>
      </c>
      <c r="K17" s="4">
        <v>-62.1</v>
      </c>
      <c r="L17" s="44">
        <v>55.6</v>
      </c>
      <c r="M17" s="44">
        <v>117.9</v>
      </c>
      <c r="N17" s="44">
        <v>239.4</v>
      </c>
      <c r="O17" s="45">
        <v>206.4</v>
      </c>
      <c r="P17" s="45">
        <v>220.9</v>
      </c>
      <c r="Q17" s="45">
        <v>291.5</v>
      </c>
      <c r="R17" s="44">
        <v>276.89999999999998</v>
      </c>
      <c r="S17" s="44">
        <v>211.3</v>
      </c>
      <c r="T17" s="44">
        <v>247</v>
      </c>
      <c r="U17" s="44">
        <v>215.5</v>
      </c>
      <c r="V17" s="44">
        <v>339.6</v>
      </c>
      <c r="W17" s="45">
        <v>366.8</v>
      </c>
      <c r="X17" s="7">
        <v>2.608434939036575E-2</v>
      </c>
      <c r="Y17" s="8">
        <v>-7.4023570663290128E-2</v>
      </c>
      <c r="Z17" s="8">
        <v>6.595140422846324E-2</v>
      </c>
      <c r="AA17" s="9">
        <v>0.15344385237813299</v>
      </c>
    </row>
    <row r="18" spans="2:27" x14ac:dyDescent="0.3">
      <c r="B18" s="13" t="s">
        <v>160</v>
      </c>
      <c r="C18" s="3" t="s">
        <v>499</v>
      </c>
      <c r="D18" s="3" t="s">
        <v>511</v>
      </c>
      <c r="E18" s="3" t="s">
        <v>503</v>
      </c>
      <c r="F18" s="14">
        <v>15</v>
      </c>
      <c r="G18" s="4">
        <v>456.06</v>
      </c>
      <c r="H18" s="4">
        <v>209.36</v>
      </c>
      <c r="I18" s="4">
        <v>146.71</v>
      </c>
      <c r="J18" s="4">
        <v>130.4</v>
      </c>
      <c r="K18" s="4">
        <v>212.69</v>
      </c>
      <c r="L18" s="44">
        <v>109.83</v>
      </c>
      <c r="M18" s="44">
        <v>57.72</v>
      </c>
      <c r="N18" s="44">
        <v>76.88</v>
      </c>
      <c r="O18" s="44">
        <v>120.1</v>
      </c>
      <c r="P18" s="44">
        <v>84.12</v>
      </c>
      <c r="Q18" s="45">
        <v>108.24</v>
      </c>
      <c r="R18" s="45">
        <v>129.96</v>
      </c>
      <c r="S18" s="45">
        <v>212.56</v>
      </c>
      <c r="T18" s="44">
        <v>111.18</v>
      </c>
      <c r="U18" s="44">
        <v>152.03</v>
      </c>
      <c r="V18" s="45">
        <v>219.72</v>
      </c>
      <c r="W18" s="45">
        <v>316.87</v>
      </c>
      <c r="X18" s="7">
        <v>5.0590786718516467E-2</v>
      </c>
      <c r="Y18" s="8">
        <v>7.7926469018044564E-2</v>
      </c>
      <c r="Z18" s="9">
        <v>0.14818483482739839</v>
      </c>
      <c r="AA18" s="9">
        <v>0.1499805892248629</v>
      </c>
    </row>
    <row r="19" spans="2:27" x14ac:dyDescent="0.3">
      <c r="B19" s="13" t="s">
        <v>315</v>
      </c>
      <c r="C19" s="3" t="s">
        <v>499</v>
      </c>
      <c r="D19" s="3" t="s">
        <v>504</v>
      </c>
      <c r="E19" s="3" t="s">
        <v>503</v>
      </c>
      <c r="F19" s="14">
        <v>14.9</v>
      </c>
      <c r="G19" s="4">
        <v>118.3</v>
      </c>
      <c r="H19" s="4">
        <v>143.34</v>
      </c>
      <c r="I19" s="4">
        <v>155.22999999999999</v>
      </c>
      <c r="J19" s="4">
        <v>180.4</v>
      </c>
      <c r="K19" s="4">
        <v>132.63999999999999</v>
      </c>
      <c r="L19" s="44">
        <v>156.68</v>
      </c>
      <c r="M19" s="44">
        <v>132.71</v>
      </c>
      <c r="N19" s="44">
        <v>112.74</v>
      </c>
      <c r="O19" s="44">
        <v>75.28</v>
      </c>
      <c r="P19" s="44">
        <v>40.6</v>
      </c>
      <c r="Q19" s="44">
        <v>35.86</v>
      </c>
      <c r="R19" s="44">
        <v>20.25</v>
      </c>
      <c r="S19" s="44">
        <v>8.1199999999999992</v>
      </c>
      <c r="T19" s="44">
        <v>-0.88</v>
      </c>
      <c r="U19" s="44">
        <v>20.32</v>
      </c>
      <c r="V19" s="44">
        <v>17.309999999999999</v>
      </c>
      <c r="W19" s="45">
        <v>14.79</v>
      </c>
      <c r="X19" s="7">
        <v>-0.39568825717828859</v>
      </c>
      <c r="Y19" s="8">
        <v>-0.24530386740331489</v>
      </c>
      <c r="Z19" s="8">
        <v>-6.1493411420205042E-2</v>
      </c>
      <c r="AA19" s="9">
        <v>0.1486516603521284</v>
      </c>
    </row>
    <row r="20" spans="2:27" x14ac:dyDescent="0.3">
      <c r="B20" s="13" t="s">
        <v>226</v>
      </c>
      <c r="C20" s="3" t="s">
        <v>499</v>
      </c>
      <c r="D20" s="3" t="s">
        <v>525</v>
      </c>
      <c r="E20" s="3" t="s">
        <v>503</v>
      </c>
      <c r="F20" s="14">
        <v>14.8</v>
      </c>
      <c r="G20" s="4">
        <v>37.31</v>
      </c>
      <c r="H20" s="4">
        <v>26.05</v>
      </c>
      <c r="I20" s="4">
        <v>47.51</v>
      </c>
      <c r="J20" s="4">
        <v>50.68</v>
      </c>
      <c r="K20" s="4">
        <v>49.13</v>
      </c>
      <c r="L20" s="44">
        <v>0.7</v>
      </c>
      <c r="M20" s="44">
        <v>32.21</v>
      </c>
      <c r="N20" s="44">
        <v>37.99</v>
      </c>
      <c r="O20" s="44">
        <v>39.869999999999997</v>
      </c>
      <c r="P20" s="45">
        <v>21.01</v>
      </c>
      <c r="Q20" s="44">
        <v>40.020000000000003</v>
      </c>
      <c r="R20" s="45">
        <v>52.36</v>
      </c>
      <c r="S20" s="44">
        <v>46.46</v>
      </c>
      <c r="T20" s="45">
        <v>50.97</v>
      </c>
      <c r="U20" s="45">
        <v>63.18</v>
      </c>
      <c r="V20" s="44">
        <v>72.42</v>
      </c>
      <c r="W20" s="45">
        <v>80.97</v>
      </c>
      <c r="X20" s="10">
        <v>0.1874257116046294</v>
      </c>
      <c r="Y20" s="9">
        <v>0.1220167535957009</v>
      </c>
      <c r="Z20" s="8">
        <v>9.4191670188289445E-2</v>
      </c>
      <c r="AA20" s="9">
        <v>0.14809252027635941</v>
      </c>
    </row>
    <row r="21" spans="2:27" x14ac:dyDescent="0.3">
      <c r="B21" s="13" t="s">
        <v>308</v>
      </c>
      <c r="C21" s="3" t="s">
        <v>499</v>
      </c>
      <c r="D21" s="3" t="s">
        <v>534</v>
      </c>
      <c r="E21" s="3" t="s">
        <v>522</v>
      </c>
      <c r="F21" s="14">
        <v>14</v>
      </c>
      <c r="G21" s="4">
        <v>49.16</v>
      </c>
      <c r="H21" s="4">
        <v>60.74</v>
      </c>
      <c r="I21" s="4">
        <v>68.2</v>
      </c>
      <c r="J21" s="4">
        <v>49.3</v>
      </c>
      <c r="K21" s="4">
        <v>34.770000000000003</v>
      </c>
      <c r="L21" s="44">
        <v>52.21</v>
      </c>
      <c r="M21" s="44">
        <v>62.84</v>
      </c>
      <c r="N21" s="44">
        <v>48.92</v>
      </c>
      <c r="O21" s="44">
        <v>30.26</v>
      </c>
      <c r="P21" s="44">
        <v>42.41</v>
      </c>
      <c r="Q21" s="44">
        <v>63.69</v>
      </c>
      <c r="R21" s="44">
        <v>35.79</v>
      </c>
      <c r="S21" s="44">
        <v>32.99</v>
      </c>
      <c r="T21" s="44">
        <v>49.89</v>
      </c>
      <c r="U21" s="44">
        <v>36.950000000000003</v>
      </c>
      <c r="V21" s="44">
        <v>39.22</v>
      </c>
      <c r="W21" s="45">
        <v>55.19</v>
      </c>
      <c r="X21" s="7">
        <v>4.2772186642269013E-2</v>
      </c>
      <c r="Y21" s="8">
        <v>-0.14663303355999119</v>
      </c>
      <c r="Z21" s="8">
        <v>2.2040868782932769E-2</v>
      </c>
      <c r="AA21" s="9">
        <v>0.13957874882112531</v>
      </c>
    </row>
    <row r="22" spans="2:27" x14ac:dyDescent="0.3">
      <c r="B22" s="13" t="s">
        <v>393</v>
      </c>
      <c r="C22" s="3" t="s">
        <v>499</v>
      </c>
      <c r="D22" s="3" t="s">
        <v>517</v>
      </c>
      <c r="E22" s="3" t="s">
        <v>509</v>
      </c>
      <c r="F22" s="14">
        <v>13.6</v>
      </c>
      <c r="G22" s="4">
        <v>-6.49</v>
      </c>
      <c r="H22" s="4">
        <v>-6.32</v>
      </c>
      <c r="I22" s="4">
        <v>-8.6999999999999993</v>
      </c>
      <c r="J22" s="4">
        <v>-8.3800000000000008</v>
      </c>
      <c r="K22" s="4">
        <v>-9.43</v>
      </c>
      <c r="L22" s="44">
        <v>-5.38</v>
      </c>
      <c r="M22" s="44">
        <v>-3.98</v>
      </c>
      <c r="N22" s="44">
        <v>-1.54</v>
      </c>
      <c r="O22" s="44">
        <v>-0.59</v>
      </c>
      <c r="P22" s="44">
        <v>-0.36</v>
      </c>
      <c r="Q22" s="44">
        <v>0.63</v>
      </c>
      <c r="R22" s="44">
        <v>2.86</v>
      </c>
      <c r="S22" s="45">
        <v>1.73</v>
      </c>
      <c r="T22" s="45">
        <v>1.65</v>
      </c>
      <c r="U22" s="45">
        <v>5.64</v>
      </c>
      <c r="V22" s="44">
        <v>2.97</v>
      </c>
      <c r="W22" s="45">
        <v>3.36</v>
      </c>
      <c r="X22" s="10">
        <v>0.41358024691358047</v>
      </c>
      <c r="Y22" s="9">
        <v>0.72925764192139719</v>
      </c>
      <c r="Z22" s="8">
        <v>9.2592592592593004E-3</v>
      </c>
      <c r="AA22" s="9">
        <v>0.13594662218515419</v>
      </c>
    </row>
    <row r="23" spans="2:27" x14ac:dyDescent="0.3">
      <c r="B23" s="13" t="s">
        <v>338</v>
      </c>
      <c r="C23" s="3" t="s">
        <v>499</v>
      </c>
      <c r="D23" s="3" t="s">
        <v>516</v>
      </c>
      <c r="E23" s="3" t="s">
        <v>503</v>
      </c>
      <c r="F23" s="14">
        <v>12.5</v>
      </c>
      <c r="G23" s="4">
        <v>29.72</v>
      </c>
      <c r="H23" s="4">
        <v>30.8</v>
      </c>
      <c r="I23" s="4">
        <v>26.29</v>
      </c>
      <c r="J23" s="4">
        <v>34.17</v>
      </c>
      <c r="K23" s="6">
        <v>65.2</v>
      </c>
      <c r="L23" s="44">
        <v>43.39</v>
      </c>
      <c r="M23" s="44">
        <v>30.28</v>
      </c>
      <c r="N23" s="44">
        <v>33.880000000000003</v>
      </c>
      <c r="O23" s="44">
        <v>33.04</v>
      </c>
      <c r="P23" s="44">
        <v>33.799999999999997</v>
      </c>
      <c r="Q23" s="44">
        <v>32.520000000000003</v>
      </c>
      <c r="R23" s="44">
        <v>34.770000000000003</v>
      </c>
      <c r="S23" s="45">
        <v>49.66</v>
      </c>
      <c r="T23" s="44">
        <v>39.31</v>
      </c>
      <c r="U23" s="44">
        <v>42.25</v>
      </c>
      <c r="V23" s="44">
        <v>42.2</v>
      </c>
      <c r="W23" s="45">
        <v>71.27</v>
      </c>
      <c r="X23" s="7">
        <v>3.6550580431177433E-2</v>
      </c>
      <c r="Y23" s="8">
        <v>6.2268014847049802E-2</v>
      </c>
      <c r="Z23" s="8">
        <v>4.476173263449601E-2</v>
      </c>
      <c r="AA23" s="9">
        <v>0.12461077153730819</v>
      </c>
    </row>
    <row r="24" spans="2:27" x14ac:dyDescent="0.3">
      <c r="B24" s="13" t="s">
        <v>401</v>
      </c>
      <c r="C24" s="3" t="s">
        <v>499</v>
      </c>
      <c r="D24" s="3" t="s">
        <v>518</v>
      </c>
      <c r="E24" s="3" t="s">
        <v>501</v>
      </c>
      <c r="F24" s="14">
        <v>12.4</v>
      </c>
      <c r="G24" s="4">
        <v>22.22</v>
      </c>
      <c r="H24" s="4">
        <v>23.51</v>
      </c>
      <c r="I24" s="4">
        <v>13.62</v>
      </c>
      <c r="J24" s="4">
        <v>17.3</v>
      </c>
      <c r="K24" s="4">
        <v>28.23</v>
      </c>
      <c r="L24" s="44">
        <v>26.81</v>
      </c>
      <c r="M24" s="44">
        <v>20.58</v>
      </c>
      <c r="N24" s="44">
        <v>21.08</v>
      </c>
      <c r="O24" s="44">
        <v>36.909999999999997</v>
      </c>
      <c r="P24" s="44">
        <v>27.29</v>
      </c>
      <c r="Q24" s="44">
        <v>22.17</v>
      </c>
      <c r="R24" s="44">
        <v>26.98</v>
      </c>
      <c r="S24" s="44">
        <v>41.95</v>
      </c>
      <c r="T24" s="44">
        <v>34.270000000000003</v>
      </c>
      <c r="U24" s="45">
        <v>36</v>
      </c>
      <c r="V24" s="44">
        <v>37.97</v>
      </c>
      <c r="W24" s="45">
        <v>60.61</v>
      </c>
      <c r="X24" s="7">
        <v>5.8957682236675517E-2</v>
      </c>
      <c r="Y24" s="9">
        <v>0.11031347212251739</v>
      </c>
      <c r="Z24" s="8">
        <v>7.8951149425287248E-2</v>
      </c>
      <c r="AA24" s="9">
        <v>0.1242426260070577</v>
      </c>
    </row>
    <row r="25" spans="2:27" x14ac:dyDescent="0.3">
      <c r="B25" s="13" t="s">
        <v>12</v>
      </c>
      <c r="C25" s="3" t="s">
        <v>499</v>
      </c>
      <c r="D25" s="3" t="s">
        <v>507</v>
      </c>
      <c r="E25" s="3" t="s">
        <v>503</v>
      </c>
      <c r="F25" s="14">
        <v>11.9</v>
      </c>
      <c r="G25" s="4">
        <v>2437</v>
      </c>
      <c r="H25" s="4">
        <v>2663</v>
      </c>
      <c r="I25" s="4">
        <v>1745</v>
      </c>
      <c r="J25" s="4">
        <v>2038</v>
      </c>
      <c r="K25" s="4">
        <v>2208</v>
      </c>
      <c r="L25" s="44">
        <v>1715</v>
      </c>
      <c r="M25" s="44">
        <v>2338</v>
      </c>
      <c r="N25" s="45">
        <v>3541</v>
      </c>
      <c r="O25" s="45">
        <v>3193</v>
      </c>
      <c r="P25" s="44">
        <v>2736</v>
      </c>
      <c r="Q25" s="45">
        <v>4419</v>
      </c>
      <c r="R25" s="44">
        <v>4550</v>
      </c>
      <c r="S25" s="45">
        <v>5798</v>
      </c>
      <c r="T25" s="45">
        <v>5408</v>
      </c>
      <c r="U25" s="45">
        <v>7126</v>
      </c>
      <c r="V25" s="45">
        <v>8500</v>
      </c>
      <c r="W25" s="45">
        <v>8986</v>
      </c>
      <c r="X25" s="10">
        <v>0.15265954407815799</v>
      </c>
      <c r="Y25" s="9">
        <v>0.13417596034696411</v>
      </c>
      <c r="Z25" s="9">
        <v>0.17262477056201389</v>
      </c>
      <c r="AA25" s="9">
        <v>0.11881335718545021</v>
      </c>
    </row>
    <row r="26" spans="2:27" x14ac:dyDescent="0.3">
      <c r="B26" s="13" t="s">
        <v>45</v>
      </c>
      <c r="C26" s="3" t="s">
        <v>499</v>
      </c>
      <c r="D26" s="3" t="s">
        <v>542</v>
      </c>
      <c r="E26" s="3" t="s">
        <v>501</v>
      </c>
      <c r="F26" s="14">
        <v>10.9</v>
      </c>
      <c r="G26" s="4">
        <v>517</v>
      </c>
      <c r="H26" s="4">
        <v>509</v>
      </c>
      <c r="I26" s="4">
        <v>611</v>
      </c>
      <c r="J26" s="4">
        <v>1022</v>
      </c>
      <c r="K26" s="4">
        <v>520</v>
      </c>
      <c r="L26" s="44">
        <v>662</v>
      </c>
      <c r="M26" s="44">
        <v>876</v>
      </c>
      <c r="N26" s="44">
        <v>0</v>
      </c>
      <c r="O26" s="44">
        <v>444</v>
      </c>
      <c r="P26" s="44">
        <v>-142</v>
      </c>
      <c r="Q26" s="44">
        <v>922</v>
      </c>
      <c r="R26" s="45">
        <v>1679</v>
      </c>
      <c r="S26" s="44">
        <v>527</v>
      </c>
      <c r="T26" s="45">
        <v>642</v>
      </c>
      <c r="U26" s="44">
        <v>827</v>
      </c>
      <c r="V26" s="44">
        <v>986</v>
      </c>
      <c r="W26" s="45">
        <v>853</v>
      </c>
      <c r="X26" s="10">
        <v>0.26255860683188209</v>
      </c>
      <c r="Y26" s="8">
        <v>-2.51989389920424E-2</v>
      </c>
      <c r="Z26" s="8">
        <v>-0.18857142857142861</v>
      </c>
      <c r="AA26" s="9">
        <v>0.1093226022803488</v>
      </c>
    </row>
    <row r="27" spans="2:27" x14ac:dyDescent="0.3">
      <c r="B27" s="13" t="s">
        <v>108</v>
      </c>
      <c r="C27" s="3" t="s">
        <v>499</v>
      </c>
      <c r="D27" s="3" t="s">
        <v>500</v>
      </c>
      <c r="E27" s="3" t="s">
        <v>501</v>
      </c>
      <c r="F27" s="14">
        <v>10.5</v>
      </c>
      <c r="G27" s="4">
        <v>97.27</v>
      </c>
      <c r="H27" s="4">
        <v>161.53</v>
      </c>
      <c r="I27" s="4">
        <v>90.84</v>
      </c>
      <c r="J27" s="4">
        <v>149.09</v>
      </c>
      <c r="K27" s="4">
        <v>110.36</v>
      </c>
      <c r="L27" s="44">
        <v>134.44</v>
      </c>
      <c r="M27" s="44">
        <v>110.66</v>
      </c>
      <c r="N27" s="44">
        <v>122.42</v>
      </c>
      <c r="O27" s="44">
        <v>120.42</v>
      </c>
      <c r="P27" s="44">
        <v>179.85</v>
      </c>
      <c r="Q27" s="44">
        <v>96.02</v>
      </c>
      <c r="R27" s="45">
        <v>194.69</v>
      </c>
      <c r="S27" s="44">
        <v>115.72</v>
      </c>
      <c r="T27" s="44">
        <v>228.28</v>
      </c>
      <c r="U27" s="45">
        <v>211.43</v>
      </c>
      <c r="V27" s="45">
        <v>452.65</v>
      </c>
      <c r="W27" s="45">
        <v>221.13</v>
      </c>
      <c r="X27" s="7">
        <v>8.2605580951081503E-2</v>
      </c>
      <c r="Y27" s="9">
        <v>0.18183107245828789</v>
      </c>
      <c r="Z27" s="9">
        <v>0.34389164400362587</v>
      </c>
      <c r="AA27" s="9">
        <v>0.1045651138798509</v>
      </c>
    </row>
    <row r="28" spans="2:27" x14ac:dyDescent="0.3">
      <c r="B28" s="13" t="s">
        <v>348</v>
      </c>
      <c r="C28" s="3" t="s">
        <v>499</v>
      </c>
      <c r="D28" s="3" t="s">
        <v>524</v>
      </c>
      <c r="E28" s="3" t="s">
        <v>503</v>
      </c>
      <c r="F28" s="14">
        <v>10.3</v>
      </c>
      <c r="G28" s="4">
        <v>117.24</v>
      </c>
      <c r="H28" s="4">
        <v>84.02</v>
      </c>
      <c r="I28" s="4">
        <v>93.89</v>
      </c>
      <c r="J28" s="4">
        <v>50.06</v>
      </c>
      <c r="K28" s="4">
        <v>25.68</v>
      </c>
      <c r="L28" s="44">
        <v>-5.31</v>
      </c>
      <c r="M28" s="44">
        <v>30.05</v>
      </c>
      <c r="N28" s="44">
        <v>32.119999999999997</v>
      </c>
      <c r="O28" s="44">
        <v>26.04</v>
      </c>
      <c r="P28" s="45">
        <v>12.2</v>
      </c>
      <c r="Q28" s="44">
        <v>33.82</v>
      </c>
      <c r="R28" s="45">
        <v>47.69</v>
      </c>
      <c r="S28" s="45">
        <v>40.01</v>
      </c>
      <c r="T28" s="44">
        <v>10.86</v>
      </c>
      <c r="U28" s="45">
        <v>51.73</v>
      </c>
      <c r="V28" s="45">
        <v>66.069999999999993</v>
      </c>
      <c r="W28" s="45">
        <v>57.36</v>
      </c>
      <c r="X28" s="7">
        <v>-1.002093927609937E-2</v>
      </c>
      <c r="Y28" s="9">
        <v>0.13529234023266359</v>
      </c>
      <c r="Z28" s="9">
        <v>0.1222968926741632</v>
      </c>
      <c r="AA28" s="9">
        <v>0.10286357977115081</v>
      </c>
    </row>
    <row r="29" spans="2:27" x14ac:dyDescent="0.3">
      <c r="B29" s="13" t="s">
        <v>325</v>
      </c>
      <c r="C29" s="3" t="s">
        <v>499</v>
      </c>
      <c r="D29" s="3" t="s">
        <v>500</v>
      </c>
      <c r="E29" s="3" t="s">
        <v>509</v>
      </c>
      <c r="F29" s="5">
        <v>9.8000000000000007</v>
      </c>
      <c r="G29" s="4">
        <v>36.42</v>
      </c>
      <c r="H29" s="4">
        <v>35.31</v>
      </c>
      <c r="I29" s="4">
        <v>33.409999999999997</v>
      </c>
      <c r="J29" s="4">
        <v>44.78</v>
      </c>
      <c r="K29" s="4">
        <v>47.77</v>
      </c>
      <c r="L29" s="44">
        <v>42.74</v>
      </c>
      <c r="M29" s="44">
        <v>46.88</v>
      </c>
      <c r="N29" s="44">
        <v>45.52</v>
      </c>
      <c r="O29" s="44">
        <v>38.26</v>
      </c>
      <c r="P29" s="44">
        <v>29.24</v>
      </c>
      <c r="Q29" s="44">
        <v>35.21</v>
      </c>
      <c r="R29" s="44">
        <v>28.04</v>
      </c>
      <c r="S29" s="44">
        <v>28.54</v>
      </c>
      <c r="T29" s="44">
        <v>33.71</v>
      </c>
      <c r="U29" s="44">
        <v>41.75</v>
      </c>
      <c r="V29" s="45">
        <v>48.84</v>
      </c>
      <c r="W29" s="44">
        <v>43.47</v>
      </c>
      <c r="X29" s="7">
        <v>3.6932991820209933E-2</v>
      </c>
      <c r="Y29" s="8">
        <v>5.2111553784860432E-2</v>
      </c>
      <c r="Z29" s="9">
        <v>0.15752802181157241</v>
      </c>
      <c r="AA29" s="8">
        <v>9.7683852394661042E-2</v>
      </c>
    </row>
    <row r="30" spans="2:27" x14ac:dyDescent="0.3">
      <c r="B30" s="13" t="s">
        <v>222</v>
      </c>
      <c r="C30" s="3" t="s">
        <v>499</v>
      </c>
      <c r="D30" s="3" t="s">
        <v>514</v>
      </c>
      <c r="E30" s="3" t="s">
        <v>509</v>
      </c>
      <c r="F30" s="5">
        <v>9.8000000000000007</v>
      </c>
      <c r="G30" s="4">
        <v>24</v>
      </c>
      <c r="H30" s="4">
        <v>41.3</v>
      </c>
      <c r="I30" s="4">
        <v>26.7</v>
      </c>
      <c r="J30" s="4">
        <v>36.799999999999997</v>
      </c>
      <c r="K30" s="6">
        <v>39.200000000000003</v>
      </c>
      <c r="L30" s="44">
        <v>50.8</v>
      </c>
      <c r="M30" s="45">
        <v>65.7</v>
      </c>
      <c r="N30" s="45">
        <v>65.3</v>
      </c>
      <c r="O30" s="44">
        <v>58.5</v>
      </c>
      <c r="P30" s="44">
        <v>62.6</v>
      </c>
      <c r="Q30" s="44">
        <v>78.599999999999994</v>
      </c>
      <c r="R30" s="44">
        <v>78.7</v>
      </c>
      <c r="S30" s="44">
        <v>66.400000000000006</v>
      </c>
      <c r="T30" s="44">
        <v>85.4</v>
      </c>
      <c r="U30" s="44">
        <v>79.2</v>
      </c>
      <c r="V30" s="44">
        <v>80.599999999999994</v>
      </c>
      <c r="W30" s="44">
        <v>96.8</v>
      </c>
      <c r="X30" s="7">
        <v>7.9636744673419635E-2</v>
      </c>
      <c r="Y30" s="8">
        <v>1.941119378841893E-3</v>
      </c>
      <c r="Z30" s="8">
        <v>6.1349693251533388E-3</v>
      </c>
      <c r="AA30" s="8">
        <v>9.7560975609755962E-2</v>
      </c>
    </row>
    <row r="31" spans="2:27" x14ac:dyDescent="0.3">
      <c r="B31" s="13" t="s">
        <v>381</v>
      </c>
      <c r="C31" s="3" t="s">
        <v>499</v>
      </c>
      <c r="D31" s="3" t="s">
        <v>521</v>
      </c>
      <c r="E31" s="3" t="s">
        <v>522</v>
      </c>
      <c r="F31" s="5">
        <v>9.6999999999999993</v>
      </c>
      <c r="G31" s="4">
        <v>21.09</v>
      </c>
      <c r="H31" s="4">
        <v>19.55</v>
      </c>
      <c r="I31" s="4">
        <v>21.92</v>
      </c>
      <c r="J31" s="4">
        <v>13.68</v>
      </c>
      <c r="K31" s="4">
        <v>15.84</v>
      </c>
      <c r="L31" s="44">
        <v>18.55</v>
      </c>
      <c r="M31" s="44">
        <v>23.77</v>
      </c>
      <c r="N31" s="44">
        <v>-0.73</v>
      </c>
      <c r="O31" s="44">
        <v>20.21</v>
      </c>
      <c r="P31" s="44">
        <v>20.37</v>
      </c>
      <c r="Q31" s="44">
        <v>23.68</v>
      </c>
      <c r="R31" s="45">
        <v>21.47</v>
      </c>
      <c r="S31" s="45">
        <v>34.729999999999997</v>
      </c>
      <c r="T31" s="45">
        <v>39.61</v>
      </c>
      <c r="U31" s="45">
        <v>38.1</v>
      </c>
      <c r="V31" s="45">
        <v>48.85</v>
      </c>
      <c r="W31" s="44">
        <v>50.33</v>
      </c>
      <c r="X31" s="10">
        <v>0.1919201995012467</v>
      </c>
      <c r="Y31" s="9">
        <v>0.1206795547744581</v>
      </c>
      <c r="Z31" s="9">
        <v>0.20446568590844591</v>
      </c>
      <c r="AA31" s="8">
        <v>9.6720193440386959E-2</v>
      </c>
    </row>
    <row r="32" spans="2:27" x14ac:dyDescent="0.3">
      <c r="B32" s="13" t="s">
        <v>273</v>
      </c>
      <c r="C32" s="3" t="s">
        <v>499</v>
      </c>
      <c r="D32" s="3" t="s">
        <v>506</v>
      </c>
      <c r="E32" s="3" t="s">
        <v>503</v>
      </c>
      <c r="F32" s="5">
        <v>8.8000000000000007</v>
      </c>
      <c r="G32" s="4">
        <v>105.01</v>
      </c>
      <c r="H32" s="4">
        <v>100.7</v>
      </c>
      <c r="I32" s="4">
        <v>95.29</v>
      </c>
      <c r="J32" s="4">
        <v>90.8</v>
      </c>
      <c r="K32" s="4">
        <v>83.6</v>
      </c>
      <c r="L32" s="44">
        <v>83.55</v>
      </c>
      <c r="M32" s="44">
        <v>90.48</v>
      </c>
      <c r="N32" s="44">
        <v>92.11</v>
      </c>
      <c r="O32" s="44">
        <v>91.9</v>
      </c>
      <c r="P32" s="44">
        <v>99.51</v>
      </c>
      <c r="Q32" s="44">
        <v>106.08</v>
      </c>
      <c r="R32" s="44">
        <v>108.85</v>
      </c>
      <c r="S32" s="44">
        <v>114.81</v>
      </c>
      <c r="T32" s="44">
        <v>106.23</v>
      </c>
      <c r="U32" s="44">
        <v>148.21</v>
      </c>
      <c r="V32" s="45">
        <v>159.53</v>
      </c>
      <c r="W32" s="44">
        <v>161.11000000000001</v>
      </c>
      <c r="X32" s="7">
        <v>1.5655212580081509E-2</v>
      </c>
      <c r="Y32" s="8">
        <v>9.6635089570383359E-2</v>
      </c>
      <c r="Z32" s="9">
        <v>0.1060029282576866</v>
      </c>
      <c r="AA32" s="8">
        <v>8.7560043874579385E-2</v>
      </c>
    </row>
    <row r="33" spans="2:27" x14ac:dyDescent="0.3">
      <c r="B33" s="13" t="s">
        <v>117</v>
      </c>
      <c r="C33" s="3" t="s">
        <v>499</v>
      </c>
      <c r="D33" s="3" t="s">
        <v>527</v>
      </c>
      <c r="E33" s="3" t="s">
        <v>522</v>
      </c>
      <c r="F33" s="5">
        <v>8.6</v>
      </c>
      <c r="G33" s="4">
        <v>98.22</v>
      </c>
      <c r="H33" s="4">
        <v>106.77</v>
      </c>
      <c r="I33" s="4">
        <v>114.25</v>
      </c>
      <c r="J33" s="4">
        <v>42.48</v>
      </c>
      <c r="K33" s="4">
        <v>8.25</v>
      </c>
      <c r="L33" s="44">
        <v>67.39</v>
      </c>
      <c r="M33" s="44">
        <v>40.869999999999997</v>
      </c>
      <c r="N33" s="44">
        <v>-18.29</v>
      </c>
      <c r="O33" s="45">
        <v>30.32</v>
      </c>
      <c r="P33" s="44">
        <v>33.840000000000003</v>
      </c>
      <c r="Q33" s="45">
        <v>77.319999999999993</v>
      </c>
      <c r="R33" s="45">
        <v>99.56</v>
      </c>
      <c r="S33" s="45">
        <v>144.88999999999999</v>
      </c>
      <c r="T33" s="45">
        <v>145.52000000000001</v>
      </c>
      <c r="U33" s="45">
        <v>161.97999999999999</v>
      </c>
      <c r="V33" s="45">
        <v>172.24</v>
      </c>
      <c r="W33" s="44">
        <v>198.62</v>
      </c>
      <c r="X33" s="10">
        <v>0.31405191080115841</v>
      </c>
      <c r="Y33" s="9">
        <v>0.1811722912966254</v>
      </c>
      <c r="Z33" s="9">
        <v>0.1316785940755503</v>
      </c>
      <c r="AA33" s="8">
        <v>8.6018923202535902E-2</v>
      </c>
    </row>
    <row r="34" spans="2:27" x14ac:dyDescent="0.3">
      <c r="B34" s="13" t="s">
        <v>117</v>
      </c>
      <c r="C34" s="3" t="s">
        <v>499</v>
      </c>
      <c r="D34" s="3" t="s">
        <v>527</v>
      </c>
      <c r="E34" s="3" t="s">
        <v>522</v>
      </c>
      <c r="F34" s="5">
        <v>8.6</v>
      </c>
      <c r="G34" s="4">
        <v>98.22</v>
      </c>
      <c r="H34" s="4">
        <v>106.77</v>
      </c>
      <c r="I34" s="4">
        <v>114.25</v>
      </c>
      <c r="J34" s="4">
        <v>42.48</v>
      </c>
      <c r="K34" s="4">
        <v>8.25</v>
      </c>
      <c r="L34" s="44">
        <v>67.39</v>
      </c>
      <c r="M34" s="44">
        <v>40.869999999999997</v>
      </c>
      <c r="N34" s="44">
        <v>-18.29</v>
      </c>
      <c r="O34" s="45">
        <v>30.32</v>
      </c>
      <c r="P34" s="44">
        <v>33.840000000000003</v>
      </c>
      <c r="Q34" s="45">
        <v>77.319999999999993</v>
      </c>
      <c r="R34" s="45">
        <v>99.56</v>
      </c>
      <c r="S34" s="45">
        <v>144.88999999999999</v>
      </c>
      <c r="T34" s="45">
        <v>145.52000000000001</v>
      </c>
      <c r="U34" s="45">
        <v>161.97999999999999</v>
      </c>
      <c r="V34" s="45">
        <v>172.24</v>
      </c>
      <c r="W34" s="44">
        <v>198.62</v>
      </c>
      <c r="X34" s="10">
        <v>0.31405191080115841</v>
      </c>
      <c r="Y34" s="9">
        <v>0.1811722912966254</v>
      </c>
      <c r="Z34" s="9">
        <v>0.1316785940755503</v>
      </c>
      <c r="AA34" s="8">
        <v>8.6018923202535902E-2</v>
      </c>
    </row>
    <row r="35" spans="2:27" x14ac:dyDescent="0.3">
      <c r="B35" s="13" t="s">
        <v>36</v>
      </c>
      <c r="C35" s="3" t="s">
        <v>499</v>
      </c>
      <c r="D35" s="3" t="s">
        <v>532</v>
      </c>
      <c r="E35" s="3" t="s">
        <v>509</v>
      </c>
      <c r="F35" s="5">
        <v>7.9</v>
      </c>
      <c r="G35" s="4">
        <v>1202</v>
      </c>
      <c r="H35" s="4">
        <v>1030</v>
      </c>
      <c r="I35" s="4">
        <v>1026</v>
      </c>
      <c r="J35" s="4">
        <v>1122</v>
      </c>
      <c r="K35" s="4">
        <v>1128</v>
      </c>
      <c r="L35" s="44">
        <v>973</v>
      </c>
      <c r="M35" s="44">
        <v>1006</v>
      </c>
      <c r="N35" s="44">
        <v>898</v>
      </c>
      <c r="O35" s="44">
        <v>1151</v>
      </c>
      <c r="P35" s="45">
        <v>1396</v>
      </c>
      <c r="Q35" s="44">
        <v>1061</v>
      </c>
      <c r="R35" s="44">
        <v>542</v>
      </c>
      <c r="S35" s="44">
        <v>1252</v>
      </c>
      <c r="T35" s="44">
        <v>1390</v>
      </c>
      <c r="U35" s="44">
        <v>1058</v>
      </c>
      <c r="V35" s="45">
        <v>1417</v>
      </c>
      <c r="W35" s="44">
        <v>1655</v>
      </c>
      <c r="X35" s="7">
        <v>-1.4114326040931551E-3</v>
      </c>
      <c r="Y35" s="8">
        <v>-7.0671378091868853E-4</v>
      </c>
      <c r="Z35" s="9">
        <v>0.20627062706270641</v>
      </c>
      <c r="AA35" s="8">
        <v>7.8757084229040375E-2</v>
      </c>
    </row>
    <row r="36" spans="2:27" x14ac:dyDescent="0.3">
      <c r="B36" s="13" t="s">
        <v>28</v>
      </c>
      <c r="C36" s="3" t="s">
        <v>499</v>
      </c>
      <c r="D36" s="3" t="s">
        <v>528</v>
      </c>
      <c r="E36" s="3" t="s">
        <v>503</v>
      </c>
      <c r="F36" s="5">
        <v>6.7</v>
      </c>
      <c r="G36" s="4">
        <v>479</v>
      </c>
      <c r="H36" s="4">
        <v>482</v>
      </c>
      <c r="I36" s="4">
        <v>518</v>
      </c>
      <c r="J36" s="4">
        <v>507</v>
      </c>
      <c r="K36" s="4">
        <v>526</v>
      </c>
      <c r="L36" s="44">
        <v>583</v>
      </c>
      <c r="M36" s="44">
        <v>606</v>
      </c>
      <c r="N36" s="44">
        <v>609</v>
      </c>
      <c r="O36" s="44">
        <v>617</v>
      </c>
      <c r="P36" s="44">
        <v>693</v>
      </c>
      <c r="Q36" s="44">
        <v>799</v>
      </c>
      <c r="R36" s="44">
        <v>718</v>
      </c>
      <c r="S36" s="44">
        <v>790</v>
      </c>
      <c r="T36" s="44">
        <v>937</v>
      </c>
      <c r="U36" s="44">
        <v>943</v>
      </c>
      <c r="V36" s="44">
        <v>1050</v>
      </c>
      <c r="W36" s="44">
        <v>1041</v>
      </c>
      <c r="X36" s="7">
        <v>8.1333333333333258E-2</v>
      </c>
      <c r="Y36" s="8">
        <v>4.4389642416769348E-2</v>
      </c>
      <c r="Z36" s="8">
        <v>9.7992916174734379E-2</v>
      </c>
      <c r="AA36" s="8">
        <v>6.747311827956981E-2</v>
      </c>
    </row>
    <row r="37" spans="2:27" x14ac:dyDescent="0.3">
      <c r="B37" s="13" t="s">
        <v>97</v>
      </c>
      <c r="C37" s="3" t="s">
        <v>499</v>
      </c>
      <c r="D37" s="3" t="s">
        <v>524</v>
      </c>
      <c r="E37" s="3" t="s">
        <v>503</v>
      </c>
      <c r="F37" s="5">
        <v>6.7</v>
      </c>
      <c r="G37" s="4">
        <v>1177</v>
      </c>
      <c r="H37" s="4">
        <v>-40.26</v>
      </c>
      <c r="I37" s="4">
        <v>-1177</v>
      </c>
      <c r="J37" s="4">
        <v>66.930000000000007</v>
      </c>
      <c r="K37" s="4">
        <v>1137</v>
      </c>
      <c r="L37" s="44">
        <v>753.9</v>
      </c>
      <c r="M37" s="45">
        <v>970.06</v>
      </c>
      <c r="N37" s="44">
        <v>72.81</v>
      </c>
      <c r="O37" s="44">
        <v>1132</v>
      </c>
      <c r="P37" s="45">
        <v>1336</v>
      </c>
      <c r="Q37" s="44">
        <v>409.98</v>
      </c>
      <c r="R37" s="45">
        <v>1371</v>
      </c>
      <c r="S37" s="44">
        <v>595.47</v>
      </c>
      <c r="T37" s="44">
        <v>282.52</v>
      </c>
      <c r="U37" s="45">
        <v>1107</v>
      </c>
      <c r="V37" s="44">
        <v>1010</v>
      </c>
      <c r="W37" s="44">
        <v>795.15</v>
      </c>
      <c r="X37" s="7">
        <v>-0.2837694783768131</v>
      </c>
      <c r="Y37" s="9">
        <v>0.26213909897441479</v>
      </c>
      <c r="Z37" s="8">
        <v>-0.1075688544959907</v>
      </c>
      <c r="AA37" s="8">
        <v>6.66713411397033E-2</v>
      </c>
    </row>
    <row r="38" spans="2:27" x14ac:dyDescent="0.3">
      <c r="B38" s="13" t="s">
        <v>47</v>
      </c>
      <c r="C38" s="3" t="s">
        <v>499</v>
      </c>
      <c r="D38" s="3" t="s">
        <v>532</v>
      </c>
      <c r="E38" s="3" t="s">
        <v>501</v>
      </c>
      <c r="F38" s="5">
        <v>6</v>
      </c>
      <c r="G38" s="4">
        <v>714.32</v>
      </c>
      <c r="H38" s="4">
        <v>854.72</v>
      </c>
      <c r="I38" s="4">
        <v>658.53</v>
      </c>
      <c r="J38" s="4">
        <v>564.14</v>
      </c>
      <c r="K38" s="4">
        <v>636.77</v>
      </c>
      <c r="L38" s="44">
        <v>699.53</v>
      </c>
      <c r="M38" s="44">
        <v>615.87</v>
      </c>
      <c r="N38" s="44">
        <v>581.30999999999995</v>
      </c>
      <c r="O38" s="44">
        <v>770.02</v>
      </c>
      <c r="P38" s="44">
        <v>861.65</v>
      </c>
      <c r="Q38" s="44">
        <v>704.24</v>
      </c>
      <c r="R38" s="44">
        <v>704.23</v>
      </c>
      <c r="S38" s="44">
        <v>790.65</v>
      </c>
      <c r="T38" s="44">
        <v>1014</v>
      </c>
      <c r="U38" s="44">
        <v>984.36</v>
      </c>
      <c r="V38" s="44">
        <v>957.74</v>
      </c>
      <c r="W38" s="44">
        <v>1016</v>
      </c>
      <c r="X38" s="7">
        <v>4.9775056603403638E-2</v>
      </c>
      <c r="Y38" s="8">
        <v>8.71800617468379E-2</v>
      </c>
      <c r="Z38" s="8">
        <v>7.2571595424305357E-2</v>
      </c>
      <c r="AA38" s="8">
        <v>6.0145459398144967E-2</v>
      </c>
    </row>
    <row r="39" spans="2:27" x14ac:dyDescent="0.3">
      <c r="B39" s="13" t="s">
        <v>178</v>
      </c>
      <c r="C39" s="3" t="s">
        <v>499</v>
      </c>
      <c r="D39" s="3" t="s">
        <v>519</v>
      </c>
      <c r="E39" s="3" t="s">
        <v>503</v>
      </c>
      <c r="F39" s="5">
        <v>5.7</v>
      </c>
      <c r="G39" s="4">
        <v>65.61</v>
      </c>
      <c r="H39" s="4">
        <v>69.11</v>
      </c>
      <c r="I39" s="4">
        <v>78.23</v>
      </c>
      <c r="J39" s="4">
        <v>74.290000000000006</v>
      </c>
      <c r="K39" s="4">
        <v>75.2</v>
      </c>
      <c r="L39" s="44">
        <v>74.88</v>
      </c>
      <c r="M39" s="44">
        <v>77.87</v>
      </c>
      <c r="N39" s="44">
        <v>79.790000000000006</v>
      </c>
      <c r="O39" s="44">
        <v>22.83</v>
      </c>
      <c r="P39" s="44">
        <v>82.22</v>
      </c>
      <c r="Q39" s="44">
        <v>85.97</v>
      </c>
      <c r="R39" s="44">
        <v>89.34</v>
      </c>
      <c r="S39" s="45">
        <v>100.78</v>
      </c>
      <c r="T39" s="44">
        <v>101.37</v>
      </c>
      <c r="U39" s="44">
        <v>103.9</v>
      </c>
      <c r="V39" s="44">
        <v>96.22</v>
      </c>
      <c r="W39" s="44">
        <v>123.81</v>
      </c>
      <c r="X39" s="7">
        <v>5.3445340626831588E-2</v>
      </c>
      <c r="Y39" s="8">
        <v>4.7501722036771943E-2</v>
      </c>
      <c r="Z39" s="8">
        <v>1.7400541237765129E-2</v>
      </c>
      <c r="AA39" s="8">
        <v>5.7250105650433758E-2</v>
      </c>
    </row>
    <row r="40" spans="2:27" x14ac:dyDescent="0.3">
      <c r="B40" s="13" t="s">
        <v>243</v>
      </c>
      <c r="C40" s="3" t="s">
        <v>499</v>
      </c>
      <c r="D40" s="3" t="s">
        <v>520</v>
      </c>
      <c r="E40" s="3" t="s">
        <v>509</v>
      </c>
      <c r="F40" s="5">
        <v>5.5</v>
      </c>
      <c r="G40" s="4">
        <v>92.19</v>
      </c>
      <c r="H40" s="4">
        <v>62.39</v>
      </c>
      <c r="I40" s="4">
        <v>52.43</v>
      </c>
      <c r="J40" s="4">
        <v>44.15</v>
      </c>
      <c r="K40" s="4">
        <v>72.5</v>
      </c>
      <c r="L40" s="44">
        <v>62.72</v>
      </c>
      <c r="M40" s="44">
        <v>46.25</v>
      </c>
      <c r="N40" s="44">
        <v>38.58</v>
      </c>
      <c r="O40" s="44">
        <v>75.150000000000006</v>
      </c>
      <c r="P40" s="44">
        <v>40.24</v>
      </c>
      <c r="Q40" s="44">
        <v>50.22</v>
      </c>
      <c r="R40" s="44">
        <v>39.979999999999997</v>
      </c>
      <c r="S40" s="45">
        <v>99.46</v>
      </c>
      <c r="T40" s="44">
        <v>49.69</v>
      </c>
      <c r="U40" s="44">
        <v>70.72</v>
      </c>
      <c r="V40" s="44">
        <v>56.42</v>
      </c>
      <c r="W40" s="44">
        <v>114.78</v>
      </c>
      <c r="X40" s="7">
        <v>4.1104828186167897E-2</v>
      </c>
      <c r="Y40" s="8">
        <v>8.5648631710883549E-2</v>
      </c>
      <c r="Z40" s="8">
        <v>6.3267269578602958E-2</v>
      </c>
      <c r="AA40" s="8">
        <v>5.5448984762387583E-2</v>
      </c>
    </row>
    <row r="41" spans="2:27" x14ac:dyDescent="0.3">
      <c r="B41" s="13" t="s">
        <v>379</v>
      </c>
      <c r="C41" s="3" t="s">
        <v>499</v>
      </c>
      <c r="D41" s="3" t="s">
        <v>526</v>
      </c>
      <c r="E41" s="3" t="s">
        <v>501</v>
      </c>
      <c r="F41" s="5">
        <v>5.0999999999999996</v>
      </c>
      <c r="G41" s="4">
        <v>3.8</v>
      </c>
      <c r="H41" s="4">
        <v>7.56</v>
      </c>
      <c r="I41" s="4">
        <v>9.9700000000000006</v>
      </c>
      <c r="J41" s="4">
        <v>15.08</v>
      </c>
      <c r="K41" s="6">
        <v>11.96</v>
      </c>
      <c r="L41" s="45">
        <v>12.18</v>
      </c>
      <c r="M41" s="44">
        <v>12.48</v>
      </c>
      <c r="N41" s="44">
        <v>13.48</v>
      </c>
      <c r="O41" s="44">
        <v>12.13</v>
      </c>
      <c r="P41" s="44">
        <v>8.15</v>
      </c>
      <c r="Q41" s="44">
        <v>12.91</v>
      </c>
      <c r="R41" s="44">
        <v>14.9</v>
      </c>
      <c r="S41" s="44">
        <v>13.36</v>
      </c>
      <c r="T41" s="45">
        <v>13.73</v>
      </c>
      <c r="U41" s="44">
        <v>14.92</v>
      </c>
      <c r="V41" s="44">
        <v>16.18</v>
      </c>
      <c r="W41" s="44">
        <v>16.329999999999998</v>
      </c>
      <c r="X41" s="10">
        <v>0.11313868613138681</v>
      </c>
      <c r="Y41" s="8">
        <v>3.661202185792356E-2</v>
      </c>
      <c r="Z41" s="8">
        <v>2.2491653487963559E-2</v>
      </c>
      <c r="AA41" s="8">
        <v>5.1039697542533118E-2</v>
      </c>
    </row>
    <row r="42" spans="2:27" x14ac:dyDescent="0.3">
      <c r="B42" s="13" t="s">
        <v>63</v>
      </c>
      <c r="C42" s="3" t="s">
        <v>499</v>
      </c>
      <c r="D42" s="3" t="s">
        <v>512</v>
      </c>
      <c r="E42" s="3" t="s">
        <v>503</v>
      </c>
      <c r="F42" s="5">
        <v>4.9000000000000004</v>
      </c>
      <c r="G42" s="4">
        <v>1529</v>
      </c>
      <c r="H42" s="4">
        <v>720</v>
      </c>
      <c r="I42" s="4">
        <v>456</v>
      </c>
      <c r="J42" s="4">
        <v>689</v>
      </c>
      <c r="K42" s="4">
        <v>1756</v>
      </c>
      <c r="L42" s="44">
        <v>699</v>
      </c>
      <c r="M42" s="44">
        <v>-131</v>
      </c>
      <c r="N42" s="44">
        <v>2</v>
      </c>
      <c r="O42" s="44">
        <v>1637</v>
      </c>
      <c r="P42" s="44">
        <v>615</v>
      </c>
      <c r="Q42" s="45">
        <v>1274</v>
      </c>
      <c r="R42" s="45">
        <v>2781</v>
      </c>
      <c r="S42" s="44">
        <v>871</v>
      </c>
      <c r="T42" s="45">
        <v>1911</v>
      </c>
      <c r="U42" s="44">
        <v>969</v>
      </c>
      <c r="V42" s="44">
        <v>1217</v>
      </c>
      <c r="W42" s="44">
        <v>1113</v>
      </c>
      <c r="X42" s="10">
        <v>0.23389279913373029</v>
      </c>
      <c r="Y42" s="8">
        <v>-4.4610209156062619E-2</v>
      </c>
      <c r="Z42" s="8">
        <v>-0.2394366197183099</v>
      </c>
      <c r="AA42" s="8">
        <v>4.8711755233494358E-2</v>
      </c>
    </row>
    <row r="43" spans="2:27" x14ac:dyDescent="0.3">
      <c r="B43" s="13" t="s">
        <v>73</v>
      </c>
      <c r="C43" s="3" t="s">
        <v>499</v>
      </c>
      <c r="D43" s="3" t="s">
        <v>528</v>
      </c>
      <c r="E43" s="3" t="s">
        <v>503</v>
      </c>
      <c r="F43" s="5">
        <v>4.0999999999999996</v>
      </c>
      <c r="G43" s="4">
        <v>726</v>
      </c>
      <c r="H43" s="4">
        <v>511</v>
      </c>
      <c r="I43" s="4">
        <v>633</v>
      </c>
      <c r="J43" s="4">
        <v>607</v>
      </c>
      <c r="K43" s="4">
        <v>716</v>
      </c>
      <c r="L43" s="44">
        <v>676</v>
      </c>
      <c r="M43" s="44">
        <v>692</v>
      </c>
      <c r="N43" s="44">
        <v>735</v>
      </c>
      <c r="O43" s="44">
        <v>708</v>
      </c>
      <c r="P43" s="44">
        <v>644</v>
      </c>
      <c r="Q43" s="44">
        <v>713</v>
      </c>
      <c r="R43" s="44">
        <v>781</v>
      </c>
      <c r="S43" s="44">
        <v>485</v>
      </c>
      <c r="T43" s="44">
        <v>706</v>
      </c>
      <c r="U43" s="44">
        <v>732</v>
      </c>
      <c r="V43" s="44">
        <v>731</v>
      </c>
      <c r="W43" s="44">
        <v>594</v>
      </c>
      <c r="X43" s="7">
        <v>2.3637056805184908E-2</v>
      </c>
      <c r="Y43" s="8">
        <v>7.0763500931099177E-3</v>
      </c>
      <c r="Z43" s="8">
        <v>-1.8491124260355041E-2</v>
      </c>
      <c r="AA43" s="8">
        <v>4.1070082893745363E-2</v>
      </c>
    </row>
    <row r="44" spans="2:27" x14ac:dyDescent="0.3">
      <c r="B44" s="13" t="s">
        <v>443</v>
      </c>
      <c r="C44" s="3" t="s">
        <v>499</v>
      </c>
      <c r="D44" s="3" t="s">
        <v>500</v>
      </c>
      <c r="E44" s="3" t="s">
        <v>503</v>
      </c>
      <c r="F44" s="5">
        <v>4.0999999999999996</v>
      </c>
      <c r="G44" s="4">
        <v>1558</v>
      </c>
      <c r="H44" s="4">
        <v>1557</v>
      </c>
      <c r="I44" s="4">
        <v>1285</v>
      </c>
      <c r="J44" s="4">
        <v>1651</v>
      </c>
      <c r="K44" s="4">
        <v>1889</v>
      </c>
      <c r="L44" s="44">
        <v>1154</v>
      </c>
      <c r="M44" s="44">
        <v>1453</v>
      </c>
      <c r="N44" s="44">
        <v>1763</v>
      </c>
      <c r="O44" s="44">
        <v>2136</v>
      </c>
      <c r="P44" s="44">
        <v>1534</v>
      </c>
      <c r="Q44" s="44">
        <v>1940</v>
      </c>
      <c r="R44" s="44">
        <v>2252</v>
      </c>
      <c r="S44" s="44">
        <v>2419</v>
      </c>
      <c r="T44" s="45">
        <v>2455</v>
      </c>
      <c r="U44" s="44">
        <v>2569</v>
      </c>
      <c r="V44" s="44">
        <v>2566</v>
      </c>
      <c r="W44" s="44">
        <v>2829</v>
      </c>
      <c r="X44" s="10">
        <v>0.1130755064456721</v>
      </c>
      <c r="Y44" s="8">
        <v>6.938010147804996E-2</v>
      </c>
      <c r="Z44" s="8">
        <v>3.2387828777720402E-2</v>
      </c>
      <c r="AA44" s="8">
        <v>4.096313318013789E-2</v>
      </c>
    </row>
    <row r="45" spans="2:27" x14ac:dyDescent="0.3">
      <c r="B45" s="13" t="s">
        <v>390</v>
      </c>
      <c r="C45" s="3" t="s">
        <v>499</v>
      </c>
      <c r="D45" s="3" t="s">
        <v>555</v>
      </c>
      <c r="E45" s="3" t="s">
        <v>503</v>
      </c>
      <c r="F45" s="5">
        <v>4</v>
      </c>
      <c r="G45" s="4">
        <v>31.31</v>
      </c>
      <c r="H45" s="4">
        <v>30.13</v>
      </c>
      <c r="I45" s="4">
        <v>34.770000000000003</v>
      </c>
      <c r="J45" s="4">
        <v>31.74</v>
      </c>
      <c r="K45" s="4">
        <v>23.91</v>
      </c>
      <c r="L45" s="44">
        <v>18.82</v>
      </c>
      <c r="M45" s="44">
        <v>26.77</v>
      </c>
      <c r="N45" s="44">
        <v>32.04</v>
      </c>
      <c r="O45" s="44">
        <v>27.94</v>
      </c>
      <c r="P45" s="44">
        <v>13.46</v>
      </c>
      <c r="Q45" s="44">
        <v>31.33</v>
      </c>
      <c r="R45" s="44">
        <v>30.04</v>
      </c>
      <c r="S45" s="44">
        <v>22.64</v>
      </c>
      <c r="T45" s="44">
        <v>17.45</v>
      </c>
      <c r="U45" s="44">
        <v>30.9</v>
      </c>
      <c r="V45" s="44">
        <v>30.27</v>
      </c>
      <c r="W45" s="44">
        <v>26.68</v>
      </c>
      <c r="X45" s="7">
        <v>4.0935672514619943E-2</v>
      </c>
      <c r="Y45" s="8">
        <v>-4.2381233983834754E-3</v>
      </c>
      <c r="Z45" s="8">
        <v>2.2765515193505781E-3</v>
      </c>
      <c r="AA45" s="8">
        <v>3.9897294094410451E-2</v>
      </c>
    </row>
    <row r="46" spans="2:27" x14ac:dyDescent="0.3">
      <c r="B46" s="13" t="s">
        <v>102</v>
      </c>
      <c r="C46" s="3" t="s">
        <v>499</v>
      </c>
      <c r="D46" s="3" t="s">
        <v>525</v>
      </c>
      <c r="E46" s="3" t="s">
        <v>509</v>
      </c>
      <c r="F46" s="5">
        <v>4</v>
      </c>
      <c r="G46" s="4">
        <v>253</v>
      </c>
      <c r="H46" s="4">
        <v>232</v>
      </c>
      <c r="I46" s="4">
        <v>272</v>
      </c>
      <c r="J46" s="4">
        <v>325</v>
      </c>
      <c r="K46" s="4">
        <v>326</v>
      </c>
      <c r="L46" s="44">
        <v>0</v>
      </c>
      <c r="M46" s="44">
        <v>238</v>
      </c>
      <c r="N46" s="44">
        <v>284</v>
      </c>
      <c r="O46" s="44">
        <v>272</v>
      </c>
      <c r="P46" s="45">
        <v>234</v>
      </c>
      <c r="Q46" s="44">
        <v>258</v>
      </c>
      <c r="R46" s="44">
        <v>315</v>
      </c>
      <c r="S46" s="44">
        <v>346</v>
      </c>
      <c r="T46" s="44">
        <v>336</v>
      </c>
      <c r="U46" s="44">
        <v>334</v>
      </c>
      <c r="V46" s="44">
        <v>347</v>
      </c>
      <c r="W46" s="44">
        <v>400</v>
      </c>
      <c r="X46" s="7">
        <v>8.8464874241110047E-2</v>
      </c>
      <c r="Y46" s="8">
        <v>6.0557768924302868E-2</v>
      </c>
      <c r="Z46" s="8">
        <v>2.4042073628850469E-2</v>
      </c>
      <c r="AA46" s="8">
        <v>3.9618488628026423E-2</v>
      </c>
    </row>
    <row r="47" spans="2:27" x14ac:dyDescent="0.3">
      <c r="B47" s="13" t="s">
        <v>133</v>
      </c>
      <c r="C47" s="3" t="s">
        <v>499</v>
      </c>
      <c r="D47" s="3" t="s">
        <v>545</v>
      </c>
      <c r="E47" s="3" t="s">
        <v>522</v>
      </c>
      <c r="F47" s="5">
        <v>3.8</v>
      </c>
      <c r="G47" s="4">
        <v>57.8</v>
      </c>
      <c r="H47" s="4">
        <v>68.599999999999994</v>
      </c>
      <c r="I47" s="4">
        <v>152.80000000000001</v>
      </c>
      <c r="J47" s="4">
        <v>191.2</v>
      </c>
      <c r="K47" s="6">
        <v>144</v>
      </c>
      <c r="L47" s="45">
        <v>168.8</v>
      </c>
      <c r="M47" s="45">
        <v>261.8</v>
      </c>
      <c r="N47" s="44">
        <v>216.2</v>
      </c>
      <c r="O47" s="44">
        <v>173.9</v>
      </c>
      <c r="P47" s="44">
        <v>154.9</v>
      </c>
      <c r="Q47" s="44">
        <v>281.39999999999998</v>
      </c>
      <c r="R47" s="44">
        <v>215.3</v>
      </c>
      <c r="S47" s="44">
        <v>158.80000000000001</v>
      </c>
      <c r="T47" s="44">
        <v>174.4</v>
      </c>
      <c r="U47" s="44">
        <v>267.8</v>
      </c>
      <c r="V47" s="44">
        <v>224.7</v>
      </c>
      <c r="W47" s="44">
        <v>190.1</v>
      </c>
      <c r="X47" s="7">
        <v>2.406219151036515E-2</v>
      </c>
      <c r="Y47" s="8">
        <v>-1.6387516568261099E-2</v>
      </c>
      <c r="Z47" s="8">
        <v>1.151537424966298E-2</v>
      </c>
      <c r="AA47" s="8">
        <v>3.7907230228896527E-2</v>
      </c>
    </row>
    <row r="48" spans="2:27" x14ac:dyDescent="0.3">
      <c r="B48" s="13" t="s">
        <v>133</v>
      </c>
      <c r="C48" s="3" t="s">
        <v>499</v>
      </c>
      <c r="D48" s="3" t="s">
        <v>545</v>
      </c>
      <c r="E48" s="3" t="s">
        <v>522</v>
      </c>
      <c r="F48" s="5">
        <v>3.8</v>
      </c>
      <c r="G48" s="4">
        <v>57.8</v>
      </c>
      <c r="H48" s="4">
        <v>68.599999999999994</v>
      </c>
      <c r="I48" s="4">
        <v>152.80000000000001</v>
      </c>
      <c r="J48" s="4">
        <v>191.2</v>
      </c>
      <c r="K48" s="6">
        <v>144</v>
      </c>
      <c r="L48" s="45">
        <v>168.8</v>
      </c>
      <c r="M48" s="45">
        <v>261.8</v>
      </c>
      <c r="N48" s="44">
        <v>216.2</v>
      </c>
      <c r="O48" s="44">
        <v>173.9</v>
      </c>
      <c r="P48" s="44">
        <v>154.9</v>
      </c>
      <c r="Q48" s="44">
        <v>281.39999999999998</v>
      </c>
      <c r="R48" s="44">
        <v>215.3</v>
      </c>
      <c r="S48" s="44">
        <v>158.80000000000001</v>
      </c>
      <c r="T48" s="44">
        <v>174.4</v>
      </c>
      <c r="U48" s="44">
        <v>267.8</v>
      </c>
      <c r="V48" s="44">
        <v>224.7</v>
      </c>
      <c r="W48" s="44">
        <v>190.1</v>
      </c>
      <c r="X48" s="7">
        <v>2.406219151036515E-2</v>
      </c>
      <c r="Y48" s="8">
        <v>-1.6387516568261099E-2</v>
      </c>
      <c r="Z48" s="8">
        <v>1.151537424966298E-2</v>
      </c>
      <c r="AA48" s="8">
        <v>3.7907230228896527E-2</v>
      </c>
    </row>
    <row r="49" spans="2:27" x14ac:dyDescent="0.3">
      <c r="B49" s="13" t="s">
        <v>165</v>
      </c>
      <c r="C49" s="3" t="s">
        <v>499</v>
      </c>
      <c r="D49" s="3" t="s">
        <v>530</v>
      </c>
      <c r="E49" s="3" t="s">
        <v>503</v>
      </c>
      <c r="F49" s="5">
        <v>3.7</v>
      </c>
      <c r="G49" s="4">
        <v>93.81</v>
      </c>
      <c r="H49" s="4">
        <v>144.75</v>
      </c>
      <c r="I49" s="4">
        <v>140.51</v>
      </c>
      <c r="J49" s="4">
        <v>130.19999999999999</v>
      </c>
      <c r="K49" s="4">
        <v>-23.19</v>
      </c>
      <c r="L49" s="44">
        <v>116.54</v>
      </c>
      <c r="M49" s="44">
        <v>129.12</v>
      </c>
      <c r="N49" s="44">
        <v>134.32</v>
      </c>
      <c r="O49" s="45">
        <v>108.99</v>
      </c>
      <c r="P49" s="44">
        <v>134.94</v>
      </c>
      <c r="Q49" s="44">
        <v>166.79</v>
      </c>
      <c r="R49" s="44">
        <v>182.52</v>
      </c>
      <c r="S49" s="45">
        <v>175.42</v>
      </c>
      <c r="T49" s="44">
        <v>156.44999999999999</v>
      </c>
      <c r="U49" s="44">
        <v>179.68</v>
      </c>
      <c r="V49" s="44">
        <v>206.1</v>
      </c>
      <c r="W49" s="44">
        <v>201.71</v>
      </c>
      <c r="X49" s="7">
        <v>3.2607212697257637E-2</v>
      </c>
      <c r="Y49" s="8">
        <v>1.892304530373767E-2</v>
      </c>
      <c r="Z49" s="8">
        <v>3.3973518521186692E-2</v>
      </c>
      <c r="AA49" s="8">
        <v>3.6633456420260613E-2</v>
      </c>
    </row>
    <row r="50" spans="2:27" x14ac:dyDescent="0.3">
      <c r="B50" s="13" t="s">
        <v>200</v>
      </c>
      <c r="C50" s="3" t="s">
        <v>499</v>
      </c>
      <c r="D50" s="3" t="s">
        <v>531</v>
      </c>
      <c r="E50" s="3" t="s">
        <v>503</v>
      </c>
      <c r="F50" s="5">
        <v>3.5</v>
      </c>
      <c r="G50" s="4">
        <v>91.43</v>
      </c>
      <c r="H50" s="4">
        <v>39.61</v>
      </c>
      <c r="I50" s="4">
        <v>52.7</v>
      </c>
      <c r="J50" s="4">
        <v>44.14</v>
      </c>
      <c r="K50" s="6">
        <v>117.76</v>
      </c>
      <c r="L50" s="44">
        <v>29.38</v>
      </c>
      <c r="M50" s="44">
        <v>70.98</v>
      </c>
      <c r="N50" s="44">
        <v>68.52</v>
      </c>
      <c r="O50" s="44">
        <v>131.69</v>
      </c>
      <c r="P50" s="44">
        <v>53.22</v>
      </c>
      <c r="Q50" s="44">
        <v>81.599999999999994</v>
      </c>
      <c r="R50" s="44">
        <v>80.63</v>
      </c>
      <c r="S50" s="44">
        <v>146.46</v>
      </c>
      <c r="T50" s="44">
        <v>65.03</v>
      </c>
      <c r="U50" s="44">
        <v>106.08</v>
      </c>
      <c r="V50" s="44">
        <v>103.73</v>
      </c>
      <c r="W50" s="44">
        <v>161.34</v>
      </c>
      <c r="X50" s="7">
        <v>3.2632422425465053E-2</v>
      </c>
      <c r="Y50" s="8">
        <v>6.5503585572086021E-2</v>
      </c>
      <c r="Z50" s="8">
        <v>5.8011049723756918E-2</v>
      </c>
      <c r="AA50" s="8">
        <v>3.5319249940659818E-2</v>
      </c>
    </row>
    <row r="51" spans="2:27" x14ac:dyDescent="0.3">
      <c r="B51" s="13" t="s">
        <v>104</v>
      </c>
      <c r="C51" s="3" t="s">
        <v>499</v>
      </c>
      <c r="D51" s="3" t="s">
        <v>506</v>
      </c>
      <c r="E51" s="3" t="s">
        <v>503</v>
      </c>
      <c r="F51" s="5">
        <v>3.5</v>
      </c>
      <c r="G51" s="4">
        <v>894.4</v>
      </c>
      <c r="H51" s="4">
        <v>832.6</v>
      </c>
      <c r="I51" s="4">
        <v>568</v>
      </c>
      <c r="J51" s="4">
        <v>544.79999999999995</v>
      </c>
      <c r="K51" s="4">
        <v>217.6</v>
      </c>
      <c r="L51" s="44">
        <v>434.6</v>
      </c>
      <c r="M51" s="44">
        <v>510.3</v>
      </c>
      <c r="N51" s="44">
        <v>581.29999999999995</v>
      </c>
      <c r="O51" s="44">
        <v>356.8</v>
      </c>
      <c r="P51" s="44">
        <v>586.6</v>
      </c>
      <c r="Q51" s="44">
        <v>564.70000000000005</v>
      </c>
      <c r="R51" s="44">
        <v>625.79999999999995</v>
      </c>
      <c r="S51" s="44">
        <v>539.79999999999995</v>
      </c>
      <c r="T51" s="44">
        <v>596.29999999999995</v>
      </c>
      <c r="U51" s="44">
        <v>478.3</v>
      </c>
      <c r="V51" s="44">
        <v>671.7</v>
      </c>
      <c r="W51" s="44">
        <v>619.79999999999995</v>
      </c>
      <c r="X51" s="7">
        <v>4.1866286848806222E-3</v>
      </c>
      <c r="Y51" s="8">
        <v>-3.7135734548267907E-2</v>
      </c>
      <c r="Z51" s="8">
        <v>2.048924203196156E-2</v>
      </c>
      <c r="AA51" s="8">
        <v>3.4994094746511488E-2</v>
      </c>
    </row>
    <row r="52" spans="2:27" x14ac:dyDescent="0.3">
      <c r="B52" s="13" t="s">
        <v>110</v>
      </c>
      <c r="C52" s="3" t="s">
        <v>499</v>
      </c>
      <c r="D52" s="3" t="s">
        <v>516</v>
      </c>
      <c r="E52" s="3" t="s">
        <v>503</v>
      </c>
      <c r="F52" s="5">
        <v>2.9</v>
      </c>
      <c r="G52" s="4">
        <v>340.29</v>
      </c>
      <c r="H52" s="4">
        <v>317.72000000000003</v>
      </c>
      <c r="I52" s="4">
        <v>370.48</v>
      </c>
      <c r="J52" s="4">
        <v>389.17</v>
      </c>
      <c r="K52" s="4">
        <v>369.27</v>
      </c>
      <c r="L52" s="44">
        <v>375.2</v>
      </c>
      <c r="M52" s="44">
        <v>412.65</v>
      </c>
      <c r="N52" s="44">
        <v>444.98</v>
      </c>
      <c r="O52" s="44">
        <v>424.05</v>
      </c>
      <c r="P52" s="44">
        <v>397.34</v>
      </c>
      <c r="Q52" s="44">
        <v>433.34</v>
      </c>
      <c r="R52" s="44">
        <v>468.13</v>
      </c>
      <c r="S52" s="44">
        <v>457.04</v>
      </c>
      <c r="T52" s="44">
        <v>427.12</v>
      </c>
      <c r="U52" s="44">
        <v>479.39</v>
      </c>
      <c r="V52" s="44">
        <v>523.12</v>
      </c>
      <c r="W52" s="44">
        <v>511.04</v>
      </c>
      <c r="X52" s="7">
        <v>1.6960446507389589E-2</v>
      </c>
      <c r="Y52" s="8">
        <v>2.5789217251054319E-2</v>
      </c>
      <c r="Z52" s="8">
        <v>3.0021619496855449E-2</v>
      </c>
      <c r="AA52" s="8">
        <v>2.8621857558555511E-2</v>
      </c>
    </row>
    <row r="53" spans="2:27" x14ac:dyDescent="0.3">
      <c r="B53" s="13" t="s">
        <v>281</v>
      </c>
      <c r="C53" s="3" t="s">
        <v>499</v>
      </c>
      <c r="D53" s="3" t="s">
        <v>517</v>
      </c>
      <c r="E53" s="3" t="s">
        <v>501</v>
      </c>
      <c r="F53" s="5">
        <v>2.8</v>
      </c>
      <c r="G53" s="4">
        <v>32.299999999999997</v>
      </c>
      <c r="H53" s="4">
        <v>35.799999999999997</v>
      </c>
      <c r="I53" s="4">
        <v>38.4</v>
      </c>
      <c r="J53" s="4">
        <v>23</v>
      </c>
      <c r="K53" s="4">
        <v>29.4</v>
      </c>
      <c r="L53" s="44">
        <v>32.6</v>
      </c>
      <c r="M53" s="44">
        <v>38.6</v>
      </c>
      <c r="N53" s="44">
        <v>33.299999999999997</v>
      </c>
      <c r="O53" s="44">
        <v>28.4</v>
      </c>
      <c r="P53" s="45">
        <v>65.7</v>
      </c>
      <c r="Q53" s="45">
        <v>68.900000000000006</v>
      </c>
      <c r="R53" s="44">
        <v>46.8</v>
      </c>
      <c r="S53" s="44">
        <v>49.1</v>
      </c>
      <c r="T53" s="44">
        <v>73.2</v>
      </c>
      <c r="U53" s="44">
        <v>74.7</v>
      </c>
      <c r="V53" s="45">
        <v>77.5</v>
      </c>
      <c r="W53" s="44">
        <v>56.7</v>
      </c>
      <c r="X53" s="7">
        <v>3.2537960954446943E-2</v>
      </c>
      <c r="Y53" s="8">
        <v>2.4369747899159799E-2</v>
      </c>
      <c r="Z53" s="9">
        <v>0.12592288761279741</v>
      </c>
      <c r="AA53" s="8">
        <v>2.7686703096539311E-2</v>
      </c>
    </row>
    <row r="54" spans="2:27" x14ac:dyDescent="0.3">
      <c r="B54" s="13" t="s">
        <v>41</v>
      </c>
      <c r="C54" s="3" t="s">
        <v>499</v>
      </c>
      <c r="D54" s="3" t="s">
        <v>514</v>
      </c>
      <c r="E54" s="3" t="s">
        <v>503</v>
      </c>
      <c r="F54" s="5">
        <v>2.7</v>
      </c>
      <c r="G54" s="4">
        <v>688.48</v>
      </c>
      <c r="H54" s="4">
        <v>669.53</v>
      </c>
      <c r="I54" s="4">
        <v>798.55</v>
      </c>
      <c r="J54" s="4">
        <v>804.19</v>
      </c>
      <c r="K54" s="4">
        <v>689.82</v>
      </c>
      <c r="L54" s="44">
        <v>716.65</v>
      </c>
      <c r="M54" s="44">
        <v>853.77</v>
      </c>
      <c r="N54" s="44">
        <v>897.22</v>
      </c>
      <c r="O54" s="44">
        <v>720.94</v>
      </c>
      <c r="P54" s="44">
        <v>752.48</v>
      </c>
      <c r="Q54" s="44">
        <v>863.3</v>
      </c>
      <c r="R54" s="44">
        <v>896.73</v>
      </c>
      <c r="S54" s="44">
        <v>739.15</v>
      </c>
      <c r="T54" s="44">
        <v>741.47</v>
      </c>
      <c r="U54" s="44">
        <v>914.47</v>
      </c>
      <c r="V54" s="44">
        <v>976.07</v>
      </c>
      <c r="W54" s="44">
        <v>828.61</v>
      </c>
      <c r="X54" s="7">
        <v>-3.3859628620457331E-3</v>
      </c>
      <c r="Y54" s="8">
        <v>1.5790042121179401E-2</v>
      </c>
      <c r="Z54" s="8">
        <v>2.4102168405319761E-2</v>
      </c>
      <c r="AA54" s="8">
        <v>2.6536859715943439E-2</v>
      </c>
    </row>
    <row r="55" spans="2:27" x14ac:dyDescent="0.3">
      <c r="B55" s="13" t="s">
        <v>137</v>
      </c>
      <c r="C55" s="3" t="s">
        <v>499</v>
      </c>
      <c r="D55" s="3" t="s">
        <v>539</v>
      </c>
      <c r="E55" s="3" t="s">
        <v>503</v>
      </c>
      <c r="F55" s="5">
        <v>2.6</v>
      </c>
      <c r="G55" s="4">
        <v>-32</v>
      </c>
      <c r="H55" s="4">
        <v>193</v>
      </c>
      <c r="I55" s="4">
        <v>84</v>
      </c>
      <c r="J55" s="4">
        <v>320</v>
      </c>
      <c r="K55" s="4">
        <v>-37</v>
      </c>
      <c r="L55" s="45">
        <v>409</v>
      </c>
      <c r="M55" s="45">
        <v>271</v>
      </c>
      <c r="N55" s="44">
        <v>323</v>
      </c>
      <c r="O55" s="45">
        <v>104</v>
      </c>
      <c r="P55" s="44">
        <v>375</v>
      </c>
      <c r="Q55" s="44">
        <v>279</v>
      </c>
      <c r="R55" s="44">
        <v>379</v>
      </c>
      <c r="S55" s="44">
        <v>168</v>
      </c>
      <c r="T55" s="44">
        <v>405</v>
      </c>
      <c r="U55" s="44">
        <v>316</v>
      </c>
      <c r="V55" s="44">
        <v>404</v>
      </c>
      <c r="W55" s="44">
        <v>202</v>
      </c>
      <c r="X55" s="7">
        <v>2.497918401332222E-2</v>
      </c>
      <c r="Y55" s="8">
        <v>3.005686433793664E-2</v>
      </c>
      <c r="Z55" s="8">
        <v>1.9716088328075809E-2</v>
      </c>
      <c r="AA55" s="8">
        <v>2.6295436968290838E-2</v>
      </c>
    </row>
    <row r="56" spans="2:27" x14ac:dyDescent="0.3">
      <c r="B56" s="13" t="s">
        <v>7</v>
      </c>
      <c r="C56" s="3" t="s">
        <v>499</v>
      </c>
      <c r="D56" s="3" t="s">
        <v>523</v>
      </c>
      <c r="E56" s="3" t="s">
        <v>503</v>
      </c>
      <c r="F56" s="5">
        <v>2.5</v>
      </c>
      <c r="G56" s="4">
        <v>21885</v>
      </c>
      <c r="H56" s="4">
        <v>20094</v>
      </c>
      <c r="I56" s="4">
        <v>19453</v>
      </c>
      <c r="J56" s="4">
        <v>17135</v>
      </c>
      <c r="K56" s="4">
        <v>18160</v>
      </c>
      <c r="L56" s="44">
        <v>17415</v>
      </c>
      <c r="M56" s="44">
        <v>21838</v>
      </c>
      <c r="N56" s="44">
        <v>21343</v>
      </c>
      <c r="O56" s="44">
        <v>23697</v>
      </c>
      <c r="P56" s="44">
        <v>25472</v>
      </c>
      <c r="Q56" s="44">
        <v>27425</v>
      </c>
      <c r="R56" s="44">
        <v>28521</v>
      </c>
      <c r="S56" s="44">
        <v>32768</v>
      </c>
      <c r="T56" s="44">
        <v>30606</v>
      </c>
      <c r="U56" s="44">
        <v>31271</v>
      </c>
      <c r="V56" s="44">
        <v>31228</v>
      </c>
      <c r="W56" s="44">
        <v>35934</v>
      </c>
      <c r="X56" s="7">
        <v>4.4961729108647257E-2</v>
      </c>
      <c r="Y56" s="8">
        <v>3.2232651692926551E-2</v>
      </c>
      <c r="Z56" s="8">
        <v>2.1978468083724501E-2</v>
      </c>
      <c r="AA56" s="8">
        <v>2.5152336084783841E-2</v>
      </c>
    </row>
    <row r="57" spans="2:27" x14ac:dyDescent="0.3">
      <c r="B57" s="13" t="s">
        <v>65</v>
      </c>
      <c r="C57" s="3" t="s">
        <v>499</v>
      </c>
      <c r="D57" s="3" t="s">
        <v>539</v>
      </c>
      <c r="E57" s="3" t="s">
        <v>503</v>
      </c>
      <c r="F57" s="5">
        <v>2.5</v>
      </c>
      <c r="G57" s="4">
        <v>521</v>
      </c>
      <c r="H57" s="4">
        <v>502</v>
      </c>
      <c r="I57" s="4">
        <v>545</v>
      </c>
      <c r="J57" s="4">
        <v>531</v>
      </c>
      <c r="K57" s="4">
        <v>573</v>
      </c>
      <c r="L57" s="44">
        <v>529</v>
      </c>
      <c r="M57" s="44">
        <v>581</v>
      </c>
      <c r="N57" s="44">
        <v>621</v>
      </c>
      <c r="O57" s="44">
        <v>625</v>
      </c>
      <c r="P57" s="44">
        <v>551</v>
      </c>
      <c r="Q57" s="44">
        <v>634</v>
      </c>
      <c r="R57" s="44">
        <v>629</v>
      </c>
      <c r="S57" s="44">
        <v>723</v>
      </c>
      <c r="T57" s="44">
        <v>574</v>
      </c>
      <c r="U57" s="44">
        <v>648</v>
      </c>
      <c r="V57" s="44">
        <v>681</v>
      </c>
      <c r="W57" s="44">
        <v>788</v>
      </c>
      <c r="X57" s="7">
        <v>9.0658257784785867E-3</v>
      </c>
      <c r="Y57" s="8">
        <v>5.4687499999999112E-3</v>
      </c>
      <c r="Z57" s="8">
        <v>2.020202020202011E-2</v>
      </c>
      <c r="AA57" s="8">
        <v>2.4752475247524771E-2</v>
      </c>
    </row>
    <row r="58" spans="2:27" x14ac:dyDescent="0.3">
      <c r="B58" s="13" t="s">
        <v>383</v>
      </c>
      <c r="C58" s="3" t="s">
        <v>499</v>
      </c>
      <c r="D58" s="3" t="s">
        <v>546</v>
      </c>
      <c r="E58" s="3" t="s">
        <v>501</v>
      </c>
      <c r="F58" s="5">
        <v>2.4</v>
      </c>
      <c r="G58" s="4">
        <v>-1.2</v>
      </c>
      <c r="H58" s="4">
        <v>-15.86</v>
      </c>
      <c r="I58" s="4">
        <v>1.93</v>
      </c>
      <c r="J58" s="4">
        <v>-21.96</v>
      </c>
      <c r="K58" s="6">
        <v>-9.4499999999999993</v>
      </c>
      <c r="L58" s="44">
        <v>12.37</v>
      </c>
      <c r="M58" s="44">
        <v>19.34</v>
      </c>
      <c r="N58" s="45">
        <v>28.69</v>
      </c>
      <c r="O58" s="45">
        <v>38.020000000000003</v>
      </c>
      <c r="P58" s="45">
        <v>36.130000000000003</v>
      </c>
      <c r="Q58" s="45">
        <v>39.79</v>
      </c>
      <c r="R58" s="44">
        <v>25.25</v>
      </c>
      <c r="S58" s="44">
        <v>33.58</v>
      </c>
      <c r="T58" s="44">
        <v>34.229999999999997</v>
      </c>
      <c r="U58" s="44">
        <v>50.61</v>
      </c>
      <c r="V58" s="45">
        <v>50.58</v>
      </c>
      <c r="W58" s="44">
        <v>37.68</v>
      </c>
      <c r="X58" s="7">
        <v>-1.4100185528757031E-2</v>
      </c>
      <c r="Y58" s="8">
        <v>8.1445238991343594E-2</v>
      </c>
      <c r="Z58" s="9">
        <v>0.1763068142270483</v>
      </c>
      <c r="AA58" s="8">
        <v>2.4260355029585678E-2</v>
      </c>
    </row>
    <row r="59" spans="2:27" x14ac:dyDescent="0.3">
      <c r="B59" s="13" t="s">
        <v>271</v>
      </c>
      <c r="C59" s="3" t="s">
        <v>499</v>
      </c>
      <c r="D59" s="3" t="s">
        <v>541</v>
      </c>
      <c r="E59" s="3" t="s">
        <v>503</v>
      </c>
      <c r="F59" s="5">
        <v>2.2999999999999998</v>
      </c>
      <c r="G59" s="4">
        <v>114.18</v>
      </c>
      <c r="H59" s="4">
        <v>173.35</v>
      </c>
      <c r="I59" s="4">
        <v>72.180000000000007</v>
      </c>
      <c r="J59" s="4">
        <v>79.39</v>
      </c>
      <c r="K59" s="4">
        <v>129.85</v>
      </c>
      <c r="L59" s="44">
        <v>174.9</v>
      </c>
      <c r="M59" s="44">
        <v>63.5</v>
      </c>
      <c r="N59" s="44">
        <v>97.8</v>
      </c>
      <c r="O59" s="44">
        <v>132.1</v>
      </c>
      <c r="P59" s="44">
        <v>193.3</v>
      </c>
      <c r="Q59" s="44">
        <v>70.599999999999994</v>
      </c>
      <c r="R59" s="44">
        <v>75.8</v>
      </c>
      <c r="S59" s="44">
        <v>159.30000000000001</v>
      </c>
      <c r="T59" s="44">
        <v>205</v>
      </c>
      <c r="U59" s="44">
        <v>82.5</v>
      </c>
      <c r="V59" s="44">
        <v>78.7</v>
      </c>
      <c r="W59" s="44">
        <v>171.4</v>
      </c>
      <c r="X59" s="7">
        <v>2.344689378757514E-2</v>
      </c>
      <c r="Y59" s="8">
        <v>2.330135108674369E-2</v>
      </c>
      <c r="Z59" s="8">
        <v>5.5491771909681464E-3</v>
      </c>
      <c r="AA59" s="8">
        <v>2.3025689819219819E-2</v>
      </c>
    </row>
    <row r="60" spans="2:27" x14ac:dyDescent="0.3">
      <c r="B60" s="13" t="s">
        <v>95</v>
      </c>
      <c r="C60" s="3" t="s">
        <v>499</v>
      </c>
      <c r="D60" s="3" t="s">
        <v>528</v>
      </c>
      <c r="E60" s="3" t="s">
        <v>509</v>
      </c>
      <c r="F60" s="5">
        <v>2.1</v>
      </c>
      <c r="G60" s="4">
        <v>212.02</v>
      </c>
      <c r="H60" s="4">
        <v>129.97999999999999</v>
      </c>
      <c r="I60" s="4">
        <v>168.25</v>
      </c>
      <c r="J60" s="4">
        <v>188.06</v>
      </c>
      <c r="K60" s="4">
        <v>195.66</v>
      </c>
      <c r="L60" s="44">
        <v>0</v>
      </c>
      <c r="M60" s="44">
        <v>200.02</v>
      </c>
      <c r="N60" s="44">
        <v>207.34</v>
      </c>
      <c r="O60" s="44">
        <v>232.74</v>
      </c>
      <c r="P60" s="45">
        <v>265.92</v>
      </c>
      <c r="Q60" s="44">
        <v>215.9</v>
      </c>
      <c r="R60" s="44">
        <v>225.7</v>
      </c>
      <c r="S60" s="44">
        <v>251.28</v>
      </c>
      <c r="T60" s="44">
        <v>295.42</v>
      </c>
      <c r="U60" s="44">
        <v>248.3</v>
      </c>
      <c r="V60" s="44">
        <v>268.3</v>
      </c>
      <c r="W60" s="44">
        <v>273.7</v>
      </c>
      <c r="X60" s="7">
        <v>3.0767626199415869E-2</v>
      </c>
      <c r="Y60" s="8">
        <v>3.2783567742588282E-2</v>
      </c>
      <c r="Z60" s="8">
        <v>4.1736063485843022E-2</v>
      </c>
      <c r="AA60" s="8">
        <v>2.1085300479638969E-2</v>
      </c>
    </row>
    <row r="61" spans="2:27" x14ac:dyDescent="0.3">
      <c r="B61" s="13" t="s">
        <v>32</v>
      </c>
      <c r="C61" s="3" t="s">
        <v>499</v>
      </c>
      <c r="D61" s="3" t="s">
        <v>537</v>
      </c>
      <c r="E61" s="3" t="s">
        <v>503</v>
      </c>
      <c r="F61" s="5">
        <v>1.6</v>
      </c>
      <c r="G61" s="4">
        <v>475.9</v>
      </c>
      <c r="H61" s="4">
        <v>859.1</v>
      </c>
      <c r="I61" s="4">
        <v>749.7</v>
      </c>
      <c r="J61" s="4">
        <v>738.8</v>
      </c>
      <c r="K61" s="4">
        <v>655.1</v>
      </c>
      <c r="L61" s="44">
        <v>913.7</v>
      </c>
      <c r="M61" s="44">
        <v>838.6</v>
      </c>
      <c r="N61" s="44">
        <v>820.2</v>
      </c>
      <c r="O61" s="44">
        <v>885.8</v>
      </c>
      <c r="P61" s="44">
        <v>959.6</v>
      </c>
      <c r="Q61" s="44">
        <v>1001</v>
      </c>
      <c r="R61" s="44">
        <v>1024</v>
      </c>
      <c r="S61" s="44">
        <v>952.3</v>
      </c>
      <c r="T61" s="44">
        <v>1108</v>
      </c>
      <c r="U61" s="44">
        <v>1129</v>
      </c>
      <c r="V61" s="44">
        <v>972.6</v>
      </c>
      <c r="W61" s="44">
        <v>1020</v>
      </c>
      <c r="X61" s="7">
        <v>3.7694632832939723E-2</v>
      </c>
      <c r="Y61" s="8">
        <v>3.1331848334271717E-2</v>
      </c>
      <c r="Z61" s="8">
        <v>-1.2199463603351449E-2</v>
      </c>
      <c r="AA61" s="8">
        <v>1.6266609000696871E-2</v>
      </c>
    </row>
    <row r="62" spans="2:27" x14ac:dyDescent="0.3">
      <c r="B62" s="13" t="s">
        <v>69</v>
      </c>
      <c r="C62" s="3" t="s">
        <v>499</v>
      </c>
      <c r="D62" s="3" t="s">
        <v>543</v>
      </c>
      <c r="E62" s="3" t="s">
        <v>503</v>
      </c>
      <c r="F62" s="5">
        <v>1.6</v>
      </c>
      <c r="G62" s="4">
        <v>737</v>
      </c>
      <c r="H62" s="4">
        <v>727</v>
      </c>
      <c r="I62" s="4">
        <v>760</v>
      </c>
      <c r="J62" s="4">
        <v>798</v>
      </c>
      <c r="K62" s="4">
        <v>744</v>
      </c>
      <c r="L62" s="44">
        <v>714</v>
      </c>
      <c r="M62" s="44">
        <v>694</v>
      </c>
      <c r="N62" s="44">
        <v>758</v>
      </c>
      <c r="O62" s="44">
        <v>766</v>
      </c>
      <c r="P62" s="44">
        <v>718</v>
      </c>
      <c r="Q62" s="44">
        <v>737</v>
      </c>
      <c r="R62" s="44">
        <v>771</v>
      </c>
      <c r="S62" s="44">
        <v>800</v>
      </c>
      <c r="T62" s="44">
        <v>791</v>
      </c>
      <c r="U62" s="44">
        <v>817</v>
      </c>
      <c r="V62" s="44">
        <v>866</v>
      </c>
      <c r="W62" s="44">
        <v>853</v>
      </c>
      <c r="X62" s="7">
        <v>2.4124256444150619E-2</v>
      </c>
      <c r="Y62" s="8">
        <v>2.5814778960955079E-2</v>
      </c>
      <c r="Z62" s="8">
        <v>2.9883611198490149E-2</v>
      </c>
      <c r="AA62" s="8">
        <v>1.6188149053145921E-2</v>
      </c>
    </row>
    <row r="63" spans="2:27" x14ac:dyDescent="0.3">
      <c r="B63" s="13" t="s">
        <v>162</v>
      </c>
      <c r="C63" s="3" t="s">
        <v>499</v>
      </c>
      <c r="D63" s="3" t="s">
        <v>517</v>
      </c>
      <c r="E63" s="3" t="s">
        <v>503</v>
      </c>
      <c r="F63" s="5">
        <v>1.6</v>
      </c>
      <c r="G63" s="4">
        <v>168.7</v>
      </c>
      <c r="H63" s="4">
        <v>188.3</v>
      </c>
      <c r="I63" s="4">
        <v>190.4</v>
      </c>
      <c r="J63" s="4">
        <v>222</v>
      </c>
      <c r="K63" s="4">
        <v>188.3</v>
      </c>
      <c r="L63" s="44">
        <v>193.7</v>
      </c>
      <c r="M63" s="44">
        <v>206.3</v>
      </c>
      <c r="N63" s="44">
        <v>186.7</v>
      </c>
      <c r="O63" s="44">
        <v>164.7</v>
      </c>
      <c r="P63" s="44">
        <v>165.8</v>
      </c>
      <c r="Q63" s="44">
        <v>186.3</v>
      </c>
      <c r="R63" s="44">
        <v>178.4</v>
      </c>
      <c r="S63" s="44">
        <v>174.5</v>
      </c>
      <c r="T63" s="44">
        <v>160</v>
      </c>
      <c r="U63" s="44">
        <v>190</v>
      </c>
      <c r="V63" s="44">
        <v>188.2</v>
      </c>
      <c r="W63" s="44">
        <v>186</v>
      </c>
      <c r="X63" s="7">
        <v>-8.2269503546098521E-3</v>
      </c>
      <c r="Y63" s="8">
        <v>5.2917620137298282E-3</v>
      </c>
      <c r="Z63" s="8">
        <v>1.394223929435201E-2</v>
      </c>
      <c r="AA63" s="8">
        <v>1.613582152378279E-2</v>
      </c>
    </row>
    <row r="64" spans="2:27" x14ac:dyDescent="0.3">
      <c r="B64" s="13" t="s">
        <v>248</v>
      </c>
      <c r="C64" s="3" t="s">
        <v>499</v>
      </c>
      <c r="D64" s="3" t="s">
        <v>516</v>
      </c>
      <c r="E64" s="3" t="s">
        <v>503</v>
      </c>
      <c r="F64" s="5">
        <v>1.4</v>
      </c>
      <c r="G64" s="4">
        <v>110.76</v>
      </c>
      <c r="H64" s="4">
        <v>122.5</v>
      </c>
      <c r="I64" s="4">
        <v>170.8</v>
      </c>
      <c r="J64" s="4">
        <v>157.69999999999999</v>
      </c>
      <c r="K64" s="4">
        <v>155.4</v>
      </c>
      <c r="L64" s="44">
        <v>154.30000000000001</v>
      </c>
      <c r="M64" s="44">
        <v>159.4</v>
      </c>
      <c r="N64" s="44">
        <v>174.9</v>
      </c>
      <c r="O64" s="44">
        <v>163.1</v>
      </c>
      <c r="P64" s="44">
        <v>164.5</v>
      </c>
      <c r="Q64" s="44">
        <v>168.2</v>
      </c>
      <c r="R64" s="44">
        <v>196.3</v>
      </c>
      <c r="S64" s="44">
        <v>157.30000000000001</v>
      </c>
      <c r="T64" s="44">
        <v>157.30000000000001</v>
      </c>
      <c r="U64" s="44">
        <v>156.80000000000001</v>
      </c>
      <c r="V64" s="44">
        <v>183.5</v>
      </c>
      <c r="W64" s="44">
        <v>166.4</v>
      </c>
      <c r="X64" s="7">
        <v>-1.0491038904269169E-2</v>
      </c>
      <c r="Y64" s="8">
        <v>-1.6786923869827719E-2</v>
      </c>
      <c r="Z64" s="8">
        <v>-1.9170286056612199E-2</v>
      </c>
      <c r="AA64" s="8">
        <v>1.3895251183386531E-2</v>
      </c>
    </row>
    <row r="65" spans="2:27" x14ac:dyDescent="0.3">
      <c r="B65" s="13" t="s">
        <v>15</v>
      </c>
      <c r="C65" s="3" t="s">
        <v>499</v>
      </c>
      <c r="D65" s="3" t="s">
        <v>507</v>
      </c>
      <c r="E65" s="3" t="s">
        <v>503</v>
      </c>
      <c r="F65" s="5">
        <v>1.3</v>
      </c>
      <c r="G65" s="4">
        <v>6790</v>
      </c>
      <c r="H65" s="4">
        <v>5217</v>
      </c>
      <c r="I65" s="4">
        <v>5737</v>
      </c>
      <c r="J65" s="4">
        <v>5030</v>
      </c>
      <c r="K65" s="4">
        <v>6103</v>
      </c>
      <c r="L65" s="44">
        <v>3672</v>
      </c>
      <c r="M65" s="44">
        <v>4941</v>
      </c>
      <c r="N65" s="44">
        <v>4573</v>
      </c>
      <c r="O65" s="44">
        <v>4474</v>
      </c>
      <c r="P65" s="44">
        <v>3377</v>
      </c>
      <c r="Q65" s="44">
        <v>4998</v>
      </c>
      <c r="R65" s="44">
        <v>4139</v>
      </c>
      <c r="S65" s="44">
        <v>5536</v>
      </c>
      <c r="T65" s="44">
        <v>4060</v>
      </c>
      <c r="U65" s="44">
        <v>5787</v>
      </c>
      <c r="V65" s="44">
        <v>5600</v>
      </c>
      <c r="W65" s="44">
        <v>5809</v>
      </c>
      <c r="X65" s="7">
        <v>3.7839335180055438E-2</v>
      </c>
      <c r="Y65" s="8">
        <v>4.211818715635518E-2</v>
      </c>
      <c r="Z65" s="8">
        <v>7.4838643581600195E-2</v>
      </c>
      <c r="AA65" s="8">
        <v>1.3010532335700381E-2</v>
      </c>
    </row>
    <row r="66" spans="2:27" x14ac:dyDescent="0.3">
      <c r="B66" s="13" t="s">
        <v>34</v>
      </c>
      <c r="C66" s="3" t="s">
        <v>499</v>
      </c>
      <c r="D66" s="3" t="s">
        <v>507</v>
      </c>
      <c r="E66" s="3" t="s">
        <v>503</v>
      </c>
      <c r="F66" s="5">
        <v>1.2</v>
      </c>
      <c r="G66" s="4">
        <v>1062</v>
      </c>
      <c r="H66" s="4">
        <v>1819</v>
      </c>
      <c r="I66" s="4">
        <v>1709</v>
      </c>
      <c r="J66" s="4">
        <v>2542</v>
      </c>
      <c r="K66" s="4">
        <v>895</v>
      </c>
      <c r="L66" s="44">
        <v>1923</v>
      </c>
      <c r="M66" s="44">
        <v>2002</v>
      </c>
      <c r="N66" s="44">
        <v>2765</v>
      </c>
      <c r="O66" s="45">
        <v>1701</v>
      </c>
      <c r="P66" s="44">
        <v>2247</v>
      </c>
      <c r="Q66" s="44">
        <v>2320</v>
      </c>
      <c r="R66" s="44">
        <v>2346</v>
      </c>
      <c r="S66" s="44">
        <v>997</v>
      </c>
      <c r="T66" s="44">
        <v>2314</v>
      </c>
      <c r="U66" s="44">
        <v>2437</v>
      </c>
      <c r="V66" s="44">
        <v>2787</v>
      </c>
      <c r="W66" s="44">
        <v>1100</v>
      </c>
      <c r="X66" s="7">
        <v>8.4702907711757813E-3</v>
      </c>
      <c r="Y66" s="8">
        <v>1.4667168108311481E-2</v>
      </c>
      <c r="Z66" s="8">
        <v>5.4484803558191297E-2</v>
      </c>
      <c r="AA66" s="8">
        <v>1.206795547744588E-2</v>
      </c>
    </row>
    <row r="67" spans="2:27" x14ac:dyDescent="0.3">
      <c r="B67" s="13" t="s">
        <v>30</v>
      </c>
      <c r="C67" s="3" t="s">
        <v>499</v>
      </c>
      <c r="D67" s="3" t="s">
        <v>504</v>
      </c>
      <c r="E67" s="3" t="s">
        <v>509</v>
      </c>
      <c r="F67" s="5">
        <v>1.2</v>
      </c>
      <c r="G67" s="3"/>
      <c r="H67" s="3"/>
      <c r="I67" s="4">
        <v>296</v>
      </c>
      <c r="J67" s="4">
        <v>185</v>
      </c>
      <c r="K67" s="4">
        <v>246</v>
      </c>
      <c r="L67" s="44">
        <v>-14.5</v>
      </c>
      <c r="M67" s="44">
        <v>111</v>
      </c>
      <c r="N67" s="44">
        <v>-196</v>
      </c>
      <c r="O67" s="44">
        <v>140</v>
      </c>
      <c r="P67" s="45">
        <v>21.5</v>
      </c>
      <c r="Q67" s="45">
        <v>182</v>
      </c>
      <c r="R67" s="45">
        <v>64</v>
      </c>
      <c r="S67" s="44">
        <v>175</v>
      </c>
      <c r="T67" s="45">
        <v>410</v>
      </c>
      <c r="U67" s="44">
        <v>114</v>
      </c>
      <c r="V67" s="45">
        <v>163</v>
      </c>
      <c r="W67" s="44">
        <v>185</v>
      </c>
      <c r="X67" s="10">
        <v>0.87796610169491518</v>
      </c>
      <c r="Y67" s="8">
        <v>-8.1829121540312855E-2</v>
      </c>
      <c r="Z67" s="9">
        <v>0.12975098296199211</v>
      </c>
      <c r="AA67" s="8">
        <v>1.160092807424595E-2</v>
      </c>
    </row>
    <row r="68" spans="2:27" x14ac:dyDescent="0.3">
      <c r="B68" s="13" t="s">
        <v>220</v>
      </c>
      <c r="C68" s="3" t="s">
        <v>499</v>
      </c>
      <c r="D68" s="3" t="s">
        <v>529</v>
      </c>
      <c r="E68" s="3" t="s">
        <v>503</v>
      </c>
      <c r="F68" s="5">
        <v>1</v>
      </c>
      <c r="G68" s="4">
        <v>160.5</v>
      </c>
      <c r="H68" s="4">
        <v>220.9</v>
      </c>
      <c r="I68" s="4">
        <v>261.2</v>
      </c>
      <c r="J68" s="4">
        <v>312</v>
      </c>
      <c r="K68" s="4">
        <v>173.7</v>
      </c>
      <c r="L68" s="44">
        <v>163</v>
      </c>
      <c r="M68" s="44">
        <v>198.6</v>
      </c>
      <c r="N68" s="44">
        <v>247.8</v>
      </c>
      <c r="O68" s="44">
        <v>217.4</v>
      </c>
      <c r="P68" s="44">
        <v>104.8</v>
      </c>
      <c r="Q68" s="44">
        <v>218.5</v>
      </c>
      <c r="R68" s="44">
        <v>222</v>
      </c>
      <c r="S68" s="44">
        <v>210.3</v>
      </c>
      <c r="T68" s="44">
        <v>88.3</v>
      </c>
      <c r="U68" s="44">
        <v>219.2</v>
      </c>
      <c r="V68" s="44">
        <v>214.3</v>
      </c>
      <c r="W68" s="44">
        <v>217.4</v>
      </c>
      <c r="X68" s="7">
        <v>-2.1836950767601952E-2</v>
      </c>
      <c r="Y68" s="8">
        <v>9.4709782167501366E-4</v>
      </c>
      <c r="Z68" s="8">
        <v>-1.040821843741546E-2</v>
      </c>
      <c r="AA68" s="8">
        <v>9.6981286709465486E-3</v>
      </c>
    </row>
    <row r="69" spans="2:27" x14ac:dyDescent="0.3">
      <c r="B69" s="13" t="s">
        <v>188</v>
      </c>
      <c r="C69" s="3" t="s">
        <v>499</v>
      </c>
      <c r="D69" s="3" t="s">
        <v>554</v>
      </c>
      <c r="E69" s="3" t="s">
        <v>522</v>
      </c>
      <c r="F69" s="5">
        <v>0.7</v>
      </c>
      <c r="G69" s="4">
        <v>67.89</v>
      </c>
      <c r="H69" s="4">
        <v>86.45</v>
      </c>
      <c r="I69" s="4">
        <v>60.66</v>
      </c>
      <c r="J69" s="4">
        <v>59.08</v>
      </c>
      <c r="K69" s="4">
        <v>76.3</v>
      </c>
      <c r="L69" s="44">
        <v>78.88</v>
      </c>
      <c r="M69" s="44">
        <v>83.46</v>
      </c>
      <c r="N69" s="44">
        <v>53.98</v>
      </c>
      <c r="O69" s="44">
        <v>49.09</v>
      </c>
      <c r="P69" s="44">
        <v>72.02</v>
      </c>
      <c r="Q69" s="44">
        <v>77.87</v>
      </c>
      <c r="R69" s="44">
        <v>50.44</v>
      </c>
      <c r="S69" s="44">
        <v>52.76</v>
      </c>
      <c r="T69" s="44">
        <v>44.58</v>
      </c>
      <c r="U69" s="45">
        <v>115.05</v>
      </c>
      <c r="V69" s="44">
        <v>48.38</v>
      </c>
      <c r="W69" s="44">
        <v>54.46</v>
      </c>
      <c r="X69" s="7">
        <v>-0.1084199296692876</v>
      </c>
      <c r="Y69" s="9">
        <v>0.16476844670950591</v>
      </c>
      <c r="Z69" s="8">
        <v>-7.8377658562569508E-3</v>
      </c>
      <c r="AA69" s="8">
        <v>6.5191548107530473E-3</v>
      </c>
    </row>
    <row r="70" spans="2:27" x14ac:dyDescent="0.3">
      <c r="B70" s="13" t="s">
        <v>126</v>
      </c>
      <c r="C70" s="3" t="s">
        <v>499</v>
      </c>
      <c r="D70" s="3" t="s">
        <v>543</v>
      </c>
      <c r="E70" s="3" t="s">
        <v>503</v>
      </c>
      <c r="F70" s="5">
        <v>0.4</v>
      </c>
      <c r="G70" s="4">
        <v>381.1</v>
      </c>
      <c r="H70" s="4">
        <v>386.9</v>
      </c>
      <c r="I70" s="4">
        <v>450.2</v>
      </c>
      <c r="J70" s="4">
        <v>466.4</v>
      </c>
      <c r="K70" s="4">
        <v>446.6</v>
      </c>
      <c r="L70" s="44">
        <v>356.2</v>
      </c>
      <c r="M70" s="44">
        <v>458.8</v>
      </c>
      <c r="N70" s="44">
        <v>478</v>
      </c>
      <c r="O70" s="44">
        <v>440.2</v>
      </c>
      <c r="P70" s="44">
        <v>334.1</v>
      </c>
      <c r="Q70" s="44">
        <v>441.8</v>
      </c>
      <c r="R70" s="44">
        <v>489.9</v>
      </c>
      <c r="S70" s="44">
        <v>424.5</v>
      </c>
      <c r="T70" s="44">
        <v>375.1</v>
      </c>
      <c r="U70" s="44">
        <v>450.3</v>
      </c>
      <c r="V70" s="44">
        <v>456.3</v>
      </c>
      <c r="W70" s="44">
        <v>430.7</v>
      </c>
      <c r="X70" s="7">
        <v>2.4256049222031621E-2</v>
      </c>
      <c r="Y70" s="8">
        <v>4.9096054987580739E-3</v>
      </c>
      <c r="Z70" s="8">
        <v>-1.9312564662604888E-2</v>
      </c>
      <c r="AA70" s="8">
        <v>3.6338061188605502E-3</v>
      </c>
    </row>
    <row r="71" spans="2:27" x14ac:dyDescent="0.3">
      <c r="B71" s="13" t="s">
        <v>171</v>
      </c>
      <c r="C71" s="3" t="s">
        <v>499</v>
      </c>
      <c r="D71" s="3" t="s">
        <v>512</v>
      </c>
      <c r="E71" s="3" t="s">
        <v>503</v>
      </c>
      <c r="F71" s="5">
        <v>0</v>
      </c>
      <c r="G71" s="4">
        <v>240.26</v>
      </c>
      <c r="H71" s="4">
        <v>314.12</v>
      </c>
      <c r="I71" s="4">
        <v>298.27999999999997</v>
      </c>
      <c r="J71" s="4">
        <v>260.16000000000003</v>
      </c>
      <c r="K71" s="4">
        <v>322.45</v>
      </c>
      <c r="L71" s="44">
        <v>299.10000000000002</v>
      </c>
      <c r="M71" s="44">
        <v>290.32</v>
      </c>
      <c r="N71" s="44">
        <v>344.77</v>
      </c>
      <c r="O71" s="44">
        <v>363.29</v>
      </c>
      <c r="P71" s="44">
        <v>343.54</v>
      </c>
      <c r="Q71" s="44">
        <v>356.16</v>
      </c>
      <c r="R71" s="44">
        <v>411.68</v>
      </c>
      <c r="S71" s="44">
        <v>363.92</v>
      </c>
      <c r="T71" s="44">
        <v>357.2</v>
      </c>
      <c r="U71" s="44">
        <v>352.83</v>
      </c>
      <c r="V71" s="44">
        <v>515.83000000000004</v>
      </c>
      <c r="W71" s="44">
        <v>364.7</v>
      </c>
      <c r="X71" s="7">
        <v>9.259133735511238E-3</v>
      </c>
      <c r="Y71" s="8">
        <v>-2.236460348162383E-3</v>
      </c>
      <c r="Z71" s="8">
        <v>7.0104938645557668E-2</v>
      </c>
      <c r="AA71" s="8">
        <v>4.9063392419079754E-4</v>
      </c>
    </row>
    <row r="72" spans="2:27" x14ac:dyDescent="0.3">
      <c r="B72" s="13" t="s">
        <v>451</v>
      </c>
      <c r="C72" s="3" t="s">
        <v>499</v>
      </c>
      <c r="D72" s="3" t="s">
        <v>552</v>
      </c>
      <c r="E72" s="3" t="s">
        <v>522</v>
      </c>
      <c r="F72" s="5">
        <v>0</v>
      </c>
      <c r="G72" s="4">
        <v>7.28</v>
      </c>
      <c r="H72" s="4">
        <v>20.74</v>
      </c>
      <c r="I72" s="4">
        <v>21.34</v>
      </c>
      <c r="J72" s="4">
        <v>14.57</v>
      </c>
      <c r="K72" s="6">
        <v>18.989999999999998</v>
      </c>
      <c r="L72" s="44">
        <v>26.64</v>
      </c>
      <c r="M72" s="45">
        <v>32.25</v>
      </c>
      <c r="N72" s="44">
        <v>18.600000000000001</v>
      </c>
      <c r="O72" s="44">
        <v>17.399999999999999</v>
      </c>
      <c r="P72" s="44">
        <v>18.72</v>
      </c>
      <c r="Q72" s="44">
        <v>20.87</v>
      </c>
      <c r="R72" s="44">
        <v>10.119999999999999</v>
      </c>
      <c r="S72" s="44">
        <v>12.98</v>
      </c>
      <c r="T72" s="44">
        <v>13.69</v>
      </c>
      <c r="U72" s="44">
        <v>20.13</v>
      </c>
      <c r="V72" s="44">
        <v>15.69</v>
      </c>
      <c r="W72" s="44">
        <v>13.01</v>
      </c>
      <c r="X72" s="7">
        <v>-8.02360823097783E-2</v>
      </c>
      <c r="Y72" s="8">
        <v>-1.283385362469636E-2</v>
      </c>
      <c r="Z72" s="8">
        <v>9.7856640899507852E-2</v>
      </c>
      <c r="AA72" s="8">
        <v>4.8007681228989801E-4</v>
      </c>
    </row>
    <row r="73" spans="2:27" x14ac:dyDescent="0.3">
      <c r="B73" s="13" t="s">
        <v>376</v>
      </c>
      <c r="C73" s="3" t="s">
        <v>499</v>
      </c>
      <c r="D73" s="3" t="s">
        <v>514</v>
      </c>
      <c r="E73" s="3" t="s">
        <v>501</v>
      </c>
      <c r="F73" s="5">
        <v>-0.5</v>
      </c>
      <c r="G73" s="4">
        <v>12</v>
      </c>
      <c r="H73" s="4">
        <v>49</v>
      </c>
      <c r="I73" s="4">
        <v>35</v>
      </c>
      <c r="J73" s="4">
        <v>114</v>
      </c>
      <c r="K73" s="6">
        <v>84</v>
      </c>
      <c r="L73" s="45">
        <v>107</v>
      </c>
      <c r="M73" s="45">
        <v>153</v>
      </c>
      <c r="N73" s="44">
        <v>81</v>
      </c>
      <c r="O73" s="44">
        <v>97</v>
      </c>
      <c r="P73" s="44">
        <v>113</v>
      </c>
      <c r="Q73" s="44">
        <v>85</v>
      </c>
      <c r="R73" s="44">
        <v>108</v>
      </c>
      <c r="S73" s="44">
        <v>88</v>
      </c>
      <c r="T73" s="44">
        <v>116</v>
      </c>
      <c r="U73" s="44">
        <v>101</v>
      </c>
      <c r="V73" s="44">
        <v>132</v>
      </c>
      <c r="W73" s="44">
        <v>86</v>
      </c>
      <c r="X73" s="7">
        <v>7.6142131979695096E-3</v>
      </c>
      <c r="Y73" s="8">
        <v>4.0302267002518821E-2</v>
      </c>
      <c r="Z73" s="8">
        <v>5.8111380145278391E-2</v>
      </c>
      <c r="AA73" s="8">
        <v>-4.5766590389015871E-3</v>
      </c>
    </row>
    <row r="74" spans="2:27" x14ac:dyDescent="0.3">
      <c r="B74" s="13" t="s">
        <v>173</v>
      </c>
      <c r="C74" s="3" t="s">
        <v>499</v>
      </c>
      <c r="D74" s="3" t="s">
        <v>540</v>
      </c>
      <c r="E74" s="3" t="s">
        <v>503</v>
      </c>
      <c r="F74" s="5">
        <v>-0.5</v>
      </c>
      <c r="G74" s="4">
        <v>-1209</v>
      </c>
      <c r="H74" s="4">
        <v>351</v>
      </c>
      <c r="I74" s="4">
        <v>505</v>
      </c>
      <c r="J74" s="4">
        <v>298</v>
      </c>
      <c r="K74" s="4">
        <v>247</v>
      </c>
      <c r="L74" s="44">
        <v>267</v>
      </c>
      <c r="M74" s="44">
        <v>357</v>
      </c>
      <c r="N74" s="44">
        <v>377</v>
      </c>
      <c r="O74" s="44">
        <v>318</v>
      </c>
      <c r="P74" s="44">
        <v>256</v>
      </c>
      <c r="Q74" s="44">
        <v>381</v>
      </c>
      <c r="R74" s="44">
        <v>425</v>
      </c>
      <c r="S74" s="44">
        <v>386</v>
      </c>
      <c r="T74" s="44">
        <v>358</v>
      </c>
      <c r="U74" s="44">
        <v>442</v>
      </c>
      <c r="V74" s="44">
        <v>448</v>
      </c>
      <c r="W74" s="44">
        <v>378</v>
      </c>
      <c r="X74" s="7">
        <v>7.0441988950276313E-2</v>
      </c>
      <c r="Y74" s="8">
        <v>3.9354838709677382E-2</v>
      </c>
      <c r="Z74" s="8">
        <v>1.4276846679081251E-2</v>
      </c>
      <c r="AA74" s="8">
        <v>-4.8959608323133619E-3</v>
      </c>
    </row>
    <row r="75" spans="2:27" x14ac:dyDescent="0.3">
      <c r="B75" s="13" t="s">
        <v>212</v>
      </c>
      <c r="C75" s="3" t="s">
        <v>499</v>
      </c>
      <c r="D75" s="3" t="s">
        <v>553</v>
      </c>
      <c r="E75" s="3" t="s">
        <v>503</v>
      </c>
      <c r="F75" s="5">
        <v>-0.6</v>
      </c>
      <c r="G75" s="4">
        <v>51.93</v>
      </c>
      <c r="H75" s="4">
        <v>30.61</v>
      </c>
      <c r="I75" s="4">
        <v>60.4</v>
      </c>
      <c r="J75" s="4">
        <v>64.48</v>
      </c>
      <c r="K75" s="4">
        <v>68.06</v>
      </c>
      <c r="L75" s="44">
        <v>43.06</v>
      </c>
      <c r="M75" s="44">
        <v>83.97</v>
      </c>
      <c r="N75" s="44">
        <v>74.83</v>
      </c>
      <c r="O75" s="44">
        <v>64.55</v>
      </c>
      <c r="P75" s="44">
        <v>39.659999999999997</v>
      </c>
      <c r="Q75" s="44">
        <v>86.24</v>
      </c>
      <c r="R75" s="45">
        <v>112.87</v>
      </c>
      <c r="S75" s="44">
        <v>84.34</v>
      </c>
      <c r="T75" s="44">
        <v>51.49</v>
      </c>
      <c r="U75" s="44">
        <v>104.94</v>
      </c>
      <c r="V75" s="44">
        <v>111.53</v>
      </c>
      <c r="W75" s="44">
        <v>82.24</v>
      </c>
      <c r="X75" s="7">
        <v>3.6612918201231803E-2</v>
      </c>
      <c r="Y75" s="8">
        <v>5.5830895085686949E-2</v>
      </c>
      <c r="Z75" s="8">
        <v>-3.789164121705602E-3</v>
      </c>
      <c r="AA75" s="8">
        <v>-5.9608288390576858E-3</v>
      </c>
    </row>
    <row r="76" spans="2:27" x14ac:dyDescent="0.3">
      <c r="B76" s="13" t="s">
        <v>251</v>
      </c>
      <c r="C76" s="3" t="s">
        <v>499</v>
      </c>
      <c r="D76" s="3" t="s">
        <v>540</v>
      </c>
      <c r="E76" s="3" t="s">
        <v>503</v>
      </c>
      <c r="F76" s="5">
        <v>-0.8</v>
      </c>
      <c r="G76" s="4">
        <v>150</v>
      </c>
      <c r="H76" s="4">
        <v>80</v>
      </c>
      <c r="I76" s="4">
        <v>86</v>
      </c>
      <c r="J76" s="4">
        <v>83</v>
      </c>
      <c r="K76" s="4">
        <v>165</v>
      </c>
      <c r="L76" s="44">
        <v>52</v>
      </c>
      <c r="M76" s="44">
        <v>120</v>
      </c>
      <c r="N76" s="45">
        <v>134</v>
      </c>
      <c r="O76" s="44">
        <v>206</v>
      </c>
      <c r="P76" s="44">
        <v>90</v>
      </c>
      <c r="Q76" s="44">
        <v>140</v>
      </c>
      <c r="R76" s="44">
        <v>138</v>
      </c>
      <c r="S76" s="44">
        <v>180</v>
      </c>
      <c r="T76" s="44">
        <v>85</v>
      </c>
      <c r="U76" s="44">
        <v>130</v>
      </c>
      <c r="V76" s="44">
        <v>134</v>
      </c>
      <c r="W76" s="44">
        <v>176</v>
      </c>
      <c r="X76" s="7">
        <v>-9.124087591240837E-3</v>
      </c>
      <c r="Y76" s="8">
        <v>-1.8416206261510078E-2</v>
      </c>
      <c r="Z76" s="8">
        <v>-7.5046904315196894E-3</v>
      </c>
      <c r="AA76" s="8">
        <v>-7.5614366729678251E-3</v>
      </c>
    </row>
    <row r="77" spans="2:27" x14ac:dyDescent="0.3">
      <c r="B77" s="13" t="s">
        <v>78</v>
      </c>
      <c r="C77" s="3" t="s">
        <v>499</v>
      </c>
      <c r="D77" s="3" t="s">
        <v>549</v>
      </c>
      <c r="E77" s="3" t="s">
        <v>522</v>
      </c>
      <c r="F77" s="5">
        <v>-0.8</v>
      </c>
      <c r="G77" s="4">
        <v>213</v>
      </c>
      <c r="H77" s="4">
        <v>714</v>
      </c>
      <c r="I77" s="4">
        <v>650</v>
      </c>
      <c r="J77" s="4">
        <v>989</v>
      </c>
      <c r="K77" s="4">
        <v>424</v>
      </c>
      <c r="L77" s="44">
        <v>723</v>
      </c>
      <c r="M77" s="44">
        <v>535</v>
      </c>
      <c r="N77" s="44">
        <v>769</v>
      </c>
      <c r="O77" s="44">
        <v>242</v>
      </c>
      <c r="P77" s="44">
        <v>789</v>
      </c>
      <c r="Q77" s="44">
        <v>635</v>
      </c>
      <c r="R77" s="44">
        <v>948</v>
      </c>
      <c r="S77" s="45">
        <v>616</v>
      </c>
      <c r="T77" s="44">
        <v>760</v>
      </c>
      <c r="U77" s="44">
        <v>735</v>
      </c>
      <c r="V77" s="44">
        <v>984</v>
      </c>
      <c r="W77" s="44">
        <v>592</v>
      </c>
      <c r="X77" s="7">
        <v>-9.7054886211512814E-3</v>
      </c>
      <c r="Y77" s="8">
        <v>3.3795201081446402E-2</v>
      </c>
      <c r="Z77" s="8">
        <v>1.176855181431846E-2</v>
      </c>
      <c r="AA77" s="8">
        <v>-7.7544426494345897E-3</v>
      </c>
    </row>
    <row r="78" spans="2:27" x14ac:dyDescent="0.3">
      <c r="B78" s="13" t="s">
        <v>89</v>
      </c>
      <c r="C78" s="3" t="s">
        <v>499</v>
      </c>
      <c r="D78" s="3" t="s">
        <v>549</v>
      </c>
      <c r="E78" s="3" t="s">
        <v>522</v>
      </c>
      <c r="F78" s="5">
        <v>-0.8</v>
      </c>
      <c r="G78" s="4">
        <v>213</v>
      </c>
      <c r="H78" s="4">
        <v>714</v>
      </c>
      <c r="I78" s="4">
        <v>650</v>
      </c>
      <c r="J78" s="4">
        <v>989</v>
      </c>
      <c r="K78" s="4">
        <v>424</v>
      </c>
      <c r="L78" s="44">
        <v>723</v>
      </c>
      <c r="M78" s="44">
        <v>535</v>
      </c>
      <c r="N78" s="44">
        <v>769</v>
      </c>
      <c r="O78" s="44">
        <v>242</v>
      </c>
      <c r="P78" s="44">
        <v>789</v>
      </c>
      <c r="Q78" s="44">
        <v>635</v>
      </c>
      <c r="R78" s="44">
        <v>948</v>
      </c>
      <c r="S78" s="45">
        <v>616</v>
      </c>
      <c r="T78" s="44">
        <v>760</v>
      </c>
      <c r="U78" s="44">
        <v>735</v>
      </c>
      <c r="V78" s="44">
        <v>984</v>
      </c>
      <c r="W78" s="44">
        <v>592</v>
      </c>
      <c r="X78" s="7">
        <v>-9.7054886211512814E-3</v>
      </c>
      <c r="Y78" s="8">
        <v>3.3795201081446402E-2</v>
      </c>
      <c r="Z78" s="8">
        <v>1.176855181431846E-2</v>
      </c>
      <c r="AA78" s="8">
        <v>-7.7544426494345897E-3</v>
      </c>
    </row>
    <row r="79" spans="2:27" x14ac:dyDescent="0.3">
      <c r="B79" s="13" t="s">
        <v>115</v>
      </c>
      <c r="C79" s="3" t="s">
        <v>499</v>
      </c>
      <c r="D79" s="3" t="s">
        <v>502</v>
      </c>
      <c r="E79" s="3" t="s">
        <v>503</v>
      </c>
      <c r="F79" s="5">
        <v>-1.1000000000000001</v>
      </c>
      <c r="G79" s="4">
        <v>581</v>
      </c>
      <c r="H79" s="4">
        <v>896</v>
      </c>
      <c r="I79" s="4">
        <v>438</v>
      </c>
      <c r="J79" s="4">
        <v>627</v>
      </c>
      <c r="K79" s="4">
        <v>569</v>
      </c>
      <c r="L79" s="44">
        <v>828</v>
      </c>
      <c r="M79" s="45">
        <v>963</v>
      </c>
      <c r="N79" s="44">
        <v>646</v>
      </c>
      <c r="O79" s="44">
        <v>835</v>
      </c>
      <c r="P79" s="44">
        <v>498</v>
      </c>
      <c r="Q79" s="44">
        <v>277</v>
      </c>
      <c r="R79" s="44">
        <v>397</v>
      </c>
      <c r="S79" s="44">
        <v>391</v>
      </c>
      <c r="T79" s="44">
        <v>249</v>
      </c>
      <c r="U79" s="44">
        <v>358</v>
      </c>
      <c r="V79" s="44">
        <v>486</v>
      </c>
      <c r="W79" s="44">
        <v>374</v>
      </c>
      <c r="X79" s="7">
        <v>-0.15930902111324369</v>
      </c>
      <c r="Y79" s="8">
        <v>6.164383561643838E-2</v>
      </c>
      <c r="Z79" s="8">
        <v>6.3799283154121866E-2</v>
      </c>
      <c r="AA79" s="8">
        <v>-1.145552560646901E-2</v>
      </c>
    </row>
    <row r="80" spans="2:27" x14ac:dyDescent="0.3">
      <c r="B80" s="13" t="s">
        <v>257</v>
      </c>
      <c r="C80" s="3" t="s">
        <v>499</v>
      </c>
      <c r="D80" s="3" t="s">
        <v>511</v>
      </c>
      <c r="E80" s="3" t="s">
        <v>503</v>
      </c>
      <c r="F80" s="5">
        <v>-1.3</v>
      </c>
      <c r="G80" s="4">
        <v>153.11000000000001</v>
      </c>
      <c r="H80" s="4">
        <v>89.43</v>
      </c>
      <c r="I80" s="4">
        <v>62.2</v>
      </c>
      <c r="J80" s="4">
        <v>35.049999999999997</v>
      </c>
      <c r="K80" s="4">
        <v>29.43</v>
      </c>
      <c r="L80" s="44">
        <v>-1.39</v>
      </c>
      <c r="M80" s="44">
        <v>-9.59</v>
      </c>
      <c r="N80" s="44">
        <v>-20.03</v>
      </c>
      <c r="O80" s="45">
        <v>-8.1999999999999993</v>
      </c>
      <c r="P80" s="44">
        <v>5.8</v>
      </c>
      <c r="Q80" s="44">
        <v>20.07</v>
      </c>
      <c r="R80" s="44">
        <v>15.56</v>
      </c>
      <c r="S80" s="45">
        <v>131.51</v>
      </c>
      <c r="T80" s="45">
        <v>36.909999999999997</v>
      </c>
      <c r="U80" s="45">
        <v>60.63</v>
      </c>
      <c r="V80" s="45">
        <v>48.31</v>
      </c>
      <c r="W80" s="44">
        <v>128.01</v>
      </c>
      <c r="X80" s="10">
        <v>0.17988897883659069</v>
      </c>
      <c r="Y80" s="9">
        <v>0.19877481009556491</v>
      </c>
      <c r="Z80" s="9">
        <v>0.1338865949879402</v>
      </c>
      <c r="AA80" s="8">
        <v>-1.261897894433228E-2</v>
      </c>
    </row>
    <row r="81" spans="2:27" x14ac:dyDescent="0.3">
      <c r="B81" s="13" t="s">
        <v>24</v>
      </c>
      <c r="C81" s="3" t="s">
        <v>499</v>
      </c>
      <c r="D81" s="3" t="s">
        <v>504</v>
      </c>
      <c r="E81" s="3" t="s">
        <v>501</v>
      </c>
      <c r="F81" s="5">
        <v>-1.5</v>
      </c>
      <c r="G81" s="4">
        <v>3864</v>
      </c>
      <c r="H81" s="4">
        <v>3858</v>
      </c>
      <c r="I81" s="4">
        <v>3413</v>
      </c>
      <c r="J81" s="4">
        <v>0</v>
      </c>
      <c r="K81" s="4">
        <v>2545</v>
      </c>
      <c r="L81" s="44">
        <v>2298</v>
      </c>
      <c r="M81" s="44">
        <v>1823</v>
      </c>
      <c r="N81" s="45">
        <v>2272</v>
      </c>
      <c r="O81" s="44">
        <v>2928</v>
      </c>
      <c r="P81" s="44">
        <v>2340</v>
      </c>
      <c r="Q81" s="44">
        <v>2221</v>
      </c>
      <c r="R81" s="44">
        <v>2764</v>
      </c>
      <c r="S81" s="44">
        <v>3555</v>
      </c>
      <c r="T81" s="44">
        <v>3120</v>
      </c>
      <c r="U81" s="44">
        <v>2762</v>
      </c>
      <c r="V81" s="44">
        <v>2957</v>
      </c>
      <c r="W81" s="44">
        <v>3366</v>
      </c>
      <c r="X81" s="7">
        <v>7.1691176470588314E-2</v>
      </c>
      <c r="Y81" s="8">
        <v>4.6397941680960557E-2</v>
      </c>
      <c r="Z81" s="8">
        <v>1.5818375542988369E-2</v>
      </c>
      <c r="AA81" s="8">
        <v>-1.524931418428277E-2</v>
      </c>
    </row>
    <row r="82" spans="2:27" x14ac:dyDescent="0.3">
      <c r="B82" s="13" t="s">
        <v>186</v>
      </c>
      <c r="C82" s="3" t="s">
        <v>499</v>
      </c>
      <c r="D82" s="3" t="s">
        <v>517</v>
      </c>
      <c r="E82" s="3" t="s">
        <v>503</v>
      </c>
      <c r="F82" s="5">
        <v>-1.5</v>
      </c>
      <c r="G82" s="4">
        <v>55.8</v>
      </c>
      <c r="H82" s="4">
        <v>186.5</v>
      </c>
      <c r="I82" s="4">
        <v>195.4</v>
      </c>
      <c r="J82" s="4">
        <v>198.9</v>
      </c>
      <c r="K82" s="6">
        <v>155.80000000000001</v>
      </c>
      <c r="L82" s="44">
        <v>139.19999999999999</v>
      </c>
      <c r="M82" s="44">
        <v>187.3</v>
      </c>
      <c r="N82" s="44">
        <v>170.9</v>
      </c>
      <c r="O82" s="44">
        <v>219.8</v>
      </c>
      <c r="P82" s="44">
        <v>154</v>
      </c>
      <c r="Q82" s="44">
        <v>187.9</v>
      </c>
      <c r="R82" s="44">
        <v>188.2</v>
      </c>
      <c r="S82" s="44">
        <v>179.9</v>
      </c>
      <c r="T82" s="44">
        <v>163.30000000000001</v>
      </c>
      <c r="U82" s="44">
        <v>177.1</v>
      </c>
      <c r="V82" s="44">
        <v>191</v>
      </c>
      <c r="W82" s="44">
        <v>169</v>
      </c>
      <c r="X82" s="7">
        <v>1.30985915492956E-2</v>
      </c>
      <c r="Y82" s="8">
        <v>-1.501459752537182E-2</v>
      </c>
      <c r="Z82" s="8">
        <v>3.952011291460833E-3</v>
      </c>
      <c r="AA82" s="8">
        <v>-1.532405454801067E-2</v>
      </c>
    </row>
    <row r="83" spans="2:27" x14ac:dyDescent="0.3">
      <c r="B83" s="13" t="s">
        <v>267</v>
      </c>
      <c r="C83" s="3" t="s">
        <v>499</v>
      </c>
      <c r="D83" s="3" t="s">
        <v>540</v>
      </c>
      <c r="E83" s="3" t="s">
        <v>503</v>
      </c>
      <c r="F83" s="5">
        <v>-1.6</v>
      </c>
      <c r="G83" s="4">
        <v>135.68</v>
      </c>
      <c r="H83" s="4">
        <v>144.77000000000001</v>
      </c>
      <c r="I83" s="4">
        <v>136.25</v>
      </c>
      <c r="J83" s="4">
        <v>222.14</v>
      </c>
      <c r="K83" s="4">
        <v>147.69</v>
      </c>
      <c r="L83" s="44">
        <v>135.35</v>
      </c>
      <c r="M83" s="44">
        <v>146.66</v>
      </c>
      <c r="N83" s="44">
        <v>200.52</v>
      </c>
      <c r="O83" s="44">
        <v>121.32</v>
      </c>
      <c r="P83" s="44">
        <v>123.41</v>
      </c>
      <c r="Q83" s="44">
        <v>148.71</v>
      </c>
      <c r="R83" s="44">
        <v>193.88</v>
      </c>
      <c r="S83" s="44">
        <v>144.05000000000001</v>
      </c>
      <c r="T83" s="44">
        <v>141.5</v>
      </c>
      <c r="U83" s="44">
        <v>177.4</v>
      </c>
      <c r="V83" s="44">
        <v>205.85</v>
      </c>
      <c r="W83" s="44">
        <v>133.6</v>
      </c>
      <c r="X83" s="7">
        <v>2.9653307105975021E-2</v>
      </c>
      <c r="Y83" s="8">
        <v>4.5674531155474929E-2</v>
      </c>
      <c r="Z83" s="8">
        <v>1.8223893549320191E-2</v>
      </c>
      <c r="AA83" s="8">
        <v>-1.5624999999999891E-2</v>
      </c>
    </row>
    <row r="84" spans="2:27" x14ac:dyDescent="0.3">
      <c r="B84" s="13" t="s">
        <v>235</v>
      </c>
      <c r="C84" s="3" t="s">
        <v>499</v>
      </c>
      <c r="D84" s="3" t="s">
        <v>534</v>
      </c>
      <c r="E84" s="3" t="s">
        <v>503</v>
      </c>
      <c r="F84" s="5">
        <v>-1.9</v>
      </c>
      <c r="G84" s="4">
        <v>100.6</v>
      </c>
      <c r="H84" s="4">
        <v>175.2</v>
      </c>
      <c r="I84" s="4">
        <v>178</v>
      </c>
      <c r="J84" s="4">
        <v>165</v>
      </c>
      <c r="K84" s="4">
        <v>141.69999999999999</v>
      </c>
      <c r="L84" s="44">
        <v>217.7</v>
      </c>
      <c r="M84" s="44">
        <v>206.7</v>
      </c>
      <c r="N84" s="44">
        <v>165.2</v>
      </c>
      <c r="O84" s="44">
        <v>95.6</v>
      </c>
      <c r="P84" s="44">
        <v>188.4</v>
      </c>
      <c r="Q84" s="44">
        <v>171.1</v>
      </c>
      <c r="R84" s="44">
        <v>135</v>
      </c>
      <c r="S84" s="44">
        <v>116.3</v>
      </c>
      <c r="T84" s="44">
        <v>154.6</v>
      </c>
      <c r="U84" s="44">
        <v>151.6</v>
      </c>
      <c r="V84" s="44">
        <v>142.9</v>
      </c>
      <c r="W84" s="44">
        <v>105.8</v>
      </c>
      <c r="X84" s="7">
        <v>-5.5337262606417692E-2</v>
      </c>
      <c r="Y84" s="8">
        <v>-3.3795493934142162E-2</v>
      </c>
      <c r="Z84" s="8">
        <v>1.417040358744392E-2</v>
      </c>
      <c r="AA84" s="8">
        <v>-1.8570923240183949E-2</v>
      </c>
    </row>
    <row r="85" spans="2:27" x14ac:dyDescent="0.3">
      <c r="B85" s="13" t="s">
        <v>158</v>
      </c>
      <c r="C85" s="3" t="s">
        <v>499</v>
      </c>
      <c r="D85" s="3" t="s">
        <v>540</v>
      </c>
      <c r="E85" s="3" t="s">
        <v>503</v>
      </c>
      <c r="F85" s="5">
        <v>-2.1</v>
      </c>
      <c r="G85" s="4">
        <v>236.3</v>
      </c>
      <c r="H85" s="4">
        <v>286.3</v>
      </c>
      <c r="I85" s="4">
        <v>310.8</v>
      </c>
      <c r="J85" s="4">
        <v>288.39999999999998</v>
      </c>
      <c r="K85" s="4">
        <v>202.7</v>
      </c>
      <c r="L85" s="44">
        <v>207.9</v>
      </c>
      <c r="M85" s="44">
        <v>233.8</v>
      </c>
      <c r="N85" s="44">
        <v>261</v>
      </c>
      <c r="O85" s="44">
        <v>263.3</v>
      </c>
      <c r="P85" s="44">
        <v>267</v>
      </c>
      <c r="Q85" s="44">
        <v>288.8</v>
      </c>
      <c r="R85" s="44">
        <v>279.7</v>
      </c>
      <c r="S85" s="44">
        <v>306</v>
      </c>
      <c r="T85" s="44">
        <v>274.5</v>
      </c>
      <c r="U85" s="44">
        <v>286.7</v>
      </c>
      <c r="V85" s="44">
        <v>281.10000000000002</v>
      </c>
      <c r="W85" s="44">
        <v>281.5</v>
      </c>
      <c r="X85" s="7">
        <v>6.5703022339027584E-3</v>
      </c>
      <c r="Y85" s="8">
        <v>-1.8276762402088529E-3</v>
      </c>
      <c r="Z85" s="8">
        <v>1.2206818379980611E-3</v>
      </c>
      <c r="AA85" s="8">
        <v>-2.1335887834189719E-2</v>
      </c>
    </row>
    <row r="86" spans="2:27" x14ac:dyDescent="0.3">
      <c r="B86" s="13" t="s">
        <v>76</v>
      </c>
      <c r="C86" s="3" t="s">
        <v>499</v>
      </c>
      <c r="D86" s="3" t="s">
        <v>560</v>
      </c>
      <c r="E86" s="3" t="s">
        <v>503</v>
      </c>
      <c r="F86" s="5">
        <v>-2.1</v>
      </c>
      <c r="G86" s="4">
        <v>372.49</v>
      </c>
      <c r="H86" s="4">
        <v>405.62</v>
      </c>
      <c r="I86" s="4">
        <v>508.71</v>
      </c>
      <c r="J86" s="4">
        <v>496.08</v>
      </c>
      <c r="K86" s="4">
        <v>430.23</v>
      </c>
      <c r="L86" s="44">
        <v>383.05</v>
      </c>
      <c r="M86" s="44">
        <v>391.59</v>
      </c>
      <c r="N86" s="44">
        <v>445.02</v>
      </c>
      <c r="O86" s="44">
        <v>421.01</v>
      </c>
      <c r="P86" s="44">
        <v>386.43</v>
      </c>
      <c r="Q86" s="44">
        <v>421.69</v>
      </c>
      <c r="R86" s="44">
        <v>401.86</v>
      </c>
      <c r="S86" s="44">
        <v>334.02</v>
      </c>
      <c r="T86" s="44">
        <v>338.06</v>
      </c>
      <c r="U86" s="44">
        <v>357.9</v>
      </c>
      <c r="V86" s="44">
        <v>360.84</v>
      </c>
      <c r="W86" s="44">
        <v>304.25</v>
      </c>
      <c r="X86" s="7">
        <v>-3.1327720207253829E-2</v>
      </c>
      <c r="Y86" s="8">
        <v>-4.2650923022405363E-2</v>
      </c>
      <c r="Z86" s="8">
        <v>-2.8648452341043629E-2</v>
      </c>
      <c r="AA86" s="8">
        <v>-2.140463898994838E-2</v>
      </c>
    </row>
    <row r="87" spans="2:27" x14ac:dyDescent="0.3">
      <c r="B87" s="13" t="s">
        <v>71</v>
      </c>
      <c r="C87" s="3" t="s">
        <v>499</v>
      </c>
      <c r="D87" s="3" t="s">
        <v>562</v>
      </c>
      <c r="E87" s="3" t="s">
        <v>503</v>
      </c>
      <c r="F87" s="5">
        <v>-2.6</v>
      </c>
      <c r="G87" s="4">
        <v>535</v>
      </c>
      <c r="H87" s="4">
        <v>632</v>
      </c>
      <c r="I87" s="4">
        <v>603</v>
      </c>
      <c r="J87" s="4">
        <v>605</v>
      </c>
      <c r="K87" s="4">
        <v>621</v>
      </c>
      <c r="L87" s="44">
        <v>628</v>
      </c>
      <c r="M87" s="44">
        <v>690</v>
      </c>
      <c r="N87" s="44">
        <v>566</v>
      </c>
      <c r="O87" s="44">
        <v>604</v>
      </c>
      <c r="P87" s="44">
        <v>537</v>
      </c>
      <c r="Q87" s="44">
        <v>517</v>
      </c>
      <c r="R87" s="44">
        <v>572</v>
      </c>
      <c r="S87" s="44">
        <v>582</v>
      </c>
      <c r="T87" s="44">
        <v>523</v>
      </c>
      <c r="U87" s="44">
        <v>508</v>
      </c>
      <c r="V87" s="44">
        <v>528</v>
      </c>
      <c r="W87" s="44">
        <v>527</v>
      </c>
      <c r="X87" s="7">
        <v>-6.3405797101449002E-3</v>
      </c>
      <c r="Y87" s="8">
        <v>-4.1020966271649861E-3</v>
      </c>
      <c r="Z87" s="8">
        <v>-2.0137299771167069E-2</v>
      </c>
      <c r="AA87" s="8">
        <v>-2.5688930406352121E-2</v>
      </c>
    </row>
    <row r="88" spans="2:27" x14ac:dyDescent="0.3">
      <c r="B88" s="13" t="s">
        <v>99</v>
      </c>
      <c r="C88" s="3" t="s">
        <v>499</v>
      </c>
      <c r="D88" s="3" t="s">
        <v>548</v>
      </c>
      <c r="E88" s="3" t="s">
        <v>503</v>
      </c>
      <c r="F88" s="5">
        <v>-2.6</v>
      </c>
      <c r="G88" s="4">
        <v>159.59</v>
      </c>
      <c r="H88" s="4">
        <v>172.01</v>
      </c>
      <c r="I88" s="4">
        <v>196.96</v>
      </c>
      <c r="J88" s="4">
        <v>243.45</v>
      </c>
      <c r="K88" s="4">
        <v>178.65</v>
      </c>
      <c r="L88" s="44">
        <v>215.08</v>
      </c>
      <c r="M88" s="44">
        <v>232.92</v>
      </c>
      <c r="N88" s="44">
        <v>205.58</v>
      </c>
      <c r="O88" s="44">
        <v>250.5</v>
      </c>
      <c r="P88" s="44">
        <v>233.16</v>
      </c>
      <c r="Q88" s="44">
        <v>230.83</v>
      </c>
      <c r="R88" s="44">
        <v>227.41</v>
      </c>
      <c r="S88" s="44">
        <v>234.91</v>
      </c>
      <c r="T88" s="44">
        <v>239.83</v>
      </c>
      <c r="U88" s="44">
        <v>233.99</v>
      </c>
      <c r="V88" s="44">
        <v>224.56</v>
      </c>
      <c r="W88" s="44">
        <v>210.53</v>
      </c>
      <c r="X88" s="7">
        <v>7.2006131856505728E-3</v>
      </c>
      <c r="Y88" s="8">
        <v>3.386996505819972E-3</v>
      </c>
      <c r="Z88" s="8">
        <v>-3.0444164334394448E-3</v>
      </c>
      <c r="AA88" s="8">
        <v>-2.612264140835097E-2</v>
      </c>
    </row>
    <row r="89" spans="2:27" x14ac:dyDescent="0.3">
      <c r="B89" s="13" t="s">
        <v>241</v>
      </c>
      <c r="C89" s="3" t="s">
        <v>499</v>
      </c>
      <c r="D89" s="3" t="s">
        <v>552</v>
      </c>
      <c r="E89" s="3" t="s">
        <v>509</v>
      </c>
      <c r="F89" s="5">
        <v>-3.1</v>
      </c>
      <c r="G89" s="4">
        <v>53.35</v>
      </c>
      <c r="H89" s="4">
        <v>57.31</v>
      </c>
      <c r="I89" s="4">
        <v>58.33</v>
      </c>
      <c r="J89" s="4">
        <v>58.96</v>
      </c>
      <c r="K89" s="6">
        <v>78.25</v>
      </c>
      <c r="L89" s="45">
        <v>100</v>
      </c>
      <c r="M89" s="45">
        <v>98.82</v>
      </c>
      <c r="N89" s="45">
        <v>95.82</v>
      </c>
      <c r="O89" s="45">
        <v>120.59</v>
      </c>
      <c r="P89" s="44">
        <v>96.7</v>
      </c>
      <c r="Q89" s="44">
        <v>97.14</v>
      </c>
      <c r="R89" s="44">
        <v>103.36</v>
      </c>
      <c r="S89" s="44">
        <v>144.82</v>
      </c>
      <c r="T89" s="45">
        <v>143.30000000000001</v>
      </c>
      <c r="U89" s="44">
        <v>92.18</v>
      </c>
      <c r="V89" s="44">
        <v>112.96</v>
      </c>
      <c r="W89" s="44">
        <v>129.69999999999999</v>
      </c>
      <c r="X89" s="10">
        <v>0.1054250938871544</v>
      </c>
      <c r="Y89" s="8">
        <v>-1.0151037616143331E-2</v>
      </c>
      <c r="Z89" s="8">
        <v>1.9848654013149721E-2</v>
      </c>
      <c r="AA89" s="8">
        <v>-3.0653205206179309E-2</v>
      </c>
    </row>
    <row r="90" spans="2:27" x14ac:dyDescent="0.3">
      <c r="B90" s="13" t="s">
        <v>93</v>
      </c>
      <c r="C90" s="3" t="s">
        <v>499</v>
      </c>
      <c r="D90" s="3" t="s">
        <v>536</v>
      </c>
      <c r="E90" s="3" t="s">
        <v>503</v>
      </c>
      <c r="F90" s="5">
        <v>-3.3</v>
      </c>
      <c r="G90" s="4">
        <v>252.4</v>
      </c>
      <c r="H90" s="4">
        <v>332.4</v>
      </c>
      <c r="I90" s="4">
        <v>304.60000000000002</v>
      </c>
      <c r="J90" s="4">
        <v>242.9</v>
      </c>
      <c r="K90" s="4">
        <v>209.3</v>
      </c>
      <c r="L90" s="44">
        <v>205.4</v>
      </c>
      <c r="M90" s="44">
        <v>236.9</v>
      </c>
      <c r="N90" s="44">
        <v>244.1</v>
      </c>
      <c r="O90" s="44">
        <v>262.8</v>
      </c>
      <c r="P90" s="44">
        <v>224.7</v>
      </c>
      <c r="Q90" s="44">
        <v>282.2</v>
      </c>
      <c r="R90" s="44">
        <v>288.7</v>
      </c>
      <c r="S90" s="44">
        <v>322.8</v>
      </c>
      <c r="T90" s="44">
        <v>235.8</v>
      </c>
      <c r="U90" s="44">
        <v>310.8</v>
      </c>
      <c r="V90" s="44">
        <v>308.2</v>
      </c>
      <c r="W90" s="44">
        <v>284.2</v>
      </c>
      <c r="X90" s="7">
        <v>9.9248927038626533E-3</v>
      </c>
      <c r="Y90" s="8">
        <v>2.5320938468348819E-2</v>
      </c>
      <c r="Z90" s="8">
        <v>1.6837924186166919E-2</v>
      </c>
      <c r="AA90" s="8">
        <v>-3.2778532608695572E-2</v>
      </c>
    </row>
    <row r="91" spans="2:27" x14ac:dyDescent="0.3">
      <c r="B91" s="13" t="s">
        <v>194</v>
      </c>
      <c r="C91" s="3" t="s">
        <v>499</v>
      </c>
      <c r="D91" s="3" t="s">
        <v>544</v>
      </c>
      <c r="E91" s="3" t="s">
        <v>503</v>
      </c>
      <c r="F91" s="5">
        <v>-3.5</v>
      </c>
      <c r="G91" s="4">
        <v>220.89</v>
      </c>
      <c r="H91" s="4">
        <v>198.08</v>
      </c>
      <c r="I91" s="4">
        <v>188.2</v>
      </c>
      <c r="J91" s="4">
        <v>143.66</v>
      </c>
      <c r="K91" s="4">
        <v>124.11</v>
      </c>
      <c r="L91" s="44">
        <v>133.52000000000001</v>
      </c>
      <c r="M91" s="44">
        <v>171.93</v>
      </c>
      <c r="N91" s="44">
        <v>166.35</v>
      </c>
      <c r="O91" s="45">
        <v>185.56</v>
      </c>
      <c r="P91" s="44">
        <v>153.97999999999999</v>
      </c>
      <c r="Q91" s="44">
        <v>178.17</v>
      </c>
      <c r="R91" s="44">
        <v>162.36000000000001</v>
      </c>
      <c r="S91" s="44">
        <v>180.89</v>
      </c>
      <c r="T91" s="44">
        <v>137.33000000000001</v>
      </c>
      <c r="U91" s="44">
        <v>163.03</v>
      </c>
      <c r="V91" s="44">
        <v>156.06</v>
      </c>
      <c r="W91" s="44">
        <v>158.88</v>
      </c>
      <c r="X91" s="7">
        <v>-2.465205803968018E-2</v>
      </c>
      <c r="Y91" s="8">
        <v>-2.2982922201138511E-2</v>
      </c>
      <c r="Z91" s="8">
        <v>-9.7885365361011223E-3</v>
      </c>
      <c r="AA91" s="8">
        <v>-3.4535783213820559E-2</v>
      </c>
    </row>
    <row r="92" spans="2:27" x14ac:dyDescent="0.3">
      <c r="B92" s="13" t="s">
        <v>371</v>
      </c>
      <c r="C92" s="3" t="s">
        <v>499</v>
      </c>
      <c r="D92" s="3" t="s">
        <v>561</v>
      </c>
      <c r="E92" s="3" t="s">
        <v>503</v>
      </c>
      <c r="F92" s="5">
        <v>-3.9</v>
      </c>
      <c r="G92" s="4">
        <v>327.7</v>
      </c>
      <c r="H92" s="4">
        <v>312.39999999999998</v>
      </c>
      <c r="I92" s="4">
        <v>316.7</v>
      </c>
      <c r="J92" s="4">
        <v>219.6</v>
      </c>
      <c r="K92" s="4">
        <v>388.7</v>
      </c>
      <c r="L92" s="44">
        <v>317</v>
      </c>
      <c r="M92" s="44">
        <v>139.5</v>
      </c>
      <c r="N92" s="44">
        <v>129</v>
      </c>
      <c r="O92" s="44">
        <v>93.7</v>
      </c>
      <c r="P92" s="44">
        <v>114.9</v>
      </c>
      <c r="Q92" s="44">
        <v>157.4</v>
      </c>
      <c r="R92" s="44">
        <v>158.19999999999999</v>
      </c>
      <c r="S92" s="45">
        <v>204.6</v>
      </c>
      <c r="T92" s="44">
        <v>76</v>
      </c>
      <c r="U92" s="44">
        <v>163.1</v>
      </c>
      <c r="V92" s="44">
        <v>-101.8</v>
      </c>
      <c r="W92" s="44">
        <v>191.4</v>
      </c>
      <c r="X92" s="7">
        <v>-6.1250196819398472E-2</v>
      </c>
      <c r="Y92" s="8">
        <v>9.5605501509559154E-3</v>
      </c>
      <c r="Z92" s="8">
        <v>-0.43196544276457882</v>
      </c>
      <c r="AA92" s="8">
        <v>-3.8607780052646978E-2</v>
      </c>
    </row>
    <row r="93" spans="2:27" x14ac:dyDescent="0.3">
      <c r="B93" s="13" t="s">
        <v>359</v>
      </c>
      <c r="C93" s="3" t="s">
        <v>499</v>
      </c>
      <c r="D93" s="3" t="s">
        <v>559</v>
      </c>
      <c r="E93" s="3" t="s">
        <v>501</v>
      </c>
      <c r="F93" s="5">
        <v>-4.3</v>
      </c>
      <c r="G93" s="4">
        <v>26.21</v>
      </c>
      <c r="H93" s="4">
        <v>106.85</v>
      </c>
      <c r="I93" s="4">
        <v>114.08</v>
      </c>
      <c r="J93" s="4">
        <v>12.9</v>
      </c>
      <c r="K93" s="4">
        <v>0.41</v>
      </c>
      <c r="L93" s="44">
        <v>78.040000000000006</v>
      </c>
      <c r="M93" s="45">
        <v>136.75</v>
      </c>
      <c r="N93" s="44">
        <v>1</v>
      </c>
      <c r="O93" s="44">
        <v>8.41</v>
      </c>
      <c r="P93" s="44">
        <v>98.72</v>
      </c>
      <c r="Q93" s="44">
        <v>127.05</v>
      </c>
      <c r="R93" s="44">
        <v>-11.36</v>
      </c>
      <c r="S93" s="44">
        <v>27.99</v>
      </c>
      <c r="T93" s="44">
        <v>98.66</v>
      </c>
      <c r="U93" s="44">
        <v>139.04</v>
      </c>
      <c r="V93" s="44">
        <v>0.37</v>
      </c>
      <c r="W93" s="44">
        <v>16.53</v>
      </c>
      <c r="X93" s="7">
        <v>-2.4752475247524769E-4</v>
      </c>
      <c r="Y93" s="8">
        <v>4.9475942890154327E-2</v>
      </c>
      <c r="Z93" s="8">
        <v>4.6121181142610101E-2</v>
      </c>
      <c r="AA93" s="8">
        <v>-4.3072991054649352E-2</v>
      </c>
    </row>
    <row r="94" spans="2:27" x14ac:dyDescent="0.3">
      <c r="B94" s="13" t="s">
        <v>49</v>
      </c>
      <c r="C94" s="3" t="s">
        <v>499</v>
      </c>
      <c r="D94" s="3" t="s">
        <v>558</v>
      </c>
      <c r="E94" s="3" t="s">
        <v>503</v>
      </c>
      <c r="F94" s="5">
        <v>-6.1</v>
      </c>
      <c r="G94" s="4">
        <v>14304</v>
      </c>
      <c r="H94" s="4">
        <v>17737</v>
      </c>
      <c r="I94" s="4">
        <v>17651</v>
      </c>
      <c r="J94" s="4">
        <v>24127</v>
      </c>
      <c r="K94" s="4">
        <v>14571</v>
      </c>
      <c r="L94" s="44">
        <v>12506</v>
      </c>
      <c r="M94" s="44">
        <v>7061</v>
      </c>
      <c r="N94" s="44">
        <v>8297</v>
      </c>
      <c r="O94" s="44">
        <v>8174</v>
      </c>
      <c r="P94" s="44">
        <v>7592</v>
      </c>
      <c r="Q94" s="44">
        <v>7547</v>
      </c>
      <c r="R94" s="44">
        <v>6768</v>
      </c>
      <c r="S94" s="44">
        <v>7210</v>
      </c>
      <c r="T94" s="44">
        <v>8483</v>
      </c>
      <c r="U94" s="44">
        <v>6660</v>
      </c>
      <c r="V94" s="44">
        <v>5989</v>
      </c>
      <c r="W94" s="44">
        <v>5486</v>
      </c>
      <c r="X94" s="7">
        <v>3.0600680015111511E-2</v>
      </c>
      <c r="Y94" s="8">
        <v>-2.9558784324180239E-2</v>
      </c>
      <c r="Z94" s="8">
        <v>-2.675045499811135E-2</v>
      </c>
      <c r="AA94" s="8">
        <v>-6.0828452473361112E-2</v>
      </c>
    </row>
    <row r="95" spans="2:27" x14ac:dyDescent="0.3">
      <c r="B95" s="13" t="s">
        <v>399</v>
      </c>
      <c r="C95" s="3" t="s">
        <v>499</v>
      </c>
      <c r="D95" s="3" t="s">
        <v>516</v>
      </c>
      <c r="E95" s="3" t="s">
        <v>503</v>
      </c>
      <c r="F95" s="5">
        <v>-6.6</v>
      </c>
      <c r="G95" s="4">
        <v>11.85</v>
      </c>
      <c r="H95" s="4">
        <v>8</v>
      </c>
      <c r="I95" s="4">
        <v>13.14</v>
      </c>
      <c r="J95" s="4">
        <v>15.67</v>
      </c>
      <c r="K95" s="4">
        <v>16.27</v>
      </c>
      <c r="L95" s="44">
        <v>6.17</v>
      </c>
      <c r="M95" s="44">
        <v>12.27</v>
      </c>
      <c r="N95" s="44">
        <v>2.21</v>
      </c>
      <c r="O95" s="44">
        <v>18.010000000000002</v>
      </c>
      <c r="P95" s="44">
        <v>7.21</v>
      </c>
      <c r="Q95" s="44">
        <v>7.92</v>
      </c>
      <c r="R95" s="45">
        <v>10.44</v>
      </c>
      <c r="S95" s="44">
        <v>18.399999999999999</v>
      </c>
      <c r="T95" s="44">
        <v>9.08</v>
      </c>
      <c r="U95" s="44">
        <v>10.31</v>
      </c>
      <c r="V95" s="44">
        <v>12.99</v>
      </c>
      <c r="W95" s="44">
        <v>15.06</v>
      </c>
      <c r="X95" s="7">
        <v>4.2528997043438599E-2</v>
      </c>
      <c r="Y95" s="8">
        <v>5.2137870855148323E-2</v>
      </c>
      <c r="Z95" s="8">
        <v>5.2871656645241627E-2</v>
      </c>
      <c r="AA95" s="8">
        <v>-6.5773926742812239E-2</v>
      </c>
    </row>
    <row r="96" spans="2:27" x14ac:dyDescent="0.3">
      <c r="B96" s="13" t="s">
        <v>363</v>
      </c>
      <c r="C96" s="3" t="s">
        <v>499</v>
      </c>
      <c r="D96" s="3" t="s">
        <v>543</v>
      </c>
      <c r="E96" s="3" t="s">
        <v>503</v>
      </c>
      <c r="F96" s="5">
        <v>-6.7</v>
      </c>
      <c r="G96" s="4">
        <v>95.5</v>
      </c>
      <c r="H96" s="4">
        <v>100.6</v>
      </c>
      <c r="I96" s="4">
        <v>110.1</v>
      </c>
      <c r="J96" s="4">
        <v>108.4</v>
      </c>
      <c r="K96" s="4">
        <v>90.4</v>
      </c>
      <c r="L96" s="44">
        <v>84.2</v>
      </c>
      <c r="M96" s="44">
        <v>97.9</v>
      </c>
      <c r="N96" s="44">
        <v>98.6</v>
      </c>
      <c r="O96" s="44">
        <v>83.4</v>
      </c>
      <c r="P96" s="44">
        <v>72.099999999999994</v>
      </c>
      <c r="Q96" s="44">
        <v>81.599999999999994</v>
      </c>
      <c r="R96" s="44">
        <v>78.900000000000006</v>
      </c>
      <c r="S96" s="44">
        <v>74.2</v>
      </c>
      <c r="T96" s="44">
        <v>54.3</v>
      </c>
      <c r="U96" s="44">
        <v>67.900000000000006</v>
      </c>
      <c r="V96" s="44">
        <v>72.099999999999994</v>
      </c>
      <c r="W96" s="44">
        <v>56.2</v>
      </c>
      <c r="X96" s="7">
        <v>-5.8018252933507153E-2</v>
      </c>
      <c r="Y96" s="8">
        <v>-4.7404844290657389E-2</v>
      </c>
      <c r="Z96" s="8">
        <v>-2.470032691609159E-2</v>
      </c>
      <c r="AA96" s="8">
        <v>-6.7039106145251437E-2</v>
      </c>
    </row>
    <row r="97" spans="2:27" x14ac:dyDescent="0.3">
      <c r="B97" s="13" t="s">
        <v>129</v>
      </c>
      <c r="C97" s="3" t="s">
        <v>499</v>
      </c>
      <c r="D97" s="3" t="s">
        <v>527</v>
      </c>
      <c r="E97" s="3" t="s">
        <v>503</v>
      </c>
      <c r="F97" s="5">
        <v>-7.7</v>
      </c>
      <c r="G97" s="4">
        <v>218.1</v>
      </c>
      <c r="H97" s="4">
        <v>212.3</v>
      </c>
      <c r="I97" s="4">
        <v>248.5</v>
      </c>
      <c r="J97" s="4">
        <v>253</v>
      </c>
      <c r="K97" s="4">
        <v>291.89999999999998</v>
      </c>
      <c r="L97" s="44">
        <v>240.4</v>
      </c>
      <c r="M97" s="44">
        <v>291.3</v>
      </c>
      <c r="N97" s="44">
        <v>291.10000000000002</v>
      </c>
      <c r="O97" s="44">
        <v>308</v>
      </c>
      <c r="P97" s="44">
        <v>239.1</v>
      </c>
      <c r="Q97" s="44">
        <v>0</v>
      </c>
      <c r="R97" s="44">
        <v>172</v>
      </c>
      <c r="S97" s="44">
        <v>277.2</v>
      </c>
      <c r="T97" s="44">
        <v>233.6</v>
      </c>
      <c r="U97" s="44">
        <v>0</v>
      </c>
      <c r="V97" s="44">
        <v>159.6</v>
      </c>
      <c r="W97" s="44">
        <v>225.5</v>
      </c>
      <c r="X97" s="7">
        <v>-7.9907017288972648E-3</v>
      </c>
      <c r="Y97" s="8">
        <v>0</v>
      </c>
      <c r="Z97" s="8">
        <v>-1.8160515524311641E-2</v>
      </c>
      <c r="AA97" s="8">
        <v>-7.7118138424820848E-2</v>
      </c>
    </row>
    <row r="98" spans="2:27" x14ac:dyDescent="0.3">
      <c r="B98" s="13" t="s">
        <v>403</v>
      </c>
      <c r="C98" s="3" t="s">
        <v>499</v>
      </c>
      <c r="D98" s="3" t="s">
        <v>550</v>
      </c>
      <c r="E98" s="3" t="s">
        <v>522</v>
      </c>
      <c r="F98" s="5">
        <v>-8.6</v>
      </c>
      <c r="G98" s="4">
        <v>35.6</v>
      </c>
      <c r="H98" s="4">
        <v>61.65</v>
      </c>
      <c r="I98" s="4">
        <v>44.79</v>
      </c>
      <c r="J98" s="4">
        <v>31.2</v>
      </c>
      <c r="K98" s="6">
        <v>58.61</v>
      </c>
      <c r="L98" s="45">
        <v>89.88</v>
      </c>
      <c r="M98" s="44">
        <v>19.59</v>
      </c>
      <c r="N98" s="44">
        <v>4.8600000000000003</v>
      </c>
      <c r="O98" s="44">
        <v>49.53</v>
      </c>
      <c r="P98" s="44">
        <v>72.02</v>
      </c>
      <c r="Q98" s="44">
        <v>26.12</v>
      </c>
      <c r="R98" s="44">
        <v>14.42</v>
      </c>
      <c r="S98" s="44">
        <v>49.45</v>
      </c>
      <c r="T98" s="44">
        <v>62.69</v>
      </c>
      <c r="U98" s="44">
        <v>20.63</v>
      </c>
      <c r="V98" s="44">
        <v>27.88</v>
      </c>
      <c r="W98" s="44">
        <v>35.67</v>
      </c>
      <c r="X98" s="7">
        <v>-5.7589037713721258E-2</v>
      </c>
      <c r="Y98" s="8">
        <v>-3.5957558291852321E-2</v>
      </c>
      <c r="Z98" s="8">
        <v>9.1446429784632244E-2</v>
      </c>
      <c r="AA98" s="8">
        <v>-8.5776532835356356E-2</v>
      </c>
    </row>
    <row r="99" spans="2:27" x14ac:dyDescent="0.3">
      <c r="B99" s="13" t="s">
        <v>329</v>
      </c>
      <c r="C99" s="3" t="s">
        <v>499</v>
      </c>
      <c r="D99" s="3" t="s">
        <v>517</v>
      </c>
      <c r="E99" s="3" t="s">
        <v>503</v>
      </c>
      <c r="F99" s="5">
        <v>-9.3000000000000007</v>
      </c>
      <c r="G99" s="4">
        <v>111.3</v>
      </c>
      <c r="H99" s="4">
        <v>64.099999999999994</v>
      </c>
      <c r="I99" s="4">
        <v>71.5</v>
      </c>
      <c r="J99" s="4">
        <v>74.8</v>
      </c>
      <c r="K99" s="4">
        <v>96.6</v>
      </c>
      <c r="L99" s="44">
        <v>69.900000000000006</v>
      </c>
      <c r="M99" s="44">
        <v>77.7</v>
      </c>
      <c r="N99" s="44">
        <v>93.8</v>
      </c>
      <c r="O99" s="44">
        <v>116.2</v>
      </c>
      <c r="P99" s="44">
        <v>75.2</v>
      </c>
      <c r="Q99" s="44">
        <v>83.2</v>
      </c>
      <c r="R99" s="44">
        <v>92.6</v>
      </c>
      <c r="S99" s="44">
        <v>97.3</v>
      </c>
      <c r="T99" s="44">
        <v>59</v>
      </c>
      <c r="U99" s="44">
        <v>60.5</v>
      </c>
      <c r="V99" s="44">
        <v>50.6</v>
      </c>
      <c r="W99" s="44">
        <v>72.400000000000006</v>
      </c>
      <c r="X99" s="7">
        <v>-4.6511627906976723E-2</v>
      </c>
      <c r="Y99" s="8">
        <v>-6.8352905751279835E-2</v>
      </c>
      <c r="Z99" s="8">
        <v>-0.13574660633484159</v>
      </c>
      <c r="AA99" s="8">
        <v>-9.3118922961854866E-2</v>
      </c>
    </row>
    <row r="100" spans="2:27" x14ac:dyDescent="0.3">
      <c r="B100" s="13" t="s">
        <v>290</v>
      </c>
      <c r="C100" s="3" t="s">
        <v>499</v>
      </c>
      <c r="D100" s="3" t="s">
        <v>516</v>
      </c>
      <c r="E100" s="3" t="s">
        <v>503</v>
      </c>
      <c r="F100" s="5">
        <v>-9.6999999999999993</v>
      </c>
      <c r="G100" s="4">
        <v>-11.94</v>
      </c>
      <c r="H100" s="4">
        <v>-15.37</v>
      </c>
      <c r="I100" s="4">
        <v>-22.51</v>
      </c>
      <c r="J100" s="4">
        <v>-12.64</v>
      </c>
      <c r="K100" s="4">
        <v>-13.82</v>
      </c>
      <c r="L100" s="44">
        <v>-19.059999999999999</v>
      </c>
      <c r="M100" s="44">
        <v>-10.72</v>
      </c>
      <c r="N100" s="44">
        <v>-3.32</v>
      </c>
      <c r="O100" s="44">
        <v>-5.0999999999999996</v>
      </c>
      <c r="P100" s="44">
        <v>-7.38</v>
      </c>
      <c r="Q100" s="44">
        <v>-3.37</v>
      </c>
      <c r="R100" s="44">
        <v>-1.72</v>
      </c>
      <c r="S100" s="44">
        <v>13.62</v>
      </c>
      <c r="T100" s="45">
        <v>1.51</v>
      </c>
      <c r="U100" s="44">
        <v>-5.37</v>
      </c>
      <c r="V100" s="45">
        <v>7.25</v>
      </c>
      <c r="W100" s="44">
        <v>11.97</v>
      </c>
      <c r="X100" s="10">
        <v>7.7304347826087003</v>
      </c>
      <c r="Y100" s="8">
        <v>-0.19920318725099609</v>
      </c>
      <c r="Z100" s="9">
        <v>1.1156716417910451</v>
      </c>
      <c r="AA100" s="8">
        <v>-9.7001763668430163E-2</v>
      </c>
    </row>
    <row r="101" spans="2:27" x14ac:dyDescent="0.3">
      <c r="B101" s="13" t="s">
        <v>255</v>
      </c>
      <c r="C101" s="3" t="s">
        <v>499</v>
      </c>
      <c r="D101" s="3" t="s">
        <v>525</v>
      </c>
      <c r="E101" s="3" t="s">
        <v>503</v>
      </c>
      <c r="F101" s="5">
        <v>-9.9</v>
      </c>
      <c r="G101" s="3"/>
      <c r="H101" s="3"/>
      <c r="I101" s="3"/>
      <c r="J101" s="3"/>
      <c r="K101" s="3"/>
      <c r="L101" s="44"/>
      <c r="M101" s="44"/>
      <c r="N101" s="44"/>
      <c r="O101" s="44"/>
      <c r="P101" s="44">
        <v>105</v>
      </c>
      <c r="Q101" s="44">
        <v>105.2</v>
      </c>
      <c r="R101" s="44">
        <v>113.1</v>
      </c>
      <c r="S101" s="44">
        <v>102.2</v>
      </c>
      <c r="T101" s="44">
        <v>73.8</v>
      </c>
      <c r="U101" s="44">
        <v>58.9</v>
      </c>
      <c r="V101" s="44">
        <v>52</v>
      </c>
      <c r="W101" s="44">
        <v>73.900000000000006</v>
      </c>
      <c r="X101" s="7">
        <v>-7.3325499412455919E-2</v>
      </c>
      <c r="Y101" s="8">
        <v>-0.1174232817651535</v>
      </c>
      <c r="Z101" s="8">
        <v>-0.17557471264367819</v>
      </c>
      <c r="AA101" s="8">
        <v>-9.8640641338445301E-2</v>
      </c>
    </row>
    <row r="102" spans="2:27" x14ac:dyDescent="0.3">
      <c r="B102" s="13" t="s">
        <v>57</v>
      </c>
      <c r="C102" s="3" t="s">
        <v>499</v>
      </c>
      <c r="D102" s="3" t="s">
        <v>512</v>
      </c>
      <c r="E102" s="3" t="s">
        <v>503</v>
      </c>
      <c r="F102" s="5">
        <v>-10.4</v>
      </c>
      <c r="G102" s="4">
        <v>1289</v>
      </c>
      <c r="H102" s="4">
        <v>1350</v>
      </c>
      <c r="I102" s="4">
        <v>1763</v>
      </c>
      <c r="J102" s="4">
        <v>1388</v>
      </c>
      <c r="K102" s="4">
        <v>593</v>
      </c>
      <c r="L102" s="44">
        <v>1390</v>
      </c>
      <c r="M102" s="44">
        <v>1876</v>
      </c>
      <c r="N102" s="44">
        <v>1854</v>
      </c>
      <c r="O102" s="44">
        <v>337</v>
      </c>
      <c r="P102" s="45">
        <v>2217</v>
      </c>
      <c r="Q102" s="44">
        <v>2069</v>
      </c>
      <c r="R102" s="44">
        <v>142</v>
      </c>
      <c r="S102" s="45">
        <v>2185</v>
      </c>
      <c r="T102" s="44">
        <v>195</v>
      </c>
      <c r="U102" s="44">
        <v>874</v>
      </c>
      <c r="V102" s="45">
        <v>2051</v>
      </c>
      <c r="W102" s="44">
        <v>1633</v>
      </c>
      <c r="X102" s="7">
        <v>-0.30576137910176932</v>
      </c>
      <c r="Y102" s="8">
        <v>-0.2602918754084077</v>
      </c>
      <c r="Z102" s="9">
        <v>0.56213191990577149</v>
      </c>
      <c r="AA102" s="8">
        <v>-0.104052780395853</v>
      </c>
    </row>
    <row r="103" spans="2:27" x14ac:dyDescent="0.3">
      <c r="B103" s="13" t="s">
        <v>151</v>
      </c>
      <c r="C103" s="3" t="s">
        <v>499</v>
      </c>
      <c r="D103" s="3" t="s">
        <v>523</v>
      </c>
      <c r="E103" s="3" t="s">
        <v>503</v>
      </c>
      <c r="F103" s="5">
        <v>-12.6</v>
      </c>
      <c r="G103" s="4">
        <v>-25.13</v>
      </c>
      <c r="H103" s="4">
        <v>-271.52999999999997</v>
      </c>
      <c r="I103" s="4">
        <v>-400.94</v>
      </c>
      <c r="J103" s="4">
        <v>-280.68</v>
      </c>
      <c r="K103" s="6">
        <v>-253.21</v>
      </c>
      <c r="L103" s="44">
        <v>-365.26</v>
      </c>
      <c r="M103" s="44">
        <v>-404.34</v>
      </c>
      <c r="N103" s="44">
        <v>-380.06</v>
      </c>
      <c r="O103" s="44">
        <v>-248.71</v>
      </c>
      <c r="P103" s="44">
        <v>-265.02</v>
      </c>
      <c r="Q103" s="44">
        <v>-253.98</v>
      </c>
      <c r="R103" s="44">
        <v>-173.21</v>
      </c>
      <c r="S103" s="44">
        <v>-26.88</v>
      </c>
      <c r="T103" s="44">
        <v>-193.85</v>
      </c>
      <c r="U103" s="44">
        <v>-259.68</v>
      </c>
      <c r="V103" s="44">
        <v>-128.36000000000001</v>
      </c>
      <c r="W103" s="44">
        <v>49.72</v>
      </c>
      <c r="X103" s="7">
        <v>-9.8972312227954884E-2</v>
      </c>
      <c r="Y103" s="8">
        <v>8.7973823928881867E-3</v>
      </c>
      <c r="Z103" s="8">
        <v>-6.8617851350937897E-2</v>
      </c>
      <c r="AA103" s="8">
        <v>-0.12582748821393941</v>
      </c>
    </row>
    <row r="104" spans="2:27" x14ac:dyDescent="0.3">
      <c r="B104" s="13" t="s">
        <v>397</v>
      </c>
      <c r="C104" s="3" t="s">
        <v>499</v>
      </c>
      <c r="D104" s="3" t="s">
        <v>535</v>
      </c>
      <c r="E104" s="3" t="s">
        <v>501</v>
      </c>
      <c r="F104" s="5">
        <v>-14.2</v>
      </c>
      <c r="G104" s="4">
        <v>13.58</v>
      </c>
      <c r="H104" s="4">
        <v>3.38</v>
      </c>
      <c r="I104" s="4">
        <v>1.95</v>
      </c>
      <c r="J104" s="4">
        <v>9.3699999999999992</v>
      </c>
      <c r="K104" s="4">
        <v>4.45</v>
      </c>
      <c r="L104" s="45">
        <v>5.95</v>
      </c>
      <c r="M104" s="44">
        <v>0.66</v>
      </c>
      <c r="N104" s="45">
        <v>12.64</v>
      </c>
      <c r="O104" s="45">
        <v>14.23</v>
      </c>
      <c r="P104" s="45">
        <v>11.24</v>
      </c>
      <c r="Q104" s="45">
        <v>7.45</v>
      </c>
      <c r="R104" s="45">
        <v>26.06</v>
      </c>
      <c r="S104" s="45">
        <v>27.52</v>
      </c>
      <c r="T104" s="44">
        <v>16.850000000000001</v>
      </c>
      <c r="U104" s="44">
        <v>14.15</v>
      </c>
      <c r="V104" s="44">
        <v>24.99</v>
      </c>
      <c r="W104" s="44">
        <v>15.69</v>
      </c>
      <c r="X104" s="7">
        <v>7.7625570776255648E-2</v>
      </c>
      <c r="Y104" s="8">
        <v>8.6029789419620029E-2</v>
      </c>
      <c r="Z104" s="8">
        <v>-1.2650744856940069E-2</v>
      </c>
      <c r="AA104" s="8">
        <v>-0.14165968147527239</v>
      </c>
    </row>
    <row r="105" spans="2:27" x14ac:dyDescent="0.3">
      <c r="B105" s="13" t="s">
        <v>319</v>
      </c>
      <c r="C105" s="3" t="s">
        <v>499</v>
      </c>
      <c r="D105" s="3" t="s">
        <v>524</v>
      </c>
      <c r="E105" s="3" t="s">
        <v>503</v>
      </c>
      <c r="F105" s="5">
        <v>-14.4</v>
      </c>
      <c r="G105" s="4">
        <v>-106</v>
      </c>
      <c r="H105" s="4">
        <v>-58.1</v>
      </c>
      <c r="I105" s="4">
        <v>-41.3</v>
      </c>
      <c r="J105" s="4">
        <v>-23.5</v>
      </c>
      <c r="K105" s="4">
        <v>14.3</v>
      </c>
      <c r="L105" s="44">
        <v>-26.5</v>
      </c>
      <c r="M105" s="44">
        <v>12.1</v>
      </c>
      <c r="N105" s="45">
        <v>-34.4</v>
      </c>
      <c r="O105" s="45">
        <v>-71.8</v>
      </c>
      <c r="P105" s="44">
        <v>113.5</v>
      </c>
      <c r="Q105" s="45">
        <v>112.6</v>
      </c>
      <c r="R105" s="45">
        <v>105.1</v>
      </c>
      <c r="S105" s="45">
        <v>43.2</v>
      </c>
      <c r="T105" s="44">
        <v>136.5</v>
      </c>
      <c r="U105" s="44">
        <v>101.3</v>
      </c>
      <c r="V105" s="44">
        <v>-23.9</v>
      </c>
      <c r="W105" s="44">
        <v>6.2</v>
      </c>
      <c r="X105" s="7">
        <v>6.1431623931623942E-2</v>
      </c>
      <c r="Y105" s="8">
        <v>-2.8434826371414031E-2</v>
      </c>
      <c r="Z105" s="8">
        <v>-0.33411033411033408</v>
      </c>
      <c r="AA105" s="8">
        <v>-0.14391287436795031</v>
      </c>
    </row>
    <row r="106" spans="2:27" x14ac:dyDescent="0.3">
      <c r="B106" s="13" t="s">
        <v>277</v>
      </c>
      <c r="C106" s="3" t="s">
        <v>499</v>
      </c>
      <c r="D106" s="3" t="s">
        <v>533</v>
      </c>
      <c r="E106" s="3" t="s">
        <v>501</v>
      </c>
      <c r="F106" s="5">
        <v>-17.7</v>
      </c>
      <c r="G106" s="4">
        <v>61.3</v>
      </c>
      <c r="H106" s="4">
        <v>49.2</v>
      </c>
      <c r="I106" s="4">
        <v>70.3</v>
      </c>
      <c r="J106" s="4">
        <v>32.6</v>
      </c>
      <c r="K106" s="4">
        <v>25.6</v>
      </c>
      <c r="L106" s="44">
        <v>57.6</v>
      </c>
      <c r="M106" s="44">
        <v>82.8</v>
      </c>
      <c r="N106" s="45">
        <v>117</v>
      </c>
      <c r="O106" s="45">
        <v>59.4</v>
      </c>
      <c r="P106" s="44">
        <v>72.8</v>
      </c>
      <c r="Q106" s="44">
        <v>90</v>
      </c>
      <c r="R106" s="44">
        <v>91.5</v>
      </c>
      <c r="S106" s="44">
        <v>70.8</v>
      </c>
      <c r="T106" s="44">
        <v>67.8</v>
      </c>
      <c r="U106" s="44">
        <v>95.6</v>
      </c>
      <c r="V106" s="44">
        <v>55.9</v>
      </c>
      <c r="W106" s="44">
        <v>19.5</v>
      </c>
      <c r="X106" s="7">
        <v>-1.5379883112888289E-2</v>
      </c>
      <c r="Y106" s="8">
        <v>1.7494532958450382E-2</v>
      </c>
      <c r="Z106" s="8">
        <v>-0.1093030396070004</v>
      </c>
      <c r="AA106" s="8">
        <v>-0.1768355739400207</v>
      </c>
    </row>
    <row r="107" spans="2:27" x14ac:dyDescent="0.3">
      <c r="B107" s="13" t="s">
        <v>180</v>
      </c>
      <c r="C107" s="3" t="s">
        <v>499</v>
      </c>
      <c r="D107" s="3" t="s">
        <v>551</v>
      </c>
      <c r="E107" s="3" t="s">
        <v>509</v>
      </c>
      <c r="F107" s="5">
        <v>-19.8</v>
      </c>
      <c r="G107" s="4">
        <v>417.42</v>
      </c>
      <c r="H107" s="4">
        <v>153.88999999999999</v>
      </c>
      <c r="I107" s="4">
        <v>497.51</v>
      </c>
      <c r="J107" s="4">
        <v>521.51</v>
      </c>
      <c r="K107" s="4">
        <v>320.57</v>
      </c>
      <c r="L107" s="44">
        <v>110.38</v>
      </c>
      <c r="M107" s="44">
        <v>400.31</v>
      </c>
      <c r="N107" s="44">
        <v>423.71</v>
      </c>
      <c r="O107" s="44">
        <v>199.81</v>
      </c>
      <c r="P107" s="44">
        <v>-39.58</v>
      </c>
      <c r="Q107" s="44">
        <v>308.97000000000003</v>
      </c>
      <c r="R107" s="44">
        <v>304.58</v>
      </c>
      <c r="S107" s="44">
        <v>153.72</v>
      </c>
      <c r="T107" s="44">
        <v>-36.840000000000003</v>
      </c>
      <c r="U107" s="44">
        <v>255.45</v>
      </c>
      <c r="V107" s="44">
        <v>221.78</v>
      </c>
      <c r="W107" s="44">
        <v>36.020000000000003</v>
      </c>
      <c r="X107" s="7">
        <v>3.7653396363837022E-3</v>
      </c>
      <c r="Y107" s="8">
        <v>-7.3271908327971369E-2</v>
      </c>
      <c r="Z107" s="8">
        <v>-0.1223205448287069</v>
      </c>
      <c r="AA107" s="8">
        <v>-0.1981114608405852</v>
      </c>
    </row>
    <row r="108" spans="2:27" x14ac:dyDescent="0.3">
      <c r="B108" s="13" t="s">
        <v>465</v>
      </c>
      <c r="C108" s="3" t="s">
        <v>499</v>
      </c>
      <c r="D108" s="3" t="s">
        <v>526</v>
      </c>
      <c r="E108" s="3" t="s">
        <v>503</v>
      </c>
      <c r="F108" s="5">
        <v>-20.7</v>
      </c>
      <c r="G108" s="4">
        <v>0.81</v>
      </c>
      <c r="H108" s="4">
        <v>-14.11</v>
      </c>
      <c r="I108" s="4">
        <v>-9.48</v>
      </c>
      <c r="J108" s="4">
        <v>-1.79</v>
      </c>
      <c r="K108" s="6">
        <v>-8.51</v>
      </c>
      <c r="L108" s="44">
        <v>-11.87</v>
      </c>
      <c r="M108" s="45">
        <v>-15.55</v>
      </c>
      <c r="N108" s="44">
        <v>0.97</v>
      </c>
      <c r="O108" s="44">
        <v>-1.62</v>
      </c>
      <c r="P108" s="45">
        <v>-20.59</v>
      </c>
      <c r="Q108" s="45">
        <v>-36.97</v>
      </c>
      <c r="R108" s="44">
        <v>-3.98</v>
      </c>
      <c r="S108" s="45">
        <v>-10.79</v>
      </c>
      <c r="T108" s="44">
        <v>-8.09</v>
      </c>
      <c r="U108" s="44">
        <v>-8.6</v>
      </c>
      <c r="V108" s="44">
        <v>-5.17</v>
      </c>
      <c r="W108" s="44">
        <v>-4.03</v>
      </c>
      <c r="X108" s="7">
        <v>-0.17281902391815299</v>
      </c>
      <c r="Y108" s="8">
        <v>-0.47417683436403152</v>
      </c>
      <c r="Z108" s="8">
        <v>3.7825810553083317E-2</v>
      </c>
      <c r="AA108" s="8">
        <v>-0.20704441041347621</v>
      </c>
    </row>
    <row r="109" spans="2:27" x14ac:dyDescent="0.3">
      <c r="B109" s="13" t="s">
        <v>231</v>
      </c>
      <c r="C109" s="3" t="s">
        <v>499</v>
      </c>
      <c r="D109" s="3" t="s">
        <v>557</v>
      </c>
      <c r="E109" s="3" t="s">
        <v>503</v>
      </c>
      <c r="F109" s="5">
        <v>-21.3</v>
      </c>
      <c r="G109" s="4">
        <v>-82</v>
      </c>
      <c r="H109" s="4">
        <v>20</v>
      </c>
      <c r="I109" s="4">
        <v>68</v>
      </c>
      <c r="J109" s="4">
        <v>131</v>
      </c>
      <c r="K109" s="6">
        <v>151</v>
      </c>
      <c r="L109" s="45">
        <v>126</v>
      </c>
      <c r="M109" s="45">
        <v>181</v>
      </c>
      <c r="N109" s="44">
        <v>183</v>
      </c>
      <c r="O109" s="44">
        <v>212</v>
      </c>
      <c r="P109" s="44">
        <v>164</v>
      </c>
      <c r="Q109" s="45">
        <v>313</v>
      </c>
      <c r="R109" s="44">
        <v>199</v>
      </c>
      <c r="S109" s="45">
        <v>318</v>
      </c>
      <c r="T109" s="44">
        <v>164</v>
      </c>
      <c r="U109" s="44">
        <v>143</v>
      </c>
      <c r="V109" s="44">
        <v>107</v>
      </c>
      <c r="W109" s="44">
        <v>162</v>
      </c>
      <c r="X109" s="7">
        <v>0</v>
      </c>
      <c r="Y109" s="8">
        <v>-0.17102615694164991</v>
      </c>
      <c r="Z109" s="8">
        <v>-0.1116504854368932</v>
      </c>
      <c r="AA109" s="8">
        <v>-0.2131147540983607</v>
      </c>
    </row>
    <row r="110" spans="2:27" x14ac:dyDescent="0.3">
      <c r="B110" s="13" t="s">
        <v>299</v>
      </c>
      <c r="C110" s="3" t="s">
        <v>499</v>
      </c>
      <c r="D110" s="3" t="s">
        <v>510</v>
      </c>
      <c r="E110" s="3" t="s">
        <v>501</v>
      </c>
      <c r="F110" s="5">
        <v>-21.5</v>
      </c>
      <c r="G110" s="4">
        <v>-40.43</v>
      </c>
      <c r="H110" s="4">
        <v>-27.22</v>
      </c>
      <c r="I110" s="4">
        <v>22.19</v>
      </c>
      <c r="J110" s="4">
        <v>67.680000000000007</v>
      </c>
      <c r="K110" s="6">
        <v>139.41999999999999</v>
      </c>
      <c r="L110" s="45">
        <v>162.11000000000001</v>
      </c>
      <c r="M110" s="45">
        <v>142.80000000000001</v>
      </c>
      <c r="N110" s="44">
        <v>95.2</v>
      </c>
      <c r="O110" s="44">
        <v>114.93</v>
      </c>
      <c r="P110" s="44">
        <v>109.59</v>
      </c>
      <c r="Q110" s="44">
        <v>113.24</v>
      </c>
      <c r="R110" s="44">
        <v>124.84</v>
      </c>
      <c r="S110" s="44">
        <v>94.69</v>
      </c>
      <c r="T110" s="44">
        <v>64.22</v>
      </c>
      <c r="U110" s="44">
        <v>60.77</v>
      </c>
      <c r="V110" s="44">
        <v>15.85</v>
      </c>
      <c r="W110" s="44">
        <v>43.98</v>
      </c>
      <c r="X110" s="7">
        <v>-0.1025635229225066</v>
      </c>
      <c r="Y110" s="8">
        <v>-0.1321695760598505</v>
      </c>
      <c r="Z110" s="8">
        <v>-0.31635318704284221</v>
      </c>
      <c r="AA110" s="8">
        <v>-0.21530166008576401</v>
      </c>
    </row>
    <row r="111" spans="2:27" x14ac:dyDescent="0.3">
      <c r="B111" s="13" t="s">
        <v>373</v>
      </c>
      <c r="C111" s="3" t="s">
        <v>499</v>
      </c>
      <c r="D111" s="3" t="s">
        <v>544</v>
      </c>
      <c r="E111" s="3" t="s">
        <v>501</v>
      </c>
      <c r="F111" s="5">
        <v>-22.1</v>
      </c>
      <c r="G111" s="4">
        <v>-0.15</v>
      </c>
      <c r="H111" s="4">
        <v>-3.99</v>
      </c>
      <c r="I111" s="4">
        <v>-5.05</v>
      </c>
      <c r="J111" s="4">
        <v>-10.24</v>
      </c>
      <c r="K111" s="6">
        <v>-26.22</v>
      </c>
      <c r="L111" s="45">
        <v>-25.71</v>
      </c>
      <c r="M111" s="45">
        <v>-13.47</v>
      </c>
      <c r="N111" s="44">
        <v>-10</v>
      </c>
      <c r="O111" s="44">
        <v>-15.46</v>
      </c>
      <c r="P111" s="44">
        <v>-15.77</v>
      </c>
      <c r="Q111" s="44">
        <v>-5.53</v>
      </c>
      <c r="R111" s="44">
        <v>-2.72</v>
      </c>
      <c r="S111" s="44">
        <v>-10.87</v>
      </c>
      <c r="T111" s="44">
        <v>-12.57</v>
      </c>
      <c r="U111" s="44">
        <v>0.04</v>
      </c>
      <c r="V111" s="44">
        <v>1.78</v>
      </c>
      <c r="W111" s="44">
        <v>-6.09</v>
      </c>
      <c r="X111" s="7">
        <v>-9.1716824304958422E-2</v>
      </c>
      <c r="Y111" s="8">
        <v>-0.17576522562322491</v>
      </c>
      <c r="Z111" s="8">
        <v>-0.17228177641653911</v>
      </c>
      <c r="AA111" s="8">
        <v>-0.2210915818686402</v>
      </c>
    </row>
    <row r="112" spans="2:27" x14ac:dyDescent="0.3">
      <c r="B112" s="13" t="s">
        <v>233</v>
      </c>
      <c r="C112" s="3" t="s">
        <v>499</v>
      </c>
      <c r="D112" s="3" t="s">
        <v>514</v>
      </c>
      <c r="E112" s="3" t="s">
        <v>503</v>
      </c>
      <c r="F112" s="5">
        <v>-30</v>
      </c>
      <c r="G112" s="4">
        <v>186.5</v>
      </c>
      <c r="H112" s="4">
        <v>162.19999999999999</v>
      </c>
      <c r="I112" s="4">
        <v>144.5</v>
      </c>
      <c r="J112" s="4">
        <v>199.5</v>
      </c>
      <c r="K112" s="4">
        <v>241.4</v>
      </c>
      <c r="L112" s="45">
        <v>245.1</v>
      </c>
      <c r="M112" s="45">
        <v>265.60000000000002</v>
      </c>
      <c r="N112" s="44">
        <v>214.2</v>
      </c>
      <c r="O112" s="44">
        <v>252.6</v>
      </c>
      <c r="P112" s="44">
        <v>252.9</v>
      </c>
      <c r="Q112" s="44">
        <v>260.3</v>
      </c>
      <c r="R112" s="44">
        <v>222.8</v>
      </c>
      <c r="S112" s="44">
        <v>240.1</v>
      </c>
      <c r="T112" s="44">
        <v>258.10000000000002</v>
      </c>
      <c r="U112" s="44">
        <v>250.2</v>
      </c>
      <c r="V112" s="44">
        <v>192.9</v>
      </c>
      <c r="W112" s="44">
        <v>-42</v>
      </c>
      <c r="X112" s="7">
        <v>5.3273230201824617E-3</v>
      </c>
      <c r="Y112" s="8">
        <v>-1.0292469173545321E-2</v>
      </c>
      <c r="Z112" s="8">
        <v>-3.0786655683690319E-2</v>
      </c>
      <c r="AA112" s="8">
        <v>-0.29969191543609902</v>
      </c>
    </row>
    <row r="113" spans="2:27" x14ac:dyDescent="0.3">
      <c r="B113" s="13" t="s">
        <v>206</v>
      </c>
      <c r="C113" s="3" t="s">
        <v>499</v>
      </c>
      <c r="D113" s="3" t="s">
        <v>504</v>
      </c>
      <c r="E113" s="3" t="s">
        <v>503</v>
      </c>
      <c r="F113" s="5">
        <v>-31.2</v>
      </c>
      <c r="G113" s="4">
        <v>18.78</v>
      </c>
      <c r="H113" s="4">
        <v>8.06</v>
      </c>
      <c r="I113" s="4">
        <v>9.48</v>
      </c>
      <c r="J113" s="4">
        <v>0.63</v>
      </c>
      <c r="K113" s="4">
        <v>-7.03</v>
      </c>
      <c r="L113" s="44">
        <v>-20.95</v>
      </c>
      <c r="M113" s="45">
        <v>-32.909999999999997</v>
      </c>
      <c r="N113" s="45">
        <v>-25.18</v>
      </c>
      <c r="O113" s="45">
        <v>-23.64</v>
      </c>
      <c r="P113" s="45">
        <v>-31.8</v>
      </c>
      <c r="Q113" s="44">
        <v>-29.16</v>
      </c>
      <c r="R113" s="44">
        <v>-22.38</v>
      </c>
      <c r="S113" s="44">
        <v>-22.68</v>
      </c>
      <c r="T113" s="44">
        <v>-26.55</v>
      </c>
      <c r="U113" s="44">
        <v>-22.74</v>
      </c>
      <c r="V113" s="44">
        <v>-15.9</v>
      </c>
      <c r="W113" s="44">
        <v>4.7699999999999996</v>
      </c>
      <c r="X113" s="7">
        <v>-4.9518958687040149E-2</v>
      </c>
      <c r="Y113" s="8">
        <v>-6.370943733253942E-2</v>
      </c>
      <c r="Z113" s="8">
        <v>-6.8680445151033331E-2</v>
      </c>
      <c r="AA113" s="8">
        <v>-0.31239330829634693</v>
      </c>
    </row>
    <row r="114" spans="2:27" x14ac:dyDescent="0.3">
      <c r="B114" s="17" t="s">
        <v>139</v>
      </c>
      <c r="C114" s="18" t="s">
        <v>499</v>
      </c>
      <c r="D114" s="18" t="s">
        <v>506</v>
      </c>
      <c r="E114" s="18" t="s">
        <v>503</v>
      </c>
      <c r="F114" s="19">
        <v>-1103.0999999999999</v>
      </c>
      <c r="G114" s="20">
        <v>467</v>
      </c>
      <c r="H114" s="20">
        <v>781</v>
      </c>
      <c r="I114" s="20">
        <v>1628</v>
      </c>
      <c r="J114" s="20">
        <v>1001</v>
      </c>
      <c r="K114" s="20">
        <v>275</v>
      </c>
      <c r="L114" s="46">
        <v>-398</v>
      </c>
      <c r="M114" s="46">
        <v>603</v>
      </c>
      <c r="N114" s="47">
        <v>1818</v>
      </c>
      <c r="O114" s="46">
        <v>-1069</v>
      </c>
      <c r="P114" s="47">
        <v>276</v>
      </c>
      <c r="Q114" s="47">
        <v>996</v>
      </c>
      <c r="R114" s="46">
        <v>-99</v>
      </c>
      <c r="S114" s="47">
        <v>1461</v>
      </c>
      <c r="T114" s="46">
        <v>229</v>
      </c>
      <c r="U114" s="46">
        <v>-302</v>
      </c>
      <c r="V114" s="46">
        <v>-1291</v>
      </c>
      <c r="W114" s="46">
        <v>391</v>
      </c>
      <c r="X114" s="21">
        <v>-1.7843583902809379E-2</v>
      </c>
      <c r="Y114" s="22">
        <v>-0.50173946656358714</v>
      </c>
      <c r="Z114" s="22">
        <v>-0.92474786656322727</v>
      </c>
      <c r="AA114" s="22">
        <v>-11.03092783505155</v>
      </c>
    </row>
    <row r="115" spans="2:27" x14ac:dyDescent="0.3">
      <c r="B115" s="13">
        <v>5832</v>
      </c>
      <c r="C115" s="3" t="s">
        <v>563</v>
      </c>
      <c r="D115" s="3" t="str">
        <f>VLOOKUP(B115,기업리스트!B:G,2,FALSE)</f>
        <v>Chugin Financial Group,Inc.</v>
      </c>
      <c r="E115" s="3" t="s">
        <v>509</v>
      </c>
      <c r="F115" s="14">
        <v>30.1</v>
      </c>
      <c r="G115" s="4">
        <v>10614</v>
      </c>
      <c r="H115" s="4">
        <v>4089</v>
      </c>
      <c r="I115" s="4">
        <v>9879</v>
      </c>
      <c r="J115" s="4">
        <v>826</v>
      </c>
      <c r="K115" s="4">
        <v>12091</v>
      </c>
      <c r="L115" s="44">
        <v>4088</v>
      </c>
      <c r="M115" s="44">
        <v>10216</v>
      </c>
      <c r="N115" s="45">
        <v>4725</v>
      </c>
      <c r="O115" s="44">
        <v>11254</v>
      </c>
      <c r="P115" s="44">
        <v>4704</v>
      </c>
      <c r="Q115" s="45">
        <v>13674</v>
      </c>
      <c r="R115" s="44">
        <v>7245</v>
      </c>
      <c r="S115" s="44">
        <v>8212</v>
      </c>
      <c r="T115" s="45">
        <v>9151</v>
      </c>
      <c r="U115" s="44">
        <v>12471</v>
      </c>
      <c r="V115" s="44">
        <v>10212</v>
      </c>
      <c r="W115" s="45">
        <v>20279</v>
      </c>
      <c r="X115" s="10">
        <v>0.1314319491650657</v>
      </c>
      <c r="Y115" s="8">
        <v>-3.1424690455044153E-2</v>
      </c>
      <c r="Z115" s="8">
        <v>8.0018339221661794E-2</v>
      </c>
      <c r="AA115" s="9">
        <v>0.30132847225690451</v>
      </c>
    </row>
    <row r="116" spans="2:27" x14ac:dyDescent="0.3">
      <c r="B116" s="13">
        <v>8304</v>
      </c>
      <c r="C116" s="3" t="s">
        <v>563</v>
      </c>
      <c r="D116" s="3" t="str">
        <f>VLOOKUP(B116,기업리스트!B:G,2,FALSE)</f>
        <v>Aozora Bank, Ltd.</v>
      </c>
      <c r="E116" s="3" t="s">
        <v>509</v>
      </c>
      <c r="F116" s="14">
        <v>23</v>
      </c>
      <c r="G116" s="4">
        <v>12221</v>
      </c>
      <c r="H116" s="4">
        <v>7446</v>
      </c>
      <c r="I116" s="4">
        <v>11318</v>
      </c>
      <c r="J116" s="4">
        <v>9093</v>
      </c>
      <c r="K116" s="4">
        <v>-1987</v>
      </c>
      <c r="L116" s="44">
        <v>-11071</v>
      </c>
      <c r="M116" s="44">
        <v>7386</v>
      </c>
      <c r="N116" s="44">
        <v>6995</v>
      </c>
      <c r="O116" s="44">
        <v>-39244</v>
      </c>
      <c r="P116" s="45">
        <v>-28310</v>
      </c>
      <c r="Q116" s="44">
        <v>9300</v>
      </c>
      <c r="R116" s="44">
        <v>3842</v>
      </c>
      <c r="S116" s="44">
        <v>3301</v>
      </c>
      <c r="T116" s="44">
        <v>2943</v>
      </c>
      <c r="U116" s="44">
        <v>8004</v>
      </c>
      <c r="V116" s="45">
        <v>7368</v>
      </c>
      <c r="W116" s="45">
        <v>8281</v>
      </c>
      <c r="X116" s="7">
        <v>-2.6336057975899552</v>
      </c>
      <c r="Y116" s="8">
        <v>-6.6852367688022274E-2</v>
      </c>
      <c r="Z116" s="9">
        <v>0.1949143173023771</v>
      </c>
      <c r="AA116" s="9">
        <v>0.23038490007401921</v>
      </c>
    </row>
    <row r="117" spans="2:27" x14ac:dyDescent="0.3">
      <c r="B117" s="13">
        <v>4503</v>
      </c>
      <c r="C117" s="3" t="s">
        <v>563</v>
      </c>
      <c r="D117" s="3" t="str">
        <f>VLOOKUP(B117,기업리스트!B:G,2,FALSE)</f>
        <v>Astellas Pharma Inc.</v>
      </c>
      <c r="E117" s="3" t="s">
        <v>509</v>
      </c>
      <c r="F117" s="14">
        <v>16.7</v>
      </c>
      <c r="G117" s="4">
        <v>53347</v>
      </c>
      <c r="H117" s="4">
        <v>74937</v>
      </c>
      <c r="I117" s="4">
        <v>32628</v>
      </c>
      <c r="J117" s="4">
        <v>85311</v>
      </c>
      <c r="K117" s="4">
        <v>61758</v>
      </c>
      <c r="L117" s="44">
        <v>51952</v>
      </c>
      <c r="M117" s="44">
        <v>45055</v>
      </c>
      <c r="N117" s="44">
        <v>922</v>
      </c>
      <c r="O117" s="44">
        <v>18868</v>
      </c>
      <c r="P117" s="44">
        <v>59761</v>
      </c>
      <c r="Q117" s="44">
        <v>53319</v>
      </c>
      <c r="R117" s="45">
        <v>38033</v>
      </c>
      <c r="S117" s="45">
        <v>74894</v>
      </c>
      <c r="T117" s="45">
        <v>85094</v>
      </c>
      <c r="U117" s="45">
        <v>104041</v>
      </c>
      <c r="V117" s="45">
        <v>92909</v>
      </c>
      <c r="W117" s="45">
        <v>134543</v>
      </c>
      <c r="X117" s="10">
        <v>0.1120894485569031</v>
      </c>
      <c r="Y117" s="9">
        <v>0.20180631813479749</v>
      </c>
      <c r="Z117" s="9">
        <v>0.18167131251200089</v>
      </c>
      <c r="AA117" s="9">
        <v>0.1671130560489498</v>
      </c>
    </row>
    <row r="118" spans="2:27" x14ac:dyDescent="0.3">
      <c r="B118" s="13">
        <v>3374</v>
      </c>
      <c r="C118" s="3" t="s">
        <v>563</v>
      </c>
      <c r="D118" s="3" t="str">
        <f>VLOOKUP(B118,기업리스트!B:G,2,FALSE)</f>
        <v>Xintec Inc.</v>
      </c>
      <c r="E118" s="3" t="s">
        <v>522</v>
      </c>
      <c r="F118" s="14">
        <v>13.6</v>
      </c>
      <c r="G118" s="4">
        <v>400</v>
      </c>
      <c r="H118" s="4">
        <v>496</v>
      </c>
      <c r="I118" s="4">
        <v>837</v>
      </c>
      <c r="J118" s="4">
        <v>686</v>
      </c>
      <c r="K118" s="6">
        <v>693</v>
      </c>
      <c r="L118" s="44">
        <v>377</v>
      </c>
      <c r="M118" s="44">
        <v>594</v>
      </c>
      <c r="N118" s="44">
        <v>372</v>
      </c>
      <c r="O118" s="44">
        <v>150</v>
      </c>
      <c r="P118" s="44">
        <v>291</v>
      </c>
      <c r="Q118" s="44">
        <v>406</v>
      </c>
      <c r="R118" s="44">
        <v>211</v>
      </c>
      <c r="S118" s="44">
        <v>212</v>
      </c>
      <c r="T118" s="45">
        <v>580</v>
      </c>
      <c r="U118" s="45">
        <v>549</v>
      </c>
      <c r="V118" s="44">
        <v>83</v>
      </c>
      <c r="W118" s="45">
        <v>405</v>
      </c>
      <c r="X118" s="10">
        <v>0.25803571428571442</v>
      </c>
      <c r="Y118" s="9">
        <v>0.10149041873669271</v>
      </c>
      <c r="Z118" s="8">
        <v>-8.2474226804123751E-2</v>
      </c>
      <c r="AA118" s="9">
        <v>0.13553370786516861</v>
      </c>
    </row>
    <row r="119" spans="2:27" x14ac:dyDescent="0.3">
      <c r="B119" s="13">
        <v>4208</v>
      </c>
      <c r="C119" s="3" t="s">
        <v>563</v>
      </c>
      <c r="D119" s="3" t="str">
        <f>VLOOKUP(B119,기업리스트!B:G,2,FALSE)</f>
        <v>UBE Corporation</v>
      </c>
      <c r="E119" s="3" t="s">
        <v>509</v>
      </c>
      <c r="F119" s="14">
        <v>13.5</v>
      </c>
      <c r="G119" s="4">
        <v>13754</v>
      </c>
      <c r="H119" s="4">
        <v>11196</v>
      </c>
      <c r="I119" s="4">
        <v>4355</v>
      </c>
      <c r="J119" s="4">
        <v>4164</v>
      </c>
      <c r="K119" s="4">
        <v>4469</v>
      </c>
      <c r="L119" s="44">
        <v>3302</v>
      </c>
      <c r="M119" s="44">
        <v>2622</v>
      </c>
      <c r="N119" s="44">
        <v>2599</v>
      </c>
      <c r="O119" s="45">
        <v>7086</v>
      </c>
      <c r="P119" s="45">
        <v>10149</v>
      </c>
      <c r="Q119" s="44">
        <v>2791</v>
      </c>
      <c r="R119" s="44">
        <v>3258</v>
      </c>
      <c r="S119" s="44">
        <v>3358</v>
      </c>
      <c r="T119" s="44">
        <v>8883</v>
      </c>
      <c r="U119" s="44">
        <v>2832</v>
      </c>
      <c r="V119" s="45">
        <v>5418</v>
      </c>
      <c r="W119" s="45">
        <v>6133</v>
      </c>
      <c r="X119" s="7">
        <v>-6.4737165064430391E-2</v>
      </c>
      <c r="Y119" s="8">
        <v>2.2416621104428551E-3</v>
      </c>
      <c r="Z119" s="9">
        <v>0.1178331787682068</v>
      </c>
      <c r="AA119" s="9">
        <v>0.13542530867210001</v>
      </c>
    </row>
    <row r="120" spans="2:27" x14ac:dyDescent="0.3">
      <c r="B120" s="13">
        <v>6368</v>
      </c>
      <c r="C120" s="3" t="s">
        <v>563</v>
      </c>
      <c r="D120" s="3" t="str">
        <f>VLOOKUP(B120,기업리스트!B:G,2,FALSE)</f>
        <v>Organo Corporation</v>
      </c>
      <c r="E120" s="3" t="s">
        <v>522</v>
      </c>
      <c r="F120" s="5">
        <v>8.6</v>
      </c>
      <c r="G120" s="4">
        <v>2433</v>
      </c>
      <c r="H120" s="4">
        <v>2370</v>
      </c>
      <c r="I120" s="4">
        <v>4709</v>
      </c>
      <c r="J120" s="4">
        <v>2219</v>
      </c>
      <c r="K120" s="6">
        <v>4292</v>
      </c>
      <c r="L120" s="44">
        <v>3429</v>
      </c>
      <c r="M120" s="44">
        <v>5274</v>
      </c>
      <c r="N120" s="44">
        <v>2862</v>
      </c>
      <c r="O120" s="44">
        <v>4993</v>
      </c>
      <c r="P120" s="45">
        <v>6339</v>
      </c>
      <c r="Q120" s="45">
        <v>8351</v>
      </c>
      <c r="R120" s="44">
        <v>4002</v>
      </c>
      <c r="S120" s="45">
        <v>7479</v>
      </c>
      <c r="T120" s="44">
        <v>8266</v>
      </c>
      <c r="U120" s="45">
        <v>11374</v>
      </c>
      <c r="V120" s="44">
        <v>6954</v>
      </c>
      <c r="W120" s="44">
        <v>10425</v>
      </c>
      <c r="X120" s="7">
        <v>7.3631118413511221E-2</v>
      </c>
      <c r="Y120" s="9">
        <v>0.10758772866396191</v>
      </c>
      <c r="Z120" s="8">
        <v>9.4855563767231033E-2</v>
      </c>
      <c r="AA120" s="8">
        <v>8.6461421066533539E-2</v>
      </c>
    </row>
    <row r="121" spans="2:27" x14ac:dyDescent="0.3">
      <c r="B121" s="13">
        <v>2413</v>
      </c>
      <c r="C121" s="3" t="s">
        <v>563</v>
      </c>
      <c r="D121" s="3" t="str">
        <f>VLOOKUP(B121,기업리스트!B:G,2,FALSE)</f>
        <v>M3, Inc.</v>
      </c>
      <c r="E121" s="3" t="s">
        <v>509</v>
      </c>
      <c r="F121" s="5">
        <v>8.6</v>
      </c>
      <c r="G121" s="4">
        <v>22560</v>
      </c>
      <c r="H121" s="4">
        <v>13750</v>
      </c>
      <c r="I121" s="4">
        <v>18505</v>
      </c>
      <c r="J121" s="4">
        <v>17174</v>
      </c>
      <c r="K121" s="4">
        <v>21755</v>
      </c>
      <c r="L121" s="44">
        <v>12979</v>
      </c>
      <c r="M121" s="44">
        <v>17960</v>
      </c>
      <c r="N121" s="44">
        <v>16315</v>
      </c>
      <c r="O121" s="44">
        <v>19958</v>
      </c>
      <c r="P121" s="44">
        <v>11405</v>
      </c>
      <c r="Q121" s="44">
        <v>16084</v>
      </c>
      <c r="R121" s="44">
        <v>11591</v>
      </c>
      <c r="S121" s="44">
        <v>20462</v>
      </c>
      <c r="T121" s="44">
        <v>13929</v>
      </c>
      <c r="U121" s="44">
        <v>19777</v>
      </c>
      <c r="V121" s="44">
        <v>14636</v>
      </c>
      <c r="W121" s="44">
        <v>26354</v>
      </c>
      <c r="X121" s="7">
        <v>4.2390245540962601E-2</v>
      </c>
      <c r="Y121" s="8">
        <v>5.950117616730588E-2</v>
      </c>
      <c r="Z121" s="8">
        <v>4.6305448683830353E-2</v>
      </c>
      <c r="AA121" s="8">
        <v>8.5634556130457451E-2</v>
      </c>
    </row>
    <row r="122" spans="2:27" x14ac:dyDescent="0.3">
      <c r="B122" s="13">
        <v>4091</v>
      </c>
      <c r="C122" s="3" t="s">
        <v>563</v>
      </c>
      <c r="D122" s="3" t="str">
        <f>VLOOKUP(B122,기업리스트!B:G,2,FALSE)</f>
        <v>Nippon Sanso Holdings Corporation</v>
      </c>
      <c r="E122" s="3" t="s">
        <v>522</v>
      </c>
      <c r="F122" s="5">
        <v>7.8</v>
      </c>
      <c r="G122" s="4">
        <v>24507</v>
      </c>
      <c r="H122" s="4">
        <v>25624</v>
      </c>
      <c r="I122" s="4">
        <v>25310</v>
      </c>
      <c r="J122" s="4">
        <v>27025</v>
      </c>
      <c r="K122" s="4">
        <v>25755</v>
      </c>
      <c r="L122" s="44">
        <v>29396</v>
      </c>
      <c r="M122" s="45">
        <v>36251</v>
      </c>
      <c r="N122" s="45">
        <v>40429</v>
      </c>
      <c r="O122" s="45">
        <v>40143</v>
      </c>
      <c r="P122" s="44">
        <v>41199</v>
      </c>
      <c r="Q122" s="44">
        <v>50178</v>
      </c>
      <c r="R122" s="44">
        <v>46938</v>
      </c>
      <c r="S122" s="44">
        <v>33688</v>
      </c>
      <c r="T122" s="44">
        <v>44505</v>
      </c>
      <c r="U122" s="44">
        <v>58275</v>
      </c>
      <c r="V122" s="44">
        <v>44481</v>
      </c>
      <c r="W122" s="44">
        <v>47892</v>
      </c>
      <c r="X122" s="7">
        <v>1.9220594989622249E-2</v>
      </c>
      <c r="Y122" s="8">
        <v>4.6187018350455578E-2</v>
      </c>
      <c r="Z122" s="8">
        <v>-1.339650829307659E-2</v>
      </c>
      <c r="AA122" s="8">
        <v>7.849725613294356E-2</v>
      </c>
    </row>
    <row r="123" spans="2:27" x14ac:dyDescent="0.3">
      <c r="B123" s="13">
        <v>9010</v>
      </c>
      <c r="C123" s="3" t="s">
        <v>563</v>
      </c>
      <c r="D123" s="3" t="str">
        <f>VLOOKUP(B123,기업리스트!B:G,2,FALSE)</f>
        <v>Fuji Kyuko Co., Ltd.</v>
      </c>
      <c r="E123" s="3" t="s">
        <v>522</v>
      </c>
      <c r="F123" s="5">
        <v>6.6</v>
      </c>
      <c r="G123" s="4">
        <v>1045</v>
      </c>
      <c r="H123" s="4">
        <v>704</v>
      </c>
      <c r="I123" s="4">
        <v>-316</v>
      </c>
      <c r="J123" s="4">
        <v>30</v>
      </c>
      <c r="K123" s="6">
        <v>1914</v>
      </c>
      <c r="L123" s="45">
        <v>1270</v>
      </c>
      <c r="M123" s="45">
        <v>1029</v>
      </c>
      <c r="N123" s="45">
        <v>1293</v>
      </c>
      <c r="O123" s="45">
        <v>3600</v>
      </c>
      <c r="P123" s="45">
        <v>2310</v>
      </c>
      <c r="Q123" s="44">
        <v>949</v>
      </c>
      <c r="R123" s="44">
        <v>1907</v>
      </c>
      <c r="S123" s="44">
        <v>2232</v>
      </c>
      <c r="T123" s="44">
        <v>2543</v>
      </c>
      <c r="U123" s="44">
        <v>1631</v>
      </c>
      <c r="V123" s="44">
        <v>1677</v>
      </c>
      <c r="W123" s="44">
        <v>2768</v>
      </c>
      <c r="X123" s="7">
        <v>3.1494998648283312E-2</v>
      </c>
      <c r="Y123" s="8">
        <v>8.9372297208753837E-2</v>
      </c>
      <c r="Z123" s="8">
        <v>-2.766750872127988E-2</v>
      </c>
      <c r="AA123" s="8">
        <v>6.6312012866510006E-2</v>
      </c>
    </row>
    <row r="124" spans="2:27" x14ac:dyDescent="0.3">
      <c r="B124" s="13">
        <v>9412</v>
      </c>
      <c r="C124" s="3" t="s">
        <v>563</v>
      </c>
      <c r="D124" s="3" t="str">
        <f>VLOOKUP(B124,기업리스트!B:G,2,FALSE)</f>
        <v>SKY Perfect JSAT Holdings Inc.</v>
      </c>
      <c r="E124" s="3" t="s">
        <v>509</v>
      </c>
      <c r="F124" s="5">
        <v>6.2</v>
      </c>
      <c r="G124" s="4">
        <v>5404</v>
      </c>
      <c r="H124" s="4">
        <v>2604</v>
      </c>
      <c r="I124" s="4">
        <v>5553</v>
      </c>
      <c r="J124" s="4">
        <v>5595</v>
      </c>
      <c r="K124" s="4">
        <v>5567</v>
      </c>
      <c r="L124" s="45">
        <v>5609</v>
      </c>
      <c r="M124" s="44">
        <v>6920</v>
      </c>
      <c r="N124" s="44">
        <v>6482</v>
      </c>
      <c r="O124" s="44">
        <v>7141</v>
      </c>
      <c r="P124" s="44">
        <v>6003</v>
      </c>
      <c r="Q124" s="44">
        <v>7434</v>
      </c>
      <c r="R124" s="44">
        <v>6443</v>
      </c>
      <c r="S124" s="44">
        <v>7410</v>
      </c>
      <c r="T124" s="44">
        <v>6202</v>
      </c>
      <c r="U124" s="44">
        <v>8010</v>
      </c>
      <c r="V124" s="44">
        <v>9200</v>
      </c>
      <c r="W124" s="44">
        <v>9311</v>
      </c>
      <c r="X124" s="7">
        <v>7.2920483693661442E-3</v>
      </c>
      <c r="Y124" s="8">
        <v>2.0953836079886431E-2</v>
      </c>
      <c r="Z124" s="8">
        <v>9.8236237306253305E-2</v>
      </c>
      <c r="AA124" s="8">
        <v>6.1676724417623729E-2</v>
      </c>
    </row>
    <row r="125" spans="2:27" x14ac:dyDescent="0.3">
      <c r="B125" s="13">
        <v>8354</v>
      </c>
      <c r="C125" s="3" t="s">
        <v>563</v>
      </c>
      <c r="D125" s="3" t="str">
        <f>VLOOKUP(B125,기업리스트!B:G,2,FALSE)</f>
        <v>Fukuoka Financial Group, Inc.</v>
      </c>
      <c r="E125" s="3" t="s">
        <v>509</v>
      </c>
      <c r="F125" s="5">
        <v>5.7</v>
      </c>
      <c r="G125" s="4">
        <v>23403</v>
      </c>
      <c r="H125" s="4">
        <v>11663</v>
      </c>
      <c r="I125" s="4">
        <v>24234</v>
      </c>
      <c r="J125" s="4">
        <v>19811</v>
      </c>
      <c r="K125" s="4">
        <v>2962</v>
      </c>
      <c r="L125" s="44">
        <v>-1768</v>
      </c>
      <c r="M125" s="44">
        <v>24009</v>
      </c>
      <c r="N125" s="44">
        <v>20163</v>
      </c>
      <c r="O125" s="45">
        <v>35944</v>
      </c>
      <c r="P125" s="44">
        <v>-2626</v>
      </c>
      <c r="Q125" s="44">
        <v>30280</v>
      </c>
      <c r="R125" s="44">
        <v>26315</v>
      </c>
      <c r="S125" s="44">
        <v>30956</v>
      </c>
      <c r="T125" s="45">
        <v>16158</v>
      </c>
      <c r="U125" s="44">
        <v>32525</v>
      </c>
      <c r="V125" s="44">
        <v>29970</v>
      </c>
      <c r="W125" s="44">
        <v>37154</v>
      </c>
      <c r="X125" s="10">
        <v>0.2211833971151016</v>
      </c>
      <c r="Y125" s="8">
        <v>2.1647108736946748E-2</v>
      </c>
      <c r="Z125" s="8">
        <v>3.4496102082035567E-2</v>
      </c>
      <c r="AA125" s="8">
        <v>5.6546451477524677E-2</v>
      </c>
    </row>
    <row r="126" spans="2:27" x14ac:dyDescent="0.3">
      <c r="B126" s="13">
        <v>6745</v>
      </c>
      <c r="C126" s="3" t="s">
        <v>563</v>
      </c>
      <c r="D126" s="3" t="str">
        <f>VLOOKUP(B126,기업리스트!B:G,2,FALSE)</f>
        <v>Hochiki Corporation</v>
      </c>
      <c r="E126" s="3" t="s">
        <v>509</v>
      </c>
      <c r="F126" s="5">
        <v>5</v>
      </c>
      <c r="G126" s="4">
        <v>1767</v>
      </c>
      <c r="H126" s="4">
        <v>2414</v>
      </c>
      <c r="I126" s="4">
        <v>-109</v>
      </c>
      <c r="J126" s="4">
        <v>746</v>
      </c>
      <c r="K126" s="4">
        <v>1751</v>
      </c>
      <c r="L126" s="45">
        <v>3203</v>
      </c>
      <c r="M126" s="44">
        <v>-165</v>
      </c>
      <c r="N126" s="45">
        <v>1953</v>
      </c>
      <c r="O126" s="45">
        <v>2879</v>
      </c>
      <c r="P126" s="44">
        <v>2709</v>
      </c>
      <c r="Q126" s="44">
        <v>500</v>
      </c>
      <c r="R126" s="45">
        <v>2876</v>
      </c>
      <c r="S126" s="44">
        <v>3042</v>
      </c>
      <c r="T126" s="44">
        <v>3135</v>
      </c>
      <c r="U126" s="44">
        <v>1076</v>
      </c>
      <c r="V126" s="44">
        <v>3231</v>
      </c>
      <c r="W126" s="44">
        <v>3570</v>
      </c>
      <c r="X126" s="7">
        <v>4.6674701435301953E-2</v>
      </c>
      <c r="Y126" s="8">
        <v>6.0295195226630398E-2</v>
      </c>
      <c r="Z126" s="8">
        <v>3.5047882318096628E-2</v>
      </c>
      <c r="AA126" s="8">
        <v>5.0362457077451461E-2</v>
      </c>
    </row>
    <row r="127" spans="2:27" x14ac:dyDescent="0.3">
      <c r="B127" s="13">
        <v>8056</v>
      </c>
      <c r="C127" s="3" t="s">
        <v>563</v>
      </c>
      <c r="D127" s="3" t="str">
        <f>VLOOKUP(B127,기업리스트!B:G,2,FALSE)</f>
        <v>BIPROGY Inc.</v>
      </c>
      <c r="E127" s="3" t="s">
        <v>509</v>
      </c>
      <c r="F127" s="5">
        <v>4.0999999999999996</v>
      </c>
      <c r="G127" s="4">
        <v>5803</v>
      </c>
      <c r="H127" s="4">
        <v>8085</v>
      </c>
      <c r="I127" s="4">
        <v>4668</v>
      </c>
      <c r="J127" s="4">
        <v>8788</v>
      </c>
      <c r="K127" s="4">
        <v>5797</v>
      </c>
      <c r="L127" s="44">
        <v>10188</v>
      </c>
      <c r="M127" s="44">
        <v>5697</v>
      </c>
      <c r="N127" s="44">
        <v>10704</v>
      </c>
      <c r="O127" s="44">
        <v>7350</v>
      </c>
      <c r="P127" s="44">
        <v>10179</v>
      </c>
      <c r="Q127" s="44">
        <v>8745</v>
      </c>
      <c r="R127" s="44">
        <v>11125</v>
      </c>
      <c r="S127" s="44">
        <v>7077</v>
      </c>
      <c r="T127" s="45">
        <v>13966</v>
      </c>
      <c r="U127" s="44">
        <v>10185</v>
      </c>
      <c r="V127" s="44">
        <v>12581</v>
      </c>
      <c r="W127" s="44">
        <v>8853</v>
      </c>
      <c r="X127" s="10">
        <v>0.1020039864246081</v>
      </c>
      <c r="Y127" s="8">
        <v>3.5196636765820077E-2</v>
      </c>
      <c r="Z127" s="8">
        <v>3.4377730030930483E-2</v>
      </c>
      <c r="AA127" s="8">
        <v>4.0539615147572317E-2</v>
      </c>
    </row>
    <row r="128" spans="2:27" x14ac:dyDescent="0.3">
      <c r="B128" s="13">
        <v>9699</v>
      </c>
      <c r="C128" s="3" t="s">
        <v>563</v>
      </c>
      <c r="D128" s="3" t="str">
        <f>VLOOKUP(B128,기업리스트!B:G,2,FALSE)</f>
        <v>Nishio Holdings Co., Ltd.</v>
      </c>
      <c r="E128" s="3" t="s">
        <v>503</v>
      </c>
      <c r="F128" s="5">
        <v>3.7</v>
      </c>
      <c r="G128" s="4">
        <v>4361</v>
      </c>
      <c r="H128" s="4">
        <v>4333</v>
      </c>
      <c r="I128" s="4">
        <v>4401</v>
      </c>
      <c r="J128" s="4">
        <v>1910</v>
      </c>
      <c r="K128" s="4">
        <v>4241</v>
      </c>
      <c r="L128" s="44">
        <v>4876</v>
      </c>
      <c r="M128" s="44">
        <v>4543</v>
      </c>
      <c r="N128" s="44">
        <v>2280</v>
      </c>
      <c r="O128" s="44">
        <v>4638</v>
      </c>
      <c r="P128" s="44">
        <v>5351</v>
      </c>
      <c r="Q128" s="44">
        <v>4932</v>
      </c>
      <c r="R128" s="44">
        <v>3633</v>
      </c>
      <c r="S128" s="44">
        <v>4142</v>
      </c>
      <c r="T128" s="44">
        <v>5713</v>
      </c>
      <c r="U128" s="44">
        <v>5239</v>
      </c>
      <c r="V128" s="44">
        <v>3355</v>
      </c>
      <c r="W128" s="44">
        <v>4823</v>
      </c>
      <c r="X128" s="7">
        <v>2.0046516779266721E-2</v>
      </c>
      <c r="Y128" s="8">
        <v>1.6666666666666611E-2</v>
      </c>
      <c r="Z128" s="8">
        <v>-1.4844876381694849E-2</v>
      </c>
      <c r="AA128" s="8">
        <v>3.691256978698032E-2</v>
      </c>
    </row>
    <row r="129" spans="2:27" x14ac:dyDescent="0.3">
      <c r="B129" s="13">
        <v>8306</v>
      </c>
      <c r="C129" s="3" t="s">
        <v>563</v>
      </c>
      <c r="D129" s="3" t="str">
        <f>VLOOKUP(B129,기업리스트!B:G,2,FALSE)</f>
        <v>Mitsubishi UFJ Financial Group, Inc.</v>
      </c>
      <c r="E129" s="3" t="s">
        <v>509</v>
      </c>
      <c r="F129" s="5">
        <v>3.4</v>
      </c>
      <c r="G129" s="4">
        <v>400267</v>
      </c>
      <c r="H129" s="4">
        <v>-1514933</v>
      </c>
      <c r="I129" s="4">
        <v>241042</v>
      </c>
      <c r="J129" s="4">
        <v>292701</v>
      </c>
      <c r="K129" s="6">
        <v>250621</v>
      </c>
      <c r="L129" s="44">
        <v>-336141</v>
      </c>
      <c r="M129" s="45">
        <v>703060</v>
      </c>
      <c r="N129" s="45">
        <v>534032</v>
      </c>
      <c r="O129" s="45">
        <v>523619</v>
      </c>
      <c r="P129" s="45">
        <v>117515</v>
      </c>
      <c r="Q129" s="44">
        <v>736061</v>
      </c>
      <c r="R129" s="45">
        <v>1005788</v>
      </c>
      <c r="S129" s="44">
        <v>664244</v>
      </c>
      <c r="T129" s="44">
        <v>-610516</v>
      </c>
      <c r="U129" s="44">
        <v>728614</v>
      </c>
      <c r="V129" s="44">
        <v>1041903</v>
      </c>
      <c r="W129" s="44">
        <v>725436</v>
      </c>
      <c r="X129" s="7">
        <v>-0.28848814871406342</v>
      </c>
      <c r="Y129" s="8">
        <v>-4.1474133384421519E-3</v>
      </c>
      <c r="Z129" s="8">
        <v>2.019707739370169E-2</v>
      </c>
      <c r="AA129" s="8">
        <v>3.3543740012991652E-2</v>
      </c>
    </row>
    <row r="130" spans="2:27" x14ac:dyDescent="0.3">
      <c r="B130" s="13">
        <v>9706</v>
      </c>
      <c r="C130" s="3" t="s">
        <v>563</v>
      </c>
      <c r="D130" s="3" t="str">
        <f>VLOOKUP(B130,기업리스트!B:G,2,FALSE)</f>
        <v>Japan Airport Terminal Co., Ltd.</v>
      </c>
      <c r="E130" s="3" t="s">
        <v>522</v>
      </c>
      <c r="F130" s="5">
        <v>2.9</v>
      </c>
      <c r="G130" s="4">
        <v>-10656</v>
      </c>
      <c r="H130" s="4">
        <v>-9068</v>
      </c>
      <c r="I130" s="4">
        <v>-10364</v>
      </c>
      <c r="J130" s="4">
        <v>-6201</v>
      </c>
      <c r="K130" s="4">
        <v>-3072</v>
      </c>
      <c r="L130" s="44">
        <v>-52</v>
      </c>
      <c r="M130" s="44">
        <v>-1253</v>
      </c>
      <c r="N130" s="44">
        <v>5520</v>
      </c>
      <c r="O130" s="45">
        <v>7989</v>
      </c>
      <c r="P130" s="45">
        <v>9826</v>
      </c>
      <c r="Q130" s="45">
        <v>6193</v>
      </c>
      <c r="R130" s="45">
        <v>10929</v>
      </c>
      <c r="S130" s="44">
        <v>10165</v>
      </c>
      <c r="T130" s="44">
        <v>10941</v>
      </c>
      <c r="U130" s="44">
        <v>6522</v>
      </c>
      <c r="V130" s="44">
        <v>10203</v>
      </c>
      <c r="W130" s="44">
        <v>11245</v>
      </c>
      <c r="X130" s="7">
        <v>3.0043381025516739E-2</v>
      </c>
      <c r="Y130" s="8">
        <v>8.6062571936800225E-3</v>
      </c>
      <c r="Z130" s="8">
        <v>-1.8829265762377759E-2</v>
      </c>
      <c r="AA130" s="8">
        <v>2.8548016177209149E-2</v>
      </c>
    </row>
    <row r="131" spans="2:27" x14ac:dyDescent="0.3">
      <c r="B131" s="13">
        <v>6420</v>
      </c>
      <c r="C131" s="3" t="s">
        <v>563</v>
      </c>
      <c r="D131" s="3" t="str">
        <f>VLOOKUP(B131,기업리스트!B:G,2,FALSE)</f>
        <v>Galilei Co. Ltd.</v>
      </c>
      <c r="E131" s="3" t="s">
        <v>522</v>
      </c>
      <c r="F131" s="5">
        <v>2.1</v>
      </c>
      <c r="G131" s="4">
        <v>3015</v>
      </c>
      <c r="H131" s="4">
        <v>2089</v>
      </c>
      <c r="I131" s="4">
        <v>2111</v>
      </c>
      <c r="J131" s="4">
        <v>1688</v>
      </c>
      <c r="K131" s="4">
        <v>2846</v>
      </c>
      <c r="L131" s="44">
        <v>2917</v>
      </c>
      <c r="M131" s="45">
        <v>4040</v>
      </c>
      <c r="N131" s="45">
        <v>3101</v>
      </c>
      <c r="O131" s="44">
        <v>3498</v>
      </c>
      <c r="P131" s="44">
        <v>4164</v>
      </c>
      <c r="Q131" s="44">
        <v>4464</v>
      </c>
      <c r="R131" s="44">
        <v>3041</v>
      </c>
      <c r="S131" s="44">
        <v>3935</v>
      </c>
      <c r="T131" s="44">
        <v>4471</v>
      </c>
      <c r="U131" s="44">
        <v>5119</v>
      </c>
      <c r="V131" s="44">
        <v>3727</v>
      </c>
      <c r="W131" s="44">
        <v>4298</v>
      </c>
      <c r="X131" s="7">
        <v>1.967444245065364E-2</v>
      </c>
      <c r="Y131" s="8">
        <v>4.1166488592797368E-2</v>
      </c>
      <c r="Z131" s="8">
        <v>4.1410117107328233E-2</v>
      </c>
      <c r="AA131" s="8">
        <v>2.104103872014829E-2</v>
      </c>
    </row>
    <row r="132" spans="2:27" x14ac:dyDescent="0.3">
      <c r="B132" s="13">
        <v>8242</v>
      </c>
      <c r="C132" s="3" t="s">
        <v>563</v>
      </c>
      <c r="D132" s="3" t="str">
        <f>VLOOKUP(B132,기업리스트!B:G,2,FALSE)</f>
        <v>H2O Retailing Corporation</v>
      </c>
      <c r="E132" s="3" t="s">
        <v>522</v>
      </c>
      <c r="F132" s="5">
        <v>2</v>
      </c>
      <c r="G132" s="4">
        <v>-3104</v>
      </c>
      <c r="H132" s="4">
        <v>5868</v>
      </c>
      <c r="I132" s="4">
        <v>22</v>
      </c>
      <c r="J132" s="4">
        <v>664</v>
      </c>
      <c r="K132" s="6">
        <v>451</v>
      </c>
      <c r="L132" s="45">
        <v>8367</v>
      </c>
      <c r="M132" s="45">
        <v>1907</v>
      </c>
      <c r="N132" s="45">
        <v>4758</v>
      </c>
      <c r="O132" s="45">
        <v>5139</v>
      </c>
      <c r="P132" s="45">
        <v>12288</v>
      </c>
      <c r="Q132" s="44">
        <v>4003</v>
      </c>
      <c r="R132" s="45">
        <v>9267</v>
      </c>
      <c r="S132" s="44">
        <v>5741</v>
      </c>
      <c r="T132" s="44">
        <v>13912</v>
      </c>
      <c r="U132" s="44">
        <v>5910</v>
      </c>
      <c r="V132" s="44">
        <v>5505</v>
      </c>
      <c r="W132" s="44">
        <v>6351</v>
      </c>
      <c r="X132" s="7">
        <v>5.1886641745742652E-2</v>
      </c>
      <c r="Y132" s="8">
        <v>5.7923032530449843E-2</v>
      </c>
      <c r="Z132" s="8">
        <v>-0.1080103359173127</v>
      </c>
      <c r="AA132" s="8">
        <v>1.963435045706197E-2</v>
      </c>
    </row>
    <row r="133" spans="2:27" x14ac:dyDescent="0.3">
      <c r="B133" s="13">
        <v>6674</v>
      </c>
      <c r="C133" s="3" t="s">
        <v>563</v>
      </c>
      <c r="D133" s="3" t="str">
        <f>VLOOKUP(B133,기업리스트!B:G,2,FALSE)</f>
        <v>GS Yuasa Corporation</v>
      </c>
      <c r="E133" s="3" t="s">
        <v>522</v>
      </c>
      <c r="F133" s="5">
        <v>1.7</v>
      </c>
      <c r="G133" s="4">
        <v>2016</v>
      </c>
      <c r="H133" s="4">
        <v>8675</v>
      </c>
      <c r="I133" s="4">
        <v>8763</v>
      </c>
      <c r="J133" s="4">
        <v>3571</v>
      </c>
      <c r="K133" s="6">
        <v>4653</v>
      </c>
      <c r="L133" s="44">
        <v>10771</v>
      </c>
      <c r="M133" s="45">
        <v>12506</v>
      </c>
      <c r="N133" s="44">
        <v>4837</v>
      </c>
      <c r="O133" s="44">
        <v>7838</v>
      </c>
      <c r="P133" s="45">
        <v>16704</v>
      </c>
      <c r="Q133" s="44">
        <v>12217</v>
      </c>
      <c r="R133" s="44">
        <v>6185</v>
      </c>
      <c r="S133" s="44">
        <v>9538</v>
      </c>
      <c r="T133" s="44">
        <v>16053</v>
      </c>
      <c r="U133" s="45">
        <v>18253</v>
      </c>
      <c r="V133" s="44">
        <v>8314</v>
      </c>
      <c r="W133" s="44">
        <v>10409</v>
      </c>
      <c r="X133" s="7">
        <v>-1.458202670011643E-2</v>
      </c>
      <c r="Y133" s="9">
        <v>0.13720364603459639</v>
      </c>
      <c r="Z133" s="8">
        <v>4.2555317915608848E-2</v>
      </c>
      <c r="AA133" s="8">
        <v>1.669925994094856E-2</v>
      </c>
    </row>
    <row r="134" spans="2:27" x14ac:dyDescent="0.3">
      <c r="B134" s="13">
        <v>7951</v>
      </c>
      <c r="C134" s="3" t="s">
        <v>563</v>
      </c>
      <c r="D134" s="3" t="str">
        <f>VLOOKUP(B134,기업리스트!B:G,2,FALSE)</f>
        <v>Yamaha Corporation</v>
      </c>
      <c r="E134" s="3" t="s">
        <v>509</v>
      </c>
      <c r="F134" s="5">
        <v>1.4</v>
      </c>
      <c r="G134" s="4">
        <v>11852</v>
      </c>
      <c r="H134" s="4">
        <v>3249</v>
      </c>
      <c r="I134" s="4">
        <v>11083</v>
      </c>
      <c r="J134" s="4">
        <v>13660</v>
      </c>
      <c r="K134" s="4">
        <v>14408</v>
      </c>
      <c r="L134" s="44">
        <v>6647</v>
      </c>
      <c r="M134" s="44">
        <v>6625</v>
      </c>
      <c r="N134" s="44">
        <v>8805</v>
      </c>
      <c r="O134" s="44">
        <v>10201</v>
      </c>
      <c r="P134" s="44">
        <v>8520</v>
      </c>
      <c r="Q134" s="44">
        <v>9192</v>
      </c>
      <c r="R134" s="44">
        <v>2761</v>
      </c>
      <c r="S134" s="44">
        <v>11515</v>
      </c>
      <c r="T134" s="44">
        <v>5763</v>
      </c>
      <c r="U134" s="44">
        <v>4590</v>
      </c>
      <c r="V134" s="45">
        <v>7883</v>
      </c>
      <c r="W134" s="44">
        <v>11931</v>
      </c>
      <c r="X134" s="7">
        <v>-8.6188570714017754E-2</v>
      </c>
      <c r="Y134" s="8">
        <v>-0.15743559919263789</v>
      </c>
      <c r="Z134" s="9">
        <v>0.20796621868528969</v>
      </c>
      <c r="AA134" s="8">
        <v>1.3982723269805991E-2</v>
      </c>
    </row>
    <row r="135" spans="2:27" x14ac:dyDescent="0.3">
      <c r="B135" s="13">
        <v>9001</v>
      </c>
      <c r="C135" s="3" t="s">
        <v>563</v>
      </c>
      <c r="D135" s="3" t="str">
        <f>VLOOKUP(B135,기업리스트!B:G,2,FALSE)</f>
        <v>Tobu Railway Co., Ltd.</v>
      </c>
      <c r="E135" s="3" t="s">
        <v>509</v>
      </c>
      <c r="F135" s="5">
        <v>0.7</v>
      </c>
      <c r="G135" s="4">
        <v>13572</v>
      </c>
      <c r="H135" s="4">
        <v>4483</v>
      </c>
      <c r="I135" s="4">
        <v>14329</v>
      </c>
      <c r="J135" s="4">
        <v>9770</v>
      </c>
      <c r="K135" s="6">
        <v>21363</v>
      </c>
      <c r="L135" s="45">
        <v>11227</v>
      </c>
      <c r="M135" s="45">
        <v>23659</v>
      </c>
      <c r="N135" s="44">
        <v>15430</v>
      </c>
      <c r="O135" s="44">
        <v>22318</v>
      </c>
      <c r="P135" s="44">
        <v>12477</v>
      </c>
      <c r="Q135" s="44">
        <v>21396</v>
      </c>
      <c r="R135" s="44">
        <v>17083</v>
      </c>
      <c r="S135" s="44">
        <v>22111</v>
      </c>
      <c r="T135" s="44">
        <v>14015</v>
      </c>
      <c r="U135" s="44">
        <v>19004</v>
      </c>
      <c r="V135" s="44">
        <v>16581</v>
      </c>
      <c r="W135" s="44">
        <v>22619</v>
      </c>
      <c r="X135" s="7">
        <v>2.1049174045738809E-2</v>
      </c>
      <c r="Y135" s="8">
        <v>-3.2062194222907348E-2</v>
      </c>
      <c r="Z135" s="8">
        <v>-6.9516569038815526E-3</v>
      </c>
      <c r="AA135" s="8">
        <v>7.0839899039198961E-3</v>
      </c>
    </row>
    <row r="136" spans="2:27" x14ac:dyDescent="0.3">
      <c r="B136" s="13">
        <v>8059</v>
      </c>
      <c r="C136" s="3" t="s">
        <v>563</v>
      </c>
      <c r="D136" s="3" t="str">
        <f>VLOOKUP(B136,기업리스트!B:G,2,FALSE)</f>
        <v>Daiichi Jitsugyo Co., Ltd.</v>
      </c>
      <c r="E136" s="3" t="s">
        <v>522</v>
      </c>
      <c r="F136" s="5">
        <v>0.5</v>
      </c>
      <c r="G136" s="4">
        <v>2690</v>
      </c>
      <c r="H136" s="4">
        <v>1945</v>
      </c>
      <c r="I136" s="4">
        <v>1879</v>
      </c>
      <c r="J136" s="4">
        <v>547</v>
      </c>
      <c r="K136" s="4">
        <v>2312</v>
      </c>
      <c r="L136" s="44">
        <v>1576</v>
      </c>
      <c r="M136" s="44">
        <v>2283</v>
      </c>
      <c r="N136" s="44">
        <v>691</v>
      </c>
      <c r="O136" s="44">
        <v>2404</v>
      </c>
      <c r="P136" s="44">
        <v>1419</v>
      </c>
      <c r="Q136" s="45">
        <v>4577</v>
      </c>
      <c r="R136" s="45">
        <v>2099</v>
      </c>
      <c r="S136" s="45">
        <v>4029</v>
      </c>
      <c r="T136" s="45">
        <v>3831</v>
      </c>
      <c r="U136" s="44">
        <v>3144</v>
      </c>
      <c r="V136" s="44">
        <v>2502</v>
      </c>
      <c r="W136" s="44">
        <v>4090</v>
      </c>
      <c r="X136" s="10">
        <v>0.19894424282415041</v>
      </c>
      <c r="Y136" s="8">
        <v>-9.858282883874514E-2</v>
      </c>
      <c r="Z136" s="8">
        <v>3.075631534763024E-2</v>
      </c>
      <c r="AA136" s="8">
        <v>4.5165111802161206E-3</v>
      </c>
    </row>
    <row r="137" spans="2:27" x14ac:dyDescent="0.3">
      <c r="B137" s="13">
        <v>7296</v>
      </c>
      <c r="C137" s="3" t="s">
        <v>563</v>
      </c>
      <c r="D137" s="3" t="str">
        <f>VLOOKUP(B137,기업리스트!B:G,2,FALSE)</f>
        <v>F.C.C. Co., Ltd.</v>
      </c>
      <c r="E137" s="3" t="s">
        <v>522</v>
      </c>
      <c r="F137" s="5">
        <v>-0.1</v>
      </c>
      <c r="G137" s="4">
        <v>2710</v>
      </c>
      <c r="H137" s="4">
        <v>2377</v>
      </c>
      <c r="I137" s="4">
        <v>2215</v>
      </c>
      <c r="J137" s="4">
        <v>1794</v>
      </c>
      <c r="K137" s="4">
        <v>2442</v>
      </c>
      <c r="L137" s="44">
        <v>2644</v>
      </c>
      <c r="M137" s="45">
        <v>5346</v>
      </c>
      <c r="N137" s="44">
        <v>3009</v>
      </c>
      <c r="O137" s="44">
        <v>3447</v>
      </c>
      <c r="P137" s="45">
        <v>5491</v>
      </c>
      <c r="Q137" s="44">
        <v>3992</v>
      </c>
      <c r="R137" s="45">
        <v>4943</v>
      </c>
      <c r="S137" s="44">
        <v>5083</v>
      </c>
      <c r="T137" s="44">
        <v>5676</v>
      </c>
      <c r="U137" s="44">
        <v>2520</v>
      </c>
      <c r="V137" s="44">
        <v>5068</v>
      </c>
      <c r="W137" s="44">
        <v>5068</v>
      </c>
      <c r="X137" s="7">
        <v>9.482802808959967E-3</v>
      </c>
      <c r="Y137" s="8">
        <v>-7.4743576723875327E-2</v>
      </c>
      <c r="Z137" s="8">
        <v>6.8598397541432821E-3</v>
      </c>
      <c r="AA137" s="8">
        <v>-8.1757235515345084E-4</v>
      </c>
    </row>
    <row r="138" spans="2:27" x14ac:dyDescent="0.3">
      <c r="B138" s="13">
        <v>3433</v>
      </c>
      <c r="C138" s="3" t="s">
        <v>563</v>
      </c>
      <c r="D138" s="3" t="str">
        <f>VLOOKUP(B138,기업리스트!B:G,2,FALSE)</f>
        <v>TOCALO Co.,Ltd.</v>
      </c>
      <c r="E138" s="3" t="s">
        <v>522</v>
      </c>
      <c r="F138" s="5">
        <v>-0.1</v>
      </c>
      <c r="G138" s="4">
        <v>2351</v>
      </c>
      <c r="H138" s="4">
        <v>2443</v>
      </c>
      <c r="I138" s="4">
        <v>2702</v>
      </c>
      <c r="J138" s="4">
        <v>2724</v>
      </c>
      <c r="K138" s="4">
        <v>2858</v>
      </c>
      <c r="L138" s="44">
        <v>2642</v>
      </c>
      <c r="M138" s="44">
        <v>2335</v>
      </c>
      <c r="N138" s="44">
        <v>2270</v>
      </c>
      <c r="O138" s="44">
        <v>2027</v>
      </c>
      <c r="P138" s="44">
        <v>2108</v>
      </c>
      <c r="Q138" s="44">
        <v>2793</v>
      </c>
      <c r="R138" s="44">
        <v>2688</v>
      </c>
      <c r="S138" s="44">
        <v>2696</v>
      </c>
      <c r="T138" s="44">
        <v>3107</v>
      </c>
      <c r="U138" s="44">
        <v>3781</v>
      </c>
      <c r="V138" s="44">
        <v>3838</v>
      </c>
      <c r="W138" s="44">
        <v>2682</v>
      </c>
      <c r="X138" s="7">
        <v>9.7131745260087499E-2</v>
      </c>
      <c r="Y138" s="8">
        <v>8.7557603686635899E-2</v>
      </c>
      <c r="Z138" s="8">
        <v>9.3709256844850097E-2</v>
      </c>
      <c r="AA138" s="8">
        <v>-1.0430636268812239E-3</v>
      </c>
    </row>
    <row r="139" spans="2:27" x14ac:dyDescent="0.3">
      <c r="B139" s="13">
        <v>6103</v>
      </c>
      <c r="C139" s="3" t="s">
        <v>563</v>
      </c>
      <c r="D139" s="3" t="str">
        <f>VLOOKUP(B139,기업리스트!B:G,2,FALSE)</f>
        <v>Okuma Corporation</v>
      </c>
      <c r="E139" s="3" t="s">
        <v>509</v>
      </c>
      <c r="F139" s="5">
        <v>-0.8</v>
      </c>
      <c r="G139" s="4">
        <v>3776</v>
      </c>
      <c r="H139" s="4">
        <v>5507</v>
      </c>
      <c r="I139" s="4">
        <v>4726</v>
      </c>
      <c r="J139" s="4">
        <v>5831</v>
      </c>
      <c r="K139" s="6">
        <v>6972</v>
      </c>
      <c r="L139" s="44">
        <v>7275</v>
      </c>
      <c r="M139" s="44">
        <v>5544</v>
      </c>
      <c r="N139" s="44">
        <v>6432</v>
      </c>
      <c r="O139" s="44">
        <v>6246</v>
      </c>
      <c r="P139" s="44">
        <v>7142</v>
      </c>
      <c r="Q139" s="44">
        <v>3067</v>
      </c>
      <c r="R139" s="44">
        <v>2561</v>
      </c>
      <c r="S139" s="44">
        <v>4501</v>
      </c>
      <c r="T139" s="44">
        <v>4523</v>
      </c>
      <c r="U139" s="44">
        <v>1600</v>
      </c>
      <c r="V139" s="45">
        <v>4459</v>
      </c>
      <c r="W139" s="44">
        <v>4383</v>
      </c>
      <c r="X139" s="7">
        <v>-0.15164147993746749</v>
      </c>
      <c r="Y139" s="8">
        <v>-0.1001228501228502</v>
      </c>
      <c r="Z139" s="9">
        <v>0.14395145999241571</v>
      </c>
      <c r="AA139" s="8">
        <v>-7.823377312205837E-3</v>
      </c>
    </row>
    <row r="140" spans="2:27" x14ac:dyDescent="0.3">
      <c r="B140" s="13">
        <v>2733</v>
      </c>
      <c r="C140" s="3" t="s">
        <v>563</v>
      </c>
      <c r="D140" s="3" t="str">
        <f>VLOOKUP(B140,기업리스트!B:G,2,FALSE)</f>
        <v>Arata Corporation</v>
      </c>
      <c r="E140" s="3" t="s">
        <v>522</v>
      </c>
      <c r="F140" s="5">
        <v>-1</v>
      </c>
      <c r="G140" s="4">
        <v>3545</v>
      </c>
      <c r="H140" s="4">
        <v>3554</v>
      </c>
      <c r="I140" s="4">
        <v>2092</v>
      </c>
      <c r="J140" s="4">
        <v>3430</v>
      </c>
      <c r="K140" s="4">
        <v>2938</v>
      </c>
      <c r="L140" s="44">
        <v>3731</v>
      </c>
      <c r="M140" s="44">
        <v>2717</v>
      </c>
      <c r="N140" s="44">
        <v>4348</v>
      </c>
      <c r="O140" s="44">
        <v>3626</v>
      </c>
      <c r="P140" s="44">
        <v>4455</v>
      </c>
      <c r="Q140" s="44">
        <v>2081</v>
      </c>
      <c r="R140" s="44">
        <v>4715</v>
      </c>
      <c r="S140" s="44">
        <v>3462</v>
      </c>
      <c r="T140" s="44">
        <v>4926</v>
      </c>
      <c r="U140" s="44">
        <v>1889</v>
      </c>
      <c r="V140" s="44">
        <v>4066</v>
      </c>
      <c r="W140" s="44">
        <v>3318</v>
      </c>
      <c r="X140" s="7">
        <v>3.2012505947121683E-2</v>
      </c>
      <c r="Y140" s="8">
        <v>-1.2644889357218079E-2</v>
      </c>
      <c r="Z140" s="8">
        <v>-4.3289754535752463E-2</v>
      </c>
      <c r="AA140" s="8">
        <v>-1.0039740640033429E-2</v>
      </c>
    </row>
    <row r="141" spans="2:27" x14ac:dyDescent="0.3">
      <c r="B141" s="13">
        <v>8098</v>
      </c>
      <c r="C141" s="3" t="s">
        <v>563</v>
      </c>
      <c r="D141" s="3" t="str">
        <f>VLOOKUP(B141,기업리스트!B:G,2,FALSE)</f>
        <v>Inabata &amp; Co.,Ltd.</v>
      </c>
      <c r="E141" s="3" t="s">
        <v>509</v>
      </c>
      <c r="F141" s="5">
        <v>-1.1000000000000001</v>
      </c>
      <c r="G141" s="4">
        <v>5258</v>
      </c>
      <c r="H141" s="4">
        <v>3567</v>
      </c>
      <c r="I141" s="4">
        <v>5336</v>
      </c>
      <c r="J141" s="4">
        <v>5212</v>
      </c>
      <c r="K141" s="4">
        <v>5579</v>
      </c>
      <c r="L141" s="44">
        <v>4117</v>
      </c>
      <c r="M141" s="44">
        <v>5073</v>
      </c>
      <c r="N141" s="44">
        <v>5394</v>
      </c>
      <c r="O141" s="44">
        <v>5854</v>
      </c>
      <c r="P141" s="44">
        <v>4769</v>
      </c>
      <c r="Q141" s="44">
        <v>6826</v>
      </c>
      <c r="R141" s="44">
        <v>7038</v>
      </c>
      <c r="S141" s="44">
        <v>6530</v>
      </c>
      <c r="T141" s="44">
        <v>5335</v>
      </c>
      <c r="U141" s="44">
        <v>6621</v>
      </c>
      <c r="V141" s="44">
        <v>7429</v>
      </c>
      <c r="W141" s="44">
        <v>6233</v>
      </c>
      <c r="X141" s="7">
        <v>2.2493343401025271E-2</v>
      </c>
      <c r="Y141" s="8">
        <v>-7.9676629484239925E-3</v>
      </c>
      <c r="Z141" s="8">
        <v>1.5318915530481149E-2</v>
      </c>
      <c r="AA141" s="8">
        <v>-1.146054408643638E-2</v>
      </c>
    </row>
    <row r="142" spans="2:27" x14ac:dyDescent="0.3">
      <c r="B142" s="13">
        <v>6367</v>
      </c>
      <c r="C142" s="3" t="s">
        <v>563</v>
      </c>
      <c r="D142" s="3" t="str">
        <f>VLOOKUP(B142,기업리스트!B:G,2,FALSE)</f>
        <v>Daikin Industries,Ltd.</v>
      </c>
      <c r="E142" s="3" t="s">
        <v>509</v>
      </c>
      <c r="F142" s="5">
        <v>-2.7</v>
      </c>
      <c r="G142" s="4">
        <v>66795</v>
      </c>
      <c r="H142" s="4">
        <v>56850</v>
      </c>
      <c r="I142" s="4">
        <v>107860</v>
      </c>
      <c r="J142" s="4">
        <v>113795</v>
      </c>
      <c r="K142" s="4">
        <v>82103</v>
      </c>
      <c r="L142" s="44">
        <v>73275</v>
      </c>
      <c r="M142" s="44">
        <v>117886</v>
      </c>
      <c r="N142" s="44">
        <v>117861</v>
      </c>
      <c r="O142" s="44">
        <v>70744</v>
      </c>
      <c r="P142" s="44">
        <v>85646</v>
      </c>
      <c r="Q142" s="44">
        <v>115410</v>
      </c>
      <c r="R142" s="44">
        <v>131185</v>
      </c>
      <c r="S142" s="44">
        <v>72147</v>
      </c>
      <c r="T142" s="44">
        <v>82928</v>
      </c>
      <c r="U142" s="44">
        <v>121300</v>
      </c>
      <c r="V142" s="44">
        <v>125302</v>
      </c>
      <c r="W142" s="44">
        <v>61308</v>
      </c>
      <c r="X142" s="7">
        <v>-6.72126769340331E-3</v>
      </c>
      <c r="Y142" s="8">
        <v>1.466377872382796E-2</v>
      </c>
      <c r="Z142" s="8">
        <v>-1.4434684463637271E-2</v>
      </c>
      <c r="AA142" s="8">
        <v>-2.698436803700488E-2</v>
      </c>
    </row>
    <row r="143" spans="2:27" x14ac:dyDescent="0.3">
      <c r="B143" s="13">
        <v>4689</v>
      </c>
      <c r="C143" s="3" t="s">
        <v>563</v>
      </c>
      <c r="D143" s="3" t="str">
        <f>VLOOKUP(B143,기업리스트!B:G,2,FALSE)</f>
        <v>LY Corporation</v>
      </c>
      <c r="E143" s="3" t="s">
        <v>509</v>
      </c>
      <c r="F143" s="5">
        <v>-3.7</v>
      </c>
      <c r="G143" s="4">
        <v>61046</v>
      </c>
      <c r="H143" s="4">
        <v>28010</v>
      </c>
      <c r="I143" s="4">
        <v>49721</v>
      </c>
      <c r="J143" s="4">
        <v>40577</v>
      </c>
      <c r="K143" s="4">
        <v>39068</v>
      </c>
      <c r="L143" s="44">
        <v>28666</v>
      </c>
      <c r="M143" s="44">
        <v>48940</v>
      </c>
      <c r="N143" s="44">
        <v>52663</v>
      </c>
      <c r="O143" s="45">
        <v>57150</v>
      </c>
      <c r="P143" s="45">
        <v>54128</v>
      </c>
      <c r="Q143" s="44">
        <v>63748</v>
      </c>
      <c r="R143" s="44">
        <v>65857</v>
      </c>
      <c r="S143" s="45">
        <v>82105</v>
      </c>
      <c r="T143" s="45">
        <v>103324</v>
      </c>
      <c r="U143" s="44">
        <v>78003</v>
      </c>
      <c r="V143" s="44">
        <v>75079</v>
      </c>
      <c r="W143" s="44">
        <v>69671</v>
      </c>
      <c r="X143" s="10">
        <v>0.18506007418051601</v>
      </c>
      <c r="Y143" s="8">
        <v>4.5249084225829517E-2</v>
      </c>
      <c r="Z143" s="8">
        <v>2.8005794302269349E-2</v>
      </c>
      <c r="AA143" s="8">
        <v>-3.6731450381228381E-2</v>
      </c>
    </row>
    <row r="144" spans="2:27" x14ac:dyDescent="0.3">
      <c r="B144" s="13">
        <v>6417</v>
      </c>
      <c r="C144" s="3" t="s">
        <v>563</v>
      </c>
      <c r="D144" s="3" t="str">
        <f>VLOOKUP(B144,기업리스트!B:G,2,FALSE)</f>
        <v>Sankyo Co., Ltd.</v>
      </c>
      <c r="E144" s="3" t="s">
        <v>522</v>
      </c>
      <c r="F144" s="5">
        <v>-4.8</v>
      </c>
      <c r="G144" s="4">
        <v>2147</v>
      </c>
      <c r="H144" s="4">
        <v>17120</v>
      </c>
      <c r="I144" s="4">
        <v>1323</v>
      </c>
      <c r="J144" s="4">
        <v>9456</v>
      </c>
      <c r="K144" s="6">
        <v>16961</v>
      </c>
      <c r="L144" s="45">
        <v>21623</v>
      </c>
      <c r="M144" s="45">
        <v>10493</v>
      </c>
      <c r="N144" s="45">
        <v>19190</v>
      </c>
      <c r="O144" s="45">
        <v>26271</v>
      </c>
      <c r="P144" s="44">
        <v>19804</v>
      </c>
      <c r="Q144" s="44">
        <v>7230</v>
      </c>
      <c r="R144" s="44">
        <v>17273</v>
      </c>
      <c r="S144" s="44">
        <v>19016</v>
      </c>
      <c r="T144" s="45">
        <v>26154</v>
      </c>
      <c r="U144" s="44">
        <v>11163</v>
      </c>
      <c r="V144" s="44">
        <v>23852</v>
      </c>
      <c r="W144" s="44">
        <v>15187</v>
      </c>
      <c r="X144" s="10">
        <v>0.1002795192899895</v>
      </c>
      <c r="Y144" s="8">
        <v>5.6449413689664503E-2</v>
      </c>
      <c r="Z144" s="8">
        <v>8.9381300437464395E-2</v>
      </c>
      <c r="AA144" s="8">
        <v>-4.7752073330423417E-2</v>
      </c>
    </row>
    <row r="145" spans="2:27" x14ac:dyDescent="0.3">
      <c r="B145" s="13">
        <v>7832</v>
      </c>
      <c r="C145" s="3" t="s">
        <v>563</v>
      </c>
      <c r="D145" s="3" t="str">
        <f>VLOOKUP(B145,기업리스트!B:G,2,FALSE)</f>
        <v>BANDAI NAMCO Holdings Inc.</v>
      </c>
      <c r="E145" s="3" t="s">
        <v>522</v>
      </c>
      <c r="F145" s="5">
        <v>-8.6</v>
      </c>
      <c r="G145" s="4">
        <v>34729</v>
      </c>
      <c r="H145" s="4">
        <v>30038</v>
      </c>
      <c r="I145" s="4">
        <v>33339</v>
      </c>
      <c r="J145" s="4">
        <v>44394</v>
      </c>
      <c r="K145" s="4">
        <v>37215</v>
      </c>
      <c r="L145" s="44">
        <v>24595</v>
      </c>
      <c r="M145" s="44">
        <v>10269</v>
      </c>
      <c r="N145" s="44">
        <v>27990</v>
      </c>
      <c r="O145" s="44">
        <v>37490</v>
      </c>
      <c r="P145" s="44">
        <v>12802</v>
      </c>
      <c r="Q145" s="44">
        <v>12400</v>
      </c>
      <c r="R145" s="45">
        <v>44024</v>
      </c>
      <c r="S145" s="45">
        <v>69648</v>
      </c>
      <c r="T145" s="45">
        <v>65562</v>
      </c>
      <c r="U145" s="44">
        <v>996</v>
      </c>
      <c r="V145" s="44">
        <v>51922</v>
      </c>
      <c r="W145" s="44">
        <v>53560</v>
      </c>
      <c r="X145" s="10">
        <v>0.37991272664429632</v>
      </c>
      <c r="Y145" s="8">
        <v>-5.9509272884769933E-2</v>
      </c>
      <c r="Z145" s="8">
        <v>4.3821783276923883E-2</v>
      </c>
      <c r="AA145" s="8">
        <v>-8.5516244259227769E-2</v>
      </c>
    </row>
    <row r="146" spans="2:27" x14ac:dyDescent="0.3">
      <c r="B146" s="13">
        <v>4569</v>
      </c>
      <c r="C146" s="3" t="s">
        <v>563</v>
      </c>
      <c r="D146" s="3" t="str">
        <f>VLOOKUP(B146,기업리스트!B:G,2,FALSE)</f>
        <v>KYORIN Pharmaceutical Co., Ltd.</v>
      </c>
      <c r="E146" s="3" t="s">
        <v>522</v>
      </c>
      <c r="F146" s="5">
        <v>-10.5</v>
      </c>
      <c r="G146" s="4">
        <v>687</v>
      </c>
      <c r="H146" s="4">
        <v>2994</v>
      </c>
      <c r="I146" s="4">
        <v>2080</v>
      </c>
      <c r="J146" s="4">
        <v>489</v>
      </c>
      <c r="K146" s="4">
        <v>288</v>
      </c>
      <c r="L146" s="45">
        <v>3923</v>
      </c>
      <c r="M146" s="44">
        <v>421</v>
      </c>
      <c r="N146" s="44">
        <v>710</v>
      </c>
      <c r="O146" s="44">
        <v>431</v>
      </c>
      <c r="P146" s="44">
        <v>3319</v>
      </c>
      <c r="Q146" s="45">
        <v>1546</v>
      </c>
      <c r="R146" s="44">
        <v>1145</v>
      </c>
      <c r="S146" s="44">
        <v>392</v>
      </c>
      <c r="T146" s="44">
        <v>1562</v>
      </c>
      <c r="U146" s="45">
        <v>9448</v>
      </c>
      <c r="V146" s="44">
        <v>2367</v>
      </c>
      <c r="W146" s="44">
        <v>-1057</v>
      </c>
      <c r="X146" s="7">
        <v>-0.27444548578569189</v>
      </c>
      <c r="Y146" s="9">
        <v>1.7011840688912809</v>
      </c>
      <c r="Z146" s="8">
        <v>9.7393799314577256E-2</v>
      </c>
      <c r="AA146" s="8">
        <v>-0.1052364006100661</v>
      </c>
    </row>
    <row r="147" spans="2:27" x14ac:dyDescent="0.3">
      <c r="B147" s="13">
        <v>6996</v>
      </c>
      <c r="C147" s="3" t="s">
        <v>563</v>
      </c>
      <c r="D147" s="3" t="str">
        <f>VLOOKUP(B147,기업리스트!B:G,2,FALSE)</f>
        <v>Nichicon Corporation</v>
      </c>
      <c r="E147" s="3" t="s">
        <v>522</v>
      </c>
      <c r="F147" s="5">
        <v>-13.4</v>
      </c>
      <c r="G147" s="4">
        <v>1035</v>
      </c>
      <c r="H147" s="4">
        <v>1866</v>
      </c>
      <c r="I147" s="4">
        <v>2722</v>
      </c>
      <c r="J147" s="4">
        <v>2490</v>
      </c>
      <c r="K147" s="6">
        <v>3334</v>
      </c>
      <c r="L147" s="45">
        <v>3714</v>
      </c>
      <c r="M147" s="44">
        <v>2907</v>
      </c>
      <c r="N147" s="44">
        <v>2242</v>
      </c>
      <c r="O147" s="44">
        <v>3341</v>
      </c>
      <c r="P147" s="44">
        <v>1997</v>
      </c>
      <c r="Q147" s="44">
        <v>891</v>
      </c>
      <c r="R147" s="44">
        <v>152</v>
      </c>
      <c r="S147" s="44">
        <v>1447</v>
      </c>
      <c r="T147" s="44">
        <v>2164</v>
      </c>
      <c r="U147" s="44">
        <v>1061</v>
      </c>
      <c r="V147" s="45">
        <v>726</v>
      </c>
      <c r="W147" s="44">
        <v>723</v>
      </c>
      <c r="X147" s="7">
        <v>3.7218631602407022E-2</v>
      </c>
      <c r="Y147" s="8">
        <v>3.6527718091963868E-2</v>
      </c>
      <c r="Z147" s="9">
        <v>0.11898839137645111</v>
      </c>
      <c r="AA147" s="8">
        <v>-0.13412374953686551</v>
      </c>
    </row>
    <row r="148" spans="2:27" x14ac:dyDescent="0.3">
      <c r="B148" s="23">
        <v>6963</v>
      </c>
      <c r="C148" s="24" t="s">
        <v>563</v>
      </c>
      <c r="D148" s="24" t="str">
        <f>VLOOKUP(B148,기업리스트!B:G,2,FALSE)</f>
        <v>ROHM Co., Ltd.</v>
      </c>
      <c r="E148" s="24" t="s">
        <v>509</v>
      </c>
      <c r="F148" s="25">
        <v>-38.700000000000003</v>
      </c>
      <c r="G148" s="26">
        <v>21688</v>
      </c>
      <c r="H148" s="26">
        <v>15278</v>
      </c>
      <c r="I148" s="26">
        <v>22526</v>
      </c>
      <c r="J148" s="26">
        <v>27879</v>
      </c>
      <c r="K148" s="26">
        <v>25010</v>
      </c>
      <c r="L148" s="48">
        <v>16903</v>
      </c>
      <c r="M148" s="48">
        <v>17693</v>
      </c>
      <c r="N148" s="48">
        <v>12141</v>
      </c>
      <c r="O148" s="48">
        <v>10817</v>
      </c>
      <c r="P148" s="48">
        <v>2676</v>
      </c>
      <c r="Q148" s="48">
        <v>1272</v>
      </c>
      <c r="R148" s="48">
        <v>-2247</v>
      </c>
      <c r="S148" s="48">
        <v>-10105</v>
      </c>
      <c r="T148" s="49">
        <v>-28981</v>
      </c>
      <c r="U148" s="48">
        <v>197</v>
      </c>
      <c r="V148" s="48">
        <v>7458</v>
      </c>
      <c r="W148" s="48">
        <v>2048</v>
      </c>
      <c r="X148" s="10">
        <v>3.7668967158495961</v>
      </c>
      <c r="Y148" s="27">
        <v>2.6834078031002791E-2</v>
      </c>
      <c r="Z148" s="27">
        <v>-0.23592473745624279</v>
      </c>
      <c r="AA148" s="27">
        <v>-0.38665648563520089</v>
      </c>
    </row>
    <row r="149" spans="2:27" x14ac:dyDescent="0.3">
      <c r="B149" s="17">
        <v>6752</v>
      </c>
      <c r="C149" s="18" t="s">
        <v>563</v>
      </c>
      <c r="D149" s="18" t="str">
        <f>VLOOKUP(B149,기업리스트!B:G,2,FALSE)</f>
        <v>Panasonic Holdings Corporation</v>
      </c>
      <c r="E149" s="18" t="s">
        <v>509</v>
      </c>
      <c r="F149" s="19">
        <v>-39.4</v>
      </c>
      <c r="G149" s="20">
        <v>78226</v>
      </c>
      <c r="H149" s="20">
        <v>47885</v>
      </c>
      <c r="I149" s="20">
        <v>69979</v>
      </c>
      <c r="J149" s="20">
        <v>82065</v>
      </c>
      <c r="K149" s="20">
        <v>85317</v>
      </c>
      <c r="L149" s="46">
        <v>52441</v>
      </c>
      <c r="M149" s="46">
        <v>92151</v>
      </c>
      <c r="N149" s="46">
        <v>87690</v>
      </c>
      <c r="O149" s="47">
        <v>117240</v>
      </c>
      <c r="P149" s="46">
        <v>75624</v>
      </c>
      <c r="Q149" s="46">
        <v>87285</v>
      </c>
      <c r="R149" s="46">
        <v>123952</v>
      </c>
      <c r="S149" s="46">
        <v>122545</v>
      </c>
      <c r="T149" s="46">
        <v>72752</v>
      </c>
      <c r="U149" s="46">
        <v>87820</v>
      </c>
      <c r="V149" s="46">
        <v>71188</v>
      </c>
      <c r="W149" s="46">
        <v>-17135</v>
      </c>
      <c r="X149" s="21">
        <v>-7.0150413037425308E-3</v>
      </c>
      <c r="Y149" s="22">
        <v>1.316003089532503E-3</v>
      </c>
      <c r="Z149" s="22">
        <v>-0.1296193028700294</v>
      </c>
      <c r="AA149" s="22">
        <v>-0.39423660405582761</v>
      </c>
    </row>
    <row r="150" spans="2:27" x14ac:dyDescent="0.3">
      <c r="B150" s="13" t="s">
        <v>580</v>
      </c>
      <c r="C150" s="3" t="s">
        <v>565</v>
      </c>
      <c r="D150" s="3" t="str">
        <f>VLOOKUP(B150,기업리스트!B:G,2,FALSE)</f>
        <v>Apollo Tyres Limited</v>
      </c>
      <c r="E150" s="3" t="s">
        <v>509</v>
      </c>
      <c r="F150" s="14">
        <v>12.9</v>
      </c>
      <c r="G150" s="4">
        <v>3987</v>
      </c>
      <c r="H150" s="4">
        <v>2510</v>
      </c>
      <c r="I150" s="4">
        <v>3461</v>
      </c>
      <c r="J150" s="4">
        <v>3635</v>
      </c>
      <c r="K150" s="6">
        <v>5589</v>
      </c>
      <c r="L150" s="45">
        <v>6274</v>
      </c>
      <c r="M150" s="45">
        <v>6895</v>
      </c>
      <c r="N150" s="45">
        <v>7995</v>
      </c>
      <c r="O150" s="45">
        <v>8405</v>
      </c>
      <c r="P150" s="44">
        <v>6400</v>
      </c>
      <c r="Q150" s="44">
        <v>5398</v>
      </c>
      <c r="R150" s="44">
        <v>5020</v>
      </c>
      <c r="S150" s="44">
        <v>5711</v>
      </c>
      <c r="T150" s="44">
        <v>4603</v>
      </c>
      <c r="U150" s="44">
        <v>4902</v>
      </c>
      <c r="V150" s="44">
        <v>6373</v>
      </c>
      <c r="W150" s="45">
        <v>8502</v>
      </c>
      <c r="X150" s="7">
        <v>-7.976385991388879E-2</v>
      </c>
      <c r="Y150" s="8">
        <v>-2.3924368126567619E-2</v>
      </c>
      <c r="Z150" s="8">
        <v>6.6861039731172189E-2</v>
      </c>
      <c r="AA150" s="9">
        <v>0.12927879938857759</v>
      </c>
    </row>
    <row r="151" spans="2:27" x14ac:dyDescent="0.3">
      <c r="B151" s="13" t="s">
        <v>581</v>
      </c>
      <c r="C151" s="3" t="s">
        <v>565</v>
      </c>
      <c r="D151" s="3" t="str">
        <f>VLOOKUP(B151,기업리스트!B:G,2,FALSE)</f>
        <v>Surya Roshni Limited</v>
      </c>
      <c r="E151" s="3" t="s">
        <v>522</v>
      </c>
      <c r="F151" s="14">
        <v>10.9</v>
      </c>
      <c r="G151" s="4">
        <v>734.1</v>
      </c>
      <c r="H151" s="4">
        <v>699</v>
      </c>
      <c r="I151" s="4">
        <v>1283</v>
      </c>
      <c r="J151" s="4">
        <v>420.6</v>
      </c>
      <c r="K151" s="4">
        <v>1001</v>
      </c>
      <c r="L151" s="45">
        <v>1329</v>
      </c>
      <c r="M151" s="45">
        <v>2243</v>
      </c>
      <c r="N151" s="44">
        <v>857.2</v>
      </c>
      <c r="O151" s="44">
        <v>1084</v>
      </c>
      <c r="P151" s="44">
        <v>1246</v>
      </c>
      <c r="Q151" s="44">
        <v>1396</v>
      </c>
      <c r="R151" s="44">
        <v>1205</v>
      </c>
      <c r="S151" s="44">
        <v>453.3</v>
      </c>
      <c r="T151" s="44">
        <v>1194</v>
      </c>
      <c r="U151" s="44">
        <v>1735</v>
      </c>
      <c r="V151" s="44">
        <v>380</v>
      </c>
      <c r="W151" s="45">
        <v>861.8</v>
      </c>
      <c r="X151" s="7">
        <v>-1.2092179615375681E-2</v>
      </c>
      <c r="Y151" s="8">
        <v>7.9796624532165739E-2</v>
      </c>
      <c r="Z151" s="8">
        <v>-0.1798443528873194</v>
      </c>
      <c r="AA151" s="9">
        <v>0.1085772001169498</v>
      </c>
    </row>
    <row r="152" spans="2:27" x14ac:dyDescent="0.3">
      <c r="B152" s="13" t="s">
        <v>395</v>
      </c>
      <c r="C152" s="3" t="s">
        <v>565</v>
      </c>
      <c r="D152" s="3" t="str">
        <f>VLOOKUP(B152,기업리스트!B:G,2,FALSE)</f>
        <v>Minda Corporation Limited</v>
      </c>
      <c r="E152" s="3" t="s">
        <v>522</v>
      </c>
      <c r="F152" s="5">
        <v>6.6</v>
      </c>
      <c r="G152" s="4">
        <v>502.9</v>
      </c>
      <c r="H152" s="4">
        <v>517.20000000000005</v>
      </c>
      <c r="I152" s="4">
        <v>780.2</v>
      </c>
      <c r="J152" s="4">
        <v>749.7</v>
      </c>
      <c r="K152" s="6">
        <v>900</v>
      </c>
      <c r="L152" s="44">
        <v>800.9</v>
      </c>
      <c r="M152" s="44">
        <v>844.4</v>
      </c>
      <c r="N152" s="44">
        <v>756.3</v>
      </c>
      <c r="O152" s="44">
        <v>899</v>
      </c>
      <c r="P152" s="44">
        <v>881.4</v>
      </c>
      <c r="Q152" s="44">
        <v>978.3</v>
      </c>
      <c r="R152" s="44">
        <v>858.6</v>
      </c>
      <c r="S152" s="44">
        <v>953.6</v>
      </c>
      <c r="T152" s="44">
        <v>932</v>
      </c>
      <c r="U152" s="44">
        <v>978.8</v>
      </c>
      <c r="V152" s="44">
        <v>1002</v>
      </c>
      <c r="W152" s="44">
        <v>1208</v>
      </c>
      <c r="X152" s="7">
        <v>1.378033170837978E-2</v>
      </c>
      <c r="Y152" s="8">
        <v>1.343183344526544E-4</v>
      </c>
      <c r="Z152" s="8">
        <v>3.8517324738114533E-2</v>
      </c>
      <c r="AA152" s="8">
        <v>6.5797641216635672E-2</v>
      </c>
    </row>
    <row r="153" spans="2:27" x14ac:dyDescent="0.3">
      <c r="B153" s="13" t="s">
        <v>415</v>
      </c>
      <c r="C153" s="3" t="s">
        <v>565</v>
      </c>
      <c r="D153" s="3" t="str">
        <f>VLOOKUP(B153,기업리스트!B:G,2,FALSE)</f>
        <v>RITES Limited</v>
      </c>
      <c r="E153" s="3" t="s">
        <v>509</v>
      </c>
      <c r="F153" s="5">
        <v>4.9000000000000004</v>
      </c>
      <c r="G153" s="4">
        <v>1813</v>
      </c>
      <c r="H153" s="4">
        <v>1803</v>
      </c>
      <c r="I153" s="4">
        <v>1644</v>
      </c>
      <c r="J153" s="4">
        <v>1643</v>
      </c>
      <c r="K153" s="4">
        <v>1746</v>
      </c>
      <c r="L153" s="44">
        <v>1751</v>
      </c>
      <c r="M153" s="44">
        <v>1453</v>
      </c>
      <c r="N153" s="44">
        <v>1238</v>
      </c>
      <c r="O153" s="44">
        <v>1540</v>
      </c>
      <c r="P153" s="44">
        <v>1604</v>
      </c>
      <c r="Q153" s="44">
        <v>913.7</v>
      </c>
      <c r="R153" s="44">
        <v>913.3</v>
      </c>
      <c r="S153" s="44">
        <v>1014</v>
      </c>
      <c r="T153" s="44">
        <v>1688</v>
      </c>
      <c r="U153" s="44">
        <v>986.6</v>
      </c>
      <c r="V153" s="44">
        <v>1126</v>
      </c>
      <c r="W153" s="44">
        <v>1252</v>
      </c>
      <c r="X153" s="7">
        <v>1.8897637795275649E-2</v>
      </c>
      <c r="Y153" s="8">
        <v>1.6096268491940791E-2</v>
      </c>
      <c r="Z153" s="8">
        <v>4.6220039548882097E-2</v>
      </c>
      <c r="AA153" s="8">
        <v>4.9432974701948178E-2</v>
      </c>
    </row>
    <row r="154" spans="2:27" x14ac:dyDescent="0.3">
      <c r="B154" s="13" t="s">
        <v>317</v>
      </c>
      <c r="C154" s="3" t="s">
        <v>565</v>
      </c>
      <c r="D154" s="3" t="str">
        <f>VLOOKUP(B154,기업리스트!B:G,2,FALSE)</f>
        <v>Redington Limited</v>
      </c>
      <c r="E154" s="3" t="s">
        <v>509</v>
      </c>
      <c r="F154" s="5">
        <v>3.5</v>
      </c>
      <c r="G154" s="4">
        <v>5106</v>
      </c>
      <c r="H154" s="4">
        <v>4587</v>
      </c>
      <c r="I154" s="4">
        <v>4505</v>
      </c>
      <c r="J154" s="4">
        <v>5253</v>
      </c>
      <c r="K154" s="4">
        <v>5827</v>
      </c>
      <c r="L154" s="44">
        <v>5193</v>
      </c>
      <c r="M154" s="44">
        <v>3768</v>
      </c>
      <c r="N154" s="44">
        <v>4377</v>
      </c>
      <c r="O154" s="44">
        <v>4740</v>
      </c>
      <c r="P154" s="44">
        <v>5632</v>
      </c>
      <c r="Q154" s="44">
        <v>3201</v>
      </c>
      <c r="R154" s="44">
        <v>4087</v>
      </c>
      <c r="S154" s="44">
        <v>5485</v>
      </c>
      <c r="T154" s="45">
        <v>7477</v>
      </c>
      <c r="U154" s="44">
        <v>3464</v>
      </c>
      <c r="V154" s="44">
        <v>5334</v>
      </c>
      <c r="W154" s="44">
        <v>6256</v>
      </c>
      <c r="X154" s="10">
        <v>0.1002444987775062</v>
      </c>
      <c r="Y154" s="8">
        <v>1.2987654320987699E-2</v>
      </c>
      <c r="Z154" s="8">
        <v>6.0790718081216832E-2</v>
      </c>
      <c r="AA154" s="8">
        <v>3.5431985294117618E-2</v>
      </c>
    </row>
    <row r="155" spans="2:27" x14ac:dyDescent="0.3">
      <c r="B155" s="13" t="s">
        <v>245</v>
      </c>
      <c r="C155" s="3" t="s">
        <v>565</v>
      </c>
      <c r="D155" s="3" t="str">
        <f>VLOOKUP(B155,기업리스트!B:G,2,FALSE)</f>
        <v>Tube Investments of India Limited</v>
      </c>
      <c r="E155" s="3" t="s">
        <v>509</v>
      </c>
      <c r="F155" s="5">
        <v>3.1</v>
      </c>
      <c r="G155" s="4">
        <v>3498</v>
      </c>
      <c r="H155" s="4">
        <v>2944</v>
      </c>
      <c r="I155" s="4">
        <v>3263</v>
      </c>
      <c r="J155" s="4">
        <v>4249</v>
      </c>
      <c r="K155" s="4">
        <v>3766</v>
      </c>
      <c r="L155" s="44">
        <v>3788</v>
      </c>
      <c r="M155" s="44">
        <v>3579</v>
      </c>
      <c r="N155" s="44">
        <v>4440</v>
      </c>
      <c r="O155" s="44">
        <v>3457</v>
      </c>
      <c r="P155" s="44">
        <v>3901</v>
      </c>
      <c r="Q155" s="44">
        <v>4149</v>
      </c>
      <c r="R155" s="44">
        <v>3716</v>
      </c>
      <c r="S155" s="44">
        <v>3642</v>
      </c>
      <c r="T155" s="44">
        <v>3699</v>
      </c>
      <c r="U155" s="44">
        <v>3942</v>
      </c>
      <c r="V155" s="44">
        <v>3917</v>
      </c>
      <c r="W155" s="44">
        <v>4113</v>
      </c>
      <c r="X155" s="7">
        <v>-1.311007268951192E-2</v>
      </c>
      <c r="Y155" s="8">
        <v>-1.361304748125736E-2</v>
      </c>
      <c r="Z155" s="8">
        <v>1.3400893392892851E-2</v>
      </c>
      <c r="AA155" s="8">
        <v>3.098684210526326E-2</v>
      </c>
    </row>
    <row r="156" spans="2:27" x14ac:dyDescent="0.3">
      <c r="B156" s="13" t="s">
        <v>80</v>
      </c>
      <c r="C156" s="3" t="s">
        <v>565</v>
      </c>
      <c r="D156" s="3" t="str">
        <f>VLOOKUP(B156,기업리스트!B:G,2,FALSE)</f>
        <v>Bajaj Finserv Ltd.</v>
      </c>
      <c r="E156" s="3" t="s">
        <v>509</v>
      </c>
      <c r="F156" s="5">
        <v>2.8</v>
      </c>
      <c r="G156" s="4">
        <v>56936</v>
      </c>
      <c r="H156" s="4">
        <v>59358</v>
      </c>
      <c r="I156" s="4">
        <v>61581</v>
      </c>
      <c r="J156" s="4">
        <v>72193</v>
      </c>
      <c r="K156" s="4">
        <v>76597</v>
      </c>
      <c r="L156" s="44">
        <v>79742</v>
      </c>
      <c r="M156" s="45">
        <v>91430</v>
      </c>
      <c r="N156" s="44">
        <v>97410</v>
      </c>
      <c r="O156" s="44">
        <v>102057</v>
      </c>
      <c r="P156" s="44">
        <v>106891</v>
      </c>
      <c r="Q156" s="44">
        <v>115580</v>
      </c>
      <c r="R156" s="44">
        <v>120082</v>
      </c>
      <c r="S156" s="44">
        <v>120847</v>
      </c>
      <c r="T156" s="44">
        <v>124254</v>
      </c>
      <c r="U156" s="44">
        <v>140101</v>
      </c>
      <c r="V156" s="44">
        <v>137233</v>
      </c>
      <c r="W156" s="44">
        <v>135505</v>
      </c>
      <c r="X156" s="7">
        <v>3.7468709538196032E-2</v>
      </c>
      <c r="Y156" s="8">
        <v>5.1004341016259502E-2</v>
      </c>
      <c r="Z156" s="8">
        <v>3.3943287339397221E-2</v>
      </c>
      <c r="AA156" s="8">
        <v>2.8057078871055689E-2</v>
      </c>
    </row>
    <row r="157" spans="2:27" x14ac:dyDescent="0.3">
      <c r="B157" s="13" t="s">
        <v>461</v>
      </c>
      <c r="C157" s="3" t="s">
        <v>565</v>
      </c>
      <c r="D157" s="3" t="str">
        <f>VLOOKUP(B157,기업리스트!B:G,2,FALSE)</f>
        <v>Gulf Oil Lubricants India Limited</v>
      </c>
      <c r="E157" s="3" t="s">
        <v>522</v>
      </c>
      <c r="F157" s="5">
        <v>1.6</v>
      </c>
      <c r="G157" s="4">
        <v>683.72</v>
      </c>
      <c r="H157" s="4">
        <v>678.12</v>
      </c>
      <c r="I157" s="4">
        <v>775.58</v>
      </c>
      <c r="J157" s="4">
        <v>756.24</v>
      </c>
      <c r="K157" s="4">
        <v>704.65</v>
      </c>
      <c r="L157" s="44">
        <v>802.99</v>
      </c>
      <c r="M157" s="44">
        <v>768.94</v>
      </c>
      <c r="N157" s="44">
        <v>819.24</v>
      </c>
      <c r="O157" s="44">
        <v>893.53</v>
      </c>
      <c r="P157" s="44">
        <v>978.08</v>
      </c>
      <c r="Q157" s="44">
        <v>1012</v>
      </c>
      <c r="R157" s="44">
        <v>1004</v>
      </c>
      <c r="S157" s="44">
        <v>942</v>
      </c>
      <c r="T157" s="44">
        <v>1212</v>
      </c>
      <c r="U157" s="44">
        <v>1007</v>
      </c>
      <c r="V157" s="44">
        <v>1113</v>
      </c>
      <c r="W157" s="44">
        <v>1011</v>
      </c>
      <c r="X157" s="7">
        <v>5.9429686388488001E-2</v>
      </c>
      <c r="Y157" s="8">
        <v>-1.1990407673860841E-3</v>
      </c>
      <c r="Z157" s="8">
        <v>2.6170468187274979E-2</v>
      </c>
      <c r="AA157" s="8">
        <v>1.6144127281235491E-2</v>
      </c>
    </row>
    <row r="158" spans="2:27" x14ac:dyDescent="0.3">
      <c r="B158" s="13" t="s">
        <v>408</v>
      </c>
      <c r="C158" s="3" t="s">
        <v>565</v>
      </c>
      <c r="D158" s="3" t="str">
        <f>VLOOKUP(B158,기업리스트!B:G,2,FALSE)</f>
        <v>Sammaan Capital Limited</v>
      </c>
      <c r="E158" s="3" t="s">
        <v>509</v>
      </c>
      <c r="F158" s="5">
        <v>0.3</v>
      </c>
      <c r="G158" s="4">
        <v>4207</v>
      </c>
      <c r="H158" s="4">
        <v>3707</v>
      </c>
      <c r="I158" s="4">
        <v>3833</v>
      </c>
      <c r="J158" s="4">
        <v>3914</v>
      </c>
      <c r="K158" s="4">
        <v>4042</v>
      </c>
      <c r="L158" s="44">
        <v>0</v>
      </c>
      <c r="M158" s="44">
        <v>3810</v>
      </c>
      <c r="N158" s="44">
        <v>4065</v>
      </c>
      <c r="O158" s="44">
        <v>3300</v>
      </c>
      <c r="P158" s="44">
        <v>0</v>
      </c>
      <c r="Q158" s="44">
        <v>4075</v>
      </c>
      <c r="R158" s="44">
        <v>-36876</v>
      </c>
      <c r="S158" s="44">
        <v>4146</v>
      </c>
      <c r="T158" s="44">
        <v>4352</v>
      </c>
      <c r="U158" s="44">
        <v>4590</v>
      </c>
      <c r="V158" s="44">
        <v>4151</v>
      </c>
      <c r="W158" s="44">
        <v>4191</v>
      </c>
      <c r="X158" s="7">
        <v>-0.1518757633920782</v>
      </c>
      <c r="Y158" s="8">
        <v>-2.119079948977487E-2</v>
      </c>
      <c r="Z158" s="8">
        <v>-1.724693122582815</v>
      </c>
      <c r="AA158" s="8">
        <v>2.6103602297116169E-3</v>
      </c>
    </row>
    <row r="159" spans="2:27" x14ac:dyDescent="0.3">
      <c r="B159" s="13" t="s">
        <v>344</v>
      </c>
      <c r="C159" s="3" t="s">
        <v>565</v>
      </c>
      <c r="D159" s="3" t="str">
        <f>VLOOKUP(B159,기업리스트!B:G,2,FALSE)</f>
        <v>Devyani International Limited</v>
      </c>
      <c r="E159" s="3" t="s">
        <v>509</v>
      </c>
      <c r="F159" s="5">
        <v>0</v>
      </c>
      <c r="G159" s="4">
        <v>920.65</v>
      </c>
      <c r="H159" s="4">
        <v>803.71</v>
      </c>
      <c r="I159" s="4">
        <v>1006</v>
      </c>
      <c r="J159" s="4">
        <v>994.58</v>
      </c>
      <c r="K159" s="4">
        <v>1033</v>
      </c>
      <c r="L159" s="44">
        <v>731.81</v>
      </c>
      <c r="M159" s="44">
        <v>938.41</v>
      </c>
      <c r="N159" s="44">
        <v>680.86</v>
      </c>
      <c r="O159" s="44">
        <v>533.11</v>
      </c>
      <c r="P159" s="44">
        <v>523.03</v>
      </c>
      <c r="Q159" s="44">
        <v>911.57</v>
      </c>
      <c r="R159" s="44">
        <v>596.01</v>
      </c>
      <c r="S159" s="44">
        <v>724.89</v>
      </c>
      <c r="T159" s="44">
        <v>490.7</v>
      </c>
      <c r="U159" s="44">
        <v>551.86</v>
      </c>
      <c r="V159" s="44">
        <v>391.28</v>
      </c>
      <c r="W159" s="44">
        <v>723.96</v>
      </c>
      <c r="X159" s="7">
        <v>-1.173289784068221E-2</v>
      </c>
      <c r="Y159" s="8">
        <v>-0.13209237763341991</v>
      </c>
      <c r="Z159" s="8">
        <v>-8.6623001870139493E-2</v>
      </c>
      <c r="AA159" s="8">
        <v>-4.3080885520641038E-4</v>
      </c>
    </row>
    <row r="160" spans="2:27" x14ac:dyDescent="0.3">
      <c r="B160" s="13" t="s">
        <v>294</v>
      </c>
      <c r="C160" s="3" t="s">
        <v>565</v>
      </c>
      <c r="D160" s="3" t="str">
        <f>VLOOKUP(B160,기업리스트!B:G,2,FALSE)</f>
        <v>ZF Commercial Vehicle Control Systems India Limited</v>
      </c>
      <c r="E160" s="3" t="s">
        <v>522</v>
      </c>
      <c r="F160" s="5">
        <v>-1.3</v>
      </c>
      <c r="G160" s="4">
        <v>377.82</v>
      </c>
      <c r="H160" s="4">
        <v>347.24</v>
      </c>
      <c r="I160" s="4">
        <v>724.06</v>
      </c>
      <c r="J160" s="4">
        <v>760.45</v>
      </c>
      <c r="K160" s="6">
        <v>802.3</v>
      </c>
      <c r="L160" s="45">
        <v>920.09</v>
      </c>
      <c r="M160" s="45">
        <v>1173</v>
      </c>
      <c r="N160" s="45">
        <v>1136</v>
      </c>
      <c r="O160" s="44">
        <v>1184</v>
      </c>
      <c r="P160" s="44">
        <v>1073</v>
      </c>
      <c r="Q160" s="44">
        <v>1175</v>
      </c>
      <c r="R160" s="44">
        <v>1100</v>
      </c>
      <c r="S160" s="44">
        <v>1085</v>
      </c>
      <c r="T160" s="44">
        <v>1452</v>
      </c>
      <c r="U160" s="44">
        <v>1437</v>
      </c>
      <c r="V160" s="44">
        <v>988.64</v>
      </c>
      <c r="W160" s="44">
        <v>1021</v>
      </c>
      <c r="X160" s="7">
        <v>8.5495150011279053E-2</v>
      </c>
      <c r="Y160" s="8">
        <v>5.4447215295095663E-2</v>
      </c>
      <c r="Z160" s="8">
        <v>-2.1947181710681881E-2</v>
      </c>
      <c r="AA160" s="8">
        <v>-1.2896361613979669E-2</v>
      </c>
    </row>
    <row r="161" spans="2:27" x14ac:dyDescent="0.3">
      <c r="B161" s="13" t="s">
        <v>413</v>
      </c>
      <c r="C161" s="3" t="s">
        <v>565</v>
      </c>
      <c r="D161" s="3" t="str">
        <f>VLOOKUP(B161,기업리스트!B:G,2,FALSE)</f>
        <v>Jubilant Ingrevia Limited</v>
      </c>
      <c r="E161" s="3" t="s">
        <v>509</v>
      </c>
      <c r="F161" s="5">
        <v>-1.9</v>
      </c>
      <c r="G161" s="4">
        <v>1824</v>
      </c>
      <c r="H161" s="4">
        <v>1371</v>
      </c>
      <c r="I161" s="4">
        <v>1095</v>
      </c>
      <c r="J161" s="4">
        <v>1219</v>
      </c>
      <c r="K161" s="4">
        <v>1213</v>
      </c>
      <c r="L161" s="44">
        <v>913.47</v>
      </c>
      <c r="M161" s="44">
        <v>843.5</v>
      </c>
      <c r="N161" s="44">
        <v>837.5</v>
      </c>
      <c r="O161" s="44">
        <v>613.29999999999995</v>
      </c>
      <c r="P161" s="44">
        <v>655.68</v>
      </c>
      <c r="Q161" s="44">
        <v>706.5</v>
      </c>
      <c r="R161" s="44">
        <v>849.7</v>
      </c>
      <c r="S161" s="45">
        <v>985.3</v>
      </c>
      <c r="T161" s="45">
        <v>1141</v>
      </c>
      <c r="U161" s="44">
        <v>1013</v>
      </c>
      <c r="V161" s="44">
        <v>942.9</v>
      </c>
      <c r="W161" s="44">
        <v>909.3</v>
      </c>
      <c r="X161" s="10">
        <v>0.15179627046334601</v>
      </c>
      <c r="Y161" s="8">
        <v>8.3231500339443265E-2</v>
      </c>
      <c r="Z161" s="8">
        <v>2.3364251692153282E-2</v>
      </c>
      <c r="AA161" s="8">
        <v>-1.861741217970703E-2</v>
      </c>
    </row>
    <row r="162" spans="2:27" x14ac:dyDescent="0.3">
      <c r="B162" s="13" t="s">
        <v>459</v>
      </c>
      <c r="C162" s="3" t="s">
        <v>565</v>
      </c>
      <c r="D162" s="3" t="str">
        <f>VLOOKUP(B162,기업리스트!B:G,2,FALSE)</f>
        <v>Sapphire Foods India Limited</v>
      </c>
      <c r="E162" s="3" t="s">
        <v>522</v>
      </c>
      <c r="F162" s="5">
        <v>-19.100000000000001</v>
      </c>
      <c r="G162" s="4">
        <v>54.51</v>
      </c>
      <c r="H162" s="4">
        <v>631.86</v>
      </c>
      <c r="I162" s="4">
        <v>433.24</v>
      </c>
      <c r="J162" s="4">
        <v>494.52</v>
      </c>
      <c r="K162" s="6">
        <v>403.71</v>
      </c>
      <c r="L162" s="44">
        <v>486.11</v>
      </c>
      <c r="M162" s="44">
        <v>273.04000000000002</v>
      </c>
      <c r="N162" s="44">
        <v>487.2</v>
      </c>
      <c r="O162" s="44">
        <v>383.61</v>
      </c>
      <c r="P162" s="44">
        <v>343.57</v>
      </c>
      <c r="Q162" s="44">
        <v>166.23</v>
      </c>
      <c r="R162" s="44">
        <v>338.21</v>
      </c>
      <c r="S162" s="44">
        <v>239.32</v>
      </c>
      <c r="T162" s="44">
        <v>338.31</v>
      </c>
      <c r="U162" s="44">
        <v>212.58</v>
      </c>
      <c r="V162" s="44">
        <v>209.01</v>
      </c>
      <c r="W162" s="44">
        <v>48.43</v>
      </c>
      <c r="X162" s="7">
        <v>-4.8375378220043563E-3</v>
      </c>
      <c r="Y162" s="8">
        <v>4.2834567079763852E-2</v>
      </c>
      <c r="Z162" s="8">
        <v>-0.1144963754630368</v>
      </c>
      <c r="AA162" s="8">
        <v>-0.1910390104281339</v>
      </c>
    </row>
    <row r="163" spans="2:27" hidden="1" x14ac:dyDescent="0.3">
      <c r="B163" s="3" t="s">
        <v>449</v>
      </c>
      <c r="C163" s="3" t="s">
        <v>499</v>
      </c>
      <c r="D163" s="3" t="s">
        <v>572</v>
      </c>
      <c r="E163" s="3" t="s">
        <v>566</v>
      </c>
      <c r="F163" s="5">
        <v>123.4</v>
      </c>
      <c r="G163" s="4">
        <v>2336</v>
      </c>
      <c r="H163" s="4">
        <v>-459</v>
      </c>
      <c r="I163" s="4">
        <v>2436</v>
      </c>
      <c r="J163" s="4">
        <v>887</v>
      </c>
      <c r="K163" s="4">
        <v>185</v>
      </c>
      <c r="L163" s="4">
        <v>-1365</v>
      </c>
      <c r="M163" s="4">
        <v>-1672</v>
      </c>
      <c r="N163" s="6">
        <v>549</v>
      </c>
      <c r="O163" s="4">
        <v>579</v>
      </c>
      <c r="P163" s="4">
        <v>-512</v>
      </c>
      <c r="Q163" s="4">
        <v>885</v>
      </c>
      <c r="R163" s="6">
        <v>1426</v>
      </c>
      <c r="S163" s="4">
        <v>-1013</v>
      </c>
      <c r="T163" s="6">
        <v>984</v>
      </c>
      <c r="U163" s="6">
        <v>1149</v>
      </c>
      <c r="V163" s="4">
        <v>43</v>
      </c>
      <c r="W163" s="6">
        <v>422</v>
      </c>
      <c r="X163" s="10">
        <v>1.9033078880407119</v>
      </c>
      <c r="Y163" s="9">
        <v>0.11568799298860651</v>
      </c>
      <c r="Z163" s="8">
        <v>-0.54320502749410848</v>
      </c>
      <c r="AA163" s="9">
        <v>1.233877901977644</v>
      </c>
    </row>
    <row r="164" spans="2:27" hidden="1" x14ac:dyDescent="0.3">
      <c r="B164" s="3" t="s">
        <v>53</v>
      </c>
      <c r="C164" s="3" t="s">
        <v>499</v>
      </c>
      <c r="D164" s="3" t="s">
        <v>567</v>
      </c>
      <c r="E164" s="3" t="s">
        <v>566</v>
      </c>
      <c r="F164" s="5">
        <v>27.4</v>
      </c>
      <c r="G164" s="4">
        <v>40</v>
      </c>
      <c r="H164" s="4">
        <v>8.5</v>
      </c>
      <c r="I164" s="4">
        <v>33.5</v>
      </c>
      <c r="J164" s="4">
        <v>53.6</v>
      </c>
      <c r="K164" s="4">
        <v>47.3</v>
      </c>
      <c r="L164" s="4">
        <v>13.9</v>
      </c>
      <c r="M164" s="4">
        <v>46.1</v>
      </c>
      <c r="N164" s="4">
        <v>50.4</v>
      </c>
      <c r="O164" s="4">
        <v>46.3</v>
      </c>
      <c r="P164" s="6">
        <v>47.2</v>
      </c>
      <c r="Q164" s="4">
        <v>44.1</v>
      </c>
      <c r="R164" s="4">
        <v>58.5</v>
      </c>
      <c r="S164" s="4">
        <v>45.4</v>
      </c>
      <c r="T164" s="4">
        <v>53.3</v>
      </c>
      <c r="U164" s="4">
        <v>52.5</v>
      </c>
      <c r="V164" s="6">
        <v>93.1</v>
      </c>
      <c r="W164" s="6">
        <v>112.4</v>
      </c>
      <c r="X164" s="7">
        <v>3.1250000000000222E-2</v>
      </c>
      <c r="Y164" s="8">
        <v>4.1728763040238308E-2</v>
      </c>
      <c r="Z164" s="9">
        <v>0.1649976156413924</v>
      </c>
      <c r="AA164" s="9">
        <v>0.2742529676627099</v>
      </c>
    </row>
    <row r="165" spans="2:27" hidden="1" x14ac:dyDescent="0.3">
      <c r="B165" s="3" t="s">
        <v>285</v>
      </c>
      <c r="C165" s="3" t="s">
        <v>499</v>
      </c>
      <c r="D165" s="3" t="s">
        <v>511</v>
      </c>
      <c r="E165" s="3" t="s">
        <v>566</v>
      </c>
      <c r="F165" s="5">
        <v>15.5</v>
      </c>
      <c r="G165" s="3"/>
      <c r="H165" s="4">
        <v>-1.27</v>
      </c>
      <c r="I165" s="4">
        <v>4.58</v>
      </c>
      <c r="J165" s="4">
        <v>2.96</v>
      </c>
      <c r="K165" s="4">
        <v>3</v>
      </c>
      <c r="L165" s="6">
        <v>0.88</v>
      </c>
      <c r="M165" s="6">
        <v>8.7100000000000009</v>
      </c>
      <c r="N165" s="6">
        <v>4.54</v>
      </c>
      <c r="O165" s="4">
        <v>0.9</v>
      </c>
      <c r="P165" s="4">
        <v>-6.68</v>
      </c>
      <c r="Q165" s="4">
        <v>-1.37</v>
      </c>
      <c r="R165" s="6">
        <v>-2.77</v>
      </c>
      <c r="S165" s="4">
        <v>0.48</v>
      </c>
      <c r="T165" s="4">
        <v>9.14</v>
      </c>
      <c r="U165" s="6">
        <v>22.95</v>
      </c>
      <c r="V165" s="6">
        <v>32.15</v>
      </c>
      <c r="W165" s="6">
        <v>10.53</v>
      </c>
      <c r="X165" s="7">
        <v>-1.5299806576402319</v>
      </c>
      <c r="Y165" s="9">
        <v>4.437956204379562</v>
      </c>
      <c r="Z165" s="9">
        <v>1.171812080536913</v>
      </c>
      <c r="AA165" s="9">
        <v>0.15528430160692211</v>
      </c>
    </row>
    <row r="166" spans="2:27" hidden="1" x14ac:dyDescent="0.3">
      <c r="B166" s="3" t="s">
        <v>342</v>
      </c>
      <c r="C166" s="3" t="s">
        <v>499</v>
      </c>
      <c r="D166" s="3" t="s">
        <v>564</v>
      </c>
      <c r="E166" s="3" t="s">
        <v>570</v>
      </c>
      <c r="F166" s="5">
        <v>11.9</v>
      </c>
      <c r="G166" s="4">
        <v>58.49</v>
      </c>
      <c r="H166" s="4">
        <v>20.83</v>
      </c>
      <c r="I166" s="4">
        <v>24.11</v>
      </c>
      <c r="J166" s="4">
        <v>28.2</v>
      </c>
      <c r="K166" s="4">
        <v>8</v>
      </c>
      <c r="L166" s="4">
        <v>14.73</v>
      </c>
      <c r="M166" s="4">
        <v>28.28</v>
      </c>
      <c r="N166" s="4">
        <v>23.63</v>
      </c>
      <c r="O166" s="6">
        <v>42.99</v>
      </c>
      <c r="P166" s="4">
        <v>-0.56000000000000005</v>
      </c>
      <c r="Q166" s="4">
        <v>22.08</v>
      </c>
      <c r="R166" s="4">
        <v>19.71</v>
      </c>
      <c r="S166" s="4">
        <v>44.81</v>
      </c>
      <c r="T166" s="6">
        <v>8.11</v>
      </c>
      <c r="U166" s="6">
        <v>32.43</v>
      </c>
      <c r="V166" s="6">
        <v>39.299999999999997</v>
      </c>
      <c r="W166" s="6">
        <v>59.59</v>
      </c>
      <c r="X166" s="10">
        <v>0.1007670850767086</v>
      </c>
      <c r="Y166" s="9">
        <v>0.1092809629394995</v>
      </c>
      <c r="Z166" s="9">
        <v>0.1864648772130211</v>
      </c>
      <c r="AA166" s="9">
        <v>0.1185720016044927</v>
      </c>
    </row>
    <row r="167" spans="2:27" hidden="1" x14ac:dyDescent="0.3">
      <c r="B167" s="3" t="s">
        <v>175</v>
      </c>
      <c r="C167" s="3" t="s">
        <v>499</v>
      </c>
      <c r="D167" s="3" t="s">
        <v>500</v>
      </c>
      <c r="E167" s="3" t="s">
        <v>566</v>
      </c>
      <c r="F167" s="5">
        <v>7.9</v>
      </c>
      <c r="G167" s="4">
        <v>-16</v>
      </c>
      <c r="H167" s="4">
        <v>2.6</v>
      </c>
      <c r="I167" s="4">
        <v>-18.899999999999999</v>
      </c>
      <c r="J167" s="4">
        <v>-6.5</v>
      </c>
      <c r="K167" s="4">
        <v>-3.7</v>
      </c>
      <c r="L167" s="4">
        <v>3.3</v>
      </c>
      <c r="M167" s="4">
        <v>38.4</v>
      </c>
      <c r="N167" s="6">
        <v>29.4</v>
      </c>
      <c r="O167" s="6">
        <v>26.5</v>
      </c>
      <c r="P167" s="6">
        <v>38.799999999999997</v>
      </c>
      <c r="Q167" s="4">
        <v>40.700000000000003</v>
      </c>
      <c r="R167" s="4">
        <v>14.1</v>
      </c>
      <c r="S167" s="4">
        <v>20.8</v>
      </c>
      <c r="T167" s="4">
        <v>28.5</v>
      </c>
      <c r="U167" s="4">
        <v>31</v>
      </c>
      <c r="V167" s="6">
        <v>42.3</v>
      </c>
      <c r="W167" s="4">
        <v>30.5</v>
      </c>
      <c r="X167" s="7">
        <v>-9.0034965034964998E-2</v>
      </c>
      <c r="Y167" s="8">
        <v>-9.3179634966378488E-2</v>
      </c>
      <c r="Z167" s="9">
        <v>0.29872881355932179</v>
      </c>
      <c r="AA167" s="8">
        <v>7.911908646003285E-2</v>
      </c>
    </row>
    <row r="168" spans="2:27" hidden="1" x14ac:dyDescent="0.3">
      <c r="B168" s="3" t="s">
        <v>237</v>
      </c>
      <c r="C168" s="3" t="s">
        <v>499</v>
      </c>
      <c r="D168" s="3" t="s">
        <v>568</v>
      </c>
      <c r="E168" s="3" t="s">
        <v>566</v>
      </c>
      <c r="F168" s="5">
        <v>5.3</v>
      </c>
      <c r="G168" s="4">
        <v>22.63</v>
      </c>
      <c r="H168" s="4">
        <v>24.06</v>
      </c>
      <c r="I168" s="4">
        <v>24.62</v>
      </c>
      <c r="J168" s="4">
        <v>25.92</v>
      </c>
      <c r="K168" s="4">
        <v>28.53</v>
      </c>
      <c r="L168" s="4">
        <v>31.29</v>
      </c>
      <c r="M168" s="4">
        <v>28.74</v>
      </c>
      <c r="N168" s="4">
        <v>32.92</v>
      </c>
      <c r="O168" s="4">
        <v>35.04</v>
      </c>
      <c r="P168" s="4">
        <v>36.65</v>
      </c>
      <c r="Q168" s="4">
        <v>32.69</v>
      </c>
      <c r="R168" s="4">
        <v>36.880000000000003</v>
      </c>
      <c r="S168" s="4">
        <v>39.19</v>
      </c>
      <c r="T168" s="4">
        <v>39.26</v>
      </c>
      <c r="U168" s="4">
        <v>42.99</v>
      </c>
      <c r="V168" s="4">
        <v>43.72</v>
      </c>
      <c r="W168" s="4">
        <v>47.96</v>
      </c>
      <c r="X168" s="7">
        <v>1.794924695688049E-2</v>
      </c>
      <c r="Y168" s="8">
        <v>6.9585191190379758E-2</v>
      </c>
      <c r="Z168" s="8">
        <v>4.3203638201111623E-2</v>
      </c>
      <c r="AA168" s="8">
        <v>5.3100024218939217E-2</v>
      </c>
    </row>
    <row r="169" spans="2:27" hidden="1" x14ac:dyDescent="0.3">
      <c r="B169" s="3" t="s">
        <v>131</v>
      </c>
      <c r="C169" s="3" t="s">
        <v>499</v>
      </c>
      <c r="D169" s="3" t="s">
        <v>548</v>
      </c>
      <c r="E169" s="3" t="s">
        <v>566</v>
      </c>
      <c r="F169" s="5">
        <v>4.2</v>
      </c>
      <c r="G169" s="4">
        <v>120.51</v>
      </c>
      <c r="H169" s="4">
        <v>152.29</v>
      </c>
      <c r="I169" s="4">
        <v>131.02000000000001</v>
      </c>
      <c r="J169" s="4">
        <v>120.23</v>
      </c>
      <c r="K169" s="4">
        <v>139.59</v>
      </c>
      <c r="L169" s="4">
        <v>135.87</v>
      </c>
      <c r="M169" s="4">
        <v>139.44999999999999</v>
      </c>
      <c r="N169" s="4">
        <v>147.07</v>
      </c>
      <c r="O169" s="4">
        <v>142.47999999999999</v>
      </c>
      <c r="P169" s="4">
        <v>107.39</v>
      </c>
      <c r="Q169" s="4">
        <v>144.72999999999999</v>
      </c>
      <c r="R169" s="4">
        <v>147.1</v>
      </c>
      <c r="S169" s="4">
        <v>140.44</v>
      </c>
      <c r="T169" s="4">
        <v>143.44999999999999</v>
      </c>
      <c r="U169" s="4">
        <v>159.26</v>
      </c>
      <c r="V169" s="4">
        <v>162.5</v>
      </c>
      <c r="W169" s="4">
        <v>165.88</v>
      </c>
      <c r="X169" s="7">
        <v>6.6819849534892395E-2</v>
      </c>
      <c r="Y169" s="8">
        <v>2.5237962898631231E-2</v>
      </c>
      <c r="Z169" s="8">
        <v>2.6090639559508629E-2</v>
      </c>
      <c r="AA169" s="8">
        <v>4.2004458020308721E-2</v>
      </c>
    </row>
    <row r="170" spans="2:27" hidden="1" x14ac:dyDescent="0.3">
      <c r="B170" s="3" t="s">
        <v>224</v>
      </c>
      <c r="C170" s="3" t="s">
        <v>499</v>
      </c>
      <c r="D170" s="3" t="s">
        <v>568</v>
      </c>
      <c r="E170" s="3" t="s">
        <v>566</v>
      </c>
      <c r="F170" s="5">
        <v>3.7</v>
      </c>
      <c r="G170" s="4">
        <v>45.93</v>
      </c>
      <c r="H170" s="4">
        <v>46.26</v>
      </c>
      <c r="I170" s="4">
        <v>47.43</v>
      </c>
      <c r="J170" s="4">
        <v>50.44</v>
      </c>
      <c r="K170" s="4">
        <v>57.09</v>
      </c>
      <c r="L170" s="4">
        <v>58.93</v>
      </c>
      <c r="M170" s="4">
        <v>57.33</v>
      </c>
      <c r="N170" s="4">
        <v>62.41</v>
      </c>
      <c r="O170" s="4">
        <v>63.77</v>
      </c>
      <c r="P170" s="4">
        <v>65.290000000000006</v>
      </c>
      <c r="Q170" s="4">
        <v>62.5</v>
      </c>
      <c r="R170" s="4">
        <v>69.08</v>
      </c>
      <c r="S170" s="4">
        <v>70.319999999999993</v>
      </c>
      <c r="T170" s="4">
        <v>73.05</v>
      </c>
      <c r="U170" s="4">
        <v>69.069999999999993</v>
      </c>
      <c r="V170" s="4">
        <v>78.61</v>
      </c>
      <c r="W170" s="4">
        <v>80.98</v>
      </c>
      <c r="X170" s="7">
        <v>2.9043003106403731E-2</v>
      </c>
      <c r="Y170" s="8">
        <v>2.3895253682487679E-2</v>
      </c>
      <c r="Z170" s="8">
        <v>3.3851946575731651E-2</v>
      </c>
      <c r="AA170" s="8">
        <v>3.6626009276756737E-2</v>
      </c>
    </row>
    <row r="171" spans="2:27" hidden="1" x14ac:dyDescent="0.3">
      <c r="B171" s="3" t="s">
        <v>198</v>
      </c>
      <c r="C171" s="3" t="s">
        <v>499</v>
      </c>
      <c r="D171" s="3" t="s">
        <v>568</v>
      </c>
      <c r="E171" s="3" t="s">
        <v>566</v>
      </c>
      <c r="F171" s="5">
        <v>3.6</v>
      </c>
      <c r="G171" s="4">
        <v>39</v>
      </c>
      <c r="H171" s="4">
        <v>40.92</v>
      </c>
      <c r="I171" s="4">
        <v>41.08</v>
      </c>
      <c r="J171" s="4">
        <v>44.2</v>
      </c>
      <c r="K171" s="4">
        <v>47.26</v>
      </c>
      <c r="L171" s="4">
        <v>50.01</v>
      </c>
      <c r="M171" s="4">
        <v>52.48</v>
      </c>
      <c r="N171" s="4">
        <v>53.22</v>
      </c>
      <c r="O171" s="4">
        <v>57.61</v>
      </c>
      <c r="P171" s="4">
        <v>60.65</v>
      </c>
      <c r="Q171" s="4">
        <v>59.19</v>
      </c>
      <c r="R171" s="4">
        <v>62.91</v>
      </c>
      <c r="S171" s="4">
        <v>64.48</v>
      </c>
      <c r="T171" s="4">
        <v>66.92</v>
      </c>
      <c r="U171" s="4">
        <v>65.19</v>
      </c>
      <c r="V171" s="4">
        <v>70.45</v>
      </c>
      <c r="W171" s="4">
        <v>74.2</v>
      </c>
      <c r="X171" s="7">
        <v>2.536099987865548E-2</v>
      </c>
      <c r="Y171" s="8">
        <v>2.366863905325434E-2</v>
      </c>
      <c r="Z171" s="8">
        <v>2.9055876685934571E-2</v>
      </c>
      <c r="AA171" s="8">
        <v>3.6399041342120908E-2</v>
      </c>
    </row>
    <row r="172" spans="2:27" hidden="1" x14ac:dyDescent="0.3">
      <c r="B172" s="3" t="s">
        <v>192</v>
      </c>
      <c r="C172" s="3" t="s">
        <v>499</v>
      </c>
      <c r="D172" s="3" t="s">
        <v>571</v>
      </c>
      <c r="E172" s="3" t="s">
        <v>566</v>
      </c>
      <c r="F172" s="5">
        <v>3.1</v>
      </c>
      <c r="G172" s="4">
        <v>141.26</v>
      </c>
      <c r="H172" s="4">
        <v>183.38</v>
      </c>
      <c r="I172" s="4">
        <v>212.82</v>
      </c>
      <c r="J172" s="4">
        <v>126.91</v>
      </c>
      <c r="K172" s="4">
        <v>123.88</v>
      </c>
      <c r="L172" s="4">
        <v>113.02</v>
      </c>
      <c r="M172" s="4">
        <v>102.52</v>
      </c>
      <c r="N172" s="4">
        <v>114.03</v>
      </c>
      <c r="O172" s="4">
        <v>107.2</v>
      </c>
      <c r="P172" s="4">
        <v>121.49</v>
      </c>
      <c r="Q172" s="4">
        <v>98.25</v>
      </c>
      <c r="R172" s="4">
        <v>-160.36000000000001</v>
      </c>
      <c r="S172" s="4">
        <v>120.85</v>
      </c>
      <c r="T172" s="6">
        <v>144.47999999999999</v>
      </c>
      <c r="U172" s="6">
        <v>126.48</v>
      </c>
      <c r="V172" s="6">
        <v>135.97</v>
      </c>
      <c r="W172" s="4">
        <v>137.29</v>
      </c>
      <c r="X172" s="10">
        <v>0.12755922987294019</v>
      </c>
      <c r="Y172" s="9">
        <v>0.13891349276646009</v>
      </c>
      <c r="Z172" s="9">
        <v>1.280319723482394</v>
      </c>
      <c r="AA172" s="8">
        <v>3.1149342529084301E-2</v>
      </c>
    </row>
    <row r="173" spans="2:27" hidden="1" x14ac:dyDescent="0.3">
      <c r="B173" s="3" t="s">
        <v>43</v>
      </c>
      <c r="C173" s="3" t="s">
        <v>499</v>
      </c>
      <c r="D173" s="3" t="s">
        <v>506</v>
      </c>
      <c r="E173" s="3" t="s">
        <v>566</v>
      </c>
      <c r="F173" s="5">
        <v>2.8</v>
      </c>
      <c r="G173" s="4">
        <v>598</v>
      </c>
      <c r="H173" s="4">
        <v>597</v>
      </c>
      <c r="I173" s="4">
        <v>495</v>
      </c>
      <c r="J173" s="4">
        <v>701</v>
      </c>
      <c r="K173" s="4">
        <v>502</v>
      </c>
      <c r="L173" s="6">
        <v>912</v>
      </c>
      <c r="M173" s="4">
        <v>678</v>
      </c>
      <c r="N173" s="4">
        <v>637</v>
      </c>
      <c r="O173" s="4">
        <v>586</v>
      </c>
      <c r="P173" s="4">
        <v>715</v>
      </c>
      <c r="Q173" s="4">
        <v>524</v>
      </c>
      <c r="R173" s="4">
        <v>548</v>
      </c>
      <c r="S173" s="4">
        <v>687</v>
      </c>
      <c r="T173" s="4">
        <v>656</v>
      </c>
      <c r="U173" s="4">
        <v>738</v>
      </c>
      <c r="V173" s="4">
        <v>586</v>
      </c>
      <c r="W173" s="4">
        <v>763</v>
      </c>
      <c r="X173" s="7">
        <v>-2.3848019401778501E-2</v>
      </c>
      <c r="Y173" s="8">
        <v>8.861283643892337E-2</v>
      </c>
      <c r="Z173" s="8">
        <v>1.4454165081780211E-2</v>
      </c>
      <c r="AA173" s="8">
        <v>2.8496437945256799E-2</v>
      </c>
    </row>
    <row r="174" spans="2:27" hidden="1" x14ac:dyDescent="0.3">
      <c r="B174" s="3" t="s">
        <v>369</v>
      </c>
      <c r="C174" s="3" t="s">
        <v>499</v>
      </c>
      <c r="D174" s="3" t="s">
        <v>573</v>
      </c>
      <c r="E174" s="3" t="s">
        <v>566</v>
      </c>
      <c r="F174" s="5">
        <v>2.5</v>
      </c>
      <c r="G174" s="4">
        <v>30.24</v>
      </c>
      <c r="H174" s="4">
        <v>27.9</v>
      </c>
      <c r="I174" s="4">
        <v>22.65</v>
      </c>
      <c r="J174" s="4">
        <v>27.86</v>
      </c>
      <c r="K174" s="4">
        <v>39.26</v>
      </c>
      <c r="L174" s="4">
        <v>28.83</v>
      </c>
      <c r="M174" s="4">
        <v>23.66</v>
      </c>
      <c r="N174" s="4">
        <v>29.21</v>
      </c>
      <c r="O174" s="4">
        <v>28.9</v>
      </c>
      <c r="P174" s="4">
        <v>28.28</v>
      </c>
      <c r="Q174" s="4">
        <v>24.27</v>
      </c>
      <c r="R174" s="4">
        <v>29.71</v>
      </c>
      <c r="S174" s="4">
        <v>35.5</v>
      </c>
      <c r="T174" s="4">
        <v>31.6</v>
      </c>
      <c r="U174" s="4">
        <v>25.71</v>
      </c>
      <c r="V174" s="4">
        <v>35.799999999999997</v>
      </c>
      <c r="W174" s="4">
        <v>38.67</v>
      </c>
      <c r="X174" s="7">
        <v>2.8192934782608651E-2</v>
      </c>
      <c r="Y174" s="8">
        <v>1.189296333002976E-2</v>
      </c>
      <c r="Z174" s="8">
        <v>4.970617042115566E-2</v>
      </c>
      <c r="AA174" s="8">
        <v>2.464816110722334E-2</v>
      </c>
    </row>
    <row r="175" spans="2:27" hidden="1" x14ac:dyDescent="0.3">
      <c r="B175" s="3" t="s">
        <v>336</v>
      </c>
      <c r="C175" s="3" t="s">
        <v>499</v>
      </c>
      <c r="D175" s="3" t="s">
        <v>575</v>
      </c>
      <c r="E175" s="3" t="s">
        <v>566</v>
      </c>
      <c r="F175" s="5">
        <v>2.2999999999999998</v>
      </c>
      <c r="G175" s="4">
        <v>-17.739999999999998</v>
      </c>
      <c r="H175" s="4">
        <v>9.82</v>
      </c>
      <c r="I175" s="4">
        <v>-18.649999999999999</v>
      </c>
      <c r="J175" s="4">
        <v>12.89</v>
      </c>
      <c r="K175" s="4">
        <v>12.24</v>
      </c>
      <c r="L175" s="6">
        <v>67.72</v>
      </c>
      <c r="M175" s="6">
        <v>46.22</v>
      </c>
      <c r="N175" s="6">
        <v>63.38</v>
      </c>
      <c r="O175" s="6">
        <v>39.090000000000003</v>
      </c>
      <c r="P175" s="4">
        <v>44.42</v>
      </c>
      <c r="Q175" s="4">
        <v>55.42</v>
      </c>
      <c r="R175" s="4">
        <v>52.08</v>
      </c>
      <c r="S175" s="4">
        <v>42.27</v>
      </c>
      <c r="T175" s="4">
        <v>32.97</v>
      </c>
      <c r="U175" s="4">
        <v>48.9</v>
      </c>
      <c r="V175" s="4">
        <v>60.31</v>
      </c>
      <c r="W175" s="4">
        <v>46.45</v>
      </c>
      <c r="X175" s="7">
        <v>-5.8962871414593887E-2</v>
      </c>
      <c r="Y175" s="8">
        <v>-3.5679106927875681E-2</v>
      </c>
      <c r="Z175" s="8">
        <v>4.6702984905232059E-2</v>
      </c>
      <c r="AA175" s="8">
        <v>2.2661968013011791E-2</v>
      </c>
    </row>
    <row r="176" spans="2:27" hidden="1" x14ac:dyDescent="0.3">
      <c r="B176" s="3" t="s">
        <v>182</v>
      </c>
      <c r="C176" s="3" t="s">
        <v>499</v>
      </c>
      <c r="D176" s="3" t="s">
        <v>568</v>
      </c>
      <c r="E176" s="3" t="s">
        <v>566</v>
      </c>
      <c r="F176" s="5">
        <v>-0.6</v>
      </c>
      <c r="G176" s="4">
        <v>37.42</v>
      </c>
      <c r="H176" s="4">
        <v>44.12</v>
      </c>
      <c r="I176" s="4">
        <v>50.13</v>
      </c>
      <c r="J176" s="4">
        <v>52</v>
      </c>
      <c r="K176" s="6">
        <v>56.62</v>
      </c>
      <c r="L176" s="4">
        <v>59.42</v>
      </c>
      <c r="M176" s="4">
        <v>65.400000000000006</v>
      </c>
      <c r="N176" s="4">
        <v>74.34</v>
      </c>
      <c r="O176" s="4">
        <v>77.739999999999995</v>
      </c>
      <c r="P176" s="4">
        <v>75.02</v>
      </c>
      <c r="Q176" s="4">
        <v>78.95</v>
      </c>
      <c r="R176" s="4">
        <v>98.16</v>
      </c>
      <c r="S176" s="4">
        <v>96.32</v>
      </c>
      <c r="T176" s="4">
        <v>93.08</v>
      </c>
      <c r="U176" s="4">
        <v>88.18</v>
      </c>
      <c r="V176" s="4">
        <v>103.22</v>
      </c>
      <c r="W176" s="4">
        <v>93.92</v>
      </c>
      <c r="X176" s="7">
        <v>5.1829530779164967E-2</v>
      </c>
      <c r="Y176" s="8">
        <v>2.5183487490109568E-2</v>
      </c>
      <c r="Z176" s="8">
        <v>1.3466758929046699E-2</v>
      </c>
      <c r="AA176" s="8">
        <v>-6.30252100840345E-3</v>
      </c>
    </row>
    <row r="177" spans="2:27" hidden="1" x14ac:dyDescent="0.3">
      <c r="B177" s="3" t="s">
        <v>435</v>
      </c>
      <c r="C177" s="3" t="s">
        <v>499</v>
      </c>
      <c r="D177" s="3" t="s">
        <v>557</v>
      </c>
      <c r="E177" s="3" t="s">
        <v>566</v>
      </c>
      <c r="F177" s="5">
        <v>-1.2</v>
      </c>
      <c r="G177" s="4">
        <v>5.69</v>
      </c>
      <c r="H177" s="4">
        <v>13.09</v>
      </c>
      <c r="I177" s="4">
        <v>1.61</v>
      </c>
      <c r="J177" s="4">
        <v>12.78</v>
      </c>
      <c r="K177" s="6">
        <v>13.19</v>
      </c>
      <c r="L177" s="4">
        <v>15.48</v>
      </c>
      <c r="M177" s="6">
        <v>7.35</v>
      </c>
      <c r="N177" s="6">
        <v>18.329999999999998</v>
      </c>
      <c r="O177" s="4">
        <v>15.79</v>
      </c>
      <c r="P177" s="4">
        <v>14.9</v>
      </c>
      <c r="Q177" s="4">
        <v>9.91</v>
      </c>
      <c r="R177" s="4">
        <v>14.79</v>
      </c>
      <c r="S177" s="4">
        <v>16.600000000000001</v>
      </c>
      <c r="T177" s="4">
        <v>10.8</v>
      </c>
      <c r="U177" s="4">
        <v>7.82</v>
      </c>
      <c r="V177" s="4">
        <v>12.77</v>
      </c>
      <c r="W177" s="4">
        <v>16.03</v>
      </c>
      <c r="X177" s="7">
        <v>-7.2953736654804313E-2</v>
      </c>
      <c r="Y177" s="8">
        <v>-4.0115163147792621E-2</v>
      </c>
      <c r="Z177" s="8">
        <v>-4.0391921615676951E-2</v>
      </c>
      <c r="AA177" s="8">
        <v>-1.187747447384868E-2</v>
      </c>
    </row>
    <row r="178" spans="2:27" hidden="1" x14ac:dyDescent="0.3">
      <c r="B178" s="3" t="s">
        <v>361</v>
      </c>
      <c r="C178" s="3" t="s">
        <v>499</v>
      </c>
      <c r="D178" s="3" t="s">
        <v>574</v>
      </c>
      <c r="E178" s="3" t="s">
        <v>566</v>
      </c>
      <c r="F178" s="5">
        <v>-1.3</v>
      </c>
      <c r="G178" s="4">
        <v>106.34</v>
      </c>
      <c r="H178" s="4">
        <v>154.84</v>
      </c>
      <c r="I178" s="4">
        <v>129.41</v>
      </c>
      <c r="J178" s="4">
        <v>147.51</v>
      </c>
      <c r="K178" s="4">
        <v>145.88999999999999</v>
      </c>
      <c r="L178" s="4">
        <v>111.59</v>
      </c>
      <c r="M178" s="4">
        <v>67.040000000000006</v>
      </c>
      <c r="N178" s="4">
        <v>90.68</v>
      </c>
      <c r="O178" s="4">
        <v>92.21</v>
      </c>
      <c r="P178" s="4">
        <v>106.03</v>
      </c>
      <c r="Q178" s="6">
        <v>104.78</v>
      </c>
      <c r="R178" s="4">
        <v>0</v>
      </c>
      <c r="S178" s="6">
        <v>124.54</v>
      </c>
      <c r="T178" s="4">
        <v>133.21</v>
      </c>
      <c r="U178" s="4">
        <v>112.27</v>
      </c>
      <c r="V178" s="6">
        <v>112.15</v>
      </c>
      <c r="W178" s="4">
        <v>118.11</v>
      </c>
      <c r="X178" s="7">
        <v>8.1049649619800324E-2</v>
      </c>
      <c r="Y178" s="8">
        <v>2.066035914269149E-2</v>
      </c>
      <c r="Z178" s="9">
        <v>0.30309172477163399</v>
      </c>
      <c r="AA178" s="8">
        <v>-1.333554555447247E-2</v>
      </c>
    </row>
    <row r="179" spans="2:27" hidden="1" x14ac:dyDescent="0.3">
      <c r="B179" s="3" t="s">
        <v>135</v>
      </c>
      <c r="C179" s="3" t="s">
        <v>499</v>
      </c>
      <c r="D179" s="3" t="s">
        <v>548</v>
      </c>
      <c r="E179" s="3" t="s">
        <v>566</v>
      </c>
      <c r="F179" s="5">
        <v>-1.9</v>
      </c>
      <c r="G179" s="4">
        <v>118.63</v>
      </c>
      <c r="H179" s="4">
        <v>131.65</v>
      </c>
      <c r="I179" s="4">
        <v>140.06</v>
      </c>
      <c r="J179" s="4">
        <v>148.01</v>
      </c>
      <c r="K179" s="4">
        <v>164.03</v>
      </c>
      <c r="L179" s="4">
        <v>176.78</v>
      </c>
      <c r="M179" s="4">
        <v>173.88</v>
      </c>
      <c r="N179" s="4">
        <v>171.87</v>
      </c>
      <c r="O179" s="4">
        <v>166.3</v>
      </c>
      <c r="P179" s="4">
        <v>176.86</v>
      </c>
      <c r="Q179" s="4">
        <v>165.76</v>
      </c>
      <c r="R179" s="4">
        <v>165.75</v>
      </c>
      <c r="S179" s="4">
        <v>162.85</v>
      </c>
      <c r="T179" s="4">
        <v>162.4</v>
      </c>
      <c r="U179" s="4">
        <v>159.4</v>
      </c>
      <c r="V179" s="4">
        <v>151.4</v>
      </c>
      <c r="W179" s="4">
        <v>150.94999999999999</v>
      </c>
      <c r="X179" s="7">
        <v>-2.1542862250826911E-2</v>
      </c>
      <c r="Y179" s="8">
        <v>-9.6839027955417656E-3</v>
      </c>
      <c r="Z179" s="8">
        <v>-2.2063345633456351E-2</v>
      </c>
      <c r="AA179" s="8">
        <v>-1.8709220973193941E-2</v>
      </c>
    </row>
    <row r="180" spans="2:27" hidden="1" x14ac:dyDescent="0.3">
      <c r="B180" s="3" t="s">
        <v>196</v>
      </c>
      <c r="C180" s="3" t="s">
        <v>499</v>
      </c>
      <c r="D180" s="3" t="s">
        <v>564</v>
      </c>
      <c r="E180" s="3" t="s">
        <v>569</v>
      </c>
      <c r="F180" s="5">
        <v>-3.8</v>
      </c>
      <c r="G180" s="4">
        <v>201.21</v>
      </c>
      <c r="H180" s="4">
        <v>138.19999999999999</v>
      </c>
      <c r="I180" s="4">
        <v>113.13</v>
      </c>
      <c r="J180" s="4">
        <v>175.9</v>
      </c>
      <c r="K180" s="4">
        <v>154.16</v>
      </c>
      <c r="L180" s="4">
        <v>129.97</v>
      </c>
      <c r="M180" s="4">
        <v>86.64</v>
      </c>
      <c r="N180" s="4">
        <v>223.58</v>
      </c>
      <c r="O180" s="6">
        <v>217.73</v>
      </c>
      <c r="P180" s="6">
        <v>213.18</v>
      </c>
      <c r="Q180" s="4">
        <v>130.29</v>
      </c>
      <c r="R180" s="4">
        <v>298.8</v>
      </c>
      <c r="S180" s="4">
        <v>206.53</v>
      </c>
      <c r="T180" s="4">
        <v>233.42</v>
      </c>
      <c r="U180" s="4">
        <v>165.5</v>
      </c>
      <c r="V180" s="4">
        <v>265.13</v>
      </c>
      <c r="W180" s="4">
        <v>173.08</v>
      </c>
      <c r="X180" s="7">
        <v>2.3845428840716391E-2</v>
      </c>
      <c r="Y180" s="8">
        <v>4.0515971646874822E-2</v>
      </c>
      <c r="Z180" s="8">
        <v>-3.7235277854575699E-2</v>
      </c>
      <c r="AA180" s="8">
        <v>-3.8422660754898967E-2</v>
      </c>
    </row>
    <row r="181" spans="2:27" hidden="1" x14ac:dyDescent="0.3">
      <c r="B181" s="3" t="s">
        <v>67</v>
      </c>
      <c r="C181" s="3" t="s">
        <v>499</v>
      </c>
      <c r="D181" s="3" t="s">
        <v>564</v>
      </c>
      <c r="E181" s="3" t="s">
        <v>569</v>
      </c>
      <c r="F181" s="5">
        <v>-11.4</v>
      </c>
      <c r="G181" s="4">
        <v>26.9</v>
      </c>
      <c r="H181" s="4">
        <v>49.5</v>
      </c>
      <c r="I181" s="4">
        <v>60.9</v>
      </c>
      <c r="J181" s="4">
        <v>16.399999999999999</v>
      </c>
      <c r="K181" s="4">
        <v>29.7</v>
      </c>
      <c r="L181" s="4">
        <v>45.5</v>
      </c>
      <c r="M181" s="4">
        <v>58.3</v>
      </c>
      <c r="N181" s="4">
        <v>7.9</v>
      </c>
      <c r="O181" s="4">
        <v>16.5</v>
      </c>
      <c r="P181" s="4">
        <v>52.1</v>
      </c>
      <c r="Q181" s="4">
        <v>63.8</v>
      </c>
      <c r="R181" s="4">
        <v>16.600000000000001</v>
      </c>
      <c r="S181" s="6">
        <v>37.1</v>
      </c>
      <c r="T181" s="4">
        <v>62.2</v>
      </c>
      <c r="U181" s="4">
        <v>78.900000000000006</v>
      </c>
      <c r="V181" s="4">
        <v>35.299999999999997</v>
      </c>
      <c r="W181" s="4">
        <v>12.8</v>
      </c>
      <c r="X181" s="7">
        <v>5.9551886792452713E-2</v>
      </c>
      <c r="Y181" s="8">
        <v>8.4028937117418101E-2</v>
      </c>
      <c r="Z181" s="8">
        <v>9.5995893223819184E-2</v>
      </c>
      <c r="AA181" s="8">
        <v>-0.1138173302107728</v>
      </c>
    </row>
    <row r="182" spans="2:27" hidden="1" x14ac:dyDescent="0.3">
      <c r="B182" s="3" t="s">
        <v>202</v>
      </c>
      <c r="C182" s="3" t="s">
        <v>499</v>
      </c>
      <c r="D182" s="3" t="s">
        <v>554</v>
      </c>
      <c r="E182" s="3" t="s">
        <v>566</v>
      </c>
      <c r="F182" s="5">
        <v>-48.9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4">
        <v>-92.23</v>
      </c>
      <c r="S182" s="4">
        <v>-67.010000000000005</v>
      </c>
      <c r="T182" s="4">
        <v>-60.84</v>
      </c>
      <c r="U182" s="4">
        <v>-57.95</v>
      </c>
      <c r="V182" s="4">
        <v>-17.989999999999998</v>
      </c>
      <c r="W182" s="4">
        <v>32.64</v>
      </c>
      <c r="X182" s="11"/>
      <c r="Y182" s="3"/>
      <c r="Z182" s="8">
        <v>-0.26702154443765058</v>
      </c>
      <c r="AA182" s="8">
        <v>-0.48898375778988179</v>
      </c>
    </row>
    <row r="183" spans="2:27" hidden="1" x14ac:dyDescent="0.3">
      <c r="B183" s="3" t="s">
        <v>332</v>
      </c>
      <c r="C183" s="3" t="s">
        <v>499</v>
      </c>
      <c r="D183" s="3" t="s">
        <v>500</v>
      </c>
      <c r="E183" s="3" t="s">
        <v>566</v>
      </c>
      <c r="F183" s="5">
        <v>-83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4">
        <v>23.32</v>
      </c>
      <c r="S183" s="4">
        <v>23.09</v>
      </c>
      <c r="T183" s="4">
        <v>17.649999999999999</v>
      </c>
      <c r="U183" s="4">
        <v>29.41</v>
      </c>
      <c r="V183" s="4">
        <v>30.13</v>
      </c>
      <c r="W183" s="4">
        <v>-60.18</v>
      </c>
      <c r="X183" s="11"/>
      <c r="Y183" s="3"/>
      <c r="Z183" s="8">
        <v>7.2857601369423319E-2</v>
      </c>
      <c r="AA183" s="8">
        <v>-0.83037495013960916</v>
      </c>
    </row>
    <row r="184" spans="2:27" hidden="1" x14ac:dyDescent="0.3">
      <c r="B184" s="3" t="s">
        <v>340</v>
      </c>
      <c r="C184" s="3" t="s">
        <v>499</v>
      </c>
      <c r="D184" s="3" t="s">
        <v>510</v>
      </c>
      <c r="E184" s="3" t="s">
        <v>566</v>
      </c>
      <c r="F184" s="5">
        <v>-1208.7</v>
      </c>
      <c r="G184" s="4">
        <v>-89.09</v>
      </c>
      <c r="H184" s="4">
        <v>0</v>
      </c>
      <c r="I184" s="4">
        <v>-17.02</v>
      </c>
      <c r="J184" s="4">
        <v>36.94</v>
      </c>
      <c r="K184" s="4">
        <v>76.37</v>
      </c>
      <c r="L184" s="6">
        <v>104.73</v>
      </c>
      <c r="M184" s="6">
        <v>125.96</v>
      </c>
      <c r="N184" s="6">
        <v>112.52</v>
      </c>
      <c r="O184" s="4">
        <v>79.89</v>
      </c>
      <c r="P184" s="4">
        <v>126.45</v>
      </c>
      <c r="Q184" s="4">
        <v>99.23</v>
      </c>
      <c r="R184" s="4">
        <v>55.87</v>
      </c>
      <c r="S184" s="4">
        <v>15.31</v>
      </c>
      <c r="T184" s="4">
        <v>-27.91</v>
      </c>
      <c r="U184" s="4">
        <v>17.38</v>
      </c>
      <c r="V184" s="4">
        <v>-1.2</v>
      </c>
      <c r="W184" s="4">
        <v>-27.96</v>
      </c>
      <c r="X184" s="7">
        <v>-0.51997574614296305</v>
      </c>
      <c r="Y184" s="8">
        <v>-0.57438596491228067</v>
      </c>
      <c r="Z184" s="8">
        <v>-0.94097279472382522</v>
      </c>
      <c r="AA184" s="8">
        <v>-12.08659217877095</v>
      </c>
    </row>
    <row r="185" spans="2:27" hidden="1" x14ac:dyDescent="0.3">
      <c r="B185" s="3" t="s">
        <v>454</v>
      </c>
      <c r="C185" s="3" t="s">
        <v>563</v>
      </c>
      <c r="D185" s="3" t="s">
        <v>564</v>
      </c>
      <c r="E185" s="3" t="s">
        <v>566</v>
      </c>
      <c r="F185" s="5">
        <v>1.3</v>
      </c>
      <c r="G185" s="4">
        <v>2898</v>
      </c>
      <c r="H185" s="4">
        <v>2950</v>
      </c>
      <c r="I185" s="4">
        <v>3395</v>
      </c>
      <c r="J185" s="4">
        <v>2904</v>
      </c>
      <c r="K185" s="4">
        <v>2080</v>
      </c>
      <c r="L185" s="4">
        <v>771</v>
      </c>
      <c r="M185" s="4">
        <v>3777</v>
      </c>
      <c r="N185" s="6">
        <v>4154</v>
      </c>
      <c r="O185" s="6">
        <v>3463</v>
      </c>
      <c r="P185" s="6">
        <v>3058</v>
      </c>
      <c r="Q185" s="4">
        <v>4354</v>
      </c>
      <c r="R185" s="4">
        <v>592</v>
      </c>
      <c r="S185" s="4">
        <v>3734</v>
      </c>
      <c r="T185" s="4">
        <v>247</v>
      </c>
      <c r="U185" s="4">
        <v>4223</v>
      </c>
      <c r="V185" s="6">
        <v>5554</v>
      </c>
      <c r="W185" s="4">
        <v>3915</v>
      </c>
      <c r="X185" s="7">
        <v>-0.23947861645936269</v>
      </c>
      <c r="Y185" s="8">
        <v>-1.4674582726559859E-2</v>
      </c>
      <c r="Z185" s="9">
        <v>0.56412005457025916</v>
      </c>
      <c r="AA185" s="8">
        <v>1.3155981974124041E-2</v>
      </c>
    </row>
    <row r="186" spans="2:27" hidden="1" x14ac:dyDescent="0.3">
      <c r="B186" s="3" t="s">
        <v>275</v>
      </c>
      <c r="C186" s="3" t="s">
        <v>578</v>
      </c>
      <c r="D186" s="3" t="s">
        <v>554</v>
      </c>
      <c r="E186" s="3" t="s">
        <v>566</v>
      </c>
      <c r="F186" s="5">
        <v>29.1</v>
      </c>
      <c r="G186" s="4">
        <v>-13.4</v>
      </c>
      <c r="H186" s="4">
        <v>-12.51</v>
      </c>
      <c r="I186" s="4">
        <v>-16.25</v>
      </c>
      <c r="J186" s="4">
        <v>-17.63</v>
      </c>
      <c r="K186" s="4">
        <v>-16.2</v>
      </c>
      <c r="L186" s="6">
        <v>-20.28</v>
      </c>
      <c r="M186" s="4">
        <v>-20.54</v>
      </c>
      <c r="N186" s="4">
        <v>-23.74</v>
      </c>
      <c r="O186" s="6">
        <v>-27.27</v>
      </c>
      <c r="P186" s="4">
        <v>-29.29</v>
      </c>
      <c r="Q186" s="6">
        <v>-34.07</v>
      </c>
      <c r="R186" s="4">
        <v>-34.049999999999997</v>
      </c>
      <c r="S186" s="4">
        <v>-36.56</v>
      </c>
      <c r="T186" s="6">
        <v>-46.24</v>
      </c>
      <c r="U186" s="6">
        <v>-55.47</v>
      </c>
      <c r="V186" s="6">
        <v>-74.569999999999993</v>
      </c>
      <c r="W186" s="6">
        <v>-98.56</v>
      </c>
      <c r="X186" s="10">
        <v>0.1265208628797494</v>
      </c>
      <c r="Y186" s="9">
        <v>0.1417969785316722</v>
      </c>
      <c r="Z186" s="9">
        <v>0.23514391829155071</v>
      </c>
      <c r="AA186" s="9">
        <v>0.29129862807742901</v>
      </c>
    </row>
    <row r="187" spans="2:27" hidden="1" x14ac:dyDescent="0.3">
      <c r="B187" s="3" t="s">
        <v>430</v>
      </c>
      <c r="C187" s="3" t="s">
        <v>576</v>
      </c>
      <c r="D187" s="3" t="s">
        <v>564</v>
      </c>
      <c r="E187" s="3" t="s">
        <v>577</v>
      </c>
      <c r="F187" s="5">
        <v>0.1</v>
      </c>
      <c r="G187" s="3"/>
      <c r="H187" s="3"/>
      <c r="I187" s="3"/>
      <c r="J187" s="3"/>
      <c r="K187" s="3"/>
      <c r="L187" s="3"/>
      <c r="M187" s="3"/>
      <c r="N187" s="4">
        <v>90.35</v>
      </c>
      <c r="O187" s="4">
        <v>58.51</v>
      </c>
      <c r="P187" s="4">
        <v>104.51</v>
      </c>
      <c r="Q187" s="4">
        <v>49.88</v>
      </c>
      <c r="R187" s="4">
        <v>102.63</v>
      </c>
      <c r="S187" s="4">
        <v>45.36</v>
      </c>
      <c r="T187" s="4">
        <v>69.09</v>
      </c>
      <c r="U187" s="4">
        <v>28.99</v>
      </c>
      <c r="V187" s="4">
        <v>99.74</v>
      </c>
      <c r="W187" s="4">
        <v>45.66</v>
      </c>
      <c r="X187" s="7">
        <v>-0.1171373768106356</v>
      </c>
      <c r="Y187" s="8">
        <v>-7.8251423434222311E-2</v>
      </c>
      <c r="Z187" s="8">
        <v>-1.1744625513065319E-2</v>
      </c>
      <c r="AA187" s="8">
        <v>1.233654083395042E-3</v>
      </c>
    </row>
  </sheetData>
  <autoFilter ref="B2:AA187" xr:uid="{00000000-0009-0000-0000-000002000000}">
    <filterColumn colId="3">
      <filters>
        <filter val="Dec'25"/>
        <filter val="Jun'26"/>
        <filter val="Mar'26"/>
        <filter val="Sep'26"/>
      </filters>
    </filterColumn>
    <sortState xmlns:xlrd2="http://schemas.microsoft.com/office/spreadsheetml/2017/richdata2" ref="B3:AA162">
      <sortCondition descending="1" ref="C2:C187"/>
    </sortState>
  </autoFilter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B28"/>
  <sheetViews>
    <sheetView zoomScale="85" zoomScaleNormal="85" workbookViewId="0">
      <selection activeCell="P16" sqref="P16:Q16"/>
    </sheetView>
  </sheetViews>
  <sheetFormatPr defaultRowHeight="16.5" x14ac:dyDescent="0.3"/>
  <cols>
    <col min="1" max="1" width="3" customWidth="1"/>
    <col min="2" max="2" width="23.125" customWidth="1"/>
    <col min="3" max="7" width="9.5" hidden="1" customWidth="1"/>
    <col min="8" max="19" width="10" customWidth="1"/>
    <col min="20" max="23" width="9.5" customWidth="1"/>
  </cols>
  <sheetData>
    <row r="2" spans="2:28" x14ac:dyDescent="0.3">
      <c r="B2" s="13" t="s">
        <v>603</v>
      </c>
    </row>
    <row r="3" spans="2:28" x14ac:dyDescent="0.3">
      <c r="Y3" s="13" t="s">
        <v>476</v>
      </c>
      <c r="Z3" s="13">
        <v>5832</v>
      </c>
      <c r="AA3" s="3" t="s">
        <v>563</v>
      </c>
      <c r="AB3" s="3" t="s">
        <v>312</v>
      </c>
    </row>
    <row r="4" spans="2:28" x14ac:dyDescent="0.3">
      <c r="B4" s="13" t="s">
        <v>580</v>
      </c>
      <c r="C4" s="12">
        <v>6</v>
      </c>
      <c r="D4" s="12">
        <v>7</v>
      </c>
      <c r="E4" s="12">
        <v>8</v>
      </c>
      <c r="F4" s="12">
        <v>9</v>
      </c>
      <c r="G4" s="12">
        <v>10</v>
      </c>
      <c r="H4" s="12">
        <v>11</v>
      </c>
      <c r="I4" s="12">
        <v>12</v>
      </c>
      <c r="J4" s="12">
        <v>13</v>
      </c>
      <c r="K4" s="12">
        <v>14</v>
      </c>
      <c r="L4" s="12">
        <v>15</v>
      </c>
      <c r="M4" s="12">
        <v>16</v>
      </c>
      <c r="N4" s="12">
        <v>17</v>
      </c>
      <c r="O4" s="12">
        <v>18</v>
      </c>
      <c r="P4" s="12">
        <v>19</v>
      </c>
      <c r="Q4" s="12">
        <v>20</v>
      </c>
      <c r="R4" s="12">
        <v>21</v>
      </c>
      <c r="S4" s="12">
        <v>22</v>
      </c>
      <c r="Y4" s="13" t="s">
        <v>142</v>
      </c>
      <c r="Z4" s="13">
        <v>8304</v>
      </c>
      <c r="AA4" s="3" t="s">
        <v>563</v>
      </c>
      <c r="AB4" s="3" t="s">
        <v>331</v>
      </c>
    </row>
    <row r="5" spans="2:28" ht="18" customHeight="1" x14ac:dyDescent="0.3"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Y5" s="13" t="s">
        <v>218</v>
      </c>
      <c r="Z5" s="13">
        <v>4503</v>
      </c>
      <c r="AA5" s="3" t="s">
        <v>563</v>
      </c>
      <c r="AB5" s="3" t="s">
        <v>101</v>
      </c>
    </row>
    <row r="6" spans="2:28" ht="18" customHeight="1" x14ac:dyDescent="0.3">
      <c r="B6" s="28"/>
      <c r="C6" s="29" t="s">
        <v>584</v>
      </c>
      <c r="D6" s="29" t="s">
        <v>585</v>
      </c>
      <c r="E6" s="29" t="s">
        <v>586</v>
      </c>
      <c r="F6" s="29" t="s">
        <v>587</v>
      </c>
      <c r="G6" s="29" t="s">
        <v>588</v>
      </c>
      <c r="H6" s="29" t="s">
        <v>487</v>
      </c>
      <c r="I6" s="29" t="s">
        <v>589</v>
      </c>
      <c r="J6" s="29" t="s">
        <v>590</v>
      </c>
      <c r="K6" s="29" t="s">
        <v>591</v>
      </c>
      <c r="L6" s="29" t="s">
        <v>491</v>
      </c>
      <c r="M6" s="29" t="s">
        <v>492</v>
      </c>
      <c r="N6" s="29" t="s">
        <v>493</v>
      </c>
      <c r="O6" s="29" t="s">
        <v>494</v>
      </c>
      <c r="P6" s="29" t="s">
        <v>495</v>
      </c>
      <c r="Q6" s="29" t="s">
        <v>496</v>
      </c>
      <c r="R6" s="29" t="s">
        <v>497</v>
      </c>
      <c r="S6" s="30" t="s">
        <v>498</v>
      </c>
      <c r="T6" s="29" t="s">
        <v>592</v>
      </c>
      <c r="U6" s="29" t="s">
        <v>593</v>
      </c>
      <c r="V6" s="29" t="s">
        <v>594</v>
      </c>
      <c r="W6" s="29" t="s">
        <v>595</v>
      </c>
      <c r="Y6" s="13" t="s">
        <v>59</v>
      </c>
      <c r="Z6" s="13">
        <v>3374</v>
      </c>
      <c r="AA6" s="3" t="s">
        <v>563</v>
      </c>
      <c r="AB6" s="3" t="s">
        <v>422</v>
      </c>
    </row>
    <row r="7" spans="2:28" x14ac:dyDescent="0.3">
      <c r="B7" s="31" t="s">
        <v>596</v>
      </c>
      <c r="C7" s="32">
        <f>VLOOKUP($B$4,Revenue!$B:$W,C4,FALSE)</f>
        <v>57075</v>
      </c>
      <c r="D7" s="32">
        <f>VLOOKUP($B$4,Revenue!$B:$W,D4,FALSE)</f>
        <v>52116</v>
      </c>
      <c r="E7" s="32">
        <f>VLOOKUP($B$4,Revenue!$B:$W,E4,FALSE)</f>
        <v>59420</v>
      </c>
      <c r="F7" s="32">
        <f>VLOOKUP($B$4,Revenue!$B:$W,F4,FALSE)</f>
        <v>59560</v>
      </c>
      <c r="G7" s="32">
        <f>VLOOKUP($B$4,Revenue!$B:$W,G4,FALSE)</f>
        <v>64228</v>
      </c>
      <c r="H7" s="32">
        <f>VLOOKUP($B$4,Revenue!$B:$W,H4,FALSE)</f>
        <v>62473</v>
      </c>
      <c r="I7" s="32">
        <f>VLOOKUP($B$4,Revenue!$B:$W,I4,FALSE)</f>
        <v>62446</v>
      </c>
      <c r="J7" s="32">
        <f>VLOOKUP($B$4,Revenue!$B:$W,J4,FALSE)</f>
        <v>62796</v>
      </c>
      <c r="K7" s="32">
        <f>VLOOKUP($B$4,Revenue!$B:$W,K4,FALSE)</f>
        <v>65954</v>
      </c>
      <c r="L7" s="32">
        <f>VLOOKUP($B$4,Revenue!$B:$W,L4,FALSE)</f>
        <v>62582</v>
      </c>
      <c r="M7" s="32">
        <f>VLOOKUP($B$4,Revenue!$B:$W,M4,FALSE)</f>
        <v>63349</v>
      </c>
      <c r="N7" s="32">
        <f>VLOOKUP($B$4,Revenue!$B:$W,N4,FALSE)</f>
        <v>64370</v>
      </c>
      <c r="O7" s="32">
        <f>VLOOKUP($B$4,Revenue!$B:$W,O4,FALSE)</f>
        <v>69280</v>
      </c>
      <c r="P7" s="32">
        <f>VLOOKUP($B$4,Revenue!$B:$W,P4,FALSE)</f>
        <v>64236</v>
      </c>
      <c r="Q7" s="32">
        <f>VLOOKUP($B$4,Revenue!$B:$W,Q4,FALSE)</f>
        <v>65608</v>
      </c>
      <c r="R7" s="32">
        <f>VLOOKUP($B$4,Revenue!$B:$W,R4,FALSE)</f>
        <v>68311</v>
      </c>
      <c r="S7" s="33">
        <f>VLOOKUP($B$4,Revenue!$B:$W,S4,FALSE)</f>
        <v>77926</v>
      </c>
      <c r="T7" s="32"/>
      <c r="U7" s="32"/>
      <c r="V7" s="32"/>
      <c r="W7" s="32"/>
      <c r="Y7" s="13" t="s">
        <v>346</v>
      </c>
      <c r="Z7" s="13">
        <v>4208</v>
      </c>
      <c r="AA7" s="3" t="s">
        <v>563</v>
      </c>
      <c r="AB7" s="3" t="s">
        <v>375</v>
      </c>
    </row>
    <row r="8" spans="2:28" x14ac:dyDescent="0.3">
      <c r="B8" s="31" t="s">
        <v>597</v>
      </c>
      <c r="C8" s="32">
        <f>VLOOKUP($B$4,'Operating Income'!$B:$W,C4,FALSE)</f>
        <v>3987</v>
      </c>
      <c r="D8" s="32">
        <f>VLOOKUP($B$4,'Operating Income'!$B:$W,D4,FALSE)</f>
        <v>2510</v>
      </c>
      <c r="E8" s="32">
        <f>VLOOKUP($B$4,'Operating Income'!$B:$W,E4,FALSE)</f>
        <v>3461</v>
      </c>
      <c r="F8" s="32">
        <f>VLOOKUP($B$4,'Operating Income'!$B:$W,F4,FALSE)</f>
        <v>3635</v>
      </c>
      <c r="G8" s="32">
        <f>VLOOKUP($B$4,'Operating Income'!$B:$W,G4,FALSE)</f>
        <v>5589</v>
      </c>
      <c r="H8" s="32">
        <f>VLOOKUP($B$4,'Operating Income'!$B:$W,H4,FALSE)</f>
        <v>6274</v>
      </c>
      <c r="I8" s="32">
        <f>VLOOKUP($B$4,'Operating Income'!$B:$W,I4,FALSE)</f>
        <v>6895</v>
      </c>
      <c r="J8" s="32">
        <f>VLOOKUP($B$4,'Operating Income'!$B:$W,J4,FALSE)</f>
        <v>7995</v>
      </c>
      <c r="K8" s="32">
        <f>VLOOKUP($B$4,'Operating Income'!$B:$W,K4,FALSE)</f>
        <v>8405</v>
      </c>
      <c r="L8" s="32">
        <f>VLOOKUP($B$4,'Operating Income'!$B:$W,L4,FALSE)</f>
        <v>6400</v>
      </c>
      <c r="M8" s="32">
        <f>VLOOKUP($B$4,'Operating Income'!$B:$W,M4,FALSE)</f>
        <v>5398</v>
      </c>
      <c r="N8" s="32">
        <f>VLOOKUP($B$4,'Operating Income'!$B:$W,N4,FALSE)</f>
        <v>5020</v>
      </c>
      <c r="O8" s="32">
        <f>VLOOKUP($B$4,'Operating Income'!$B:$W,O4,FALSE)</f>
        <v>5711</v>
      </c>
      <c r="P8" s="32">
        <f>VLOOKUP($B$4,'Operating Income'!$B:$W,P4,FALSE)</f>
        <v>4603</v>
      </c>
      <c r="Q8" s="32">
        <f>VLOOKUP($B$4,'Operating Income'!$B:$W,Q4,FALSE)</f>
        <v>4902</v>
      </c>
      <c r="R8" s="32">
        <f>VLOOKUP($B$4,'Operating Income'!$B:$W,R4,FALSE)</f>
        <v>6373</v>
      </c>
      <c r="S8" s="33">
        <f>VLOOKUP($B$4,'Operating Income'!$B:$W,S4,FALSE)</f>
        <v>8502</v>
      </c>
      <c r="T8" s="32"/>
      <c r="U8" s="32"/>
      <c r="V8" s="32"/>
      <c r="W8" s="32"/>
      <c r="Y8" s="13" t="s">
        <v>428</v>
      </c>
    </row>
    <row r="9" spans="2:28" x14ac:dyDescent="0.3">
      <c r="B9" s="31" t="s">
        <v>598</v>
      </c>
      <c r="C9" s="32">
        <f>AVERAGE(C8:C8)</f>
        <v>3987</v>
      </c>
      <c r="D9" s="32">
        <f>AVERAGE(C8:D8)</f>
        <v>3248.5</v>
      </c>
      <c r="E9" s="32">
        <f>AVERAGE(C8:E8)</f>
        <v>3319.3333333333335</v>
      </c>
      <c r="F9" s="32">
        <f t="shared" ref="F9:R9" si="0">AVERAGE(C8:F8)</f>
        <v>3398.25</v>
      </c>
      <c r="G9" s="32">
        <f t="shared" si="0"/>
        <v>3798.75</v>
      </c>
      <c r="H9" s="32">
        <f t="shared" si="0"/>
        <v>4739.75</v>
      </c>
      <c r="I9" s="32">
        <f t="shared" si="0"/>
        <v>5598.25</v>
      </c>
      <c r="J9" s="32">
        <f>AVERAGE(G8:J8)</f>
        <v>6688.25</v>
      </c>
      <c r="K9" s="32">
        <f t="shared" si="0"/>
        <v>7392.25</v>
      </c>
      <c r="L9" s="32">
        <f t="shared" si="0"/>
        <v>7423.75</v>
      </c>
      <c r="M9" s="32">
        <f t="shared" si="0"/>
        <v>7049.5</v>
      </c>
      <c r="N9" s="32">
        <f t="shared" si="0"/>
        <v>6305.75</v>
      </c>
      <c r="O9" s="32">
        <f t="shared" si="0"/>
        <v>5632.25</v>
      </c>
      <c r="P9" s="32">
        <f t="shared" si="0"/>
        <v>5183</v>
      </c>
      <c r="Q9" s="32">
        <f t="shared" si="0"/>
        <v>5059</v>
      </c>
      <c r="R9" s="32">
        <f t="shared" si="0"/>
        <v>5397.25</v>
      </c>
      <c r="S9" s="33">
        <f>AVERAGE(P8:S8)</f>
        <v>6095</v>
      </c>
      <c r="T9" s="32"/>
      <c r="U9" s="32"/>
      <c r="V9" s="32"/>
      <c r="W9" s="32"/>
      <c r="Y9" s="13" t="s">
        <v>385</v>
      </c>
      <c r="Z9" s="13" t="s">
        <v>580</v>
      </c>
      <c r="AA9" s="3" t="s">
        <v>565</v>
      </c>
      <c r="AB9" s="3" t="s">
        <v>284</v>
      </c>
    </row>
    <row r="10" spans="2:28" x14ac:dyDescent="0.3">
      <c r="B10" s="31" t="s">
        <v>599</v>
      </c>
      <c r="C10" s="32">
        <f>SUM(C8:C8)</f>
        <v>3987</v>
      </c>
      <c r="D10" s="32">
        <f>SUM(C8:D8)</f>
        <v>6497</v>
      </c>
      <c r="E10" s="32">
        <f>SUM(C8:E8)</f>
        <v>9958</v>
      </c>
      <c r="F10" s="32">
        <f t="shared" ref="F10:S10" si="1">SUM(C8:F8)</f>
        <v>13593</v>
      </c>
      <c r="G10" s="32">
        <f t="shared" si="1"/>
        <v>15195</v>
      </c>
      <c r="H10" s="32">
        <f t="shared" si="1"/>
        <v>18959</v>
      </c>
      <c r="I10" s="32">
        <f t="shared" si="1"/>
        <v>22393</v>
      </c>
      <c r="J10" s="32">
        <f>SUM(G8:J8)</f>
        <v>26753</v>
      </c>
      <c r="K10" s="32">
        <f t="shared" si="1"/>
        <v>29569</v>
      </c>
      <c r="L10" s="32">
        <f t="shared" si="1"/>
        <v>29695</v>
      </c>
      <c r="M10" s="32">
        <f t="shared" si="1"/>
        <v>28198</v>
      </c>
      <c r="N10" s="32">
        <f t="shared" si="1"/>
        <v>25223</v>
      </c>
      <c r="O10" s="32">
        <f t="shared" si="1"/>
        <v>22529</v>
      </c>
      <c r="P10" s="32">
        <f t="shared" si="1"/>
        <v>20732</v>
      </c>
      <c r="Q10" s="32">
        <f t="shared" si="1"/>
        <v>20236</v>
      </c>
      <c r="R10" s="32">
        <f t="shared" si="1"/>
        <v>21589</v>
      </c>
      <c r="S10" s="33">
        <f t="shared" si="1"/>
        <v>24380</v>
      </c>
      <c r="T10" s="32"/>
      <c r="U10" s="32"/>
      <c r="V10" s="32"/>
      <c r="W10" s="32"/>
      <c r="Y10" s="13" t="s">
        <v>263</v>
      </c>
    </row>
    <row r="11" spans="2:28" x14ac:dyDescent="0.3">
      <c r="B11" s="31" t="s">
        <v>600</v>
      </c>
      <c r="C11" s="34"/>
      <c r="D11" s="34">
        <f t="shared" ref="D11:S11" si="2">D9/C9-1</f>
        <v>-0.18522698771005763</v>
      </c>
      <c r="E11" s="34">
        <f t="shared" si="2"/>
        <v>2.1804935611307918E-2</v>
      </c>
      <c r="F11" s="34">
        <f t="shared" si="2"/>
        <v>2.3774854388431299E-2</v>
      </c>
      <c r="G11" s="34">
        <f t="shared" si="2"/>
        <v>0.11785477819465906</v>
      </c>
      <c r="H11" s="34">
        <f t="shared" si="2"/>
        <v>0.2477130635077327</v>
      </c>
      <c r="I11" s="34">
        <f t="shared" si="2"/>
        <v>0.18112769660847094</v>
      </c>
      <c r="J11" s="34">
        <f t="shared" si="2"/>
        <v>0.19470370204974774</v>
      </c>
      <c r="K11" s="34">
        <f t="shared" si="2"/>
        <v>0.10525922326468051</v>
      </c>
      <c r="L11" s="34">
        <f t="shared" si="2"/>
        <v>4.2612195204436709E-3</v>
      </c>
      <c r="M11" s="34">
        <f t="shared" si="2"/>
        <v>-5.0412527361508697E-2</v>
      </c>
      <c r="N11" s="34">
        <f t="shared" si="2"/>
        <v>-0.1055039364493936</v>
      </c>
      <c r="O11" s="34">
        <f t="shared" si="2"/>
        <v>-0.10680727907068943</v>
      </c>
      <c r="P11" s="35">
        <f t="shared" si="2"/>
        <v>-7.976385991388879E-2</v>
      </c>
      <c r="Q11" s="35">
        <f t="shared" si="2"/>
        <v>-2.3924368126567619E-2</v>
      </c>
      <c r="R11" s="35">
        <f t="shared" si="2"/>
        <v>6.6861039731172189E-2</v>
      </c>
      <c r="S11" s="36">
        <f t="shared" si="2"/>
        <v>0.12927879938857756</v>
      </c>
      <c r="T11" s="37"/>
      <c r="U11" s="37"/>
      <c r="V11" s="37"/>
      <c r="W11" s="37"/>
      <c r="Y11" s="13" t="s">
        <v>61</v>
      </c>
    </row>
    <row r="12" spans="2:28" x14ac:dyDescent="0.3">
      <c r="B12" s="31" t="s">
        <v>579</v>
      </c>
      <c r="C12" s="38">
        <f t="shared" ref="C12:F12" si="3">IFERROR(C8/C7,"-")</f>
        <v>6.9855453350854135E-2</v>
      </c>
      <c r="D12" s="38">
        <f t="shared" si="3"/>
        <v>4.8161792923478393E-2</v>
      </c>
      <c r="E12" s="38">
        <f t="shared" si="3"/>
        <v>5.8246381689666782E-2</v>
      </c>
      <c r="F12" s="38">
        <f t="shared" si="3"/>
        <v>6.1030893216924113E-2</v>
      </c>
      <c r="G12" s="38">
        <f>IFERROR(G8/G7,"-")</f>
        <v>8.7018122937036813E-2</v>
      </c>
      <c r="H12" s="38">
        <f t="shared" ref="H12:S12" si="4">IFERROR(H8/H7,"-")</f>
        <v>0.10042738463016022</v>
      </c>
      <c r="I12" s="38">
        <f t="shared" si="4"/>
        <v>0.11041539890465361</v>
      </c>
      <c r="J12" s="38">
        <f t="shared" si="4"/>
        <v>0.12731702656220142</v>
      </c>
      <c r="K12" s="38">
        <f t="shared" si="4"/>
        <v>0.12743730478818571</v>
      </c>
      <c r="L12" s="38">
        <f t="shared" si="4"/>
        <v>0.10226582723466812</v>
      </c>
      <c r="M12" s="38">
        <f t="shared" si="4"/>
        <v>8.5210500560387689E-2</v>
      </c>
      <c r="N12" s="38">
        <f t="shared" si="4"/>
        <v>7.7986639739008851E-2</v>
      </c>
      <c r="O12" s="38">
        <f t="shared" si="4"/>
        <v>8.2433602771362594E-2</v>
      </c>
      <c r="P12" s="38">
        <f t="shared" si="4"/>
        <v>7.1657637461859394E-2</v>
      </c>
      <c r="Q12" s="38">
        <f t="shared" si="4"/>
        <v>7.4716497988050232E-2</v>
      </c>
      <c r="R12" s="38">
        <f t="shared" si="4"/>
        <v>9.3293905813119415E-2</v>
      </c>
      <c r="S12" s="39">
        <f t="shared" si="4"/>
        <v>0.10910350845674101</v>
      </c>
      <c r="T12" s="40"/>
      <c r="U12" s="40"/>
      <c r="V12" s="40"/>
      <c r="W12" s="40"/>
      <c r="Y12" s="13" t="s">
        <v>265</v>
      </c>
    </row>
    <row r="13" spans="2:28" x14ac:dyDescent="0.3">
      <c r="B13" s="31" t="s">
        <v>601</v>
      </c>
      <c r="C13" s="40" t="e">
        <f>C8/#REF!-1</f>
        <v>#REF!</v>
      </c>
      <c r="D13" s="40" t="e">
        <f>D8/#REF!-1</f>
        <v>#REF!</v>
      </c>
      <c r="E13" s="40" t="e">
        <f>E8/#REF!-1</f>
        <v>#REF!</v>
      </c>
      <c r="F13" s="40" t="e">
        <f>F8/#REF!-1</f>
        <v>#REF!</v>
      </c>
      <c r="G13" s="40">
        <f t="shared" ref="G13:S14" si="5">G8/C8-1</f>
        <v>0.40180586907449212</v>
      </c>
      <c r="H13" s="40">
        <f t="shared" si="5"/>
        <v>1.4996015936254978</v>
      </c>
      <c r="I13" s="40">
        <f t="shared" si="5"/>
        <v>0.9921987864778965</v>
      </c>
      <c r="J13" s="40">
        <f t="shared" si="5"/>
        <v>1.1994497936726272</v>
      </c>
      <c r="K13" s="40">
        <f t="shared" si="5"/>
        <v>0.50384684201109331</v>
      </c>
      <c r="L13" s="40">
        <f t="shared" si="5"/>
        <v>2.0082881734140967E-2</v>
      </c>
      <c r="M13" s="40">
        <f t="shared" si="5"/>
        <v>-0.21711385061638866</v>
      </c>
      <c r="N13" s="40">
        <f t="shared" si="5"/>
        <v>-0.37210756722951843</v>
      </c>
      <c r="O13" s="40">
        <f t="shared" si="5"/>
        <v>-0.32052349791790602</v>
      </c>
      <c r="P13" s="41">
        <f t="shared" si="5"/>
        <v>-0.28078124999999998</v>
      </c>
      <c r="Q13" s="41">
        <f t="shared" si="5"/>
        <v>-9.1885883660615009E-2</v>
      </c>
      <c r="R13" s="41">
        <f t="shared" si="5"/>
        <v>0.26952191235059764</v>
      </c>
      <c r="S13" s="42">
        <f t="shared" si="5"/>
        <v>0.48870600595342317</v>
      </c>
      <c r="T13" s="40"/>
      <c r="U13" s="40"/>
      <c r="V13" s="40"/>
      <c r="W13" s="40"/>
      <c r="Y13" s="13" t="s">
        <v>214</v>
      </c>
    </row>
    <row r="14" spans="2:28" x14ac:dyDescent="0.3">
      <c r="B14" s="31" t="s">
        <v>602</v>
      </c>
      <c r="G14" s="40">
        <f>G7/C7-1</f>
        <v>0.12532632501095042</v>
      </c>
      <c r="H14" s="40">
        <f t="shared" si="5"/>
        <v>0.45905802678159158</v>
      </c>
      <c r="I14" s="40">
        <f t="shared" si="5"/>
        <v>0.68655854589274945</v>
      </c>
      <c r="J14" s="40">
        <f t="shared" si="5"/>
        <v>0.96814536893989556</v>
      </c>
      <c r="K14" s="40">
        <f t="shared" si="5"/>
        <v>0.94596906877262255</v>
      </c>
      <c r="L14" s="40">
        <f t="shared" si="5"/>
        <v>0.56627459254180068</v>
      </c>
      <c r="M14" s="40">
        <f t="shared" si="5"/>
        <v>0.25923279596302407</v>
      </c>
      <c r="N14" s="40">
        <f t="shared" si="5"/>
        <v>-5.7189847867528898E-2</v>
      </c>
      <c r="O14" s="40">
        <f t="shared" si="5"/>
        <v>-0.23808718590415634</v>
      </c>
      <c r="P14" s="41">
        <f t="shared" si="5"/>
        <v>-0.30183532581242634</v>
      </c>
      <c r="Q14" s="41">
        <f t="shared" si="5"/>
        <v>-0.28236045109582242</v>
      </c>
      <c r="R14" s="41">
        <f t="shared" si="5"/>
        <v>-0.14407485231732942</v>
      </c>
      <c r="S14" s="42">
        <f t="shared" si="5"/>
        <v>8.2160770562386354E-2</v>
      </c>
      <c r="Y14" s="13" t="s">
        <v>22</v>
      </c>
    </row>
    <row r="15" spans="2:28" x14ac:dyDescent="0.3">
      <c r="Y15" s="13" t="s">
        <v>365</v>
      </c>
    </row>
    <row r="16" spans="2:28" x14ac:dyDescent="0.3">
      <c r="Y16" s="13" t="s">
        <v>261</v>
      </c>
    </row>
    <row r="17" spans="25:25" x14ac:dyDescent="0.3">
      <c r="Y17" s="13" t="s">
        <v>167</v>
      </c>
    </row>
    <row r="18" spans="25:25" x14ac:dyDescent="0.3">
      <c r="Y18" s="13" t="s">
        <v>160</v>
      </c>
    </row>
    <row r="19" spans="25:25" x14ac:dyDescent="0.3">
      <c r="Y19" s="13" t="s">
        <v>315</v>
      </c>
    </row>
    <row r="20" spans="25:25" x14ac:dyDescent="0.3">
      <c r="Y20" s="13" t="s">
        <v>226</v>
      </c>
    </row>
    <row r="21" spans="25:25" x14ac:dyDescent="0.3">
      <c r="Y21" s="13" t="s">
        <v>308</v>
      </c>
    </row>
    <row r="22" spans="25:25" x14ac:dyDescent="0.3">
      <c r="Y22" s="13" t="s">
        <v>393</v>
      </c>
    </row>
    <row r="23" spans="25:25" x14ac:dyDescent="0.3">
      <c r="Y23" s="13" t="s">
        <v>338</v>
      </c>
    </row>
    <row r="24" spans="25:25" x14ac:dyDescent="0.3">
      <c r="Y24" s="13" t="s">
        <v>401</v>
      </c>
    </row>
    <row r="25" spans="25:25" x14ac:dyDescent="0.3">
      <c r="Y25" s="13" t="s">
        <v>12</v>
      </c>
    </row>
    <row r="26" spans="25:25" x14ac:dyDescent="0.3">
      <c r="Y26" s="13" t="s">
        <v>45</v>
      </c>
    </row>
    <row r="27" spans="25:25" x14ac:dyDescent="0.3">
      <c r="Y27" s="13" t="s">
        <v>108</v>
      </c>
    </row>
    <row r="28" spans="25:25" x14ac:dyDescent="0.3">
      <c r="Y28" s="13" t="s">
        <v>348</v>
      </c>
    </row>
  </sheetData>
  <phoneticPr fontId="6" type="noConversion"/>
  <conditionalFormatting sqref="B10:P10">
    <cfRule type="top10" dxfId="3" priority="18" percent="1" rank="5"/>
  </conditionalFormatting>
  <conditionalFormatting sqref="B8:S8">
    <cfRule type="top10" dxfId="0" priority="19" percent="1" rank="10"/>
  </conditionalFormatting>
  <conditionalFormatting sqref="B10:S10">
    <cfRule type="top10" priority="20" rank="10"/>
  </conditionalFormatting>
  <conditionalFormatting sqref="B11:W11">
    <cfRule type="cellIs" dxfId="2" priority="4" operator="greaterThan">
      <formula>0.1</formula>
    </cfRule>
  </conditionalFormatting>
  <conditionalFormatting sqref="C13:P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G14:O1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4:P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13:P14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:Q14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:R14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:S14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1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2026-02-05T06:58:28Z</dcterms:created>
  <dcterms:modified xsi:type="dcterms:W3CDTF">2026-02-05T07:58:28Z</dcterms:modified>
</cp:coreProperties>
</file>