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8D698B37-270E-4DBA-90C9-333A333C5C1B}" xr6:coauthVersionLast="47" xr6:coauthVersionMax="47" xr10:uidLastSave="{00000000-0000-0000-0000-000000000000}"/>
  <bookViews>
    <workbookView xWindow="28680" yWindow="465" windowWidth="29040" windowHeight="15720" activeTab="2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Income'!$B$2:$AA$123</definedName>
    <definedName name="_xlnm._FilterDatabase" localSheetId="1" hidden="1">Revenue!$B$2:$AA$124</definedName>
    <definedName name="_xlnm._FilterDatabase" localSheetId="0" hidden="1">기업리스트!$B$3:$G$220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C8" i="4"/>
  <c r="C9" i="4" s="1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C7" i="4"/>
  <c r="R10" i="4" l="1"/>
  <c r="S10" i="4"/>
  <c r="G10" i="4"/>
  <c r="P14" i="4"/>
  <c r="Q10" i="4"/>
  <c r="S13" i="4"/>
  <c r="R13" i="4"/>
  <c r="N12" i="4"/>
  <c r="R14" i="4"/>
  <c r="M9" i="4"/>
  <c r="K10" i="4"/>
  <c r="N9" i="4"/>
  <c r="N11" i="4" s="1"/>
  <c r="O9" i="4"/>
  <c r="H10" i="4"/>
  <c r="I10" i="4"/>
  <c r="J10" i="4"/>
  <c r="O14" i="4"/>
  <c r="Q14" i="4"/>
  <c r="M12" i="4"/>
  <c r="G14" i="4"/>
  <c r="S14" i="4"/>
  <c r="H14" i="4"/>
  <c r="I14" i="4"/>
  <c r="J14" i="4"/>
  <c r="Q13" i="4"/>
  <c r="L14" i="4"/>
  <c r="M14" i="4"/>
  <c r="H13" i="4"/>
  <c r="D9" i="4"/>
  <c r="D11" i="4" s="1"/>
  <c r="K14" i="4"/>
  <c r="P9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J9" i="4"/>
  <c r="E10" i="4"/>
  <c r="H12" i="4"/>
  <c r="C13" i="4"/>
  <c r="O13" i="4"/>
  <c r="N14" i="4"/>
  <c r="I13" i="4"/>
  <c r="K9" i="4"/>
  <c r="F10" i="4"/>
  <c r="I12" i="4"/>
  <c r="D13" i="4"/>
  <c r="P13" i="4"/>
  <c r="L9" i="4"/>
  <c r="J12" i="4"/>
  <c r="E13" i="4"/>
  <c r="K12" i="4"/>
  <c r="F13" i="4"/>
  <c r="L12" i="4"/>
  <c r="G13" i="4"/>
  <c r="L11" i="4" l="1"/>
  <c r="J11" i="4"/>
  <c r="H11" i="4"/>
  <c r="F11" i="4"/>
  <c r="O11" i="4"/>
  <c r="P11" i="4"/>
  <c r="Q11" i="4"/>
  <c r="E11" i="4"/>
  <c r="R11" i="4"/>
  <c r="K11" i="4"/>
  <c r="S11" i="4"/>
  <c r="I11" i="4"/>
  <c r="G11" i="4"/>
  <c r="M11" i="4"/>
  <c r="AA123" i="3" l="1"/>
  <c r="Z123" i="3"/>
  <c r="Y123" i="3"/>
  <c r="X123" i="3"/>
  <c r="D123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124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X124" i="2"/>
  <c r="Y124" i="2"/>
  <c r="Z124" i="2"/>
  <c r="AA124" i="2"/>
</calcChain>
</file>

<file path=xl/sharedStrings.xml><?xml version="1.0" encoding="utf-8"?>
<sst xmlns="http://schemas.openxmlformats.org/spreadsheetml/2006/main" count="1650" uniqueCount="461">
  <si>
    <t>실적 기업 정보</t>
  </si>
  <si>
    <t>Ticker</t>
  </si>
  <si>
    <t>Company</t>
  </si>
  <si>
    <t>Date</t>
  </si>
  <si>
    <t>Time</t>
  </si>
  <si>
    <t>Quarter Ending</t>
  </si>
  <si>
    <t>Market Cap (mil$)</t>
  </si>
  <si>
    <t>UCG</t>
  </si>
  <si>
    <t>UniCredit S.p.A.</t>
  </si>
  <si>
    <t>09-Feb-26</t>
  </si>
  <si>
    <t>Dec-25</t>
  </si>
  <si>
    <t>APO</t>
  </si>
  <si>
    <t>Apollo Global Management, Inc.</t>
  </si>
  <si>
    <t>Pre Market</t>
  </si>
  <si>
    <t>SoftBank Corp.</t>
  </si>
  <si>
    <t>Recruit Holdings Co., Ltd.</t>
  </si>
  <si>
    <t>BDX</t>
  </si>
  <si>
    <t>Becton, Dickinson and Company</t>
  </si>
  <si>
    <t>BPAC11</t>
  </si>
  <si>
    <t>Banco BTG Pactual S.A.</t>
  </si>
  <si>
    <t>DEWA</t>
  </si>
  <si>
    <t>Dubai Electricity and Water Authority (PJSC)</t>
  </si>
  <si>
    <t>A012450</t>
  </si>
  <si>
    <t>Hanwha Aerospace Co., Ltd.</t>
  </si>
  <si>
    <t>ACGL</t>
  </si>
  <si>
    <t>Arch Capital Group Ltd.</t>
  </si>
  <si>
    <t>After Hours</t>
  </si>
  <si>
    <t>ORIX Corporation</t>
  </si>
  <si>
    <t>Fujikura Ltd.</t>
  </si>
  <si>
    <t>Mitsubishi Estate Co., Ltd.</t>
  </si>
  <si>
    <t>CINF</t>
  </si>
  <si>
    <t>Cincinnati Financial Corporation</t>
  </si>
  <si>
    <t>BAMI</t>
  </si>
  <si>
    <t>Banco BPM S.p.A.</t>
  </si>
  <si>
    <t>L</t>
  </si>
  <si>
    <t>Loews Corporation</t>
  </si>
  <si>
    <t>ON</t>
  </si>
  <si>
    <t>ON Semiconductor Corporation</t>
  </si>
  <si>
    <t>PFG</t>
  </si>
  <si>
    <t>Principal Financial Group, Inc.</t>
  </si>
  <si>
    <t>CRBG</t>
  </si>
  <si>
    <t>Corebridge Financial, Inc.</t>
  </si>
  <si>
    <t>ACM</t>
  </si>
  <si>
    <t>AECOM</t>
  </si>
  <si>
    <t>GCARSO A1</t>
  </si>
  <si>
    <t>Grupo Carso, S.A.B. de C.V.</t>
  </si>
  <si>
    <t>MB</t>
  </si>
  <si>
    <t>Mediobanca Banca di Credito Finanziario S.p.A.</t>
  </si>
  <si>
    <t>MEDP</t>
  </si>
  <si>
    <t>Medpace Holdings, Inc.</t>
  </si>
  <si>
    <t>DT</t>
  </si>
  <si>
    <t>Dynatrace, Inc.</t>
  </si>
  <si>
    <t>PTTEP</t>
  </si>
  <si>
    <t>PTT Exploration and Production Public Company Limited</t>
  </si>
  <si>
    <t>CNA</t>
  </si>
  <si>
    <t>CNA Financial Corporation</t>
  </si>
  <si>
    <t>BBSE3</t>
  </si>
  <si>
    <t>BB Seguridade Participações S.A.</t>
  </si>
  <si>
    <t>UDR</t>
  </si>
  <si>
    <t>UDR, Inc.</t>
  </si>
  <si>
    <t>HKT Trust and HKT Limited</t>
  </si>
  <si>
    <t>DU</t>
  </si>
  <si>
    <t>Emirates Integrated Telecommunications Company PJSC</t>
  </si>
  <si>
    <t>ZYDUSLIFE</t>
  </si>
  <si>
    <t>Zydus Lifesciences Limited</t>
  </si>
  <si>
    <t>Rakuten Bank, Ltd.</t>
  </si>
  <si>
    <t>A259960</t>
  </si>
  <si>
    <t>KRAFTON, Inc.</t>
  </si>
  <si>
    <t>MNDY</t>
  </si>
  <si>
    <t>monday.com Ltd.</t>
  </si>
  <si>
    <t>Eisai Co., Ltd.</t>
  </si>
  <si>
    <t>Sumitomo Metal Mining Co., Ltd.</t>
  </si>
  <si>
    <t>AMKR</t>
  </si>
  <si>
    <t>Amkor Technology, Inc.</t>
  </si>
  <si>
    <t>CLF</t>
  </si>
  <si>
    <t>Cleveland-Cliffs Inc.</t>
  </si>
  <si>
    <t>Kyowa Kirin Co., Ltd.</t>
  </si>
  <si>
    <t>FROTO</t>
  </si>
  <si>
    <t>Ford Otomotiv Sanayi A.S.</t>
  </si>
  <si>
    <t>BRX</t>
  </si>
  <si>
    <t>Brixmor Property Group Inc.</t>
  </si>
  <si>
    <t>VNO</t>
  </si>
  <si>
    <t>Vornado Realty Trust</t>
  </si>
  <si>
    <t>SAGA A</t>
  </si>
  <si>
    <t>AB Sagax (publ)</t>
  </si>
  <si>
    <t>AUROPHARMA</t>
  </si>
  <si>
    <t>Aurobindo Pharma Limited</t>
  </si>
  <si>
    <t>AMTM</t>
  </si>
  <si>
    <t>Amentum Holdings, Inc.</t>
  </si>
  <si>
    <t>VAKBN</t>
  </si>
  <si>
    <t>Türkiye Vakiflar Bankasi Türk Anonim Ortakligi</t>
  </si>
  <si>
    <t>SSD</t>
  </si>
  <si>
    <t>Simpson Manufacturing Co., Inc.</t>
  </si>
  <si>
    <t>KD</t>
  </si>
  <si>
    <t>Kyndryl Holdings, Inc.</t>
  </si>
  <si>
    <t>Linde India Limited</t>
  </si>
  <si>
    <t>MOTV3</t>
  </si>
  <si>
    <t>Motiva Infraestrutura de Mobilidade S.A.</t>
  </si>
  <si>
    <t>MIL</t>
  </si>
  <si>
    <t>Bank Millennium S.A.</t>
  </si>
  <si>
    <t>Nissan Chemical Corporation</t>
  </si>
  <si>
    <t>KRC</t>
  </si>
  <si>
    <t>Kilroy Realty Corporation</t>
  </si>
  <si>
    <t>Azbil Corporation</t>
  </si>
  <si>
    <t>eMemory Technology Inc.</t>
  </si>
  <si>
    <t>Tokyo Ohka Kogyo Co., Ltd.</t>
  </si>
  <si>
    <t>ISAT</t>
  </si>
  <si>
    <t>PT Indosat Ooredoo Hutchison Tbk</t>
  </si>
  <si>
    <t>A950160</t>
  </si>
  <si>
    <t>Kolon TissueGene, Inc.</t>
  </si>
  <si>
    <t>LOG</t>
  </si>
  <si>
    <t>Logista Integral, S.A.</t>
  </si>
  <si>
    <t>Furukawa Electric Co., Ltd.</t>
  </si>
  <si>
    <t>Tata Investment Corporation Limited</t>
  </si>
  <si>
    <t>PSK</t>
  </si>
  <si>
    <t>PrairieSky Royalty Ltd.</t>
  </si>
  <si>
    <t>The Japan Steel Works, Ltd.</t>
  </si>
  <si>
    <t>CHOLAHLDNG</t>
  </si>
  <si>
    <t>Cholamandalam Financial Holdings Limited</t>
  </si>
  <si>
    <t>Hanwha Corporation</t>
  </si>
  <si>
    <t>A001040</t>
  </si>
  <si>
    <t>CJ Corporation</t>
  </si>
  <si>
    <t>KPRMILL</t>
  </si>
  <si>
    <t>K.P.R. Mill Limited</t>
  </si>
  <si>
    <t>MediPal Holdings Corporation</t>
  </si>
  <si>
    <t>Navin Fluorine International Limited</t>
  </si>
  <si>
    <t>Dexerials Corporation</t>
  </si>
  <si>
    <t>NBCC (India) Limited</t>
  </si>
  <si>
    <t>PCH</t>
  </si>
  <si>
    <t>PotlatchDeltic Corporation</t>
  </si>
  <si>
    <t>GTM</t>
  </si>
  <si>
    <t>ZoomInfo Technologies Inc.</t>
  </si>
  <si>
    <t>Mercari, Inc.</t>
  </si>
  <si>
    <t>3405</t>
  </si>
  <si>
    <t>Kuraray Co., Ltd.</t>
  </si>
  <si>
    <t>A078930</t>
  </si>
  <si>
    <t>GS Holdings Corp.</t>
  </si>
  <si>
    <t>Keio Corporation</t>
  </si>
  <si>
    <t>BAKKA</t>
  </si>
  <si>
    <t>P/F Bakkafrost</t>
  </si>
  <si>
    <t>BRES</t>
  </si>
  <si>
    <t>Barwa Real Estate Company Q.P.S.C.</t>
  </si>
  <si>
    <t>RAMCOCEM</t>
  </si>
  <si>
    <t>The Ramco Cements Limited</t>
  </si>
  <si>
    <t>Penta-Ocean Construction Co., Ltd.</t>
  </si>
  <si>
    <t>Kansai Paint Co., Ltd.</t>
  </si>
  <si>
    <t>Nichias Corporation</t>
  </si>
  <si>
    <t>A052690</t>
  </si>
  <si>
    <t>KEPCO Engineering &amp; Construction Company, Inc.</t>
  </si>
  <si>
    <t>Nishi-Nippon Financial Holdings, Inc.</t>
  </si>
  <si>
    <t>EIHOTEL</t>
  </si>
  <si>
    <t>EIH Limited</t>
  </si>
  <si>
    <t>PFIZER</t>
  </si>
  <si>
    <t>Pfizer Limited</t>
  </si>
  <si>
    <t>AstraZeneca Pharma India Limited</t>
  </si>
  <si>
    <t>Force Motors Limited</t>
  </si>
  <si>
    <t>CURB</t>
  </si>
  <si>
    <t>Curbline Properties Corp.</t>
  </si>
  <si>
    <t>Neuland Laboratories Limited</t>
  </si>
  <si>
    <t>UPWK</t>
  </si>
  <si>
    <t>Upwork Inc.</t>
  </si>
  <si>
    <t>GT</t>
  </si>
  <si>
    <t>The Goodyear Tire &amp; Rubber Company</t>
  </si>
  <si>
    <t>A097950</t>
  </si>
  <si>
    <t>CJ Cheiljedang Corporation</t>
  </si>
  <si>
    <t>Maruichi Steel Tube Ltd.</t>
  </si>
  <si>
    <t>SCHNEIDER</t>
  </si>
  <si>
    <t>Schneider Electric Infrastructure Limited</t>
  </si>
  <si>
    <t>ALUA</t>
  </si>
  <si>
    <t>Aluar Aluminio Argentino S.A.I.C.</t>
  </si>
  <si>
    <t>AKSEN</t>
  </si>
  <si>
    <t>Aksa Enerji Üretim A.S.</t>
  </si>
  <si>
    <t>BRAV</t>
  </si>
  <si>
    <t>Bravida Holding AB (publ)</t>
  </si>
  <si>
    <t>DAC</t>
  </si>
  <si>
    <t>Danaos Corporation</t>
  </si>
  <si>
    <t>PFOCUS</t>
  </si>
  <si>
    <t>Prime Focus Limited</t>
  </si>
  <si>
    <t>A263750</t>
  </si>
  <si>
    <t>Pearl Abyss Corp.</t>
  </si>
  <si>
    <t>A017800</t>
  </si>
  <si>
    <t>Hyundai Elevator Co., Ltd</t>
  </si>
  <si>
    <t>SWCC Corporation</t>
  </si>
  <si>
    <t>Abdullah Al-Othaim Markets Company</t>
  </si>
  <si>
    <t>A237690</t>
  </si>
  <si>
    <t>ST Pharm Co.,Ltd.</t>
  </si>
  <si>
    <t>SVM</t>
  </si>
  <si>
    <t>Silvercorp Metals Inc.</t>
  </si>
  <si>
    <t>A051600</t>
  </si>
  <si>
    <t>KEPCO Plant Service &amp; Engineering Co.,Ltd.</t>
  </si>
  <si>
    <t>Osaka Soda Co., Ltd.</t>
  </si>
  <si>
    <t>Leejam Sports Company</t>
  </si>
  <si>
    <t>MMT</t>
  </si>
  <si>
    <t>Métropole Télévision S.A.</t>
  </si>
  <si>
    <t>PGY</t>
  </si>
  <si>
    <t>Pagaya Technologies Ltd.</t>
  </si>
  <si>
    <t>NTB</t>
  </si>
  <si>
    <t>The Bank of N.T. Butterfield &amp; Son Limited</t>
  </si>
  <si>
    <t>KIRLOSENG</t>
  </si>
  <si>
    <t>Kirloskar Oil Engines Limited</t>
  </si>
  <si>
    <t>EIDPARRY</t>
  </si>
  <si>
    <t>E.I.D.- Parry (India) Limited</t>
  </si>
  <si>
    <t>Kyoritsu Maintenance Co., Ltd.</t>
  </si>
  <si>
    <t>NYF</t>
  </si>
  <si>
    <t>Nyfosa AB (publ)</t>
  </si>
  <si>
    <t>RHLD</t>
  </si>
  <si>
    <t>Resolute Holdings Management, Inc.</t>
  </si>
  <si>
    <t>A139480</t>
  </si>
  <si>
    <t>E-MART Inc.</t>
  </si>
  <si>
    <t>IRCON</t>
  </si>
  <si>
    <t>Ircon International Limited</t>
  </si>
  <si>
    <t>Nipro Corporation</t>
  </si>
  <si>
    <t>SBH</t>
  </si>
  <si>
    <t>Sally Beauty Holdings, Inc.</t>
  </si>
  <si>
    <t>Starts Corporation Inc.</t>
  </si>
  <si>
    <t>TECHNOE</t>
  </si>
  <si>
    <t>Techno Electric &amp; Engineering Company Limited</t>
  </si>
  <si>
    <t>A004990</t>
  </si>
  <si>
    <t>LOTTE Corporation</t>
  </si>
  <si>
    <t>A069960</t>
  </si>
  <si>
    <t>Hyundai Department Store Co. Ltd.</t>
  </si>
  <si>
    <t>TRIDENT</t>
  </si>
  <si>
    <t>Trident Limited</t>
  </si>
  <si>
    <t>Bata India Limited</t>
  </si>
  <si>
    <t>KUO B</t>
  </si>
  <si>
    <t>Kuo, S.A.B. de C.V.</t>
  </si>
  <si>
    <t>UVV</t>
  </si>
  <si>
    <t>Universal Corporation</t>
  </si>
  <si>
    <t>A006040</t>
  </si>
  <si>
    <t>Dongwon Industries Co., Ltd.</t>
  </si>
  <si>
    <t>CJ Logistics Corporation</t>
  </si>
  <si>
    <t>Tilaknagar Industries Ltd.</t>
  </si>
  <si>
    <t>Avanti Feeds Limited</t>
  </si>
  <si>
    <t>Seiren Co.,Ltd.</t>
  </si>
  <si>
    <t>ENGINERSIN</t>
  </si>
  <si>
    <t>Engineers India Limited</t>
  </si>
  <si>
    <t>Maruha Nichiro Corporation</t>
  </si>
  <si>
    <t>SANSERA</t>
  </si>
  <si>
    <t>Sansera Engineering Limited</t>
  </si>
  <si>
    <t>H.U. Group Holdings, Inc.</t>
  </si>
  <si>
    <t>Graphite India Limited</t>
  </si>
  <si>
    <t>HEG</t>
  </si>
  <si>
    <t>HEG Limited</t>
  </si>
  <si>
    <t>The Ogaki Kyoritsu Bank, Ltd.</t>
  </si>
  <si>
    <t>GEMI</t>
  </si>
  <si>
    <t>Gemini Space Station, Inc.</t>
  </si>
  <si>
    <t>FTREIT</t>
  </si>
  <si>
    <t>Frasers Property Thailand Industrial Freehold &amp; Leasehold REIT</t>
  </si>
  <si>
    <t>ALX</t>
  </si>
  <si>
    <t>Alexander's, Inc.</t>
  </si>
  <si>
    <t>ATX</t>
  </si>
  <si>
    <t>ATEX Resources Inc.</t>
  </si>
  <si>
    <t>A001430</t>
  </si>
  <si>
    <t>SeAH Besteel Holdings Corporation</t>
  </si>
  <si>
    <t>Daiichikosho Co., Ltd.</t>
  </si>
  <si>
    <t>A047040</t>
  </si>
  <si>
    <t>Daewoo Engineering &amp; Construction Co., Ltd.</t>
  </si>
  <si>
    <t>ICHR</t>
  </si>
  <si>
    <t>Ichor Holdings, Ltd.</t>
  </si>
  <si>
    <t>Machvision Inc.</t>
  </si>
  <si>
    <t>Totetsu Kogyo Co., Ltd.</t>
  </si>
  <si>
    <t>The Monogatari Corporation</t>
  </si>
  <si>
    <t>ESABINDIA</t>
  </si>
  <si>
    <t>ESAB India Limited</t>
  </si>
  <si>
    <t>Nitto Kogyo Corporation</t>
  </si>
  <si>
    <t>TIMETECHNO</t>
  </si>
  <si>
    <t>Time Technoplast Limited</t>
  </si>
  <si>
    <t>Toshiba Tec Corporation</t>
  </si>
  <si>
    <t>RHI Magnesita India Limited</t>
  </si>
  <si>
    <t>SMTO3</t>
  </si>
  <si>
    <t>São Martinho S.A.</t>
  </si>
  <si>
    <t>KRBL</t>
  </si>
  <si>
    <t>KRBL Limited</t>
  </si>
  <si>
    <t>Q5T</t>
  </si>
  <si>
    <t>Far East Hospitality Trust</t>
  </si>
  <si>
    <t>Furukawa Co.,Ltd.</t>
  </si>
  <si>
    <t>Black Box Limited</t>
  </si>
  <si>
    <t>Kureha Corporation</t>
  </si>
  <si>
    <t>UDCD</t>
  </si>
  <si>
    <t>United Development Company Q.P.S.C.</t>
  </si>
  <si>
    <t>Sk Kaken Co.,Ltd.</t>
  </si>
  <si>
    <t>EPC</t>
  </si>
  <si>
    <t>Edgewell Personal Care Company</t>
  </si>
  <si>
    <t>Sanken Electric Co., Ltd.</t>
  </si>
  <si>
    <t>UTL</t>
  </si>
  <si>
    <t>Unitil Corporation</t>
  </si>
  <si>
    <t>A001800</t>
  </si>
  <si>
    <t>ORION Holdings Corp.</t>
  </si>
  <si>
    <t>ASST</t>
  </si>
  <si>
    <t>Strive Asset Management, LLC</t>
  </si>
  <si>
    <t>HAPPSTMNDS</t>
  </si>
  <si>
    <t>Happiest Minds Technologies Limited</t>
  </si>
  <si>
    <t>Matsuya Foods Holdings Co., Ltd.</t>
  </si>
  <si>
    <t>AOV</t>
  </si>
  <si>
    <t>Amotiv Limited</t>
  </si>
  <si>
    <t>TRE</t>
  </si>
  <si>
    <t>Treasure ASA</t>
  </si>
  <si>
    <t>Genus Power Infrastructures Limited</t>
  </si>
  <si>
    <t>Gujarat State Fertilizers &amp; Chemicals Limited</t>
  </si>
  <si>
    <t>Garware Technical Fibres Limited</t>
  </si>
  <si>
    <t>A006120</t>
  </si>
  <si>
    <t>SK Discovery Co., Ltd.</t>
  </si>
  <si>
    <t>GALAXYSURF</t>
  </si>
  <si>
    <t>Galaxy Surfactants Limited</t>
  </si>
  <si>
    <t>A082640</t>
  </si>
  <si>
    <t>Tong Yang Life Insurance Co., Ltd.</t>
  </si>
  <si>
    <t>Isgec Heavy Engineering Limited</t>
  </si>
  <si>
    <t>AIOT</t>
  </si>
  <si>
    <t>PowerFleet, Inc.</t>
  </si>
  <si>
    <t>EPL Limited</t>
  </si>
  <si>
    <t>PILLAR Corporation</t>
  </si>
  <si>
    <t>POWERMECH</t>
  </si>
  <si>
    <t>Power Mech Projects Limited</t>
  </si>
  <si>
    <t>JAIBALAJI</t>
  </si>
  <si>
    <t>Jai Balaji Industries Limited</t>
  </si>
  <si>
    <t>RENUKA</t>
  </si>
  <si>
    <t>Shree Renuka Sugars Limited</t>
  </si>
  <si>
    <t>A003090</t>
  </si>
  <si>
    <t>Daewoong Co., Ltd.</t>
  </si>
  <si>
    <t>The Oita Bank, Ltd.</t>
  </si>
  <si>
    <t>Global Mixed-Mode Technology Inc.</t>
  </si>
  <si>
    <t>HANZA</t>
  </si>
  <si>
    <t>Hanza AB (publ)</t>
  </si>
  <si>
    <t>Yahagi Construction Co.,Ltd.</t>
  </si>
  <si>
    <t>INDIGOPNTS</t>
  </si>
  <si>
    <t>Indigo Paints Limited</t>
  </si>
  <si>
    <t>A001740</t>
  </si>
  <si>
    <t>SK Networks Company Limited</t>
  </si>
  <si>
    <t>A049770</t>
  </si>
  <si>
    <t>Dongwon F&amp;B Co., Ltd.</t>
  </si>
  <si>
    <t>Suprajit Engineering Limited</t>
  </si>
  <si>
    <t>A004490</t>
  </si>
  <si>
    <t>Sebang Global Battery Co., Ltd.</t>
  </si>
  <si>
    <t>Bajaj Electricals Limited</t>
  </si>
  <si>
    <t>A005690</t>
  </si>
  <si>
    <t>Pharmicell Co., Ltd.</t>
  </si>
  <si>
    <t>Indo Count Industries Limited</t>
  </si>
  <si>
    <t>Ahluwalia Contracts (India) Limited</t>
  </si>
  <si>
    <t>PNCINFRA</t>
  </si>
  <si>
    <t>PNC Infratech Limited</t>
  </si>
  <si>
    <t>CMCO</t>
  </si>
  <si>
    <t>Columbus McKinnon Corporation</t>
  </si>
  <si>
    <t>VERTOZ</t>
  </si>
  <si>
    <t>Vertoz Limited</t>
  </si>
  <si>
    <t>Kingfa Science &amp; Technology (India) Limited</t>
  </si>
  <si>
    <t>DXI</t>
  </si>
  <si>
    <t>Dexus Industria REIT</t>
  </si>
  <si>
    <t>PRV</t>
  </si>
  <si>
    <t>Porvair plc</t>
  </si>
  <si>
    <t>Nov-25</t>
  </si>
  <si>
    <t>A082920</t>
  </si>
  <si>
    <t>VITZROCELL Co.,Ltd.</t>
  </si>
  <si>
    <t>A014820</t>
  </si>
  <si>
    <t>Dongwon Systems Corporation</t>
  </si>
  <si>
    <t>WEHB</t>
  </si>
  <si>
    <t>Wereldhave Belgium</t>
  </si>
  <si>
    <t>Optiemus Infracom Limited</t>
  </si>
  <si>
    <t>Bando Chemical Industries, Ltd.</t>
  </si>
  <si>
    <t>A228760</t>
  </si>
  <si>
    <t>Genomictree Inc.</t>
  </si>
  <si>
    <t>A025540</t>
  </si>
  <si>
    <t>Korea Electric Terminal Co., Ltd.</t>
  </si>
  <si>
    <t>Nihon Nohyaku Co., Ltd.</t>
  </si>
  <si>
    <t>BJTM</t>
  </si>
  <si>
    <t>PT Bank Pembangunan Daerah Jawa Timur Tbk</t>
  </si>
  <si>
    <t>SOHU</t>
  </si>
  <si>
    <t>Sohu.com Limited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</si>
  <si>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</si>
  <si>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</si>
  <si>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</si>
  <si>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</si>
  <si>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</si>
  <si>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</si>
  <si>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</si>
  <si>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</si>
  <si>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</si>
  <si>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</si>
  <si>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</si>
  <si>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</si>
  <si>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</si>
  <si>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</si>
  <si>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</si>
  <si>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</si>
  <si>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</si>
  <si>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</si>
  <si>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</si>
  <si>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</si>
  <si>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</si>
  <si>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</si>
  <si>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Asset Management</t>
  </si>
  <si>
    <t>Dec'25</t>
  </si>
  <si>
    <t>Specialty Business Services</t>
  </si>
  <si>
    <t>REIT - Retail</t>
  </si>
  <si>
    <t>Software - Application</t>
  </si>
  <si>
    <t>Silver</t>
  </si>
  <si>
    <t>Jun'26</t>
  </si>
  <si>
    <t>Sep'26</t>
  </si>
  <si>
    <t>Farm &amp; Heavy Construction Machinery</t>
  </si>
  <si>
    <t>Software - Infrastructure</t>
  </si>
  <si>
    <t>Electronic Gaming &amp; Multimedia</t>
  </si>
  <si>
    <t>Insurance - Property &amp; Casualty</t>
  </si>
  <si>
    <t>Information Technology Services</t>
  </si>
  <si>
    <t>Engineering &amp; Construction</t>
  </si>
  <si>
    <t>Medical Instruments &amp; Supplies</t>
  </si>
  <si>
    <t>Mar'26</t>
  </si>
  <si>
    <t>Household &amp; Personal Products</t>
  </si>
  <si>
    <t>Specialty Retail</t>
  </si>
  <si>
    <t>Steel</t>
  </si>
  <si>
    <t>Tobacco</t>
  </si>
  <si>
    <t>Japan</t>
  </si>
  <si>
    <t>N/A</t>
  </si>
  <si>
    <t>India</t>
  </si>
  <si>
    <t>Sep'25</t>
  </si>
  <si>
    <t>Capital Markets</t>
  </si>
  <si>
    <t>Diagnostics &amp; Research</t>
  </si>
  <si>
    <t>REIT - Specialty</t>
  </si>
  <si>
    <t>Semiconductor Equipment &amp; Materials</t>
  </si>
  <si>
    <t>Insurance - Diversified</t>
  </si>
  <si>
    <t>Banks - Diversified</t>
  </si>
  <si>
    <t>Utilities - Diversified</t>
  </si>
  <si>
    <t>REIT - Residential</t>
  </si>
  <si>
    <t>Lumber &amp; Wood Production</t>
  </si>
  <si>
    <t>Internet Content &amp; Information</t>
  </si>
  <si>
    <t>REIT - Office</t>
  </si>
  <si>
    <t>Marine Shipping</t>
  </si>
  <si>
    <t>Auto Parts</t>
  </si>
  <si>
    <t>Semiconductors</t>
  </si>
  <si>
    <t>Unknown</t>
  </si>
  <si>
    <t>Restaurants</t>
  </si>
  <si>
    <t>H1 2025</t>
  </si>
  <si>
    <t>Hong Kong</t>
  </si>
  <si>
    <t>H1 2026</t>
  </si>
  <si>
    <t>opm</t>
  </si>
  <si>
    <t>A000120</t>
    <phoneticPr fontId="5" type="noConversion"/>
  </si>
  <si>
    <t>A000880</t>
    <phoneticPr fontId="5" type="noConversion"/>
  </si>
  <si>
    <t>TECHNOE</t>
    <phoneticPr fontId="5" type="noConversion"/>
  </si>
  <si>
    <t>PFOCUS</t>
    <phoneticPr fontId="5" type="noConversion"/>
  </si>
  <si>
    <t>ENGINERSIN</t>
    <phoneticPr fontId="5" type="noConversion"/>
  </si>
  <si>
    <t>(단위: mil $)</t>
    <phoneticPr fontId="5" type="noConversion"/>
  </si>
  <si>
    <t>4Q21</t>
    <phoneticPr fontId="12" type="noConversion"/>
  </si>
  <si>
    <t>1Q22</t>
    <phoneticPr fontId="12" type="noConversion"/>
  </si>
  <si>
    <t>2Q22</t>
    <phoneticPr fontId="12" type="noConversion"/>
  </si>
  <si>
    <t>3Q22</t>
    <phoneticPr fontId="12" type="noConversion"/>
  </si>
  <si>
    <t>4Q22</t>
    <phoneticPr fontId="12" type="noConversion"/>
  </si>
  <si>
    <t>2Q23</t>
    <phoneticPr fontId="12" type="noConversion"/>
  </si>
  <si>
    <t>3Q23</t>
    <phoneticPr fontId="12" type="noConversion"/>
  </si>
  <si>
    <t>4Q23</t>
    <phoneticPr fontId="12" type="noConversion"/>
  </si>
  <si>
    <t>1Q26</t>
    <phoneticPr fontId="12" type="noConversion"/>
  </si>
  <si>
    <t>2Q26</t>
    <phoneticPr fontId="12" type="noConversion"/>
  </si>
  <si>
    <t>3Q26</t>
    <phoneticPr fontId="12" type="noConversion"/>
  </si>
  <si>
    <t>4Q26</t>
    <phoneticPr fontId="12" type="noConversion"/>
  </si>
  <si>
    <t>Revenue</t>
    <phoneticPr fontId="12" type="noConversion"/>
  </si>
  <si>
    <t>OP</t>
    <phoneticPr fontId="12" type="noConversion"/>
  </si>
  <si>
    <t>Trailing 4Q OP avg.</t>
    <phoneticPr fontId="12" type="noConversion"/>
  </si>
  <si>
    <t>Trailing 4Q OP sum.</t>
    <phoneticPr fontId="12" type="noConversion"/>
  </si>
  <si>
    <t>Trailing OP Delta</t>
    <phoneticPr fontId="12" type="noConversion"/>
  </si>
  <si>
    <t>op yoy</t>
    <phoneticPr fontId="12" type="noConversion"/>
  </si>
  <si>
    <t>rv yoy</t>
    <phoneticPr fontId="5" type="noConversion"/>
  </si>
  <si>
    <t>Household &amp; Personal Products</t>
    <phoneticPr fontId="5" type="noConversion"/>
  </si>
  <si>
    <t>Japan</t>
    <phoneticPr fontId="5" type="noConversion"/>
  </si>
  <si>
    <t>Ticker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</si>
</sst>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13" x14ac:knownFonts="1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Pretendard"/>
      <family val="3"/>
      <charset val="129"/>
    </font>
    <font>
      <sz val="11"/>
      <color theme="1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5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76" fontId="3" fillId="0" borderId="0" xfId="0" applyNumberFormat="1" applyFont="1"/>
    <xf numFmtId="3" fontId="3" fillId="3" borderId="0" xfId="0" applyNumberFormat="1" applyFont="1" applyFill="1"/>
    <xf numFmtId="177" fontId="3" fillId="0" borderId="1" xfId="0" applyNumberFormat="1" applyFont="1" applyBorder="1"/>
    <xf numFmtId="177" fontId="3" fillId="0" borderId="0" xfId="0" applyNumberFormat="1" applyFont="1"/>
    <xf numFmtId="177" fontId="3" fillId="3" borderId="0" xfId="0" applyNumberFormat="1" applyFont="1" applyFill="1"/>
    <xf numFmtId="177" fontId="3" fillId="3" borderId="1" xfId="0" applyNumberFormat="1" applyFont="1" applyFill="1" applyBorder="1"/>
    <xf numFmtId="0" fontId="3" fillId="0" borderId="1" xfId="0" applyFont="1" applyBorder="1"/>
    <xf numFmtId="0" fontId="2" fillId="0" borderId="0" xfId="0" applyFont="1"/>
    <xf numFmtId="176" fontId="2" fillId="4" borderId="0" xfId="0" applyNumberFormat="1" applyFont="1" applyFill="1"/>
    <xf numFmtId="0" fontId="3" fillId="0" borderId="0" xfId="0" applyFont="1" applyBorder="1"/>
    <xf numFmtId="176" fontId="3" fillId="0" borderId="0" xfId="0" applyNumberFormat="1" applyFont="1" applyBorder="1"/>
    <xf numFmtId="3" fontId="3" fillId="0" borderId="0" xfId="0" applyNumberFormat="1" applyFont="1" applyBorder="1"/>
    <xf numFmtId="3" fontId="3" fillId="3" borderId="0" xfId="0" applyNumberFormat="1" applyFont="1" applyFill="1" applyBorder="1"/>
    <xf numFmtId="177" fontId="3" fillId="0" borderId="0" xfId="0" applyNumberFormat="1" applyFont="1" applyBorder="1"/>
    <xf numFmtId="0" fontId="3" fillId="0" borderId="2" xfId="0" applyFont="1" applyBorder="1"/>
    <xf numFmtId="176" fontId="3" fillId="0" borderId="2" xfId="0" applyNumberFormat="1" applyFont="1" applyBorder="1"/>
    <xf numFmtId="3" fontId="3" fillId="0" borderId="2" xfId="0" applyNumberFormat="1" applyFont="1" applyBorder="1"/>
    <xf numFmtId="177" fontId="3" fillId="0" borderId="3" xfId="0" applyNumberFormat="1" applyFont="1" applyBorder="1"/>
    <xf numFmtId="177" fontId="3" fillId="0" borderId="2" xfId="0" applyNumberFormat="1" applyFont="1" applyBorder="1"/>
    <xf numFmtId="0" fontId="6" fillId="0" borderId="0" xfId="0" applyFont="1"/>
    <xf numFmtId="0" fontId="2" fillId="0" borderId="0" xfId="0" applyFont="1" applyBorder="1"/>
    <xf numFmtId="0" fontId="2" fillId="0" borderId="2" xfId="0" applyFont="1" applyBorder="1"/>
    <xf numFmtId="177" fontId="3" fillId="3" borderId="0" xfId="0" applyNumberFormat="1" applyFont="1" applyFill="1" applyBorder="1"/>
    <xf numFmtId="177" fontId="3" fillId="3" borderId="2" xfId="0" applyNumberFormat="1" applyFont="1" applyFill="1" applyBorder="1"/>
    <xf numFmtId="0" fontId="7" fillId="0" borderId="0" xfId="0" applyFont="1"/>
    <xf numFmtId="0" fontId="8" fillId="0" borderId="0" xfId="0" applyFont="1"/>
    <xf numFmtId="0" fontId="7" fillId="0" borderId="0" xfId="0" quotePrefix="1" applyFont="1" applyAlignment="1">
      <alignment vertical="center"/>
    </xf>
    <xf numFmtId="0" fontId="9" fillId="0" borderId="0" xfId="0" applyFont="1"/>
    <xf numFmtId="0" fontId="8" fillId="0" borderId="0" xfId="0" applyFont="1" applyAlignment="1">
      <alignment vertical="center"/>
    </xf>
    <xf numFmtId="0" fontId="10" fillId="5" borderId="4" xfId="0" applyFont="1" applyFill="1" applyBorder="1" applyAlignment="1">
      <alignment vertical="center"/>
    </xf>
    <xf numFmtId="0" fontId="11" fillId="5" borderId="0" xfId="0" applyFont="1" applyFill="1" applyAlignment="1">
      <alignment horizontal="right" vertical="center"/>
    </xf>
    <xf numFmtId="0" fontId="11" fillId="5" borderId="4" xfId="0" applyFont="1" applyFill="1" applyBorder="1" applyAlignment="1">
      <alignment horizontal="right" vertical="center"/>
    </xf>
    <xf numFmtId="0" fontId="8" fillId="0" borderId="4" xfId="0" applyFont="1" applyBorder="1" applyAlignment="1">
      <alignment vertical="center"/>
    </xf>
    <xf numFmtId="178" fontId="8" fillId="0" borderId="0" xfId="0" applyNumberFormat="1" applyFont="1" applyAlignment="1">
      <alignment vertical="center"/>
    </xf>
    <xf numFmtId="178" fontId="8" fillId="0" borderId="4" xfId="0" applyNumberFormat="1" applyFont="1" applyBorder="1" applyAlignment="1">
      <alignment vertical="center"/>
    </xf>
    <xf numFmtId="177" fontId="8" fillId="0" borderId="0" xfId="1" applyNumberFormat="1" applyFont="1" applyFill="1">
      <alignment vertical="center"/>
    </xf>
    <xf numFmtId="177" fontId="8" fillId="0" borderId="0" xfId="1" applyNumberFormat="1" applyFont="1" applyFill="1" applyBorder="1">
      <alignment vertical="center"/>
    </xf>
    <xf numFmtId="177" fontId="8" fillId="0" borderId="4" xfId="1" applyNumberFormat="1" applyFont="1" applyFill="1" applyBorder="1">
      <alignment vertical="center"/>
    </xf>
    <xf numFmtId="9" fontId="8" fillId="0" borderId="0" xfId="1" applyFont="1" applyFill="1">
      <alignment vertical="center"/>
    </xf>
    <xf numFmtId="9" fontId="8" fillId="0" borderId="0" xfId="1" applyFont="1" applyAlignment="1">
      <alignment horizontal="right" vertical="center"/>
    </xf>
    <xf numFmtId="9" fontId="8" fillId="0" borderId="4" xfId="1" applyFont="1" applyBorder="1" applyAlignment="1">
      <alignment horizontal="right" vertical="center"/>
    </xf>
    <xf numFmtId="9" fontId="8" fillId="0" borderId="0" xfId="1" applyFont="1">
      <alignment vertical="center"/>
    </xf>
    <xf numFmtId="9" fontId="8" fillId="0" borderId="0" xfId="1" applyFont="1" applyBorder="1">
      <alignment vertical="center"/>
    </xf>
    <xf numFmtId="9" fontId="8" fillId="0" borderId="4" xfId="1" applyFont="1" applyBorder="1">
      <alignment vertical="center"/>
    </xf>
    <xf numFmtId="178" fontId="3" fillId="0" borderId="0" xfId="0" applyNumberFormat="1" applyFont="1"/>
    <xf numFmtId="178" fontId="3" fillId="3" borderId="0" xfId="0" applyNumberFormat="1" applyFont="1" applyFill="1"/>
    <xf numFmtId="178" fontId="3" fillId="0" borderId="0" xfId="0" applyNumberFormat="1" applyFont="1" applyBorder="1"/>
    <xf numFmtId="178" fontId="3" fillId="3" borderId="0" xfId="0" applyNumberFormat="1" applyFont="1" applyFill="1" applyBorder="1"/>
    <xf numFmtId="178" fontId="3" fillId="0" borderId="2" xfId="0" applyNumberFormat="1" applyFont="1" applyBorder="1"/>
    <xf numFmtId="178" fontId="3" fillId="3" borderId="2" xfId="0" applyNumberFormat="1" applyFont="1" applyFill="1" applyBorder="1"/>
    <xf numFmtId="178" fontId="0" fillId="0" borderId="0" xfId="0" applyNumberFormat="1"/>
  </cellXfs>
  <cellStyles count="2">
    <cellStyle name="백분율" xfId="1" builtinId="5"/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20"/>
  <sheetViews>
    <sheetView workbookViewId="0">
      <selection activeCell="C13" sqref="C13"/>
    </sheetView>
  </sheetViews>
  <sheetFormatPr defaultRowHeight="16.5" x14ac:dyDescent="0.3"/>
  <cols>
    <col min="1" max="1" width="3" customWidth="1"/>
    <col min="2" max="2" width="12" style="24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18.75" x14ac:dyDescent="0.3">
      <c r="B2" s="1" t="s">
        <v>0</v>
      </c>
    </row>
    <row r="3" spans="2:7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3">
      <c r="B4" s="12" t="s">
        <v>7</v>
      </c>
      <c r="C4" s="3" t="s">
        <v>8</v>
      </c>
      <c r="D4" s="3" t="s">
        <v>9</v>
      </c>
      <c r="E4" s="3"/>
      <c r="F4" s="3" t="s">
        <v>10</v>
      </c>
      <c r="G4" s="4">
        <v>136156</v>
      </c>
    </row>
    <row r="5" spans="2:7" x14ac:dyDescent="0.3">
      <c r="B5" s="12" t="s">
        <v>11</v>
      </c>
      <c r="C5" s="3" t="s">
        <v>12</v>
      </c>
      <c r="D5" s="3" t="s">
        <v>9</v>
      </c>
      <c r="E5" s="3" t="s">
        <v>13</v>
      </c>
      <c r="F5" s="3" t="s">
        <v>10</v>
      </c>
      <c r="G5" s="4">
        <v>77213.61</v>
      </c>
    </row>
    <row r="6" spans="2:7" x14ac:dyDescent="0.3">
      <c r="B6" s="12">
        <v>9434</v>
      </c>
      <c r="C6" s="3" t="s">
        <v>14</v>
      </c>
      <c r="D6" s="3" t="s">
        <v>9</v>
      </c>
      <c r="E6" s="3"/>
      <c r="F6" s="3" t="s">
        <v>10</v>
      </c>
      <c r="G6" s="4">
        <v>65196.52</v>
      </c>
    </row>
    <row r="7" spans="2:7" x14ac:dyDescent="0.3">
      <c r="B7" s="12">
        <v>6098</v>
      </c>
      <c r="C7" s="3" t="s">
        <v>15</v>
      </c>
      <c r="D7" s="3" t="s">
        <v>9</v>
      </c>
      <c r="E7" s="3"/>
      <c r="F7" s="3" t="s">
        <v>10</v>
      </c>
      <c r="G7" s="4">
        <v>62479.11</v>
      </c>
    </row>
    <row r="8" spans="2:7" x14ac:dyDescent="0.3">
      <c r="B8" s="12" t="s">
        <v>16</v>
      </c>
      <c r="C8" s="3" t="s">
        <v>17</v>
      </c>
      <c r="D8" s="3" t="s">
        <v>9</v>
      </c>
      <c r="E8" s="3" t="s">
        <v>13</v>
      </c>
      <c r="F8" s="3" t="s">
        <v>10</v>
      </c>
      <c r="G8" s="4">
        <v>59836.4</v>
      </c>
    </row>
    <row r="9" spans="2:7" x14ac:dyDescent="0.3">
      <c r="B9" s="12" t="s">
        <v>18</v>
      </c>
      <c r="C9" s="3" t="s">
        <v>19</v>
      </c>
      <c r="D9" s="3" t="s">
        <v>9</v>
      </c>
      <c r="E9" s="3"/>
      <c r="F9" s="3" t="s">
        <v>10</v>
      </c>
      <c r="G9" s="4">
        <v>56319.040000000001</v>
      </c>
    </row>
    <row r="10" spans="2:7" x14ac:dyDescent="0.3">
      <c r="B10" s="12" t="s">
        <v>20</v>
      </c>
      <c r="C10" s="3" t="s">
        <v>21</v>
      </c>
      <c r="D10" s="3" t="s">
        <v>9</v>
      </c>
      <c r="E10" s="3"/>
      <c r="F10" s="3" t="s">
        <v>10</v>
      </c>
      <c r="G10" s="4">
        <v>42340.58</v>
      </c>
    </row>
    <row r="11" spans="2:7" x14ac:dyDescent="0.3">
      <c r="B11" s="12" t="s">
        <v>22</v>
      </c>
      <c r="C11" s="3" t="s">
        <v>23</v>
      </c>
      <c r="D11" s="3" t="s">
        <v>9</v>
      </c>
      <c r="E11" s="3"/>
      <c r="F11" s="3" t="s">
        <v>10</v>
      </c>
      <c r="G11" s="4">
        <v>41418.550000000003</v>
      </c>
    </row>
    <row r="12" spans="2:7" x14ac:dyDescent="0.3">
      <c r="B12" s="12" t="s">
        <v>24</v>
      </c>
      <c r="C12" s="3" t="s">
        <v>25</v>
      </c>
      <c r="D12" s="3" t="s">
        <v>9</v>
      </c>
      <c r="E12" s="3" t="s">
        <v>26</v>
      </c>
      <c r="F12" s="3" t="s">
        <v>10</v>
      </c>
      <c r="G12" s="4">
        <v>36452.78</v>
      </c>
    </row>
    <row r="13" spans="2:7" x14ac:dyDescent="0.3">
      <c r="B13" s="12">
        <v>8591</v>
      </c>
      <c r="C13" s="3" t="s">
        <v>27</v>
      </c>
      <c r="D13" s="3" t="s">
        <v>9</v>
      </c>
      <c r="E13" s="3" t="s">
        <v>13</v>
      </c>
      <c r="F13" s="3" t="s">
        <v>10</v>
      </c>
      <c r="G13" s="4">
        <v>34611.120000000003</v>
      </c>
    </row>
    <row r="14" spans="2:7" x14ac:dyDescent="0.3">
      <c r="B14" s="12">
        <v>5803</v>
      </c>
      <c r="C14" s="3" t="s">
        <v>28</v>
      </c>
      <c r="D14" s="3" t="s">
        <v>9</v>
      </c>
      <c r="E14" s="3"/>
      <c r="F14" s="3" t="s">
        <v>10</v>
      </c>
      <c r="G14" s="4">
        <v>30913.09</v>
      </c>
    </row>
    <row r="15" spans="2:7" x14ac:dyDescent="0.3">
      <c r="B15" s="12">
        <v>8802</v>
      </c>
      <c r="C15" s="3" t="s">
        <v>29</v>
      </c>
      <c r="D15" s="3" t="s">
        <v>9</v>
      </c>
      <c r="E15" s="3"/>
      <c r="F15" s="3" t="s">
        <v>10</v>
      </c>
      <c r="G15" s="4">
        <v>30521.73</v>
      </c>
    </row>
    <row r="16" spans="2:7" x14ac:dyDescent="0.3">
      <c r="B16" s="12" t="s">
        <v>30</v>
      </c>
      <c r="C16" s="3" t="s">
        <v>31</v>
      </c>
      <c r="D16" s="3" t="s">
        <v>9</v>
      </c>
      <c r="E16" s="3" t="s">
        <v>26</v>
      </c>
      <c r="F16" s="3" t="s">
        <v>10</v>
      </c>
      <c r="G16" s="4">
        <v>25303.08</v>
      </c>
    </row>
    <row r="17" spans="2:7" x14ac:dyDescent="0.3">
      <c r="B17" s="12" t="s">
        <v>32</v>
      </c>
      <c r="C17" s="3" t="s">
        <v>33</v>
      </c>
      <c r="D17" s="3" t="s">
        <v>9</v>
      </c>
      <c r="E17" s="3"/>
      <c r="F17" s="3" t="s">
        <v>10</v>
      </c>
      <c r="G17" s="4">
        <v>22230.52</v>
      </c>
    </row>
    <row r="18" spans="2:7" x14ac:dyDescent="0.3">
      <c r="B18" s="12" t="s">
        <v>34</v>
      </c>
      <c r="C18" s="3" t="s">
        <v>35</v>
      </c>
      <c r="D18" s="3" t="s">
        <v>9</v>
      </c>
      <c r="E18" s="3"/>
      <c r="F18" s="3" t="s">
        <v>10</v>
      </c>
      <c r="G18" s="4">
        <v>21180.54</v>
      </c>
    </row>
    <row r="19" spans="2:7" x14ac:dyDescent="0.3">
      <c r="B19" s="12" t="s">
        <v>36</v>
      </c>
      <c r="C19" s="3" t="s">
        <v>37</v>
      </c>
      <c r="D19" s="3" t="s">
        <v>9</v>
      </c>
      <c r="E19" s="3" t="s">
        <v>26</v>
      </c>
      <c r="F19" s="3" t="s">
        <v>10</v>
      </c>
      <c r="G19" s="4">
        <v>20150.150000000001</v>
      </c>
    </row>
    <row r="20" spans="2:7" x14ac:dyDescent="0.3">
      <c r="B20" s="12" t="s">
        <v>38</v>
      </c>
      <c r="C20" s="3" t="s">
        <v>39</v>
      </c>
      <c r="D20" s="3" t="s">
        <v>9</v>
      </c>
      <c r="E20" s="3"/>
      <c r="F20" s="3" t="s">
        <v>10</v>
      </c>
      <c r="G20" s="4">
        <v>18766.009999999998</v>
      </c>
    </row>
    <row r="21" spans="2:7" x14ac:dyDescent="0.3">
      <c r="B21" s="12" t="s">
        <v>40</v>
      </c>
      <c r="C21" s="3" t="s">
        <v>41</v>
      </c>
      <c r="D21" s="3" t="s">
        <v>9</v>
      </c>
      <c r="E21" s="3"/>
      <c r="F21" s="3" t="s">
        <v>10</v>
      </c>
      <c r="G21" s="4">
        <v>17608.310000000001</v>
      </c>
    </row>
    <row r="22" spans="2:7" x14ac:dyDescent="0.3">
      <c r="B22" s="12" t="s">
        <v>42</v>
      </c>
      <c r="C22" s="3" t="s">
        <v>43</v>
      </c>
      <c r="D22" s="3" t="s">
        <v>9</v>
      </c>
      <c r="E22" s="3" t="s">
        <v>26</v>
      </c>
      <c r="F22" s="3" t="s">
        <v>10</v>
      </c>
      <c r="G22" s="4">
        <v>17073.63</v>
      </c>
    </row>
    <row r="23" spans="2:7" x14ac:dyDescent="0.3">
      <c r="B23" s="12" t="s">
        <v>44</v>
      </c>
      <c r="C23" s="3" t="s">
        <v>45</v>
      </c>
      <c r="D23" s="3" t="s">
        <v>9</v>
      </c>
      <c r="E23" s="3"/>
      <c r="F23" s="3" t="s">
        <v>10</v>
      </c>
      <c r="G23" s="4">
        <v>15821.76</v>
      </c>
    </row>
    <row r="24" spans="2:7" x14ac:dyDescent="0.3">
      <c r="B24" s="12" t="s">
        <v>46</v>
      </c>
      <c r="C24" s="3" t="s">
        <v>47</v>
      </c>
      <c r="D24" s="3" t="s">
        <v>9</v>
      </c>
      <c r="E24" s="3"/>
      <c r="F24" s="3" t="s">
        <v>10</v>
      </c>
      <c r="G24" s="4">
        <v>15721.18</v>
      </c>
    </row>
    <row r="25" spans="2:7" x14ac:dyDescent="0.3">
      <c r="B25" s="12" t="s">
        <v>48</v>
      </c>
      <c r="C25" s="3" t="s">
        <v>49</v>
      </c>
      <c r="D25" s="3" t="s">
        <v>9</v>
      </c>
      <c r="E25" s="3" t="s">
        <v>26</v>
      </c>
      <c r="F25" s="3" t="s">
        <v>10</v>
      </c>
      <c r="G25" s="4">
        <v>14959.26</v>
      </c>
    </row>
    <row r="26" spans="2:7" x14ac:dyDescent="0.3">
      <c r="B26" s="12" t="s">
        <v>50</v>
      </c>
      <c r="C26" s="3" t="s">
        <v>51</v>
      </c>
      <c r="D26" s="3" t="s">
        <v>9</v>
      </c>
      <c r="E26" s="3" t="s">
        <v>13</v>
      </c>
      <c r="F26" s="3" t="s">
        <v>10</v>
      </c>
      <c r="G26" s="4">
        <v>14945.66</v>
      </c>
    </row>
    <row r="27" spans="2:7" x14ac:dyDescent="0.3">
      <c r="B27" s="12" t="s">
        <v>52</v>
      </c>
      <c r="C27" s="3" t="s">
        <v>53</v>
      </c>
      <c r="D27" s="3" t="s">
        <v>9</v>
      </c>
      <c r="E27" s="3"/>
      <c r="F27" s="3" t="s">
        <v>10</v>
      </c>
      <c r="G27" s="4">
        <v>14000.88</v>
      </c>
    </row>
    <row r="28" spans="2:7" x14ac:dyDescent="0.3">
      <c r="B28" s="12" t="s">
        <v>54</v>
      </c>
      <c r="C28" s="3" t="s">
        <v>55</v>
      </c>
      <c r="D28" s="3" t="s">
        <v>9</v>
      </c>
      <c r="E28" s="3" t="s">
        <v>13</v>
      </c>
      <c r="F28" s="3" t="s">
        <v>10</v>
      </c>
      <c r="G28" s="4">
        <v>12556.17</v>
      </c>
    </row>
    <row r="29" spans="2:7" x14ac:dyDescent="0.3">
      <c r="B29" s="12" t="s">
        <v>56</v>
      </c>
      <c r="C29" s="3" t="s">
        <v>57</v>
      </c>
      <c r="D29" s="3" t="s">
        <v>9</v>
      </c>
      <c r="E29" s="3"/>
      <c r="F29" s="3" t="s">
        <v>10</v>
      </c>
      <c r="G29" s="4">
        <v>12258.72</v>
      </c>
    </row>
    <row r="30" spans="2:7" x14ac:dyDescent="0.3">
      <c r="B30" s="12" t="s">
        <v>58</v>
      </c>
      <c r="C30" s="3" t="s">
        <v>59</v>
      </c>
      <c r="D30" s="3" t="s">
        <v>9</v>
      </c>
      <c r="E30" s="3" t="s">
        <v>26</v>
      </c>
      <c r="F30" s="3" t="s">
        <v>10</v>
      </c>
      <c r="G30" s="4">
        <v>12054.41</v>
      </c>
    </row>
    <row r="31" spans="2:7" x14ac:dyDescent="0.3">
      <c r="B31" s="12">
        <v>6823</v>
      </c>
      <c r="C31" s="3" t="s">
        <v>60</v>
      </c>
      <c r="D31" s="3" t="s">
        <v>9</v>
      </c>
      <c r="E31" s="3"/>
      <c r="F31" s="3" t="s">
        <v>10</v>
      </c>
      <c r="G31" s="4">
        <v>11484.2</v>
      </c>
    </row>
    <row r="32" spans="2:7" x14ac:dyDescent="0.3">
      <c r="B32" s="12" t="s">
        <v>61</v>
      </c>
      <c r="C32" s="3" t="s">
        <v>62</v>
      </c>
      <c r="D32" s="3" t="s">
        <v>9</v>
      </c>
      <c r="E32" s="3"/>
      <c r="F32" s="3" t="s">
        <v>10</v>
      </c>
      <c r="G32" s="4">
        <v>11367.44</v>
      </c>
    </row>
    <row r="33" spans="2:7" x14ac:dyDescent="0.3">
      <c r="B33" s="12" t="s">
        <v>63</v>
      </c>
      <c r="C33" s="3" t="s">
        <v>64</v>
      </c>
      <c r="D33" s="3" t="s">
        <v>9</v>
      </c>
      <c r="E33" s="3"/>
      <c r="F33" s="3" t="s">
        <v>10</v>
      </c>
      <c r="G33" s="4">
        <v>11201.5</v>
      </c>
    </row>
    <row r="34" spans="2:7" x14ac:dyDescent="0.3">
      <c r="B34" s="12">
        <v>5838</v>
      </c>
      <c r="C34" s="3" t="s">
        <v>65</v>
      </c>
      <c r="D34" s="3" t="s">
        <v>9</v>
      </c>
      <c r="E34" s="3"/>
      <c r="F34" s="3" t="s">
        <v>10</v>
      </c>
      <c r="G34" s="4">
        <v>9905.89</v>
      </c>
    </row>
    <row r="35" spans="2:7" x14ac:dyDescent="0.3">
      <c r="B35" s="12" t="s">
        <v>66</v>
      </c>
      <c r="C35" s="3" t="s">
        <v>67</v>
      </c>
      <c r="D35" s="3" t="s">
        <v>9</v>
      </c>
      <c r="E35" s="3"/>
      <c r="F35" s="3" t="s">
        <v>10</v>
      </c>
      <c r="G35" s="4">
        <v>9495.09</v>
      </c>
    </row>
    <row r="36" spans="2:7" x14ac:dyDescent="0.3">
      <c r="B36" s="12" t="s">
        <v>68</v>
      </c>
      <c r="C36" s="3" t="s">
        <v>69</v>
      </c>
      <c r="D36" s="3" t="s">
        <v>9</v>
      </c>
      <c r="E36" s="3" t="s">
        <v>13</v>
      </c>
      <c r="F36" s="3" t="s">
        <v>10</v>
      </c>
      <c r="G36" s="4">
        <v>9463.2999999999993</v>
      </c>
    </row>
    <row r="37" spans="2:7" x14ac:dyDescent="0.3">
      <c r="B37" s="12">
        <v>4523</v>
      </c>
      <c r="C37" s="3" t="s">
        <v>70</v>
      </c>
      <c r="D37" s="3" t="s">
        <v>9</v>
      </c>
      <c r="E37" s="3"/>
      <c r="F37" s="3" t="s">
        <v>10</v>
      </c>
      <c r="G37" s="4">
        <v>9163.7800000000007</v>
      </c>
    </row>
    <row r="38" spans="2:7" x14ac:dyDescent="0.3">
      <c r="B38" s="12">
        <v>5713</v>
      </c>
      <c r="C38" s="3" t="s">
        <v>71</v>
      </c>
      <c r="D38" s="3" t="s">
        <v>9</v>
      </c>
      <c r="E38" s="3"/>
      <c r="F38" s="3" t="s">
        <v>10</v>
      </c>
      <c r="G38" s="4">
        <v>9002.73</v>
      </c>
    </row>
    <row r="39" spans="2:7" x14ac:dyDescent="0.3">
      <c r="B39" s="12" t="s">
        <v>72</v>
      </c>
      <c r="C39" s="3" t="s">
        <v>73</v>
      </c>
      <c r="D39" s="3" t="s">
        <v>9</v>
      </c>
      <c r="E39" s="3" t="s">
        <v>26</v>
      </c>
      <c r="F39" s="3" t="s">
        <v>10</v>
      </c>
      <c r="G39" s="4">
        <v>8520.76</v>
      </c>
    </row>
    <row r="40" spans="2:7" x14ac:dyDescent="0.3">
      <c r="B40" s="12" t="s">
        <v>74</v>
      </c>
      <c r="C40" s="3" t="s">
        <v>75</v>
      </c>
      <c r="D40" s="3" t="s">
        <v>9</v>
      </c>
      <c r="E40" s="3" t="s">
        <v>13</v>
      </c>
      <c r="F40" s="3" t="s">
        <v>10</v>
      </c>
      <c r="G40" s="4">
        <v>8510.14</v>
      </c>
    </row>
    <row r="41" spans="2:7" x14ac:dyDescent="0.3">
      <c r="B41" s="12">
        <v>4151</v>
      </c>
      <c r="C41" s="3" t="s">
        <v>76</v>
      </c>
      <c r="D41" s="3" t="s">
        <v>9</v>
      </c>
      <c r="E41" s="3"/>
      <c r="F41" s="3" t="s">
        <v>10</v>
      </c>
      <c r="G41" s="4">
        <v>8461.0300000000007</v>
      </c>
    </row>
    <row r="42" spans="2:7" x14ac:dyDescent="0.3">
      <c r="B42" s="12" t="s">
        <v>77</v>
      </c>
      <c r="C42" s="3" t="s">
        <v>78</v>
      </c>
      <c r="D42" s="3" t="s">
        <v>9</v>
      </c>
      <c r="E42" s="3"/>
      <c r="F42" s="3" t="s">
        <v>10</v>
      </c>
      <c r="G42" s="4">
        <v>8317.3799999999992</v>
      </c>
    </row>
    <row r="43" spans="2:7" x14ac:dyDescent="0.3">
      <c r="B43" s="12" t="s">
        <v>79</v>
      </c>
      <c r="C43" s="3" t="s">
        <v>80</v>
      </c>
      <c r="D43" s="3" t="s">
        <v>9</v>
      </c>
      <c r="E43" s="3" t="s">
        <v>26</v>
      </c>
      <c r="F43" s="3" t="s">
        <v>10</v>
      </c>
      <c r="G43" s="4">
        <v>8231.02</v>
      </c>
    </row>
    <row r="44" spans="2:7" x14ac:dyDescent="0.3">
      <c r="B44" s="12" t="s">
        <v>81</v>
      </c>
      <c r="C44" s="3" t="s">
        <v>82</v>
      </c>
      <c r="D44" s="3" t="s">
        <v>9</v>
      </c>
      <c r="E44" s="3" t="s">
        <v>26</v>
      </c>
      <c r="F44" s="3" t="s">
        <v>10</v>
      </c>
      <c r="G44" s="4">
        <v>7877.5</v>
      </c>
    </row>
    <row r="45" spans="2:7" x14ac:dyDescent="0.3">
      <c r="B45" s="12" t="s">
        <v>83</v>
      </c>
      <c r="C45" s="3" t="s">
        <v>84</v>
      </c>
      <c r="D45" s="3" t="s">
        <v>9</v>
      </c>
      <c r="E45" s="3"/>
      <c r="F45" s="3" t="s">
        <v>10</v>
      </c>
      <c r="G45" s="4">
        <v>7838.32</v>
      </c>
    </row>
    <row r="46" spans="2:7" x14ac:dyDescent="0.3">
      <c r="B46" s="12" t="s">
        <v>85</v>
      </c>
      <c r="C46" s="3" t="s">
        <v>86</v>
      </c>
      <c r="D46" s="3" t="s">
        <v>9</v>
      </c>
      <c r="E46" s="3"/>
      <c r="F46" s="3" t="s">
        <v>10</v>
      </c>
      <c r="G46" s="4">
        <v>7761.72</v>
      </c>
    </row>
    <row r="47" spans="2:7" x14ac:dyDescent="0.3">
      <c r="B47" s="12" t="s">
        <v>87</v>
      </c>
      <c r="C47" s="3" t="s">
        <v>88</v>
      </c>
      <c r="D47" s="3" t="s">
        <v>9</v>
      </c>
      <c r="E47" s="3" t="s">
        <v>26</v>
      </c>
      <c r="F47" s="3" t="s">
        <v>10</v>
      </c>
      <c r="G47" s="4">
        <v>7662.31</v>
      </c>
    </row>
    <row r="48" spans="2:7" x14ac:dyDescent="0.3">
      <c r="B48" s="12" t="s">
        <v>89</v>
      </c>
      <c r="C48" s="3" t="s">
        <v>90</v>
      </c>
      <c r="D48" s="3" t="s">
        <v>9</v>
      </c>
      <c r="E48" s="3"/>
      <c r="F48" s="3" t="s">
        <v>10</v>
      </c>
      <c r="G48" s="4">
        <v>7530.93</v>
      </c>
    </row>
    <row r="49" spans="2:7" x14ac:dyDescent="0.3">
      <c r="B49" s="12" t="s">
        <v>91</v>
      </c>
      <c r="C49" s="3" t="s">
        <v>92</v>
      </c>
      <c r="D49" s="3" t="s">
        <v>9</v>
      </c>
      <c r="E49" s="3"/>
      <c r="F49" s="3" t="s">
        <v>10</v>
      </c>
      <c r="G49" s="4">
        <v>6962.67</v>
      </c>
    </row>
    <row r="50" spans="2:7" x14ac:dyDescent="0.3">
      <c r="B50" s="12" t="s">
        <v>93</v>
      </c>
      <c r="C50" s="3" t="s">
        <v>94</v>
      </c>
      <c r="D50" s="3" t="s">
        <v>9</v>
      </c>
      <c r="E50" s="3" t="s">
        <v>13</v>
      </c>
      <c r="F50" s="3" t="s">
        <v>10</v>
      </c>
      <c r="G50" s="4">
        <v>6006.67</v>
      </c>
    </row>
    <row r="51" spans="2:7" x14ac:dyDescent="0.3">
      <c r="B51" s="12">
        <v>523457</v>
      </c>
      <c r="C51" s="3" t="s">
        <v>95</v>
      </c>
      <c r="D51" s="3" t="s">
        <v>9</v>
      </c>
      <c r="E51" s="3"/>
      <c r="F51" s="3" t="s">
        <v>10</v>
      </c>
      <c r="G51" s="4">
        <v>5621.17</v>
      </c>
    </row>
    <row r="52" spans="2:7" x14ac:dyDescent="0.3">
      <c r="B52" s="12" t="s">
        <v>96</v>
      </c>
      <c r="C52" s="3" t="s">
        <v>97</v>
      </c>
      <c r="D52" s="3" t="s">
        <v>9</v>
      </c>
      <c r="E52" s="3"/>
      <c r="F52" s="3" t="s">
        <v>10</v>
      </c>
      <c r="G52" s="4">
        <v>5599.92</v>
      </c>
    </row>
    <row r="53" spans="2:7" x14ac:dyDescent="0.3">
      <c r="B53" s="12" t="s">
        <v>98</v>
      </c>
      <c r="C53" s="3" t="s">
        <v>99</v>
      </c>
      <c r="D53" s="3" t="s">
        <v>9</v>
      </c>
      <c r="E53" s="3"/>
      <c r="F53" s="3" t="s">
        <v>10</v>
      </c>
      <c r="G53" s="4">
        <v>5280.92</v>
      </c>
    </row>
    <row r="54" spans="2:7" x14ac:dyDescent="0.3">
      <c r="B54" s="12">
        <v>4021</v>
      </c>
      <c r="C54" s="3" t="s">
        <v>100</v>
      </c>
      <c r="D54" s="3" t="s">
        <v>9</v>
      </c>
      <c r="E54" s="3"/>
      <c r="F54" s="3" t="s">
        <v>10</v>
      </c>
      <c r="G54" s="4">
        <v>4872.38</v>
      </c>
    </row>
    <row r="55" spans="2:7" x14ac:dyDescent="0.3">
      <c r="B55" s="12" t="s">
        <v>101</v>
      </c>
      <c r="C55" s="3" t="s">
        <v>102</v>
      </c>
      <c r="D55" s="3" t="s">
        <v>9</v>
      </c>
      <c r="E55" s="3" t="s">
        <v>26</v>
      </c>
      <c r="F55" s="3" t="s">
        <v>10</v>
      </c>
      <c r="G55" s="4">
        <v>4797.3</v>
      </c>
    </row>
    <row r="56" spans="2:7" x14ac:dyDescent="0.3">
      <c r="B56" s="12">
        <v>6845</v>
      </c>
      <c r="C56" s="3" t="s">
        <v>103</v>
      </c>
      <c r="D56" s="3" t="s">
        <v>9</v>
      </c>
      <c r="E56" s="3"/>
      <c r="F56" s="3" t="s">
        <v>10</v>
      </c>
      <c r="G56" s="4">
        <v>4788.58</v>
      </c>
    </row>
    <row r="57" spans="2:7" x14ac:dyDescent="0.3">
      <c r="B57" s="12">
        <v>3529</v>
      </c>
      <c r="C57" s="3" t="s">
        <v>104</v>
      </c>
      <c r="D57" s="3" t="s">
        <v>9</v>
      </c>
      <c r="E57" s="3"/>
      <c r="F57" s="3" t="s">
        <v>10</v>
      </c>
      <c r="G57" s="4">
        <v>4767.1499999999996</v>
      </c>
    </row>
    <row r="58" spans="2:7" x14ac:dyDescent="0.3">
      <c r="B58" s="12">
        <v>4186</v>
      </c>
      <c r="C58" s="3" t="s">
        <v>105</v>
      </c>
      <c r="D58" s="3" t="s">
        <v>9</v>
      </c>
      <c r="E58" s="3"/>
      <c r="F58" s="3" t="s">
        <v>10</v>
      </c>
      <c r="G58" s="4">
        <v>4671</v>
      </c>
    </row>
    <row r="59" spans="2:7" x14ac:dyDescent="0.3">
      <c r="B59" s="12" t="s">
        <v>106</v>
      </c>
      <c r="C59" s="3" t="s">
        <v>107</v>
      </c>
      <c r="D59" s="3" t="s">
        <v>9</v>
      </c>
      <c r="E59" s="3"/>
      <c r="F59" s="3" t="s">
        <v>10</v>
      </c>
      <c r="G59" s="4">
        <v>4637.07</v>
      </c>
    </row>
    <row r="60" spans="2:7" x14ac:dyDescent="0.3">
      <c r="B60" s="12" t="s">
        <v>108</v>
      </c>
      <c r="C60" s="3" t="s">
        <v>109</v>
      </c>
      <c r="D60" s="3" t="s">
        <v>9</v>
      </c>
      <c r="E60" s="3"/>
      <c r="F60" s="3" t="s">
        <v>10</v>
      </c>
      <c r="G60" s="4">
        <v>4596.55</v>
      </c>
    </row>
    <row r="61" spans="2:7" x14ac:dyDescent="0.3">
      <c r="B61" s="12" t="s">
        <v>110</v>
      </c>
      <c r="C61" s="3" t="s">
        <v>111</v>
      </c>
      <c r="D61" s="3" t="s">
        <v>9</v>
      </c>
      <c r="E61" s="3"/>
      <c r="F61" s="3" t="s">
        <v>10</v>
      </c>
      <c r="G61" s="4">
        <v>4496.62</v>
      </c>
    </row>
    <row r="62" spans="2:7" x14ac:dyDescent="0.3">
      <c r="B62" s="12">
        <v>5801</v>
      </c>
      <c r="C62" s="3" t="s">
        <v>112</v>
      </c>
      <c r="D62" s="3" t="s">
        <v>9</v>
      </c>
      <c r="E62" s="3"/>
      <c r="F62" s="3" t="s">
        <v>10</v>
      </c>
      <c r="G62" s="4">
        <v>4469.82</v>
      </c>
    </row>
    <row r="63" spans="2:7" x14ac:dyDescent="0.3">
      <c r="B63" s="12">
        <v>501301</v>
      </c>
      <c r="C63" s="3" t="s">
        <v>113</v>
      </c>
      <c r="D63" s="3" t="s">
        <v>9</v>
      </c>
      <c r="E63" s="3"/>
      <c r="F63" s="3" t="s">
        <v>10</v>
      </c>
      <c r="G63" s="4">
        <v>4435.8500000000004</v>
      </c>
    </row>
    <row r="64" spans="2:7" x14ac:dyDescent="0.3">
      <c r="B64" s="12" t="s">
        <v>114</v>
      </c>
      <c r="C64" s="3" t="s">
        <v>115</v>
      </c>
      <c r="D64" s="3" t="s">
        <v>9</v>
      </c>
      <c r="E64" s="3"/>
      <c r="F64" s="3" t="s">
        <v>10</v>
      </c>
      <c r="G64" s="4">
        <v>4354.8900000000003</v>
      </c>
    </row>
    <row r="65" spans="2:7" x14ac:dyDescent="0.3">
      <c r="B65" s="12">
        <v>5631</v>
      </c>
      <c r="C65" s="3" t="s">
        <v>116</v>
      </c>
      <c r="D65" s="3" t="s">
        <v>9</v>
      </c>
      <c r="E65" s="3"/>
      <c r="F65" s="3" t="s">
        <v>10</v>
      </c>
      <c r="G65" s="4">
        <v>4288.66</v>
      </c>
    </row>
    <row r="66" spans="2:7" x14ac:dyDescent="0.3">
      <c r="B66" s="12" t="s">
        <v>117</v>
      </c>
      <c r="C66" s="3" t="s">
        <v>118</v>
      </c>
      <c r="D66" s="3" t="s">
        <v>9</v>
      </c>
      <c r="E66" s="3"/>
      <c r="F66" s="3" t="s">
        <v>10</v>
      </c>
      <c r="G66" s="4">
        <v>3998.71</v>
      </c>
    </row>
    <row r="67" spans="2:7" x14ac:dyDescent="0.3">
      <c r="B67" s="12" t="s">
        <v>434</v>
      </c>
      <c r="C67" s="3" t="s">
        <v>119</v>
      </c>
      <c r="D67" s="3" t="s">
        <v>9</v>
      </c>
      <c r="E67" s="3"/>
      <c r="F67" s="3" t="s">
        <v>10</v>
      </c>
      <c r="G67" s="4">
        <v>3927.98</v>
      </c>
    </row>
    <row r="68" spans="2:7" x14ac:dyDescent="0.3">
      <c r="B68" s="12" t="s">
        <v>120</v>
      </c>
      <c r="C68" s="3" t="s">
        <v>121</v>
      </c>
      <c r="D68" s="3" t="s">
        <v>9</v>
      </c>
      <c r="E68" s="3"/>
      <c r="F68" s="3" t="s">
        <v>10</v>
      </c>
      <c r="G68" s="4">
        <v>3907.22</v>
      </c>
    </row>
    <row r="69" spans="2:7" x14ac:dyDescent="0.3">
      <c r="B69" s="12" t="s">
        <v>122</v>
      </c>
      <c r="C69" s="3" t="s">
        <v>123</v>
      </c>
      <c r="D69" s="3" t="s">
        <v>9</v>
      </c>
      <c r="E69" s="3"/>
      <c r="F69" s="3" t="s">
        <v>10</v>
      </c>
      <c r="G69" s="4">
        <v>3724.25</v>
      </c>
    </row>
    <row r="70" spans="2:7" x14ac:dyDescent="0.3">
      <c r="B70" s="12">
        <v>7459</v>
      </c>
      <c r="C70" s="3" t="s">
        <v>124</v>
      </c>
      <c r="D70" s="3" t="s">
        <v>9</v>
      </c>
      <c r="E70" s="3"/>
      <c r="F70" s="3" t="s">
        <v>10</v>
      </c>
      <c r="G70" s="4">
        <v>3601.31</v>
      </c>
    </row>
    <row r="71" spans="2:7" x14ac:dyDescent="0.3">
      <c r="B71" s="12">
        <v>532504</v>
      </c>
      <c r="C71" s="3" t="s">
        <v>125</v>
      </c>
      <c r="D71" s="3" t="s">
        <v>9</v>
      </c>
      <c r="E71" s="3"/>
      <c r="F71" s="3" t="s">
        <v>10</v>
      </c>
      <c r="G71" s="4">
        <v>3389.96</v>
      </c>
    </row>
    <row r="72" spans="2:7" x14ac:dyDescent="0.3">
      <c r="B72" s="12">
        <v>4980</v>
      </c>
      <c r="C72" s="3" t="s">
        <v>126</v>
      </c>
      <c r="D72" s="3" t="s">
        <v>9</v>
      </c>
      <c r="E72" s="3"/>
      <c r="F72" s="3" t="s">
        <v>10</v>
      </c>
      <c r="G72" s="4">
        <v>3365.08</v>
      </c>
    </row>
    <row r="73" spans="2:7" x14ac:dyDescent="0.3">
      <c r="B73" s="12">
        <v>534309</v>
      </c>
      <c r="C73" s="3" t="s">
        <v>127</v>
      </c>
      <c r="D73" s="3" t="s">
        <v>9</v>
      </c>
      <c r="E73" s="3"/>
      <c r="F73" s="3" t="s">
        <v>10</v>
      </c>
      <c r="G73" s="4">
        <v>3203.09</v>
      </c>
    </row>
    <row r="74" spans="2:7" x14ac:dyDescent="0.3">
      <c r="B74" s="12" t="s">
        <v>128</v>
      </c>
      <c r="C74" s="3" t="s">
        <v>129</v>
      </c>
      <c r="D74" s="3" t="s">
        <v>9</v>
      </c>
      <c r="E74" s="3"/>
      <c r="F74" s="3" t="s">
        <v>10</v>
      </c>
      <c r="G74" s="4">
        <v>3159.66</v>
      </c>
    </row>
    <row r="75" spans="2:7" x14ac:dyDescent="0.3">
      <c r="B75" s="12" t="s">
        <v>130</v>
      </c>
      <c r="C75" s="3" t="s">
        <v>131</v>
      </c>
      <c r="D75" s="3" t="s">
        <v>9</v>
      </c>
      <c r="E75" s="3" t="s">
        <v>26</v>
      </c>
      <c r="F75" s="3" t="s">
        <v>10</v>
      </c>
      <c r="G75" s="4">
        <v>3156.43</v>
      </c>
    </row>
    <row r="76" spans="2:7" x14ac:dyDescent="0.3">
      <c r="B76" s="12">
        <v>4385</v>
      </c>
      <c r="C76" s="3" t="s">
        <v>132</v>
      </c>
      <c r="D76" s="3" t="s">
        <v>9</v>
      </c>
      <c r="E76" s="3"/>
      <c r="F76" s="3" t="s">
        <v>10</v>
      </c>
      <c r="G76" s="4">
        <v>3131.48</v>
      </c>
    </row>
    <row r="77" spans="2:7" x14ac:dyDescent="0.3">
      <c r="B77" s="12">
        <v>3405</v>
      </c>
      <c r="C77" s="3" t="s">
        <v>134</v>
      </c>
      <c r="D77" s="3" t="s">
        <v>9</v>
      </c>
      <c r="E77" s="3"/>
      <c r="F77" s="3" t="s">
        <v>10</v>
      </c>
      <c r="G77" s="4">
        <v>3088.48</v>
      </c>
    </row>
    <row r="78" spans="2:7" x14ac:dyDescent="0.3">
      <c r="B78" s="12" t="s">
        <v>135</v>
      </c>
      <c r="C78" s="3" t="s">
        <v>136</v>
      </c>
      <c r="D78" s="3" t="s">
        <v>9</v>
      </c>
      <c r="E78" s="3"/>
      <c r="F78" s="3" t="s">
        <v>10</v>
      </c>
      <c r="G78" s="4">
        <v>3049.19</v>
      </c>
    </row>
    <row r="79" spans="2:7" x14ac:dyDescent="0.3">
      <c r="B79" s="12">
        <v>9008</v>
      </c>
      <c r="C79" s="3" t="s">
        <v>137</v>
      </c>
      <c r="D79" s="3" t="s">
        <v>9</v>
      </c>
      <c r="E79" s="3"/>
      <c r="F79" s="3" t="s">
        <v>10</v>
      </c>
      <c r="G79" s="4">
        <v>3031.84</v>
      </c>
    </row>
    <row r="80" spans="2:7" x14ac:dyDescent="0.3">
      <c r="B80" s="12" t="s">
        <v>138</v>
      </c>
      <c r="C80" s="3" t="s">
        <v>139</v>
      </c>
      <c r="D80" s="3" t="s">
        <v>9</v>
      </c>
      <c r="E80" s="3"/>
      <c r="F80" s="3" t="s">
        <v>10</v>
      </c>
      <c r="G80" s="4">
        <v>2836.24</v>
      </c>
    </row>
    <row r="81" spans="2:7" x14ac:dyDescent="0.3">
      <c r="B81" s="12" t="s">
        <v>140</v>
      </c>
      <c r="C81" s="3" t="s">
        <v>141</v>
      </c>
      <c r="D81" s="3" t="s">
        <v>9</v>
      </c>
      <c r="E81" s="3"/>
      <c r="F81" s="3" t="s">
        <v>10</v>
      </c>
      <c r="G81" s="4">
        <v>2800.51</v>
      </c>
    </row>
    <row r="82" spans="2:7" x14ac:dyDescent="0.3">
      <c r="B82" s="12" t="s">
        <v>142</v>
      </c>
      <c r="C82" s="3" t="s">
        <v>143</v>
      </c>
      <c r="D82" s="3" t="s">
        <v>9</v>
      </c>
      <c r="E82" s="3"/>
      <c r="F82" s="3" t="s">
        <v>10</v>
      </c>
      <c r="G82" s="4">
        <v>2772.98</v>
      </c>
    </row>
    <row r="83" spans="2:7" x14ac:dyDescent="0.3">
      <c r="B83" s="12">
        <v>1893</v>
      </c>
      <c r="C83" s="3" t="s">
        <v>144</v>
      </c>
      <c r="D83" s="3" t="s">
        <v>9</v>
      </c>
      <c r="E83" s="3"/>
      <c r="F83" s="3" t="s">
        <v>10</v>
      </c>
      <c r="G83" s="4">
        <v>2770.2</v>
      </c>
    </row>
    <row r="84" spans="2:7" x14ac:dyDescent="0.3">
      <c r="B84" s="12">
        <v>4613</v>
      </c>
      <c r="C84" s="3" t="s">
        <v>145</v>
      </c>
      <c r="D84" s="3" t="s">
        <v>9</v>
      </c>
      <c r="E84" s="3"/>
      <c r="F84" s="3" t="s">
        <v>10</v>
      </c>
      <c r="G84" s="4">
        <v>2707.74</v>
      </c>
    </row>
    <row r="85" spans="2:7" x14ac:dyDescent="0.3">
      <c r="B85" s="12">
        <v>5393</v>
      </c>
      <c r="C85" s="3" t="s">
        <v>146</v>
      </c>
      <c r="D85" s="3" t="s">
        <v>9</v>
      </c>
      <c r="E85" s="3"/>
      <c r="F85" s="3" t="s">
        <v>10</v>
      </c>
      <c r="G85" s="4">
        <v>2698.19</v>
      </c>
    </row>
    <row r="86" spans="2:7" x14ac:dyDescent="0.3">
      <c r="B86" s="12" t="s">
        <v>147</v>
      </c>
      <c r="C86" s="3" t="s">
        <v>148</v>
      </c>
      <c r="D86" s="3" t="s">
        <v>9</v>
      </c>
      <c r="E86" s="3"/>
      <c r="F86" s="3" t="s">
        <v>10</v>
      </c>
      <c r="G86" s="4">
        <v>2688.67</v>
      </c>
    </row>
    <row r="87" spans="2:7" x14ac:dyDescent="0.3">
      <c r="B87" s="12">
        <v>7189</v>
      </c>
      <c r="C87" s="3" t="s">
        <v>149</v>
      </c>
      <c r="D87" s="3" t="s">
        <v>9</v>
      </c>
      <c r="E87" s="3"/>
      <c r="F87" s="3" t="s">
        <v>10</v>
      </c>
      <c r="G87" s="4">
        <v>2675.32</v>
      </c>
    </row>
    <row r="88" spans="2:7" x14ac:dyDescent="0.3">
      <c r="B88" s="12" t="s">
        <v>150</v>
      </c>
      <c r="C88" s="3" t="s">
        <v>151</v>
      </c>
      <c r="D88" s="3" t="s">
        <v>9</v>
      </c>
      <c r="E88" s="3"/>
      <c r="F88" s="3" t="s">
        <v>10</v>
      </c>
      <c r="G88" s="4">
        <v>2630.52</v>
      </c>
    </row>
    <row r="89" spans="2:7" x14ac:dyDescent="0.3">
      <c r="B89" s="12" t="s">
        <v>152</v>
      </c>
      <c r="C89" s="3" t="s">
        <v>153</v>
      </c>
      <c r="D89" s="3" t="s">
        <v>9</v>
      </c>
      <c r="E89" s="3"/>
      <c r="F89" s="3" t="s">
        <v>10</v>
      </c>
      <c r="G89" s="4">
        <v>2544.4899999999998</v>
      </c>
    </row>
    <row r="90" spans="2:7" x14ac:dyDescent="0.3">
      <c r="B90" s="12">
        <v>506820</v>
      </c>
      <c r="C90" s="3" t="s">
        <v>154</v>
      </c>
      <c r="D90" s="3" t="s">
        <v>9</v>
      </c>
      <c r="E90" s="3"/>
      <c r="F90" s="3" t="s">
        <v>10</v>
      </c>
      <c r="G90" s="4">
        <v>2541.2800000000002</v>
      </c>
    </row>
    <row r="91" spans="2:7" x14ac:dyDescent="0.3">
      <c r="B91" s="12">
        <v>500033</v>
      </c>
      <c r="C91" s="3" t="s">
        <v>155</v>
      </c>
      <c r="D91" s="3" t="s">
        <v>9</v>
      </c>
      <c r="E91" s="3"/>
      <c r="F91" s="3" t="s">
        <v>10</v>
      </c>
      <c r="G91" s="4">
        <v>2492.5700000000002</v>
      </c>
    </row>
    <row r="92" spans="2:7" x14ac:dyDescent="0.3">
      <c r="B92" s="12" t="s">
        <v>156</v>
      </c>
      <c r="C92" s="3" t="s">
        <v>157</v>
      </c>
      <c r="D92" s="3" t="s">
        <v>9</v>
      </c>
      <c r="E92" s="3" t="s">
        <v>13</v>
      </c>
      <c r="F92" s="3" t="s">
        <v>10</v>
      </c>
      <c r="G92" s="4">
        <v>2412.9299999999998</v>
      </c>
    </row>
    <row r="93" spans="2:7" x14ac:dyDescent="0.3">
      <c r="B93" s="12">
        <v>524558</v>
      </c>
      <c r="C93" s="3" t="s">
        <v>158</v>
      </c>
      <c r="D93" s="3" t="s">
        <v>9</v>
      </c>
      <c r="E93" s="3"/>
      <c r="F93" s="3" t="s">
        <v>10</v>
      </c>
      <c r="G93" s="4">
        <v>2401.77</v>
      </c>
    </row>
    <row r="94" spans="2:7" x14ac:dyDescent="0.3">
      <c r="B94" s="12" t="s">
        <v>159</v>
      </c>
      <c r="C94" s="3" t="s">
        <v>160</v>
      </c>
      <c r="D94" s="3" t="s">
        <v>9</v>
      </c>
      <c r="E94" s="3" t="s">
        <v>26</v>
      </c>
      <c r="F94" s="3" t="s">
        <v>10</v>
      </c>
      <c r="G94" s="4">
        <v>2347.14</v>
      </c>
    </row>
    <row r="95" spans="2:7" x14ac:dyDescent="0.3">
      <c r="B95" s="12" t="s">
        <v>161</v>
      </c>
      <c r="C95" s="3" t="s">
        <v>162</v>
      </c>
      <c r="D95" s="3" t="s">
        <v>9</v>
      </c>
      <c r="E95" s="3" t="s">
        <v>26</v>
      </c>
      <c r="F95" s="3" t="s">
        <v>10</v>
      </c>
      <c r="G95" s="4">
        <v>2317.9</v>
      </c>
    </row>
    <row r="96" spans="2:7" x14ac:dyDescent="0.3">
      <c r="B96" s="12" t="s">
        <v>163</v>
      </c>
      <c r="C96" s="3" t="s">
        <v>164</v>
      </c>
      <c r="D96" s="3" t="s">
        <v>9</v>
      </c>
      <c r="E96" s="3"/>
      <c r="F96" s="3" t="s">
        <v>10</v>
      </c>
      <c r="G96" s="4">
        <v>2288</v>
      </c>
    </row>
    <row r="97" spans="2:7" x14ac:dyDescent="0.3">
      <c r="B97" s="12">
        <v>5463</v>
      </c>
      <c r="C97" s="3" t="s">
        <v>165</v>
      </c>
      <c r="D97" s="3" t="s">
        <v>9</v>
      </c>
      <c r="E97" s="3"/>
      <c r="F97" s="3" t="s">
        <v>10</v>
      </c>
      <c r="G97" s="4">
        <v>2232.65</v>
      </c>
    </row>
    <row r="98" spans="2:7" x14ac:dyDescent="0.3">
      <c r="B98" s="12" t="s">
        <v>166</v>
      </c>
      <c r="C98" s="3" t="s">
        <v>167</v>
      </c>
      <c r="D98" s="3" t="s">
        <v>9</v>
      </c>
      <c r="E98" s="3"/>
      <c r="F98" s="3" t="s">
        <v>10</v>
      </c>
      <c r="G98" s="4">
        <v>1999.57</v>
      </c>
    </row>
    <row r="99" spans="2:7" x14ac:dyDescent="0.3">
      <c r="B99" s="12" t="s">
        <v>168</v>
      </c>
      <c r="C99" s="3" t="s">
        <v>169</v>
      </c>
      <c r="D99" s="3" t="s">
        <v>9</v>
      </c>
      <c r="E99" s="3"/>
      <c r="F99" s="3" t="s">
        <v>10</v>
      </c>
      <c r="G99" s="4">
        <v>1985.26</v>
      </c>
    </row>
    <row r="100" spans="2:7" x14ac:dyDescent="0.3">
      <c r="B100" s="12" t="s">
        <v>170</v>
      </c>
      <c r="C100" s="3" t="s">
        <v>171</v>
      </c>
      <c r="D100" s="3" t="s">
        <v>9</v>
      </c>
      <c r="E100" s="3"/>
      <c r="F100" s="3" t="s">
        <v>10</v>
      </c>
      <c r="G100" s="4">
        <v>1923.75</v>
      </c>
    </row>
    <row r="101" spans="2:7" x14ac:dyDescent="0.3">
      <c r="B101" s="12" t="s">
        <v>172</v>
      </c>
      <c r="C101" s="3" t="s">
        <v>173</v>
      </c>
      <c r="D101" s="3" t="s">
        <v>9</v>
      </c>
      <c r="E101" s="3"/>
      <c r="F101" s="3" t="s">
        <v>10</v>
      </c>
      <c r="G101" s="4">
        <v>1879.12</v>
      </c>
    </row>
    <row r="102" spans="2:7" x14ac:dyDescent="0.3">
      <c r="B102" s="12" t="s">
        <v>174</v>
      </c>
      <c r="C102" s="3" t="s">
        <v>175</v>
      </c>
      <c r="D102" s="3" t="s">
        <v>9</v>
      </c>
      <c r="E102" s="3" t="s">
        <v>26</v>
      </c>
      <c r="F102" s="3" t="s">
        <v>10</v>
      </c>
      <c r="G102" s="4">
        <v>1843.97</v>
      </c>
    </row>
    <row r="103" spans="2:7" x14ac:dyDescent="0.3">
      <c r="B103" s="12" t="s">
        <v>176</v>
      </c>
      <c r="C103" s="3" t="s">
        <v>177</v>
      </c>
      <c r="D103" s="3" t="s">
        <v>9</v>
      </c>
      <c r="E103" s="3"/>
      <c r="F103" s="3" t="s">
        <v>10</v>
      </c>
      <c r="G103" s="4">
        <v>1842.17</v>
      </c>
    </row>
    <row r="104" spans="2:7" x14ac:dyDescent="0.3">
      <c r="B104" s="12" t="s">
        <v>178</v>
      </c>
      <c r="C104" s="3" t="s">
        <v>179</v>
      </c>
      <c r="D104" s="3" t="s">
        <v>9</v>
      </c>
      <c r="E104" s="3"/>
      <c r="F104" s="3" t="s">
        <v>10</v>
      </c>
      <c r="G104" s="4">
        <v>1841.78</v>
      </c>
    </row>
    <row r="105" spans="2:7" x14ac:dyDescent="0.3">
      <c r="B105" s="12" t="s">
        <v>180</v>
      </c>
      <c r="C105" s="3" t="s">
        <v>181</v>
      </c>
      <c r="D105" s="3" t="s">
        <v>9</v>
      </c>
      <c r="E105" s="3"/>
      <c r="F105" s="3" t="s">
        <v>10</v>
      </c>
      <c r="G105" s="4">
        <v>1818.9</v>
      </c>
    </row>
    <row r="106" spans="2:7" x14ac:dyDescent="0.3">
      <c r="B106" s="12">
        <v>5805</v>
      </c>
      <c r="C106" s="3" t="s">
        <v>182</v>
      </c>
      <c r="D106" s="3" t="s">
        <v>9</v>
      </c>
      <c r="E106" s="3"/>
      <c r="F106" s="3" t="s">
        <v>10</v>
      </c>
      <c r="G106" s="4">
        <v>1806.26</v>
      </c>
    </row>
    <row r="107" spans="2:7" x14ac:dyDescent="0.3">
      <c r="B107" s="12">
        <v>4001</v>
      </c>
      <c r="C107" s="3" t="s">
        <v>183</v>
      </c>
      <c r="D107" s="3" t="s">
        <v>9</v>
      </c>
      <c r="E107" s="3"/>
      <c r="F107" s="3" t="s">
        <v>10</v>
      </c>
      <c r="G107" s="4">
        <v>1799.76</v>
      </c>
    </row>
    <row r="108" spans="2:7" x14ac:dyDescent="0.3">
      <c r="B108" s="12" t="s">
        <v>184</v>
      </c>
      <c r="C108" s="3" t="s">
        <v>185</v>
      </c>
      <c r="D108" s="3" t="s">
        <v>9</v>
      </c>
      <c r="E108" s="3"/>
      <c r="F108" s="3" t="s">
        <v>10</v>
      </c>
      <c r="G108" s="4">
        <v>1792.57</v>
      </c>
    </row>
    <row r="109" spans="2:7" x14ac:dyDescent="0.3">
      <c r="B109" s="12" t="s">
        <v>186</v>
      </c>
      <c r="C109" s="3" t="s">
        <v>187</v>
      </c>
      <c r="D109" s="3" t="s">
        <v>9</v>
      </c>
      <c r="E109" s="3" t="s">
        <v>26</v>
      </c>
      <c r="F109" s="3" t="s">
        <v>10</v>
      </c>
      <c r="G109" s="4">
        <v>1779.55</v>
      </c>
    </row>
    <row r="110" spans="2:7" x14ac:dyDescent="0.3">
      <c r="B110" s="12" t="s">
        <v>188</v>
      </c>
      <c r="C110" s="3" t="s">
        <v>189</v>
      </c>
      <c r="D110" s="3" t="s">
        <v>9</v>
      </c>
      <c r="E110" s="3"/>
      <c r="F110" s="3" t="s">
        <v>10</v>
      </c>
      <c r="G110" s="4">
        <v>1774.65</v>
      </c>
    </row>
    <row r="111" spans="2:7" x14ac:dyDescent="0.3">
      <c r="B111" s="12">
        <v>4046</v>
      </c>
      <c r="C111" s="3" t="s">
        <v>190</v>
      </c>
      <c r="D111" s="3" t="s">
        <v>9</v>
      </c>
      <c r="E111" s="3"/>
      <c r="F111" s="3" t="s">
        <v>10</v>
      </c>
      <c r="G111" s="4">
        <v>1758.37</v>
      </c>
    </row>
    <row r="112" spans="2:7" x14ac:dyDescent="0.3">
      <c r="B112" s="12">
        <v>1830</v>
      </c>
      <c r="C112" s="3" t="s">
        <v>191</v>
      </c>
      <c r="D112" s="3" t="s">
        <v>9</v>
      </c>
      <c r="E112" s="3"/>
      <c r="F112" s="3" t="s">
        <v>10</v>
      </c>
      <c r="G112" s="4">
        <v>1747.77</v>
      </c>
    </row>
    <row r="113" spans="2:7" x14ac:dyDescent="0.3">
      <c r="B113" s="12" t="s">
        <v>192</v>
      </c>
      <c r="C113" s="3" t="s">
        <v>193</v>
      </c>
      <c r="D113" s="3" t="s">
        <v>9</v>
      </c>
      <c r="E113" s="3"/>
      <c r="F113" s="3" t="s">
        <v>10</v>
      </c>
      <c r="G113" s="4">
        <v>1747.58</v>
      </c>
    </row>
    <row r="114" spans="2:7" x14ac:dyDescent="0.3">
      <c r="B114" s="12" t="s">
        <v>194</v>
      </c>
      <c r="C114" s="3" t="s">
        <v>195</v>
      </c>
      <c r="D114" s="3" t="s">
        <v>9</v>
      </c>
      <c r="E114" s="3" t="s">
        <v>13</v>
      </c>
      <c r="F114" s="3" t="s">
        <v>10</v>
      </c>
      <c r="G114" s="4">
        <v>1738.96</v>
      </c>
    </row>
    <row r="115" spans="2:7" x14ac:dyDescent="0.3">
      <c r="B115" s="12" t="s">
        <v>196</v>
      </c>
      <c r="C115" s="3" t="s">
        <v>197</v>
      </c>
      <c r="D115" s="3" t="s">
        <v>9</v>
      </c>
      <c r="E115" s="3"/>
      <c r="F115" s="3" t="s">
        <v>10</v>
      </c>
      <c r="G115" s="4">
        <v>1737.5</v>
      </c>
    </row>
    <row r="116" spans="2:7" x14ac:dyDescent="0.3">
      <c r="B116" s="12" t="s">
        <v>198</v>
      </c>
      <c r="C116" s="3" t="s">
        <v>199</v>
      </c>
      <c r="D116" s="3" t="s">
        <v>9</v>
      </c>
      <c r="E116" s="3"/>
      <c r="F116" s="3" t="s">
        <v>10</v>
      </c>
      <c r="G116" s="4">
        <v>1736.72</v>
      </c>
    </row>
    <row r="117" spans="2:7" x14ac:dyDescent="0.3">
      <c r="B117" s="12" t="s">
        <v>200</v>
      </c>
      <c r="C117" s="3" t="s">
        <v>201</v>
      </c>
      <c r="D117" s="3" t="s">
        <v>9</v>
      </c>
      <c r="E117" s="3"/>
      <c r="F117" s="3" t="s">
        <v>10</v>
      </c>
      <c r="G117" s="4">
        <v>1704.69</v>
      </c>
    </row>
    <row r="118" spans="2:7" x14ac:dyDescent="0.3">
      <c r="B118" s="12">
        <v>9616</v>
      </c>
      <c r="C118" s="3" t="s">
        <v>202</v>
      </c>
      <c r="D118" s="3" t="s">
        <v>9</v>
      </c>
      <c r="E118" s="3"/>
      <c r="F118" s="3" t="s">
        <v>10</v>
      </c>
      <c r="G118" s="4">
        <v>1641.24</v>
      </c>
    </row>
    <row r="119" spans="2:7" x14ac:dyDescent="0.3">
      <c r="B119" s="12" t="s">
        <v>203</v>
      </c>
      <c r="C119" s="3" t="s">
        <v>204</v>
      </c>
      <c r="D119" s="3" t="s">
        <v>9</v>
      </c>
      <c r="E119" s="3"/>
      <c r="F119" s="3" t="s">
        <v>10</v>
      </c>
      <c r="G119" s="4">
        <v>1639.53</v>
      </c>
    </row>
    <row r="120" spans="2:7" x14ac:dyDescent="0.3">
      <c r="B120" s="12" t="s">
        <v>205</v>
      </c>
      <c r="C120" s="3" t="s">
        <v>206</v>
      </c>
      <c r="D120" s="3" t="s">
        <v>9</v>
      </c>
      <c r="E120" s="3"/>
      <c r="F120" s="3" t="s">
        <v>10</v>
      </c>
      <c r="G120" s="4">
        <v>1627.87</v>
      </c>
    </row>
    <row r="121" spans="2:7" x14ac:dyDescent="0.3">
      <c r="B121" s="12" t="s">
        <v>207</v>
      </c>
      <c r="C121" s="3" t="s">
        <v>208</v>
      </c>
      <c r="D121" s="3" t="s">
        <v>9</v>
      </c>
      <c r="E121" s="3"/>
      <c r="F121" s="3" t="s">
        <v>10</v>
      </c>
      <c r="G121" s="4">
        <v>1593.6</v>
      </c>
    </row>
    <row r="122" spans="2:7" x14ac:dyDescent="0.3">
      <c r="B122" s="12" t="s">
        <v>209</v>
      </c>
      <c r="C122" s="3" t="s">
        <v>210</v>
      </c>
      <c r="D122" s="3" t="s">
        <v>9</v>
      </c>
      <c r="E122" s="3"/>
      <c r="F122" s="3" t="s">
        <v>10</v>
      </c>
      <c r="G122" s="4">
        <v>1569.25</v>
      </c>
    </row>
    <row r="123" spans="2:7" x14ac:dyDescent="0.3">
      <c r="B123" s="12">
        <v>8086</v>
      </c>
      <c r="C123" s="3" t="s">
        <v>211</v>
      </c>
      <c r="D123" s="3" t="s">
        <v>9</v>
      </c>
      <c r="E123" s="3"/>
      <c r="F123" s="3" t="s">
        <v>10</v>
      </c>
      <c r="G123" s="4">
        <v>1519.8</v>
      </c>
    </row>
    <row r="124" spans="2:7" x14ac:dyDescent="0.3">
      <c r="B124" s="12" t="s">
        <v>212</v>
      </c>
      <c r="C124" s="3" t="s">
        <v>213</v>
      </c>
      <c r="D124" s="3" t="s">
        <v>9</v>
      </c>
      <c r="E124" s="3" t="s">
        <v>13</v>
      </c>
      <c r="F124" s="3" t="s">
        <v>10</v>
      </c>
      <c r="G124" s="4">
        <v>1454.67</v>
      </c>
    </row>
    <row r="125" spans="2:7" x14ac:dyDescent="0.3">
      <c r="B125" s="12">
        <v>8850</v>
      </c>
      <c r="C125" s="3" t="s">
        <v>214</v>
      </c>
      <c r="D125" s="3" t="s">
        <v>9</v>
      </c>
      <c r="E125" s="3"/>
      <c r="F125" s="3" t="s">
        <v>10</v>
      </c>
      <c r="G125" s="4">
        <v>1452.09</v>
      </c>
    </row>
    <row r="126" spans="2:7" x14ac:dyDescent="0.3">
      <c r="B126" s="12" t="s">
        <v>215</v>
      </c>
      <c r="C126" s="3" t="s">
        <v>216</v>
      </c>
      <c r="D126" s="3" t="s">
        <v>9</v>
      </c>
      <c r="E126" s="3"/>
      <c r="F126" s="3" t="s">
        <v>10</v>
      </c>
      <c r="G126" s="4">
        <v>1428.21</v>
      </c>
    </row>
    <row r="127" spans="2:7" x14ac:dyDescent="0.3">
      <c r="B127" s="12" t="s">
        <v>217</v>
      </c>
      <c r="C127" s="3" t="s">
        <v>218</v>
      </c>
      <c r="D127" s="3" t="s">
        <v>9</v>
      </c>
      <c r="E127" s="3"/>
      <c r="F127" s="3" t="s">
        <v>10</v>
      </c>
      <c r="G127" s="4">
        <v>1420.23</v>
      </c>
    </row>
    <row r="128" spans="2:7" x14ac:dyDescent="0.3">
      <c r="B128" s="12" t="s">
        <v>219</v>
      </c>
      <c r="C128" s="3" t="s">
        <v>220</v>
      </c>
      <c r="D128" s="3" t="s">
        <v>9</v>
      </c>
      <c r="E128" s="3"/>
      <c r="F128" s="3" t="s">
        <v>10</v>
      </c>
      <c r="G128" s="4">
        <v>1393.52</v>
      </c>
    </row>
    <row r="129" spans="2:7" x14ac:dyDescent="0.3">
      <c r="B129" s="12" t="s">
        <v>221</v>
      </c>
      <c r="C129" s="3" t="s">
        <v>222</v>
      </c>
      <c r="D129" s="3" t="s">
        <v>9</v>
      </c>
      <c r="E129" s="3"/>
      <c r="F129" s="3" t="s">
        <v>10</v>
      </c>
      <c r="G129" s="4">
        <v>1387.82</v>
      </c>
    </row>
    <row r="130" spans="2:7" x14ac:dyDescent="0.3">
      <c r="B130" s="12">
        <v>500043</v>
      </c>
      <c r="C130" s="3" t="s">
        <v>223</v>
      </c>
      <c r="D130" s="3" t="s">
        <v>9</v>
      </c>
      <c r="E130" s="3"/>
      <c r="F130" s="3" t="s">
        <v>10</v>
      </c>
      <c r="G130" s="4">
        <v>1366.57</v>
      </c>
    </row>
    <row r="131" spans="2:7" x14ac:dyDescent="0.3">
      <c r="B131" s="12" t="s">
        <v>224</v>
      </c>
      <c r="C131" s="3" t="s">
        <v>225</v>
      </c>
      <c r="D131" s="3" t="s">
        <v>9</v>
      </c>
      <c r="E131" s="3"/>
      <c r="F131" s="3" t="s">
        <v>10</v>
      </c>
      <c r="G131" s="4">
        <v>1351.47</v>
      </c>
    </row>
    <row r="132" spans="2:7" x14ac:dyDescent="0.3">
      <c r="B132" s="12" t="s">
        <v>226</v>
      </c>
      <c r="C132" s="3" t="s">
        <v>227</v>
      </c>
      <c r="D132" s="3" t="s">
        <v>9</v>
      </c>
      <c r="E132" s="3" t="s">
        <v>13</v>
      </c>
      <c r="F132" s="3" t="s">
        <v>10</v>
      </c>
      <c r="G132" s="4">
        <v>1319.58</v>
      </c>
    </row>
    <row r="133" spans="2:7" x14ac:dyDescent="0.3">
      <c r="B133" s="12" t="s">
        <v>228</v>
      </c>
      <c r="C133" s="3" t="s">
        <v>229</v>
      </c>
      <c r="D133" s="3" t="s">
        <v>9</v>
      </c>
      <c r="E133" s="3"/>
      <c r="F133" s="3" t="s">
        <v>10</v>
      </c>
      <c r="G133" s="4">
        <v>1303.08</v>
      </c>
    </row>
    <row r="134" spans="2:7" x14ac:dyDescent="0.3">
      <c r="B134" s="12" t="s">
        <v>433</v>
      </c>
      <c r="C134" s="3" t="s">
        <v>230</v>
      </c>
      <c r="D134" s="3" t="s">
        <v>9</v>
      </c>
      <c r="E134" s="3"/>
      <c r="F134" s="3" t="s">
        <v>10</v>
      </c>
      <c r="G134" s="4">
        <v>1292.92</v>
      </c>
    </row>
    <row r="135" spans="2:7" x14ac:dyDescent="0.3">
      <c r="B135" s="12">
        <v>507205</v>
      </c>
      <c r="C135" s="3" t="s">
        <v>231</v>
      </c>
      <c r="D135" s="3" t="s">
        <v>9</v>
      </c>
      <c r="E135" s="3"/>
      <c r="F135" s="3" t="s">
        <v>10</v>
      </c>
      <c r="G135" s="4">
        <v>1243.1500000000001</v>
      </c>
    </row>
    <row r="136" spans="2:7" x14ac:dyDescent="0.3">
      <c r="B136" s="12">
        <v>512573</v>
      </c>
      <c r="C136" s="3" t="s">
        <v>232</v>
      </c>
      <c r="D136" s="3" t="s">
        <v>9</v>
      </c>
      <c r="E136" s="3"/>
      <c r="F136" s="3" t="s">
        <v>10</v>
      </c>
      <c r="G136" s="4">
        <v>1222.6600000000001</v>
      </c>
    </row>
    <row r="137" spans="2:7" x14ac:dyDescent="0.3">
      <c r="B137" s="12">
        <v>3569</v>
      </c>
      <c r="C137" s="3" t="s">
        <v>233</v>
      </c>
      <c r="D137" s="3" t="s">
        <v>9</v>
      </c>
      <c r="E137" s="3"/>
      <c r="F137" s="3" t="s">
        <v>10</v>
      </c>
      <c r="G137" s="4">
        <v>1206.49</v>
      </c>
    </row>
    <row r="138" spans="2:7" x14ac:dyDescent="0.3">
      <c r="B138" s="12" t="s">
        <v>234</v>
      </c>
      <c r="C138" s="3" t="s">
        <v>235</v>
      </c>
      <c r="D138" s="3" t="s">
        <v>9</v>
      </c>
      <c r="E138" s="3"/>
      <c r="F138" s="3" t="s">
        <v>10</v>
      </c>
      <c r="G138" s="4">
        <v>1205.18</v>
      </c>
    </row>
    <row r="139" spans="2:7" x14ac:dyDescent="0.3">
      <c r="B139" s="12">
        <v>1333</v>
      </c>
      <c r="C139" s="3" t="s">
        <v>236</v>
      </c>
      <c r="D139" s="3" t="s">
        <v>9</v>
      </c>
      <c r="E139" s="3"/>
      <c r="F139" s="3" t="s">
        <v>10</v>
      </c>
      <c r="G139" s="4">
        <v>1193.3399999999999</v>
      </c>
    </row>
    <row r="140" spans="2:7" x14ac:dyDescent="0.3">
      <c r="B140" s="12" t="s">
        <v>237</v>
      </c>
      <c r="C140" s="3" t="s">
        <v>238</v>
      </c>
      <c r="D140" s="3" t="s">
        <v>9</v>
      </c>
      <c r="E140" s="3"/>
      <c r="F140" s="3" t="s">
        <v>10</v>
      </c>
      <c r="G140" s="4">
        <v>1176.1099999999999</v>
      </c>
    </row>
    <row r="141" spans="2:7" x14ac:dyDescent="0.3">
      <c r="B141" s="12">
        <v>4544</v>
      </c>
      <c r="C141" s="3" t="s">
        <v>239</v>
      </c>
      <c r="D141" s="3" t="s">
        <v>9</v>
      </c>
      <c r="E141" s="3"/>
      <c r="F141" s="3" t="s">
        <v>10</v>
      </c>
      <c r="G141" s="4">
        <v>1174.8900000000001</v>
      </c>
    </row>
    <row r="142" spans="2:7" x14ac:dyDescent="0.3">
      <c r="B142" s="12">
        <v>509488</v>
      </c>
      <c r="C142" s="3" t="s">
        <v>240</v>
      </c>
      <c r="D142" s="3" t="s">
        <v>9</v>
      </c>
      <c r="E142" s="3"/>
      <c r="F142" s="3" t="s">
        <v>10</v>
      </c>
      <c r="G142" s="4">
        <v>1174</v>
      </c>
    </row>
    <row r="143" spans="2:7" x14ac:dyDescent="0.3">
      <c r="B143" s="12" t="s">
        <v>241</v>
      </c>
      <c r="C143" s="3" t="s">
        <v>242</v>
      </c>
      <c r="D143" s="3" t="s">
        <v>9</v>
      </c>
      <c r="E143" s="3"/>
      <c r="F143" s="3" t="s">
        <v>10</v>
      </c>
      <c r="G143" s="4">
        <v>1147.3599999999999</v>
      </c>
    </row>
    <row r="144" spans="2:7" x14ac:dyDescent="0.3">
      <c r="B144" s="12">
        <v>8361</v>
      </c>
      <c r="C144" s="3" t="s">
        <v>243</v>
      </c>
      <c r="D144" s="3" t="s">
        <v>9</v>
      </c>
      <c r="E144" s="3"/>
      <c r="F144" s="3" t="s">
        <v>10</v>
      </c>
      <c r="G144" s="4">
        <v>1146.4100000000001</v>
      </c>
    </row>
    <row r="145" spans="2:7" x14ac:dyDescent="0.3">
      <c r="B145" s="12" t="s">
        <v>244</v>
      </c>
      <c r="C145" s="3" t="s">
        <v>245</v>
      </c>
      <c r="D145" s="3" t="s">
        <v>9</v>
      </c>
      <c r="E145" s="3"/>
      <c r="F145" s="3" t="s">
        <v>10</v>
      </c>
      <c r="G145" s="4">
        <v>1143.5899999999999</v>
      </c>
    </row>
    <row r="146" spans="2:7" x14ac:dyDescent="0.3">
      <c r="B146" s="12" t="s">
        <v>246</v>
      </c>
      <c r="C146" s="3" t="s">
        <v>247</v>
      </c>
      <c r="D146" s="3" t="s">
        <v>9</v>
      </c>
      <c r="E146" s="3"/>
      <c r="F146" s="3" t="s">
        <v>10</v>
      </c>
      <c r="G146" s="4">
        <v>1134.98</v>
      </c>
    </row>
    <row r="147" spans="2:7" x14ac:dyDescent="0.3">
      <c r="B147" s="12" t="s">
        <v>248</v>
      </c>
      <c r="C147" s="3" t="s">
        <v>249</v>
      </c>
      <c r="D147" s="3" t="s">
        <v>9</v>
      </c>
      <c r="E147" s="3" t="s">
        <v>13</v>
      </c>
      <c r="F147" s="3" t="s">
        <v>10</v>
      </c>
      <c r="G147" s="4">
        <v>1114.72</v>
      </c>
    </row>
    <row r="148" spans="2:7" x14ac:dyDescent="0.3">
      <c r="B148" s="12" t="s">
        <v>250</v>
      </c>
      <c r="C148" s="3" t="s">
        <v>251</v>
      </c>
      <c r="D148" s="3" t="s">
        <v>9</v>
      </c>
      <c r="E148" s="3"/>
      <c r="F148" s="3" t="s">
        <v>10</v>
      </c>
      <c r="G148" s="4">
        <v>1097.22</v>
      </c>
    </row>
    <row r="149" spans="2:7" x14ac:dyDescent="0.3">
      <c r="B149" s="12" t="s">
        <v>252</v>
      </c>
      <c r="C149" s="3" t="s">
        <v>253</v>
      </c>
      <c r="D149" s="3" t="s">
        <v>9</v>
      </c>
      <c r="E149" s="3"/>
      <c r="F149" s="3" t="s">
        <v>10</v>
      </c>
      <c r="G149" s="4">
        <v>1091.6199999999999</v>
      </c>
    </row>
    <row r="150" spans="2:7" x14ac:dyDescent="0.3">
      <c r="B150" s="12">
        <v>7458</v>
      </c>
      <c r="C150" s="3" t="s">
        <v>254</v>
      </c>
      <c r="D150" s="3" t="s">
        <v>9</v>
      </c>
      <c r="E150" s="3"/>
      <c r="F150" s="3" t="s">
        <v>10</v>
      </c>
      <c r="G150" s="4">
        <v>1089.79</v>
      </c>
    </row>
    <row r="151" spans="2:7" x14ac:dyDescent="0.3">
      <c r="B151" s="12" t="s">
        <v>255</v>
      </c>
      <c r="C151" s="3" t="s">
        <v>256</v>
      </c>
      <c r="D151" s="3" t="s">
        <v>9</v>
      </c>
      <c r="E151" s="3"/>
      <c r="F151" s="3" t="s">
        <v>10</v>
      </c>
      <c r="G151" s="4">
        <v>1087.21</v>
      </c>
    </row>
    <row r="152" spans="2:7" x14ac:dyDescent="0.3">
      <c r="B152" s="12" t="s">
        <v>257</v>
      </c>
      <c r="C152" s="3" t="s">
        <v>258</v>
      </c>
      <c r="D152" s="3" t="s">
        <v>9</v>
      </c>
      <c r="E152" s="3"/>
      <c r="F152" s="3" t="s">
        <v>10</v>
      </c>
      <c r="G152" s="4">
        <v>1080.3499999999999</v>
      </c>
    </row>
    <row r="153" spans="2:7" x14ac:dyDescent="0.3">
      <c r="B153" s="12">
        <v>3563</v>
      </c>
      <c r="C153" s="3" t="s">
        <v>259</v>
      </c>
      <c r="D153" s="3" t="s">
        <v>9</v>
      </c>
      <c r="E153" s="3"/>
      <c r="F153" s="3" t="s">
        <v>10</v>
      </c>
      <c r="G153" s="4">
        <v>1079.78</v>
      </c>
    </row>
    <row r="154" spans="2:7" x14ac:dyDescent="0.3">
      <c r="B154" s="12">
        <v>1835</v>
      </c>
      <c r="C154" s="3" t="s">
        <v>260</v>
      </c>
      <c r="D154" s="3" t="s">
        <v>9</v>
      </c>
      <c r="E154" s="3"/>
      <c r="F154" s="3" t="s">
        <v>10</v>
      </c>
      <c r="G154" s="4">
        <v>1067.5999999999999</v>
      </c>
    </row>
    <row r="155" spans="2:7" x14ac:dyDescent="0.3">
      <c r="B155" s="12">
        <v>3097</v>
      </c>
      <c r="C155" s="3" t="s">
        <v>261</v>
      </c>
      <c r="D155" s="3" t="s">
        <v>9</v>
      </c>
      <c r="E155" s="3"/>
      <c r="F155" s="3" t="s">
        <v>10</v>
      </c>
      <c r="G155" s="4">
        <v>1060.45</v>
      </c>
    </row>
    <row r="156" spans="2:7" x14ac:dyDescent="0.3">
      <c r="B156" s="12" t="s">
        <v>262</v>
      </c>
      <c r="C156" s="3" t="s">
        <v>263</v>
      </c>
      <c r="D156" s="3" t="s">
        <v>9</v>
      </c>
      <c r="E156" s="3"/>
      <c r="F156" s="3" t="s">
        <v>10</v>
      </c>
      <c r="G156" s="4">
        <v>1042.04</v>
      </c>
    </row>
    <row r="157" spans="2:7" x14ac:dyDescent="0.3">
      <c r="B157" s="12">
        <v>6651</v>
      </c>
      <c r="C157" s="3" t="s">
        <v>264</v>
      </c>
      <c r="D157" s="3" t="s">
        <v>9</v>
      </c>
      <c r="E157" s="3"/>
      <c r="F157" s="3" t="s">
        <v>10</v>
      </c>
      <c r="G157" s="4">
        <v>1039.6099999999999</v>
      </c>
    </row>
    <row r="158" spans="2:7" x14ac:dyDescent="0.3">
      <c r="B158" s="12" t="s">
        <v>265</v>
      </c>
      <c r="C158" s="3" t="s">
        <v>266</v>
      </c>
      <c r="D158" s="3" t="s">
        <v>9</v>
      </c>
      <c r="E158" s="3"/>
      <c r="F158" s="3" t="s">
        <v>10</v>
      </c>
      <c r="G158" s="4">
        <v>1031.6099999999999</v>
      </c>
    </row>
    <row r="159" spans="2:7" x14ac:dyDescent="0.3">
      <c r="B159" s="12">
        <v>6588</v>
      </c>
      <c r="C159" s="3" t="s">
        <v>267</v>
      </c>
      <c r="D159" s="3" t="s">
        <v>9</v>
      </c>
      <c r="E159" s="3"/>
      <c r="F159" s="3" t="s">
        <v>10</v>
      </c>
      <c r="G159" s="4">
        <v>1018.14</v>
      </c>
    </row>
    <row r="160" spans="2:7" x14ac:dyDescent="0.3">
      <c r="B160" s="12">
        <v>534076</v>
      </c>
      <c r="C160" s="3" t="s">
        <v>268</v>
      </c>
      <c r="D160" s="3" t="s">
        <v>9</v>
      </c>
      <c r="E160" s="3"/>
      <c r="F160" s="3" t="s">
        <v>10</v>
      </c>
      <c r="G160" s="4">
        <v>1016.32</v>
      </c>
    </row>
    <row r="161" spans="2:7" x14ac:dyDescent="0.3">
      <c r="B161" s="12" t="s">
        <v>269</v>
      </c>
      <c r="C161" s="3" t="s">
        <v>270</v>
      </c>
      <c r="D161" s="3" t="s">
        <v>9</v>
      </c>
      <c r="E161" s="3"/>
      <c r="F161" s="3" t="s">
        <v>10</v>
      </c>
      <c r="G161" s="4">
        <v>997.82</v>
      </c>
    </row>
    <row r="162" spans="2:7" x14ac:dyDescent="0.3">
      <c r="B162" s="12" t="s">
        <v>271</v>
      </c>
      <c r="C162" s="3" t="s">
        <v>272</v>
      </c>
      <c r="D162" s="3" t="s">
        <v>9</v>
      </c>
      <c r="E162" s="3"/>
      <c r="F162" s="3" t="s">
        <v>10</v>
      </c>
      <c r="G162" s="4">
        <v>993.1</v>
      </c>
    </row>
    <row r="163" spans="2:7" x14ac:dyDescent="0.3">
      <c r="B163" s="12" t="s">
        <v>273</v>
      </c>
      <c r="C163" s="3" t="s">
        <v>274</v>
      </c>
      <c r="D163" s="3" t="s">
        <v>9</v>
      </c>
      <c r="E163" s="3"/>
      <c r="F163" s="3" t="s">
        <v>10</v>
      </c>
      <c r="G163" s="4">
        <v>990.52</v>
      </c>
    </row>
    <row r="164" spans="2:7" x14ac:dyDescent="0.3">
      <c r="B164" s="12">
        <v>5715</v>
      </c>
      <c r="C164" s="3" t="s">
        <v>275</v>
      </c>
      <c r="D164" s="3" t="s">
        <v>9</v>
      </c>
      <c r="E164" s="3"/>
      <c r="F164" s="3" t="s">
        <v>10</v>
      </c>
      <c r="G164" s="4">
        <v>989.54</v>
      </c>
    </row>
    <row r="165" spans="2:7" x14ac:dyDescent="0.3">
      <c r="B165" s="12">
        <v>500463</v>
      </c>
      <c r="C165" s="3" t="s">
        <v>276</v>
      </c>
      <c r="D165" s="3" t="s">
        <v>9</v>
      </c>
      <c r="E165" s="3"/>
      <c r="F165" s="3" t="s">
        <v>10</v>
      </c>
      <c r="G165" s="4">
        <v>978.51</v>
      </c>
    </row>
    <row r="166" spans="2:7" x14ac:dyDescent="0.3">
      <c r="B166" s="12">
        <v>4023</v>
      </c>
      <c r="C166" s="3" t="s">
        <v>277</v>
      </c>
      <c r="D166" s="3" t="s">
        <v>9</v>
      </c>
      <c r="E166" s="3"/>
      <c r="F166" s="3" t="s">
        <v>10</v>
      </c>
      <c r="G166" s="4">
        <v>967.02</v>
      </c>
    </row>
    <row r="167" spans="2:7" x14ac:dyDescent="0.3">
      <c r="B167" s="12" t="s">
        <v>278</v>
      </c>
      <c r="C167" s="3" t="s">
        <v>279</v>
      </c>
      <c r="D167" s="3" t="s">
        <v>9</v>
      </c>
      <c r="E167" s="3"/>
      <c r="F167" s="3" t="s">
        <v>10</v>
      </c>
      <c r="G167" s="4">
        <v>942.4</v>
      </c>
    </row>
    <row r="168" spans="2:7" x14ac:dyDescent="0.3">
      <c r="B168" s="12">
        <v>4628</v>
      </c>
      <c r="C168" s="3" t="s">
        <v>280</v>
      </c>
      <c r="D168" s="3" t="s">
        <v>9</v>
      </c>
      <c r="E168" s="3"/>
      <c r="F168" s="3" t="s">
        <v>10</v>
      </c>
      <c r="G168" s="4">
        <v>941.07</v>
      </c>
    </row>
    <row r="169" spans="2:7" x14ac:dyDescent="0.3">
      <c r="B169" s="12" t="s">
        <v>281</v>
      </c>
      <c r="C169" s="3" t="s">
        <v>282</v>
      </c>
      <c r="D169" s="3" t="s">
        <v>9</v>
      </c>
      <c r="E169" s="3"/>
      <c r="F169" s="3" t="s">
        <v>10</v>
      </c>
      <c r="G169" s="4">
        <v>913.75</v>
      </c>
    </row>
    <row r="170" spans="2:7" x14ac:dyDescent="0.3">
      <c r="B170" s="12">
        <v>6707</v>
      </c>
      <c r="C170" s="3" t="s">
        <v>283</v>
      </c>
      <c r="D170" s="3" t="s">
        <v>9</v>
      </c>
      <c r="E170" s="3"/>
      <c r="F170" s="3" t="s">
        <v>10</v>
      </c>
      <c r="G170" s="4">
        <v>892.54</v>
      </c>
    </row>
    <row r="171" spans="2:7" x14ac:dyDescent="0.3">
      <c r="B171" s="12" t="s">
        <v>284</v>
      </c>
      <c r="C171" s="3" t="s">
        <v>285</v>
      </c>
      <c r="D171" s="3" t="s">
        <v>9</v>
      </c>
      <c r="E171" s="3"/>
      <c r="F171" s="3" t="s">
        <v>10</v>
      </c>
      <c r="G171" s="4">
        <v>879.97</v>
      </c>
    </row>
    <row r="172" spans="2:7" x14ac:dyDescent="0.3">
      <c r="B172" s="12" t="s">
        <v>286</v>
      </c>
      <c r="C172" s="3" t="s">
        <v>287</v>
      </c>
      <c r="D172" s="3" t="s">
        <v>9</v>
      </c>
      <c r="E172" s="3"/>
      <c r="F172" s="3" t="s">
        <v>10</v>
      </c>
      <c r="G172" s="4">
        <v>863.99</v>
      </c>
    </row>
    <row r="173" spans="2:7" x14ac:dyDescent="0.3">
      <c r="B173" s="12" t="s">
        <v>288</v>
      </c>
      <c r="C173" s="3" t="s">
        <v>289</v>
      </c>
      <c r="D173" s="3" t="s">
        <v>9</v>
      </c>
      <c r="E173" s="3"/>
      <c r="F173" s="3" t="s">
        <v>10</v>
      </c>
      <c r="G173" s="4">
        <v>839.95</v>
      </c>
    </row>
    <row r="174" spans="2:7" x14ac:dyDescent="0.3">
      <c r="B174" s="12" t="s">
        <v>290</v>
      </c>
      <c r="C174" s="3" t="s">
        <v>291</v>
      </c>
      <c r="D174" s="3" t="s">
        <v>9</v>
      </c>
      <c r="E174" s="3"/>
      <c r="F174" s="3" t="s">
        <v>10</v>
      </c>
      <c r="G174" s="4">
        <v>818.67</v>
      </c>
    </row>
    <row r="175" spans="2:7" x14ac:dyDescent="0.3">
      <c r="B175" s="12">
        <v>9887</v>
      </c>
      <c r="C175" s="3" t="s">
        <v>292</v>
      </c>
      <c r="D175" s="3" t="s">
        <v>9</v>
      </c>
      <c r="E175" s="3"/>
      <c r="F175" s="3" t="s">
        <v>10</v>
      </c>
      <c r="G175" s="4">
        <v>814.8</v>
      </c>
    </row>
    <row r="176" spans="2:7" x14ac:dyDescent="0.3">
      <c r="B176" s="12" t="s">
        <v>293</v>
      </c>
      <c r="C176" s="3" t="s">
        <v>294</v>
      </c>
      <c r="D176" s="3" t="s">
        <v>9</v>
      </c>
      <c r="E176" s="3"/>
      <c r="F176" s="3" t="s">
        <v>10</v>
      </c>
      <c r="G176" s="4">
        <v>803.37</v>
      </c>
    </row>
    <row r="177" spans="2:7" x14ac:dyDescent="0.3">
      <c r="B177" s="12" t="s">
        <v>295</v>
      </c>
      <c r="C177" s="3" t="s">
        <v>296</v>
      </c>
      <c r="D177" s="3" t="s">
        <v>9</v>
      </c>
      <c r="E177" s="3"/>
      <c r="F177" s="3" t="s">
        <v>10</v>
      </c>
      <c r="G177" s="4">
        <v>796.41</v>
      </c>
    </row>
    <row r="178" spans="2:7" x14ac:dyDescent="0.3">
      <c r="B178" s="12">
        <v>530343</v>
      </c>
      <c r="C178" s="3" t="s">
        <v>297</v>
      </c>
      <c r="D178" s="3" t="s">
        <v>9</v>
      </c>
      <c r="E178" s="3"/>
      <c r="F178" s="3" t="s">
        <v>10</v>
      </c>
      <c r="G178" s="4">
        <v>774.97</v>
      </c>
    </row>
    <row r="179" spans="2:7" x14ac:dyDescent="0.3">
      <c r="B179" s="12">
        <v>500690</v>
      </c>
      <c r="C179" s="3" t="s">
        <v>298</v>
      </c>
      <c r="D179" s="3" t="s">
        <v>9</v>
      </c>
      <c r="E179" s="3"/>
      <c r="F179" s="3" t="s">
        <v>10</v>
      </c>
      <c r="G179" s="4">
        <v>755.18</v>
      </c>
    </row>
    <row r="180" spans="2:7" x14ac:dyDescent="0.3">
      <c r="B180" s="12">
        <v>509557</v>
      </c>
      <c r="C180" s="3" t="s">
        <v>299</v>
      </c>
      <c r="D180" s="3" t="s">
        <v>9</v>
      </c>
      <c r="E180" s="3"/>
      <c r="F180" s="3" t="s">
        <v>10</v>
      </c>
      <c r="G180" s="4">
        <v>740.58</v>
      </c>
    </row>
    <row r="181" spans="2:7" x14ac:dyDescent="0.3">
      <c r="B181" s="12" t="s">
        <v>300</v>
      </c>
      <c r="C181" s="3" t="s">
        <v>301</v>
      </c>
      <c r="D181" s="3" t="s">
        <v>9</v>
      </c>
      <c r="E181" s="3"/>
      <c r="F181" s="3" t="s">
        <v>10</v>
      </c>
      <c r="G181" s="4">
        <v>739.65</v>
      </c>
    </row>
    <row r="182" spans="2:7" x14ac:dyDescent="0.3">
      <c r="B182" s="12" t="s">
        <v>302</v>
      </c>
      <c r="C182" s="3" t="s">
        <v>303</v>
      </c>
      <c r="D182" s="3" t="s">
        <v>9</v>
      </c>
      <c r="E182" s="3"/>
      <c r="F182" s="3" t="s">
        <v>10</v>
      </c>
      <c r="G182" s="4">
        <v>736.63</v>
      </c>
    </row>
    <row r="183" spans="2:7" x14ac:dyDescent="0.3">
      <c r="B183" s="12" t="s">
        <v>304</v>
      </c>
      <c r="C183" s="3" t="s">
        <v>305</v>
      </c>
      <c r="D183" s="3" t="s">
        <v>9</v>
      </c>
      <c r="E183" s="3"/>
      <c r="F183" s="3" t="s">
        <v>10</v>
      </c>
      <c r="G183" s="4">
        <v>727.26</v>
      </c>
    </row>
    <row r="184" spans="2:7" x14ac:dyDescent="0.3">
      <c r="B184" s="12">
        <v>533033</v>
      </c>
      <c r="C184" s="3" t="s">
        <v>306</v>
      </c>
      <c r="D184" s="3" t="s">
        <v>9</v>
      </c>
      <c r="E184" s="3"/>
      <c r="F184" s="3" t="s">
        <v>10</v>
      </c>
      <c r="G184" s="4">
        <v>723.66</v>
      </c>
    </row>
    <row r="185" spans="2:7" x14ac:dyDescent="0.3">
      <c r="B185" s="12" t="s">
        <v>307</v>
      </c>
      <c r="C185" s="3" t="s">
        <v>308</v>
      </c>
      <c r="D185" s="3" t="s">
        <v>9</v>
      </c>
      <c r="E185" s="3" t="s">
        <v>13</v>
      </c>
      <c r="F185" s="3" t="s">
        <v>10</v>
      </c>
      <c r="G185" s="4">
        <v>719.92</v>
      </c>
    </row>
    <row r="186" spans="2:7" x14ac:dyDescent="0.3">
      <c r="B186" s="12">
        <v>500135</v>
      </c>
      <c r="C186" s="3" t="s">
        <v>309</v>
      </c>
      <c r="D186" s="3" t="s">
        <v>9</v>
      </c>
      <c r="E186" s="3"/>
      <c r="F186" s="3" t="s">
        <v>10</v>
      </c>
      <c r="G186" s="4">
        <v>708.25</v>
      </c>
    </row>
    <row r="187" spans="2:7" x14ac:dyDescent="0.3">
      <c r="B187" s="12">
        <v>6490</v>
      </c>
      <c r="C187" s="3" t="s">
        <v>310</v>
      </c>
      <c r="D187" s="3" t="s">
        <v>9</v>
      </c>
      <c r="E187" s="3"/>
      <c r="F187" s="3" t="s">
        <v>10</v>
      </c>
      <c r="G187" s="4">
        <v>690.86</v>
      </c>
    </row>
    <row r="188" spans="2:7" x14ac:dyDescent="0.3">
      <c r="B188" s="12" t="s">
        <v>311</v>
      </c>
      <c r="C188" s="3" t="s">
        <v>312</v>
      </c>
      <c r="D188" s="3" t="s">
        <v>9</v>
      </c>
      <c r="E188" s="3"/>
      <c r="F188" s="3" t="s">
        <v>10</v>
      </c>
      <c r="G188" s="4">
        <v>687.93</v>
      </c>
    </row>
    <row r="189" spans="2:7" x14ac:dyDescent="0.3">
      <c r="B189" s="12" t="s">
        <v>313</v>
      </c>
      <c r="C189" s="3" t="s">
        <v>314</v>
      </c>
      <c r="D189" s="3" t="s">
        <v>9</v>
      </c>
      <c r="E189" s="3"/>
      <c r="F189" s="3" t="s">
        <v>10</v>
      </c>
      <c r="G189" s="4">
        <v>651.42999999999995</v>
      </c>
    </row>
    <row r="190" spans="2:7" x14ac:dyDescent="0.3">
      <c r="B190" s="12" t="s">
        <v>315</v>
      </c>
      <c r="C190" s="3" t="s">
        <v>316</v>
      </c>
      <c r="D190" s="3" t="s">
        <v>9</v>
      </c>
      <c r="E190" s="3"/>
      <c r="F190" s="3" t="s">
        <v>10</v>
      </c>
      <c r="G190" s="4">
        <v>644.23</v>
      </c>
    </row>
    <row r="191" spans="2:7" x14ac:dyDescent="0.3">
      <c r="B191" s="12" t="s">
        <v>317</v>
      </c>
      <c r="C191" s="3" t="s">
        <v>318</v>
      </c>
      <c r="D191" s="3" t="s">
        <v>9</v>
      </c>
      <c r="E191" s="3"/>
      <c r="F191" s="3" t="s">
        <v>10</v>
      </c>
      <c r="G191" s="4">
        <v>638.9</v>
      </c>
    </row>
    <row r="192" spans="2:7" x14ac:dyDescent="0.3">
      <c r="B192" s="12">
        <v>8392</v>
      </c>
      <c r="C192" s="3" t="s">
        <v>319</v>
      </c>
      <c r="D192" s="3" t="s">
        <v>9</v>
      </c>
      <c r="E192" s="3"/>
      <c r="F192" s="3" t="s">
        <v>10</v>
      </c>
      <c r="G192" s="4">
        <v>637.45000000000005</v>
      </c>
    </row>
    <row r="193" spans="2:7" x14ac:dyDescent="0.3">
      <c r="B193" s="12">
        <v>8081</v>
      </c>
      <c r="C193" s="3" t="s">
        <v>320</v>
      </c>
      <c r="D193" s="3" t="s">
        <v>9</v>
      </c>
      <c r="E193" s="3"/>
      <c r="F193" s="3" t="s">
        <v>10</v>
      </c>
      <c r="G193" s="4">
        <v>634.79</v>
      </c>
    </row>
    <row r="194" spans="2:7" x14ac:dyDescent="0.3">
      <c r="B194" s="12" t="s">
        <v>321</v>
      </c>
      <c r="C194" s="3" t="s">
        <v>322</v>
      </c>
      <c r="D194" s="3" t="s">
        <v>9</v>
      </c>
      <c r="E194" s="3"/>
      <c r="F194" s="3" t="s">
        <v>10</v>
      </c>
      <c r="G194" s="4">
        <v>632.37</v>
      </c>
    </row>
    <row r="195" spans="2:7" x14ac:dyDescent="0.3">
      <c r="B195" s="12">
        <v>1870</v>
      </c>
      <c r="C195" s="3" t="s">
        <v>323</v>
      </c>
      <c r="D195" s="3" t="s">
        <v>9</v>
      </c>
      <c r="E195" s="3"/>
      <c r="F195" s="3" t="s">
        <v>10</v>
      </c>
      <c r="G195" s="4">
        <v>629.19000000000005</v>
      </c>
    </row>
    <row r="196" spans="2:7" x14ac:dyDescent="0.3">
      <c r="B196" s="12" t="s">
        <v>324</v>
      </c>
      <c r="C196" s="3" t="s">
        <v>325</v>
      </c>
      <c r="D196" s="3" t="s">
        <v>9</v>
      </c>
      <c r="E196" s="3"/>
      <c r="F196" s="3" t="s">
        <v>10</v>
      </c>
      <c r="G196" s="4">
        <v>627.74</v>
      </c>
    </row>
    <row r="197" spans="2:7" x14ac:dyDescent="0.3">
      <c r="B197" s="12" t="s">
        <v>326</v>
      </c>
      <c r="C197" s="3" t="s">
        <v>327</v>
      </c>
      <c r="D197" s="3" t="s">
        <v>9</v>
      </c>
      <c r="E197" s="3"/>
      <c r="F197" s="3" t="s">
        <v>10</v>
      </c>
      <c r="G197" s="4">
        <v>625.59</v>
      </c>
    </row>
    <row r="198" spans="2:7" x14ac:dyDescent="0.3">
      <c r="B198" s="12" t="s">
        <v>328</v>
      </c>
      <c r="C198" s="3" t="s">
        <v>329</v>
      </c>
      <c r="D198" s="3" t="s">
        <v>9</v>
      </c>
      <c r="E198" s="3"/>
      <c r="F198" s="3" t="s">
        <v>10</v>
      </c>
      <c r="G198" s="4">
        <v>623.82000000000005</v>
      </c>
    </row>
    <row r="199" spans="2:7" x14ac:dyDescent="0.3">
      <c r="B199" s="12">
        <v>532509</v>
      </c>
      <c r="C199" s="3" t="s">
        <v>330</v>
      </c>
      <c r="D199" s="3" t="s">
        <v>9</v>
      </c>
      <c r="E199" s="3"/>
      <c r="F199" s="3" t="s">
        <v>10</v>
      </c>
      <c r="G199" s="4">
        <v>619.55999999999995</v>
      </c>
    </row>
    <row r="200" spans="2:7" x14ac:dyDescent="0.3">
      <c r="B200" s="12" t="s">
        <v>331</v>
      </c>
      <c r="C200" s="3" t="s">
        <v>332</v>
      </c>
      <c r="D200" s="3" t="s">
        <v>9</v>
      </c>
      <c r="E200" s="3"/>
      <c r="F200" s="3" t="s">
        <v>10</v>
      </c>
      <c r="G200" s="4">
        <v>612.05999999999995</v>
      </c>
    </row>
    <row r="201" spans="2:7" x14ac:dyDescent="0.3">
      <c r="B201" s="12">
        <v>500031</v>
      </c>
      <c r="C201" s="3" t="s">
        <v>333</v>
      </c>
      <c r="D201" s="3" t="s">
        <v>9</v>
      </c>
      <c r="E201" s="3"/>
      <c r="F201" s="3" t="s">
        <v>10</v>
      </c>
      <c r="G201" s="4">
        <v>611.47</v>
      </c>
    </row>
    <row r="202" spans="2:7" x14ac:dyDescent="0.3">
      <c r="B202" s="12" t="s">
        <v>334</v>
      </c>
      <c r="C202" s="3" t="s">
        <v>335</v>
      </c>
      <c r="D202" s="3" t="s">
        <v>9</v>
      </c>
      <c r="E202" s="3"/>
      <c r="F202" s="3" t="s">
        <v>10</v>
      </c>
      <c r="G202" s="4">
        <v>611.4</v>
      </c>
    </row>
    <row r="203" spans="2:7" x14ac:dyDescent="0.3">
      <c r="B203" s="12">
        <v>521016</v>
      </c>
      <c r="C203" s="3" t="s">
        <v>336</v>
      </c>
      <c r="D203" s="3" t="s">
        <v>9</v>
      </c>
      <c r="E203" s="3"/>
      <c r="F203" s="3" t="s">
        <v>10</v>
      </c>
      <c r="G203" s="4">
        <v>611</v>
      </c>
    </row>
    <row r="204" spans="2:7" x14ac:dyDescent="0.3">
      <c r="B204" s="12">
        <v>532811</v>
      </c>
      <c r="C204" s="3" t="s">
        <v>337</v>
      </c>
      <c r="D204" s="3" t="s">
        <v>9</v>
      </c>
      <c r="E204" s="3"/>
      <c r="F204" s="3" t="s">
        <v>10</v>
      </c>
      <c r="G204" s="4">
        <v>606.95000000000005</v>
      </c>
    </row>
    <row r="205" spans="2:7" x14ac:dyDescent="0.3">
      <c r="B205" s="12" t="s">
        <v>338</v>
      </c>
      <c r="C205" s="3" t="s">
        <v>339</v>
      </c>
      <c r="D205" s="3" t="s">
        <v>9</v>
      </c>
      <c r="E205" s="3"/>
      <c r="F205" s="3" t="s">
        <v>10</v>
      </c>
      <c r="G205" s="4">
        <v>605.6</v>
      </c>
    </row>
    <row r="206" spans="2:7" x14ac:dyDescent="0.3">
      <c r="B206" s="12" t="s">
        <v>340</v>
      </c>
      <c r="C206" s="3" t="s">
        <v>341</v>
      </c>
      <c r="D206" s="3" t="s">
        <v>9</v>
      </c>
      <c r="E206" s="3" t="s">
        <v>26</v>
      </c>
      <c r="F206" s="3" t="s">
        <v>10</v>
      </c>
      <c r="G206" s="4">
        <v>595.36</v>
      </c>
    </row>
    <row r="207" spans="2:7" x14ac:dyDescent="0.3">
      <c r="B207" s="12" t="s">
        <v>342</v>
      </c>
      <c r="C207" s="3" t="s">
        <v>343</v>
      </c>
      <c r="D207" s="3" t="s">
        <v>9</v>
      </c>
      <c r="E207" s="3"/>
      <c r="F207" s="3" t="s">
        <v>10</v>
      </c>
      <c r="G207" s="4">
        <v>592.99</v>
      </c>
    </row>
    <row r="208" spans="2:7" x14ac:dyDescent="0.3">
      <c r="B208" s="12">
        <v>524019</v>
      </c>
      <c r="C208" s="3" t="s">
        <v>344</v>
      </c>
      <c r="D208" s="3" t="s">
        <v>9</v>
      </c>
      <c r="E208" s="3"/>
      <c r="F208" s="3" t="s">
        <v>10</v>
      </c>
      <c r="G208" s="4">
        <v>582.71</v>
      </c>
    </row>
    <row r="209" spans="2:7" x14ac:dyDescent="0.3">
      <c r="B209" s="12" t="s">
        <v>345</v>
      </c>
      <c r="C209" s="3" t="s">
        <v>346</v>
      </c>
      <c r="D209" s="3" t="s">
        <v>9</v>
      </c>
      <c r="E209" s="3"/>
      <c r="F209" s="3" t="s">
        <v>10</v>
      </c>
      <c r="G209" s="4">
        <v>565.19000000000005</v>
      </c>
    </row>
    <row r="210" spans="2:7" x14ac:dyDescent="0.3">
      <c r="B210" s="12" t="s">
        <v>347</v>
      </c>
      <c r="C210" s="3" t="s">
        <v>348</v>
      </c>
      <c r="D210" s="3" t="s">
        <v>9</v>
      </c>
      <c r="E210" s="3"/>
      <c r="F210" s="3" t="s">
        <v>349</v>
      </c>
      <c r="G210" s="4">
        <v>548.09</v>
      </c>
    </row>
    <row r="211" spans="2:7" x14ac:dyDescent="0.3">
      <c r="B211" s="12" t="s">
        <v>350</v>
      </c>
      <c r="C211" s="3" t="s">
        <v>351</v>
      </c>
      <c r="D211" s="3" t="s">
        <v>9</v>
      </c>
      <c r="E211" s="3"/>
      <c r="F211" s="3" t="s">
        <v>10</v>
      </c>
      <c r="G211" s="4">
        <v>544.97</v>
      </c>
    </row>
    <row r="212" spans="2:7" x14ac:dyDescent="0.3">
      <c r="B212" s="12" t="s">
        <v>352</v>
      </c>
      <c r="C212" s="3" t="s">
        <v>353</v>
      </c>
      <c r="D212" s="3" t="s">
        <v>9</v>
      </c>
      <c r="E212" s="3"/>
      <c r="F212" s="3" t="s">
        <v>10</v>
      </c>
      <c r="G212" s="4">
        <v>544.14</v>
      </c>
    </row>
    <row r="213" spans="2:7" x14ac:dyDescent="0.3">
      <c r="B213" s="12" t="s">
        <v>354</v>
      </c>
      <c r="C213" s="3" t="s">
        <v>355</v>
      </c>
      <c r="D213" s="3" t="s">
        <v>9</v>
      </c>
      <c r="E213" s="3"/>
      <c r="F213" s="3" t="s">
        <v>10</v>
      </c>
      <c r="G213" s="4">
        <v>542.61</v>
      </c>
    </row>
    <row r="214" spans="2:7" x14ac:dyDescent="0.3">
      <c r="B214" s="12">
        <v>530135</v>
      </c>
      <c r="C214" s="3" t="s">
        <v>356</v>
      </c>
      <c r="D214" s="3" t="s">
        <v>9</v>
      </c>
      <c r="E214" s="3"/>
      <c r="F214" s="3" t="s">
        <v>10</v>
      </c>
      <c r="G214" s="4">
        <v>527.59</v>
      </c>
    </row>
    <row r="215" spans="2:7" x14ac:dyDescent="0.3">
      <c r="B215" s="12">
        <v>5195</v>
      </c>
      <c r="C215" s="3" t="s">
        <v>357</v>
      </c>
      <c r="D215" s="3" t="s">
        <v>9</v>
      </c>
      <c r="E215" s="3"/>
      <c r="F215" s="3" t="s">
        <v>10</v>
      </c>
      <c r="G215" s="4">
        <v>523.54999999999995</v>
      </c>
    </row>
    <row r="216" spans="2:7" x14ac:dyDescent="0.3">
      <c r="B216" s="12" t="s">
        <v>358</v>
      </c>
      <c r="C216" s="3" t="s">
        <v>359</v>
      </c>
      <c r="D216" s="3" t="s">
        <v>9</v>
      </c>
      <c r="E216" s="3"/>
      <c r="F216" s="3" t="s">
        <v>10</v>
      </c>
      <c r="G216" s="4">
        <v>522.76</v>
      </c>
    </row>
    <row r="217" spans="2:7" x14ac:dyDescent="0.3">
      <c r="B217" s="12" t="s">
        <v>360</v>
      </c>
      <c r="C217" s="3" t="s">
        <v>361</v>
      </c>
      <c r="D217" s="3" t="s">
        <v>9</v>
      </c>
      <c r="E217" s="3"/>
      <c r="F217" s="3" t="s">
        <v>10</v>
      </c>
      <c r="G217" s="4">
        <v>519.67999999999995</v>
      </c>
    </row>
    <row r="218" spans="2:7" x14ac:dyDescent="0.3">
      <c r="B218" s="12">
        <v>4997</v>
      </c>
      <c r="C218" s="3" t="s">
        <v>362</v>
      </c>
      <c r="D218" s="3" t="s">
        <v>9</v>
      </c>
      <c r="E218" s="3"/>
      <c r="F218" s="3" t="s">
        <v>10</v>
      </c>
      <c r="G218" s="4">
        <v>508.59</v>
      </c>
    </row>
    <row r="219" spans="2:7" x14ac:dyDescent="0.3">
      <c r="B219" s="12" t="s">
        <v>363</v>
      </c>
      <c r="C219" s="3" t="s">
        <v>364</v>
      </c>
      <c r="D219" s="3" t="s">
        <v>9</v>
      </c>
      <c r="E219" s="3"/>
      <c r="F219" s="3" t="s">
        <v>10</v>
      </c>
      <c r="G219" s="4">
        <v>508.49</v>
      </c>
    </row>
    <row r="220" spans="2:7" x14ac:dyDescent="0.3">
      <c r="B220" s="12" t="s">
        <v>365</v>
      </c>
      <c r="C220" s="3" t="s">
        <v>366</v>
      </c>
      <c r="D220" s="3" t="s">
        <v>9</v>
      </c>
      <c r="E220" s="3"/>
      <c r="F220" s="3" t="s">
        <v>10</v>
      </c>
      <c r="G220" s="4">
        <v>505.4</v>
      </c>
    </row>
  </sheetData>
  <autoFilter ref="B3:G220" xr:uid="{00000000-0009-0000-0000-000000000000}">
    <sortState xmlns:xlrd2="http://schemas.microsoft.com/office/spreadsheetml/2017/richdata2" ref="B4:G220">
      <sortCondition descending="1" ref="G3:G220"/>
    </sortState>
  </autoFilter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AA126"/>
  <sheetViews>
    <sheetView topLeftCell="E1" workbookViewId="0">
      <selection activeCell="B3" sqref="B3:AA124"/>
    </sheetView>
  </sheetViews>
  <sheetFormatPr defaultRowHeight="16.5" x14ac:dyDescent="0.3"/>
  <cols>
    <col min="1" max="1" width="3" customWidth="1"/>
    <col min="2" max="2" width="12" style="24" customWidth="1"/>
    <col min="3" max="3" width="14" customWidth="1"/>
    <col min="4" max="4" width="39" bestFit="1" customWidth="1"/>
    <col min="5" max="6" width="12" customWidth="1"/>
    <col min="7" max="23" width="9" customWidth="1"/>
    <col min="24" max="27" width="10" customWidth="1"/>
  </cols>
  <sheetData>
    <row r="2" spans="2:27" x14ac:dyDescent="0.3">
      <c r="B2" s="2" t="s">
        <v>1</v>
      </c>
      <c r="C2" s="2" t="s">
        <v>367</v>
      </c>
      <c r="D2" s="2" t="s">
        <v>368</v>
      </c>
      <c r="E2" s="2" t="s">
        <v>369</v>
      </c>
      <c r="F2" s="2" t="s">
        <v>370</v>
      </c>
      <c r="G2" s="2" t="s">
        <v>371</v>
      </c>
      <c r="H2" s="2" t="s">
        <v>372</v>
      </c>
      <c r="I2" s="2" t="s">
        <v>373</v>
      </c>
      <c r="J2" s="2" t="s">
        <v>374</v>
      </c>
      <c r="K2" s="2" t="s">
        <v>375</v>
      </c>
      <c r="L2" s="2" t="s">
        <v>376</v>
      </c>
      <c r="M2" s="2" t="s">
        <v>377</v>
      </c>
      <c r="N2" s="2" t="s">
        <v>378</v>
      </c>
      <c r="O2" s="2" t="s">
        <v>379</v>
      </c>
      <c r="P2" s="2" t="s">
        <v>380</v>
      </c>
      <c r="Q2" s="2" t="s">
        <v>381</v>
      </c>
      <c r="R2" s="2" t="s">
        <v>382</v>
      </c>
      <c r="S2" s="2" t="s">
        <v>383</v>
      </c>
      <c r="T2" s="2" t="s">
        <v>384</v>
      </c>
      <c r="U2" s="2" t="s">
        <v>385</v>
      </c>
      <c r="V2" s="2" t="s">
        <v>386</v>
      </c>
      <c r="W2" s="2" t="s">
        <v>387</v>
      </c>
      <c r="X2" s="2" t="s">
        <v>384</v>
      </c>
      <c r="Y2" s="2" t="s">
        <v>385</v>
      </c>
      <c r="Z2" s="2" t="s">
        <v>386</v>
      </c>
      <c r="AA2" s="2" t="s">
        <v>387</v>
      </c>
    </row>
    <row r="3" spans="2:27" x14ac:dyDescent="0.3">
      <c r="B3" s="12" t="s">
        <v>11</v>
      </c>
      <c r="C3" s="3" t="s">
        <v>388</v>
      </c>
      <c r="D3" s="3" t="s">
        <v>389</v>
      </c>
      <c r="E3" s="3" t="s">
        <v>390</v>
      </c>
      <c r="F3" s="13">
        <v>16.8</v>
      </c>
      <c r="G3" s="4">
        <v>1162</v>
      </c>
      <c r="H3" s="4">
        <v>830</v>
      </c>
      <c r="I3" s="4">
        <v>2255</v>
      </c>
      <c r="J3" s="4">
        <v>2948</v>
      </c>
      <c r="K3" s="6">
        <v>4811</v>
      </c>
      <c r="L3" s="6">
        <v>5270</v>
      </c>
      <c r="M3" s="6">
        <v>13671</v>
      </c>
      <c r="N3" s="4">
        <v>2004</v>
      </c>
      <c r="O3" s="6">
        <v>10999</v>
      </c>
      <c r="P3" s="4">
        <v>6989</v>
      </c>
      <c r="Q3" s="4">
        <v>5965</v>
      </c>
      <c r="R3" s="6">
        <v>7718</v>
      </c>
      <c r="S3" s="4">
        <v>5216</v>
      </c>
      <c r="T3" s="4">
        <v>5488</v>
      </c>
      <c r="U3" s="4">
        <v>6754</v>
      </c>
      <c r="V3" s="4">
        <v>9759</v>
      </c>
      <c r="W3" s="6">
        <v>9792</v>
      </c>
      <c r="X3" s="7">
        <v>-5.7980531520395513E-2</v>
      </c>
      <c r="Y3" s="8">
        <v>3.2353302989297512E-2</v>
      </c>
      <c r="Z3" s="8">
        <v>8.1069272322847219E-2</v>
      </c>
      <c r="AA3" s="9">
        <v>0.16813021273468801</v>
      </c>
    </row>
    <row r="4" spans="2:27" x14ac:dyDescent="0.3">
      <c r="B4" s="12" t="s">
        <v>87</v>
      </c>
      <c r="C4" s="3" t="s">
        <v>388</v>
      </c>
      <c r="D4" s="3" t="s">
        <v>391</v>
      </c>
      <c r="E4" s="3" t="s">
        <v>390</v>
      </c>
      <c r="F4" s="13">
        <v>13.5</v>
      </c>
      <c r="G4" s="3"/>
      <c r="H4" s="3"/>
      <c r="I4" s="3"/>
      <c r="J4" s="3"/>
      <c r="K4" s="3"/>
      <c r="L4" s="4">
        <v>1843</v>
      </c>
      <c r="M4" s="4">
        <v>1928</v>
      </c>
      <c r="N4" s="4">
        <v>1956</v>
      </c>
      <c r="O4" s="4">
        <v>2137</v>
      </c>
      <c r="P4" s="4">
        <v>1983</v>
      </c>
      <c r="Q4" s="4">
        <v>2051</v>
      </c>
      <c r="R4" s="4">
        <v>2142</v>
      </c>
      <c r="S4" s="4">
        <v>2212</v>
      </c>
      <c r="T4" s="6">
        <v>3416</v>
      </c>
      <c r="U4" s="6">
        <v>3491</v>
      </c>
      <c r="V4" s="6">
        <v>3561</v>
      </c>
      <c r="W4" s="6">
        <v>3925</v>
      </c>
      <c r="X4" s="10">
        <v>0.1708392942298522</v>
      </c>
      <c r="Y4" s="9">
        <v>0.14662457998167189</v>
      </c>
      <c r="Z4" s="9">
        <v>0.12601012343486359</v>
      </c>
      <c r="AA4" s="9">
        <v>0.13509463722397469</v>
      </c>
    </row>
    <row r="5" spans="2:27" x14ac:dyDescent="0.3">
      <c r="B5" s="12" t="s">
        <v>156</v>
      </c>
      <c r="C5" s="3" t="s">
        <v>388</v>
      </c>
      <c r="D5" s="3" t="s">
        <v>392</v>
      </c>
      <c r="E5" s="3" t="s">
        <v>390</v>
      </c>
      <c r="F5" s="13">
        <v>11.7</v>
      </c>
      <c r="G5" s="3"/>
      <c r="H5" s="3"/>
      <c r="I5" s="3"/>
      <c r="J5" s="3"/>
      <c r="K5" s="3"/>
      <c r="L5" s="4">
        <v>21.98</v>
      </c>
      <c r="M5" s="4">
        <v>21.98</v>
      </c>
      <c r="N5" s="4">
        <v>24.24</v>
      </c>
      <c r="O5" s="4">
        <v>25.47</v>
      </c>
      <c r="P5" s="4">
        <v>28.04</v>
      </c>
      <c r="Q5" s="4">
        <v>28.16</v>
      </c>
      <c r="R5" s="4">
        <v>29.76</v>
      </c>
      <c r="S5" s="4">
        <v>34.92</v>
      </c>
      <c r="T5" s="4">
        <v>38.700000000000003</v>
      </c>
      <c r="U5" s="6">
        <v>41.4</v>
      </c>
      <c r="V5" s="6">
        <v>48.65</v>
      </c>
      <c r="W5" s="6">
        <v>54.15</v>
      </c>
      <c r="X5" s="7">
        <v>8.8186631369953972E-2</v>
      </c>
      <c r="Y5" s="9">
        <v>0.1006537935228826</v>
      </c>
      <c r="Z5" s="9">
        <v>0.13047382235115371</v>
      </c>
      <c r="AA5" s="9">
        <v>0.1174925154273843</v>
      </c>
    </row>
    <row r="6" spans="2:27" x14ac:dyDescent="0.3">
      <c r="B6" s="12" t="s">
        <v>68</v>
      </c>
      <c r="C6" s="3" t="s">
        <v>388</v>
      </c>
      <c r="D6" s="3" t="s">
        <v>393</v>
      </c>
      <c r="E6" s="3" t="s">
        <v>390</v>
      </c>
      <c r="F6" s="5">
        <v>5.7</v>
      </c>
      <c r="G6" s="4">
        <v>95.55</v>
      </c>
      <c r="H6" s="4">
        <v>108.5</v>
      </c>
      <c r="I6" s="4">
        <v>123.72</v>
      </c>
      <c r="J6" s="4">
        <v>136.88999999999999</v>
      </c>
      <c r="K6" s="6">
        <v>149.91999999999999</v>
      </c>
      <c r="L6" s="6">
        <v>162.26</v>
      </c>
      <c r="M6" s="4">
        <v>175.68</v>
      </c>
      <c r="N6" s="4">
        <v>189.19</v>
      </c>
      <c r="O6" s="4">
        <v>202.57</v>
      </c>
      <c r="P6" s="4">
        <v>216.91</v>
      </c>
      <c r="Q6" s="4">
        <v>236.11</v>
      </c>
      <c r="R6" s="4">
        <v>251</v>
      </c>
      <c r="S6" s="4">
        <v>267.98</v>
      </c>
      <c r="T6" s="4">
        <v>282.25</v>
      </c>
      <c r="U6" s="4">
        <v>299.01</v>
      </c>
      <c r="V6" s="4">
        <v>316.86</v>
      </c>
      <c r="W6" s="4">
        <v>333.88</v>
      </c>
      <c r="X6" s="7">
        <v>6.7222222222222294E-2</v>
      </c>
      <c r="Y6" s="8">
        <v>6.0635857096033918E-2</v>
      </c>
      <c r="Z6" s="8">
        <v>5.9859666981749271E-2</v>
      </c>
      <c r="AA6" s="8">
        <v>5.6513163536574977E-2</v>
      </c>
    </row>
    <row r="7" spans="2:27" x14ac:dyDescent="0.3">
      <c r="B7" s="12" t="s">
        <v>186</v>
      </c>
      <c r="C7" s="3" t="s">
        <v>388</v>
      </c>
      <c r="D7" s="3" t="s">
        <v>394</v>
      </c>
      <c r="E7" s="3" t="s">
        <v>395</v>
      </c>
      <c r="F7" s="5">
        <v>5</v>
      </c>
      <c r="G7" s="4">
        <v>58.44</v>
      </c>
      <c r="H7" s="4">
        <v>59.08</v>
      </c>
      <c r="I7" s="4">
        <v>41.59</v>
      </c>
      <c r="J7" s="4">
        <v>63.59</v>
      </c>
      <c r="K7" s="4">
        <v>51.74</v>
      </c>
      <c r="L7" s="4">
        <v>58.65</v>
      </c>
      <c r="M7" s="4">
        <v>34.15</v>
      </c>
      <c r="N7" s="4">
        <v>60.01</v>
      </c>
      <c r="O7" s="4">
        <v>53.99</v>
      </c>
      <c r="P7" s="4">
        <v>58.51</v>
      </c>
      <c r="Q7" s="4">
        <v>42.68</v>
      </c>
      <c r="R7" s="4">
        <v>72.17</v>
      </c>
      <c r="S7" s="4">
        <v>68</v>
      </c>
      <c r="T7" s="6">
        <v>83.61</v>
      </c>
      <c r="U7" s="6">
        <v>75.11</v>
      </c>
      <c r="V7" s="4">
        <v>81.33</v>
      </c>
      <c r="W7" s="4">
        <v>83.33</v>
      </c>
      <c r="X7" s="10">
        <v>0.1039940338084189</v>
      </c>
      <c r="Y7" s="9">
        <v>0.1217068227876605</v>
      </c>
      <c r="Z7" s="8">
        <v>3.06467262203487E-2</v>
      </c>
      <c r="AA7" s="8">
        <v>4.9764648596007037E-2</v>
      </c>
    </row>
    <row r="8" spans="2:27" x14ac:dyDescent="0.3">
      <c r="B8" s="12" t="s">
        <v>50</v>
      </c>
      <c r="C8" s="3" t="s">
        <v>388</v>
      </c>
      <c r="D8" s="3" t="s">
        <v>393</v>
      </c>
      <c r="E8" s="3" t="s">
        <v>396</v>
      </c>
      <c r="F8" s="5">
        <v>4.3</v>
      </c>
      <c r="G8" s="4">
        <v>240.77</v>
      </c>
      <c r="H8" s="4">
        <v>252.59</v>
      </c>
      <c r="I8" s="4">
        <v>267.27</v>
      </c>
      <c r="J8" s="4">
        <v>279.33</v>
      </c>
      <c r="K8" s="4">
        <v>297.45999999999998</v>
      </c>
      <c r="L8" s="4">
        <v>314.48</v>
      </c>
      <c r="M8" s="4">
        <v>332.89</v>
      </c>
      <c r="N8" s="4">
        <v>351.7</v>
      </c>
      <c r="O8" s="4">
        <v>365.1</v>
      </c>
      <c r="P8" s="4">
        <v>380.85</v>
      </c>
      <c r="Q8" s="4">
        <v>399.22</v>
      </c>
      <c r="R8" s="4">
        <v>418.13</v>
      </c>
      <c r="S8" s="4">
        <v>436.17</v>
      </c>
      <c r="T8" s="4">
        <v>445.17</v>
      </c>
      <c r="U8" s="4">
        <v>477.35</v>
      </c>
      <c r="V8" s="4">
        <v>493.85</v>
      </c>
      <c r="W8" s="4">
        <v>515.47</v>
      </c>
      <c r="X8" s="7">
        <v>3.9354613704363217E-2</v>
      </c>
      <c r="Y8" s="8">
        <v>4.5994266169813169E-2</v>
      </c>
      <c r="Z8" s="8">
        <v>4.2615459078578548E-2</v>
      </c>
      <c r="AA8" s="8">
        <v>4.2806093255746358E-2</v>
      </c>
    </row>
    <row r="9" spans="2:27" x14ac:dyDescent="0.3">
      <c r="B9" s="12" t="s">
        <v>340</v>
      </c>
      <c r="C9" s="3" t="s">
        <v>388</v>
      </c>
      <c r="D9" s="3" t="s">
        <v>397</v>
      </c>
      <c r="E9" s="3" t="s">
        <v>395</v>
      </c>
      <c r="F9" s="5">
        <v>2</v>
      </c>
      <c r="G9" s="4">
        <v>223.64</v>
      </c>
      <c r="H9" s="4">
        <v>216.09</v>
      </c>
      <c r="I9" s="4">
        <v>253.37</v>
      </c>
      <c r="J9" s="4">
        <v>220.29</v>
      </c>
      <c r="K9" s="4">
        <v>231.74</v>
      </c>
      <c r="L9" s="4">
        <v>230.37</v>
      </c>
      <c r="M9" s="4">
        <v>253.84</v>
      </c>
      <c r="N9" s="4">
        <v>235.49</v>
      </c>
      <c r="O9" s="4">
        <v>258.39999999999998</v>
      </c>
      <c r="P9" s="4">
        <v>254.14</v>
      </c>
      <c r="Q9" s="4">
        <v>265.5</v>
      </c>
      <c r="R9" s="4">
        <v>239.73</v>
      </c>
      <c r="S9" s="4">
        <v>242.27</v>
      </c>
      <c r="T9" s="4">
        <v>234.14</v>
      </c>
      <c r="U9" s="4">
        <v>246.89</v>
      </c>
      <c r="V9" s="4">
        <v>235.92</v>
      </c>
      <c r="W9" s="4">
        <v>261.05</v>
      </c>
      <c r="X9" s="7">
        <v>-1.9967253703925599E-2</v>
      </c>
      <c r="Y9" s="8">
        <v>-1.8958070168289761E-2</v>
      </c>
      <c r="Z9" s="8">
        <v>-3.9562630447649294E-3</v>
      </c>
      <c r="AA9" s="8">
        <v>1.95784074560581E-2</v>
      </c>
    </row>
    <row r="10" spans="2:27" x14ac:dyDescent="0.3">
      <c r="B10" s="12" t="s">
        <v>307</v>
      </c>
      <c r="C10" s="3" t="s">
        <v>388</v>
      </c>
      <c r="D10" s="3" t="s">
        <v>398</v>
      </c>
      <c r="E10" s="3" t="s">
        <v>396</v>
      </c>
      <c r="F10" s="5">
        <v>1.7</v>
      </c>
      <c r="G10" s="4">
        <v>34.42</v>
      </c>
      <c r="H10" s="4">
        <v>33.159999999999997</v>
      </c>
      <c r="I10" s="4">
        <v>34.590000000000003</v>
      </c>
      <c r="J10" s="4">
        <v>34.29</v>
      </c>
      <c r="K10" s="4">
        <v>33.869999999999997</v>
      </c>
      <c r="L10" s="4">
        <v>32.840000000000003</v>
      </c>
      <c r="M10" s="4">
        <v>32.090000000000003</v>
      </c>
      <c r="N10" s="4">
        <v>34.24</v>
      </c>
      <c r="O10" s="4">
        <v>34.549999999999997</v>
      </c>
      <c r="P10" s="4">
        <v>33.74</v>
      </c>
      <c r="Q10" s="6">
        <v>75.430000000000007</v>
      </c>
      <c r="R10" s="6">
        <v>77.02</v>
      </c>
      <c r="S10" s="6">
        <v>106.43</v>
      </c>
      <c r="T10" s="6">
        <v>103.64</v>
      </c>
      <c r="U10" s="4">
        <v>104.12</v>
      </c>
      <c r="V10" s="4">
        <v>111.68</v>
      </c>
      <c r="W10" s="4">
        <v>113.49</v>
      </c>
      <c r="X10" s="10">
        <v>0.2388763584170597</v>
      </c>
      <c r="Y10" s="8">
        <v>7.9140461215932989E-2</v>
      </c>
      <c r="Z10" s="8">
        <v>8.8596917256716257E-2</v>
      </c>
      <c r="AA10" s="8">
        <v>1.657782891492721E-2</v>
      </c>
    </row>
    <row r="11" spans="2:27" x14ac:dyDescent="0.3">
      <c r="B11" s="12" t="s">
        <v>365</v>
      </c>
      <c r="C11" s="3" t="s">
        <v>388</v>
      </c>
      <c r="D11" s="3" t="s">
        <v>399</v>
      </c>
      <c r="E11" s="3" t="s">
        <v>390</v>
      </c>
      <c r="F11" s="5">
        <v>1.3</v>
      </c>
      <c r="G11" s="4">
        <v>192.99</v>
      </c>
      <c r="H11" s="4">
        <v>193.42</v>
      </c>
      <c r="I11" s="4">
        <v>194.78</v>
      </c>
      <c r="J11" s="4">
        <v>185.27</v>
      </c>
      <c r="K11" s="4">
        <v>160.4</v>
      </c>
      <c r="L11" s="4">
        <v>161.79</v>
      </c>
      <c r="M11" s="4">
        <v>152.09</v>
      </c>
      <c r="N11" s="4">
        <v>145.43</v>
      </c>
      <c r="O11" s="4">
        <v>141.36000000000001</v>
      </c>
      <c r="P11" s="4">
        <v>139.38999999999999</v>
      </c>
      <c r="Q11" s="4">
        <v>172.33</v>
      </c>
      <c r="R11" s="4">
        <v>151.99</v>
      </c>
      <c r="S11" s="4">
        <v>134.68</v>
      </c>
      <c r="T11" s="4">
        <v>135.65</v>
      </c>
      <c r="U11" s="4">
        <v>126.27</v>
      </c>
      <c r="V11" s="4">
        <v>180.16</v>
      </c>
      <c r="W11" s="4">
        <v>142.26</v>
      </c>
      <c r="X11" s="7">
        <v>-6.2501044469324141E-3</v>
      </c>
      <c r="Y11" s="8">
        <v>-7.7457327839905887E-2</v>
      </c>
      <c r="Z11" s="8">
        <v>5.1349824094496732E-2</v>
      </c>
      <c r="AA11" s="8">
        <v>1.314238157985992E-2</v>
      </c>
    </row>
    <row r="12" spans="2:27" x14ac:dyDescent="0.3">
      <c r="B12" s="12" t="s">
        <v>34</v>
      </c>
      <c r="C12" s="3" t="s">
        <v>388</v>
      </c>
      <c r="D12" s="3" t="s">
        <v>400</v>
      </c>
      <c r="E12" s="3" t="s">
        <v>390</v>
      </c>
      <c r="F12" s="5">
        <v>1</v>
      </c>
      <c r="G12" s="4">
        <v>3661</v>
      </c>
      <c r="H12" s="4">
        <v>3402</v>
      </c>
      <c r="I12" s="4">
        <v>3388</v>
      </c>
      <c r="J12" s="4">
        <v>3461</v>
      </c>
      <c r="K12" s="4">
        <v>3793</v>
      </c>
      <c r="L12" s="4">
        <v>3783</v>
      </c>
      <c r="M12" s="4">
        <v>3934</v>
      </c>
      <c r="N12" s="4">
        <v>3926</v>
      </c>
      <c r="O12" s="4">
        <v>4258</v>
      </c>
      <c r="P12" s="4">
        <v>4231</v>
      </c>
      <c r="Q12" s="4">
        <v>4267</v>
      </c>
      <c r="R12" s="4">
        <v>4466</v>
      </c>
      <c r="S12" s="4">
        <v>4546</v>
      </c>
      <c r="T12" s="4">
        <v>4494</v>
      </c>
      <c r="U12" s="4">
        <v>4555</v>
      </c>
      <c r="V12" s="4">
        <v>4671</v>
      </c>
      <c r="W12" s="4">
        <v>4734</v>
      </c>
      <c r="X12" s="7">
        <v>1.501998857795539E-2</v>
      </c>
      <c r="Y12" s="8">
        <v>1.6204354920384741E-2</v>
      </c>
      <c r="Z12" s="8">
        <v>1.1350423564586711E-2</v>
      </c>
      <c r="AA12" s="8">
        <v>1.0292346436001409E-2</v>
      </c>
    </row>
    <row r="13" spans="2:27" x14ac:dyDescent="0.3">
      <c r="B13" s="12" t="s">
        <v>93</v>
      </c>
      <c r="C13" s="3" t="s">
        <v>388</v>
      </c>
      <c r="D13" s="3" t="s">
        <v>401</v>
      </c>
      <c r="E13" s="3" t="s">
        <v>396</v>
      </c>
      <c r="F13" s="5">
        <v>0.8</v>
      </c>
      <c r="G13" s="4">
        <v>4556</v>
      </c>
      <c r="H13" s="4">
        <v>4431</v>
      </c>
      <c r="I13" s="4">
        <v>4288</v>
      </c>
      <c r="J13" s="4">
        <v>4179</v>
      </c>
      <c r="K13" s="4">
        <v>4303</v>
      </c>
      <c r="L13" s="4">
        <v>4255</v>
      </c>
      <c r="M13" s="4">
        <v>4193</v>
      </c>
      <c r="N13" s="4">
        <v>4073</v>
      </c>
      <c r="O13" s="4">
        <v>3936</v>
      </c>
      <c r="P13" s="4">
        <v>3850</v>
      </c>
      <c r="Q13" s="4">
        <v>3739</v>
      </c>
      <c r="R13" s="4">
        <v>3774</v>
      </c>
      <c r="S13" s="4">
        <v>3744</v>
      </c>
      <c r="T13" s="4">
        <v>3800</v>
      </c>
      <c r="U13" s="4">
        <v>3743</v>
      </c>
      <c r="V13" s="4">
        <v>3721</v>
      </c>
      <c r="W13" s="4">
        <v>3859</v>
      </c>
      <c r="X13" s="7">
        <v>-3.3097239690209608E-3</v>
      </c>
      <c r="Y13" s="8">
        <v>2.6565716942283929E-4</v>
      </c>
      <c r="Z13" s="8">
        <v>-3.5190226412589181E-3</v>
      </c>
      <c r="AA13" s="8">
        <v>7.662579957355975E-3</v>
      </c>
    </row>
    <row r="14" spans="2:27" x14ac:dyDescent="0.3">
      <c r="B14" s="12" t="s">
        <v>42</v>
      </c>
      <c r="C14" s="3" t="s">
        <v>388</v>
      </c>
      <c r="D14" s="3" t="s">
        <v>402</v>
      </c>
      <c r="E14" s="3" t="s">
        <v>390</v>
      </c>
      <c r="F14" s="5">
        <v>0.4</v>
      </c>
      <c r="G14" s="4">
        <v>3354</v>
      </c>
      <c r="H14" s="4">
        <v>3267</v>
      </c>
      <c r="I14" s="4">
        <v>3214</v>
      </c>
      <c r="J14" s="4">
        <v>3242</v>
      </c>
      <c r="K14" s="4">
        <v>3426</v>
      </c>
      <c r="L14" s="4">
        <v>3382</v>
      </c>
      <c r="M14" s="4">
        <v>3490</v>
      </c>
      <c r="N14" s="4">
        <v>3664</v>
      </c>
      <c r="O14" s="4">
        <v>3842</v>
      </c>
      <c r="P14" s="4">
        <v>3900</v>
      </c>
      <c r="Q14" s="4">
        <v>3944</v>
      </c>
      <c r="R14" s="4">
        <v>4151</v>
      </c>
      <c r="S14" s="4">
        <v>4110</v>
      </c>
      <c r="T14" s="4">
        <v>4014</v>
      </c>
      <c r="U14" s="4">
        <v>3772</v>
      </c>
      <c r="V14" s="4">
        <v>4178</v>
      </c>
      <c r="W14" s="4">
        <v>4175</v>
      </c>
      <c r="X14" s="7">
        <v>7.078547035082261E-3</v>
      </c>
      <c r="Y14" s="8">
        <v>-1.0604846168074439E-2</v>
      </c>
      <c r="Z14" s="8">
        <v>1.6825574873808871E-3</v>
      </c>
      <c r="AA14" s="8">
        <v>4.0437974368545682E-3</v>
      </c>
    </row>
    <row r="15" spans="2:27" x14ac:dyDescent="0.3">
      <c r="B15" s="12" t="s">
        <v>16</v>
      </c>
      <c r="C15" s="3" t="s">
        <v>388</v>
      </c>
      <c r="D15" s="3" t="s">
        <v>403</v>
      </c>
      <c r="E15" s="3" t="s">
        <v>404</v>
      </c>
      <c r="F15" s="5">
        <v>0.4</v>
      </c>
      <c r="G15" s="4">
        <v>4718</v>
      </c>
      <c r="H15" s="4">
        <v>4750</v>
      </c>
      <c r="I15" s="4">
        <v>4641</v>
      </c>
      <c r="J15" s="4">
        <v>4761</v>
      </c>
      <c r="K15" s="4">
        <v>4586</v>
      </c>
      <c r="L15" s="4">
        <v>4821</v>
      </c>
      <c r="M15" s="4">
        <v>4878</v>
      </c>
      <c r="N15" s="4">
        <v>0</v>
      </c>
      <c r="O15" s="4">
        <v>4706</v>
      </c>
      <c r="P15" s="4">
        <v>5045</v>
      </c>
      <c r="Q15" s="4">
        <v>4990</v>
      </c>
      <c r="R15" s="6">
        <v>5437</v>
      </c>
      <c r="S15" s="4">
        <v>5168</v>
      </c>
      <c r="T15" s="4">
        <v>5272</v>
      </c>
      <c r="U15" s="4">
        <v>5509</v>
      </c>
      <c r="V15" s="4">
        <v>5891</v>
      </c>
      <c r="W15" s="4">
        <v>5252</v>
      </c>
      <c r="X15" s="7">
        <v>1.099806201550391E-2</v>
      </c>
      <c r="Y15" s="8">
        <v>2.487180715963011E-2</v>
      </c>
      <c r="Z15" s="8">
        <v>2.1228841298045479E-2</v>
      </c>
      <c r="AA15" s="8">
        <v>3.8461538461538321E-3</v>
      </c>
    </row>
    <row r="16" spans="2:27" x14ac:dyDescent="0.3">
      <c r="B16" s="12" t="s">
        <v>281</v>
      </c>
      <c r="C16" s="3" t="s">
        <v>388</v>
      </c>
      <c r="D16" s="3" t="s">
        <v>405</v>
      </c>
      <c r="E16" s="3" t="s">
        <v>404</v>
      </c>
      <c r="F16" s="5">
        <v>0.4</v>
      </c>
      <c r="G16" s="4">
        <v>463.3</v>
      </c>
      <c r="H16" s="4">
        <v>547.70000000000005</v>
      </c>
      <c r="I16" s="4">
        <v>623.79999999999995</v>
      </c>
      <c r="J16" s="4">
        <v>536.9</v>
      </c>
      <c r="K16" s="4">
        <v>469.1</v>
      </c>
      <c r="L16" s="4">
        <v>598.4</v>
      </c>
      <c r="M16" s="4">
        <v>650</v>
      </c>
      <c r="N16" s="4">
        <v>534.1</v>
      </c>
      <c r="O16" s="4">
        <v>488.9</v>
      </c>
      <c r="P16" s="4">
        <v>599.4</v>
      </c>
      <c r="Q16" s="4">
        <v>647.79999999999995</v>
      </c>
      <c r="R16" s="4">
        <v>517.6</v>
      </c>
      <c r="S16" s="4">
        <v>415.1</v>
      </c>
      <c r="T16" s="4">
        <v>580.70000000000005</v>
      </c>
      <c r="U16" s="4">
        <v>627.20000000000005</v>
      </c>
      <c r="V16" s="4">
        <v>537.20000000000005</v>
      </c>
      <c r="W16" s="4">
        <v>422.8</v>
      </c>
      <c r="X16" s="7">
        <v>-8.5783751548237364E-3</v>
      </c>
      <c r="Y16" s="8">
        <v>-9.5317416250229048E-3</v>
      </c>
      <c r="Z16" s="8">
        <v>9.1563113145847197E-3</v>
      </c>
      <c r="AA16" s="8">
        <v>3.5644847699285438E-3</v>
      </c>
    </row>
    <row r="17" spans="2:27" x14ac:dyDescent="0.3">
      <c r="B17" s="12" t="s">
        <v>212</v>
      </c>
      <c r="C17" s="3" t="s">
        <v>388</v>
      </c>
      <c r="D17" s="3" t="s">
        <v>406</v>
      </c>
      <c r="E17" s="3" t="s">
        <v>404</v>
      </c>
      <c r="F17" s="5">
        <v>0.1</v>
      </c>
      <c r="G17" s="4">
        <v>980.25</v>
      </c>
      <c r="H17" s="4">
        <v>911.39</v>
      </c>
      <c r="I17" s="4">
        <v>961.47</v>
      </c>
      <c r="J17" s="4">
        <v>962.46</v>
      </c>
      <c r="K17" s="4">
        <v>957.06</v>
      </c>
      <c r="L17" s="4">
        <v>918.71</v>
      </c>
      <c r="M17" s="4">
        <v>931.01</v>
      </c>
      <c r="N17" s="4">
        <v>921.36</v>
      </c>
      <c r="O17" s="4">
        <v>931.3</v>
      </c>
      <c r="P17" s="4">
        <v>908.36</v>
      </c>
      <c r="Q17" s="4">
        <v>942.34</v>
      </c>
      <c r="R17" s="4">
        <v>935.03</v>
      </c>
      <c r="S17" s="4">
        <v>937.9</v>
      </c>
      <c r="T17" s="4">
        <v>883.15</v>
      </c>
      <c r="U17" s="4">
        <v>933.31</v>
      </c>
      <c r="V17" s="4">
        <v>947.08</v>
      </c>
      <c r="W17" s="4">
        <v>943.17</v>
      </c>
      <c r="X17" s="7">
        <v>-6.7702752421696646E-3</v>
      </c>
      <c r="Y17" s="8">
        <v>-2.4415831625397288E-3</v>
      </c>
      <c r="Z17" s="8">
        <v>3.266122583950315E-3</v>
      </c>
      <c r="AA17" s="8">
        <v>1.423770208351272E-3</v>
      </c>
    </row>
    <row r="18" spans="2:27" x14ac:dyDescent="0.3">
      <c r="B18" s="12" t="s">
        <v>74</v>
      </c>
      <c r="C18" s="3" t="s">
        <v>388</v>
      </c>
      <c r="D18" s="3" t="s">
        <v>407</v>
      </c>
      <c r="E18" s="3" t="s">
        <v>390</v>
      </c>
      <c r="F18" s="5">
        <v>-0.1</v>
      </c>
      <c r="G18" s="4">
        <v>5346</v>
      </c>
      <c r="H18" s="4">
        <v>5955</v>
      </c>
      <c r="I18" s="4">
        <v>6337</v>
      </c>
      <c r="J18" s="4">
        <v>5653</v>
      </c>
      <c r="K18" s="4">
        <v>5044</v>
      </c>
      <c r="L18" s="4">
        <v>5295</v>
      </c>
      <c r="M18" s="4">
        <v>5984</v>
      </c>
      <c r="N18" s="4">
        <v>5605</v>
      </c>
      <c r="O18" s="4">
        <v>5112</v>
      </c>
      <c r="P18" s="4">
        <v>5199</v>
      </c>
      <c r="Q18" s="4">
        <v>5092</v>
      </c>
      <c r="R18" s="4">
        <v>4569</v>
      </c>
      <c r="S18" s="4">
        <v>4325</v>
      </c>
      <c r="T18" s="4">
        <v>4629</v>
      </c>
      <c r="U18" s="4">
        <v>0</v>
      </c>
      <c r="V18" s="4">
        <v>4734</v>
      </c>
      <c r="W18" s="4">
        <v>4313</v>
      </c>
      <c r="X18" s="7">
        <v>-2.971071149335414E-2</v>
      </c>
      <c r="Y18" s="8">
        <v>-0.27354284179425192</v>
      </c>
      <c r="Z18" s="8">
        <v>1.220143459291578E-2</v>
      </c>
      <c r="AA18" s="8">
        <v>-8.766803039158555E-4</v>
      </c>
    </row>
    <row r="19" spans="2:27" x14ac:dyDescent="0.3">
      <c r="B19" s="12" t="s">
        <v>192</v>
      </c>
      <c r="C19" s="3" t="s">
        <v>388</v>
      </c>
      <c r="D19" s="3" t="s">
        <v>389</v>
      </c>
      <c r="E19" s="3" t="s">
        <v>390</v>
      </c>
      <c r="F19" s="5">
        <v>-0.4</v>
      </c>
      <c r="G19" s="4">
        <v>5.03</v>
      </c>
      <c r="H19" s="4">
        <v>4.68</v>
      </c>
      <c r="I19" s="4">
        <v>4.68</v>
      </c>
      <c r="J19" s="4">
        <v>5.01</v>
      </c>
      <c r="K19" s="4">
        <v>5.01</v>
      </c>
      <c r="L19" s="4">
        <v>6</v>
      </c>
      <c r="M19" s="4">
        <v>6</v>
      </c>
      <c r="N19" s="4">
        <v>5.68</v>
      </c>
      <c r="O19" s="4">
        <v>5.68</v>
      </c>
      <c r="P19" s="4">
        <v>5.74</v>
      </c>
      <c r="Q19" s="4">
        <v>5.74</v>
      </c>
      <c r="R19" s="4">
        <v>5.6</v>
      </c>
      <c r="S19" s="4">
        <v>5.6</v>
      </c>
      <c r="T19" s="4">
        <v>5.5</v>
      </c>
      <c r="U19" s="4">
        <v>5.5</v>
      </c>
      <c r="V19" s="4">
        <v>5.52</v>
      </c>
      <c r="W19" s="4">
        <v>5.52</v>
      </c>
      <c r="X19" s="7">
        <v>-1.0582010582010691E-2</v>
      </c>
      <c r="Y19" s="8">
        <v>-1.0695187165775329E-2</v>
      </c>
      <c r="Z19" s="8">
        <v>-3.6036036036036778E-3</v>
      </c>
      <c r="AA19" s="8">
        <v>-3.6166365280289048E-3</v>
      </c>
    </row>
    <row r="20" spans="2:27" x14ac:dyDescent="0.3">
      <c r="B20" s="25" t="s">
        <v>248</v>
      </c>
      <c r="C20" s="14" t="s">
        <v>388</v>
      </c>
      <c r="D20" s="14" t="s">
        <v>392</v>
      </c>
      <c r="E20" s="14" t="s">
        <v>390</v>
      </c>
      <c r="F20" s="15">
        <v>-1.2</v>
      </c>
      <c r="G20" s="16">
        <v>0</v>
      </c>
      <c r="H20" s="16">
        <v>49.22</v>
      </c>
      <c r="I20" s="16">
        <v>49.82</v>
      </c>
      <c r="J20" s="16">
        <v>53.73</v>
      </c>
      <c r="K20" s="17">
        <v>53.05</v>
      </c>
      <c r="L20" s="16">
        <v>52.94</v>
      </c>
      <c r="M20" s="16">
        <v>53.67</v>
      </c>
      <c r="N20" s="16">
        <v>55.41</v>
      </c>
      <c r="O20" s="16">
        <v>62.94</v>
      </c>
      <c r="P20" s="16">
        <v>61.4</v>
      </c>
      <c r="Q20" s="16">
        <v>53.39</v>
      </c>
      <c r="R20" s="16">
        <v>55.68</v>
      </c>
      <c r="S20" s="16">
        <v>55.91</v>
      </c>
      <c r="T20" s="16">
        <v>54.92</v>
      </c>
      <c r="U20" s="16">
        <v>51.59</v>
      </c>
      <c r="V20" s="16">
        <v>53.42</v>
      </c>
      <c r="W20" s="16">
        <v>53.26</v>
      </c>
      <c r="X20" s="7">
        <v>-2.8624436787702101E-2</v>
      </c>
      <c r="Y20" s="18">
        <v>-8.1855388813096841E-3</v>
      </c>
      <c r="Z20" s="18">
        <v>-1.0362219165520379E-2</v>
      </c>
      <c r="AA20" s="18">
        <v>-1.2277613046701269E-2</v>
      </c>
    </row>
    <row r="21" spans="2:27" x14ac:dyDescent="0.3">
      <c r="B21" s="26" t="s">
        <v>226</v>
      </c>
      <c r="C21" s="19" t="s">
        <v>388</v>
      </c>
      <c r="D21" s="19" t="s">
        <v>408</v>
      </c>
      <c r="E21" s="19" t="s">
        <v>396</v>
      </c>
      <c r="F21" s="20">
        <v>-2.5</v>
      </c>
      <c r="G21" s="21">
        <v>652.64</v>
      </c>
      <c r="H21" s="21">
        <v>646.97</v>
      </c>
      <c r="I21" s="21">
        <v>429.82</v>
      </c>
      <c r="J21" s="21">
        <v>650.98</v>
      </c>
      <c r="K21" s="21">
        <v>795.04</v>
      </c>
      <c r="L21" s="21">
        <v>693.98</v>
      </c>
      <c r="M21" s="21">
        <v>517.72</v>
      </c>
      <c r="N21" s="21">
        <v>638.48</v>
      </c>
      <c r="O21" s="21">
        <v>821.51</v>
      </c>
      <c r="P21" s="21">
        <v>770.86</v>
      </c>
      <c r="Q21" s="21">
        <v>597.04999999999995</v>
      </c>
      <c r="R21" s="21">
        <v>710.76</v>
      </c>
      <c r="S21" s="21">
        <v>937.19</v>
      </c>
      <c r="T21" s="21">
        <v>702.28</v>
      </c>
      <c r="U21" s="21">
        <v>593.76</v>
      </c>
      <c r="V21" s="21">
        <v>754.18</v>
      </c>
      <c r="W21" s="21">
        <v>861.29</v>
      </c>
      <c r="X21" s="22">
        <v>-2.2739782350639781E-2</v>
      </c>
      <c r="Y21" s="23">
        <v>-1.1162834885046771E-3</v>
      </c>
      <c r="Z21" s="23">
        <v>1.474869140180513E-2</v>
      </c>
      <c r="AA21" s="23">
        <v>-2.5406623128395481E-2</v>
      </c>
    </row>
    <row r="22" spans="2:27" x14ac:dyDescent="0.3">
      <c r="B22" s="12">
        <v>7189</v>
      </c>
      <c r="C22" s="3" t="s">
        <v>409</v>
      </c>
      <c r="D22" s="3" t="str">
        <f>VLOOKUP(Revenue!B22,기업리스트!B:G,2,FALSE)</f>
        <v>Nishi-Nippon Financial Holdings, Inc.</v>
      </c>
      <c r="E22" s="3" t="s">
        <v>396</v>
      </c>
      <c r="F22" s="13">
        <v>11.2</v>
      </c>
      <c r="G22" s="4">
        <v>30767</v>
      </c>
      <c r="H22" s="4">
        <v>31284</v>
      </c>
      <c r="I22" s="4">
        <v>35575</v>
      </c>
      <c r="J22" s="4">
        <v>33178</v>
      </c>
      <c r="K22" s="4">
        <v>42795</v>
      </c>
      <c r="L22" s="4">
        <v>32801</v>
      </c>
      <c r="M22" s="4">
        <v>39082</v>
      </c>
      <c r="N22" s="4">
        <v>37174</v>
      </c>
      <c r="O22" s="4">
        <v>39934</v>
      </c>
      <c r="P22" s="4">
        <v>37257</v>
      </c>
      <c r="Q22" s="4">
        <v>44537</v>
      </c>
      <c r="R22" s="4">
        <v>35711</v>
      </c>
      <c r="S22" s="4">
        <v>41196</v>
      </c>
      <c r="T22" s="4">
        <v>38467</v>
      </c>
      <c r="U22" s="4">
        <v>43229</v>
      </c>
      <c r="V22" s="4">
        <v>45028</v>
      </c>
      <c r="W22" s="6">
        <v>59942</v>
      </c>
      <c r="X22" s="7">
        <v>7.6244006023906694E-3</v>
      </c>
      <c r="Y22" s="8">
        <v>-8.1795498746177753E-3</v>
      </c>
      <c r="Z22" s="8">
        <v>5.8744159946533259E-2</v>
      </c>
      <c r="AA22" s="9">
        <v>0.1116364935683658</v>
      </c>
    </row>
    <row r="23" spans="2:27" x14ac:dyDescent="0.3">
      <c r="B23" s="12">
        <v>5838</v>
      </c>
      <c r="C23" s="3" t="s">
        <v>409</v>
      </c>
      <c r="D23" s="3" t="str">
        <f>VLOOKUP(Revenue!B23,기업리스트!B:G,2,FALSE)</f>
        <v>Rakuten Bank, Ltd.</v>
      </c>
      <c r="E23" s="3" t="s">
        <v>396</v>
      </c>
      <c r="F23" s="5">
        <v>8.1999999999999993</v>
      </c>
      <c r="G23" s="3"/>
      <c r="H23" s="3"/>
      <c r="I23" s="4">
        <v>27644</v>
      </c>
      <c r="J23" s="4">
        <v>27664</v>
      </c>
      <c r="K23" s="4">
        <v>29060</v>
      </c>
      <c r="L23" s="4">
        <v>28010</v>
      </c>
      <c r="M23" s="4">
        <v>29969</v>
      </c>
      <c r="N23" s="4">
        <v>30066</v>
      </c>
      <c r="O23" s="4">
        <v>31717</v>
      </c>
      <c r="P23" s="4">
        <v>32525</v>
      </c>
      <c r="Q23" s="4">
        <v>36729</v>
      </c>
      <c r="R23" s="4">
        <v>35589</v>
      </c>
      <c r="S23" s="4">
        <v>39565</v>
      </c>
      <c r="T23" s="4">
        <v>39664</v>
      </c>
      <c r="U23" s="4">
        <v>46438</v>
      </c>
      <c r="V23" s="4">
        <v>45684</v>
      </c>
      <c r="W23" s="4">
        <v>53600</v>
      </c>
      <c r="X23" s="7">
        <v>4.9436319317489368E-2</v>
      </c>
      <c r="Y23" s="8">
        <v>6.4065933340811787E-2</v>
      </c>
      <c r="Z23" s="8">
        <v>6.2602321774073433E-2</v>
      </c>
      <c r="AA23" s="8">
        <v>8.19078966565705E-2</v>
      </c>
    </row>
    <row r="24" spans="2:27" x14ac:dyDescent="0.3">
      <c r="B24" s="12">
        <v>8081</v>
      </c>
      <c r="C24" s="3" t="s">
        <v>409</v>
      </c>
      <c r="D24" s="3" t="str">
        <f>VLOOKUP(Revenue!B24,기업리스트!B:G,2,FALSE)</f>
        <v>Global Mixed-Mode Technology Inc.</v>
      </c>
      <c r="E24" s="3" t="s">
        <v>396</v>
      </c>
      <c r="F24" s="5">
        <v>6.6</v>
      </c>
      <c r="G24" s="4">
        <v>23234</v>
      </c>
      <c r="H24" s="4">
        <v>32599</v>
      </c>
      <c r="I24" s="4">
        <v>19355</v>
      </c>
      <c r="J24" s="4">
        <v>26199</v>
      </c>
      <c r="K24" s="4">
        <v>24763</v>
      </c>
      <c r="L24" s="4">
        <v>36102</v>
      </c>
      <c r="M24" s="4">
        <v>24703</v>
      </c>
      <c r="N24" s="4">
        <v>28944</v>
      </c>
      <c r="O24" s="4">
        <v>26716</v>
      </c>
      <c r="P24" s="4">
        <v>35908</v>
      </c>
      <c r="Q24" s="4">
        <v>22441</v>
      </c>
      <c r="R24" s="4">
        <v>29371</v>
      </c>
      <c r="S24" s="4">
        <v>27588</v>
      </c>
      <c r="T24" s="4">
        <v>46265</v>
      </c>
      <c r="U24" s="4">
        <v>29609</v>
      </c>
      <c r="V24" s="4">
        <v>32048</v>
      </c>
      <c r="W24" s="4">
        <v>36577</v>
      </c>
      <c r="X24" s="7">
        <v>8.982030735074753E-2</v>
      </c>
      <c r="Y24" s="8">
        <v>5.7040544304301173E-2</v>
      </c>
      <c r="Z24" s="8">
        <v>2.0153124600061689E-2</v>
      </c>
      <c r="AA24" s="8">
        <v>6.6334587853295046E-2</v>
      </c>
    </row>
    <row r="25" spans="2:27" x14ac:dyDescent="0.3">
      <c r="B25" s="12">
        <v>3097</v>
      </c>
      <c r="C25" s="3" t="s">
        <v>409</v>
      </c>
      <c r="D25" s="3" t="str">
        <f>VLOOKUP(Revenue!B25,기업리스트!B:G,2,FALSE)</f>
        <v>The Monogatari Corporation</v>
      </c>
      <c r="E25" s="3" t="s">
        <v>395</v>
      </c>
      <c r="F25" s="5">
        <v>5</v>
      </c>
      <c r="G25" s="4">
        <v>19813</v>
      </c>
      <c r="H25" s="4">
        <v>18446</v>
      </c>
      <c r="I25" s="4">
        <v>19288</v>
      </c>
      <c r="J25" s="4">
        <v>21910</v>
      </c>
      <c r="K25" s="4">
        <v>22268</v>
      </c>
      <c r="L25" s="4">
        <v>24177</v>
      </c>
      <c r="M25" s="4">
        <v>23919</v>
      </c>
      <c r="N25" s="4">
        <v>25909</v>
      </c>
      <c r="O25" s="4">
        <v>26096</v>
      </c>
      <c r="P25" s="4">
        <v>28583</v>
      </c>
      <c r="Q25" s="4">
        <v>26568</v>
      </c>
      <c r="R25" s="4">
        <v>29752</v>
      </c>
      <c r="S25" s="4">
        <v>30153</v>
      </c>
      <c r="T25" s="4">
        <v>32674</v>
      </c>
      <c r="U25" s="4">
        <v>31342</v>
      </c>
      <c r="V25" s="4">
        <v>35599</v>
      </c>
      <c r="W25" s="4">
        <v>36700</v>
      </c>
      <c r="X25" s="7">
        <v>3.5556598525935179E-2</v>
      </c>
      <c r="Y25" s="8">
        <v>4.006815110745543E-2</v>
      </c>
      <c r="Z25" s="8">
        <v>4.7183286125838331E-2</v>
      </c>
      <c r="AA25" s="8">
        <v>5.0451575118673382E-2</v>
      </c>
    </row>
    <row r="26" spans="2:27" x14ac:dyDescent="0.3">
      <c r="B26" s="12">
        <v>5805</v>
      </c>
      <c r="C26" s="3" t="s">
        <v>409</v>
      </c>
      <c r="D26" s="3" t="str">
        <f>VLOOKUP(Revenue!B26,기업리스트!B:G,2,FALSE)</f>
        <v>SWCC Corporation</v>
      </c>
      <c r="E26" s="3" t="s">
        <v>396</v>
      </c>
      <c r="F26" s="5">
        <v>5</v>
      </c>
      <c r="G26" s="4">
        <v>52506</v>
      </c>
      <c r="H26" s="4">
        <v>51947</v>
      </c>
      <c r="I26" s="4">
        <v>50026</v>
      </c>
      <c r="J26" s="4">
        <v>52259</v>
      </c>
      <c r="K26" s="4">
        <v>55763</v>
      </c>
      <c r="L26" s="4">
        <v>51063</v>
      </c>
      <c r="M26" s="4">
        <v>48415</v>
      </c>
      <c r="N26" s="4">
        <v>50014</v>
      </c>
      <c r="O26" s="4">
        <v>60076</v>
      </c>
      <c r="P26" s="4">
        <v>55399</v>
      </c>
      <c r="Q26" s="4">
        <v>56943</v>
      </c>
      <c r="R26" s="4">
        <v>60435</v>
      </c>
      <c r="S26" s="4">
        <v>60856</v>
      </c>
      <c r="T26" s="4">
        <v>59628</v>
      </c>
      <c r="U26" s="4">
        <v>62157</v>
      </c>
      <c r="V26" s="4">
        <v>66703</v>
      </c>
      <c r="W26" s="4">
        <v>73226</v>
      </c>
      <c r="X26" s="7">
        <v>1.810103880872993E-2</v>
      </c>
      <c r="Y26" s="8">
        <v>2.1920273099528261E-2</v>
      </c>
      <c r="Z26" s="8">
        <v>2.5786173871546358E-2</v>
      </c>
      <c r="AA26" s="8">
        <v>4.9610177104722819E-2</v>
      </c>
    </row>
    <row r="27" spans="2:27" x14ac:dyDescent="0.3">
      <c r="B27" s="12">
        <v>5713</v>
      </c>
      <c r="C27" s="3" t="s">
        <v>409</v>
      </c>
      <c r="D27" s="3" t="str">
        <f>VLOOKUP(Revenue!B27,기업리스트!B:G,2,FALSE)</f>
        <v>Sumitomo Metal Mining Co., Ltd.</v>
      </c>
      <c r="E27" s="3" t="s">
        <v>396</v>
      </c>
      <c r="F27" s="5">
        <v>4.7</v>
      </c>
      <c r="G27" s="4">
        <v>324543</v>
      </c>
      <c r="H27" s="4">
        <v>336618</v>
      </c>
      <c r="I27" s="4">
        <v>357659</v>
      </c>
      <c r="J27" s="4">
        <v>352968</v>
      </c>
      <c r="K27" s="4">
        <v>365057</v>
      </c>
      <c r="L27" s="4">
        <v>347305</v>
      </c>
      <c r="M27" s="4">
        <v>369190</v>
      </c>
      <c r="N27" s="4">
        <v>347955</v>
      </c>
      <c r="O27" s="4">
        <v>367894</v>
      </c>
      <c r="P27" s="4">
        <v>360349</v>
      </c>
      <c r="Q27" s="4">
        <v>410297</v>
      </c>
      <c r="R27" s="4">
        <v>389828</v>
      </c>
      <c r="S27" s="4">
        <v>392676</v>
      </c>
      <c r="T27" s="4">
        <v>400547</v>
      </c>
      <c r="U27" s="4">
        <v>379600</v>
      </c>
      <c r="V27" s="4">
        <v>403761</v>
      </c>
      <c r="W27" s="4">
        <v>467360</v>
      </c>
      <c r="X27" s="7">
        <v>2.5881595467276201E-2</v>
      </c>
      <c r="Y27" s="8">
        <v>-1.9265722240213719E-2</v>
      </c>
      <c r="Z27" s="8">
        <v>8.9162583327946354E-3</v>
      </c>
      <c r="AA27" s="8">
        <v>4.7370771237054347E-2</v>
      </c>
    </row>
    <row r="28" spans="2:27" x14ac:dyDescent="0.3">
      <c r="B28" s="12">
        <v>9887</v>
      </c>
      <c r="C28" s="3" t="s">
        <v>409</v>
      </c>
      <c r="D28" s="3" t="str">
        <f>VLOOKUP(Revenue!B28,기업리스트!B:G,2,FALSE)</f>
        <v>Matsuya Foods Holdings Co., Ltd.</v>
      </c>
      <c r="E28" s="3" t="s">
        <v>396</v>
      </c>
      <c r="F28" s="5">
        <v>4.5</v>
      </c>
      <c r="G28" s="4">
        <v>25172</v>
      </c>
      <c r="H28" s="4">
        <v>24127</v>
      </c>
      <c r="I28" s="4">
        <v>24967</v>
      </c>
      <c r="J28" s="4">
        <v>26146</v>
      </c>
      <c r="K28" s="4">
        <v>27827</v>
      </c>
      <c r="L28" s="4">
        <v>27658</v>
      </c>
      <c r="M28" s="4">
        <v>28100</v>
      </c>
      <c r="N28" s="4">
        <v>30931</v>
      </c>
      <c r="O28" s="4">
        <v>34087</v>
      </c>
      <c r="P28" s="4">
        <v>34493</v>
      </c>
      <c r="Q28" s="4">
        <v>34263</v>
      </c>
      <c r="R28" s="4">
        <v>38124</v>
      </c>
      <c r="S28" s="4">
        <v>41027</v>
      </c>
      <c r="T28" s="4">
        <v>40809</v>
      </c>
      <c r="U28" s="4">
        <v>43165</v>
      </c>
      <c r="V28" s="4">
        <v>44781</v>
      </c>
      <c r="W28" s="4">
        <v>48742</v>
      </c>
      <c r="X28" s="7">
        <v>4.270250900903938E-2</v>
      </c>
      <c r="Y28" s="8">
        <v>5.7721610914065913E-2</v>
      </c>
      <c r="Z28" s="8">
        <v>4.0809195402298881E-2</v>
      </c>
      <c r="AA28" s="8">
        <v>4.5440623858830742E-2</v>
      </c>
    </row>
    <row r="29" spans="2:27" x14ac:dyDescent="0.3">
      <c r="B29" s="12">
        <v>4186</v>
      </c>
      <c r="C29" s="3" t="s">
        <v>409</v>
      </c>
      <c r="D29" s="3" t="str">
        <f>VLOOKUP(Revenue!B29,기업리스트!B:G,2,FALSE)</f>
        <v>Tokyo Ohka Kogyo Co., Ltd.</v>
      </c>
      <c r="E29" s="3" t="s">
        <v>390</v>
      </c>
      <c r="F29" s="5">
        <v>4.3</v>
      </c>
      <c r="G29" s="4">
        <v>39529</v>
      </c>
      <c r="H29" s="4">
        <v>39599</v>
      </c>
      <c r="I29" s="4">
        <v>45112</v>
      </c>
      <c r="J29" s="4">
        <v>45752</v>
      </c>
      <c r="K29" s="4">
        <v>44971</v>
      </c>
      <c r="L29" s="4">
        <v>38463</v>
      </c>
      <c r="M29" s="4">
        <v>39211</v>
      </c>
      <c r="N29" s="4">
        <v>40946</v>
      </c>
      <c r="O29" s="4">
        <v>43650</v>
      </c>
      <c r="P29" s="4">
        <v>45017</v>
      </c>
      <c r="Q29" s="4">
        <v>49719</v>
      </c>
      <c r="R29" s="4">
        <v>51811</v>
      </c>
      <c r="S29" s="4">
        <v>54419</v>
      </c>
      <c r="T29" s="4">
        <v>54272</v>
      </c>
      <c r="U29" s="4">
        <v>57351</v>
      </c>
      <c r="V29" s="4">
        <v>61156</v>
      </c>
      <c r="W29" s="4">
        <v>64250</v>
      </c>
      <c r="X29" s="7">
        <v>4.6052566105709403E-2</v>
      </c>
      <c r="Y29" s="8">
        <v>3.6304650819851458E-2</v>
      </c>
      <c r="Z29" s="8">
        <v>4.28958976924807E-2</v>
      </c>
      <c r="AA29" s="8">
        <v>4.3270627382283378E-2</v>
      </c>
    </row>
    <row r="30" spans="2:27" x14ac:dyDescent="0.3">
      <c r="B30" s="12">
        <v>4385</v>
      </c>
      <c r="C30" s="3" t="s">
        <v>409</v>
      </c>
      <c r="D30" s="3" t="str">
        <f>VLOOKUP(Revenue!B30,기업리스트!B:G,2,FALSE)</f>
        <v>Mercari, Inc.</v>
      </c>
      <c r="E30" s="3" t="s">
        <v>395</v>
      </c>
      <c r="F30" s="5">
        <v>3.8</v>
      </c>
      <c r="G30" s="4">
        <v>37557</v>
      </c>
      <c r="H30" s="4">
        <v>38510</v>
      </c>
      <c r="I30" s="4">
        <v>37348</v>
      </c>
      <c r="J30" s="4">
        <v>40029</v>
      </c>
      <c r="K30" s="4">
        <v>44256</v>
      </c>
      <c r="L30" s="4">
        <v>43628</v>
      </c>
      <c r="M30" s="4">
        <v>44151</v>
      </c>
      <c r="N30" s="4">
        <v>44271</v>
      </c>
      <c r="O30" s="4">
        <v>48115</v>
      </c>
      <c r="P30" s="4">
        <v>48492</v>
      </c>
      <c r="Q30" s="4">
        <v>46529</v>
      </c>
      <c r="R30" s="4">
        <v>44924</v>
      </c>
      <c r="S30" s="4">
        <v>49237</v>
      </c>
      <c r="T30" s="4">
        <v>49906</v>
      </c>
      <c r="U30" s="4">
        <v>48566</v>
      </c>
      <c r="V30" s="4">
        <v>49440</v>
      </c>
      <c r="W30" s="4">
        <v>56815</v>
      </c>
      <c r="X30" s="7">
        <v>7.4742840227928209E-3</v>
      </c>
      <c r="Y30" s="8">
        <v>1.0687527545174101E-2</v>
      </c>
      <c r="Z30" s="8">
        <v>2.344354290282569E-2</v>
      </c>
      <c r="AA30" s="8">
        <v>3.8437932731081537E-2</v>
      </c>
    </row>
    <row r="31" spans="2:27" x14ac:dyDescent="0.3">
      <c r="B31" s="12">
        <v>8802</v>
      </c>
      <c r="C31" s="3" t="s">
        <v>409</v>
      </c>
      <c r="D31" s="3" t="str">
        <f>VLOOKUP(Revenue!B31,기업리스트!B:G,2,FALSE)</f>
        <v>Mitsubishi Estate Co., Ltd.</v>
      </c>
      <c r="E31" s="3" t="s">
        <v>396</v>
      </c>
      <c r="F31" s="5">
        <v>3.6</v>
      </c>
      <c r="G31" s="4">
        <v>325547</v>
      </c>
      <c r="H31" s="4">
        <v>444919</v>
      </c>
      <c r="I31" s="4">
        <v>305367</v>
      </c>
      <c r="J31" s="4">
        <v>289198</v>
      </c>
      <c r="K31" s="4">
        <v>311759</v>
      </c>
      <c r="L31" s="4">
        <v>471503</v>
      </c>
      <c r="M31" s="4">
        <v>292465</v>
      </c>
      <c r="N31" s="4">
        <v>295468</v>
      </c>
      <c r="O31" s="4">
        <v>338515</v>
      </c>
      <c r="P31" s="4">
        <v>578239</v>
      </c>
      <c r="Q31" s="4">
        <v>328239</v>
      </c>
      <c r="R31" s="4">
        <v>312826</v>
      </c>
      <c r="S31" s="4">
        <v>406854</v>
      </c>
      <c r="T31" s="4">
        <v>531893</v>
      </c>
      <c r="U31" s="4">
        <v>356954</v>
      </c>
      <c r="V31" s="4">
        <v>386250</v>
      </c>
      <c r="W31" s="4">
        <v>466869</v>
      </c>
      <c r="X31" s="7">
        <v>-2.8500305628358369E-2</v>
      </c>
      <c r="Y31" s="8">
        <v>1.8176213372224082E-2</v>
      </c>
      <c r="Z31" s="8">
        <v>4.5646731450575517E-2</v>
      </c>
      <c r="AA31" s="8">
        <v>3.5681776698607733E-2</v>
      </c>
    </row>
    <row r="32" spans="2:27" x14ac:dyDescent="0.3">
      <c r="B32" s="12">
        <v>8361</v>
      </c>
      <c r="C32" s="3" t="s">
        <v>409</v>
      </c>
      <c r="D32" s="3" t="str">
        <f>VLOOKUP(Revenue!B32,기업리스트!B:G,2,FALSE)</f>
        <v>The Ogaki Kyoritsu Bank, Ltd.</v>
      </c>
      <c r="E32" s="3" t="s">
        <v>395</v>
      </c>
      <c r="F32" s="5">
        <v>3.4</v>
      </c>
      <c r="G32" s="4">
        <v>28853</v>
      </c>
      <c r="H32" s="4">
        <v>27572</v>
      </c>
      <c r="I32" s="4">
        <v>27903</v>
      </c>
      <c r="J32" s="4">
        <v>31210</v>
      </c>
      <c r="K32" s="4">
        <v>26998</v>
      </c>
      <c r="L32" s="4">
        <v>26992</v>
      </c>
      <c r="M32" s="4">
        <v>27449</v>
      </c>
      <c r="N32" s="4">
        <v>29072</v>
      </c>
      <c r="O32" s="4">
        <v>30013</v>
      </c>
      <c r="P32" s="4">
        <v>35761</v>
      </c>
      <c r="Q32" s="4">
        <v>30447</v>
      </c>
      <c r="R32" s="4">
        <v>30455</v>
      </c>
      <c r="S32" s="4">
        <v>28495</v>
      </c>
      <c r="T32" s="4">
        <v>29017</v>
      </c>
      <c r="U32" s="4">
        <v>33318</v>
      </c>
      <c r="V32" s="4">
        <v>30256</v>
      </c>
      <c r="W32" s="4">
        <v>32565</v>
      </c>
      <c r="X32" s="7">
        <v>-5.388389076207678E-2</v>
      </c>
      <c r="Y32" s="8">
        <v>2.424544395088413E-2</v>
      </c>
      <c r="Z32" s="8">
        <v>-1.6407634909511031E-3</v>
      </c>
      <c r="AA32" s="8">
        <v>3.3612473778966923E-2</v>
      </c>
    </row>
    <row r="33" spans="2:27" x14ac:dyDescent="0.3">
      <c r="B33" s="12">
        <v>4021</v>
      </c>
      <c r="C33" s="3" t="s">
        <v>409</v>
      </c>
      <c r="D33" s="3" t="str">
        <f>VLOOKUP(Revenue!B33,기업리스트!B:G,2,FALSE)</f>
        <v>Nissan Chemical Corporation</v>
      </c>
      <c r="E33" s="3" t="s">
        <v>396</v>
      </c>
      <c r="F33" s="5">
        <v>3.3</v>
      </c>
      <c r="G33" s="4">
        <v>49530</v>
      </c>
      <c r="H33" s="4">
        <v>66635</v>
      </c>
      <c r="I33" s="4">
        <v>58290</v>
      </c>
      <c r="J33" s="4">
        <v>51241</v>
      </c>
      <c r="K33" s="4">
        <v>49703</v>
      </c>
      <c r="L33" s="4">
        <v>68831</v>
      </c>
      <c r="M33" s="4">
        <v>54939</v>
      </c>
      <c r="N33" s="4">
        <v>50736</v>
      </c>
      <c r="O33" s="4">
        <v>49659</v>
      </c>
      <c r="P33" s="4">
        <v>71371</v>
      </c>
      <c r="Q33" s="4">
        <v>58688</v>
      </c>
      <c r="R33" s="4">
        <v>59497</v>
      </c>
      <c r="S33" s="4">
        <v>56647</v>
      </c>
      <c r="T33" s="4">
        <v>76533</v>
      </c>
      <c r="U33" s="4">
        <v>69871</v>
      </c>
      <c r="V33" s="4">
        <v>60223</v>
      </c>
      <c r="W33" s="4">
        <v>65341</v>
      </c>
      <c r="X33" s="7">
        <v>2.096643826435907E-2</v>
      </c>
      <c r="Y33" s="8">
        <v>4.4489089570942657E-2</v>
      </c>
      <c r="Z33" s="8">
        <v>2.7652086475615789E-3</v>
      </c>
      <c r="AA33" s="8">
        <v>3.3022630415460608E-2</v>
      </c>
    </row>
    <row r="34" spans="2:27" x14ac:dyDescent="0.3">
      <c r="B34" s="12">
        <v>8591</v>
      </c>
      <c r="C34" s="3" t="s">
        <v>409</v>
      </c>
      <c r="D34" s="3" t="str">
        <f>VLOOKUP(Revenue!B34,기업리스트!B:G,2,FALSE)</f>
        <v>ORIX Corporation</v>
      </c>
      <c r="E34" s="3" t="s">
        <v>396</v>
      </c>
      <c r="F34" s="5">
        <v>3.1</v>
      </c>
      <c r="G34" s="4">
        <v>626579</v>
      </c>
      <c r="H34" s="4">
        <v>652252</v>
      </c>
      <c r="I34" s="4">
        <v>657813</v>
      </c>
      <c r="J34" s="4">
        <v>707003</v>
      </c>
      <c r="K34" s="4">
        <v>630028</v>
      </c>
      <c r="L34" s="4">
        <v>668815</v>
      </c>
      <c r="M34" s="4">
        <v>676974</v>
      </c>
      <c r="N34" s="4">
        <v>682982</v>
      </c>
      <c r="O34" s="4">
        <v>678125</v>
      </c>
      <c r="P34" s="4">
        <v>776501</v>
      </c>
      <c r="Q34" s="4">
        <v>708139</v>
      </c>
      <c r="R34" s="4">
        <v>695494</v>
      </c>
      <c r="S34" s="4">
        <v>750851</v>
      </c>
      <c r="T34" s="4">
        <v>720337</v>
      </c>
      <c r="U34" s="4">
        <v>768641</v>
      </c>
      <c r="V34" s="4">
        <v>795856</v>
      </c>
      <c r="W34" s="4">
        <v>844413</v>
      </c>
      <c r="X34" s="7">
        <v>-1.9162158796445561E-2</v>
      </c>
      <c r="Y34" s="8">
        <v>2.104548422319175E-2</v>
      </c>
      <c r="Z34" s="8">
        <v>3.4191126496130098E-2</v>
      </c>
      <c r="AA34" s="8">
        <v>3.082072085871879E-2</v>
      </c>
    </row>
    <row r="35" spans="2:27" x14ac:dyDescent="0.3">
      <c r="B35" s="12">
        <v>4151</v>
      </c>
      <c r="C35" s="3" t="s">
        <v>409</v>
      </c>
      <c r="D35" s="3" t="str">
        <f>VLOOKUP(Revenue!B35,기업리스트!B:G,2,FALSE)</f>
        <v>Kyowa Kirin Co., Ltd.</v>
      </c>
      <c r="E35" s="3" t="s">
        <v>390</v>
      </c>
      <c r="F35" s="5">
        <v>3</v>
      </c>
      <c r="G35" s="4">
        <v>98277</v>
      </c>
      <c r="H35" s="4">
        <v>87751</v>
      </c>
      <c r="I35" s="4">
        <v>97520</v>
      </c>
      <c r="J35" s="4">
        <v>98504</v>
      </c>
      <c r="K35" s="4">
        <v>114596</v>
      </c>
      <c r="L35" s="4">
        <v>93535</v>
      </c>
      <c r="M35" s="4">
        <v>105675</v>
      </c>
      <c r="N35" s="4">
        <v>106844</v>
      </c>
      <c r="O35" s="4">
        <v>136180</v>
      </c>
      <c r="P35" s="4">
        <v>105569</v>
      </c>
      <c r="Q35" s="4">
        <v>127404</v>
      </c>
      <c r="R35" s="4">
        <v>129824</v>
      </c>
      <c r="S35" s="4">
        <v>132760</v>
      </c>
      <c r="T35" s="4">
        <v>104725</v>
      </c>
      <c r="U35" s="4">
        <v>125929</v>
      </c>
      <c r="V35" s="4">
        <v>118797</v>
      </c>
      <c r="W35" s="4">
        <v>147375</v>
      </c>
      <c r="X35" s="7">
        <v>-1.703134049160893E-3</v>
      </c>
      <c r="Y35" s="8">
        <v>-2.9815266629338311E-3</v>
      </c>
      <c r="Z35" s="8">
        <v>-2.235634724007474E-2</v>
      </c>
      <c r="AA35" s="8">
        <v>3.030830901825143E-2</v>
      </c>
    </row>
    <row r="36" spans="2:27" x14ac:dyDescent="0.3">
      <c r="B36" s="12">
        <v>5803</v>
      </c>
      <c r="C36" s="3" t="s">
        <v>409</v>
      </c>
      <c r="D36" s="3" t="str">
        <f>VLOOKUP(Revenue!B36,기업리스트!B:G,2,FALSE)</f>
        <v>Fujikura Ltd.</v>
      </c>
      <c r="E36" s="3" t="s">
        <v>396</v>
      </c>
      <c r="F36" s="5">
        <v>3</v>
      </c>
      <c r="G36" s="4">
        <v>167739</v>
      </c>
      <c r="H36" s="4">
        <v>174518</v>
      </c>
      <c r="I36" s="4">
        <v>180906</v>
      </c>
      <c r="J36" s="4">
        <v>218161</v>
      </c>
      <c r="K36" s="4">
        <v>213721</v>
      </c>
      <c r="L36" s="4">
        <v>193665</v>
      </c>
      <c r="M36" s="4">
        <v>190207</v>
      </c>
      <c r="N36" s="4">
        <v>201727</v>
      </c>
      <c r="O36" s="4">
        <v>207057</v>
      </c>
      <c r="P36" s="4">
        <v>200769</v>
      </c>
      <c r="Q36" s="4">
        <v>218330</v>
      </c>
      <c r="R36" s="4">
        <v>229209</v>
      </c>
      <c r="S36" s="4">
        <v>263448</v>
      </c>
      <c r="T36" s="4">
        <v>268388</v>
      </c>
      <c r="U36" s="4">
        <v>267908</v>
      </c>
      <c r="V36" s="4">
        <v>291086</v>
      </c>
      <c r="W36" s="4">
        <v>295937</v>
      </c>
      <c r="X36" s="7">
        <v>7.4163482335186215E-2</v>
      </c>
      <c r="Y36" s="8">
        <v>5.0622080408423642E-2</v>
      </c>
      <c r="Z36" s="8">
        <v>6.0135885701290581E-2</v>
      </c>
      <c r="AA36" s="8">
        <v>2.9783742654675871E-2</v>
      </c>
    </row>
    <row r="37" spans="2:27" x14ac:dyDescent="0.3">
      <c r="B37" s="12">
        <v>1870</v>
      </c>
      <c r="C37" s="3" t="s">
        <v>409</v>
      </c>
      <c r="D37" s="3" t="str">
        <f>VLOOKUP(Revenue!B37,기업리스트!B:G,2,FALSE)</f>
        <v>Yahagi Construction Co.,Ltd.</v>
      </c>
      <c r="E37" s="3" t="s">
        <v>396</v>
      </c>
      <c r="F37" s="5">
        <v>3</v>
      </c>
      <c r="G37" s="4">
        <v>21094</v>
      </c>
      <c r="H37" s="4">
        <v>25144</v>
      </c>
      <c r="I37" s="4">
        <v>18195</v>
      </c>
      <c r="J37" s="4">
        <v>23300</v>
      </c>
      <c r="K37" s="6">
        <v>31566</v>
      </c>
      <c r="L37" s="6">
        <v>38049</v>
      </c>
      <c r="M37" s="4">
        <v>24732</v>
      </c>
      <c r="N37" s="4">
        <v>27426</v>
      </c>
      <c r="O37" s="4">
        <v>38663</v>
      </c>
      <c r="P37" s="4">
        <v>29003</v>
      </c>
      <c r="Q37" s="4">
        <v>26635</v>
      </c>
      <c r="R37" s="4">
        <v>32125</v>
      </c>
      <c r="S37" s="4">
        <v>38348</v>
      </c>
      <c r="T37" s="6">
        <v>43591</v>
      </c>
      <c r="U37" s="6">
        <v>41152</v>
      </c>
      <c r="V37" s="6">
        <v>48513</v>
      </c>
      <c r="W37" s="4">
        <v>43438</v>
      </c>
      <c r="X37" s="10">
        <v>0.1156758728421787</v>
      </c>
      <c r="Y37" s="9">
        <v>0.10317770559847619</v>
      </c>
      <c r="Z37" s="9">
        <v>0.1055818987733224</v>
      </c>
      <c r="AA37" s="8">
        <v>2.9661313256101218E-2</v>
      </c>
    </row>
    <row r="38" spans="2:27" x14ac:dyDescent="0.3">
      <c r="B38" s="12">
        <v>5801</v>
      </c>
      <c r="C38" s="3" t="s">
        <v>409</v>
      </c>
      <c r="D38" s="3" t="str">
        <f>VLOOKUP(Revenue!B38,기업리스트!B:G,2,FALSE)</f>
        <v>Furukawa Electric Co., Ltd.</v>
      </c>
      <c r="E38" s="3" t="s">
        <v>396</v>
      </c>
      <c r="F38" s="5">
        <v>2.1</v>
      </c>
      <c r="G38" s="4">
        <v>223678</v>
      </c>
      <c r="H38" s="4">
        <v>259567</v>
      </c>
      <c r="I38" s="4">
        <v>260293</v>
      </c>
      <c r="J38" s="4">
        <v>264234</v>
      </c>
      <c r="K38" s="4">
        <v>261393</v>
      </c>
      <c r="L38" s="4">
        <v>280406</v>
      </c>
      <c r="M38" s="4">
        <v>246414</v>
      </c>
      <c r="N38" s="4">
        <v>256696</v>
      </c>
      <c r="O38" s="4">
        <v>262189</v>
      </c>
      <c r="P38" s="4">
        <v>291229</v>
      </c>
      <c r="Q38" s="4">
        <v>273561</v>
      </c>
      <c r="R38" s="4">
        <v>296805</v>
      </c>
      <c r="S38" s="4">
        <v>311649</v>
      </c>
      <c r="T38" s="4">
        <v>319747</v>
      </c>
      <c r="U38" s="4">
        <v>293715</v>
      </c>
      <c r="V38" s="4">
        <v>316943</v>
      </c>
      <c r="W38" s="4">
        <v>338229</v>
      </c>
      <c r="X38" s="7">
        <v>2.4306964280234929E-2</v>
      </c>
      <c r="Y38" s="8">
        <v>1.6770375498642801E-2</v>
      </c>
      <c r="Z38" s="8">
        <v>1.6480674612657561E-2</v>
      </c>
      <c r="AA38" s="8">
        <v>2.1400035747238141E-2</v>
      </c>
    </row>
    <row r="39" spans="2:27" x14ac:dyDescent="0.3">
      <c r="B39" s="12">
        <v>4980</v>
      </c>
      <c r="C39" s="3" t="s">
        <v>409</v>
      </c>
      <c r="D39" s="3" t="str">
        <f>VLOOKUP(Revenue!B39,기업리스트!B:G,2,FALSE)</f>
        <v>Dexerials Corporation</v>
      </c>
      <c r="E39" s="3" t="s">
        <v>396</v>
      </c>
      <c r="F39" s="5">
        <v>2.1</v>
      </c>
      <c r="G39" s="4">
        <v>27553</v>
      </c>
      <c r="H39" s="4">
        <v>23597</v>
      </c>
      <c r="I39" s="4">
        <v>26775</v>
      </c>
      <c r="J39" s="4">
        <v>31422</v>
      </c>
      <c r="K39" s="4">
        <v>29030</v>
      </c>
      <c r="L39" s="4">
        <v>18940</v>
      </c>
      <c r="M39" s="4">
        <v>20858</v>
      </c>
      <c r="N39" s="4">
        <v>28737</v>
      </c>
      <c r="O39" s="4">
        <v>31122</v>
      </c>
      <c r="P39" s="4">
        <v>24481</v>
      </c>
      <c r="Q39" s="4">
        <v>27176</v>
      </c>
      <c r="R39" s="4">
        <v>32459</v>
      </c>
      <c r="S39" s="4">
        <v>27528</v>
      </c>
      <c r="T39" s="4">
        <v>23227</v>
      </c>
      <c r="U39" s="4">
        <v>26140</v>
      </c>
      <c r="V39" s="4">
        <v>31316</v>
      </c>
      <c r="W39" s="4">
        <v>29840</v>
      </c>
      <c r="X39" s="7">
        <v>-1.123213070115725E-2</v>
      </c>
      <c r="Y39" s="8">
        <v>-9.3849080532656393E-3</v>
      </c>
      <c r="Z39" s="8">
        <v>-1.045229255445612E-2</v>
      </c>
      <c r="AA39" s="8">
        <v>2.1365665228119109E-2</v>
      </c>
    </row>
    <row r="40" spans="2:27" x14ac:dyDescent="0.3">
      <c r="B40" s="12">
        <v>9434</v>
      </c>
      <c r="C40" s="3" t="s">
        <v>409</v>
      </c>
      <c r="D40" s="3" t="str">
        <f>VLOOKUP(Revenue!B40,기업리스트!B:G,2,FALSE)</f>
        <v>SoftBank Corp.</v>
      </c>
      <c r="E40" s="3" t="s">
        <v>396</v>
      </c>
      <c r="F40" s="5">
        <v>2</v>
      </c>
      <c r="G40" s="4">
        <v>1449595</v>
      </c>
      <c r="H40" s="4">
        <v>1516777</v>
      </c>
      <c r="I40" s="4">
        <v>1361999</v>
      </c>
      <c r="J40" s="4">
        <v>1446556</v>
      </c>
      <c r="K40" s="4">
        <v>1536904</v>
      </c>
      <c r="L40" s="4">
        <v>1566540</v>
      </c>
      <c r="M40" s="4">
        <v>1429666</v>
      </c>
      <c r="N40" s="4">
        <v>1504092</v>
      </c>
      <c r="O40" s="4">
        <v>1577806</v>
      </c>
      <c r="P40" s="4">
        <v>1572438</v>
      </c>
      <c r="Q40" s="4">
        <v>1535722</v>
      </c>
      <c r="R40" s="4">
        <v>1616357</v>
      </c>
      <c r="S40" s="4">
        <v>1659384</v>
      </c>
      <c r="T40" s="4">
        <v>1732886</v>
      </c>
      <c r="U40" s="4">
        <v>1658615</v>
      </c>
      <c r="V40" s="4">
        <v>1742220</v>
      </c>
      <c r="W40" s="4">
        <v>1794564</v>
      </c>
      <c r="X40" s="7">
        <v>2.513322183411049E-2</v>
      </c>
      <c r="Y40" s="8">
        <v>1.8778491183767839E-2</v>
      </c>
      <c r="Z40" s="8">
        <v>1.8877820844061199E-2</v>
      </c>
      <c r="AA40" s="8">
        <v>1.9899589363038039E-2</v>
      </c>
    </row>
    <row r="41" spans="2:27" x14ac:dyDescent="0.3">
      <c r="B41" s="12">
        <v>6490</v>
      </c>
      <c r="C41" s="3" t="s">
        <v>409</v>
      </c>
      <c r="D41" s="3" t="str">
        <f>VLOOKUP(Revenue!B41,기업리스트!B:G,2,FALSE)</f>
        <v>PILLAR Corporation</v>
      </c>
      <c r="E41" s="3" t="s">
        <v>396</v>
      </c>
      <c r="F41" s="5">
        <v>1.9</v>
      </c>
      <c r="G41" s="4">
        <v>10445</v>
      </c>
      <c r="H41" s="4">
        <v>10994</v>
      </c>
      <c r="I41" s="4">
        <v>10704</v>
      </c>
      <c r="J41" s="4">
        <v>11977</v>
      </c>
      <c r="K41" s="4">
        <v>12792</v>
      </c>
      <c r="L41" s="4">
        <v>13229</v>
      </c>
      <c r="M41" s="4">
        <v>12732</v>
      </c>
      <c r="N41" s="4">
        <v>15340</v>
      </c>
      <c r="O41" s="4">
        <v>14709</v>
      </c>
      <c r="P41" s="4">
        <v>15824</v>
      </c>
      <c r="Q41" s="4">
        <v>13096</v>
      </c>
      <c r="R41" s="4">
        <v>15438</v>
      </c>
      <c r="S41" s="4">
        <v>13617</v>
      </c>
      <c r="T41" s="4">
        <v>15837</v>
      </c>
      <c r="U41" s="4">
        <v>13499</v>
      </c>
      <c r="V41" s="4">
        <v>14662</v>
      </c>
      <c r="W41" s="4">
        <v>14726</v>
      </c>
      <c r="X41" s="7">
        <v>2.242345838723292E-4</v>
      </c>
      <c r="Y41" s="8">
        <v>6.949713733875873E-3</v>
      </c>
      <c r="Z41" s="8">
        <v>-1.328971930605749E-2</v>
      </c>
      <c r="AA41" s="8">
        <v>1.9248459602533959E-2</v>
      </c>
    </row>
    <row r="42" spans="2:27" x14ac:dyDescent="0.3">
      <c r="B42" s="12">
        <v>9008</v>
      </c>
      <c r="C42" s="3" t="s">
        <v>409</v>
      </c>
      <c r="D42" s="3" t="str">
        <f>VLOOKUP(Revenue!B42,기업리스트!B:G,2,FALSE)</f>
        <v>Keio Corporation</v>
      </c>
      <c r="E42" s="3" t="s">
        <v>396</v>
      </c>
      <c r="F42" s="5">
        <v>1.9</v>
      </c>
      <c r="G42" s="4">
        <v>80508</v>
      </c>
      <c r="H42" s="4">
        <v>81498</v>
      </c>
      <c r="I42" s="4">
        <v>79719</v>
      </c>
      <c r="J42" s="4">
        <v>79107</v>
      </c>
      <c r="K42" s="4">
        <v>93062</v>
      </c>
      <c r="L42" s="4">
        <v>95245</v>
      </c>
      <c r="M42" s="4">
        <v>88764</v>
      </c>
      <c r="N42" s="4">
        <v>95294</v>
      </c>
      <c r="O42" s="4">
        <v>109998</v>
      </c>
      <c r="P42" s="4">
        <v>114638</v>
      </c>
      <c r="Q42" s="4">
        <v>104720</v>
      </c>
      <c r="R42" s="4">
        <v>109469</v>
      </c>
      <c r="S42" s="4">
        <v>120685</v>
      </c>
      <c r="T42" s="4">
        <v>118042</v>
      </c>
      <c r="U42" s="4">
        <v>113738</v>
      </c>
      <c r="V42" s="4">
        <v>116950</v>
      </c>
      <c r="W42" s="4">
        <v>129475</v>
      </c>
      <c r="X42" s="7">
        <v>7.5726565697913362E-3</v>
      </c>
      <c r="Y42" s="8">
        <v>1.9910976869883079E-2</v>
      </c>
      <c r="Z42" s="8">
        <v>1.6194954257534588E-2</v>
      </c>
      <c r="AA42" s="8">
        <v>1.8725434849759859E-2</v>
      </c>
    </row>
    <row r="43" spans="2:27" x14ac:dyDescent="0.3">
      <c r="B43" s="12">
        <v>1893</v>
      </c>
      <c r="C43" s="3" t="s">
        <v>409</v>
      </c>
      <c r="D43" s="3" t="str">
        <f>VLOOKUP(Revenue!B43,기업리스트!B:G,2,FALSE)</f>
        <v>Penta-Ocean Construction Co., Ltd.</v>
      </c>
      <c r="E43" s="3" t="s">
        <v>396</v>
      </c>
      <c r="F43" s="5">
        <v>1.8</v>
      </c>
      <c r="G43" s="4">
        <v>116458</v>
      </c>
      <c r="H43" s="4">
        <v>131635</v>
      </c>
      <c r="I43" s="4">
        <v>107175</v>
      </c>
      <c r="J43" s="4">
        <v>120494</v>
      </c>
      <c r="K43" s="4">
        <v>119528</v>
      </c>
      <c r="L43" s="4">
        <v>155009</v>
      </c>
      <c r="M43" s="4">
        <v>127273</v>
      </c>
      <c r="N43" s="4">
        <v>151288</v>
      </c>
      <c r="O43" s="4">
        <v>157219</v>
      </c>
      <c r="P43" s="4">
        <v>181928</v>
      </c>
      <c r="Q43" s="4">
        <v>154348</v>
      </c>
      <c r="R43" s="4">
        <v>173699</v>
      </c>
      <c r="S43" s="4">
        <v>187967</v>
      </c>
      <c r="T43" s="4">
        <v>211477</v>
      </c>
      <c r="U43" s="4">
        <v>174140</v>
      </c>
      <c r="V43" s="4">
        <v>204826</v>
      </c>
      <c r="W43" s="4">
        <v>202045</v>
      </c>
      <c r="X43" s="7">
        <v>4.2337328889793018E-2</v>
      </c>
      <c r="Y43" s="8">
        <v>2.7205834848815998E-2</v>
      </c>
      <c r="Z43" s="8">
        <v>4.1653563643224922E-2</v>
      </c>
      <c r="AA43" s="8">
        <v>1.808558471756538E-2</v>
      </c>
    </row>
    <row r="44" spans="2:27" x14ac:dyDescent="0.3">
      <c r="B44" s="12">
        <v>8850</v>
      </c>
      <c r="C44" s="3" t="s">
        <v>409</v>
      </c>
      <c r="D44" s="3" t="str">
        <f>VLOOKUP(Revenue!B44,기업리스트!B:G,2,FALSE)</f>
        <v>Starts Corporation Inc.</v>
      </c>
      <c r="E44" s="3" t="s">
        <v>396</v>
      </c>
      <c r="F44" s="5">
        <v>1.7</v>
      </c>
      <c r="G44" s="4">
        <v>48384</v>
      </c>
      <c r="H44" s="4">
        <v>57267</v>
      </c>
      <c r="I44" s="4">
        <v>46869</v>
      </c>
      <c r="J44" s="4">
        <v>51729</v>
      </c>
      <c r="K44" s="6">
        <v>69277</v>
      </c>
      <c r="L44" s="4">
        <v>65996</v>
      </c>
      <c r="M44" s="4">
        <v>51510</v>
      </c>
      <c r="N44" s="4">
        <v>53473</v>
      </c>
      <c r="O44" s="4">
        <v>58500</v>
      </c>
      <c r="P44" s="4">
        <v>69925</v>
      </c>
      <c r="Q44" s="4">
        <v>54043</v>
      </c>
      <c r="R44" s="4">
        <v>54808</v>
      </c>
      <c r="S44" s="4">
        <v>58728</v>
      </c>
      <c r="T44" s="4">
        <v>65399</v>
      </c>
      <c r="U44" s="4">
        <v>59415</v>
      </c>
      <c r="V44" s="4">
        <v>59169</v>
      </c>
      <c r="W44" s="4">
        <v>62824</v>
      </c>
      <c r="X44" s="7">
        <v>-1.9056521153327899E-2</v>
      </c>
      <c r="Y44" s="8">
        <v>2.3057971138905842E-2</v>
      </c>
      <c r="Z44" s="8">
        <v>1.8296622613803271E-2</v>
      </c>
      <c r="AA44" s="8">
        <v>1.6876037756838439E-2</v>
      </c>
    </row>
    <row r="45" spans="2:27" x14ac:dyDescent="0.3">
      <c r="B45" s="12">
        <v>9616</v>
      </c>
      <c r="C45" s="3" t="s">
        <v>409</v>
      </c>
      <c r="D45" s="3" t="str">
        <f>VLOOKUP(Revenue!B45,기업리스트!B:G,2,FALSE)</f>
        <v>Kyoritsu Maintenance Co., Ltd.</v>
      </c>
      <c r="E45" s="3" t="s">
        <v>396</v>
      </c>
      <c r="F45" s="5">
        <v>1.7</v>
      </c>
      <c r="G45" s="4">
        <v>37353</v>
      </c>
      <c r="H45" s="4">
        <v>68635</v>
      </c>
      <c r="I45" s="4">
        <v>39252</v>
      </c>
      <c r="J45" s="4">
        <v>43841</v>
      </c>
      <c r="K45" s="4">
        <v>46038</v>
      </c>
      <c r="L45" s="4">
        <v>46499</v>
      </c>
      <c r="M45" s="4">
        <v>46699</v>
      </c>
      <c r="N45" s="4">
        <v>51963</v>
      </c>
      <c r="O45" s="4">
        <v>52434</v>
      </c>
      <c r="P45" s="4">
        <v>53030</v>
      </c>
      <c r="Q45" s="4">
        <v>52080</v>
      </c>
      <c r="R45" s="4">
        <v>59272</v>
      </c>
      <c r="S45" s="4">
        <v>59090</v>
      </c>
      <c r="T45" s="4">
        <v>58491</v>
      </c>
      <c r="U45" s="4">
        <v>56807</v>
      </c>
      <c r="V45" s="4">
        <v>62755</v>
      </c>
      <c r="W45" s="4">
        <v>63011</v>
      </c>
      <c r="X45" s="7">
        <v>2.4437065941147029E-2</v>
      </c>
      <c r="Y45" s="8">
        <v>2.0647962504313441E-2</v>
      </c>
      <c r="Z45" s="8">
        <v>1.4906274073440031E-2</v>
      </c>
      <c r="AA45" s="8">
        <v>1.6534327388959321E-2</v>
      </c>
    </row>
    <row r="46" spans="2:27" x14ac:dyDescent="0.3">
      <c r="B46" s="12">
        <v>6651</v>
      </c>
      <c r="C46" s="3" t="s">
        <v>409</v>
      </c>
      <c r="D46" s="3" t="str">
        <f>VLOOKUP(Revenue!B46,기업리스트!B:G,2,FALSE)</f>
        <v>Nitto Kogyo Corporation</v>
      </c>
      <c r="E46" s="3" t="s">
        <v>396</v>
      </c>
      <c r="F46" s="5">
        <v>1.4</v>
      </c>
      <c r="G46" s="4">
        <v>34820</v>
      </c>
      <c r="H46" s="4">
        <v>36901</v>
      </c>
      <c r="I46" s="4">
        <v>30578</v>
      </c>
      <c r="J46" s="4">
        <v>35023</v>
      </c>
      <c r="K46" s="4">
        <v>39384</v>
      </c>
      <c r="L46" s="4">
        <v>41713</v>
      </c>
      <c r="M46" s="4">
        <v>34416</v>
      </c>
      <c r="N46" s="4">
        <v>38747</v>
      </c>
      <c r="O46" s="4">
        <v>43744</v>
      </c>
      <c r="P46" s="4">
        <v>43802</v>
      </c>
      <c r="Q46" s="4">
        <v>40992</v>
      </c>
      <c r="R46" s="4">
        <v>43241</v>
      </c>
      <c r="S46" s="4">
        <v>51371</v>
      </c>
      <c r="T46" s="4">
        <v>51329</v>
      </c>
      <c r="U46" s="4">
        <v>44481</v>
      </c>
      <c r="V46" s="4">
        <v>47120</v>
      </c>
      <c r="W46" s="4">
        <v>54058</v>
      </c>
      <c r="X46" s="7">
        <v>4.1955118557907678E-2</v>
      </c>
      <c r="Y46" s="8">
        <v>1.8664441270401792E-2</v>
      </c>
      <c r="Z46" s="8">
        <v>2.037054542017214E-2</v>
      </c>
      <c r="AA46" s="8">
        <v>1.3829059037266941E-2</v>
      </c>
    </row>
    <row r="47" spans="2:27" x14ac:dyDescent="0.3">
      <c r="B47" s="12">
        <v>6098</v>
      </c>
      <c r="C47" s="3" t="s">
        <v>409</v>
      </c>
      <c r="D47" s="3" t="str">
        <f>VLOOKUP(Revenue!B47,기업리스트!B:G,2,FALSE)</f>
        <v>Recruit Holdings Co., Ltd.</v>
      </c>
      <c r="E47" s="3" t="s">
        <v>396</v>
      </c>
      <c r="F47" s="5">
        <v>1.3</v>
      </c>
      <c r="G47" s="4">
        <v>746056</v>
      </c>
      <c r="H47" s="4">
        <v>759742</v>
      </c>
      <c r="I47" s="4">
        <v>843175</v>
      </c>
      <c r="J47" s="4">
        <v>878473</v>
      </c>
      <c r="K47" s="4">
        <v>880119</v>
      </c>
      <c r="L47" s="4">
        <v>827751</v>
      </c>
      <c r="M47" s="4">
        <v>850828</v>
      </c>
      <c r="N47" s="4">
        <v>855110</v>
      </c>
      <c r="O47" s="4">
        <v>866775</v>
      </c>
      <c r="P47" s="4">
        <v>843778</v>
      </c>
      <c r="Q47" s="4">
        <v>901558</v>
      </c>
      <c r="R47" s="4">
        <v>897147</v>
      </c>
      <c r="S47" s="4">
        <v>896997</v>
      </c>
      <c r="T47" s="4">
        <v>861776</v>
      </c>
      <c r="U47" s="4">
        <v>878839</v>
      </c>
      <c r="V47" s="4">
        <v>914745</v>
      </c>
      <c r="W47" s="4">
        <v>943196</v>
      </c>
      <c r="X47" s="7">
        <v>5.0849277294970907E-3</v>
      </c>
      <c r="Y47" s="8">
        <v>-6.3862657759232722E-3</v>
      </c>
      <c r="Z47" s="8">
        <v>4.9785572368583608E-3</v>
      </c>
      <c r="AA47" s="8">
        <v>1.30051681179566E-2</v>
      </c>
    </row>
    <row r="48" spans="2:27" x14ac:dyDescent="0.3">
      <c r="B48" s="12">
        <v>7458</v>
      </c>
      <c r="C48" s="3" t="s">
        <v>409</v>
      </c>
      <c r="D48" s="3" t="str">
        <f>VLOOKUP(Revenue!B48,기업리스트!B:G,2,FALSE)</f>
        <v>Daiichikosho Co., Ltd.</v>
      </c>
      <c r="E48" s="3" t="s">
        <v>396</v>
      </c>
      <c r="F48" s="5">
        <v>1.3</v>
      </c>
      <c r="G48" s="4">
        <v>30398</v>
      </c>
      <c r="H48" s="4">
        <v>24860</v>
      </c>
      <c r="I48" s="4">
        <v>30276</v>
      </c>
      <c r="J48" s="4">
        <v>30395</v>
      </c>
      <c r="K48" s="4">
        <v>33836</v>
      </c>
      <c r="L48" s="4">
        <v>33649</v>
      </c>
      <c r="M48" s="4">
        <v>35381</v>
      </c>
      <c r="N48" s="4">
        <v>35875</v>
      </c>
      <c r="O48" s="4">
        <v>38608</v>
      </c>
      <c r="P48" s="4">
        <v>36882</v>
      </c>
      <c r="Q48" s="4">
        <v>36886</v>
      </c>
      <c r="R48" s="4">
        <v>37435</v>
      </c>
      <c r="S48" s="4">
        <v>40118</v>
      </c>
      <c r="T48" s="4">
        <v>38581</v>
      </c>
      <c r="U48" s="4">
        <v>40553</v>
      </c>
      <c r="V48" s="4">
        <v>39723</v>
      </c>
      <c r="W48" s="4">
        <v>42139</v>
      </c>
      <c r="X48" s="7">
        <v>1.12277872866291E-2</v>
      </c>
      <c r="Y48" s="8">
        <v>2.3964187687884001E-2</v>
      </c>
      <c r="Z48" s="8">
        <v>1.460236011921867E-2</v>
      </c>
      <c r="AA48" s="8">
        <v>1.271269067463443E-2</v>
      </c>
    </row>
    <row r="49" spans="2:27" x14ac:dyDescent="0.3">
      <c r="B49" s="12">
        <v>3569</v>
      </c>
      <c r="C49" s="3" t="s">
        <v>409</v>
      </c>
      <c r="D49" s="3" t="str">
        <f>VLOOKUP(Revenue!B49,기업리스트!B:G,2,FALSE)</f>
        <v>Seiren Co.,Ltd.</v>
      </c>
      <c r="E49" s="3" t="s">
        <v>396</v>
      </c>
      <c r="F49" s="5">
        <v>1.2</v>
      </c>
      <c r="G49" s="4">
        <v>26972</v>
      </c>
      <c r="H49" s="4">
        <v>29668</v>
      </c>
      <c r="I49" s="4">
        <v>30899</v>
      </c>
      <c r="J49" s="4">
        <v>29665</v>
      </c>
      <c r="K49" s="4">
        <v>36776</v>
      </c>
      <c r="L49" s="4">
        <v>35024</v>
      </c>
      <c r="M49" s="4">
        <v>32508</v>
      </c>
      <c r="N49" s="4">
        <v>34156</v>
      </c>
      <c r="O49" s="4">
        <v>37200</v>
      </c>
      <c r="P49" s="4">
        <v>38051</v>
      </c>
      <c r="Q49" s="4">
        <v>38686</v>
      </c>
      <c r="R49" s="4">
        <v>39347</v>
      </c>
      <c r="S49" s="4">
        <v>40487</v>
      </c>
      <c r="T49" s="4">
        <v>41133</v>
      </c>
      <c r="U49" s="4">
        <v>40625</v>
      </c>
      <c r="V49" s="4">
        <v>40358</v>
      </c>
      <c r="W49" s="4">
        <v>42468</v>
      </c>
      <c r="X49" s="7">
        <v>1.968436044989175E-2</v>
      </c>
      <c r="Y49" s="8">
        <v>1.214508966320715E-2</v>
      </c>
      <c r="Z49" s="8">
        <v>6.2564978464281218E-3</v>
      </c>
      <c r="AA49" s="8">
        <v>1.218304705325246E-2</v>
      </c>
    </row>
    <row r="50" spans="2:27" x14ac:dyDescent="0.3">
      <c r="B50" s="12">
        <v>6588</v>
      </c>
      <c r="C50" s="3" t="s">
        <v>409</v>
      </c>
      <c r="D50" s="3" t="str">
        <f>VLOOKUP(Revenue!B50,기업리스트!B:G,2,FALSE)</f>
        <v>Toshiba Tec Corporation</v>
      </c>
      <c r="E50" s="3" t="s">
        <v>396</v>
      </c>
      <c r="F50" s="5">
        <v>1.1000000000000001</v>
      </c>
      <c r="G50" s="4">
        <v>111548</v>
      </c>
      <c r="H50" s="4">
        <v>116792</v>
      </c>
      <c r="I50" s="4">
        <v>109299</v>
      </c>
      <c r="J50" s="4">
        <v>134570</v>
      </c>
      <c r="K50" s="4">
        <v>130601</v>
      </c>
      <c r="L50" s="4">
        <v>136297</v>
      </c>
      <c r="M50" s="4">
        <v>122374</v>
      </c>
      <c r="N50" s="4">
        <v>141272</v>
      </c>
      <c r="O50" s="4">
        <v>133073</v>
      </c>
      <c r="P50" s="4">
        <v>151416</v>
      </c>
      <c r="Q50" s="4">
        <v>140169</v>
      </c>
      <c r="R50" s="4">
        <v>149003</v>
      </c>
      <c r="S50" s="4">
        <v>136345</v>
      </c>
      <c r="T50" s="4">
        <v>151506</v>
      </c>
      <c r="U50" s="4">
        <v>121367</v>
      </c>
      <c r="V50" s="4">
        <v>136288</v>
      </c>
      <c r="W50" s="4">
        <v>142180</v>
      </c>
      <c r="X50" s="7">
        <v>1.559973168461237E-4</v>
      </c>
      <c r="Y50" s="8">
        <v>-3.2584489699717389E-2</v>
      </c>
      <c r="Z50" s="8">
        <v>-2.2777717069046081E-2</v>
      </c>
      <c r="AA50" s="8">
        <v>1.069649096435232E-2</v>
      </c>
    </row>
    <row r="51" spans="2:27" x14ac:dyDescent="0.3">
      <c r="B51" s="12">
        <v>7459</v>
      </c>
      <c r="C51" s="3" t="s">
        <v>409</v>
      </c>
      <c r="D51" s="3" t="str">
        <f>VLOOKUP(Revenue!B51,기업리스트!B:G,2,FALSE)</f>
        <v>MediPal Holdings Corporation</v>
      </c>
      <c r="E51" s="3" t="s">
        <v>396</v>
      </c>
      <c r="F51" s="5">
        <v>0.8</v>
      </c>
      <c r="G51" s="4">
        <v>864026</v>
      </c>
      <c r="H51" s="4">
        <v>783651</v>
      </c>
      <c r="I51" s="4">
        <v>838328</v>
      </c>
      <c r="J51" s="4">
        <v>847068</v>
      </c>
      <c r="K51" s="4">
        <v>882022</v>
      </c>
      <c r="L51" s="4">
        <v>792590</v>
      </c>
      <c r="M51" s="4">
        <v>886737</v>
      </c>
      <c r="N51" s="4">
        <v>892252</v>
      </c>
      <c r="O51" s="4">
        <v>935926</v>
      </c>
      <c r="P51" s="4">
        <v>843817</v>
      </c>
      <c r="Q51" s="4">
        <v>909317</v>
      </c>
      <c r="R51" s="4">
        <v>915355</v>
      </c>
      <c r="S51" s="4">
        <v>982500</v>
      </c>
      <c r="T51" s="4">
        <v>864156</v>
      </c>
      <c r="U51" s="4">
        <v>945159</v>
      </c>
      <c r="V51" s="4">
        <v>952403</v>
      </c>
      <c r="W51" s="4">
        <v>1014105</v>
      </c>
      <c r="X51" s="7">
        <v>5.5708193040295839E-3</v>
      </c>
      <c r="Y51" s="8">
        <v>9.7626798804137938E-3</v>
      </c>
      <c r="Z51" s="8">
        <v>9.99360698322449E-3</v>
      </c>
      <c r="AA51" s="8">
        <v>8.4410149195373041E-3</v>
      </c>
    </row>
    <row r="52" spans="2:27" x14ac:dyDescent="0.3">
      <c r="B52" s="12">
        <v>4628</v>
      </c>
      <c r="C52" s="3" t="s">
        <v>409</v>
      </c>
      <c r="D52" s="3" t="str">
        <f>VLOOKUP(Revenue!B52,기업리스트!B:G,2,FALSE)</f>
        <v>Sk Kaken Co.,Ltd.</v>
      </c>
      <c r="E52" s="3" t="s">
        <v>395</v>
      </c>
      <c r="F52" s="5">
        <v>0.8</v>
      </c>
      <c r="G52" s="4">
        <v>21265</v>
      </c>
      <c r="H52" s="4">
        <v>25343</v>
      </c>
      <c r="I52" s="4">
        <v>20761</v>
      </c>
      <c r="J52" s="4">
        <v>22388</v>
      </c>
      <c r="K52" s="4">
        <v>23141</v>
      </c>
      <c r="L52" s="4">
        <v>26636</v>
      </c>
      <c r="M52" s="4">
        <v>23415</v>
      </c>
      <c r="N52" s="4">
        <v>24560</v>
      </c>
      <c r="O52" s="4">
        <v>24440</v>
      </c>
      <c r="P52" s="4">
        <v>28872</v>
      </c>
      <c r="Q52" s="4">
        <v>23011</v>
      </c>
      <c r="R52" s="4">
        <v>26249</v>
      </c>
      <c r="S52" s="4">
        <v>25867</v>
      </c>
      <c r="T52" s="4">
        <v>29841</v>
      </c>
      <c r="U52" s="4">
        <v>24185</v>
      </c>
      <c r="V52" s="4">
        <v>26208</v>
      </c>
      <c r="W52" s="4">
        <v>26755</v>
      </c>
      <c r="X52" s="7">
        <v>9.3173972826661178E-3</v>
      </c>
      <c r="Y52" s="8">
        <v>1.118436094809838E-2</v>
      </c>
      <c r="Z52" s="8">
        <v>-3.8627499010757132E-4</v>
      </c>
      <c r="AA52" s="8">
        <v>8.3693838889360439E-3</v>
      </c>
    </row>
    <row r="53" spans="2:27" x14ac:dyDescent="0.3">
      <c r="B53" s="12">
        <v>5195</v>
      </c>
      <c r="C53" s="3" t="s">
        <v>409</v>
      </c>
      <c r="D53" s="3" t="str">
        <f>VLOOKUP(Revenue!B53,기업리스트!B:G,2,FALSE)</f>
        <v>Bando Chemical Industries, Ltd.</v>
      </c>
      <c r="E53" s="3" t="s">
        <v>396</v>
      </c>
      <c r="F53" s="5">
        <v>0.8</v>
      </c>
      <c r="G53" s="4">
        <v>23502</v>
      </c>
      <c r="H53" s="4">
        <v>24098</v>
      </c>
      <c r="I53" s="4">
        <v>25647</v>
      </c>
      <c r="J53" s="4">
        <v>26553</v>
      </c>
      <c r="K53" s="4">
        <v>26100</v>
      </c>
      <c r="L53" s="4">
        <v>25307</v>
      </c>
      <c r="M53" s="4">
        <v>26553</v>
      </c>
      <c r="N53" s="4">
        <v>27374</v>
      </c>
      <c r="O53" s="4">
        <v>26773</v>
      </c>
      <c r="P53" s="4">
        <v>27578</v>
      </c>
      <c r="Q53" s="4">
        <v>29344</v>
      </c>
      <c r="R53" s="4">
        <v>28754</v>
      </c>
      <c r="S53" s="4">
        <v>29177</v>
      </c>
      <c r="T53" s="4">
        <v>28318</v>
      </c>
      <c r="U53" s="4">
        <v>29092</v>
      </c>
      <c r="V53" s="4">
        <v>30002</v>
      </c>
      <c r="W53" s="4">
        <v>30097</v>
      </c>
      <c r="X53" s="7">
        <v>6.4430184670840607E-3</v>
      </c>
      <c r="Y53" s="8">
        <v>-2.1800628065713479E-3</v>
      </c>
      <c r="Z53" s="8">
        <v>1.082008999401785E-2</v>
      </c>
      <c r="AA53" s="8">
        <v>7.8909674154508114E-3</v>
      </c>
    </row>
    <row r="54" spans="2:27" x14ac:dyDescent="0.3">
      <c r="B54" s="12">
        <v>4523</v>
      </c>
      <c r="C54" s="3" t="s">
        <v>409</v>
      </c>
      <c r="D54" s="3" t="str">
        <f>VLOOKUP(Revenue!B54,기업리스트!B:G,2,FALSE)</f>
        <v>Eisai Co., Ltd.</v>
      </c>
      <c r="E54" s="3" t="s">
        <v>396</v>
      </c>
      <c r="F54" s="5">
        <v>0.5</v>
      </c>
      <c r="G54" s="4">
        <v>202972</v>
      </c>
      <c r="H54" s="4">
        <v>190901</v>
      </c>
      <c r="I54" s="4">
        <v>184262</v>
      </c>
      <c r="J54" s="4">
        <v>174364</v>
      </c>
      <c r="K54" s="4">
        <v>187572</v>
      </c>
      <c r="L54" s="4">
        <v>198205</v>
      </c>
      <c r="M54" s="4">
        <v>196935</v>
      </c>
      <c r="N54" s="4">
        <v>176617</v>
      </c>
      <c r="O54" s="4">
        <v>177703</v>
      </c>
      <c r="P54" s="4">
        <v>190496</v>
      </c>
      <c r="Q54" s="4">
        <v>189029</v>
      </c>
      <c r="R54" s="4">
        <v>195994</v>
      </c>
      <c r="S54" s="4">
        <v>216141</v>
      </c>
      <c r="T54" s="4">
        <v>188236</v>
      </c>
      <c r="U54" s="4">
        <v>202651</v>
      </c>
      <c r="V54" s="4">
        <v>197362</v>
      </c>
      <c r="W54" s="4">
        <v>219937</v>
      </c>
      <c r="X54" s="7">
        <v>-2.8547608821969379E-3</v>
      </c>
      <c r="Y54" s="8">
        <v>1.7256143906764661E-2</v>
      </c>
      <c r="Z54" s="8">
        <v>1.703564784028222E-3</v>
      </c>
      <c r="AA54" s="8">
        <v>4.7191039172540528E-3</v>
      </c>
    </row>
    <row r="55" spans="2:27" x14ac:dyDescent="0.3">
      <c r="B55" s="12">
        <v>4613</v>
      </c>
      <c r="C55" s="3" t="s">
        <v>409</v>
      </c>
      <c r="D55" s="3" t="str">
        <f>VLOOKUP(Revenue!B55,기업리스트!B:G,2,FALSE)</f>
        <v>Kansai Paint Co., Ltd.</v>
      </c>
      <c r="E55" s="3" t="s">
        <v>396</v>
      </c>
      <c r="F55" s="5">
        <v>0.4</v>
      </c>
      <c r="G55" s="4">
        <v>108262</v>
      </c>
      <c r="H55" s="4">
        <v>107627</v>
      </c>
      <c r="I55" s="4">
        <v>120448</v>
      </c>
      <c r="J55" s="4">
        <v>130252</v>
      </c>
      <c r="K55" s="4">
        <v>132308</v>
      </c>
      <c r="L55" s="4">
        <v>126062</v>
      </c>
      <c r="M55" s="4">
        <v>136436</v>
      </c>
      <c r="N55" s="4">
        <v>137569</v>
      </c>
      <c r="O55" s="4">
        <v>148289</v>
      </c>
      <c r="P55" s="4">
        <v>139983</v>
      </c>
      <c r="Q55" s="4">
        <v>145397</v>
      </c>
      <c r="R55" s="4">
        <v>148660</v>
      </c>
      <c r="S55" s="4">
        <v>150695</v>
      </c>
      <c r="T55" s="4">
        <v>144073</v>
      </c>
      <c r="U55" s="4">
        <v>144612</v>
      </c>
      <c r="V55" s="4">
        <v>144543</v>
      </c>
      <c r="W55" s="4">
        <v>153195</v>
      </c>
      <c r="X55" s="7">
        <v>6.9946214952072427E-3</v>
      </c>
      <c r="Y55" s="8">
        <v>-1.3331635035876981E-3</v>
      </c>
      <c r="Z55" s="8">
        <v>-7.0012244065029714E-3</v>
      </c>
      <c r="AA55" s="8">
        <v>4.2813864156747714E-3</v>
      </c>
    </row>
    <row r="56" spans="2:27" x14ac:dyDescent="0.3">
      <c r="B56" s="12">
        <v>8086</v>
      </c>
      <c r="C56" s="3" t="s">
        <v>409</v>
      </c>
      <c r="D56" s="3" t="str">
        <f>VLOOKUP(Revenue!B56,기업리스트!B:G,2,FALSE)</f>
        <v>Nipro Corporation</v>
      </c>
      <c r="E56" s="3" t="s">
        <v>396</v>
      </c>
      <c r="F56" s="5">
        <v>0.4</v>
      </c>
      <c r="G56" s="4">
        <v>127236</v>
      </c>
      <c r="H56" s="4">
        <v>125433</v>
      </c>
      <c r="I56" s="4">
        <v>127892</v>
      </c>
      <c r="J56" s="4">
        <v>132447</v>
      </c>
      <c r="K56" s="4">
        <v>145962</v>
      </c>
      <c r="L56" s="4">
        <v>138898</v>
      </c>
      <c r="M56" s="4">
        <v>140594</v>
      </c>
      <c r="N56" s="4">
        <v>145271</v>
      </c>
      <c r="O56" s="4">
        <v>153270</v>
      </c>
      <c r="P56" s="4">
        <v>147650</v>
      </c>
      <c r="Q56" s="4">
        <v>152392</v>
      </c>
      <c r="R56" s="4">
        <v>159625</v>
      </c>
      <c r="S56" s="4">
        <v>167265</v>
      </c>
      <c r="T56" s="4">
        <v>165304</v>
      </c>
      <c r="U56" s="4">
        <v>159220</v>
      </c>
      <c r="V56" s="4">
        <v>158162</v>
      </c>
      <c r="W56" s="4">
        <v>169923</v>
      </c>
      <c r="X56" s="7">
        <v>2.8159353805516481E-2</v>
      </c>
      <c r="Y56" s="8">
        <v>1.059284564045759E-2</v>
      </c>
      <c r="Z56" s="8">
        <v>-2.245883570202611E-3</v>
      </c>
      <c r="AA56" s="8">
        <v>4.0895390575597101E-3</v>
      </c>
    </row>
    <row r="57" spans="2:27" x14ac:dyDescent="0.3">
      <c r="B57" s="12">
        <v>4046</v>
      </c>
      <c r="C57" s="3" t="s">
        <v>409</v>
      </c>
      <c r="D57" s="3" t="str">
        <f>VLOOKUP(Revenue!B57,기업리스트!B:G,2,FALSE)</f>
        <v>Osaka Soda Co., Ltd.</v>
      </c>
      <c r="E57" s="3" t="s">
        <v>396</v>
      </c>
      <c r="F57" s="5">
        <v>0.4</v>
      </c>
      <c r="G57" s="4">
        <v>23163</v>
      </c>
      <c r="H57" s="4">
        <v>22764</v>
      </c>
      <c r="I57" s="4">
        <v>25738</v>
      </c>
      <c r="J57" s="4">
        <v>26177</v>
      </c>
      <c r="K57" s="4">
        <v>25790</v>
      </c>
      <c r="L57" s="4">
        <v>26503</v>
      </c>
      <c r="M57" s="4">
        <v>23193</v>
      </c>
      <c r="N57" s="4">
        <v>23429</v>
      </c>
      <c r="O57" s="4">
        <v>23593</v>
      </c>
      <c r="P57" s="4">
        <v>24342</v>
      </c>
      <c r="Q57" s="4">
        <v>24114</v>
      </c>
      <c r="R57" s="4">
        <v>26053</v>
      </c>
      <c r="S57" s="4">
        <v>24483</v>
      </c>
      <c r="T57" s="4">
        <v>21784</v>
      </c>
      <c r="U57" s="4">
        <v>24284</v>
      </c>
      <c r="V57" s="4">
        <v>24548</v>
      </c>
      <c r="W57" s="4">
        <v>24856</v>
      </c>
      <c r="X57" s="7">
        <v>-2.5840471957329861E-2</v>
      </c>
      <c r="Y57" s="8">
        <v>1.7628637202646851E-3</v>
      </c>
      <c r="Z57" s="8">
        <v>-1.5579065049066251E-2</v>
      </c>
      <c r="AA57" s="8">
        <v>3.9222284145994379E-3</v>
      </c>
    </row>
    <row r="58" spans="2:27" x14ac:dyDescent="0.3">
      <c r="B58" s="12">
        <v>4997</v>
      </c>
      <c r="C58" s="3" t="s">
        <v>409</v>
      </c>
      <c r="D58" s="3" t="str">
        <f>VLOOKUP(Revenue!B58,기업리스트!B:G,2,FALSE)</f>
        <v>Nihon Nohyaku Co., Ltd.</v>
      </c>
      <c r="E58" s="3" t="s">
        <v>396</v>
      </c>
      <c r="F58" s="5">
        <v>0.4</v>
      </c>
      <c r="G58" s="4">
        <v>19345</v>
      </c>
      <c r="H58" s="4">
        <v>30627</v>
      </c>
      <c r="I58" s="4">
        <v>24015</v>
      </c>
      <c r="J58" s="4">
        <v>19152</v>
      </c>
      <c r="K58" s="4">
        <v>22839</v>
      </c>
      <c r="L58" s="4">
        <v>36084</v>
      </c>
      <c r="M58" s="4">
        <v>22183</v>
      </c>
      <c r="N58" s="4">
        <v>18487</v>
      </c>
      <c r="O58" s="4">
        <v>22620</v>
      </c>
      <c r="P58" s="4">
        <v>39743</v>
      </c>
      <c r="Q58" s="4">
        <v>19241</v>
      </c>
      <c r="R58" s="4">
        <v>19888</v>
      </c>
      <c r="S58" s="4">
        <v>22245</v>
      </c>
      <c r="T58" s="4">
        <v>38592</v>
      </c>
      <c r="U58" s="4">
        <v>27133</v>
      </c>
      <c r="V58" s="4">
        <v>20577</v>
      </c>
      <c r="W58" s="4">
        <v>22650</v>
      </c>
      <c r="X58" s="7">
        <v>-1.1382853526113349E-2</v>
      </c>
      <c r="Y58" s="8">
        <v>7.8946841926254896E-2</v>
      </c>
      <c r="Z58" s="8">
        <v>6.3880287044075779E-3</v>
      </c>
      <c r="AA58" s="8">
        <v>3.7311026559923022E-3</v>
      </c>
    </row>
    <row r="59" spans="2:27" x14ac:dyDescent="0.3">
      <c r="B59" s="12">
        <v>5631</v>
      </c>
      <c r="C59" s="3" t="s">
        <v>409</v>
      </c>
      <c r="D59" s="3" t="str">
        <f>VLOOKUP(Revenue!B59,기업리스트!B:G,2,FALSE)</f>
        <v>The Japan Steel Works, Ltd.</v>
      </c>
      <c r="E59" s="3" t="s">
        <v>396</v>
      </c>
      <c r="F59" s="5">
        <v>0.4</v>
      </c>
      <c r="G59" s="4">
        <v>55842</v>
      </c>
      <c r="H59" s="4">
        <v>66749</v>
      </c>
      <c r="I59" s="4">
        <v>45029</v>
      </c>
      <c r="J59" s="4">
        <v>58620</v>
      </c>
      <c r="K59" s="4">
        <v>58547</v>
      </c>
      <c r="L59" s="4">
        <v>76525</v>
      </c>
      <c r="M59" s="4">
        <v>54751</v>
      </c>
      <c r="N59" s="4">
        <v>55433</v>
      </c>
      <c r="O59" s="4">
        <v>63703</v>
      </c>
      <c r="P59" s="4">
        <v>78614</v>
      </c>
      <c r="Q59" s="4">
        <v>47602</v>
      </c>
      <c r="R59" s="4">
        <v>60675</v>
      </c>
      <c r="S59" s="4">
        <v>64457</v>
      </c>
      <c r="T59" s="4">
        <v>75822</v>
      </c>
      <c r="U59" s="4">
        <v>67544</v>
      </c>
      <c r="V59" s="4">
        <v>68118</v>
      </c>
      <c r="W59" s="4">
        <v>65481</v>
      </c>
      <c r="X59" s="7">
        <v>-1.11081050973153E-2</v>
      </c>
      <c r="Y59" s="8">
        <v>8.023141666264344E-2</v>
      </c>
      <c r="Z59" s="8">
        <v>2.7720876878040149E-2</v>
      </c>
      <c r="AA59" s="8">
        <v>3.710938207805325E-3</v>
      </c>
    </row>
    <row r="60" spans="2:27" x14ac:dyDescent="0.3">
      <c r="B60" s="12">
        <v>4544</v>
      </c>
      <c r="C60" s="3" t="s">
        <v>409</v>
      </c>
      <c r="D60" s="3" t="str">
        <f>VLOOKUP(Revenue!B60,기업리스트!B:G,2,FALSE)</f>
        <v>H.U. Group Holdings, Inc.</v>
      </c>
      <c r="E60" s="3" t="s">
        <v>396</v>
      </c>
      <c r="F60" s="5">
        <v>0.1</v>
      </c>
      <c r="G60" s="4">
        <v>64142</v>
      </c>
      <c r="H60" s="4">
        <v>75063</v>
      </c>
      <c r="I60" s="4">
        <v>65331</v>
      </c>
      <c r="J60" s="4">
        <v>68750</v>
      </c>
      <c r="K60" s="4">
        <v>66882</v>
      </c>
      <c r="L60" s="4">
        <v>59945</v>
      </c>
      <c r="M60" s="4">
        <v>56620</v>
      </c>
      <c r="N60" s="4">
        <v>59923</v>
      </c>
      <c r="O60" s="4">
        <v>60968</v>
      </c>
      <c r="P60" s="4">
        <v>59439</v>
      </c>
      <c r="Q60" s="4">
        <v>59467</v>
      </c>
      <c r="R60" s="4">
        <v>60520</v>
      </c>
      <c r="S60" s="4">
        <v>62060</v>
      </c>
      <c r="T60" s="4">
        <v>60978</v>
      </c>
      <c r="U60" s="4">
        <v>61395</v>
      </c>
      <c r="V60" s="4">
        <v>62997</v>
      </c>
      <c r="W60" s="4">
        <v>62337</v>
      </c>
      <c r="X60" s="7">
        <v>6.3730402590627122E-3</v>
      </c>
      <c r="Y60" s="8">
        <v>7.9333401913384005E-3</v>
      </c>
      <c r="Z60" s="8">
        <v>1.011214396231108E-2</v>
      </c>
      <c r="AA60" s="8">
        <v>1.1195085478721281E-3</v>
      </c>
    </row>
    <row r="61" spans="2:27" x14ac:dyDescent="0.3">
      <c r="B61" s="12">
        <v>4023</v>
      </c>
      <c r="C61" s="3" t="s">
        <v>409</v>
      </c>
      <c r="D61" s="3" t="str">
        <f>VLOOKUP(Revenue!B61,기업리스트!B:G,2,FALSE)</f>
        <v>Kureha Corporation</v>
      </c>
      <c r="E61" s="3" t="s">
        <v>396</v>
      </c>
      <c r="F61" s="5">
        <v>0</v>
      </c>
      <c r="G61" s="4">
        <v>44042</v>
      </c>
      <c r="H61" s="4">
        <v>45230</v>
      </c>
      <c r="I61" s="4">
        <v>49280</v>
      </c>
      <c r="J61" s="4">
        <v>52475</v>
      </c>
      <c r="K61" s="4">
        <v>47225</v>
      </c>
      <c r="L61" s="4">
        <v>42297</v>
      </c>
      <c r="M61" s="4">
        <v>43759</v>
      </c>
      <c r="N61" s="4">
        <v>44730</v>
      </c>
      <c r="O61" s="4">
        <v>44363</v>
      </c>
      <c r="P61" s="4">
        <v>45119</v>
      </c>
      <c r="Q61" s="4">
        <v>41934</v>
      </c>
      <c r="R61" s="4">
        <v>39707</v>
      </c>
      <c r="S61" s="4">
        <v>40371</v>
      </c>
      <c r="T61" s="4">
        <v>40003</v>
      </c>
      <c r="U61" s="4">
        <v>36540</v>
      </c>
      <c r="V61" s="4">
        <v>40847</v>
      </c>
      <c r="W61" s="4">
        <v>40376</v>
      </c>
      <c r="X61" s="7">
        <v>-3.061071853815267E-2</v>
      </c>
      <c r="Y61" s="8">
        <v>-3.3293213591334081E-2</v>
      </c>
      <c r="Z61" s="8">
        <v>7.2787174133737143E-3</v>
      </c>
      <c r="AA61" s="8">
        <v>3.1693511070463032E-5</v>
      </c>
    </row>
    <row r="62" spans="2:27" x14ac:dyDescent="0.3">
      <c r="B62" s="12">
        <v>3529</v>
      </c>
      <c r="C62" s="3" t="s">
        <v>409</v>
      </c>
      <c r="D62" s="3" t="str">
        <f>VLOOKUP(Revenue!B62,기업리스트!B:G,2,FALSE)</f>
        <v>eMemory Technology Inc.</v>
      </c>
      <c r="E62" s="3" t="s">
        <v>396</v>
      </c>
      <c r="F62" s="5">
        <v>-0.1</v>
      </c>
      <c r="G62" s="4">
        <v>5164</v>
      </c>
      <c r="H62" s="4">
        <v>5858</v>
      </c>
      <c r="I62" s="4">
        <v>4456</v>
      </c>
      <c r="J62" s="4">
        <v>5361</v>
      </c>
      <c r="K62" s="4">
        <v>5020</v>
      </c>
      <c r="L62" s="4">
        <v>5666</v>
      </c>
      <c r="M62" s="4">
        <v>4791</v>
      </c>
      <c r="N62" s="4">
        <v>5868</v>
      </c>
      <c r="O62" s="4">
        <v>5135</v>
      </c>
      <c r="P62" s="4">
        <v>5415</v>
      </c>
      <c r="Q62" s="4">
        <v>5159</v>
      </c>
      <c r="R62" s="4">
        <v>5821</v>
      </c>
      <c r="S62" s="4">
        <v>5561</v>
      </c>
      <c r="T62" s="4">
        <v>6001</v>
      </c>
      <c r="U62" s="4">
        <v>5087</v>
      </c>
      <c r="V62" s="4">
        <v>5863</v>
      </c>
      <c r="W62" s="4">
        <v>5539</v>
      </c>
      <c r="X62" s="7">
        <v>2.6689743122608741E-2</v>
      </c>
      <c r="Y62" s="8">
        <v>-3.194037796113935E-3</v>
      </c>
      <c r="Z62" s="8">
        <v>1.8691588785046951E-3</v>
      </c>
      <c r="AA62" s="8">
        <v>-9.7725657427150114E-4</v>
      </c>
    </row>
    <row r="63" spans="2:27" x14ac:dyDescent="0.3">
      <c r="B63" s="12">
        <v>5715</v>
      </c>
      <c r="C63" s="3" t="s">
        <v>409</v>
      </c>
      <c r="D63" s="3" t="str">
        <f>VLOOKUP(Revenue!B63,기업리스트!B:G,2,FALSE)</f>
        <v>Furukawa Co.,Ltd.</v>
      </c>
      <c r="E63" s="3" t="s">
        <v>396</v>
      </c>
      <c r="F63" s="5">
        <v>-0.2</v>
      </c>
      <c r="G63" s="4">
        <v>49801</v>
      </c>
      <c r="H63" s="4">
        <v>51492</v>
      </c>
      <c r="I63" s="4">
        <v>52611</v>
      </c>
      <c r="J63" s="4">
        <v>51965</v>
      </c>
      <c r="K63" s="4">
        <v>52378</v>
      </c>
      <c r="L63" s="4">
        <v>57236</v>
      </c>
      <c r="M63" s="4">
        <v>47472</v>
      </c>
      <c r="N63" s="4">
        <v>47321</v>
      </c>
      <c r="O63" s="4">
        <v>47241</v>
      </c>
      <c r="P63" s="4">
        <v>46221</v>
      </c>
      <c r="Q63" s="4">
        <v>47657</v>
      </c>
      <c r="R63" s="4">
        <v>45865</v>
      </c>
      <c r="S63" s="4">
        <v>52677</v>
      </c>
      <c r="T63" s="4">
        <v>55017</v>
      </c>
      <c r="U63" s="4">
        <v>48592</v>
      </c>
      <c r="V63" s="4">
        <v>49043</v>
      </c>
      <c r="W63" s="4">
        <v>52339</v>
      </c>
      <c r="X63" s="7">
        <v>4.5712503897723737E-2</v>
      </c>
      <c r="Y63" s="8">
        <v>4.6467477735367968E-3</v>
      </c>
      <c r="Z63" s="8">
        <v>1.5720921489381649E-2</v>
      </c>
      <c r="AA63" s="8">
        <v>-1.646138636042682E-3</v>
      </c>
    </row>
    <row r="64" spans="2:27" x14ac:dyDescent="0.3">
      <c r="B64" s="12">
        <v>8392</v>
      </c>
      <c r="C64" s="3" t="s">
        <v>409</v>
      </c>
      <c r="D64" s="3" t="str">
        <f>VLOOKUP(Revenue!B64,기업리스트!B:G,2,FALSE)</f>
        <v>The Oita Bank, Ltd.</v>
      </c>
      <c r="E64" s="3" t="s">
        <v>395</v>
      </c>
      <c r="F64" s="5">
        <v>-0.4</v>
      </c>
      <c r="G64" s="4">
        <v>12503</v>
      </c>
      <c r="H64" s="4">
        <v>12309</v>
      </c>
      <c r="I64" s="4">
        <v>13095</v>
      </c>
      <c r="J64" s="4">
        <v>17333</v>
      </c>
      <c r="K64" s="6">
        <v>19609</v>
      </c>
      <c r="L64" s="6">
        <v>18589</v>
      </c>
      <c r="M64" s="4">
        <v>14121</v>
      </c>
      <c r="N64" s="4">
        <v>18270</v>
      </c>
      <c r="O64" s="4">
        <v>16775</v>
      </c>
      <c r="P64" s="4">
        <v>15001</v>
      </c>
      <c r="Q64" s="4">
        <v>18105</v>
      </c>
      <c r="R64" s="4">
        <v>18148</v>
      </c>
      <c r="S64" s="4">
        <v>17869</v>
      </c>
      <c r="T64" s="4">
        <v>18668</v>
      </c>
      <c r="U64" s="4">
        <v>14893</v>
      </c>
      <c r="V64" s="4">
        <v>19113</v>
      </c>
      <c r="W64" s="4">
        <v>17612</v>
      </c>
      <c r="X64" s="7">
        <v>5.3050359504072553E-2</v>
      </c>
      <c r="Y64" s="8">
        <v>-4.4126940513806827E-2</v>
      </c>
      <c r="Z64" s="8">
        <v>1.3869326511253499E-2</v>
      </c>
      <c r="AA64" s="8">
        <v>-3.643167996824626E-3</v>
      </c>
    </row>
    <row r="65" spans="2:27" x14ac:dyDescent="0.3">
      <c r="B65" s="12">
        <v>1835</v>
      </c>
      <c r="C65" s="3" t="s">
        <v>409</v>
      </c>
      <c r="D65" s="3" t="str">
        <f>VLOOKUP(Revenue!B65,기업리스트!B:G,2,FALSE)</f>
        <v>Totetsu Kogyo Co., Ltd.</v>
      </c>
      <c r="E65" s="3" t="s">
        <v>396</v>
      </c>
      <c r="F65" s="5">
        <v>-0.4</v>
      </c>
      <c r="G65" s="4">
        <v>25866</v>
      </c>
      <c r="H65" s="4">
        <v>43438</v>
      </c>
      <c r="I65" s="4">
        <v>21504</v>
      </c>
      <c r="J65" s="4">
        <v>27431</v>
      </c>
      <c r="K65" s="4">
        <v>29448</v>
      </c>
      <c r="L65" s="4">
        <v>46278</v>
      </c>
      <c r="M65" s="4">
        <v>24396</v>
      </c>
      <c r="N65" s="4">
        <v>32253</v>
      </c>
      <c r="O65" s="4">
        <v>35713</v>
      </c>
      <c r="P65" s="4">
        <v>49483</v>
      </c>
      <c r="Q65" s="4">
        <v>26207</v>
      </c>
      <c r="R65" s="4">
        <v>35782</v>
      </c>
      <c r="S65" s="4">
        <v>41363</v>
      </c>
      <c r="T65" s="4">
        <v>56695</v>
      </c>
      <c r="U65" s="4">
        <v>29229</v>
      </c>
      <c r="V65" s="4">
        <v>36459</v>
      </c>
      <c r="W65" s="4">
        <v>40761</v>
      </c>
      <c r="X65" s="7">
        <v>4.7188144076945708E-2</v>
      </c>
      <c r="Y65" s="8">
        <v>1.8881953426181038E-2</v>
      </c>
      <c r="Z65" s="8">
        <v>4.1516168002502241E-3</v>
      </c>
      <c r="AA65" s="8">
        <v>-3.6764256836808729E-3</v>
      </c>
    </row>
    <row r="66" spans="2:27" x14ac:dyDescent="0.3">
      <c r="B66" s="12">
        <v>6845</v>
      </c>
      <c r="C66" s="3" t="s">
        <v>409</v>
      </c>
      <c r="D66" s="3" t="str">
        <f>VLOOKUP(Revenue!B66,기업리스트!B:G,2,FALSE)</f>
        <v>Azbil Corporation</v>
      </c>
      <c r="E66" s="3" t="s">
        <v>396</v>
      </c>
      <c r="F66" s="5">
        <v>-1.2</v>
      </c>
      <c r="G66" s="4">
        <v>63942</v>
      </c>
      <c r="H66" s="4">
        <v>77221</v>
      </c>
      <c r="I66" s="4">
        <v>56063</v>
      </c>
      <c r="J66" s="4">
        <v>64943</v>
      </c>
      <c r="K66" s="4">
        <v>70072</v>
      </c>
      <c r="L66" s="4">
        <v>87328</v>
      </c>
      <c r="M66" s="4">
        <v>61205</v>
      </c>
      <c r="N66" s="4">
        <v>70680</v>
      </c>
      <c r="O66" s="4">
        <v>73468</v>
      </c>
      <c r="P66" s="4">
        <v>85585</v>
      </c>
      <c r="Q66" s="4">
        <v>65547</v>
      </c>
      <c r="R66" s="4">
        <v>73705</v>
      </c>
      <c r="S66" s="4">
        <v>78655</v>
      </c>
      <c r="T66" s="4">
        <v>82471</v>
      </c>
      <c r="U66" s="4">
        <v>62053</v>
      </c>
      <c r="V66" s="4">
        <v>70844</v>
      </c>
      <c r="W66" s="4">
        <v>75158</v>
      </c>
      <c r="X66" s="7">
        <v>-1.026056700011857E-2</v>
      </c>
      <c r="Y66" s="8">
        <v>-1.1632010333646249E-2</v>
      </c>
      <c r="Z66" s="8">
        <v>-9.636760485576823E-3</v>
      </c>
      <c r="AA66" s="8">
        <v>-1.189362736928745E-2</v>
      </c>
    </row>
    <row r="67" spans="2:27" x14ac:dyDescent="0.3">
      <c r="B67" s="12">
        <v>5393</v>
      </c>
      <c r="C67" s="3" t="s">
        <v>409</v>
      </c>
      <c r="D67" s="3" t="str">
        <f>VLOOKUP(Revenue!B67,기업리스트!B:G,2,FALSE)</f>
        <v>Nichias Corporation</v>
      </c>
      <c r="E67" s="3" t="s">
        <v>396</v>
      </c>
      <c r="F67" s="5">
        <v>-1.6</v>
      </c>
      <c r="G67" s="4">
        <v>56295</v>
      </c>
      <c r="H67" s="4">
        <v>56416</v>
      </c>
      <c r="I67" s="4">
        <v>54617</v>
      </c>
      <c r="J67" s="4">
        <v>58890</v>
      </c>
      <c r="K67" s="4">
        <v>62808</v>
      </c>
      <c r="L67" s="4">
        <v>61801</v>
      </c>
      <c r="M67" s="4">
        <v>59178</v>
      </c>
      <c r="N67" s="4">
        <v>60857</v>
      </c>
      <c r="O67" s="4">
        <v>65061</v>
      </c>
      <c r="P67" s="4">
        <v>64295</v>
      </c>
      <c r="Q67" s="4">
        <v>63256</v>
      </c>
      <c r="R67" s="4">
        <v>63394</v>
      </c>
      <c r="S67" s="4">
        <v>66283</v>
      </c>
      <c r="T67" s="4">
        <v>63579</v>
      </c>
      <c r="U67" s="4">
        <v>62044</v>
      </c>
      <c r="V67" s="4">
        <v>60700</v>
      </c>
      <c r="W67" s="4">
        <v>62272</v>
      </c>
      <c r="X67" s="7">
        <v>-2.7835227891209739E-3</v>
      </c>
      <c r="Y67" s="8">
        <v>-4.7249251497005762E-3</v>
      </c>
      <c r="Z67" s="8">
        <v>-1.055229142185665E-2</v>
      </c>
      <c r="AA67" s="8">
        <v>-1.5878482696373038E-2</v>
      </c>
    </row>
    <row r="68" spans="2:27" x14ac:dyDescent="0.3">
      <c r="B68" s="12">
        <v>6823</v>
      </c>
      <c r="C68" s="3" t="s">
        <v>409</v>
      </c>
      <c r="D68" s="3" t="str">
        <f>VLOOKUP(Revenue!B68,기업리스트!B:G,2,FALSE)</f>
        <v>HKT Trust and HKT Limited</v>
      </c>
      <c r="E68" s="3" t="s">
        <v>396</v>
      </c>
      <c r="F68" s="5">
        <v>-1.8</v>
      </c>
      <c r="G68" s="4">
        <v>5908</v>
      </c>
      <c r="H68" s="4">
        <v>6512</v>
      </c>
      <c r="I68" s="4">
        <v>5183</v>
      </c>
      <c r="J68" s="4">
        <v>5615</v>
      </c>
      <c r="K68" s="4">
        <v>6179</v>
      </c>
      <c r="L68" s="4">
        <v>6891</v>
      </c>
      <c r="M68" s="4">
        <v>6013</v>
      </c>
      <c r="N68" s="4">
        <v>6088</v>
      </c>
      <c r="O68" s="4">
        <v>6407</v>
      </c>
      <c r="P68" s="4">
        <v>7218</v>
      </c>
      <c r="Q68" s="4">
        <v>6355</v>
      </c>
      <c r="R68" s="4">
        <v>6685</v>
      </c>
      <c r="S68" s="4">
        <v>7450</v>
      </c>
      <c r="T68" s="4">
        <v>7387</v>
      </c>
      <c r="U68" s="4">
        <v>6629</v>
      </c>
      <c r="V68" s="4">
        <v>6992</v>
      </c>
      <c r="W68" s="4">
        <v>6933</v>
      </c>
      <c r="X68" s="7">
        <v>6.0993214955968877E-3</v>
      </c>
      <c r="Y68" s="8">
        <v>9.8288912006312401E-3</v>
      </c>
      <c r="Z68" s="8">
        <v>1.0905474050655339E-2</v>
      </c>
      <c r="AA68" s="8">
        <v>-1.8167123480216429E-2</v>
      </c>
    </row>
    <row r="69" spans="2:27" x14ac:dyDescent="0.3">
      <c r="B69" s="25">
        <v>5463</v>
      </c>
      <c r="C69" s="14" t="s">
        <v>409</v>
      </c>
      <c r="D69" s="14" t="str">
        <f>VLOOKUP(Revenue!B69,기업리스트!B:G,2,FALSE)</f>
        <v>Maruichi Steel Tube Ltd.</v>
      </c>
      <c r="E69" s="14" t="s">
        <v>395</v>
      </c>
      <c r="F69" s="15">
        <v>-2</v>
      </c>
      <c r="G69" s="16">
        <v>53939</v>
      </c>
      <c r="H69" s="16">
        <v>61201</v>
      </c>
      <c r="I69" s="16">
        <v>63466</v>
      </c>
      <c r="J69" s="16">
        <v>65541</v>
      </c>
      <c r="K69" s="16">
        <v>72858</v>
      </c>
      <c r="L69" s="16">
        <v>69536</v>
      </c>
      <c r="M69" s="16">
        <v>65481</v>
      </c>
      <c r="N69" s="16">
        <v>67080</v>
      </c>
      <c r="O69" s="16">
        <v>68093</v>
      </c>
      <c r="P69" s="16">
        <v>68420</v>
      </c>
      <c r="Q69" s="16">
        <v>67717</v>
      </c>
      <c r="R69" s="16">
        <v>67512</v>
      </c>
      <c r="S69" s="16">
        <v>65994</v>
      </c>
      <c r="T69" s="16">
        <v>65338</v>
      </c>
      <c r="U69" s="16">
        <v>62805</v>
      </c>
      <c r="V69" s="16">
        <v>59717</v>
      </c>
      <c r="W69" s="16">
        <v>60822</v>
      </c>
      <c r="X69" s="7">
        <v>-1.142992771924356E-2</v>
      </c>
      <c r="Y69" s="18">
        <v>-1.842730181834551E-2</v>
      </c>
      <c r="Z69" s="18">
        <v>-2.9791820339462372E-2</v>
      </c>
      <c r="AA69" s="18">
        <v>-2.0373915715332421E-2</v>
      </c>
    </row>
    <row r="70" spans="2:27" x14ac:dyDescent="0.3">
      <c r="B70" s="26">
        <v>6707</v>
      </c>
      <c r="C70" s="19" t="s">
        <v>409</v>
      </c>
      <c r="D70" s="19" t="str">
        <f>VLOOKUP(Revenue!B70,기업리스트!B:G,2,FALSE)</f>
        <v>Sanken Electric Co., Ltd.</v>
      </c>
      <c r="E70" s="19" t="s">
        <v>396</v>
      </c>
      <c r="F70" s="20">
        <v>-5.7</v>
      </c>
      <c r="G70" s="21">
        <v>42496</v>
      </c>
      <c r="H70" s="21">
        <v>46743</v>
      </c>
      <c r="I70" s="21">
        <v>49632</v>
      </c>
      <c r="J70" s="21">
        <v>56333</v>
      </c>
      <c r="K70" s="21">
        <v>57308</v>
      </c>
      <c r="L70" s="21">
        <v>62114</v>
      </c>
      <c r="M70" s="21">
        <v>59906</v>
      </c>
      <c r="N70" s="21">
        <v>61644</v>
      </c>
      <c r="O70" s="21">
        <v>58278</v>
      </c>
      <c r="P70" s="21">
        <v>55393</v>
      </c>
      <c r="Q70" s="21">
        <v>49828</v>
      </c>
      <c r="R70" s="21">
        <v>22964</v>
      </c>
      <c r="S70" s="21">
        <v>23299</v>
      </c>
      <c r="T70" s="21">
        <v>25528</v>
      </c>
      <c r="U70" s="21">
        <v>22238</v>
      </c>
      <c r="V70" s="21">
        <v>18773</v>
      </c>
      <c r="W70" s="21">
        <v>18146</v>
      </c>
      <c r="X70" s="22">
        <v>-0.19714953394417889</v>
      </c>
      <c r="Y70" s="23">
        <v>-0.2268560011182463</v>
      </c>
      <c r="Z70" s="23">
        <v>-4.4571355645598658E-2</v>
      </c>
      <c r="AA70" s="23">
        <v>-5.7358801398072028E-2</v>
      </c>
    </row>
    <row r="71" spans="2:27" x14ac:dyDescent="0.3">
      <c r="B71" s="12" t="s">
        <v>435</v>
      </c>
      <c r="C71" s="3" t="s">
        <v>411</v>
      </c>
      <c r="D71" s="3" t="str">
        <f>VLOOKUP(Revenue!B71,기업리스트!B:G,2,FALSE)</f>
        <v>Techno Electric &amp; Engineering Company Limited</v>
      </c>
      <c r="E71" s="3" t="s">
        <v>395</v>
      </c>
      <c r="F71" s="13">
        <v>16.600000000000001</v>
      </c>
      <c r="G71" s="4">
        <v>2735</v>
      </c>
      <c r="H71" s="4">
        <v>3034</v>
      </c>
      <c r="I71" s="4">
        <v>0</v>
      </c>
      <c r="J71" s="4">
        <v>1730</v>
      </c>
      <c r="K71" s="4">
        <v>2280</v>
      </c>
      <c r="L71" s="4">
        <v>1853</v>
      </c>
      <c r="M71" s="6">
        <v>3130</v>
      </c>
      <c r="N71" s="6">
        <v>2739</v>
      </c>
      <c r="O71" s="6">
        <v>4623</v>
      </c>
      <c r="P71" s="6">
        <v>3265</v>
      </c>
      <c r="Q71" s="4">
        <v>4396</v>
      </c>
      <c r="R71" s="4">
        <v>3754</v>
      </c>
      <c r="S71" s="4">
        <v>4414</v>
      </c>
      <c r="T71" s="6">
        <v>6361</v>
      </c>
      <c r="U71" s="6">
        <v>8158</v>
      </c>
      <c r="V71" s="4">
        <v>5260</v>
      </c>
      <c r="W71" s="6">
        <v>8434</v>
      </c>
      <c r="X71" s="10">
        <v>0.19559037210183841</v>
      </c>
      <c r="Y71" s="9">
        <v>0.19878467635402911</v>
      </c>
      <c r="Z71" s="8">
        <v>6.6381628245250512E-2</v>
      </c>
      <c r="AA71" s="9">
        <v>0.16616376637870461</v>
      </c>
    </row>
    <row r="72" spans="2:27" x14ac:dyDescent="0.3">
      <c r="B72" s="12" t="s">
        <v>436</v>
      </c>
      <c r="C72" s="3" t="s">
        <v>411</v>
      </c>
      <c r="D72" s="3" t="str">
        <f>VLOOKUP(Revenue!B72,기업리스트!B:G,2,FALSE)</f>
        <v>Prime Focus Limited</v>
      </c>
      <c r="E72" s="3" t="s">
        <v>396</v>
      </c>
      <c r="F72" s="5">
        <v>7.3</v>
      </c>
      <c r="G72" s="4">
        <v>8575</v>
      </c>
      <c r="H72" s="4">
        <v>10734</v>
      </c>
      <c r="I72" s="4">
        <v>10281</v>
      </c>
      <c r="J72" s="4">
        <v>10821</v>
      </c>
      <c r="K72" s="4">
        <v>11059</v>
      </c>
      <c r="L72" s="4">
        <v>14497</v>
      </c>
      <c r="M72" s="4">
        <v>12290</v>
      </c>
      <c r="N72" s="4">
        <v>10381</v>
      </c>
      <c r="O72" s="4">
        <v>8569</v>
      </c>
      <c r="P72" s="4">
        <v>8265</v>
      </c>
      <c r="Q72" s="4">
        <v>8236</v>
      </c>
      <c r="R72" s="4">
        <v>9072</v>
      </c>
      <c r="S72" s="4">
        <v>9198</v>
      </c>
      <c r="T72" s="4">
        <v>9483</v>
      </c>
      <c r="U72" s="4">
        <v>10313</v>
      </c>
      <c r="V72" s="4">
        <v>10609</v>
      </c>
      <c r="W72" s="4">
        <v>12072</v>
      </c>
      <c r="X72" s="7">
        <v>3.5029190992493797E-2</v>
      </c>
      <c r="Y72" s="8">
        <v>5.7712078690711037E-2</v>
      </c>
      <c r="Z72" s="8">
        <v>4.0377239531340203E-2</v>
      </c>
      <c r="AA72" s="8">
        <v>7.2570259828800943E-2</v>
      </c>
    </row>
    <row r="73" spans="2:27" x14ac:dyDescent="0.3">
      <c r="B73" s="12" t="s">
        <v>437</v>
      </c>
      <c r="C73" s="3" t="s">
        <v>411</v>
      </c>
      <c r="D73" s="3" t="str">
        <f>VLOOKUP(Revenue!B73,기업리스트!B:G,2,FALSE)</f>
        <v>Engineers India Limited</v>
      </c>
      <c r="E73" s="3" t="s">
        <v>395</v>
      </c>
      <c r="F73" s="5">
        <v>7</v>
      </c>
      <c r="G73" s="4">
        <v>6568</v>
      </c>
      <c r="H73" s="4">
        <v>6921</v>
      </c>
      <c r="I73" s="4">
        <v>8178</v>
      </c>
      <c r="J73" s="4">
        <v>8148</v>
      </c>
      <c r="K73" s="4">
        <v>7931</v>
      </c>
      <c r="L73" s="4">
        <v>8422</v>
      </c>
      <c r="M73" s="4">
        <v>8801</v>
      </c>
      <c r="N73" s="4">
        <v>8183</v>
      </c>
      <c r="O73" s="4">
        <v>7898</v>
      </c>
      <c r="P73" s="4">
        <v>8676</v>
      </c>
      <c r="Q73" s="4">
        <v>8051</v>
      </c>
      <c r="R73" s="4">
        <v>6238</v>
      </c>
      <c r="S73" s="4">
        <v>6889</v>
      </c>
      <c r="T73" s="4">
        <v>7646</v>
      </c>
      <c r="U73" s="4">
        <v>10102</v>
      </c>
      <c r="V73" s="4">
        <v>8704</v>
      </c>
      <c r="W73" s="4">
        <v>9213</v>
      </c>
      <c r="X73" s="7">
        <v>-3.4501239364909231E-2</v>
      </c>
      <c r="Y73" s="8">
        <v>7.1155981126838741E-2</v>
      </c>
      <c r="Z73" s="8">
        <v>7.9870445344129459E-2</v>
      </c>
      <c r="AA73" s="8">
        <v>6.9703968087339918E-2</v>
      </c>
    </row>
    <row r="74" spans="2:27" x14ac:dyDescent="0.3">
      <c r="B74" s="12" t="s">
        <v>198</v>
      </c>
      <c r="C74" s="3" t="s">
        <v>411</v>
      </c>
      <c r="D74" s="3" t="str">
        <f>VLOOKUP(Revenue!B74,기업리스트!B:G,2,FALSE)</f>
        <v>Kirloskar Oil Engines Limited</v>
      </c>
      <c r="E74" s="3" t="s">
        <v>395</v>
      </c>
      <c r="F74" s="5">
        <v>6.9</v>
      </c>
      <c r="G74" s="4">
        <v>10014</v>
      </c>
      <c r="H74" s="4">
        <v>10178</v>
      </c>
      <c r="I74" s="4">
        <v>11820</v>
      </c>
      <c r="J74" s="4">
        <v>11914</v>
      </c>
      <c r="K74" s="4">
        <v>12281</v>
      </c>
      <c r="L74" s="4">
        <v>12204</v>
      </c>
      <c r="M74" s="4">
        <v>13838</v>
      </c>
      <c r="N74" s="4">
        <v>15434</v>
      </c>
      <c r="O74" s="4">
        <v>13048</v>
      </c>
      <c r="P74" s="4">
        <v>13901</v>
      </c>
      <c r="Q74" s="4">
        <v>16600</v>
      </c>
      <c r="R74" s="4">
        <v>16356</v>
      </c>
      <c r="S74" s="4">
        <v>15003</v>
      </c>
      <c r="T74" s="4">
        <v>14537</v>
      </c>
      <c r="U74" s="4">
        <v>17529</v>
      </c>
      <c r="V74" s="4">
        <v>17638</v>
      </c>
      <c r="W74" s="4">
        <v>19484</v>
      </c>
      <c r="X74" s="7">
        <v>1.028128031037823E-2</v>
      </c>
      <c r="Y74" s="8">
        <v>1.486495135688681E-2</v>
      </c>
      <c r="Z74" s="8">
        <v>2.021284982262506E-2</v>
      </c>
      <c r="AA74" s="8">
        <v>6.9250622034710219E-2</v>
      </c>
    </row>
    <row r="75" spans="2:27" x14ac:dyDescent="0.3">
      <c r="B75" s="12" t="s">
        <v>200</v>
      </c>
      <c r="C75" s="3" t="s">
        <v>411</v>
      </c>
      <c r="D75" s="3" t="str">
        <f>VLOOKUP(Revenue!B75,기업리스트!B:G,2,FALSE)</f>
        <v>E.I.D.- Parry (India) Limited</v>
      </c>
      <c r="E75" s="3" t="s">
        <v>395</v>
      </c>
      <c r="F75" s="5">
        <v>6.8</v>
      </c>
      <c r="G75" s="4">
        <v>69784</v>
      </c>
      <c r="H75" s="4">
        <v>65287</v>
      </c>
      <c r="I75" s="4">
        <v>56595</v>
      </c>
      <c r="J75" s="4">
        <v>71465</v>
      </c>
      <c r="K75" s="6">
        <v>113276</v>
      </c>
      <c r="L75" s="6">
        <v>99166</v>
      </c>
      <c r="M75" s="4">
        <v>68531</v>
      </c>
      <c r="N75" s="4">
        <v>70265</v>
      </c>
      <c r="O75" s="4">
        <v>90595</v>
      </c>
      <c r="P75" s="4">
        <v>77701</v>
      </c>
      <c r="Q75" s="4">
        <v>55570</v>
      </c>
      <c r="R75" s="4">
        <v>67468</v>
      </c>
      <c r="S75" s="4">
        <v>93304</v>
      </c>
      <c r="T75" s="4">
        <v>87204</v>
      </c>
      <c r="U75" s="4">
        <v>68111</v>
      </c>
      <c r="V75" s="4">
        <v>87237</v>
      </c>
      <c r="W75" s="4">
        <v>116244</v>
      </c>
      <c r="X75" s="7">
        <v>3.2318402410531848E-2</v>
      </c>
      <c r="Y75" s="8">
        <v>4.1314990149763142E-2</v>
      </c>
      <c r="Z75" s="8">
        <v>6.2542907490659161E-2</v>
      </c>
      <c r="AA75" s="8">
        <v>6.8303082273355242E-2</v>
      </c>
    </row>
    <row r="76" spans="2:27" x14ac:dyDescent="0.3">
      <c r="B76" s="12" t="s">
        <v>63</v>
      </c>
      <c r="C76" s="3" t="s">
        <v>411</v>
      </c>
      <c r="D76" s="3" t="str">
        <f>VLOOKUP(Revenue!B76,기업리스트!B:G,2,FALSE)</f>
        <v>Zydus Lifesciences Limited</v>
      </c>
      <c r="E76" s="3" t="s">
        <v>396</v>
      </c>
      <c r="F76" s="5">
        <v>6.5</v>
      </c>
      <c r="G76" s="4">
        <v>36550</v>
      </c>
      <c r="H76" s="4">
        <v>36447</v>
      </c>
      <c r="I76" s="4">
        <v>40727</v>
      </c>
      <c r="J76" s="4">
        <v>41347</v>
      </c>
      <c r="K76" s="4">
        <v>43623</v>
      </c>
      <c r="L76" s="4">
        <v>46677</v>
      </c>
      <c r="M76" s="4">
        <v>51396</v>
      </c>
      <c r="N76" s="4">
        <v>43688</v>
      </c>
      <c r="O76" s="4">
        <v>45052</v>
      </c>
      <c r="P76" s="4">
        <v>55338</v>
      </c>
      <c r="Q76" s="4">
        <v>62075</v>
      </c>
      <c r="R76" s="4">
        <v>52370</v>
      </c>
      <c r="S76" s="4">
        <v>52691</v>
      </c>
      <c r="T76" s="4">
        <v>65279</v>
      </c>
      <c r="U76" s="4">
        <v>65737</v>
      </c>
      <c r="V76" s="4">
        <v>61232</v>
      </c>
      <c r="W76" s="4">
        <v>68645</v>
      </c>
      <c r="X76" s="7">
        <v>4.4683873171696531E-2</v>
      </c>
      <c r="Y76" s="8">
        <v>1.575629800141987E-2</v>
      </c>
      <c r="Z76" s="8">
        <v>3.7538599694167507E-2</v>
      </c>
      <c r="AA76" s="8">
        <v>6.5134584529209283E-2</v>
      </c>
    </row>
    <row r="77" spans="2:27" x14ac:dyDescent="0.3">
      <c r="B77" s="12" t="s">
        <v>302</v>
      </c>
      <c r="C77" s="3" t="s">
        <v>411</v>
      </c>
      <c r="D77" s="3" t="str">
        <f>VLOOKUP(Revenue!B77,기업리스트!B:G,2,FALSE)</f>
        <v>Galaxy Surfactants Limited</v>
      </c>
      <c r="E77" s="3" t="s">
        <v>395</v>
      </c>
      <c r="F77" s="5">
        <v>5.8</v>
      </c>
      <c r="G77" s="4">
        <v>8773</v>
      </c>
      <c r="H77" s="4">
        <v>9291</v>
      </c>
      <c r="I77" s="4">
        <v>10529</v>
      </c>
      <c r="J77" s="4">
        <v>11589</v>
      </c>
      <c r="K77" s="4">
        <v>12316</v>
      </c>
      <c r="L77" s="4">
        <v>10803</v>
      </c>
      <c r="M77" s="4">
        <v>9933</v>
      </c>
      <c r="N77" s="4">
        <v>9418</v>
      </c>
      <c r="O77" s="4">
        <v>9831</v>
      </c>
      <c r="P77" s="4">
        <v>9405</v>
      </c>
      <c r="Q77" s="4">
        <v>9290</v>
      </c>
      <c r="R77" s="4">
        <v>9741</v>
      </c>
      <c r="S77" s="4">
        <v>10630</v>
      </c>
      <c r="T77" s="4">
        <v>10417</v>
      </c>
      <c r="U77" s="4">
        <v>11449</v>
      </c>
      <c r="V77" s="4">
        <v>12779</v>
      </c>
      <c r="W77" s="4">
        <v>13262</v>
      </c>
      <c r="X77" s="7">
        <v>2.5904878922848429E-2</v>
      </c>
      <c r="Y77" s="8">
        <v>5.3869953590498509E-2</v>
      </c>
      <c r="Z77" s="8">
        <v>7.1927456969008263E-2</v>
      </c>
      <c r="AA77" s="8">
        <v>5.8133627829928258E-2</v>
      </c>
    </row>
    <row r="78" spans="2:27" x14ac:dyDescent="0.3">
      <c r="B78" s="12" t="s">
        <v>152</v>
      </c>
      <c r="C78" s="3" t="s">
        <v>411</v>
      </c>
      <c r="D78" s="3" t="str">
        <f>VLOOKUP(Revenue!B78,기업리스트!B:G,2,FALSE)</f>
        <v>Pfizer Limited</v>
      </c>
      <c r="E78" s="3" t="s">
        <v>396</v>
      </c>
      <c r="F78" s="5">
        <v>4.5</v>
      </c>
      <c r="G78" s="4">
        <v>6759</v>
      </c>
      <c r="H78" s="4">
        <v>5497</v>
      </c>
      <c r="I78" s="4">
        <v>5929</v>
      </c>
      <c r="J78" s="4">
        <v>6375</v>
      </c>
      <c r="K78" s="4">
        <v>6218</v>
      </c>
      <c r="L78" s="4">
        <v>5726</v>
      </c>
      <c r="M78" s="4">
        <v>5314</v>
      </c>
      <c r="N78" s="4">
        <v>5752</v>
      </c>
      <c r="O78" s="4">
        <v>5400</v>
      </c>
      <c r="P78" s="4">
        <v>5466</v>
      </c>
      <c r="Q78" s="4">
        <v>5629</v>
      </c>
      <c r="R78" s="4">
        <v>5886</v>
      </c>
      <c r="S78" s="4">
        <v>5380</v>
      </c>
      <c r="T78" s="4">
        <v>5919</v>
      </c>
      <c r="U78" s="4">
        <v>6031</v>
      </c>
      <c r="V78" s="4">
        <v>6423</v>
      </c>
      <c r="W78" s="4">
        <v>6450</v>
      </c>
      <c r="X78" s="7">
        <v>2.025848575645095E-2</v>
      </c>
      <c r="Y78" s="8">
        <v>1.7620759182957801E-2</v>
      </c>
      <c r="Z78" s="8">
        <v>2.313059958649211E-2</v>
      </c>
      <c r="AA78" s="8">
        <v>4.5046941438976029E-2</v>
      </c>
    </row>
    <row r="79" spans="2:27" x14ac:dyDescent="0.3">
      <c r="B79" s="12" t="s">
        <v>117</v>
      </c>
      <c r="C79" s="3" t="s">
        <v>411</v>
      </c>
      <c r="D79" s="3" t="str">
        <f>VLOOKUP(Revenue!B79,기업리스트!B:G,2,FALSE)</f>
        <v>Cholamandalam Financial Holdings Limited</v>
      </c>
      <c r="E79" s="3" t="s">
        <v>395</v>
      </c>
      <c r="F79" s="5">
        <v>4.0999999999999996</v>
      </c>
      <c r="G79" s="4">
        <v>28170</v>
      </c>
      <c r="H79" s="4">
        <v>27116</v>
      </c>
      <c r="I79" s="4">
        <v>29350</v>
      </c>
      <c r="J79" s="4">
        <v>26916</v>
      </c>
      <c r="K79" s="4">
        <v>29734</v>
      </c>
      <c r="L79" s="4">
        <v>35163</v>
      </c>
      <c r="M79" s="4">
        <v>23788</v>
      </c>
      <c r="N79" s="4">
        <v>36337</v>
      </c>
      <c r="O79" s="4">
        <v>42109</v>
      </c>
      <c r="P79" s="4">
        <v>40001</v>
      </c>
      <c r="Q79" s="6">
        <v>43897</v>
      </c>
      <c r="R79" s="4">
        <v>47951</v>
      </c>
      <c r="S79" s="4">
        <v>48701</v>
      </c>
      <c r="T79" s="4">
        <v>45454</v>
      </c>
      <c r="U79" s="4">
        <v>50013</v>
      </c>
      <c r="V79" s="4">
        <v>54297</v>
      </c>
      <c r="W79" s="4">
        <v>56867</v>
      </c>
      <c r="X79" s="7">
        <v>3.0202160066463479E-2</v>
      </c>
      <c r="Y79" s="8">
        <v>3.2881190088331902E-2</v>
      </c>
      <c r="Z79" s="8">
        <v>3.3031610616336859E-2</v>
      </c>
      <c r="AA79" s="8">
        <v>4.1145793968709883E-2</v>
      </c>
    </row>
    <row r="80" spans="2:27" x14ac:dyDescent="0.3">
      <c r="B80" s="12" t="s">
        <v>311</v>
      </c>
      <c r="C80" s="3" t="s">
        <v>411</v>
      </c>
      <c r="D80" s="3" t="str">
        <f>VLOOKUP(Revenue!B80,기업리스트!B:G,2,FALSE)</f>
        <v>Power Mech Projects Limited</v>
      </c>
      <c r="E80" s="3" t="s">
        <v>395</v>
      </c>
      <c r="F80" s="5">
        <v>3.7</v>
      </c>
      <c r="G80" s="4">
        <v>5393</v>
      </c>
      <c r="H80" s="4">
        <v>6459</v>
      </c>
      <c r="I80" s="4">
        <v>9024</v>
      </c>
      <c r="J80" s="4">
        <v>7466</v>
      </c>
      <c r="K80" s="4">
        <v>7714</v>
      </c>
      <c r="L80" s="4">
        <v>9091</v>
      </c>
      <c r="M80" s="4">
        <v>11741</v>
      </c>
      <c r="N80" s="4">
        <v>8651</v>
      </c>
      <c r="O80" s="4">
        <v>9325</v>
      </c>
      <c r="P80" s="4">
        <v>11075</v>
      </c>
      <c r="Q80" s="4">
        <v>13015</v>
      </c>
      <c r="R80" s="4">
        <v>10074</v>
      </c>
      <c r="S80" s="4">
        <v>10355</v>
      </c>
      <c r="T80" s="4">
        <v>13380</v>
      </c>
      <c r="U80" s="6">
        <v>18533</v>
      </c>
      <c r="V80" s="4">
        <v>12934</v>
      </c>
      <c r="W80" s="4">
        <v>12379</v>
      </c>
      <c r="X80" s="7">
        <v>5.1775646353242388E-2</v>
      </c>
      <c r="Y80" s="9">
        <v>0.1178455492909618</v>
      </c>
      <c r="Z80" s="8">
        <v>5.4640632761453478E-2</v>
      </c>
      <c r="AA80" s="8">
        <v>3.6665338212383602E-2</v>
      </c>
    </row>
    <row r="81" spans="2:27" x14ac:dyDescent="0.3">
      <c r="B81" s="12" t="s">
        <v>342</v>
      </c>
      <c r="C81" s="3" t="s">
        <v>411</v>
      </c>
      <c r="D81" s="3" t="str">
        <f>VLOOKUP(Revenue!B81,기업리스트!B:G,2,FALSE)</f>
        <v>Vertoz Limited</v>
      </c>
      <c r="E81" s="3" t="s">
        <v>396</v>
      </c>
      <c r="F81" s="5">
        <v>3.4</v>
      </c>
      <c r="G81" s="4">
        <v>122.47</v>
      </c>
      <c r="H81" s="4">
        <v>100.02</v>
      </c>
      <c r="I81" s="4">
        <v>110.67</v>
      </c>
      <c r="J81" s="4">
        <v>164.57</v>
      </c>
      <c r="K81" s="6">
        <v>215.82</v>
      </c>
      <c r="L81" s="6">
        <v>343.21</v>
      </c>
      <c r="M81" s="6">
        <v>339.19</v>
      </c>
      <c r="N81" s="6">
        <v>376.55</v>
      </c>
      <c r="O81" s="6">
        <v>552.29999999999995</v>
      </c>
      <c r="P81" s="4">
        <v>285.62</v>
      </c>
      <c r="Q81" s="6">
        <v>601.73</v>
      </c>
      <c r="R81" s="6">
        <v>636.48</v>
      </c>
      <c r="S81" s="4">
        <v>661.99</v>
      </c>
      <c r="T81" s="6">
        <v>651.79999999999995</v>
      </c>
      <c r="U81" s="4">
        <v>704.9</v>
      </c>
      <c r="V81" s="4">
        <v>722.62</v>
      </c>
      <c r="W81" s="4">
        <v>754.17</v>
      </c>
      <c r="X81" s="10">
        <v>0.16752523080583009</v>
      </c>
      <c r="Y81" s="8">
        <v>4.0427115987460738E-2</v>
      </c>
      <c r="Z81" s="8">
        <v>3.244236715539861E-2</v>
      </c>
      <c r="AA81" s="8">
        <v>3.362625897837157E-2</v>
      </c>
    </row>
    <row r="82" spans="2:27" x14ac:dyDescent="0.3">
      <c r="B82" s="12" t="s">
        <v>262</v>
      </c>
      <c r="C82" s="3" t="s">
        <v>411</v>
      </c>
      <c r="D82" s="3" t="str">
        <f>VLOOKUP(Revenue!B82,기업리스트!B:G,2,FALSE)</f>
        <v>ESAB India Limited</v>
      </c>
      <c r="E82" s="3" t="s">
        <v>395</v>
      </c>
      <c r="F82" s="5">
        <v>3.1</v>
      </c>
      <c r="G82" s="4">
        <v>2212</v>
      </c>
      <c r="H82" s="4">
        <v>2257</v>
      </c>
      <c r="I82" s="4">
        <v>2682</v>
      </c>
      <c r="J82" s="4">
        <v>2435</v>
      </c>
      <c r="K82" s="4">
        <v>2765</v>
      </c>
      <c r="L82" s="4">
        <v>2674</v>
      </c>
      <c r="M82" s="4">
        <v>3017</v>
      </c>
      <c r="N82" s="4">
        <v>2983</v>
      </c>
      <c r="O82" s="4">
        <v>3031</v>
      </c>
      <c r="P82" s="4">
        <v>3015</v>
      </c>
      <c r="Q82" s="4">
        <v>3409</v>
      </c>
      <c r="R82" s="4">
        <v>3296</v>
      </c>
      <c r="S82" s="4">
        <v>3387</v>
      </c>
      <c r="T82" s="4">
        <v>3375</v>
      </c>
      <c r="U82" s="4">
        <v>3677</v>
      </c>
      <c r="V82" s="4">
        <v>3520</v>
      </c>
      <c r="W82" s="4">
        <v>3816</v>
      </c>
      <c r="X82" s="7">
        <v>2.7466239414053462E-2</v>
      </c>
      <c r="Y82" s="8">
        <v>1.990049751243772E-2</v>
      </c>
      <c r="Z82" s="8">
        <v>1.6308700400436749E-2</v>
      </c>
      <c r="AA82" s="8">
        <v>3.0732860520094499E-2</v>
      </c>
    </row>
    <row r="83" spans="2:27" x14ac:dyDescent="0.3">
      <c r="B83" s="12" t="s">
        <v>265</v>
      </c>
      <c r="C83" s="3" t="s">
        <v>411</v>
      </c>
      <c r="D83" s="3" t="str">
        <f>VLOOKUP(Revenue!B83,기업리스트!B:G,2,FALSE)</f>
        <v>Time Technoplast Limited</v>
      </c>
      <c r="E83" s="3" t="s">
        <v>395</v>
      </c>
      <c r="F83" s="5">
        <v>2.5</v>
      </c>
      <c r="G83" s="4">
        <v>9150</v>
      </c>
      <c r="H83" s="4">
        <v>9427</v>
      </c>
      <c r="I83" s="4">
        <v>10400</v>
      </c>
      <c r="J83" s="4">
        <v>9450</v>
      </c>
      <c r="K83" s="4">
        <v>10244</v>
      </c>
      <c r="L83" s="4">
        <v>11307</v>
      </c>
      <c r="M83" s="4">
        <v>11917</v>
      </c>
      <c r="N83" s="4">
        <v>10803</v>
      </c>
      <c r="O83" s="4">
        <v>11945</v>
      </c>
      <c r="P83" s="4">
        <v>13266</v>
      </c>
      <c r="Q83" s="4">
        <v>13942</v>
      </c>
      <c r="R83" s="4">
        <v>12301</v>
      </c>
      <c r="S83" s="4">
        <v>13715</v>
      </c>
      <c r="T83" s="4">
        <v>13877</v>
      </c>
      <c r="U83" s="4">
        <v>14730</v>
      </c>
      <c r="V83" s="4">
        <v>13536</v>
      </c>
      <c r="W83" s="4">
        <v>15122</v>
      </c>
      <c r="X83" s="7">
        <v>1.1479783556290309E-2</v>
      </c>
      <c r="Y83" s="8">
        <v>1.4637317730101129E-2</v>
      </c>
      <c r="Z83" s="8">
        <v>2.2609523460813241E-2</v>
      </c>
      <c r="AA83" s="8">
        <v>2.5188871782018781E-2</v>
      </c>
    </row>
    <row r="84" spans="2:27" x14ac:dyDescent="0.3">
      <c r="B84" s="12" t="s">
        <v>290</v>
      </c>
      <c r="C84" s="3" t="s">
        <v>411</v>
      </c>
      <c r="D84" s="3" t="str">
        <f>VLOOKUP(Revenue!B84,기업리스트!B:G,2,FALSE)</f>
        <v>Happiest Minds Technologies Limited</v>
      </c>
      <c r="E84" s="3" t="s">
        <v>395</v>
      </c>
      <c r="F84" s="5">
        <v>2.4</v>
      </c>
      <c r="G84" s="4">
        <v>2645</v>
      </c>
      <c r="H84" s="4">
        <v>2839</v>
      </c>
      <c r="I84" s="4">
        <v>3006</v>
      </c>
      <c r="J84" s="4">
        <v>3289</v>
      </c>
      <c r="K84" s="4">
        <v>3555</v>
      </c>
      <c r="L84" s="4">
        <v>3669</v>
      </c>
      <c r="M84" s="4">
        <v>3780</v>
      </c>
      <c r="N84" s="4">
        <v>3909</v>
      </c>
      <c r="O84" s="4">
        <v>4066</v>
      </c>
      <c r="P84" s="4">
        <v>4099</v>
      </c>
      <c r="Q84" s="4">
        <v>4173</v>
      </c>
      <c r="R84" s="4">
        <v>4638</v>
      </c>
      <c r="S84" s="4">
        <v>5216</v>
      </c>
      <c r="T84" s="4">
        <v>5308</v>
      </c>
      <c r="U84" s="4">
        <v>5446</v>
      </c>
      <c r="V84" s="4">
        <v>5499</v>
      </c>
      <c r="W84" s="4">
        <v>5736</v>
      </c>
      <c r="X84" s="7">
        <v>6.66997682886461E-2</v>
      </c>
      <c r="Y84" s="8">
        <v>6.5839151797258966E-2</v>
      </c>
      <c r="Z84" s="8">
        <v>4.1779891304347887E-2</v>
      </c>
      <c r="AA84" s="8">
        <v>2.4220969770366581E-2</v>
      </c>
    </row>
    <row r="85" spans="2:27" x14ac:dyDescent="0.3">
      <c r="B85" s="12" t="s">
        <v>85</v>
      </c>
      <c r="C85" s="3" t="s">
        <v>411</v>
      </c>
      <c r="D85" s="3" t="str">
        <f>VLOOKUP(Revenue!B85,기업리스트!B:G,2,FALSE)</f>
        <v>Aurobindo Pharma Limited</v>
      </c>
      <c r="E85" s="3" t="s">
        <v>396</v>
      </c>
      <c r="F85" s="5">
        <v>2.1</v>
      </c>
      <c r="G85" s="4">
        <v>60022</v>
      </c>
      <c r="H85" s="4">
        <v>58094</v>
      </c>
      <c r="I85" s="4">
        <v>62359</v>
      </c>
      <c r="J85" s="4">
        <v>57394</v>
      </c>
      <c r="K85" s="4">
        <v>64071</v>
      </c>
      <c r="L85" s="4">
        <v>64730</v>
      </c>
      <c r="M85" s="4">
        <v>68505</v>
      </c>
      <c r="N85" s="4">
        <v>72194</v>
      </c>
      <c r="O85" s="4">
        <v>73518</v>
      </c>
      <c r="P85" s="4">
        <v>75802</v>
      </c>
      <c r="Q85" s="4">
        <v>75670</v>
      </c>
      <c r="R85" s="4">
        <v>77961</v>
      </c>
      <c r="S85" s="4">
        <v>79785</v>
      </c>
      <c r="T85" s="4">
        <v>83821</v>
      </c>
      <c r="U85" s="4">
        <v>78681</v>
      </c>
      <c r="V85" s="4">
        <v>82857</v>
      </c>
      <c r="W85" s="4">
        <v>86459</v>
      </c>
      <c r="X85" s="7">
        <v>2.5933160424037371E-2</v>
      </c>
      <c r="Y85" s="8">
        <v>9.4913266737486346E-3</v>
      </c>
      <c r="Z85" s="8">
        <v>1.5288151682446131E-2</v>
      </c>
      <c r="AA85" s="8">
        <v>2.0526289890018031E-2</v>
      </c>
    </row>
    <row r="86" spans="2:27" x14ac:dyDescent="0.3">
      <c r="B86" s="12" t="s">
        <v>237</v>
      </c>
      <c r="C86" s="3" t="s">
        <v>411</v>
      </c>
      <c r="D86" s="3" t="str">
        <f>VLOOKUP(Revenue!B86,기업리스트!B:G,2,FALSE)</f>
        <v>Sansera Engineering Limited</v>
      </c>
      <c r="E86" s="3" t="s">
        <v>395</v>
      </c>
      <c r="F86" s="5">
        <v>2</v>
      </c>
      <c r="G86" s="4">
        <v>5397</v>
      </c>
      <c r="H86" s="4">
        <v>4854</v>
      </c>
      <c r="I86" s="4">
        <v>5743</v>
      </c>
      <c r="J86" s="4">
        <v>5307</v>
      </c>
      <c r="K86" s="4">
        <v>6337</v>
      </c>
      <c r="L86" s="4">
        <v>5573</v>
      </c>
      <c r="M86" s="4">
        <v>6249</v>
      </c>
      <c r="N86" s="4">
        <v>6601</v>
      </c>
      <c r="O86" s="4">
        <v>6929</v>
      </c>
      <c r="P86" s="4">
        <v>7126</v>
      </c>
      <c r="Q86" s="4">
        <v>7458</v>
      </c>
      <c r="R86" s="4">
        <v>7439</v>
      </c>
      <c r="S86" s="4">
        <v>7634</v>
      </c>
      <c r="T86" s="4">
        <v>7278</v>
      </c>
      <c r="U86" s="4">
        <v>7817</v>
      </c>
      <c r="V86" s="4">
        <v>7663</v>
      </c>
      <c r="W86" s="4">
        <v>8252</v>
      </c>
      <c r="X86" s="7">
        <v>5.1252655359612653E-3</v>
      </c>
      <c r="Y86" s="8">
        <v>1.2043342614646679E-2</v>
      </c>
      <c r="Z86" s="8">
        <v>7.4250861840361448E-3</v>
      </c>
      <c r="AA86" s="8">
        <v>2.0334298499605111E-2</v>
      </c>
    </row>
    <row r="87" spans="2:27" x14ac:dyDescent="0.3">
      <c r="B87" s="12" t="s">
        <v>166</v>
      </c>
      <c r="C87" s="3" t="s">
        <v>411</v>
      </c>
      <c r="D87" s="3" t="str">
        <f>VLOOKUP(Revenue!B87,기업리스트!B:G,2,FALSE)</f>
        <v>Schneider Electric Infrastructure Limited</v>
      </c>
      <c r="E87" s="3" t="s">
        <v>395</v>
      </c>
      <c r="F87" s="5">
        <v>1.9</v>
      </c>
      <c r="G87" s="4">
        <v>3017</v>
      </c>
      <c r="H87" s="4">
        <v>6005</v>
      </c>
      <c r="I87" s="4">
        <v>3400</v>
      </c>
      <c r="J87" s="4">
        <v>3715</v>
      </c>
      <c r="K87" s="4">
        <v>4208</v>
      </c>
      <c r="L87" s="4">
        <v>5744</v>
      </c>
      <c r="M87" s="4">
        <v>4105</v>
      </c>
      <c r="N87" s="4">
        <v>4953</v>
      </c>
      <c r="O87" s="4">
        <v>4958</v>
      </c>
      <c r="P87" s="4">
        <v>7439</v>
      </c>
      <c r="Q87" s="4">
        <v>4718</v>
      </c>
      <c r="R87" s="4">
        <v>5929</v>
      </c>
      <c r="S87" s="4">
        <v>5997</v>
      </c>
      <c r="T87" s="4">
        <v>8572</v>
      </c>
      <c r="U87" s="4">
        <v>5869</v>
      </c>
      <c r="V87" s="4">
        <v>6216</v>
      </c>
      <c r="W87" s="4">
        <v>6501</v>
      </c>
      <c r="X87" s="7">
        <v>4.7045633849603467E-2</v>
      </c>
      <c r="Y87" s="8">
        <v>4.5645621827411283E-2</v>
      </c>
      <c r="Z87" s="8">
        <v>1.088481814389208E-2</v>
      </c>
      <c r="AA87" s="8">
        <v>1.8908981766339039E-2</v>
      </c>
    </row>
    <row r="88" spans="2:27" x14ac:dyDescent="0.3">
      <c r="B88" s="12" t="s">
        <v>142</v>
      </c>
      <c r="C88" s="3" t="s">
        <v>411</v>
      </c>
      <c r="D88" s="3" t="str">
        <f>VLOOKUP(Revenue!B88,기업리스트!B:G,2,FALSE)</f>
        <v>The Ramco Cements Limited</v>
      </c>
      <c r="E88" s="3" t="s">
        <v>396</v>
      </c>
      <c r="F88" s="5">
        <v>1.4</v>
      </c>
      <c r="G88" s="4">
        <v>15525</v>
      </c>
      <c r="H88" s="4">
        <v>17134</v>
      </c>
      <c r="I88" s="4">
        <v>17794</v>
      </c>
      <c r="J88" s="4">
        <v>17937</v>
      </c>
      <c r="K88" s="4">
        <v>20116</v>
      </c>
      <c r="L88" s="6">
        <v>25725</v>
      </c>
      <c r="M88" s="4">
        <v>22467</v>
      </c>
      <c r="N88" s="4">
        <v>23406</v>
      </c>
      <c r="O88" s="4">
        <v>21109</v>
      </c>
      <c r="P88" s="4">
        <v>26782</v>
      </c>
      <c r="Q88" s="4">
        <v>20936</v>
      </c>
      <c r="R88" s="4">
        <v>20441</v>
      </c>
      <c r="S88" s="4">
        <v>19835</v>
      </c>
      <c r="T88" s="4">
        <v>23973</v>
      </c>
      <c r="U88" s="4">
        <v>20740</v>
      </c>
      <c r="V88" s="4">
        <v>22387</v>
      </c>
      <c r="W88" s="4">
        <v>21057</v>
      </c>
      <c r="X88" s="7">
        <v>-3.1922631088483262E-2</v>
      </c>
      <c r="Y88" s="8">
        <v>-2.3008745671185831E-3</v>
      </c>
      <c r="Z88" s="8">
        <v>2.2897080798691679E-2</v>
      </c>
      <c r="AA88" s="8">
        <v>1.4056478978547121E-2</v>
      </c>
    </row>
    <row r="89" spans="2:27" x14ac:dyDescent="0.3">
      <c r="B89" s="12" t="s">
        <v>221</v>
      </c>
      <c r="C89" s="3" t="s">
        <v>411</v>
      </c>
      <c r="D89" s="3" t="str">
        <f>VLOOKUP(Revenue!B89,기업리스트!B:G,2,FALSE)</f>
        <v>Trident Limited</v>
      </c>
      <c r="E89" s="3" t="s">
        <v>395</v>
      </c>
      <c r="F89" s="5">
        <v>1.1000000000000001</v>
      </c>
      <c r="G89" s="4">
        <v>16916</v>
      </c>
      <c r="H89" s="4">
        <v>19800</v>
      </c>
      <c r="I89" s="4">
        <v>18699</v>
      </c>
      <c r="J89" s="4">
        <v>16799</v>
      </c>
      <c r="K89" s="4">
        <v>14377</v>
      </c>
      <c r="L89" s="4">
        <v>16414</v>
      </c>
      <c r="M89" s="4">
        <v>15733</v>
      </c>
      <c r="N89" s="4">
        <v>14937</v>
      </c>
      <c r="O89" s="4">
        <v>17975</v>
      </c>
      <c r="P89" s="4">
        <v>18353</v>
      </c>
      <c r="Q89" s="4">
        <v>16823</v>
      </c>
      <c r="R89" s="4">
        <v>17427</v>
      </c>
      <c r="S89" s="4">
        <v>17129</v>
      </c>
      <c r="T89" s="4">
        <v>16671</v>
      </c>
      <c r="U89" s="4">
        <v>18643</v>
      </c>
      <c r="V89" s="4">
        <v>17069</v>
      </c>
      <c r="W89" s="4">
        <v>17872</v>
      </c>
      <c r="X89" s="7">
        <v>-2.4120920094074409E-2</v>
      </c>
      <c r="Y89" s="8">
        <v>2.6745040411462199E-2</v>
      </c>
      <c r="Z89" s="8">
        <v>-5.1238013453556164E-3</v>
      </c>
      <c r="AA89" s="8">
        <v>1.068880193347921E-2</v>
      </c>
    </row>
    <row r="90" spans="2:27" x14ac:dyDescent="0.3">
      <c r="B90" s="12" t="s">
        <v>324</v>
      </c>
      <c r="C90" s="3" t="s">
        <v>411</v>
      </c>
      <c r="D90" s="3" t="str">
        <f>VLOOKUP(Revenue!B90,기업리스트!B:G,2,FALSE)</f>
        <v>Indigo Paints Limited</v>
      </c>
      <c r="E90" s="3" t="s">
        <v>395</v>
      </c>
      <c r="F90" s="5">
        <v>0.9</v>
      </c>
      <c r="G90" s="4">
        <v>1961</v>
      </c>
      <c r="H90" s="4">
        <v>2655</v>
      </c>
      <c r="I90" s="4">
        <v>2884</v>
      </c>
      <c r="J90" s="4">
        <v>2240</v>
      </c>
      <c r="K90" s="4">
        <v>2426</v>
      </c>
      <c r="L90" s="4">
        <v>2813</v>
      </c>
      <c r="M90" s="4">
        <v>3255</v>
      </c>
      <c r="N90" s="4">
        <v>2884</v>
      </c>
      <c r="O90" s="4">
        <v>2790</v>
      </c>
      <c r="P90" s="4">
        <v>3538</v>
      </c>
      <c r="Q90" s="4">
        <v>3849</v>
      </c>
      <c r="R90" s="4">
        <v>3110</v>
      </c>
      <c r="S90" s="4">
        <v>2995</v>
      </c>
      <c r="T90" s="4">
        <v>3426</v>
      </c>
      <c r="U90" s="4">
        <v>3876</v>
      </c>
      <c r="V90" s="4">
        <v>3089</v>
      </c>
      <c r="W90" s="4">
        <v>3121</v>
      </c>
      <c r="X90" s="7">
        <v>-8.3012155351319672E-3</v>
      </c>
      <c r="Y90" s="8">
        <v>2.0179372197308698E-3</v>
      </c>
      <c r="Z90" s="8">
        <v>-1.5663459386887619E-3</v>
      </c>
      <c r="AA90" s="8">
        <v>9.4128193635141244E-3</v>
      </c>
    </row>
    <row r="91" spans="2:27" x14ac:dyDescent="0.3">
      <c r="B91" s="12" t="s">
        <v>150</v>
      </c>
      <c r="C91" s="3" t="s">
        <v>411</v>
      </c>
      <c r="D91" s="3" t="str">
        <f>VLOOKUP(Revenue!B91,기업리스트!B:G,2,FALSE)</f>
        <v>EIH Limited</v>
      </c>
      <c r="E91" s="3" t="s">
        <v>395</v>
      </c>
      <c r="F91" s="5">
        <v>-0.9</v>
      </c>
      <c r="G91" s="4">
        <v>2479</v>
      </c>
      <c r="H91" s="4">
        <v>3789</v>
      </c>
      <c r="I91" s="4">
        <v>0</v>
      </c>
      <c r="J91" s="4">
        <v>4123</v>
      </c>
      <c r="K91" s="6">
        <v>4170</v>
      </c>
      <c r="L91" s="6">
        <v>6032</v>
      </c>
      <c r="M91" s="6">
        <v>6355</v>
      </c>
      <c r="N91" s="4">
        <v>5226</v>
      </c>
      <c r="O91" s="4">
        <v>5525</v>
      </c>
      <c r="P91" s="4">
        <v>7699</v>
      </c>
      <c r="Q91" s="4">
        <v>7218</v>
      </c>
      <c r="R91" s="4">
        <v>5599</v>
      </c>
      <c r="S91" s="4">
        <v>6226</v>
      </c>
      <c r="T91" s="4">
        <v>8312</v>
      </c>
      <c r="U91" s="4">
        <v>7841</v>
      </c>
      <c r="V91" s="4">
        <v>6091</v>
      </c>
      <c r="W91" s="4">
        <v>5979</v>
      </c>
      <c r="X91" s="7">
        <v>2.2922743250317849E-2</v>
      </c>
      <c r="Y91" s="8">
        <v>2.2774629866569199E-2</v>
      </c>
      <c r="Z91" s="8">
        <v>1.758524555007512E-2</v>
      </c>
      <c r="AA91" s="8">
        <v>-8.6757990867579737E-3</v>
      </c>
    </row>
    <row r="92" spans="2:27" x14ac:dyDescent="0.3">
      <c r="B92" s="12" t="s">
        <v>122</v>
      </c>
      <c r="C92" s="3" t="s">
        <v>411</v>
      </c>
      <c r="D92" s="3" t="str">
        <f>VLOOKUP(Revenue!B92,기업리스트!B:G,2,FALSE)</f>
        <v>K.P.R. Mill Limited</v>
      </c>
      <c r="E92" s="3" t="s">
        <v>396</v>
      </c>
      <c r="F92" s="5">
        <v>-0.9</v>
      </c>
      <c r="G92" s="4">
        <v>12605</v>
      </c>
      <c r="H92" s="4">
        <v>14469</v>
      </c>
      <c r="I92" s="4">
        <v>15848</v>
      </c>
      <c r="J92" s="4">
        <v>12200</v>
      </c>
      <c r="K92" s="4">
        <v>14314</v>
      </c>
      <c r="L92" s="4">
        <v>19497</v>
      </c>
      <c r="M92" s="4">
        <v>16107</v>
      </c>
      <c r="N92" s="4">
        <v>15109</v>
      </c>
      <c r="O92" s="4">
        <v>12413</v>
      </c>
      <c r="P92" s="4">
        <v>16967</v>
      </c>
      <c r="Q92" s="4">
        <v>16097</v>
      </c>
      <c r="R92" s="4">
        <v>14800</v>
      </c>
      <c r="S92" s="4">
        <v>15292</v>
      </c>
      <c r="T92" s="4">
        <v>17690</v>
      </c>
      <c r="U92" s="4">
        <v>17663</v>
      </c>
      <c r="V92" s="4">
        <v>16320</v>
      </c>
      <c r="W92" s="4">
        <v>14674</v>
      </c>
      <c r="X92" s="7">
        <v>1.144784343530314E-2</v>
      </c>
      <c r="Y92" s="8">
        <v>2.451509885877989E-2</v>
      </c>
      <c r="Z92" s="8">
        <v>2.3225609290243639E-2</v>
      </c>
      <c r="AA92" s="8">
        <v>-9.2287015605166944E-3</v>
      </c>
    </row>
    <row r="93" spans="2:27" x14ac:dyDescent="0.3">
      <c r="B93" s="12" t="s">
        <v>313</v>
      </c>
      <c r="C93" s="3" t="s">
        <v>411</v>
      </c>
      <c r="D93" s="3" t="str">
        <f>VLOOKUP(Revenue!B93,기업리스트!B:G,2,FALSE)</f>
        <v>Jai Balaji Industries Limited</v>
      </c>
      <c r="E93" s="3" t="s">
        <v>395</v>
      </c>
      <c r="F93" s="5">
        <v>-3.4</v>
      </c>
      <c r="G93" s="4">
        <v>10496</v>
      </c>
      <c r="H93" s="4">
        <v>12796</v>
      </c>
      <c r="I93" s="4">
        <v>13844</v>
      </c>
      <c r="J93" s="4">
        <v>14947</v>
      </c>
      <c r="K93" s="4">
        <v>13694</v>
      </c>
      <c r="L93" s="4">
        <v>15369</v>
      </c>
      <c r="M93" s="4">
        <v>17240</v>
      </c>
      <c r="N93" s="4">
        <v>14826</v>
      </c>
      <c r="O93" s="4">
        <v>15466</v>
      </c>
      <c r="P93" s="4">
        <v>15390</v>
      </c>
      <c r="Q93" s="4">
        <v>18456</v>
      </c>
      <c r="R93" s="4">
        <v>17183</v>
      </c>
      <c r="S93" s="4">
        <v>15566</v>
      </c>
      <c r="T93" s="4">
        <v>14864</v>
      </c>
      <c r="U93" s="4">
        <v>15895</v>
      </c>
      <c r="V93" s="4">
        <v>13572</v>
      </c>
      <c r="W93" s="4">
        <v>13534</v>
      </c>
      <c r="X93" s="7">
        <v>-7.8984908776935647E-3</v>
      </c>
      <c r="Y93" s="8">
        <v>-3.8762505865080447E-2</v>
      </c>
      <c r="Z93" s="8">
        <v>-5.685897839642251E-2</v>
      </c>
      <c r="AA93" s="8">
        <v>-3.3924904419252999E-2</v>
      </c>
    </row>
    <row r="94" spans="2:27" x14ac:dyDescent="0.3">
      <c r="B94" s="12" t="s">
        <v>315</v>
      </c>
      <c r="C94" s="3" t="s">
        <v>411</v>
      </c>
      <c r="D94" s="3" t="str">
        <f>VLOOKUP(Revenue!B94,기업리스트!B:G,2,FALSE)</f>
        <v>Shree Renuka Sugars Limited</v>
      </c>
      <c r="E94" s="3" t="s">
        <v>396</v>
      </c>
      <c r="F94" s="5">
        <v>-3.7</v>
      </c>
      <c r="G94" s="4">
        <v>20140</v>
      </c>
      <c r="H94" s="4">
        <v>21729</v>
      </c>
      <c r="I94" s="4">
        <v>19530</v>
      </c>
      <c r="J94" s="4">
        <v>21876</v>
      </c>
      <c r="K94" s="4">
        <v>25516</v>
      </c>
      <c r="L94" s="4">
        <v>23285</v>
      </c>
      <c r="M94" s="4">
        <v>22840</v>
      </c>
      <c r="N94" s="4">
        <v>25547</v>
      </c>
      <c r="O94" s="4">
        <v>30140</v>
      </c>
      <c r="P94" s="6">
        <v>34471</v>
      </c>
      <c r="Q94" s="4">
        <v>30339</v>
      </c>
      <c r="R94" s="4">
        <v>23675</v>
      </c>
      <c r="S94" s="4">
        <v>24783</v>
      </c>
      <c r="T94" s="4">
        <v>27130</v>
      </c>
      <c r="U94" s="4">
        <v>20075</v>
      </c>
      <c r="V94" s="4">
        <v>24865</v>
      </c>
      <c r="W94" s="4">
        <v>21196</v>
      </c>
      <c r="X94" s="7">
        <v>-6.4810890984214442E-2</v>
      </c>
      <c r="Y94" s="8">
        <v>-9.6896919576689555E-2</v>
      </c>
      <c r="Z94" s="8">
        <v>1.2439501165549821E-2</v>
      </c>
      <c r="AA94" s="8">
        <v>-3.7035507418458853E-2</v>
      </c>
    </row>
    <row r="95" spans="2:27" x14ac:dyDescent="0.3">
      <c r="B95" s="25" t="s">
        <v>209</v>
      </c>
      <c r="C95" s="14" t="s">
        <v>411</v>
      </c>
      <c r="D95" s="14" t="str">
        <f>VLOOKUP(Revenue!B95,기업리스트!B:G,2,FALSE)</f>
        <v>Ircon International Limited</v>
      </c>
      <c r="E95" s="14" t="s">
        <v>395</v>
      </c>
      <c r="F95" s="15">
        <v>-4.5999999999999996</v>
      </c>
      <c r="G95" s="16">
        <v>15232</v>
      </c>
      <c r="H95" s="16">
        <v>17619</v>
      </c>
      <c r="I95" s="16">
        <v>29526</v>
      </c>
      <c r="J95" s="16">
        <v>20019</v>
      </c>
      <c r="K95" s="16">
        <v>22389</v>
      </c>
      <c r="L95" s="16">
        <v>23465</v>
      </c>
      <c r="M95" s="16">
        <v>37807</v>
      </c>
      <c r="N95" s="16">
        <v>27172</v>
      </c>
      <c r="O95" s="16">
        <v>29868</v>
      </c>
      <c r="P95" s="16">
        <v>28842</v>
      </c>
      <c r="Q95" s="16">
        <v>39255</v>
      </c>
      <c r="R95" s="16">
        <v>22871</v>
      </c>
      <c r="S95" s="16">
        <v>24475</v>
      </c>
      <c r="T95" s="16">
        <v>26129</v>
      </c>
      <c r="U95" s="16">
        <v>34121</v>
      </c>
      <c r="V95" s="16">
        <v>17863</v>
      </c>
      <c r="W95" s="16">
        <v>19768</v>
      </c>
      <c r="X95" s="7">
        <v>-2.350077527437788E-2</v>
      </c>
      <c r="Y95" s="18">
        <v>-4.5542446553712423E-2</v>
      </c>
      <c r="Z95" s="18">
        <v>-4.6544481207479782E-2</v>
      </c>
      <c r="AA95" s="18">
        <v>-4.5882559363668252E-2</v>
      </c>
    </row>
    <row r="96" spans="2:27" x14ac:dyDescent="0.3">
      <c r="B96" s="26" t="s">
        <v>338</v>
      </c>
      <c r="C96" s="19" t="s">
        <v>411</v>
      </c>
      <c r="D96" s="19" t="str">
        <f>VLOOKUP(Revenue!B96,기업리스트!B:G,2,FALSE)</f>
        <v>PNC Infratech Limited</v>
      </c>
      <c r="E96" s="19" t="s">
        <v>395</v>
      </c>
      <c r="F96" s="20">
        <v>-5</v>
      </c>
      <c r="G96" s="21">
        <v>17977</v>
      </c>
      <c r="H96" s="21">
        <v>17218</v>
      </c>
      <c r="I96" s="21">
        <v>22260</v>
      </c>
      <c r="J96" s="21">
        <v>20529</v>
      </c>
      <c r="K96" s="21">
        <v>17951</v>
      </c>
      <c r="L96" s="21">
        <v>18033</v>
      </c>
      <c r="M96" s="21">
        <v>23049</v>
      </c>
      <c r="N96" s="21">
        <v>20917</v>
      </c>
      <c r="O96" s="21">
        <v>19114</v>
      </c>
      <c r="P96" s="21">
        <v>20466</v>
      </c>
      <c r="Q96" s="21">
        <v>26143</v>
      </c>
      <c r="R96" s="21">
        <v>21675</v>
      </c>
      <c r="S96" s="21">
        <v>14270</v>
      </c>
      <c r="T96" s="21">
        <v>14700</v>
      </c>
      <c r="U96" s="21">
        <v>17256</v>
      </c>
      <c r="V96" s="21">
        <v>14228</v>
      </c>
      <c r="W96" s="21">
        <v>11276</v>
      </c>
      <c r="X96" s="22">
        <v>-6.984519223780794E-2</v>
      </c>
      <c r="Y96" s="23">
        <v>-0.11573422930666261</v>
      </c>
      <c r="Z96" s="23">
        <v>-0.109674378875127</v>
      </c>
      <c r="AA96" s="23">
        <v>-4.9525258874516198E-2</v>
      </c>
    </row>
    <row r="97" spans="2:27" hidden="1" x14ac:dyDescent="0.3">
      <c r="B97" s="3" t="s">
        <v>288</v>
      </c>
      <c r="C97" s="3" t="s">
        <v>388</v>
      </c>
      <c r="D97" s="3" t="s">
        <v>389</v>
      </c>
      <c r="E97" s="3" t="s">
        <v>412</v>
      </c>
      <c r="F97" s="5">
        <v>15.4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4">
        <v>0.81</v>
      </c>
      <c r="S97" s="4">
        <v>0.81</v>
      </c>
      <c r="T97" s="4">
        <v>0.98</v>
      </c>
      <c r="U97" s="4">
        <v>1.47</v>
      </c>
      <c r="V97" s="6">
        <v>1.47</v>
      </c>
      <c r="W97" s="6">
        <v>1.54</v>
      </c>
      <c r="X97" s="11"/>
      <c r="Y97" s="3"/>
      <c r="Z97" s="9">
        <v>0.16216216216216231</v>
      </c>
      <c r="AA97" s="9">
        <v>0.15433403805496829</v>
      </c>
    </row>
    <row r="98" spans="2:27" hidden="1" x14ac:dyDescent="0.3">
      <c r="B98" s="3" t="s">
        <v>40</v>
      </c>
      <c r="C98" s="3" t="s">
        <v>388</v>
      </c>
      <c r="D98" s="3" t="s">
        <v>389</v>
      </c>
      <c r="E98" s="3" t="s">
        <v>412</v>
      </c>
      <c r="F98" s="5">
        <v>14</v>
      </c>
      <c r="G98" s="4">
        <v>5521</v>
      </c>
      <c r="H98" s="4">
        <v>6839</v>
      </c>
      <c r="I98" s="4">
        <v>7109</v>
      </c>
      <c r="J98" s="4">
        <v>6390</v>
      </c>
      <c r="K98" s="4">
        <v>6010</v>
      </c>
      <c r="L98" s="4">
        <v>4407</v>
      </c>
      <c r="M98" s="4">
        <v>4244</v>
      </c>
      <c r="N98" s="4">
        <v>5870</v>
      </c>
      <c r="O98" s="4">
        <v>5390</v>
      </c>
      <c r="P98" s="4">
        <v>3579</v>
      </c>
      <c r="Q98" s="4">
        <v>5789</v>
      </c>
      <c r="R98" s="4">
        <v>3618</v>
      </c>
      <c r="S98" s="4">
        <v>2935</v>
      </c>
      <c r="T98" s="6">
        <v>6243</v>
      </c>
      <c r="U98" s="4">
        <v>3711</v>
      </c>
      <c r="V98" s="4">
        <v>3156</v>
      </c>
      <c r="W98" s="6">
        <v>5183</v>
      </c>
      <c r="X98" s="10">
        <v>0.16732617297908431</v>
      </c>
      <c r="Y98" s="8">
        <v>-0.11181059994619311</v>
      </c>
      <c r="Z98" s="8">
        <v>-2.7988126249469891E-2</v>
      </c>
      <c r="AA98" s="9">
        <v>0.14010595200997189</v>
      </c>
    </row>
    <row r="99" spans="2:27" hidden="1" x14ac:dyDescent="0.3">
      <c r="B99" s="3" t="s">
        <v>244</v>
      </c>
      <c r="C99" s="3" t="s">
        <v>388</v>
      </c>
      <c r="D99" s="3" t="s">
        <v>413</v>
      </c>
      <c r="E99" s="3" t="s">
        <v>412</v>
      </c>
      <c r="F99" s="5">
        <v>10.3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4">
        <v>37.159999999999997</v>
      </c>
      <c r="S99" s="4">
        <v>37.159999999999997</v>
      </c>
      <c r="T99" s="4">
        <v>24.54</v>
      </c>
      <c r="U99" s="4">
        <v>34.31</v>
      </c>
      <c r="V99" s="4">
        <v>34.31</v>
      </c>
      <c r="W99" s="6">
        <v>50.62</v>
      </c>
      <c r="X99" s="11"/>
      <c r="Y99" s="3"/>
      <c r="Z99" s="8">
        <v>-2.140121649020044E-2</v>
      </c>
      <c r="AA99" s="9">
        <v>0.10328422344996931</v>
      </c>
    </row>
    <row r="100" spans="2:27" hidden="1" x14ac:dyDescent="0.3">
      <c r="B100" s="3" t="s">
        <v>48</v>
      </c>
      <c r="C100" s="3" t="s">
        <v>388</v>
      </c>
      <c r="D100" s="3" t="s">
        <v>414</v>
      </c>
      <c r="E100" s="3" t="s">
        <v>412</v>
      </c>
      <c r="F100" s="5">
        <v>5.7</v>
      </c>
      <c r="G100" s="4">
        <v>295.57</v>
      </c>
      <c r="H100" s="4">
        <v>308.55</v>
      </c>
      <c r="I100" s="4">
        <v>330.95</v>
      </c>
      <c r="J100" s="4">
        <v>351.21</v>
      </c>
      <c r="K100" s="4">
        <v>383.74</v>
      </c>
      <c r="L100" s="4">
        <v>394.1</v>
      </c>
      <c r="M100" s="4">
        <v>434.07</v>
      </c>
      <c r="N100" s="4">
        <v>460.87</v>
      </c>
      <c r="O100" s="4">
        <v>492.5</v>
      </c>
      <c r="P100" s="4">
        <v>498.4</v>
      </c>
      <c r="Q100" s="4">
        <v>511.04</v>
      </c>
      <c r="R100" s="4">
        <v>528.1</v>
      </c>
      <c r="S100" s="4">
        <v>533.32000000000005</v>
      </c>
      <c r="T100" s="4">
        <v>536.59</v>
      </c>
      <c r="U100" s="4">
        <v>558.57000000000005</v>
      </c>
      <c r="V100" s="4">
        <v>603.30999999999995</v>
      </c>
      <c r="W100" s="4">
        <v>659.9</v>
      </c>
      <c r="X100" s="7">
        <v>1.8441613629120331E-2</v>
      </c>
      <c r="Y100" s="8">
        <v>2.2536212986889789E-2</v>
      </c>
      <c r="Z100" s="8">
        <v>3.4874662660323352E-2</v>
      </c>
      <c r="AA100" s="8">
        <v>5.6716805792659697E-2</v>
      </c>
    </row>
    <row r="101" spans="2:27" hidden="1" x14ac:dyDescent="0.3">
      <c r="B101" s="3" t="s">
        <v>128</v>
      </c>
      <c r="C101" s="3" t="s">
        <v>388</v>
      </c>
      <c r="D101" s="3" t="s">
        <v>415</v>
      </c>
      <c r="E101" s="3" t="s">
        <v>412</v>
      </c>
      <c r="F101" s="5">
        <v>5.6</v>
      </c>
      <c r="G101" s="4">
        <v>287.33</v>
      </c>
      <c r="H101" s="4">
        <v>248.41</v>
      </c>
      <c r="I101" s="4">
        <v>411.35</v>
      </c>
      <c r="J101" s="4">
        <v>359.6</v>
      </c>
      <c r="K101" s="4">
        <v>306.69</v>
      </c>
      <c r="L101" s="4">
        <v>253.14</v>
      </c>
      <c r="M101" s="4">
        <v>257.95999999999998</v>
      </c>
      <c r="N101" s="4">
        <v>246.1</v>
      </c>
      <c r="O101" s="4">
        <v>265.51</v>
      </c>
      <c r="P101" s="4">
        <v>254.5</v>
      </c>
      <c r="Q101" s="4">
        <v>228.13</v>
      </c>
      <c r="R101" s="4">
        <v>320.67</v>
      </c>
      <c r="S101" s="4">
        <v>255.13</v>
      </c>
      <c r="T101" s="4">
        <v>258.14999999999998</v>
      </c>
      <c r="U101" s="4">
        <v>268.26</v>
      </c>
      <c r="V101" s="4">
        <v>274.99</v>
      </c>
      <c r="W101" s="4">
        <v>314.18</v>
      </c>
      <c r="X101" s="7">
        <v>3.4485039161775699E-3</v>
      </c>
      <c r="Y101" s="8">
        <v>3.7784347695088982E-2</v>
      </c>
      <c r="Z101" s="8">
        <v>-4.1444007947668782E-2</v>
      </c>
      <c r="AA101" s="8">
        <v>5.5890509498073948E-2</v>
      </c>
    </row>
    <row r="102" spans="2:27" hidden="1" x14ac:dyDescent="0.3">
      <c r="B102" s="3" t="s">
        <v>38</v>
      </c>
      <c r="C102" s="3" t="s">
        <v>388</v>
      </c>
      <c r="D102" s="3" t="s">
        <v>389</v>
      </c>
      <c r="E102" s="3" t="s">
        <v>412</v>
      </c>
      <c r="F102" s="5">
        <v>4.4000000000000004</v>
      </c>
      <c r="G102" s="4">
        <v>3424</v>
      </c>
      <c r="H102" s="4">
        <v>4091</v>
      </c>
      <c r="I102" s="4">
        <v>3096</v>
      </c>
      <c r="J102" s="4">
        <v>6665</v>
      </c>
      <c r="K102" s="4">
        <v>4625</v>
      </c>
      <c r="L102" s="4">
        <v>3151</v>
      </c>
      <c r="M102" s="4">
        <v>2819</v>
      </c>
      <c r="N102" s="4">
        <v>3557</v>
      </c>
      <c r="O102" s="4">
        <v>4599</v>
      </c>
      <c r="P102" s="4">
        <v>2691</v>
      </c>
      <c r="Q102" s="4">
        <v>4053</v>
      </c>
      <c r="R102" s="4">
        <v>4311</v>
      </c>
      <c r="S102" s="4">
        <v>3012</v>
      </c>
      <c r="T102" s="6">
        <v>4752</v>
      </c>
      <c r="U102" s="4">
        <v>3696</v>
      </c>
      <c r="V102" s="4">
        <v>3671</v>
      </c>
      <c r="W102" s="4">
        <v>3682</v>
      </c>
      <c r="X102" s="10">
        <v>0.1465131158029431</v>
      </c>
      <c r="Y102" s="8">
        <v>-2.213541666666663E-2</v>
      </c>
      <c r="Z102" s="8">
        <v>-4.0580812884408068E-2</v>
      </c>
      <c r="AA102" s="8">
        <v>4.4279955059150167E-2</v>
      </c>
    </row>
    <row r="103" spans="2:27" hidden="1" x14ac:dyDescent="0.3">
      <c r="B103" s="3" t="s">
        <v>30</v>
      </c>
      <c r="C103" s="3" t="s">
        <v>388</v>
      </c>
      <c r="D103" s="3" t="s">
        <v>400</v>
      </c>
      <c r="E103" s="3" t="s">
        <v>412</v>
      </c>
      <c r="F103" s="5">
        <v>3.5</v>
      </c>
      <c r="G103" s="4">
        <v>1785</v>
      </c>
      <c r="H103" s="4">
        <v>3323</v>
      </c>
      <c r="I103" s="4">
        <v>1218</v>
      </c>
      <c r="J103" s="4">
        <v>820</v>
      </c>
      <c r="K103" s="4">
        <v>1410</v>
      </c>
      <c r="L103" s="4">
        <v>3115</v>
      </c>
      <c r="M103" s="6">
        <v>2241</v>
      </c>
      <c r="N103" s="6">
        <v>2605</v>
      </c>
      <c r="O103" s="4">
        <v>1811</v>
      </c>
      <c r="P103" s="4">
        <v>3356</v>
      </c>
      <c r="Q103" s="4">
        <v>2935</v>
      </c>
      <c r="R103" s="4">
        <v>2544</v>
      </c>
      <c r="S103" s="6">
        <v>3320</v>
      </c>
      <c r="T103" s="4">
        <v>2538</v>
      </c>
      <c r="U103" s="4">
        <v>2566</v>
      </c>
      <c r="V103" s="4">
        <v>3248</v>
      </c>
      <c r="W103" s="4">
        <v>3726</v>
      </c>
      <c r="X103" s="7">
        <v>-6.7297408473879106E-2</v>
      </c>
      <c r="Y103" s="8">
        <v>-3.2548293199259122E-2</v>
      </c>
      <c r="Z103" s="8">
        <v>6.4186725018234858E-2</v>
      </c>
      <c r="AA103" s="8">
        <v>3.4784098697738131E-2</v>
      </c>
    </row>
    <row r="104" spans="2:27" hidden="1" x14ac:dyDescent="0.3">
      <c r="B104" s="3" t="s">
        <v>205</v>
      </c>
      <c r="C104" s="3" t="s">
        <v>388</v>
      </c>
      <c r="D104" s="3" t="s">
        <v>391</v>
      </c>
      <c r="E104" s="3" t="s">
        <v>412</v>
      </c>
      <c r="F104" s="5">
        <v>3.2</v>
      </c>
      <c r="G104" s="3"/>
      <c r="H104" s="3"/>
      <c r="I104" s="3"/>
      <c r="J104" s="3"/>
      <c r="K104" s="3"/>
      <c r="L104" s="3"/>
      <c r="M104" s="3"/>
      <c r="N104" s="3"/>
      <c r="O104" s="4">
        <v>96.89</v>
      </c>
      <c r="P104" s="4">
        <v>99.9</v>
      </c>
      <c r="Q104" s="4">
        <v>104.01</v>
      </c>
      <c r="R104" s="4">
        <v>108.57</v>
      </c>
      <c r="S104" s="4">
        <v>107.14</v>
      </c>
      <c r="T104" s="4">
        <v>100.86</v>
      </c>
      <c r="U104" s="4">
        <v>103.89</v>
      </c>
      <c r="V104" s="4">
        <v>119.59</v>
      </c>
      <c r="W104" s="4">
        <v>120.87</v>
      </c>
      <c r="X104" s="7">
        <v>2.2877841856918661E-3</v>
      </c>
      <c r="Y104" s="8">
        <v>-2.8532027200534049E-4</v>
      </c>
      <c r="Z104" s="8">
        <v>2.6209389716025381E-2</v>
      </c>
      <c r="AA104" s="8">
        <v>3.1820710114026207E-2</v>
      </c>
    </row>
    <row r="105" spans="2:27" hidden="1" x14ac:dyDescent="0.3">
      <c r="B105" s="3" t="s">
        <v>257</v>
      </c>
      <c r="C105" s="3" t="s">
        <v>388</v>
      </c>
      <c r="D105" s="3" t="s">
        <v>416</v>
      </c>
      <c r="E105" s="3" t="s">
        <v>412</v>
      </c>
      <c r="F105" s="5">
        <v>3</v>
      </c>
      <c r="G105" s="4">
        <v>262.86</v>
      </c>
      <c r="H105" s="4">
        <v>287.19</v>
      </c>
      <c r="I105" s="4">
        <v>293.14999999999998</v>
      </c>
      <c r="J105" s="4">
        <v>329.56</v>
      </c>
      <c r="K105" s="4">
        <v>355.64</v>
      </c>
      <c r="L105" s="4">
        <v>301.72000000000003</v>
      </c>
      <c r="M105" s="4">
        <v>225.87</v>
      </c>
      <c r="N105" s="4">
        <v>185.01</v>
      </c>
      <c r="O105" s="4">
        <v>196.76</v>
      </c>
      <c r="P105" s="4">
        <v>203.48</v>
      </c>
      <c r="Q105" s="4">
        <v>201.38</v>
      </c>
      <c r="R105" s="4">
        <v>203.23</v>
      </c>
      <c r="S105" s="4">
        <v>211.14</v>
      </c>
      <c r="T105" s="4">
        <v>233.29</v>
      </c>
      <c r="U105" s="4">
        <v>244.47</v>
      </c>
      <c r="V105" s="4">
        <v>240.29</v>
      </c>
      <c r="W105" s="4">
        <v>239.3</v>
      </c>
      <c r="X105" s="7">
        <v>3.6387827594204232E-2</v>
      </c>
      <c r="Y105" s="8">
        <v>5.0751436916988579E-2</v>
      </c>
      <c r="Z105" s="8">
        <v>4.1541031015659202E-2</v>
      </c>
      <c r="AA105" s="8">
        <v>3.030596541073427E-2</v>
      </c>
    </row>
    <row r="106" spans="2:27" hidden="1" x14ac:dyDescent="0.3">
      <c r="B106" s="3" t="s">
        <v>24</v>
      </c>
      <c r="C106" s="3" t="s">
        <v>388</v>
      </c>
      <c r="D106" s="3" t="s">
        <v>417</v>
      </c>
      <c r="E106" s="3" t="s">
        <v>412</v>
      </c>
      <c r="F106" s="5">
        <v>2</v>
      </c>
      <c r="G106" s="4">
        <v>2101</v>
      </c>
      <c r="H106" s="4">
        <v>2313</v>
      </c>
      <c r="I106" s="4">
        <v>1942</v>
      </c>
      <c r="J106" s="4">
        <v>2214</v>
      </c>
      <c r="K106" s="4">
        <v>2386</v>
      </c>
      <c r="L106" s="4">
        <v>3071</v>
      </c>
      <c r="M106" s="6">
        <v>3168</v>
      </c>
      <c r="N106" s="4">
        <v>3162</v>
      </c>
      <c r="O106" s="4">
        <v>3329</v>
      </c>
      <c r="P106" s="4">
        <v>3975</v>
      </c>
      <c r="Q106" s="4">
        <v>3941</v>
      </c>
      <c r="R106" s="4">
        <v>4229</v>
      </c>
      <c r="S106" s="4">
        <v>4722</v>
      </c>
      <c r="T106" s="4">
        <v>4548</v>
      </c>
      <c r="U106" s="4">
        <v>4673</v>
      </c>
      <c r="V106" s="4">
        <v>5213</v>
      </c>
      <c r="W106" s="4">
        <v>5109</v>
      </c>
      <c r="X106" s="7">
        <v>3.3971660639117829E-2</v>
      </c>
      <c r="Y106" s="8">
        <v>4.1972477064220248E-2</v>
      </c>
      <c r="Z106" s="8">
        <v>5.4149240589918657E-2</v>
      </c>
      <c r="AA106" s="8">
        <v>2.0202547504698298E-2</v>
      </c>
    </row>
    <row r="107" spans="2:27" hidden="1" x14ac:dyDescent="0.3">
      <c r="B107" s="3" t="s">
        <v>72</v>
      </c>
      <c r="C107" s="3" t="s">
        <v>388</v>
      </c>
      <c r="D107" s="3" t="s">
        <v>416</v>
      </c>
      <c r="E107" s="3" t="s">
        <v>412</v>
      </c>
      <c r="F107" s="5">
        <v>2</v>
      </c>
      <c r="G107" s="4">
        <v>1681</v>
      </c>
      <c r="H107" s="4">
        <v>1725</v>
      </c>
      <c r="I107" s="4">
        <v>1597</v>
      </c>
      <c r="J107" s="4">
        <v>1505</v>
      </c>
      <c r="K107" s="4">
        <v>2084</v>
      </c>
      <c r="L107" s="4">
        <v>1906</v>
      </c>
      <c r="M107" s="4">
        <v>1472</v>
      </c>
      <c r="N107" s="4">
        <v>1458</v>
      </c>
      <c r="O107" s="4">
        <v>1822</v>
      </c>
      <c r="P107" s="4">
        <v>1752</v>
      </c>
      <c r="Q107" s="4">
        <v>1366</v>
      </c>
      <c r="R107" s="4">
        <v>1461</v>
      </c>
      <c r="S107" s="4">
        <v>1862</v>
      </c>
      <c r="T107" s="4">
        <v>1629</v>
      </c>
      <c r="U107" s="4">
        <v>1322</v>
      </c>
      <c r="V107" s="4">
        <v>1511</v>
      </c>
      <c r="W107" s="4">
        <v>1987</v>
      </c>
      <c r="X107" s="7">
        <v>-1.9096413600372619E-2</v>
      </c>
      <c r="Y107" s="8">
        <v>-6.9642291864514538E-3</v>
      </c>
      <c r="Z107" s="8">
        <v>7.9693975135479711E-3</v>
      </c>
      <c r="AA107" s="8">
        <v>1.9765970904490841E-2</v>
      </c>
    </row>
    <row r="108" spans="2:27" hidden="1" x14ac:dyDescent="0.3">
      <c r="B108" s="3" t="s">
        <v>196</v>
      </c>
      <c r="C108" s="3" t="s">
        <v>388</v>
      </c>
      <c r="D108" s="3" t="s">
        <v>418</v>
      </c>
      <c r="E108" s="3" t="s">
        <v>412</v>
      </c>
      <c r="F108" s="5">
        <v>1.8</v>
      </c>
      <c r="G108" s="4">
        <v>124.97</v>
      </c>
      <c r="H108" s="4">
        <v>126.23</v>
      </c>
      <c r="I108" s="4">
        <v>127.29</v>
      </c>
      <c r="J108" s="4">
        <v>133.16999999999999</v>
      </c>
      <c r="K108" s="4">
        <v>140.35</v>
      </c>
      <c r="L108" s="4">
        <v>148.49</v>
      </c>
      <c r="M108" s="4">
        <v>146.97999999999999</v>
      </c>
      <c r="N108" s="4">
        <v>145.06</v>
      </c>
      <c r="O108" s="4">
        <v>141.66</v>
      </c>
      <c r="P108" s="4">
        <v>144.9</v>
      </c>
      <c r="Q108" s="4">
        <v>142.82</v>
      </c>
      <c r="R108" s="4">
        <v>142.66</v>
      </c>
      <c r="S108" s="4">
        <v>142.72</v>
      </c>
      <c r="T108" s="4">
        <v>151.72999999999999</v>
      </c>
      <c r="U108" s="4">
        <v>148.16</v>
      </c>
      <c r="V108" s="4">
        <v>146.28</v>
      </c>
      <c r="W108" s="4">
        <v>153.28</v>
      </c>
      <c r="X108" s="7">
        <v>1.191764090036629E-2</v>
      </c>
      <c r="Y108" s="8">
        <v>9.2080078630178974E-3</v>
      </c>
      <c r="Z108" s="8">
        <v>6.1851794898082346E-3</v>
      </c>
      <c r="AA108" s="8">
        <v>1.7932041637657381E-2</v>
      </c>
    </row>
    <row r="109" spans="2:27" hidden="1" x14ac:dyDescent="0.3">
      <c r="B109" s="3" t="s">
        <v>284</v>
      </c>
      <c r="C109" s="3" t="s">
        <v>388</v>
      </c>
      <c r="D109" s="3" t="s">
        <v>419</v>
      </c>
      <c r="E109" s="3" t="s">
        <v>412</v>
      </c>
      <c r="F109" s="5">
        <v>1.7</v>
      </c>
      <c r="G109" s="4">
        <v>98.1</v>
      </c>
      <c r="H109" s="4">
        <v>139.80000000000001</v>
      </c>
      <c r="I109" s="4">
        <v>192.6</v>
      </c>
      <c r="J109" s="4">
        <v>98.9</v>
      </c>
      <c r="K109" s="4">
        <v>110.2</v>
      </c>
      <c r="L109" s="4">
        <v>161.5</v>
      </c>
      <c r="M109" s="4">
        <v>220.2</v>
      </c>
      <c r="N109" s="4">
        <v>103.4</v>
      </c>
      <c r="O109" s="4">
        <v>103.9</v>
      </c>
      <c r="P109" s="4">
        <v>129.6</v>
      </c>
      <c r="Q109" s="4">
        <v>178.7</v>
      </c>
      <c r="R109" s="4">
        <v>95.7</v>
      </c>
      <c r="S109" s="4">
        <v>92.9</v>
      </c>
      <c r="T109" s="4">
        <v>127.5</v>
      </c>
      <c r="U109" s="4">
        <v>170.8</v>
      </c>
      <c r="V109" s="4">
        <v>102.6</v>
      </c>
      <c r="W109" s="4">
        <v>101.1</v>
      </c>
      <c r="X109" s="7">
        <v>-4.2262024552223174E-3</v>
      </c>
      <c r="Y109" s="8">
        <v>-1.5966046887631369E-2</v>
      </c>
      <c r="Z109" s="8">
        <v>1.4171287738755421E-2</v>
      </c>
      <c r="AA109" s="8">
        <v>1.6605913325232761E-2</v>
      </c>
    </row>
    <row r="110" spans="2:27" hidden="1" x14ac:dyDescent="0.3">
      <c r="B110" s="3" t="s">
        <v>58</v>
      </c>
      <c r="C110" s="3" t="s">
        <v>388</v>
      </c>
      <c r="D110" s="3" t="s">
        <v>420</v>
      </c>
      <c r="E110" s="3" t="s">
        <v>412</v>
      </c>
      <c r="F110" s="5">
        <v>1.6</v>
      </c>
      <c r="G110" s="4">
        <v>344.22</v>
      </c>
      <c r="H110" s="4">
        <v>384.73</v>
      </c>
      <c r="I110" s="4">
        <v>362.68</v>
      </c>
      <c r="J110" s="4">
        <v>357.94</v>
      </c>
      <c r="K110" s="4">
        <v>401.3</v>
      </c>
      <c r="L110" s="4">
        <v>437.62</v>
      </c>
      <c r="M110" s="4">
        <v>409.26</v>
      </c>
      <c r="N110" s="4">
        <v>414.25</v>
      </c>
      <c r="O110" s="4">
        <v>415.64</v>
      </c>
      <c r="P110" s="4">
        <v>417.35</v>
      </c>
      <c r="Q110" s="4">
        <v>422.72</v>
      </c>
      <c r="R110" s="4">
        <v>419.37</v>
      </c>
      <c r="S110" s="4">
        <v>418.28</v>
      </c>
      <c r="T110" s="4">
        <v>439.81</v>
      </c>
      <c r="U110" s="4">
        <v>427.76</v>
      </c>
      <c r="V110" s="4">
        <v>429.03</v>
      </c>
      <c r="W110" s="4">
        <v>445.88</v>
      </c>
      <c r="X110" s="7">
        <v>1.3387215983596819E-2</v>
      </c>
      <c r="Y110" s="8">
        <v>2.9643920055524302E-3</v>
      </c>
      <c r="Z110" s="8">
        <v>5.6649581872132426E-3</v>
      </c>
      <c r="AA110" s="8">
        <v>1.609442060085842E-2</v>
      </c>
    </row>
    <row r="111" spans="2:27" hidden="1" x14ac:dyDescent="0.3">
      <c r="B111" s="3" t="s">
        <v>91</v>
      </c>
      <c r="C111" s="3" t="s">
        <v>388</v>
      </c>
      <c r="D111" s="3" t="s">
        <v>421</v>
      </c>
      <c r="E111" s="3" t="s">
        <v>412</v>
      </c>
      <c r="F111" s="5">
        <v>1.6</v>
      </c>
      <c r="G111" s="4">
        <v>396.74</v>
      </c>
      <c r="H111" s="4">
        <v>418.56</v>
      </c>
      <c r="I111" s="4">
        <v>493.57</v>
      </c>
      <c r="J111" s="4">
        <v>593.23</v>
      </c>
      <c r="K111" s="4">
        <v>553.66</v>
      </c>
      <c r="L111" s="4">
        <v>475.62</v>
      </c>
      <c r="M111" s="4">
        <v>534.42999999999995</v>
      </c>
      <c r="N111" s="4">
        <v>597.58000000000004</v>
      </c>
      <c r="O111" s="4">
        <v>580.08000000000004</v>
      </c>
      <c r="P111" s="4">
        <v>501.71</v>
      </c>
      <c r="Q111" s="4">
        <v>530.58000000000004</v>
      </c>
      <c r="R111" s="4">
        <v>596.98</v>
      </c>
      <c r="S111" s="4">
        <v>587.15</v>
      </c>
      <c r="T111" s="4">
        <v>517.42999999999995</v>
      </c>
      <c r="U111" s="4">
        <v>538.9</v>
      </c>
      <c r="V111" s="4">
        <v>631.05999999999995</v>
      </c>
      <c r="W111" s="4">
        <v>623.51</v>
      </c>
      <c r="X111" s="7">
        <v>7.0925185659755918E-3</v>
      </c>
      <c r="Y111" s="8">
        <v>3.7273647710269748E-3</v>
      </c>
      <c r="Z111" s="8">
        <v>1.5211161993519131E-2</v>
      </c>
      <c r="AA111" s="8">
        <v>1.5985649845682959E-2</v>
      </c>
    </row>
    <row r="112" spans="2:27" hidden="1" x14ac:dyDescent="0.3">
      <c r="B112" s="3" t="s">
        <v>79</v>
      </c>
      <c r="C112" s="3" t="s">
        <v>388</v>
      </c>
      <c r="D112" s="3" t="s">
        <v>392</v>
      </c>
      <c r="E112" s="3" t="s">
        <v>412</v>
      </c>
      <c r="F112" s="5">
        <v>1.5</v>
      </c>
      <c r="G112" s="4">
        <v>290.19</v>
      </c>
      <c r="H112" s="4">
        <v>295.32</v>
      </c>
      <c r="I112" s="4">
        <v>298.63</v>
      </c>
      <c r="J112" s="4">
        <v>306.13</v>
      </c>
      <c r="K112" s="4">
        <v>304.75</v>
      </c>
      <c r="L112" s="4">
        <v>308.57</v>
      </c>
      <c r="M112" s="4">
        <v>311.44</v>
      </c>
      <c r="N112" s="4">
        <v>309.79000000000002</v>
      </c>
      <c r="O112" s="4">
        <v>307.31</v>
      </c>
      <c r="P112" s="4">
        <v>316.49</v>
      </c>
      <c r="Q112" s="4">
        <v>320.24</v>
      </c>
      <c r="R112" s="4">
        <v>315.69</v>
      </c>
      <c r="S112" s="4">
        <v>320.68</v>
      </c>
      <c r="T112" s="4">
        <v>328.44</v>
      </c>
      <c r="U112" s="4">
        <v>337.51</v>
      </c>
      <c r="V112" s="4">
        <v>339.49</v>
      </c>
      <c r="W112" s="4">
        <v>340.84</v>
      </c>
      <c r="X112" s="7">
        <v>9.386536799937284E-3</v>
      </c>
      <c r="Y112" s="8">
        <v>1.343916579121429E-2</v>
      </c>
      <c r="Z112" s="8">
        <v>1.827507832176423E-2</v>
      </c>
      <c r="AA112" s="8">
        <v>1.520224414080174E-2</v>
      </c>
    </row>
    <row r="113" spans="2:27" hidden="1" x14ac:dyDescent="0.3">
      <c r="B113" s="3" t="s">
        <v>54</v>
      </c>
      <c r="C113" s="3" t="s">
        <v>388</v>
      </c>
      <c r="D113" s="3" t="s">
        <v>400</v>
      </c>
      <c r="E113" s="3" t="s">
        <v>412</v>
      </c>
      <c r="F113" s="5">
        <v>1.4</v>
      </c>
      <c r="G113" s="4">
        <v>2959</v>
      </c>
      <c r="H113" s="4">
        <v>3054</v>
      </c>
      <c r="I113" s="4">
        <v>2885</v>
      </c>
      <c r="J113" s="4">
        <v>2926</v>
      </c>
      <c r="K113" s="4">
        <v>2957</v>
      </c>
      <c r="L113" s="4">
        <v>3111</v>
      </c>
      <c r="M113" s="4">
        <v>3152</v>
      </c>
      <c r="N113" s="4">
        <v>3304</v>
      </c>
      <c r="O113" s="4">
        <v>3336</v>
      </c>
      <c r="P113" s="4">
        <v>3507</v>
      </c>
      <c r="Q113" s="4">
        <v>3444</v>
      </c>
      <c r="R113" s="4">
        <v>3519</v>
      </c>
      <c r="S113" s="4">
        <v>3618</v>
      </c>
      <c r="T113" s="4">
        <v>3689</v>
      </c>
      <c r="U113" s="4">
        <v>3627</v>
      </c>
      <c r="V113" s="4">
        <v>3717</v>
      </c>
      <c r="W113" s="4">
        <v>3817</v>
      </c>
      <c r="X113" s="7">
        <v>1.2918796138557729E-2</v>
      </c>
      <c r="Y113" s="8">
        <v>1.282410651716881E-2</v>
      </c>
      <c r="Z113" s="8">
        <v>1.3699577942295701E-2</v>
      </c>
      <c r="AA113" s="8">
        <v>1.358269060132411E-2</v>
      </c>
    </row>
    <row r="114" spans="2:27" hidden="1" x14ac:dyDescent="0.3">
      <c r="B114" s="3" t="s">
        <v>130</v>
      </c>
      <c r="C114" s="3" t="s">
        <v>388</v>
      </c>
      <c r="D114" s="3" t="s">
        <v>393</v>
      </c>
      <c r="E114" s="3" t="s">
        <v>412</v>
      </c>
      <c r="F114" s="5">
        <v>1.2</v>
      </c>
      <c r="G114" s="4">
        <v>197.6</v>
      </c>
      <c r="H114" s="4">
        <v>222.3</v>
      </c>
      <c r="I114" s="4">
        <v>241.7</v>
      </c>
      <c r="J114" s="4">
        <v>267.10000000000002</v>
      </c>
      <c r="K114" s="4">
        <v>287.60000000000002</v>
      </c>
      <c r="L114" s="4">
        <v>301.60000000000002</v>
      </c>
      <c r="M114" s="4">
        <v>300.7</v>
      </c>
      <c r="N114" s="4">
        <v>308.60000000000002</v>
      </c>
      <c r="O114" s="4">
        <v>313.8</v>
      </c>
      <c r="P114" s="4">
        <v>316.39999999999998</v>
      </c>
      <c r="Q114" s="4">
        <v>310.10000000000002</v>
      </c>
      <c r="R114" s="4">
        <v>291.5</v>
      </c>
      <c r="S114" s="4">
        <v>303.60000000000002</v>
      </c>
      <c r="T114" s="4">
        <v>309.10000000000002</v>
      </c>
      <c r="U114" s="4">
        <v>305.7</v>
      </c>
      <c r="V114" s="4">
        <v>306.7</v>
      </c>
      <c r="W114" s="4">
        <v>318</v>
      </c>
      <c r="X114" s="7">
        <v>-5.9757694826454433E-3</v>
      </c>
      <c r="Y114" s="8">
        <v>-3.623486782508567E-3</v>
      </c>
      <c r="Z114" s="8">
        <v>1.2563021737333591E-2</v>
      </c>
      <c r="AA114" s="8">
        <v>1.175414251897822E-2</v>
      </c>
    </row>
    <row r="115" spans="2:27" hidden="1" x14ac:dyDescent="0.3">
      <c r="B115" s="3" t="s">
        <v>159</v>
      </c>
      <c r="C115" s="3" t="s">
        <v>388</v>
      </c>
      <c r="D115" s="3" t="s">
        <v>422</v>
      </c>
      <c r="E115" s="3" t="s">
        <v>412</v>
      </c>
      <c r="F115" s="5">
        <v>1</v>
      </c>
      <c r="G115" s="4">
        <v>128.13999999999999</v>
      </c>
      <c r="H115" s="4">
        <v>136.86000000000001</v>
      </c>
      <c r="I115" s="4">
        <v>141.34</v>
      </c>
      <c r="J115" s="4">
        <v>156.9</v>
      </c>
      <c r="K115" s="4">
        <v>158.63999999999999</v>
      </c>
      <c r="L115" s="4">
        <v>161.44</v>
      </c>
      <c r="M115" s="4">
        <v>160.86000000000001</v>
      </c>
      <c r="N115" s="4">
        <v>168.61</v>
      </c>
      <c r="O115" s="4">
        <v>175.73</v>
      </c>
      <c r="P115" s="4">
        <v>183.93</v>
      </c>
      <c r="Q115" s="4">
        <v>190.94</v>
      </c>
      <c r="R115" s="4">
        <v>193.13</v>
      </c>
      <c r="S115" s="4">
        <v>193.78</v>
      </c>
      <c r="T115" s="4">
        <v>191.48</v>
      </c>
      <c r="U115" s="4">
        <v>192.71</v>
      </c>
      <c r="V115" s="4">
        <v>194.94</v>
      </c>
      <c r="W115" s="4">
        <v>201.73</v>
      </c>
      <c r="X115" s="7">
        <v>9.9109979259102143E-3</v>
      </c>
      <c r="Y115" s="8">
        <v>2.3007032092861039E-3</v>
      </c>
      <c r="Z115" s="8">
        <v>2.3472960705483992E-3</v>
      </c>
      <c r="AA115" s="8">
        <v>1.0285803004230759E-2</v>
      </c>
    </row>
    <row r="116" spans="2:27" hidden="1" x14ac:dyDescent="0.3">
      <c r="B116" s="3" t="s">
        <v>81</v>
      </c>
      <c r="C116" s="3" t="s">
        <v>388</v>
      </c>
      <c r="D116" s="3" t="s">
        <v>423</v>
      </c>
      <c r="E116" s="3" t="s">
        <v>412</v>
      </c>
      <c r="F116" s="5">
        <v>0.7</v>
      </c>
      <c r="G116" s="4">
        <v>435.48</v>
      </c>
      <c r="H116" s="4">
        <v>467.79</v>
      </c>
      <c r="I116" s="4">
        <v>475.84</v>
      </c>
      <c r="J116" s="4">
        <v>479.21</v>
      </c>
      <c r="K116" s="4">
        <v>481.77</v>
      </c>
      <c r="L116" s="4">
        <v>467.84</v>
      </c>
      <c r="M116" s="4">
        <v>462.59</v>
      </c>
      <c r="N116" s="4">
        <v>493.24</v>
      </c>
      <c r="O116" s="4">
        <v>469.26</v>
      </c>
      <c r="P116" s="4">
        <v>458.83</v>
      </c>
      <c r="Q116" s="4">
        <v>452.65</v>
      </c>
      <c r="R116" s="4">
        <v>498.22</v>
      </c>
      <c r="S116" s="4">
        <v>461.48</v>
      </c>
      <c r="T116" s="4">
        <v>487.8</v>
      </c>
      <c r="U116" s="4">
        <v>482.39</v>
      </c>
      <c r="V116" s="4">
        <v>458.11</v>
      </c>
      <c r="W116" s="4">
        <v>475.64</v>
      </c>
      <c r="X116" s="7">
        <v>1.5482209087313899E-2</v>
      </c>
      <c r="Y116" s="8">
        <v>1.5651395942425591E-2</v>
      </c>
      <c r="Z116" s="8">
        <v>-2.0783567975376949E-2</v>
      </c>
      <c r="AA116" s="8">
        <v>7.4929356856354712E-3</v>
      </c>
    </row>
    <row r="117" spans="2:27" hidden="1" x14ac:dyDescent="0.3">
      <c r="B117" s="3" t="s">
        <v>174</v>
      </c>
      <c r="C117" s="3" t="s">
        <v>388</v>
      </c>
      <c r="D117" s="3" t="s">
        <v>424</v>
      </c>
      <c r="E117" s="3" t="s">
        <v>412</v>
      </c>
      <c r="F117" s="5">
        <v>0.4</v>
      </c>
      <c r="G117" s="4">
        <v>195.92</v>
      </c>
      <c r="H117" s="4">
        <v>215.04</v>
      </c>
      <c r="I117" s="4">
        <v>229.9</v>
      </c>
      <c r="J117" s="4">
        <v>250.92</v>
      </c>
      <c r="K117" s="4">
        <v>260.04000000000002</v>
      </c>
      <c r="L117" s="4">
        <v>252.48</v>
      </c>
      <c r="M117" s="4">
        <v>243.57</v>
      </c>
      <c r="N117" s="4">
        <v>241.48</v>
      </c>
      <c r="O117" s="4">
        <v>239.22</v>
      </c>
      <c r="P117" s="4">
        <v>249.32</v>
      </c>
      <c r="Q117" s="4">
        <v>253.45</v>
      </c>
      <c r="R117" s="4">
        <v>246.31</v>
      </c>
      <c r="S117" s="4">
        <v>256.18</v>
      </c>
      <c r="T117" s="4">
        <v>258.18</v>
      </c>
      <c r="U117" s="4">
        <v>253.31</v>
      </c>
      <c r="V117" s="4">
        <v>262.14999999999998</v>
      </c>
      <c r="W117" s="4">
        <v>260.73</v>
      </c>
      <c r="X117" s="7">
        <v>8.8136402522731583E-3</v>
      </c>
      <c r="Y117" s="8">
        <v>-1.3805072378025859E-4</v>
      </c>
      <c r="Z117" s="8">
        <v>1.5621609893686109E-2</v>
      </c>
      <c r="AA117" s="8">
        <v>4.418247849138579E-3</v>
      </c>
    </row>
    <row r="118" spans="2:27" hidden="1" x14ac:dyDescent="0.3">
      <c r="B118" s="3" t="s">
        <v>101</v>
      </c>
      <c r="C118" s="3" t="s">
        <v>388</v>
      </c>
      <c r="D118" s="3" t="s">
        <v>423</v>
      </c>
      <c r="E118" s="3" t="s">
        <v>412</v>
      </c>
      <c r="F118" s="5">
        <v>-0.9</v>
      </c>
      <c r="G118" s="4">
        <v>232.33</v>
      </c>
      <c r="H118" s="4">
        <v>261.08999999999997</v>
      </c>
      <c r="I118" s="4">
        <v>265.5</v>
      </c>
      <c r="J118" s="4">
        <v>271.18</v>
      </c>
      <c r="K118" s="4">
        <v>275.95999999999998</v>
      </c>
      <c r="L118" s="4">
        <v>284.33999999999997</v>
      </c>
      <c r="M118" s="4">
        <v>292.8</v>
      </c>
      <c r="N118" s="4">
        <v>284.27999999999997</v>
      </c>
      <c r="O118" s="4">
        <v>283.58999999999997</v>
      </c>
      <c r="P118" s="4">
        <v>269.02</v>
      </c>
      <c r="Q118" s="4">
        <v>278.58</v>
      </c>
      <c r="R118" s="4">
        <v>280.73</v>
      </c>
      <c r="S118" s="4">
        <v>289.94</v>
      </c>
      <c r="T118" s="4">
        <v>286.38</v>
      </c>
      <c r="U118" s="4">
        <v>270.83999999999997</v>
      </c>
      <c r="V118" s="4">
        <v>289.89</v>
      </c>
      <c r="W118" s="4">
        <v>279.74</v>
      </c>
      <c r="X118" s="7">
        <v>1.552397900328195E-2</v>
      </c>
      <c r="Y118" s="8">
        <v>-6.81560015145799E-3</v>
      </c>
      <c r="Z118" s="8">
        <v>8.1213593524191996E-3</v>
      </c>
      <c r="AA118" s="8">
        <v>-8.9705817686117628E-3</v>
      </c>
    </row>
    <row r="119" spans="2:27" hidden="1" x14ac:dyDescent="0.3">
      <c r="B119" s="3" t="s">
        <v>161</v>
      </c>
      <c r="C119" s="3" t="s">
        <v>388</v>
      </c>
      <c r="D119" s="3" t="s">
        <v>425</v>
      </c>
      <c r="E119" s="3" t="s">
        <v>412</v>
      </c>
      <c r="F119" s="5">
        <v>-1</v>
      </c>
      <c r="G119" s="4">
        <v>4934</v>
      </c>
      <c r="H119" s="4">
        <v>5054</v>
      </c>
      <c r="I119" s="4">
        <v>4908</v>
      </c>
      <c r="J119" s="4">
        <v>5212</v>
      </c>
      <c r="K119" s="4">
        <v>5311</v>
      </c>
      <c r="L119" s="4">
        <v>5374</v>
      </c>
      <c r="M119" s="4">
        <v>4941</v>
      </c>
      <c r="N119" s="4">
        <v>4867</v>
      </c>
      <c r="O119" s="4">
        <v>5142</v>
      </c>
      <c r="P119" s="4">
        <v>5116</v>
      </c>
      <c r="Q119" s="4">
        <v>4537</v>
      </c>
      <c r="R119" s="4">
        <v>4570</v>
      </c>
      <c r="S119" s="4">
        <v>4824</v>
      </c>
      <c r="T119" s="4">
        <v>4947</v>
      </c>
      <c r="U119" s="4">
        <v>4253</v>
      </c>
      <c r="V119" s="4">
        <v>4465</v>
      </c>
      <c r="W119" s="4">
        <v>4645</v>
      </c>
      <c r="X119" s="7">
        <v>-8.8727883656218864E-3</v>
      </c>
      <c r="Y119" s="8">
        <v>-1.5043966521877341E-2</v>
      </c>
      <c r="Z119" s="8">
        <v>-5.6469828977089298E-3</v>
      </c>
      <c r="AA119" s="8">
        <v>-9.6814322029314948E-3</v>
      </c>
    </row>
    <row r="120" spans="2:27" hidden="1" x14ac:dyDescent="0.3">
      <c r="B120" s="3" t="s">
        <v>36</v>
      </c>
      <c r="C120" s="3" t="s">
        <v>388</v>
      </c>
      <c r="D120" s="3" t="s">
        <v>426</v>
      </c>
      <c r="E120" s="3" t="s">
        <v>412</v>
      </c>
      <c r="F120" s="5">
        <v>-3.3</v>
      </c>
      <c r="G120" s="4">
        <v>1742</v>
      </c>
      <c r="H120" s="4">
        <v>1846</v>
      </c>
      <c r="I120" s="4">
        <v>1945</v>
      </c>
      <c r="J120" s="4">
        <v>2085</v>
      </c>
      <c r="K120" s="4">
        <v>2193</v>
      </c>
      <c r="L120" s="4">
        <v>2104</v>
      </c>
      <c r="M120" s="4">
        <v>1960</v>
      </c>
      <c r="N120" s="4">
        <v>2094</v>
      </c>
      <c r="O120" s="4">
        <v>2181</v>
      </c>
      <c r="P120" s="4">
        <v>2018</v>
      </c>
      <c r="Q120" s="4">
        <v>1863</v>
      </c>
      <c r="R120" s="4">
        <v>1735</v>
      </c>
      <c r="S120" s="4">
        <v>1762</v>
      </c>
      <c r="T120" s="4">
        <v>1723</v>
      </c>
      <c r="U120" s="4">
        <v>1446</v>
      </c>
      <c r="V120" s="4">
        <v>1469</v>
      </c>
      <c r="W120" s="4">
        <v>1551</v>
      </c>
      <c r="X120" s="7">
        <v>-3.998373542965572E-2</v>
      </c>
      <c r="Y120" s="8">
        <v>-5.8873358746293958E-2</v>
      </c>
      <c r="Z120" s="8">
        <v>-3.9903990399039913E-2</v>
      </c>
      <c r="AA120" s="8">
        <v>-3.2968749999999991E-2</v>
      </c>
    </row>
    <row r="121" spans="2:27" hidden="1" x14ac:dyDescent="0.3">
      <c r="B121" s="3" t="s">
        <v>133</v>
      </c>
      <c r="C121" s="3" t="s">
        <v>409</v>
      </c>
      <c r="D121" s="3" t="s">
        <v>410</v>
      </c>
      <c r="E121" s="3" t="s">
        <v>412</v>
      </c>
      <c r="F121" s="5">
        <v>-1.2</v>
      </c>
      <c r="G121" s="4">
        <v>156863</v>
      </c>
      <c r="H121" s="4">
        <v>170211</v>
      </c>
      <c r="I121" s="4">
        <v>167558</v>
      </c>
      <c r="J121" s="4">
        <v>190482</v>
      </c>
      <c r="K121" s="4">
        <v>195110</v>
      </c>
      <c r="L121" s="4">
        <v>203226</v>
      </c>
      <c r="M121" s="4">
        <v>184965</v>
      </c>
      <c r="N121" s="4">
        <v>196033</v>
      </c>
      <c r="O121" s="4">
        <v>193376</v>
      </c>
      <c r="P121" s="4">
        <v>206564</v>
      </c>
      <c r="Q121" s="4">
        <v>192183</v>
      </c>
      <c r="R121" s="4">
        <v>219034</v>
      </c>
      <c r="S121" s="4">
        <v>203617</v>
      </c>
      <c r="T121" s="4">
        <v>212061</v>
      </c>
      <c r="U121" s="4">
        <v>194804</v>
      </c>
      <c r="V121" s="4">
        <v>205154</v>
      </c>
      <c r="W121" s="4">
        <v>193466</v>
      </c>
      <c r="X121" s="7">
        <v>6.692249068052325E-3</v>
      </c>
      <c r="Y121" s="8">
        <v>3.169689017348043E-3</v>
      </c>
      <c r="Z121" s="8">
        <v>-1.673264891816428E-2</v>
      </c>
      <c r="AA121" s="8">
        <v>-1.244550265069222E-2</v>
      </c>
    </row>
    <row r="122" spans="2:27" hidden="1" x14ac:dyDescent="0.3">
      <c r="B122" s="3" t="s">
        <v>194</v>
      </c>
      <c r="C122" s="3" t="s">
        <v>427</v>
      </c>
      <c r="D122" s="3" t="s">
        <v>398</v>
      </c>
      <c r="E122" s="3" t="s">
        <v>412</v>
      </c>
      <c r="F122" s="5">
        <v>8.1</v>
      </c>
      <c r="G122" s="4">
        <v>136.59</v>
      </c>
      <c r="H122" s="4">
        <v>154.72999999999999</v>
      </c>
      <c r="I122" s="4">
        <v>170.53</v>
      </c>
      <c r="J122" s="4">
        <v>181.55</v>
      </c>
      <c r="K122" s="6">
        <v>203.96</v>
      </c>
      <c r="L122" s="4">
        <v>192.89</v>
      </c>
      <c r="M122" s="4">
        <v>186.64</v>
      </c>
      <c r="N122" s="4">
        <v>195.61</v>
      </c>
      <c r="O122" s="4">
        <v>211.76</v>
      </c>
      <c r="P122" s="4">
        <v>218.04</v>
      </c>
      <c r="Q122" s="4">
        <v>245.28</v>
      </c>
      <c r="R122" s="4">
        <v>250.34</v>
      </c>
      <c r="S122" s="4">
        <v>257.23</v>
      </c>
      <c r="T122" s="4">
        <v>279.39</v>
      </c>
      <c r="U122" s="4">
        <v>289.99</v>
      </c>
      <c r="V122" s="4">
        <v>326.39999999999998</v>
      </c>
      <c r="W122" s="4">
        <v>350.17</v>
      </c>
      <c r="X122" s="7">
        <v>6.318944473627286E-2</v>
      </c>
      <c r="Y122" s="8">
        <v>4.3313570487483632E-2</v>
      </c>
      <c r="Z122" s="8">
        <v>7.0625377222712338E-2</v>
      </c>
      <c r="AA122" s="8">
        <v>8.0606412780461545E-2</v>
      </c>
    </row>
    <row r="123" spans="2:27" hidden="1" x14ac:dyDescent="0.3">
      <c r="B123" s="3" t="s">
        <v>46</v>
      </c>
      <c r="C123" s="3" t="s">
        <v>427</v>
      </c>
      <c r="D123" s="3" t="s">
        <v>428</v>
      </c>
      <c r="E123" s="3" t="s">
        <v>429</v>
      </c>
      <c r="F123" s="5">
        <v>-2.6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4">
        <v>257.02999999999997</v>
      </c>
      <c r="T123" s="4">
        <v>275.26</v>
      </c>
      <c r="U123" s="4">
        <v>244.32</v>
      </c>
      <c r="V123" s="4">
        <v>259.66000000000003</v>
      </c>
      <c r="W123" s="4">
        <v>230.59</v>
      </c>
      <c r="X123" s="11"/>
      <c r="Y123" s="3"/>
      <c r="Z123" s="3"/>
      <c r="AA123" s="8">
        <v>-2.551458596697764E-2</v>
      </c>
    </row>
    <row r="124" spans="2:27" x14ac:dyDescent="0.3">
      <c r="B124" s="12">
        <v>1830</v>
      </c>
      <c r="C124" s="3" t="s">
        <v>430</v>
      </c>
      <c r="D124" s="3" t="str">
        <f>VLOOKUP(Revenue!B124,기업리스트!B:G,2,FALSE)</f>
        <v>Leejam Sports Company</v>
      </c>
      <c r="E124" s="3" t="s">
        <v>431</v>
      </c>
      <c r="F124" s="5">
        <v>-9.1999999999999993</v>
      </c>
      <c r="G124" s="4">
        <v>801.64</v>
      </c>
      <c r="I124" s="4">
        <v>548.33000000000004</v>
      </c>
      <c r="K124" s="4">
        <v>668.3</v>
      </c>
      <c r="M124" s="4">
        <v>720.96</v>
      </c>
      <c r="O124" s="4">
        <v>718.15</v>
      </c>
      <c r="Q124" s="4">
        <v>675.19</v>
      </c>
      <c r="S124" s="4">
        <v>620.27</v>
      </c>
      <c r="U124" s="4">
        <v>507.59</v>
      </c>
      <c r="W124" s="4">
        <v>485.88</v>
      </c>
      <c r="X124" s="8">
        <f>(O124+Q124)/(O124+M124)-1</f>
        <v>-3.1804379095413116E-2</v>
      </c>
      <c r="Y124" s="8">
        <f>(Q124+S124)/(Q124+O124)-1</f>
        <v>-7.0248467710680829E-2</v>
      </c>
      <c r="Z124" s="8">
        <f>(S124+U124)/(S124+Q124)-1</f>
        <v>-0.12937489386009615</v>
      </c>
      <c r="AA124" s="8">
        <f>(U124+W124)/(U124+S124)-1</f>
        <v>-0.11915485964570061</v>
      </c>
    </row>
    <row r="125" spans="2:27" x14ac:dyDescent="0.3">
      <c r="X125" s="8"/>
      <c r="Y125" s="8"/>
    </row>
    <row r="126" spans="2:27" x14ac:dyDescent="0.3">
      <c r="Z126" s="8"/>
    </row>
  </sheetData>
  <autoFilter ref="B2:AA124" xr:uid="{00000000-0009-0000-0000-000001000000}">
    <filterColumn colId="3">
      <filters>
        <filter val="Dec'25"/>
        <filter val="H1 2026"/>
        <filter val="Jun'26"/>
        <filter val="Mar'26"/>
        <filter val="Sep'26"/>
      </filters>
    </filterColumn>
    <sortState xmlns:xlrd2="http://schemas.microsoft.com/office/spreadsheetml/2017/richdata2" ref="B3:AA124">
      <sortCondition descending="1" ref="C2:C124"/>
    </sortState>
  </autoFilter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123"/>
  <sheetViews>
    <sheetView tabSelected="1" workbookViewId="0">
      <selection activeCell="F34" sqref="C34:F34"/>
    </sheetView>
  </sheetViews>
  <sheetFormatPr defaultRowHeight="16.5" x14ac:dyDescent="0.3"/>
  <cols>
    <col min="1" max="1" width="3" customWidth="1"/>
    <col min="2" max="2" width="12" style="24" customWidth="1"/>
    <col min="3" max="3" width="14" customWidth="1"/>
    <col min="4" max="4" width="39" bestFit="1" customWidth="1"/>
    <col min="5" max="5" width="12" hidden="1" customWidth="1"/>
    <col min="6" max="6" width="12" customWidth="1"/>
    <col min="7" max="11" width="9" hidden="1" customWidth="1"/>
    <col min="12" max="23" width="9" customWidth="1"/>
    <col min="24" max="27" width="10" customWidth="1"/>
  </cols>
  <sheetData>
    <row r="2" spans="2:27" x14ac:dyDescent="0.3">
      <c r="B2" s="2" t="s">
        <v>460</v>
      </c>
      <c r="C2" s="2" t="s">
        <v>367</v>
      </c>
      <c r="D2" s="2" t="s">
        <v>368</v>
      </c>
      <c r="E2" s="2" t="s">
        <v>369</v>
      </c>
      <c r="F2" s="2" t="s">
        <v>370</v>
      </c>
      <c r="G2" s="2" t="s">
        <v>371</v>
      </c>
      <c r="H2" s="2" t="s">
        <v>372</v>
      </c>
      <c r="I2" s="2" t="s">
        <v>373</v>
      </c>
      <c r="J2" s="2" t="s">
        <v>374</v>
      </c>
      <c r="K2" s="2" t="s">
        <v>375</v>
      </c>
      <c r="L2" s="2" t="s">
        <v>376</v>
      </c>
      <c r="M2" s="2" t="s">
        <v>377</v>
      </c>
      <c r="N2" s="2" t="s">
        <v>378</v>
      </c>
      <c r="O2" s="2" t="s">
        <v>379</v>
      </c>
      <c r="P2" s="2" t="s">
        <v>380</v>
      </c>
      <c r="Q2" s="2" t="s">
        <v>381</v>
      </c>
      <c r="R2" s="2" t="s">
        <v>382</v>
      </c>
      <c r="S2" s="2" t="s">
        <v>383</v>
      </c>
      <c r="T2" s="2" t="s">
        <v>384</v>
      </c>
      <c r="U2" s="2" t="s">
        <v>385</v>
      </c>
      <c r="V2" s="2" t="s">
        <v>386</v>
      </c>
      <c r="W2" s="2" t="s">
        <v>387</v>
      </c>
      <c r="X2" s="2" t="s">
        <v>384</v>
      </c>
      <c r="Y2" s="2" t="s">
        <v>385</v>
      </c>
      <c r="Z2" s="2" t="s">
        <v>386</v>
      </c>
      <c r="AA2" s="2" t="s">
        <v>387</v>
      </c>
    </row>
    <row r="3" spans="2:27" x14ac:dyDescent="0.3">
      <c r="B3" s="12" t="s">
        <v>87</v>
      </c>
      <c r="C3" s="3" t="s">
        <v>388</v>
      </c>
      <c r="D3" s="3" t="s">
        <v>391</v>
      </c>
      <c r="E3" s="3" t="s">
        <v>390</v>
      </c>
      <c r="F3" s="13">
        <v>29</v>
      </c>
      <c r="G3" s="49"/>
      <c r="H3" s="49"/>
      <c r="I3" s="49"/>
      <c r="J3" s="49"/>
      <c r="K3" s="49"/>
      <c r="L3" s="49">
        <v>41.21</v>
      </c>
      <c r="M3" s="49">
        <v>46.57</v>
      </c>
      <c r="N3" s="49">
        <v>42.17</v>
      </c>
      <c r="O3" s="49">
        <v>69.599999999999994</v>
      </c>
      <c r="P3" s="50">
        <v>71</v>
      </c>
      <c r="Q3" s="50">
        <v>74</v>
      </c>
      <c r="R3" s="50">
        <v>81</v>
      </c>
      <c r="S3" s="49">
        <v>32</v>
      </c>
      <c r="T3" s="50">
        <v>111</v>
      </c>
      <c r="U3" s="50">
        <v>123</v>
      </c>
      <c r="V3" s="50">
        <v>117</v>
      </c>
      <c r="W3" s="50">
        <v>143</v>
      </c>
      <c r="X3" s="10">
        <v>0.15503875968992251</v>
      </c>
      <c r="Y3" s="9">
        <v>0.16442953020134229</v>
      </c>
      <c r="Z3" s="9">
        <v>0.1037463976945245</v>
      </c>
      <c r="AA3" s="9">
        <v>0.28981723237597912</v>
      </c>
    </row>
    <row r="4" spans="2:27" x14ac:dyDescent="0.3">
      <c r="B4" s="12" t="s">
        <v>156</v>
      </c>
      <c r="C4" s="3" t="s">
        <v>388</v>
      </c>
      <c r="D4" s="3" t="s">
        <v>392</v>
      </c>
      <c r="E4" s="3" t="s">
        <v>390</v>
      </c>
      <c r="F4" s="13">
        <v>25.2</v>
      </c>
      <c r="G4" s="49"/>
      <c r="H4" s="49"/>
      <c r="I4" s="49"/>
      <c r="J4" s="49"/>
      <c r="K4" s="49"/>
      <c r="L4" s="49">
        <v>8.0299999999999994</v>
      </c>
      <c r="M4" s="49">
        <v>8.0299999999999994</v>
      </c>
      <c r="N4" s="49">
        <v>9.17</v>
      </c>
      <c r="O4" s="49">
        <v>9.6999999999999993</v>
      </c>
      <c r="P4" s="49">
        <v>11.33</v>
      </c>
      <c r="Q4" s="49">
        <v>10.55</v>
      </c>
      <c r="R4" s="49">
        <v>8.2200000000000006</v>
      </c>
      <c r="S4" s="49">
        <v>3.83</v>
      </c>
      <c r="T4" s="49">
        <v>5.08</v>
      </c>
      <c r="U4" s="49">
        <v>6.57</v>
      </c>
      <c r="V4" s="49">
        <v>8.9700000000000006</v>
      </c>
      <c r="W4" s="50">
        <v>10</v>
      </c>
      <c r="X4" s="7">
        <v>-0.1842027704096669</v>
      </c>
      <c r="Y4" s="8">
        <v>-0.14378612716763001</v>
      </c>
      <c r="Z4" s="8">
        <v>3.1645569620253111E-2</v>
      </c>
      <c r="AA4" s="9">
        <v>0.25235173824130869</v>
      </c>
    </row>
    <row r="5" spans="2:27" x14ac:dyDescent="0.3">
      <c r="B5" s="12" t="s">
        <v>340</v>
      </c>
      <c r="C5" s="3" t="s">
        <v>388</v>
      </c>
      <c r="D5" s="3" t="s">
        <v>397</v>
      </c>
      <c r="E5" s="3" t="s">
        <v>395</v>
      </c>
      <c r="F5" s="13">
        <v>24.1</v>
      </c>
      <c r="G5" s="49">
        <v>25.6</v>
      </c>
      <c r="H5" s="49">
        <v>16.649999999999999</v>
      </c>
      <c r="I5" s="49">
        <v>23.53</v>
      </c>
      <c r="J5" s="49">
        <v>22.45</v>
      </c>
      <c r="K5" s="49">
        <v>27.05</v>
      </c>
      <c r="L5" s="49">
        <v>21.08</v>
      </c>
      <c r="M5" s="49">
        <v>27.25</v>
      </c>
      <c r="N5" s="49">
        <v>23.68</v>
      </c>
      <c r="O5" s="49">
        <v>32.69</v>
      </c>
      <c r="P5" s="49">
        <v>21.77</v>
      </c>
      <c r="Q5" s="49">
        <v>32.020000000000003</v>
      </c>
      <c r="R5" s="49">
        <v>20.309999999999999</v>
      </c>
      <c r="S5" s="49">
        <v>-5.34</v>
      </c>
      <c r="T5" s="49">
        <v>25.59</v>
      </c>
      <c r="U5" s="50">
        <v>42.91</v>
      </c>
      <c r="V5" s="49">
        <v>8.01</v>
      </c>
      <c r="W5" s="50">
        <v>11.81</v>
      </c>
      <c r="X5" s="7">
        <v>5.5555555555555358E-2</v>
      </c>
      <c r="Y5" s="9">
        <v>0.15004133370074399</v>
      </c>
      <c r="Z5" s="8">
        <v>-0.14735833233497059</v>
      </c>
      <c r="AA5" s="9">
        <v>0.24097231979766739</v>
      </c>
    </row>
    <row r="6" spans="2:27" x14ac:dyDescent="0.3">
      <c r="B6" s="12" t="s">
        <v>34</v>
      </c>
      <c r="C6" s="3" t="s">
        <v>388</v>
      </c>
      <c r="D6" s="3" t="s">
        <v>400</v>
      </c>
      <c r="E6" s="3" t="s">
        <v>390</v>
      </c>
      <c r="F6" s="13">
        <v>15.9</v>
      </c>
      <c r="G6" s="49">
        <v>533</v>
      </c>
      <c r="H6" s="49">
        <v>510</v>
      </c>
      <c r="I6" s="49">
        <v>280</v>
      </c>
      <c r="J6" s="49">
        <v>32</v>
      </c>
      <c r="K6" s="49">
        <v>556</v>
      </c>
      <c r="L6" s="49">
        <v>586</v>
      </c>
      <c r="M6" s="50">
        <v>560</v>
      </c>
      <c r="N6" s="50">
        <v>428</v>
      </c>
      <c r="O6" s="49">
        <v>690</v>
      </c>
      <c r="P6" s="49">
        <v>706</v>
      </c>
      <c r="Q6" s="49">
        <v>594</v>
      </c>
      <c r="R6" s="50">
        <v>673</v>
      </c>
      <c r="S6" s="49">
        <v>188</v>
      </c>
      <c r="T6" s="49">
        <v>620</v>
      </c>
      <c r="U6" s="49">
        <v>628</v>
      </c>
      <c r="V6" s="49">
        <v>779</v>
      </c>
      <c r="W6" s="50">
        <v>541</v>
      </c>
      <c r="X6" s="7">
        <v>-3.9796390559926009E-2</v>
      </c>
      <c r="Y6" s="8">
        <v>1.6385542168674719E-2</v>
      </c>
      <c r="Z6" s="8">
        <v>5.026078710289239E-2</v>
      </c>
      <c r="AA6" s="9">
        <v>0.15936794582392769</v>
      </c>
    </row>
    <row r="7" spans="2:27" x14ac:dyDescent="0.3">
      <c r="B7" s="12" t="s">
        <v>307</v>
      </c>
      <c r="C7" s="3" t="s">
        <v>388</v>
      </c>
      <c r="D7" s="3" t="s">
        <v>398</v>
      </c>
      <c r="E7" s="3" t="s">
        <v>396</v>
      </c>
      <c r="F7" s="13">
        <v>15</v>
      </c>
      <c r="G7" s="49">
        <v>-3.51</v>
      </c>
      <c r="H7" s="49">
        <v>-3.74</v>
      </c>
      <c r="I7" s="49">
        <v>-1.59</v>
      </c>
      <c r="J7" s="49">
        <v>-1.22</v>
      </c>
      <c r="K7" s="49">
        <v>-0.42</v>
      </c>
      <c r="L7" s="49">
        <v>-1.89</v>
      </c>
      <c r="M7" s="50">
        <v>-2.98</v>
      </c>
      <c r="N7" s="50">
        <v>-2.96</v>
      </c>
      <c r="O7" s="49">
        <v>-0.14000000000000001</v>
      </c>
      <c r="P7" s="50">
        <v>-2.7</v>
      </c>
      <c r="Q7" s="49">
        <v>-2.54</v>
      </c>
      <c r="R7" s="49">
        <v>4.46</v>
      </c>
      <c r="S7" s="49">
        <v>5.42</v>
      </c>
      <c r="T7" s="50">
        <v>7.71</v>
      </c>
      <c r="U7" s="50">
        <v>2.21</v>
      </c>
      <c r="V7" s="49">
        <v>6.32</v>
      </c>
      <c r="W7" s="50">
        <v>8.67</v>
      </c>
      <c r="X7" s="10">
        <v>2.243534482758621</v>
      </c>
      <c r="Y7" s="9">
        <v>0.31561461794019929</v>
      </c>
      <c r="Z7" s="8">
        <v>9.3939393939393989E-2</v>
      </c>
      <c r="AA7" s="9">
        <v>0.1500461680517082</v>
      </c>
    </row>
    <row r="8" spans="2:27" x14ac:dyDescent="0.3">
      <c r="B8" s="12" t="s">
        <v>50</v>
      </c>
      <c r="C8" s="3" t="s">
        <v>388</v>
      </c>
      <c r="D8" s="3" t="s">
        <v>393</v>
      </c>
      <c r="E8" s="3" t="s">
        <v>396</v>
      </c>
      <c r="F8" s="13">
        <v>11.2</v>
      </c>
      <c r="G8" s="49">
        <v>21.22</v>
      </c>
      <c r="H8" s="49">
        <v>17.63</v>
      </c>
      <c r="I8" s="49">
        <v>19.079999999999998</v>
      </c>
      <c r="J8" s="49">
        <v>20.399999999999999</v>
      </c>
      <c r="K8" s="50">
        <v>33.880000000000003</v>
      </c>
      <c r="L8" s="49">
        <v>19.45</v>
      </c>
      <c r="M8" s="50">
        <v>34.29</v>
      </c>
      <c r="N8" s="50">
        <v>35.270000000000003</v>
      </c>
      <c r="O8" s="49">
        <v>35.72</v>
      </c>
      <c r="P8" s="49">
        <v>23.12</v>
      </c>
      <c r="Q8" s="49">
        <v>42.03</v>
      </c>
      <c r="R8" s="49">
        <v>47.03</v>
      </c>
      <c r="S8" s="49">
        <v>47.46</v>
      </c>
      <c r="T8" s="50">
        <v>42.91</v>
      </c>
      <c r="U8" s="50">
        <v>62.34</v>
      </c>
      <c r="V8" s="50">
        <v>72.97</v>
      </c>
      <c r="W8" s="50">
        <v>72.739999999999995</v>
      </c>
      <c r="X8" s="10">
        <v>0.1239664244550238</v>
      </c>
      <c r="Y8" s="9">
        <v>0.1131917739508443</v>
      </c>
      <c r="Z8" s="9">
        <v>0.1298688294783219</v>
      </c>
      <c r="AA8" s="9">
        <v>0.1120170152428215</v>
      </c>
    </row>
    <row r="9" spans="2:27" x14ac:dyDescent="0.3">
      <c r="B9" s="12" t="s">
        <v>186</v>
      </c>
      <c r="C9" s="3" t="s">
        <v>388</v>
      </c>
      <c r="D9" s="3" t="s">
        <v>394</v>
      </c>
      <c r="E9" s="3" t="s">
        <v>395</v>
      </c>
      <c r="F9" s="5">
        <v>9.9</v>
      </c>
      <c r="G9" s="49">
        <v>19.39</v>
      </c>
      <c r="H9" s="49">
        <v>16.649999999999999</v>
      </c>
      <c r="I9" s="49">
        <v>10.5</v>
      </c>
      <c r="J9" s="49">
        <v>21.32</v>
      </c>
      <c r="K9" s="49">
        <v>-9.4</v>
      </c>
      <c r="L9" s="49">
        <v>15.84</v>
      </c>
      <c r="M9" s="49">
        <v>6.68</v>
      </c>
      <c r="N9" s="49">
        <v>19.72</v>
      </c>
      <c r="O9" s="50">
        <v>16.21</v>
      </c>
      <c r="P9" s="49">
        <v>17.82</v>
      </c>
      <c r="Q9" s="49">
        <v>8.89</v>
      </c>
      <c r="R9" s="50">
        <v>30.39</v>
      </c>
      <c r="S9" s="50">
        <v>25.35</v>
      </c>
      <c r="T9" s="50">
        <v>27.31</v>
      </c>
      <c r="U9" s="50">
        <v>20.079999999999998</v>
      </c>
      <c r="V9" s="49">
        <v>30.79</v>
      </c>
      <c r="W9" s="49">
        <v>35.58</v>
      </c>
      <c r="X9" s="10">
        <v>0.1151000606428139</v>
      </c>
      <c r="Y9" s="9">
        <v>0.12170981074613869</v>
      </c>
      <c r="Z9" s="8">
        <v>3.8785998254631249E-3</v>
      </c>
      <c r="AA9" s="8">
        <v>9.8811938568530655E-2</v>
      </c>
    </row>
    <row r="10" spans="2:27" x14ac:dyDescent="0.3">
      <c r="B10" s="12" t="s">
        <v>11</v>
      </c>
      <c r="C10" s="3" t="s">
        <v>388</v>
      </c>
      <c r="D10" s="3" t="s">
        <v>389</v>
      </c>
      <c r="E10" s="3" t="s">
        <v>390</v>
      </c>
      <c r="F10" s="5">
        <v>9.6</v>
      </c>
      <c r="G10" s="49">
        <v>448</v>
      </c>
      <c r="H10" s="49">
        <v>-2544</v>
      </c>
      <c r="I10" s="49">
        <v>-3743</v>
      </c>
      <c r="J10" s="49">
        <v>-1463</v>
      </c>
      <c r="K10" s="49">
        <v>1249</v>
      </c>
      <c r="L10" s="49">
        <v>2102</v>
      </c>
      <c r="M10" s="49">
        <v>828</v>
      </c>
      <c r="N10" s="50">
        <v>-111</v>
      </c>
      <c r="O10" s="50">
        <v>2473</v>
      </c>
      <c r="P10" s="49">
        <v>2025</v>
      </c>
      <c r="Q10" s="50">
        <v>1449</v>
      </c>
      <c r="R10" s="50">
        <v>2685</v>
      </c>
      <c r="S10" s="49">
        <v>1110</v>
      </c>
      <c r="T10" s="49">
        <v>1621</v>
      </c>
      <c r="U10" s="49">
        <v>1017</v>
      </c>
      <c r="V10" s="49">
        <v>2920</v>
      </c>
      <c r="W10" s="49">
        <v>1752</v>
      </c>
      <c r="X10" s="7">
        <v>-5.5578483973036219E-2</v>
      </c>
      <c r="Y10" s="8">
        <v>-6.2927895120174826E-2</v>
      </c>
      <c r="Z10" s="8">
        <v>3.6530390175656853E-2</v>
      </c>
      <c r="AA10" s="8">
        <v>9.6280743851229644E-2</v>
      </c>
    </row>
    <row r="11" spans="2:27" x14ac:dyDescent="0.3">
      <c r="B11" s="12" t="s">
        <v>93</v>
      </c>
      <c r="C11" s="3" t="s">
        <v>388</v>
      </c>
      <c r="D11" s="3" t="s">
        <v>401</v>
      </c>
      <c r="E11" s="3" t="s">
        <v>396</v>
      </c>
      <c r="F11" s="5">
        <v>7.6</v>
      </c>
      <c r="G11" s="49">
        <v>-101</v>
      </c>
      <c r="H11" s="49">
        <v>-139</v>
      </c>
      <c r="I11" s="49">
        <v>-87</v>
      </c>
      <c r="J11" s="49">
        <v>-152</v>
      </c>
      <c r="K11" s="49">
        <v>-43</v>
      </c>
      <c r="L11" s="49">
        <v>-59</v>
      </c>
      <c r="M11" s="49">
        <v>-34</v>
      </c>
      <c r="N11" s="49">
        <v>-22</v>
      </c>
      <c r="O11" s="49">
        <v>59</v>
      </c>
      <c r="P11" s="49">
        <v>7</v>
      </c>
      <c r="Q11" s="50">
        <v>146</v>
      </c>
      <c r="R11" s="50">
        <v>110</v>
      </c>
      <c r="S11" s="50">
        <v>125</v>
      </c>
      <c r="T11" s="50">
        <v>194</v>
      </c>
      <c r="U11" s="49">
        <v>149</v>
      </c>
      <c r="V11" s="49">
        <v>140</v>
      </c>
      <c r="W11" s="49">
        <v>171</v>
      </c>
      <c r="X11" s="10">
        <v>0.481958762886598</v>
      </c>
      <c r="Y11" s="8">
        <v>5.2173913043478404E-3</v>
      </c>
      <c r="Z11" s="8">
        <v>5.1903114186851118E-2</v>
      </c>
      <c r="AA11" s="8">
        <v>7.5657894736842035E-2</v>
      </c>
    </row>
    <row r="12" spans="2:27" x14ac:dyDescent="0.3">
      <c r="B12" s="12" t="s">
        <v>365</v>
      </c>
      <c r="C12" s="3" t="s">
        <v>388</v>
      </c>
      <c r="D12" s="3" t="s">
        <v>399</v>
      </c>
      <c r="E12" s="3" t="s">
        <v>390</v>
      </c>
      <c r="F12" s="5">
        <v>7.4</v>
      </c>
      <c r="G12" s="49">
        <v>-2.89</v>
      </c>
      <c r="H12" s="49">
        <v>12.67</v>
      </c>
      <c r="I12" s="49">
        <v>10.09</v>
      </c>
      <c r="J12" s="49">
        <v>-18.059999999999999</v>
      </c>
      <c r="K12" s="49">
        <v>-5.58</v>
      </c>
      <c r="L12" s="50">
        <v>-18.45</v>
      </c>
      <c r="M12" s="50">
        <v>-22.95</v>
      </c>
      <c r="N12" s="49">
        <v>-20.63</v>
      </c>
      <c r="O12" s="50">
        <v>-25.28</v>
      </c>
      <c r="P12" s="49">
        <v>-26.88</v>
      </c>
      <c r="Q12" s="50">
        <v>-44.29</v>
      </c>
      <c r="R12" s="49">
        <v>-13.04</v>
      </c>
      <c r="S12" s="49">
        <v>-25.19</v>
      </c>
      <c r="T12" s="49">
        <v>-19.03</v>
      </c>
      <c r="U12" s="49">
        <v>-22.32</v>
      </c>
      <c r="V12" s="49">
        <v>13.58</v>
      </c>
      <c r="W12" s="49">
        <v>-29.09</v>
      </c>
      <c r="X12" s="7">
        <v>-7.1755027422303552E-2</v>
      </c>
      <c r="Y12" s="8">
        <v>-0.2163466272772033</v>
      </c>
      <c r="Z12" s="8">
        <v>-0.33450615732596117</v>
      </c>
      <c r="AA12" s="8">
        <v>7.3640483383685673E-2</v>
      </c>
    </row>
    <row r="13" spans="2:27" x14ac:dyDescent="0.3">
      <c r="B13" s="12" t="s">
        <v>42</v>
      </c>
      <c r="C13" s="3" t="s">
        <v>388</v>
      </c>
      <c r="D13" s="3" t="s">
        <v>402</v>
      </c>
      <c r="E13" s="3" t="s">
        <v>390</v>
      </c>
      <c r="F13" s="5">
        <v>3.9</v>
      </c>
      <c r="G13" s="49">
        <v>174.69</v>
      </c>
      <c r="H13" s="49">
        <v>165.2</v>
      </c>
      <c r="I13" s="49">
        <v>174.25</v>
      </c>
      <c r="J13" s="49">
        <v>189.08</v>
      </c>
      <c r="K13" s="49">
        <v>177.22</v>
      </c>
      <c r="L13" s="49">
        <v>180.78</v>
      </c>
      <c r="M13" s="49">
        <v>195.55</v>
      </c>
      <c r="N13" s="49">
        <v>208.4</v>
      </c>
      <c r="O13" s="49">
        <v>213.17</v>
      </c>
      <c r="P13" s="49">
        <v>210.45</v>
      </c>
      <c r="Q13" s="49">
        <v>218.59</v>
      </c>
      <c r="R13" s="49">
        <v>250.94</v>
      </c>
      <c r="S13" s="49">
        <v>252.77</v>
      </c>
      <c r="T13" s="49">
        <v>229.45</v>
      </c>
      <c r="U13" s="49">
        <v>252.21</v>
      </c>
      <c r="V13" s="49">
        <v>290.49</v>
      </c>
      <c r="W13" s="49">
        <v>293.13</v>
      </c>
      <c r="X13" s="7">
        <v>2.0369874028410621E-2</v>
      </c>
      <c r="Y13" s="8">
        <v>3.5324402416601057E-2</v>
      </c>
      <c r="Z13" s="8">
        <v>4.0137207343434511E-2</v>
      </c>
      <c r="AA13" s="8">
        <v>3.9378683214299492E-2</v>
      </c>
    </row>
    <row r="14" spans="2:27" x14ac:dyDescent="0.3">
      <c r="B14" s="12" t="s">
        <v>212</v>
      </c>
      <c r="C14" s="3" t="s">
        <v>388</v>
      </c>
      <c r="D14" s="3" t="s">
        <v>406</v>
      </c>
      <c r="E14" s="3" t="s">
        <v>404</v>
      </c>
      <c r="F14" s="5">
        <v>1.4</v>
      </c>
      <c r="G14" s="49">
        <v>113.48</v>
      </c>
      <c r="H14" s="49">
        <v>86.66</v>
      </c>
      <c r="I14" s="49">
        <v>104.25</v>
      </c>
      <c r="J14" s="49">
        <v>88.65</v>
      </c>
      <c r="K14" s="49">
        <v>94.71</v>
      </c>
      <c r="L14" s="49">
        <v>77.819999999999993</v>
      </c>
      <c r="M14" s="49">
        <v>91.28</v>
      </c>
      <c r="N14" s="49">
        <v>75.64</v>
      </c>
      <c r="O14" s="49">
        <v>70.34</v>
      </c>
      <c r="P14" s="49">
        <v>59.94</v>
      </c>
      <c r="Q14" s="49">
        <v>72.150000000000006</v>
      </c>
      <c r="R14" s="49">
        <v>82.93</v>
      </c>
      <c r="S14" s="49">
        <v>72.12</v>
      </c>
      <c r="T14" s="49">
        <v>71.849999999999994</v>
      </c>
      <c r="U14" s="49">
        <v>78.17</v>
      </c>
      <c r="V14" s="49">
        <v>56.14</v>
      </c>
      <c r="W14" s="49">
        <v>75.94</v>
      </c>
      <c r="X14" s="7">
        <v>4.1478024656961932E-2</v>
      </c>
      <c r="Y14" s="8">
        <v>2.0130412974418869E-2</v>
      </c>
      <c r="Z14" s="8">
        <v>-8.781591110236997E-2</v>
      </c>
      <c r="AA14" s="8">
        <v>1.372718125628891E-2</v>
      </c>
    </row>
    <row r="15" spans="2:27" x14ac:dyDescent="0.3">
      <c r="B15" s="12" t="s">
        <v>192</v>
      </c>
      <c r="C15" s="3" t="s">
        <v>388</v>
      </c>
      <c r="D15" s="3" t="s">
        <v>389</v>
      </c>
      <c r="E15" s="3" t="s">
        <v>390</v>
      </c>
      <c r="F15" s="5">
        <v>-0.4</v>
      </c>
      <c r="G15" s="49">
        <v>4.2699999999999996</v>
      </c>
      <c r="H15" s="49">
        <v>3.97</v>
      </c>
      <c r="I15" s="49">
        <v>3.97</v>
      </c>
      <c r="J15" s="49">
        <v>4.32</v>
      </c>
      <c r="K15" s="49">
        <v>4.32</v>
      </c>
      <c r="L15" s="49">
        <v>5.28</v>
      </c>
      <c r="M15" s="49">
        <v>5.28</v>
      </c>
      <c r="N15" s="49">
        <v>4.9800000000000004</v>
      </c>
      <c r="O15" s="49">
        <v>4.9800000000000004</v>
      </c>
      <c r="P15" s="49">
        <v>5.04</v>
      </c>
      <c r="Q15" s="49">
        <v>5.04</v>
      </c>
      <c r="R15" s="49">
        <v>4.91</v>
      </c>
      <c r="S15" s="49">
        <v>4.91</v>
      </c>
      <c r="T15" s="49">
        <v>4.82</v>
      </c>
      <c r="U15" s="49">
        <v>4.82</v>
      </c>
      <c r="V15" s="49">
        <v>4.83</v>
      </c>
      <c r="W15" s="49">
        <v>4.83</v>
      </c>
      <c r="X15" s="7">
        <v>-1.105527638190951E-2</v>
      </c>
      <c r="Y15" s="8">
        <v>-1.117886178861782E-2</v>
      </c>
      <c r="Z15" s="8">
        <v>-4.1109969167522076E-3</v>
      </c>
      <c r="AA15" s="8">
        <v>-4.1279669762642754E-3</v>
      </c>
    </row>
    <row r="16" spans="2:27" x14ac:dyDescent="0.3">
      <c r="B16" s="12" t="s">
        <v>16</v>
      </c>
      <c r="C16" s="3" t="s">
        <v>388</v>
      </c>
      <c r="D16" s="3" t="s">
        <v>403</v>
      </c>
      <c r="E16" s="3" t="s">
        <v>404</v>
      </c>
      <c r="F16" s="5">
        <v>-2.2999999999999998</v>
      </c>
      <c r="G16" s="49">
        <v>736</v>
      </c>
      <c r="H16" s="49">
        <v>663</v>
      </c>
      <c r="I16" s="49">
        <v>633</v>
      </c>
      <c r="J16" s="49">
        <v>575</v>
      </c>
      <c r="K16" s="49">
        <v>624</v>
      </c>
      <c r="L16" s="49">
        <v>681</v>
      </c>
      <c r="M16" s="49">
        <v>709</v>
      </c>
      <c r="N16" s="49">
        <v>0</v>
      </c>
      <c r="O16" s="49">
        <v>503</v>
      </c>
      <c r="P16" s="49">
        <v>829</v>
      </c>
      <c r="Q16" s="49">
        <v>795</v>
      </c>
      <c r="R16" s="50">
        <v>799</v>
      </c>
      <c r="S16" s="49">
        <v>789</v>
      </c>
      <c r="T16" s="49">
        <v>844</v>
      </c>
      <c r="U16" s="49">
        <v>981</v>
      </c>
      <c r="V16" s="49">
        <v>1052</v>
      </c>
      <c r="W16" s="49">
        <v>703</v>
      </c>
      <c r="X16" s="7">
        <v>4.6699875466997831E-3</v>
      </c>
      <c r="Y16" s="8">
        <v>5.7638673690734388E-2</v>
      </c>
      <c r="Z16" s="8">
        <v>7.4128332845004419E-2</v>
      </c>
      <c r="AA16" s="8">
        <v>-2.3458810692853271E-2</v>
      </c>
    </row>
    <row r="17" spans="2:27" x14ac:dyDescent="0.3">
      <c r="B17" s="12" t="s">
        <v>281</v>
      </c>
      <c r="C17" s="3" t="s">
        <v>388</v>
      </c>
      <c r="D17" s="3" t="s">
        <v>458</v>
      </c>
      <c r="E17" s="3" t="s">
        <v>404</v>
      </c>
      <c r="F17" s="5">
        <v>-4.2</v>
      </c>
      <c r="G17" s="49">
        <v>47.9</v>
      </c>
      <c r="H17" s="49">
        <v>47.8</v>
      </c>
      <c r="I17" s="49">
        <v>70.900000000000006</v>
      </c>
      <c r="J17" s="49">
        <v>73.400000000000006</v>
      </c>
      <c r="K17" s="49">
        <v>37.1</v>
      </c>
      <c r="L17" s="49">
        <v>62.3</v>
      </c>
      <c r="M17" s="49">
        <v>83.2</v>
      </c>
      <c r="N17" s="49">
        <v>58.8</v>
      </c>
      <c r="O17" s="49">
        <v>34.799999999999997</v>
      </c>
      <c r="P17" s="49">
        <v>78.7</v>
      </c>
      <c r="Q17" s="49">
        <v>91</v>
      </c>
      <c r="R17" s="49">
        <v>50.6</v>
      </c>
      <c r="S17" s="49">
        <v>15.2</v>
      </c>
      <c r="T17" s="49">
        <v>72</v>
      </c>
      <c r="U17" s="49">
        <v>71.8</v>
      </c>
      <c r="V17" s="49">
        <v>39</v>
      </c>
      <c r="W17" s="49">
        <v>6.9</v>
      </c>
      <c r="X17" s="7">
        <v>-2.845010615711252E-2</v>
      </c>
      <c r="Y17" s="8">
        <v>-8.3916083916083961E-2</v>
      </c>
      <c r="Z17" s="8">
        <v>-5.5343511450381633E-2</v>
      </c>
      <c r="AA17" s="8">
        <v>-4.1919191919192023E-2</v>
      </c>
    </row>
    <row r="18" spans="2:27" x14ac:dyDescent="0.3">
      <c r="B18" s="12" t="s">
        <v>248</v>
      </c>
      <c r="C18" s="3" t="s">
        <v>388</v>
      </c>
      <c r="D18" s="3" t="s">
        <v>392</v>
      </c>
      <c r="E18" s="3" t="s">
        <v>390</v>
      </c>
      <c r="F18" s="5">
        <v>-6.6</v>
      </c>
      <c r="G18" s="49">
        <v>0</v>
      </c>
      <c r="H18" s="49">
        <v>18.850000000000001</v>
      </c>
      <c r="I18" s="49">
        <v>19.12</v>
      </c>
      <c r="J18" s="49">
        <v>21.12</v>
      </c>
      <c r="K18" s="50">
        <v>20.37</v>
      </c>
      <c r="L18" s="49">
        <v>19.16</v>
      </c>
      <c r="M18" s="49">
        <v>18.87</v>
      </c>
      <c r="N18" s="49">
        <v>20.309999999999999</v>
      </c>
      <c r="O18" s="49">
        <v>26.18</v>
      </c>
      <c r="P18" s="49">
        <v>25.18</v>
      </c>
      <c r="Q18" s="49">
        <v>17.55</v>
      </c>
      <c r="R18" s="49">
        <v>19.829999999999998</v>
      </c>
      <c r="S18" s="49">
        <v>19.27</v>
      </c>
      <c r="T18" s="49">
        <v>19.16</v>
      </c>
      <c r="U18" s="49">
        <v>14.99</v>
      </c>
      <c r="V18" s="49">
        <v>16.36</v>
      </c>
      <c r="W18" s="49">
        <v>14.67</v>
      </c>
      <c r="X18" s="7">
        <v>-7.356715141146275E-2</v>
      </c>
      <c r="Y18" s="8">
        <v>-3.3768632106582319E-2</v>
      </c>
      <c r="Z18" s="8">
        <v>-4.7372013651877147E-2</v>
      </c>
      <c r="AA18" s="8">
        <v>-6.592146746918881E-2</v>
      </c>
    </row>
    <row r="19" spans="2:27" x14ac:dyDescent="0.3">
      <c r="B19" s="12" t="s">
        <v>226</v>
      </c>
      <c r="C19" s="3" t="s">
        <v>388</v>
      </c>
      <c r="D19" s="3" t="s">
        <v>408</v>
      </c>
      <c r="E19" s="3" t="s">
        <v>396</v>
      </c>
      <c r="F19" s="5">
        <v>-8.6</v>
      </c>
      <c r="G19" s="49">
        <v>74.86</v>
      </c>
      <c r="H19" s="49">
        <v>57.12</v>
      </c>
      <c r="I19" s="49">
        <v>13.27</v>
      </c>
      <c r="J19" s="49">
        <v>37.89</v>
      </c>
      <c r="K19" s="49">
        <v>77.53</v>
      </c>
      <c r="L19" s="49">
        <v>52.39</v>
      </c>
      <c r="M19" s="49">
        <v>11.04</v>
      </c>
      <c r="N19" s="50">
        <v>57.91</v>
      </c>
      <c r="O19" s="49">
        <v>88.39</v>
      </c>
      <c r="P19" s="49">
        <v>68.2</v>
      </c>
      <c r="Q19" s="49">
        <v>17.23</v>
      </c>
      <c r="R19" s="49">
        <v>79.31</v>
      </c>
      <c r="S19" s="49">
        <v>104.08</v>
      </c>
      <c r="T19" s="49">
        <v>42.76</v>
      </c>
      <c r="U19" s="49">
        <v>34.94</v>
      </c>
      <c r="V19" s="49">
        <v>67.650000000000006</v>
      </c>
      <c r="W19" s="49">
        <v>82.66</v>
      </c>
      <c r="X19" s="7">
        <v>-9.4635815787515787E-2</v>
      </c>
      <c r="Y19" s="8">
        <v>7.2766866628317883E-2</v>
      </c>
      <c r="Z19" s="8">
        <v>-4.4658929870925568E-2</v>
      </c>
      <c r="AA19" s="8">
        <v>-8.5875796816742178E-2</v>
      </c>
    </row>
    <row r="20" spans="2:27" x14ac:dyDescent="0.3">
      <c r="B20" s="25" t="s">
        <v>74</v>
      </c>
      <c r="C20" s="14" t="s">
        <v>388</v>
      </c>
      <c r="D20" s="14" t="s">
        <v>407</v>
      </c>
      <c r="E20" s="14" t="s">
        <v>390</v>
      </c>
      <c r="F20" s="15">
        <v>-10.3</v>
      </c>
      <c r="G20" s="51">
        <v>1241</v>
      </c>
      <c r="H20" s="51">
        <v>1172</v>
      </c>
      <c r="I20" s="51">
        <v>890</v>
      </c>
      <c r="J20" s="51">
        <v>236</v>
      </c>
      <c r="K20" s="51">
        <v>-114</v>
      </c>
      <c r="L20" s="51">
        <v>19</v>
      </c>
      <c r="M20" s="51">
        <v>533</v>
      </c>
      <c r="N20" s="52">
        <v>380</v>
      </c>
      <c r="O20" s="52">
        <v>23</v>
      </c>
      <c r="P20" s="52">
        <v>190</v>
      </c>
      <c r="Q20" s="51">
        <v>103</v>
      </c>
      <c r="R20" s="51">
        <v>-183</v>
      </c>
      <c r="S20" s="51">
        <v>-374</v>
      </c>
      <c r="T20" s="52">
        <v>-478</v>
      </c>
      <c r="U20" s="52">
        <v>0</v>
      </c>
      <c r="V20" s="51">
        <v>-144</v>
      </c>
      <c r="W20" s="51">
        <v>-271</v>
      </c>
      <c r="X20" s="10">
        <v>2.5303030303030298</v>
      </c>
      <c r="Y20" s="27">
        <v>0.1105150214592274</v>
      </c>
      <c r="Z20" s="18">
        <v>-3.7681159420289823E-2</v>
      </c>
      <c r="AA20" s="18">
        <v>-0.10341365461847379</v>
      </c>
    </row>
    <row r="21" spans="2:27" x14ac:dyDescent="0.3">
      <c r="B21" s="26" t="s">
        <v>68</v>
      </c>
      <c r="C21" s="19" t="s">
        <v>388</v>
      </c>
      <c r="D21" s="19" t="s">
        <v>393</v>
      </c>
      <c r="E21" s="19" t="s">
        <v>390</v>
      </c>
      <c r="F21" s="20">
        <v>-131.80000000000001</v>
      </c>
      <c r="G21" s="53">
        <v>-31.6</v>
      </c>
      <c r="H21" s="53">
        <v>-67.5</v>
      </c>
      <c r="I21" s="53">
        <v>-46.18</v>
      </c>
      <c r="J21" s="53">
        <v>-28.24</v>
      </c>
      <c r="K21" s="53">
        <v>-10.1</v>
      </c>
      <c r="L21" s="53">
        <v>-22.75</v>
      </c>
      <c r="M21" s="53">
        <v>-12.17</v>
      </c>
      <c r="N21" s="53">
        <v>-2.52</v>
      </c>
      <c r="O21" s="53">
        <v>-1.1499999999999999</v>
      </c>
      <c r="P21" s="53">
        <v>-5.0199999999999996</v>
      </c>
      <c r="Q21" s="53">
        <v>1.79</v>
      </c>
      <c r="R21" s="54">
        <v>-27.4</v>
      </c>
      <c r="S21" s="53">
        <v>9.6</v>
      </c>
      <c r="T21" s="53">
        <v>9.8000000000000007</v>
      </c>
      <c r="U21" s="54">
        <v>-11.55</v>
      </c>
      <c r="V21" s="53">
        <v>-2.38</v>
      </c>
      <c r="W21" s="53">
        <v>2.39</v>
      </c>
      <c r="X21" s="22">
        <v>-0.70470756062767481</v>
      </c>
      <c r="Y21" s="28">
        <v>2.1481481481481488</v>
      </c>
      <c r="Z21" s="23">
        <v>-1.2797953964194371</v>
      </c>
      <c r="AA21" s="23">
        <v>-1.318098720292505</v>
      </c>
    </row>
    <row r="22" spans="2:27" x14ac:dyDescent="0.3">
      <c r="B22" s="12">
        <v>1893</v>
      </c>
      <c r="C22" s="3" t="s">
        <v>409</v>
      </c>
      <c r="D22" s="3" t="str">
        <f>VLOOKUP(B22,기업리스트!B:G,2,FALSE)</f>
        <v>Penta-Ocean Construction Co., Ltd.</v>
      </c>
      <c r="E22" s="3" t="s">
        <v>396</v>
      </c>
      <c r="F22" s="13">
        <v>58</v>
      </c>
      <c r="G22" s="49">
        <v>1133</v>
      </c>
      <c r="H22" s="49">
        <v>2718</v>
      </c>
      <c r="I22" s="49">
        <v>3532</v>
      </c>
      <c r="J22" s="49">
        <v>2747</v>
      </c>
      <c r="K22" s="49">
        <v>-13601</v>
      </c>
      <c r="L22" s="49">
        <v>11442</v>
      </c>
      <c r="M22" s="50">
        <v>6446</v>
      </c>
      <c r="N22" s="50">
        <v>6507</v>
      </c>
      <c r="O22" s="50">
        <v>7770</v>
      </c>
      <c r="P22" s="49">
        <v>8003</v>
      </c>
      <c r="Q22" s="49">
        <v>6972</v>
      </c>
      <c r="R22" s="49">
        <v>8130</v>
      </c>
      <c r="S22" s="49">
        <v>-334</v>
      </c>
      <c r="T22" s="49">
        <v>6930</v>
      </c>
      <c r="U22" s="50">
        <v>10278</v>
      </c>
      <c r="V22" s="50">
        <v>15560</v>
      </c>
      <c r="W22" s="50">
        <v>18472</v>
      </c>
      <c r="X22" s="7">
        <v>-4.7121338544640068E-2</v>
      </c>
      <c r="Y22" s="9">
        <v>0.15236427320490381</v>
      </c>
      <c r="Z22" s="9">
        <v>0.29715245560710279</v>
      </c>
      <c r="AA22" s="9">
        <v>0.57982364185731017</v>
      </c>
    </row>
    <row r="23" spans="2:27" x14ac:dyDescent="0.3">
      <c r="B23" s="12">
        <v>9887</v>
      </c>
      <c r="C23" s="3" t="s">
        <v>409</v>
      </c>
      <c r="D23" s="3" t="str">
        <f>VLOOKUP(B23,기업리스트!B:G,2,FALSE)</f>
        <v>Matsuya Foods Holdings Co., Ltd.</v>
      </c>
      <c r="E23" s="3" t="s">
        <v>396</v>
      </c>
      <c r="F23" s="13">
        <v>23.8</v>
      </c>
      <c r="G23" s="49">
        <v>-365</v>
      </c>
      <c r="H23" s="49">
        <v>-1698</v>
      </c>
      <c r="I23" s="49">
        <v>-268</v>
      </c>
      <c r="J23" s="49">
        <v>500</v>
      </c>
      <c r="K23" s="49">
        <v>1226</v>
      </c>
      <c r="L23" s="49">
        <v>10</v>
      </c>
      <c r="M23" s="50">
        <v>-39</v>
      </c>
      <c r="N23" s="50">
        <v>1646</v>
      </c>
      <c r="O23" s="50">
        <v>2567</v>
      </c>
      <c r="P23" s="50">
        <v>1149</v>
      </c>
      <c r="Q23" s="49">
        <v>135</v>
      </c>
      <c r="R23" s="49">
        <v>1750</v>
      </c>
      <c r="S23" s="49">
        <v>2297</v>
      </c>
      <c r="T23" s="49">
        <v>225</v>
      </c>
      <c r="U23" s="50">
        <v>914.97</v>
      </c>
      <c r="V23" s="49">
        <v>1915</v>
      </c>
      <c r="W23" s="50">
        <v>3571</v>
      </c>
      <c r="X23" s="7">
        <v>-0.17332583005064719</v>
      </c>
      <c r="Y23" s="9">
        <v>0.17698434309053779</v>
      </c>
      <c r="Z23" s="8">
        <v>3.1810478950138547E-2</v>
      </c>
      <c r="AA23" s="9">
        <v>0.2380431878355074</v>
      </c>
    </row>
    <row r="24" spans="2:27" x14ac:dyDescent="0.3">
      <c r="B24" s="12">
        <v>5195</v>
      </c>
      <c r="C24" s="3" t="s">
        <v>409</v>
      </c>
      <c r="D24" s="3" t="str">
        <f>VLOOKUP(B24,기업리스트!B:G,2,FALSE)</f>
        <v>Bando Chemical Industries, Ltd.</v>
      </c>
      <c r="E24" s="3" t="s">
        <v>396</v>
      </c>
      <c r="F24" s="13">
        <v>22.7</v>
      </c>
      <c r="G24" s="49">
        <v>1940</v>
      </c>
      <c r="H24" s="49">
        <v>-445</v>
      </c>
      <c r="I24" s="49">
        <v>1904</v>
      </c>
      <c r="J24" s="49">
        <v>1807</v>
      </c>
      <c r="K24" s="49">
        <v>2126</v>
      </c>
      <c r="L24" s="50">
        <v>1026</v>
      </c>
      <c r="M24" s="49">
        <v>1796</v>
      </c>
      <c r="N24" s="49">
        <v>2088</v>
      </c>
      <c r="O24" s="49">
        <v>2193</v>
      </c>
      <c r="P24" s="49">
        <v>1624</v>
      </c>
      <c r="Q24" s="49">
        <v>1905</v>
      </c>
      <c r="R24" s="49">
        <v>2344</v>
      </c>
      <c r="S24" s="49">
        <v>655</v>
      </c>
      <c r="T24" s="50">
        <v>2720</v>
      </c>
      <c r="U24" s="50">
        <v>3536</v>
      </c>
      <c r="V24" s="49">
        <v>2389</v>
      </c>
      <c r="W24" s="50">
        <v>2767</v>
      </c>
      <c r="X24" s="10">
        <v>0.1678921568627452</v>
      </c>
      <c r="Y24" s="9">
        <v>0.21392969569779649</v>
      </c>
      <c r="Z24" s="8">
        <v>4.8622366288493257E-3</v>
      </c>
      <c r="AA24" s="9">
        <v>0.22709677419354829</v>
      </c>
    </row>
    <row r="25" spans="2:27" x14ac:dyDescent="0.3">
      <c r="B25" s="12">
        <v>5463</v>
      </c>
      <c r="C25" s="3" t="s">
        <v>409</v>
      </c>
      <c r="D25" s="3" t="str">
        <f>VLOOKUP(B25,기업리스트!B:G,2,FALSE)</f>
        <v>Maruichi Steel Tube Ltd.</v>
      </c>
      <c r="E25" s="3" t="s">
        <v>395</v>
      </c>
      <c r="F25" s="13">
        <v>19.2</v>
      </c>
      <c r="G25" s="49">
        <v>9563</v>
      </c>
      <c r="H25" s="49">
        <v>10960</v>
      </c>
      <c r="I25" s="49">
        <v>8019</v>
      </c>
      <c r="J25" s="49">
        <v>8790</v>
      </c>
      <c r="K25" s="49">
        <v>9623</v>
      </c>
      <c r="L25" s="49">
        <v>5757</v>
      </c>
      <c r="M25" s="49">
        <v>5850</v>
      </c>
      <c r="N25" s="49">
        <v>9333</v>
      </c>
      <c r="O25" s="49">
        <v>9936</v>
      </c>
      <c r="P25" s="49">
        <v>8431</v>
      </c>
      <c r="Q25" s="49">
        <v>7112</v>
      </c>
      <c r="R25" s="49">
        <v>8287</v>
      </c>
      <c r="S25" s="49">
        <v>4714</v>
      </c>
      <c r="T25" s="49">
        <v>672</v>
      </c>
      <c r="U25" s="50">
        <v>9246</v>
      </c>
      <c r="V25" s="49">
        <v>6627</v>
      </c>
      <c r="W25" s="50">
        <v>8796</v>
      </c>
      <c r="X25" s="7">
        <v>-0.27182595291479822</v>
      </c>
      <c r="Y25" s="9">
        <v>0.10267019485205681</v>
      </c>
      <c r="Z25" s="8">
        <v>-7.2428989048387793E-2</v>
      </c>
      <c r="AA25" s="9">
        <v>0.1920127945811185</v>
      </c>
    </row>
    <row r="26" spans="2:27" x14ac:dyDescent="0.3">
      <c r="B26" s="12">
        <v>5805</v>
      </c>
      <c r="C26" s="3" t="s">
        <v>409</v>
      </c>
      <c r="D26" s="3" t="str">
        <f>VLOOKUP(B26,기업리스트!B:G,2,FALSE)</f>
        <v>SWCC Corporation</v>
      </c>
      <c r="E26" s="3" t="s">
        <v>396</v>
      </c>
      <c r="F26" s="13">
        <v>17.899999999999999</v>
      </c>
      <c r="G26" s="49">
        <v>3218</v>
      </c>
      <c r="H26" s="49">
        <v>1806</v>
      </c>
      <c r="I26" s="49">
        <v>2157</v>
      </c>
      <c r="J26" s="49">
        <v>2154</v>
      </c>
      <c r="K26" s="49">
        <v>2774</v>
      </c>
      <c r="L26" s="50">
        <v>3390</v>
      </c>
      <c r="M26" s="49">
        <v>1605</v>
      </c>
      <c r="N26" s="49">
        <v>2858</v>
      </c>
      <c r="O26" s="50">
        <v>4887</v>
      </c>
      <c r="P26" s="49">
        <v>3475</v>
      </c>
      <c r="Q26" s="50">
        <v>4868</v>
      </c>
      <c r="R26" s="50">
        <v>5550</v>
      </c>
      <c r="S26" s="49">
        <v>3869</v>
      </c>
      <c r="T26" s="50">
        <v>5392</v>
      </c>
      <c r="U26" s="49">
        <v>5138</v>
      </c>
      <c r="V26" s="49">
        <v>6768</v>
      </c>
      <c r="W26" s="50">
        <v>7657</v>
      </c>
      <c r="X26" s="10">
        <v>0.1079270352437789</v>
      </c>
      <c r="Y26" s="8">
        <v>1.372020936023177E-2</v>
      </c>
      <c r="Z26" s="8">
        <v>6.1055692014637231E-2</v>
      </c>
      <c r="AA26" s="9">
        <v>0.17895781168800479</v>
      </c>
    </row>
    <row r="27" spans="2:27" x14ac:dyDescent="0.3">
      <c r="B27" s="12">
        <v>8361</v>
      </c>
      <c r="C27" s="3" t="s">
        <v>409</v>
      </c>
      <c r="D27" s="3" t="str">
        <f>VLOOKUP(B27,기업리스트!B:G,2,FALSE)</f>
        <v>The Ogaki Kyoritsu Bank, Ltd.</v>
      </c>
      <c r="E27" s="3" t="s">
        <v>395</v>
      </c>
      <c r="F27" s="13">
        <v>16.100000000000001</v>
      </c>
      <c r="G27" s="49">
        <v>5473</v>
      </c>
      <c r="H27" s="49">
        <v>4075</v>
      </c>
      <c r="I27" s="49">
        <v>2445</v>
      </c>
      <c r="J27" s="49">
        <v>6593</v>
      </c>
      <c r="K27" s="49">
        <v>2125</v>
      </c>
      <c r="L27" s="49">
        <v>1517</v>
      </c>
      <c r="M27" s="49">
        <v>-1561</v>
      </c>
      <c r="N27" s="49">
        <v>5071</v>
      </c>
      <c r="O27" s="49">
        <v>-257</v>
      </c>
      <c r="P27" s="50">
        <v>5253</v>
      </c>
      <c r="Q27" s="50">
        <v>3525</v>
      </c>
      <c r="R27" s="49">
        <v>4196</v>
      </c>
      <c r="S27" s="50">
        <v>1668</v>
      </c>
      <c r="T27" s="49">
        <v>5431</v>
      </c>
      <c r="U27" s="50">
        <v>8716</v>
      </c>
      <c r="V27" s="49">
        <v>5667</v>
      </c>
      <c r="W27" s="50">
        <v>5127</v>
      </c>
      <c r="X27" s="7">
        <v>1.21568091790738E-2</v>
      </c>
      <c r="Y27" s="9">
        <v>0.35026990553306342</v>
      </c>
      <c r="Z27" s="8">
        <v>7.3509569736644798E-2</v>
      </c>
      <c r="AA27" s="9">
        <v>0.16101852713900011</v>
      </c>
    </row>
    <row r="28" spans="2:27" x14ac:dyDescent="0.3">
      <c r="B28" s="12">
        <v>6588</v>
      </c>
      <c r="C28" s="3" t="s">
        <v>409</v>
      </c>
      <c r="D28" s="3" t="str">
        <f>VLOOKUP(B28,기업리스트!B:G,2,FALSE)</f>
        <v>Toshiba Tec Corporation</v>
      </c>
      <c r="E28" s="3" t="s">
        <v>396</v>
      </c>
      <c r="F28" s="13">
        <v>13.6</v>
      </c>
      <c r="G28" s="49">
        <v>4332</v>
      </c>
      <c r="H28" s="49">
        <v>2902</v>
      </c>
      <c r="I28" s="49">
        <v>204</v>
      </c>
      <c r="J28" s="49">
        <v>5752</v>
      </c>
      <c r="K28" s="50">
        <v>5849</v>
      </c>
      <c r="L28" s="49">
        <v>4275</v>
      </c>
      <c r="M28" s="49">
        <v>1288</v>
      </c>
      <c r="N28" s="49">
        <v>4623</v>
      </c>
      <c r="O28" s="49">
        <v>3553</v>
      </c>
      <c r="P28" s="50">
        <v>6391</v>
      </c>
      <c r="Q28" s="50">
        <v>4277</v>
      </c>
      <c r="R28" s="49">
        <v>5196</v>
      </c>
      <c r="S28" s="49">
        <v>2295</v>
      </c>
      <c r="T28" s="50">
        <v>8484</v>
      </c>
      <c r="U28" s="49">
        <v>-2118</v>
      </c>
      <c r="V28" s="49">
        <v>1043</v>
      </c>
      <c r="W28" s="50">
        <v>3616</v>
      </c>
      <c r="X28" s="10">
        <v>0.1152596508618315</v>
      </c>
      <c r="Y28" s="8">
        <v>-0.31577128184870629</v>
      </c>
      <c r="Z28" s="8">
        <v>-0.29970412066103769</v>
      </c>
      <c r="AA28" s="9">
        <v>0.13612943116240731</v>
      </c>
    </row>
    <row r="29" spans="2:27" x14ac:dyDescent="0.3">
      <c r="B29" s="12">
        <v>4186</v>
      </c>
      <c r="C29" s="3" t="s">
        <v>409</v>
      </c>
      <c r="D29" s="3" t="str">
        <f>VLOOKUP(B29,기업리스트!B:G,2,FALSE)</f>
        <v>Tokyo Ohka Kogyo Co., Ltd.</v>
      </c>
      <c r="E29" s="3" t="s">
        <v>390</v>
      </c>
      <c r="F29" s="13">
        <v>13.5</v>
      </c>
      <c r="G29" s="49">
        <v>5621</v>
      </c>
      <c r="H29" s="49">
        <v>6945</v>
      </c>
      <c r="I29" s="49">
        <v>7867</v>
      </c>
      <c r="J29" s="49">
        <v>7853</v>
      </c>
      <c r="K29" s="49">
        <v>7516</v>
      </c>
      <c r="L29" s="49">
        <v>5393</v>
      </c>
      <c r="M29" s="49">
        <v>5512</v>
      </c>
      <c r="N29" s="49">
        <v>4542</v>
      </c>
      <c r="O29" s="49">
        <v>7261</v>
      </c>
      <c r="P29" s="49">
        <v>5794</v>
      </c>
      <c r="Q29" s="49">
        <v>7650</v>
      </c>
      <c r="R29" s="50">
        <v>9800</v>
      </c>
      <c r="S29" s="49">
        <v>9848</v>
      </c>
      <c r="T29" s="50">
        <v>9802</v>
      </c>
      <c r="U29" s="49">
        <v>10045</v>
      </c>
      <c r="V29" s="49">
        <v>12048</v>
      </c>
      <c r="W29" s="50">
        <v>15492</v>
      </c>
      <c r="X29" s="10">
        <v>0.12111688625649709</v>
      </c>
      <c r="Y29" s="8">
        <v>6.4555256064690036E-2</v>
      </c>
      <c r="Z29" s="8">
        <v>5.6918597290796402E-2</v>
      </c>
      <c r="AA29" s="9">
        <v>0.1352082983973362</v>
      </c>
    </row>
    <row r="30" spans="2:27" x14ac:dyDescent="0.3">
      <c r="B30" s="12">
        <v>7189</v>
      </c>
      <c r="C30" s="3" t="s">
        <v>409</v>
      </c>
      <c r="D30" s="3" t="str">
        <f>VLOOKUP(B30,기업리스트!B:G,2,FALSE)</f>
        <v>Nishi-Nippon Financial Holdings, Inc.</v>
      </c>
      <c r="E30" s="3" t="s">
        <v>396</v>
      </c>
      <c r="F30" s="13">
        <v>12.9</v>
      </c>
      <c r="G30" s="49">
        <v>7467</v>
      </c>
      <c r="H30" s="49">
        <v>6658</v>
      </c>
      <c r="I30" s="49">
        <v>12127</v>
      </c>
      <c r="J30" s="49">
        <v>6786</v>
      </c>
      <c r="K30" s="50">
        <v>14308</v>
      </c>
      <c r="L30" s="49">
        <v>889</v>
      </c>
      <c r="M30" s="49">
        <v>12618</v>
      </c>
      <c r="N30" s="49">
        <v>9498</v>
      </c>
      <c r="O30" s="49">
        <v>6777</v>
      </c>
      <c r="P30" s="50">
        <v>5961</v>
      </c>
      <c r="Q30" s="49">
        <v>15164</v>
      </c>
      <c r="R30" s="49">
        <v>8253</v>
      </c>
      <c r="S30" s="50">
        <v>11302</v>
      </c>
      <c r="T30" s="50">
        <v>10297</v>
      </c>
      <c r="U30" s="49">
        <v>12403</v>
      </c>
      <c r="V30" s="50">
        <v>18289</v>
      </c>
      <c r="W30" s="50">
        <v>18042</v>
      </c>
      <c r="X30" s="10">
        <v>0.1065880039331366</v>
      </c>
      <c r="Y30" s="8">
        <v>-6.1333748000710897E-2</v>
      </c>
      <c r="Z30" s="9">
        <v>0.23751035380428351</v>
      </c>
      <c r="AA30" s="9">
        <v>0.12889407354994181</v>
      </c>
    </row>
    <row r="31" spans="2:27" x14ac:dyDescent="0.3">
      <c r="B31" s="12">
        <v>1870</v>
      </c>
      <c r="C31" s="3" t="s">
        <v>409</v>
      </c>
      <c r="D31" s="3" t="str">
        <f>VLOOKUP(B31,기업리스트!B:G,2,FALSE)</f>
        <v>Yahagi Construction Co.,Ltd.</v>
      </c>
      <c r="E31" s="3" t="s">
        <v>396</v>
      </c>
      <c r="F31" s="13">
        <v>12.6</v>
      </c>
      <c r="G31" s="49">
        <v>930</v>
      </c>
      <c r="H31" s="49">
        <v>3055</v>
      </c>
      <c r="I31" s="49">
        <v>645</v>
      </c>
      <c r="J31" s="49">
        <v>1093</v>
      </c>
      <c r="K31" s="50">
        <v>1644</v>
      </c>
      <c r="L31" s="50">
        <v>3831</v>
      </c>
      <c r="M31" s="49">
        <v>139</v>
      </c>
      <c r="N31" s="49">
        <v>1349</v>
      </c>
      <c r="O31" s="50">
        <v>7553</v>
      </c>
      <c r="P31" s="49">
        <v>474</v>
      </c>
      <c r="Q31" s="49">
        <v>729</v>
      </c>
      <c r="R31" s="49">
        <v>558</v>
      </c>
      <c r="S31" s="49">
        <v>2032</v>
      </c>
      <c r="T31" s="50">
        <v>5336</v>
      </c>
      <c r="U31" s="50">
        <v>3648</v>
      </c>
      <c r="V31" s="50">
        <v>4343</v>
      </c>
      <c r="W31" s="50">
        <v>3974</v>
      </c>
      <c r="X31" s="10">
        <v>1.2818349591352489</v>
      </c>
      <c r="Y31" s="9">
        <v>0.33726169844020792</v>
      </c>
      <c r="Z31" s="9">
        <v>0.32702609296699497</v>
      </c>
      <c r="AA31" s="9">
        <v>0.12644052347158019</v>
      </c>
    </row>
    <row r="32" spans="2:27" x14ac:dyDescent="0.3">
      <c r="B32" s="12">
        <v>4385</v>
      </c>
      <c r="C32" s="3" t="s">
        <v>409</v>
      </c>
      <c r="D32" s="3" t="str">
        <f>VLOOKUP(B32,기업리스트!B:G,2,FALSE)</f>
        <v>Mercari, Inc.</v>
      </c>
      <c r="E32" s="3" t="s">
        <v>395</v>
      </c>
      <c r="F32" s="13">
        <v>11.7</v>
      </c>
      <c r="G32" s="49">
        <v>-2624</v>
      </c>
      <c r="H32" s="49">
        <v>-2911</v>
      </c>
      <c r="I32" s="49">
        <v>970</v>
      </c>
      <c r="J32" s="49">
        <v>3120</v>
      </c>
      <c r="K32" s="49">
        <v>2714</v>
      </c>
      <c r="L32" s="50">
        <v>5696</v>
      </c>
      <c r="M32" s="50">
        <v>5494</v>
      </c>
      <c r="N32" s="49">
        <v>4478</v>
      </c>
      <c r="O32" s="49">
        <v>3345</v>
      </c>
      <c r="P32" s="49">
        <v>4980</v>
      </c>
      <c r="Q32" s="49">
        <v>5551</v>
      </c>
      <c r="R32" s="49">
        <v>4347</v>
      </c>
      <c r="S32" s="50">
        <v>7067</v>
      </c>
      <c r="T32" s="50">
        <v>8924</v>
      </c>
      <c r="U32" s="49">
        <v>7751</v>
      </c>
      <c r="V32" s="50">
        <v>8895</v>
      </c>
      <c r="W32" s="50">
        <v>10884</v>
      </c>
      <c r="X32" s="10">
        <v>0.17972203235361131</v>
      </c>
      <c r="Y32" s="8">
        <v>8.4978176059330224E-2</v>
      </c>
      <c r="Z32" s="9">
        <v>0.16191391647976069</v>
      </c>
      <c r="AA32" s="9">
        <v>0.11695315133131109</v>
      </c>
    </row>
    <row r="33" spans="2:27" x14ac:dyDescent="0.3">
      <c r="B33" s="12">
        <v>8392</v>
      </c>
      <c r="C33" s="3" t="s">
        <v>409</v>
      </c>
      <c r="D33" s="3" t="str">
        <f>VLOOKUP(B33,기업리스트!B:G,2,FALSE)</f>
        <v>The Oita Bank, Ltd.</v>
      </c>
      <c r="E33" s="3" t="s">
        <v>395</v>
      </c>
      <c r="F33" s="13">
        <v>11.2</v>
      </c>
      <c r="G33" s="49">
        <v>794</v>
      </c>
      <c r="H33" s="49">
        <v>2483</v>
      </c>
      <c r="I33" s="49">
        <v>-164</v>
      </c>
      <c r="J33" s="49">
        <v>3334</v>
      </c>
      <c r="K33" s="49">
        <v>943</v>
      </c>
      <c r="L33" s="49">
        <v>2771</v>
      </c>
      <c r="M33" s="49">
        <v>370</v>
      </c>
      <c r="N33" s="49">
        <v>3026</v>
      </c>
      <c r="O33" s="49">
        <v>1344</v>
      </c>
      <c r="P33" s="49">
        <v>2223</v>
      </c>
      <c r="Q33" s="50">
        <v>2185</v>
      </c>
      <c r="R33" s="50">
        <v>4934</v>
      </c>
      <c r="S33" s="49">
        <v>420</v>
      </c>
      <c r="T33" s="50">
        <v>4465</v>
      </c>
      <c r="U33" s="49">
        <v>1236</v>
      </c>
      <c r="V33" s="49">
        <v>4897</v>
      </c>
      <c r="W33" s="50">
        <v>1659</v>
      </c>
      <c r="X33" s="10">
        <v>0.22966605203851681</v>
      </c>
      <c r="Y33" s="8">
        <v>-7.9056981006331184E-2</v>
      </c>
      <c r="Z33" s="8">
        <v>-3.3469018543645919E-3</v>
      </c>
      <c r="AA33" s="9">
        <v>0.1124523506988564</v>
      </c>
    </row>
    <row r="34" spans="2:27" x14ac:dyDescent="0.3">
      <c r="B34" s="12">
        <v>4023</v>
      </c>
      <c r="C34" s="3" t="s">
        <v>409</v>
      </c>
      <c r="D34" s="3" t="str">
        <f>VLOOKUP(B34,기업리스트!B:G,2,FALSE)</f>
        <v>Kureha Corporation</v>
      </c>
      <c r="E34" s="3" t="s">
        <v>396</v>
      </c>
      <c r="F34" s="13">
        <v>11.2</v>
      </c>
      <c r="G34" s="49">
        <v>6568</v>
      </c>
      <c r="H34" s="49">
        <v>6483</v>
      </c>
      <c r="I34" s="49">
        <v>7774</v>
      </c>
      <c r="J34" s="49">
        <v>8253</v>
      </c>
      <c r="K34" s="49">
        <v>7306</v>
      </c>
      <c r="L34" s="49">
        <v>-272</v>
      </c>
      <c r="M34" s="49">
        <v>5004</v>
      </c>
      <c r="N34" s="49">
        <v>4618</v>
      </c>
      <c r="O34" s="49">
        <v>6465</v>
      </c>
      <c r="P34" s="50">
        <v>2297</v>
      </c>
      <c r="Q34" s="49">
        <v>2774</v>
      </c>
      <c r="R34" s="49">
        <v>3597</v>
      </c>
      <c r="S34" s="49">
        <v>3658</v>
      </c>
      <c r="T34" s="49">
        <v>5</v>
      </c>
      <c r="U34" s="49">
        <v>1928</v>
      </c>
      <c r="V34" s="50">
        <v>5235</v>
      </c>
      <c r="W34" s="50">
        <v>4874</v>
      </c>
      <c r="X34" s="7">
        <v>-0.18594840175239341</v>
      </c>
      <c r="Y34" s="8">
        <v>-8.4313334662148742E-2</v>
      </c>
      <c r="Z34" s="9">
        <v>0.17827601218981279</v>
      </c>
      <c r="AA34" s="9">
        <v>0.11232218732680591</v>
      </c>
    </row>
    <row r="35" spans="2:27" x14ac:dyDescent="0.3">
      <c r="B35" s="12">
        <v>5838</v>
      </c>
      <c r="C35" s="3" t="s">
        <v>459</v>
      </c>
      <c r="D35" s="3" t="str">
        <f>VLOOKUP(B35,기업리스트!B:G,2,FALSE)</f>
        <v>Rakuten Bank, Ltd.</v>
      </c>
      <c r="E35" s="3" t="s">
        <v>396</v>
      </c>
      <c r="F35" s="5">
        <v>9.5</v>
      </c>
      <c r="G35" s="49"/>
      <c r="H35" s="49"/>
      <c r="I35" s="49">
        <v>9218</v>
      </c>
      <c r="J35" s="49">
        <v>8748</v>
      </c>
      <c r="K35" s="49">
        <v>10577</v>
      </c>
      <c r="L35" s="49">
        <v>10203</v>
      </c>
      <c r="M35" s="49">
        <v>11368</v>
      </c>
      <c r="N35" s="49">
        <v>11176</v>
      </c>
      <c r="O35" s="49">
        <v>12670</v>
      </c>
      <c r="P35" s="49">
        <v>13073</v>
      </c>
      <c r="Q35" s="49">
        <v>15262</v>
      </c>
      <c r="R35" s="49">
        <v>15826</v>
      </c>
      <c r="S35" s="50">
        <v>18409</v>
      </c>
      <c r="T35" s="50">
        <v>22024</v>
      </c>
      <c r="U35" s="50">
        <v>23944</v>
      </c>
      <c r="V35" s="50">
        <v>24345</v>
      </c>
      <c r="W35" s="49">
        <v>26818</v>
      </c>
      <c r="X35" s="10">
        <v>0.1430557775291674</v>
      </c>
      <c r="Y35" s="9">
        <v>0.1213909201493268</v>
      </c>
      <c r="Z35" s="9">
        <v>0.1062179718963132</v>
      </c>
      <c r="AA35" s="8">
        <v>9.4779197944140137E-2</v>
      </c>
    </row>
    <row r="36" spans="2:27" x14ac:dyDescent="0.3">
      <c r="B36" s="12">
        <v>8086</v>
      </c>
      <c r="C36" s="3" t="s">
        <v>409</v>
      </c>
      <c r="D36" s="3" t="str">
        <f>VLOOKUP(B36,기업리스트!B:G,2,FALSE)</f>
        <v>Nipro Corporation</v>
      </c>
      <c r="E36" s="3" t="s">
        <v>396</v>
      </c>
      <c r="F36" s="5">
        <v>9.4</v>
      </c>
      <c r="G36" s="49">
        <v>6871</v>
      </c>
      <c r="H36" s="49">
        <v>4149</v>
      </c>
      <c r="I36" s="49">
        <v>2955</v>
      </c>
      <c r="J36" s="49">
        <v>3417</v>
      </c>
      <c r="K36" s="49">
        <v>6808</v>
      </c>
      <c r="L36" s="49">
        <v>4550</v>
      </c>
      <c r="M36" s="50">
        <v>7338</v>
      </c>
      <c r="N36" s="50">
        <v>6150</v>
      </c>
      <c r="O36" s="49">
        <v>8875</v>
      </c>
      <c r="P36" s="49">
        <v>-28</v>
      </c>
      <c r="Q36" s="49">
        <v>5808</v>
      </c>
      <c r="R36" s="49">
        <v>7651</v>
      </c>
      <c r="S36" s="49">
        <v>8746</v>
      </c>
      <c r="T36" s="50">
        <v>4394</v>
      </c>
      <c r="U36" s="49">
        <v>8041</v>
      </c>
      <c r="V36" s="49">
        <v>7297</v>
      </c>
      <c r="W36" s="49">
        <v>11410</v>
      </c>
      <c r="X36" s="10">
        <v>0.19939577039274911</v>
      </c>
      <c r="Y36" s="8">
        <v>8.395052445580653E-2</v>
      </c>
      <c r="Z36" s="8">
        <v>-1.2278024417314071E-2</v>
      </c>
      <c r="AA36" s="8">
        <v>9.3545895076901475E-2</v>
      </c>
    </row>
    <row r="37" spans="2:27" x14ac:dyDescent="0.3">
      <c r="B37" s="12">
        <v>4046</v>
      </c>
      <c r="C37" s="3" t="s">
        <v>409</v>
      </c>
      <c r="D37" s="3" t="str">
        <f>VLOOKUP(B37,기업리스트!B:G,2,FALSE)</f>
        <v>Osaka Soda Co., Ltd.</v>
      </c>
      <c r="E37" s="3" t="s">
        <v>396</v>
      </c>
      <c r="F37" s="5">
        <v>8</v>
      </c>
      <c r="G37" s="49">
        <v>4146</v>
      </c>
      <c r="H37" s="49">
        <v>2562</v>
      </c>
      <c r="I37" s="49">
        <v>5150</v>
      </c>
      <c r="J37" s="49">
        <v>4573</v>
      </c>
      <c r="K37" s="49">
        <v>4228</v>
      </c>
      <c r="L37" s="49">
        <v>1607</v>
      </c>
      <c r="M37" s="49">
        <v>2808</v>
      </c>
      <c r="N37" s="49">
        <v>2110</v>
      </c>
      <c r="O37" s="49">
        <v>2682</v>
      </c>
      <c r="P37" s="50">
        <v>2893</v>
      </c>
      <c r="Q37" s="49">
        <v>3310</v>
      </c>
      <c r="R37" s="50">
        <v>3658</v>
      </c>
      <c r="S37" s="49">
        <v>3672</v>
      </c>
      <c r="T37" s="49">
        <v>2607</v>
      </c>
      <c r="U37" s="49">
        <v>3941</v>
      </c>
      <c r="V37" s="49">
        <v>4171</v>
      </c>
      <c r="W37" s="49">
        <v>4826</v>
      </c>
      <c r="X37" s="7">
        <v>-2.1133525456291991E-2</v>
      </c>
      <c r="Y37" s="8">
        <v>4.7633426436174187E-2</v>
      </c>
      <c r="Z37" s="8">
        <v>3.6964980544747172E-2</v>
      </c>
      <c r="AA37" s="8">
        <v>8.018900701827536E-2</v>
      </c>
    </row>
    <row r="38" spans="2:27" x14ac:dyDescent="0.3">
      <c r="B38" s="12">
        <v>3097</v>
      </c>
      <c r="C38" s="3" t="s">
        <v>409</v>
      </c>
      <c r="D38" s="3" t="str">
        <f>VLOOKUP(B38,기업리스트!B:G,2,FALSE)</f>
        <v>The Monogatari Corporation</v>
      </c>
      <c r="E38" s="3" t="s">
        <v>395</v>
      </c>
      <c r="F38" s="5">
        <v>8</v>
      </c>
      <c r="G38" s="49">
        <v>1542</v>
      </c>
      <c r="H38" s="49">
        <v>456</v>
      </c>
      <c r="I38" s="49">
        <v>908</v>
      </c>
      <c r="J38" s="49">
        <v>1856</v>
      </c>
      <c r="K38" s="49">
        <v>1628</v>
      </c>
      <c r="L38" s="50">
        <v>2149</v>
      </c>
      <c r="M38" s="50">
        <v>1570</v>
      </c>
      <c r="N38" s="49">
        <v>2190</v>
      </c>
      <c r="O38" s="49">
        <v>2021</v>
      </c>
      <c r="P38" s="49">
        <v>2663</v>
      </c>
      <c r="Q38" s="49">
        <v>1292</v>
      </c>
      <c r="R38" s="49">
        <v>2363</v>
      </c>
      <c r="S38" s="49">
        <v>1972</v>
      </c>
      <c r="T38" s="49">
        <v>2605</v>
      </c>
      <c r="U38" s="50">
        <v>2303</v>
      </c>
      <c r="V38" s="49">
        <v>2734</v>
      </c>
      <c r="W38" s="49">
        <v>2738</v>
      </c>
      <c r="X38" s="7">
        <v>-6.9963811821471822E-3</v>
      </c>
      <c r="Y38" s="9">
        <v>0.1228134110787171</v>
      </c>
      <c r="Z38" s="8">
        <v>4.0138483176457962E-2</v>
      </c>
      <c r="AA38" s="8">
        <v>7.9675473268150609E-2</v>
      </c>
    </row>
    <row r="39" spans="2:27" x14ac:dyDescent="0.3">
      <c r="B39" s="12">
        <v>8802</v>
      </c>
      <c r="C39" s="3" t="s">
        <v>409</v>
      </c>
      <c r="D39" s="3" t="str">
        <f>VLOOKUP(B39,기업리스트!B:G,2,FALSE)</f>
        <v>Mitsubishi Estate Co., Ltd.</v>
      </c>
      <c r="E39" s="3" t="s">
        <v>396</v>
      </c>
      <c r="F39" s="5">
        <v>7.9</v>
      </c>
      <c r="G39" s="49">
        <v>60683</v>
      </c>
      <c r="H39" s="49">
        <v>106636</v>
      </c>
      <c r="I39" s="49">
        <v>83518</v>
      </c>
      <c r="J39" s="49">
        <v>58562</v>
      </c>
      <c r="K39" s="49">
        <v>57933</v>
      </c>
      <c r="L39" s="49">
        <v>96690</v>
      </c>
      <c r="M39" s="49">
        <v>48402</v>
      </c>
      <c r="N39" s="49">
        <v>41913</v>
      </c>
      <c r="O39" s="49">
        <v>56506</v>
      </c>
      <c r="P39" s="50">
        <v>131806</v>
      </c>
      <c r="Q39" s="49">
        <v>51799</v>
      </c>
      <c r="R39" s="49">
        <v>48080</v>
      </c>
      <c r="S39" s="50">
        <v>94601</v>
      </c>
      <c r="T39" s="49">
        <v>114753</v>
      </c>
      <c r="U39" s="49">
        <v>62406</v>
      </c>
      <c r="V39" s="49">
        <v>45185</v>
      </c>
      <c r="W39" s="49">
        <v>119784</v>
      </c>
      <c r="X39" s="7">
        <v>-5.2263964742587772E-2</v>
      </c>
      <c r="Y39" s="8">
        <v>3.4300996336096068E-2</v>
      </c>
      <c r="Z39" s="8">
        <v>-9.051400700350154E-3</v>
      </c>
      <c r="AA39" s="8">
        <v>7.9455426020287323E-2</v>
      </c>
    </row>
    <row r="40" spans="2:27" x14ac:dyDescent="0.3">
      <c r="B40" s="12">
        <v>6651</v>
      </c>
      <c r="C40" s="3" t="s">
        <v>409</v>
      </c>
      <c r="D40" s="3" t="str">
        <f>VLOOKUP(B40,기업리스트!B:G,2,FALSE)</f>
        <v>Nitto Kogyo Corporation</v>
      </c>
      <c r="E40" s="3" t="s">
        <v>396</v>
      </c>
      <c r="F40" s="5">
        <v>7.6</v>
      </c>
      <c r="G40" s="49">
        <v>2884</v>
      </c>
      <c r="H40" s="49">
        <v>1851</v>
      </c>
      <c r="I40" s="49">
        <v>336</v>
      </c>
      <c r="J40" s="49">
        <v>1836</v>
      </c>
      <c r="K40" s="49">
        <v>3154</v>
      </c>
      <c r="L40" s="50">
        <v>2847</v>
      </c>
      <c r="M40" s="50">
        <v>1772</v>
      </c>
      <c r="N40" s="50">
        <v>3000</v>
      </c>
      <c r="O40" s="49">
        <v>4225</v>
      </c>
      <c r="P40" s="49">
        <v>2955</v>
      </c>
      <c r="Q40" s="49">
        <v>2032</v>
      </c>
      <c r="R40" s="49">
        <v>2470</v>
      </c>
      <c r="S40" s="49">
        <v>4566</v>
      </c>
      <c r="T40" s="50">
        <v>4288</v>
      </c>
      <c r="U40" s="49">
        <v>2647</v>
      </c>
      <c r="V40" s="49">
        <v>3438</v>
      </c>
      <c r="W40" s="49">
        <v>5706</v>
      </c>
      <c r="X40" s="10">
        <v>0.1108708309074273</v>
      </c>
      <c r="Y40" s="8">
        <v>4.6046720575022571E-2</v>
      </c>
      <c r="Z40" s="8">
        <v>6.9286378927778891E-2</v>
      </c>
      <c r="AA40" s="8">
        <v>7.6310328669924266E-2</v>
      </c>
    </row>
    <row r="41" spans="2:27" x14ac:dyDescent="0.3">
      <c r="B41" s="12">
        <v>6098</v>
      </c>
      <c r="C41" s="3" t="s">
        <v>409</v>
      </c>
      <c r="D41" s="3" t="str">
        <f>VLOOKUP(B41,기업리스트!B:G,2,FALSE)</f>
        <v>Recruit Holdings Co., Ltd.</v>
      </c>
      <c r="E41" s="3" t="s">
        <v>396</v>
      </c>
      <c r="F41" s="5">
        <v>7.5</v>
      </c>
      <c r="G41" s="49">
        <v>110658</v>
      </c>
      <c r="H41" s="49">
        <v>64080</v>
      </c>
      <c r="I41" s="49">
        <v>119373</v>
      </c>
      <c r="J41" s="49">
        <v>108583</v>
      </c>
      <c r="K41" s="49">
        <v>96886</v>
      </c>
      <c r="L41" s="49">
        <v>71064</v>
      </c>
      <c r="M41" s="49">
        <v>121656</v>
      </c>
      <c r="N41" s="49">
        <v>116178</v>
      </c>
      <c r="O41" s="49">
        <v>108971</v>
      </c>
      <c r="P41" s="49">
        <v>101716</v>
      </c>
      <c r="Q41" s="49">
        <v>127820</v>
      </c>
      <c r="R41" s="49">
        <v>141890</v>
      </c>
      <c r="S41" s="49">
        <v>139650</v>
      </c>
      <c r="T41" s="49">
        <v>115825</v>
      </c>
      <c r="U41" s="49">
        <v>153735</v>
      </c>
      <c r="V41" s="49">
        <v>159792</v>
      </c>
      <c r="W41" s="49">
        <v>182153</v>
      </c>
      <c r="X41" s="7">
        <v>2.760646166127945E-2</v>
      </c>
      <c r="Y41" s="8">
        <v>4.9344516694117317E-2</v>
      </c>
      <c r="Z41" s="8">
        <v>3.2484122663763333E-2</v>
      </c>
      <c r="AA41" s="8">
        <v>7.4697452733030856E-2</v>
      </c>
    </row>
    <row r="42" spans="2:27" x14ac:dyDescent="0.3">
      <c r="B42" s="12">
        <v>4151</v>
      </c>
      <c r="C42" s="3" t="s">
        <v>409</v>
      </c>
      <c r="D42" s="3" t="str">
        <f>VLOOKUP(B42,기업리스트!B:G,2,FALSE)</f>
        <v>Kyowa Kirin Co., Ltd.</v>
      </c>
      <c r="E42" s="3" t="s">
        <v>390</v>
      </c>
      <c r="F42" s="5">
        <v>7.4</v>
      </c>
      <c r="G42" s="49">
        <v>19881</v>
      </c>
      <c r="H42" s="49">
        <v>16104</v>
      </c>
      <c r="I42" s="49">
        <v>20775</v>
      </c>
      <c r="J42" s="49">
        <v>17293</v>
      </c>
      <c r="K42" s="49">
        <v>24160</v>
      </c>
      <c r="L42" s="49">
        <v>13821</v>
      </c>
      <c r="M42" s="49">
        <v>8590</v>
      </c>
      <c r="N42" s="50">
        <v>36132</v>
      </c>
      <c r="O42" s="50">
        <v>37254</v>
      </c>
      <c r="P42" s="49">
        <v>16364</v>
      </c>
      <c r="Q42" s="50">
        <v>24400</v>
      </c>
      <c r="R42" s="49">
        <v>30117</v>
      </c>
      <c r="S42" s="49">
        <v>19329</v>
      </c>
      <c r="T42" s="49">
        <v>9534</v>
      </c>
      <c r="U42" s="49">
        <v>11626</v>
      </c>
      <c r="V42" s="49">
        <v>27546</v>
      </c>
      <c r="W42" s="49">
        <v>24360</v>
      </c>
      <c r="X42" s="7">
        <v>-7.5712227025828582E-2</v>
      </c>
      <c r="Y42" s="8">
        <v>-0.15320220676421201</v>
      </c>
      <c r="Z42" s="8">
        <v>-3.6413335977112382E-2</v>
      </c>
      <c r="AA42" s="8">
        <v>7.3947233041816718E-2</v>
      </c>
    </row>
    <row r="43" spans="2:27" x14ac:dyDescent="0.3">
      <c r="B43" s="12">
        <v>8081</v>
      </c>
      <c r="C43" s="3" t="s">
        <v>409</v>
      </c>
      <c r="D43" s="3" t="str">
        <f>VLOOKUP(B43,기업리스트!B:G,2,FALSE)</f>
        <v>Global Mixed-Mode Technology Inc.</v>
      </c>
      <c r="E43" s="3" t="s">
        <v>396</v>
      </c>
      <c r="F43" s="5">
        <v>7.3</v>
      </c>
      <c r="G43" s="49">
        <v>396</v>
      </c>
      <c r="H43" s="49">
        <v>1614</v>
      </c>
      <c r="I43" s="49">
        <v>139</v>
      </c>
      <c r="J43" s="49">
        <v>1186</v>
      </c>
      <c r="K43" s="50">
        <v>803</v>
      </c>
      <c r="L43" s="49">
        <v>1840</v>
      </c>
      <c r="M43" s="49">
        <v>522</v>
      </c>
      <c r="N43" s="49">
        <v>1324</v>
      </c>
      <c r="O43" s="49">
        <v>754</v>
      </c>
      <c r="P43" s="49">
        <v>1945</v>
      </c>
      <c r="Q43" s="49">
        <v>338</v>
      </c>
      <c r="R43" s="49">
        <v>1180</v>
      </c>
      <c r="S43" s="49">
        <v>507</v>
      </c>
      <c r="T43" s="50">
        <v>2476</v>
      </c>
      <c r="U43" s="49">
        <v>470</v>
      </c>
      <c r="V43" s="49">
        <v>1206</v>
      </c>
      <c r="W43" s="49">
        <v>848</v>
      </c>
      <c r="X43" s="10">
        <v>0.13375314861460949</v>
      </c>
      <c r="Y43" s="8">
        <v>2.9326816263052669E-2</v>
      </c>
      <c r="Z43" s="8">
        <v>5.6119145262250036E-3</v>
      </c>
      <c r="AA43" s="8">
        <v>7.319167203262511E-2</v>
      </c>
    </row>
    <row r="44" spans="2:27" x14ac:dyDescent="0.3">
      <c r="B44" s="12">
        <v>5803</v>
      </c>
      <c r="C44" s="3" t="s">
        <v>409</v>
      </c>
      <c r="D44" s="3" t="str">
        <f>VLOOKUP(B44,기업리스트!B:G,2,FALSE)</f>
        <v>Fujikura Ltd.</v>
      </c>
      <c r="E44" s="3" t="s">
        <v>396</v>
      </c>
      <c r="F44" s="5">
        <v>6.4</v>
      </c>
      <c r="G44" s="49">
        <v>9351</v>
      </c>
      <c r="H44" s="49">
        <v>10340</v>
      </c>
      <c r="I44" s="49">
        <v>11286</v>
      </c>
      <c r="J44" s="49">
        <v>23966</v>
      </c>
      <c r="K44" s="50">
        <v>21257</v>
      </c>
      <c r="L44" s="49">
        <v>13654</v>
      </c>
      <c r="M44" s="49">
        <v>12572</v>
      </c>
      <c r="N44" s="49">
        <v>18206</v>
      </c>
      <c r="O44" s="49">
        <v>20666</v>
      </c>
      <c r="P44" s="49">
        <v>18040</v>
      </c>
      <c r="Q44" s="50">
        <v>24452</v>
      </c>
      <c r="R44" s="50">
        <v>30688</v>
      </c>
      <c r="S44" s="50">
        <v>41134</v>
      </c>
      <c r="T44" s="50">
        <v>39245</v>
      </c>
      <c r="U44" s="50">
        <v>41086</v>
      </c>
      <c r="V44" s="50">
        <v>49085</v>
      </c>
      <c r="W44" s="49">
        <v>52025</v>
      </c>
      <c r="X44" s="10">
        <v>0.18549783928477701</v>
      </c>
      <c r="Y44" s="9">
        <v>0.12274293641481999</v>
      </c>
      <c r="Z44" s="9">
        <v>0.12091118808041899</v>
      </c>
      <c r="AA44" s="8">
        <v>6.3858106127235414E-2</v>
      </c>
    </row>
    <row r="45" spans="2:27" x14ac:dyDescent="0.3">
      <c r="B45" s="12">
        <v>6490</v>
      </c>
      <c r="C45" s="3" t="s">
        <v>409</v>
      </c>
      <c r="D45" s="3" t="str">
        <f>VLOOKUP(B45,기업리스트!B:G,2,FALSE)</f>
        <v>PILLAR Corporation</v>
      </c>
      <c r="E45" s="3" t="s">
        <v>396</v>
      </c>
      <c r="F45" s="5">
        <v>4.8</v>
      </c>
      <c r="G45" s="49">
        <v>3015</v>
      </c>
      <c r="H45" s="49">
        <v>3106</v>
      </c>
      <c r="I45" s="49">
        <v>2977</v>
      </c>
      <c r="J45" s="49">
        <v>3837</v>
      </c>
      <c r="K45" s="49">
        <v>3483</v>
      </c>
      <c r="L45" s="49">
        <v>3546</v>
      </c>
      <c r="M45" s="49">
        <v>3076</v>
      </c>
      <c r="N45" s="49">
        <v>3821</v>
      </c>
      <c r="O45" s="49">
        <v>3709</v>
      </c>
      <c r="P45" s="49">
        <v>3601</v>
      </c>
      <c r="Q45" s="49">
        <v>2496</v>
      </c>
      <c r="R45" s="49">
        <v>3330</v>
      </c>
      <c r="S45" s="49">
        <v>2512</v>
      </c>
      <c r="T45" s="49">
        <v>2998</v>
      </c>
      <c r="U45" s="49">
        <v>2706</v>
      </c>
      <c r="V45" s="49">
        <v>2900</v>
      </c>
      <c r="W45" s="49">
        <v>3051</v>
      </c>
      <c r="X45" s="7">
        <v>-5.0506742608258597E-2</v>
      </c>
      <c r="Y45" s="8">
        <v>1.8525052928722641E-2</v>
      </c>
      <c r="Z45" s="8">
        <v>-3.7242335007794947E-2</v>
      </c>
      <c r="AA45" s="8">
        <v>4.848866498740545E-2</v>
      </c>
    </row>
    <row r="46" spans="2:27" x14ac:dyDescent="0.3">
      <c r="B46" s="12">
        <v>4021</v>
      </c>
      <c r="C46" s="3" t="s">
        <v>409</v>
      </c>
      <c r="D46" s="3" t="str">
        <f>VLOOKUP(B46,기업리스트!B:G,2,FALSE)</f>
        <v>Nissan Chemical Corporation</v>
      </c>
      <c r="E46" s="3" t="s">
        <v>396</v>
      </c>
      <c r="F46" s="5">
        <v>4.5999999999999996</v>
      </c>
      <c r="G46" s="49">
        <v>12612</v>
      </c>
      <c r="H46" s="49">
        <v>17024</v>
      </c>
      <c r="I46" s="49">
        <v>17267</v>
      </c>
      <c r="J46" s="49">
        <v>10893</v>
      </c>
      <c r="K46" s="49">
        <v>10651</v>
      </c>
      <c r="L46" s="49">
        <v>13473</v>
      </c>
      <c r="M46" s="49">
        <v>14999</v>
      </c>
      <c r="N46" s="49">
        <v>9096</v>
      </c>
      <c r="O46" s="49">
        <v>9341</v>
      </c>
      <c r="P46" s="49">
        <v>14767</v>
      </c>
      <c r="Q46" s="49">
        <v>14427</v>
      </c>
      <c r="R46" s="50">
        <v>13918</v>
      </c>
      <c r="S46" s="49">
        <v>12736</v>
      </c>
      <c r="T46" s="49">
        <v>15753</v>
      </c>
      <c r="U46" s="49">
        <v>18098</v>
      </c>
      <c r="V46" s="49">
        <v>11501</v>
      </c>
      <c r="W46" s="49">
        <v>15387</v>
      </c>
      <c r="X46" s="7">
        <v>1.7655063744449251E-2</v>
      </c>
      <c r="Y46" s="8">
        <v>6.4591617693634085E-2</v>
      </c>
      <c r="Z46" s="8">
        <v>-3.9947111808941393E-2</v>
      </c>
      <c r="AA46" s="8">
        <v>4.5637653215810481E-2</v>
      </c>
    </row>
    <row r="47" spans="2:27" x14ac:dyDescent="0.3">
      <c r="B47" s="12">
        <v>8850</v>
      </c>
      <c r="C47" s="3" t="s">
        <v>409</v>
      </c>
      <c r="D47" s="3" t="str">
        <f>VLOOKUP(B47,기업리스트!B:G,2,FALSE)</f>
        <v>Starts Corporation Inc.</v>
      </c>
      <c r="E47" s="3" t="s">
        <v>396</v>
      </c>
      <c r="F47" s="5">
        <v>4.3</v>
      </c>
      <c r="G47" s="49">
        <v>6053</v>
      </c>
      <c r="H47" s="49">
        <v>7852</v>
      </c>
      <c r="I47" s="49">
        <v>5187</v>
      </c>
      <c r="J47" s="49">
        <v>6649</v>
      </c>
      <c r="K47" s="49">
        <v>8583</v>
      </c>
      <c r="L47" s="49">
        <v>7669</v>
      </c>
      <c r="M47" s="49">
        <v>6108</v>
      </c>
      <c r="N47" s="49">
        <v>6547</v>
      </c>
      <c r="O47" s="49">
        <v>8425</v>
      </c>
      <c r="P47" s="49">
        <v>9375</v>
      </c>
      <c r="Q47" s="49">
        <v>7234</v>
      </c>
      <c r="R47" s="49">
        <v>7838</v>
      </c>
      <c r="S47" s="49">
        <v>8469</v>
      </c>
      <c r="T47" s="49">
        <v>9083</v>
      </c>
      <c r="U47" s="49">
        <v>8341</v>
      </c>
      <c r="V47" s="49">
        <v>7678</v>
      </c>
      <c r="W47" s="49">
        <v>9921</v>
      </c>
      <c r="X47" s="7">
        <v>-8.871065743103701E-3</v>
      </c>
      <c r="Y47" s="8">
        <v>3.393207454634628E-2</v>
      </c>
      <c r="Z47" s="8">
        <v>-4.7434111055112424E-3</v>
      </c>
      <c r="AA47" s="8">
        <v>4.3251615978076252E-2</v>
      </c>
    </row>
    <row r="48" spans="2:27" x14ac:dyDescent="0.3">
      <c r="B48" s="12">
        <v>5715</v>
      </c>
      <c r="C48" s="3" t="s">
        <v>409</v>
      </c>
      <c r="D48" s="3" t="str">
        <f>VLOOKUP(B48,기업리스트!B:G,2,FALSE)</f>
        <v>Furukawa Co.,Ltd.</v>
      </c>
      <c r="E48" s="3" t="s">
        <v>396</v>
      </c>
      <c r="F48" s="5">
        <v>4.3</v>
      </c>
      <c r="G48" s="49">
        <v>2237</v>
      </c>
      <c r="H48" s="49">
        <v>2015</v>
      </c>
      <c r="I48" s="49">
        <v>2193</v>
      </c>
      <c r="J48" s="49">
        <v>1180</v>
      </c>
      <c r="K48" s="49">
        <v>2677</v>
      </c>
      <c r="L48" s="50">
        <v>2982</v>
      </c>
      <c r="M48" s="49">
        <v>2762</v>
      </c>
      <c r="N48" s="49">
        <v>1839</v>
      </c>
      <c r="O48" s="49">
        <v>2068</v>
      </c>
      <c r="P48" s="49">
        <v>1855</v>
      </c>
      <c r="Q48" s="49">
        <v>2296</v>
      </c>
      <c r="R48" s="49">
        <v>1194</v>
      </c>
      <c r="S48" s="50">
        <v>2946</v>
      </c>
      <c r="T48" s="50">
        <v>3614</v>
      </c>
      <c r="U48" s="49">
        <v>2461</v>
      </c>
      <c r="V48" s="49">
        <v>1749</v>
      </c>
      <c r="W48" s="49">
        <v>3404</v>
      </c>
      <c r="X48" s="10">
        <v>0.21215776142805451</v>
      </c>
      <c r="Y48" s="8">
        <v>1.6417910447761089E-2</v>
      </c>
      <c r="Z48" s="8">
        <v>5.4331864904552107E-2</v>
      </c>
      <c r="AA48" s="8">
        <v>4.2525533890436451E-2</v>
      </c>
    </row>
    <row r="49" spans="2:27" x14ac:dyDescent="0.3">
      <c r="B49" s="12">
        <v>4544</v>
      </c>
      <c r="C49" s="3" t="s">
        <v>409</v>
      </c>
      <c r="D49" s="3" t="str">
        <f>VLOOKUP(B49,기업리스트!B:G,2,FALSE)</f>
        <v>H.U. Group Holdings, Inc.</v>
      </c>
      <c r="E49" s="3" t="s">
        <v>396</v>
      </c>
      <c r="F49" s="5">
        <v>4</v>
      </c>
      <c r="G49" s="49">
        <v>9220</v>
      </c>
      <c r="H49" s="49">
        <v>14319</v>
      </c>
      <c r="I49" s="49">
        <v>8581</v>
      </c>
      <c r="J49" s="49">
        <v>9104</v>
      </c>
      <c r="K49" s="49">
        <v>5967</v>
      </c>
      <c r="L49" s="49">
        <v>-271</v>
      </c>
      <c r="M49" s="49">
        <v>-1710</v>
      </c>
      <c r="N49" s="49">
        <v>141</v>
      </c>
      <c r="O49" s="49">
        <v>422</v>
      </c>
      <c r="P49" s="50">
        <v>-2897</v>
      </c>
      <c r="Q49" s="49">
        <v>623</v>
      </c>
      <c r="R49" s="49">
        <v>334</v>
      </c>
      <c r="S49" s="49">
        <v>1702</v>
      </c>
      <c r="T49" s="49">
        <v>-313</v>
      </c>
      <c r="U49" s="50">
        <v>871</v>
      </c>
      <c r="V49" s="50">
        <v>1456</v>
      </c>
      <c r="W49" s="49">
        <v>1852</v>
      </c>
      <c r="X49" s="7">
        <v>-10.857142857142859</v>
      </c>
      <c r="Y49" s="9">
        <v>0.10571184995737409</v>
      </c>
      <c r="Z49" s="9">
        <v>0.43253662297609868</v>
      </c>
      <c r="AA49" s="8">
        <v>4.0365984930032177E-2</v>
      </c>
    </row>
    <row r="50" spans="2:27" x14ac:dyDescent="0.3">
      <c r="B50" s="12">
        <v>5801</v>
      </c>
      <c r="C50" s="3" t="s">
        <v>409</v>
      </c>
      <c r="D50" s="3" t="str">
        <f>VLOOKUP(B50,기업리스트!B:G,2,FALSE)</f>
        <v>Furukawa Electric Co., Ltd.</v>
      </c>
      <c r="E50" s="3" t="s">
        <v>396</v>
      </c>
      <c r="F50" s="5">
        <v>3.9</v>
      </c>
      <c r="G50" s="49">
        <v>-2165</v>
      </c>
      <c r="H50" s="49">
        <v>6354</v>
      </c>
      <c r="I50" s="49">
        <v>1065</v>
      </c>
      <c r="J50" s="49">
        <v>3521</v>
      </c>
      <c r="K50" s="50">
        <v>1447</v>
      </c>
      <c r="L50" s="50">
        <v>9409</v>
      </c>
      <c r="M50" s="49">
        <v>-2779</v>
      </c>
      <c r="N50" s="49">
        <v>-1834</v>
      </c>
      <c r="O50" s="50">
        <v>4058</v>
      </c>
      <c r="P50" s="50">
        <v>11727</v>
      </c>
      <c r="Q50" s="50">
        <v>3523</v>
      </c>
      <c r="R50" s="50">
        <v>14023</v>
      </c>
      <c r="S50" s="50">
        <v>13855</v>
      </c>
      <c r="T50" s="49">
        <v>15697</v>
      </c>
      <c r="U50" s="50">
        <v>8447</v>
      </c>
      <c r="V50" s="49">
        <v>10910</v>
      </c>
      <c r="W50" s="49">
        <v>15780</v>
      </c>
      <c r="X50" s="7">
        <v>9.2051567427193559E-2</v>
      </c>
      <c r="Y50" s="9">
        <v>0.1045479638201197</v>
      </c>
      <c r="Z50" s="8">
        <v>-5.9840067663680767E-2</v>
      </c>
      <c r="AA50" s="8">
        <v>3.9358809217117541E-2</v>
      </c>
    </row>
    <row r="51" spans="2:27" x14ac:dyDescent="0.3">
      <c r="B51" s="12">
        <v>4613</v>
      </c>
      <c r="C51" s="3" t="s">
        <v>409</v>
      </c>
      <c r="D51" s="3" t="str">
        <f>VLOOKUP(B51,기업리스트!B:G,2,FALSE)</f>
        <v>Kansai Paint Co., Ltd.</v>
      </c>
      <c r="E51" s="3" t="s">
        <v>396</v>
      </c>
      <c r="F51" s="5">
        <v>3.6</v>
      </c>
      <c r="G51" s="49">
        <v>7242</v>
      </c>
      <c r="H51" s="49">
        <v>6022</v>
      </c>
      <c r="I51" s="49">
        <v>8285</v>
      </c>
      <c r="J51" s="49">
        <v>7479</v>
      </c>
      <c r="K51" s="49">
        <v>8404</v>
      </c>
      <c r="L51" s="49">
        <v>7909</v>
      </c>
      <c r="M51" s="50">
        <v>12106</v>
      </c>
      <c r="N51" s="50">
        <v>13628</v>
      </c>
      <c r="O51" s="50">
        <v>15657</v>
      </c>
      <c r="P51" s="49">
        <v>10205</v>
      </c>
      <c r="Q51" s="49">
        <v>15115</v>
      </c>
      <c r="R51" s="49">
        <v>11223</v>
      </c>
      <c r="S51" s="49">
        <v>12909</v>
      </c>
      <c r="T51" s="49">
        <v>12804</v>
      </c>
      <c r="U51" s="49">
        <v>12164</v>
      </c>
      <c r="V51" s="49">
        <v>12085</v>
      </c>
      <c r="W51" s="49">
        <v>14695</v>
      </c>
      <c r="X51" s="7">
        <v>5.255601391248077E-2</v>
      </c>
      <c r="Y51" s="8">
        <v>-5.6694395880962922E-2</v>
      </c>
      <c r="Z51" s="8">
        <v>1.755600814663949E-2</v>
      </c>
      <c r="AA51" s="8">
        <v>3.5747167847564043E-2</v>
      </c>
    </row>
    <row r="52" spans="2:27" x14ac:dyDescent="0.3">
      <c r="B52" s="12">
        <v>4980</v>
      </c>
      <c r="C52" s="3" t="s">
        <v>409</v>
      </c>
      <c r="D52" s="3" t="str">
        <f>VLOOKUP(B52,기업리스트!B:G,2,FALSE)</f>
        <v>Dexerials Corporation</v>
      </c>
      <c r="E52" s="3" t="s">
        <v>396</v>
      </c>
      <c r="F52" s="5">
        <v>2.9</v>
      </c>
      <c r="G52" s="49">
        <v>8376</v>
      </c>
      <c r="H52" s="49">
        <v>5893</v>
      </c>
      <c r="I52" s="49">
        <v>8334</v>
      </c>
      <c r="J52" s="49">
        <v>11315</v>
      </c>
      <c r="K52" s="49">
        <v>9609</v>
      </c>
      <c r="L52" s="49">
        <v>2946</v>
      </c>
      <c r="M52" s="49">
        <v>4818</v>
      </c>
      <c r="N52" s="49">
        <v>10133</v>
      </c>
      <c r="O52" s="49">
        <v>11566</v>
      </c>
      <c r="P52" s="50">
        <v>6714</v>
      </c>
      <c r="Q52" s="50">
        <v>9774</v>
      </c>
      <c r="R52" s="49">
        <v>13547</v>
      </c>
      <c r="S52" s="49">
        <v>9529</v>
      </c>
      <c r="T52" s="49">
        <v>6281</v>
      </c>
      <c r="U52" s="49">
        <v>7985</v>
      </c>
      <c r="V52" s="49">
        <v>11919</v>
      </c>
      <c r="W52" s="49">
        <v>10548</v>
      </c>
      <c r="X52" s="7">
        <v>-1.09442927914265E-2</v>
      </c>
      <c r="Y52" s="8">
        <v>-4.5718228514477037E-2</v>
      </c>
      <c r="Z52" s="8">
        <v>-4.3597022119865048E-2</v>
      </c>
      <c r="AA52" s="8">
        <v>2.8532228257825979E-2</v>
      </c>
    </row>
    <row r="53" spans="2:27" x14ac:dyDescent="0.3">
      <c r="B53" s="12">
        <v>9616</v>
      </c>
      <c r="C53" s="3" t="s">
        <v>409</v>
      </c>
      <c r="D53" s="3" t="str">
        <f>VLOOKUP(B53,기업리스트!B:G,2,FALSE)</f>
        <v>Kyoritsu Maintenance Co., Ltd.</v>
      </c>
      <c r="E53" s="3" t="s">
        <v>396</v>
      </c>
      <c r="F53" s="5">
        <v>2.5</v>
      </c>
      <c r="G53" s="49">
        <v>365</v>
      </c>
      <c r="H53" s="49">
        <v>6686</v>
      </c>
      <c r="I53" s="49">
        <v>1077</v>
      </c>
      <c r="J53" s="49">
        <v>2869</v>
      </c>
      <c r="K53" s="50">
        <v>2879</v>
      </c>
      <c r="L53" s="49">
        <v>503</v>
      </c>
      <c r="M53" s="50">
        <v>2913</v>
      </c>
      <c r="N53" s="50">
        <v>5484</v>
      </c>
      <c r="O53" s="50">
        <v>5186</v>
      </c>
      <c r="P53" s="50">
        <v>3126</v>
      </c>
      <c r="Q53" s="49">
        <v>3822</v>
      </c>
      <c r="R53" s="49">
        <v>6798</v>
      </c>
      <c r="S53" s="50">
        <v>7213</v>
      </c>
      <c r="T53" s="49">
        <v>2658</v>
      </c>
      <c r="U53" s="49">
        <v>4498</v>
      </c>
      <c r="V53" s="49">
        <v>6771</v>
      </c>
      <c r="W53" s="49">
        <v>7739</v>
      </c>
      <c r="X53" s="7">
        <v>-2.2329309604465889E-2</v>
      </c>
      <c r="Y53" s="8">
        <v>3.2990093211653797E-2</v>
      </c>
      <c r="Z53" s="8">
        <v>-1.275570463457276E-3</v>
      </c>
      <c r="AA53" s="8">
        <v>2.4881740775780429E-2</v>
      </c>
    </row>
    <row r="54" spans="2:27" x14ac:dyDescent="0.3">
      <c r="B54" s="12">
        <v>9434</v>
      </c>
      <c r="C54" s="3" t="s">
        <v>409</v>
      </c>
      <c r="D54" s="3" t="str">
        <f>VLOOKUP(B54,기업리스트!B:G,2,FALSE)</f>
        <v>SoftBank Corp.</v>
      </c>
      <c r="E54" s="3" t="s">
        <v>396</v>
      </c>
      <c r="F54" s="5">
        <v>2</v>
      </c>
      <c r="G54" s="49">
        <v>250365</v>
      </c>
      <c r="H54" s="49">
        <v>145767</v>
      </c>
      <c r="I54" s="49">
        <v>247111</v>
      </c>
      <c r="J54" s="49">
        <v>239738</v>
      </c>
      <c r="K54" s="50">
        <v>495154</v>
      </c>
      <c r="L54" s="49">
        <v>-225986</v>
      </c>
      <c r="M54" s="49">
        <v>246319</v>
      </c>
      <c r="N54" s="49">
        <v>268069</v>
      </c>
      <c r="O54" s="49">
        <v>217545</v>
      </c>
      <c r="P54" s="50">
        <v>129077</v>
      </c>
      <c r="Q54" s="49">
        <v>303927</v>
      </c>
      <c r="R54" s="49">
        <v>281962</v>
      </c>
      <c r="S54" s="49">
        <v>235972</v>
      </c>
      <c r="T54" s="49">
        <v>137782</v>
      </c>
      <c r="U54" s="49">
        <v>276232</v>
      </c>
      <c r="V54" s="49">
        <v>352662</v>
      </c>
      <c r="W54" s="49">
        <v>256384</v>
      </c>
      <c r="X54" s="7">
        <v>9.1541194063124998E-3</v>
      </c>
      <c r="Y54" s="8">
        <v>-2.8859690530749441E-2</v>
      </c>
      <c r="Z54" s="8">
        <v>7.5862601776064853E-2</v>
      </c>
      <c r="AA54" s="8">
        <v>2.0358091772985091E-2</v>
      </c>
    </row>
    <row r="55" spans="2:27" x14ac:dyDescent="0.3">
      <c r="B55" s="12">
        <v>3569</v>
      </c>
      <c r="C55" s="3" t="s">
        <v>409</v>
      </c>
      <c r="D55" s="3" t="str">
        <f>VLOOKUP(B55,기업리스트!B:G,2,FALSE)</f>
        <v>Seiren Co.,Ltd.</v>
      </c>
      <c r="E55" s="3" t="s">
        <v>396</v>
      </c>
      <c r="F55" s="5">
        <v>1.9</v>
      </c>
      <c r="G55" s="49">
        <v>2673</v>
      </c>
      <c r="H55" s="49">
        <v>2765</v>
      </c>
      <c r="I55" s="49">
        <v>2925</v>
      </c>
      <c r="J55" s="49">
        <v>2239</v>
      </c>
      <c r="K55" s="50">
        <v>4862</v>
      </c>
      <c r="L55" s="49">
        <v>2805</v>
      </c>
      <c r="M55" s="49">
        <v>2909</v>
      </c>
      <c r="N55" s="49">
        <v>3119</v>
      </c>
      <c r="O55" s="49">
        <v>3944</v>
      </c>
      <c r="P55" s="50">
        <v>4097</v>
      </c>
      <c r="Q55" s="49">
        <v>4118</v>
      </c>
      <c r="R55" s="49">
        <v>4103</v>
      </c>
      <c r="S55" s="49">
        <v>5351</v>
      </c>
      <c r="T55" s="49">
        <v>4294</v>
      </c>
      <c r="U55" s="49">
        <v>5399</v>
      </c>
      <c r="V55" s="49">
        <v>4860</v>
      </c>
      <c r="W55" s="49">
        <v>5731</v>
      </c>
      <c r="X55" s="7">
        <v>1.114947082460804E-2</v>
      </c>
      <c r="Y55" s="8">
        <v>7.1700436583454596E-2</v>
      </c>
      <c r="Z55" s="8">
        <v>3.9536219773332659E-2</v>
      </c>
      <c r="AA55" s="8">
        <v>1.9091639871382741E-2</v>
      </c>
    </row>
    <row r="56" spans="2:27" x14ac:dyDescent="0.3">
      <c r="B56" s="12">
        <v>1835</v>
      </c>
      <c r="C56" s="3" t="s">
        <v>409</v>
      </c>
      <c r="D56" s="3" t="str">
        <f>VLOOKUP(B56,기업리스트!B:G,2,FALSE)</f>
        <v>Totetsu Kogyo Co., Ltd.</v>
      </c>
      <c r="E56" s="3" t="s">
        <v>396</v>
      </c>
      <c r="F56" s="5">
        <v>1</v>
      </c>
      <c r="G56" s="49">
        <v>2025</v>
      </c>
      <c r="H56" s="49">
        <v>3401</v>
      </c>
      <c r="I56" s="49">
        <v>679</v>
      </c>
      <c r="J56" s="49">
        <v>1742</v>
      </c>
      <c r="K56" s="49">
        <v>2724</v>
      </c>
      <c r="L56" s="49">
        <v>3926</v>
      </c>
      <c r="M56" s="49">
        <v>673</v>
      </c>
      <c r="N56" s="49">
        <v>2281</v>
      </c>
      <c r="O56" s="50">
        <v>3807</v>
      </c>
      <c r="P56" s="49">
        <v>4990</v>
      </c>
      <c r="Q56" s="49">
        <v>1328</v>
      </c>
      <c r="R56" s="49">
        <v>2792</v>
      </c>
      <c r="S56" s="50">
        <v>5122</v>
      </c>
      <c r="T56" s="49">
        <v>6284</v>
      </c>
      <c r="U56" s="49">
        <v>2339</v>
      </c>
      <c r="V56" s="49">
        <v>3932</v>
      </c>
      <c r="W56" s="49">
        <v>5295</v>
      </c>
      <c r="X56" s="7">
        <v>9.0921866216975733E-2</v>
      </c>
      <c r="Y56" s="8">
        <v>6.5116578642277378E-2</v>
      </c>
      <c r="Z56" s="8">
        <v>6.8936324605430199E-2</v>
      </c>
      <c r="AA56" s="8">
        <v>9.7867285172823504E-3</v>
      </c>
    </row>
    <row r="57" spans="2:27" x14ac:dyDescent="0.3">
      <c r="B57" s="12">
        <v>4628</v>
      </c>
      <c r="C57" s="3" t="s">
        <v>409</v>
      </c>
      <c r="D57" s="3" t="str">
        <f>VLOOKUP(B57,기업리스트!B:G,2,FALSE)</f>
        <v>Sk Kaken Co.,Ltd.</v>
      </c>
      <c r="E57" s="3" t="s">
        <v>395</v>
      </c>
      <c r="F57" s="5">
        <v>0.8</v>
      </c>
      <c r="G57" s="49">
        <v>2516</v>
      </c>
      <c r="H57" s="49">
        <v>3362</v>
      </c>
      <c r="I57" s="49">
        <v>2121</v>
      </c>
      <c r="J57" s="49">
        <v>2430</v>
      </c>
      <c r="K57" s="49">
        <v>2120</v>
      </c>
      <c r="L57" s="49">
        <v>3041</v>
      </c>
      <c r="M57" s="49">
        <v>2351</v>
      </c>
      <c r="N57" s="49">
        <v>2972</v>
      </c>
      <c r="O57" s="49">
        <v>2636</v>
      </c>
      <c r="P57" s="49">
        <v>3965</v>
      </c>
      <c r="Q57" s="49">
        <v>2513</v>
      </c>
      <c r="R57" s="49">
        <v>3294</v>
      </c>
      <c r="S57" s="49">
        <v>2851</v>
      </c>
      <c r="T57" s="49">
        <v>4004</v>
      </c>
      <c r="U57" s="49">
        <v>2296</v>
      </c>
      <c r="V57" s="49">
        <v>2820</v>
      </c>
      <c r="W57" s="49">
        <v>2944</v>
      </c>
      <c r="X57" s="7">
        <v>3.0895983522141179E-3</v>
      </c>
      <c r="Y57" s="8">
        <v>-1.7137892907913451E-2</v>
      </c>
      <c r="Z57" s="8">
        <v>-3.8087585375652822E-2</v>
      </c>
      <c r="AA57" s="8">
        <v>7.7687745384680262E-3</v>
      </c>
    </row>
    <row r="58" spans="2:27" x14ac:dyDescent="0.3">
      <c r="B58" s="12">
        <v>7458</v>
      </c>
      <c r="C58" s="3" t="s">
        <v>409</v>
      </c>
      <c r="D58" s="3" t="str">
        <f>VLOOKUP(B58,기업리스트!B:G,2,FALSE)</f>
        <v>Daiichikosho Co., Ltd.</v>
      </c>
      <c r="E58" s="3" t="s">
        <v>396</v>
      </c>
      <c r="F58" s="5">
        <v>0.1</v>
      </c>
      <c r="G58" s="49">
        <v>3303</v>
      </c>
      <c r="H58" s="49">
        <v>-1645</v>
      </c>
      <c r="I58" s="49">
        <v>3022</v>
      </c>
      <c r="J58" s="49">
        <v>2448</v>
      </c>
      <c r="K58" s="50">
        <v>4221</v>
      </c>
      <c r="L58" s="50">
        <v>3264</v>
      </c>
      <c r="M58" s="50">
        <v>4757</v>
      </c>
      <c r="N58" s="50">
        <v>4621</v>
      </c>
      <c r="O58" s="49">
        <v>5721</v>
      </c>
      <c r="P58" s="49">
        <v>3504</v>
      </c>
      <c r="Q58" s="49">
        <v>4647</v>
      </c>
      <c r="R58" s="49">
        <v>4350</v>
      </c>
      <c r="S58" s="49">
        <v>5324</v>
      </c>
      <c r="T58" s="49">
        <v>3626</v>
      </c>
      <c r="U58" s="49">
        <v>4246</v>
      </c>
      <c r="V58" s="49">
        <v>4185</v>
      </c>
      <c r="W58" s="49">
        <v>5340</v>
      </c>
      <c r="X58" s="7">
        <v>6.844319775596075E-3</v>
      </c>
      <c r="Y58" s="8">
        <v>-2.2343567170000519E-2</v>
      </c>
      <c r="Z58" s="8">
        <v>-9.4038527299669106E-3</v>
      </c>
      <c r="AA58" s="8">
        <v>9.2054542316333254E-4</v>
      </c>
    </row>
    <row r="59" spans="2:27" x14ac:dyDescent="0.3">
      <c r="B59" s="12">
        <v>7459</v>
      </c>
      <c r="C59" s="3" t="s">
        <v>409</v>
      </c>
      <c r="D59" s="3" t="str">
        <f>VLOOKUP(B59,기업리스트!B:G,2,FALSE)</f>
        <v>MediPal Holdings Corporation</v>
      </c>
      <c r="E59" s="3" t="s">
        <v>396</v>
      </c>
      <c r="F59" s="5">
        <v>-0.2</v>
      </c>
      <c r="G59" s="49">
        <v>12753</v>
      </c>
      <c r="H59" s="49">
        <v>8593</v>
      </c>
      <c r="I59" s="49">
        <v>13517</v>
      </c>
      <c r="J59" s="49">
        <v>12027</v>
      </c>
      <c r="K59" s="49">
        <v>11989</v>
      </c>
      <c r="L59" s="49">
        <v>11441</v>
      </c>
      <c r="M59" s="49">
        <v>12402</v>
      </c>
      <c r="N59" s="49">
        <v>8229</v>
      </c>
      <c r="O59" s="50">
        <v>16585</v>
      </c>
      <c r="P59" s="49">
        <v>10115</v>
      </c>
      <c r="Q59" s="49">
        <v>13288</v>
      </c>
      <c r="R59" s="50">
        <v>13875</v>
      </c>
      <c r="S59" s="49">
        <v>18211</v>
      </c>
      <c r="T59" s="49">
        <v>10233</v>
      </c>
      <c r="U59" s="49">
        <v>14058</v>
      </c>
      <c r="V59" s="49">
        <v>11025</v>
      </c>
      <c r="W59" s="49">
        <v>18102</v>
      </c>
      <c r="X59" s="7">
        <v>2.1265476040295268E-3</v>
      </c>
      <c r="Y59" s="8">
        <v>1.3847177513622411E-2</v>
      </c>
      <c r="Z59" s="8">
        <v>-5.055253028717388E-2</v>
      </c>
      <c r="AA59" s="8">
        <v>-2.0363554841481561E-3</v>
      </c>
    </row>
    <row r="60" spans="2:27" x14ac:dyDescent="0.3">
      <c r="B60" s="12">
        <v>6845</v>
      </c>
      <c r="C60" s="3" t="s">
        <v>409</v>
      </c>
      <c r="D60" s="3" t="str">
        <f>VLOOKUP(B60,기업리스트!B:G,2,FALSE)</f>
        <v>Azbil Corporation</v>
      </c>
      <c r="E60" s="3" t="s">
        <v>396</v>
      </c>
      <c r="F60" s="5">
        <v>-1.6</v>
      </c>
      <c r="G60" s="49">
        <v>6620</v>
      </c>
      <c r="H60" s="49">
        <v>12220</v>
      </c>
      <c r="I60" s="49">
        <v>2167</v>
      </c>
      <c r="J60" s="49">
        <v>6015</v>
      </c>
      <c r="K60" s="49">
        <v>7747</v>
      </c>
      <c r="L60" s="50">
        <v>15264</v>
      </c>
      <c r="M60" s="49">
        <v>4687</v>
      </c>
      <c r="N60" s="49">
        <v>8330</v>
      </c>
      <c r="O60" s="49">
        <v>10233</v>
      </c>
      <c r="P60" s="49">
        <v>13637</v>
      </c>
      <c r="Q60" s="49">
        <v>5813</v>
      </c>
      <c r="R60" s="49">
        <v>8865</v>
      </c>
      <c r="S60" s="49">
        <v>12211</v>
      </c>
      <c r="T60" s="49">
        <v>14628</v>
      </c>
      <c r="U60" s="49">
        <v>7063</v>
      </c>
      <c r="V60" s="49">
        <v>10657</v>
      </c>
      <c r="W60" s="49">
        <v>11507</v>
      </c>
      <c r="X60" s="7">
        <v>2.445343729951133E-2</v>
      </c>
      <c r="Y60" s="8">
        <v>3.0108148469301769E-2</v>
      </c>
      <c r="Z60" s="8">
        <v>4.1901466083662742E-2</v>
      </c>
      <c r="AA60" s="8">
        <v>-1.57992773625979E-2</v>
      </c>
    </row>
    <row r="61" spans="2:27" x14ac:dyDescent="0.3">
      <c r="B61" s="12">
        <v>9008</v>
      </c>
      <c r="C61" s="3" t="s">
        <v>409</v>
      </c>
      <c r="D61" s="3" t="str">
        <f>VLOOKUP(B61,기업리스트!B:G,2,FALSE)</f>
        <v>Keio Corporation</v>
      </c>
      <c r="E61" s="3" t="s">
        <v>396</v>
      </c>
      <c r="F61" s="5">
        <v>-2.2000000000000002</v>
      </c>
      <c r="G61" s="49">
        <v>5497</v>
      </c>
      <c r="H61" s="49">
        <v>-3419</v>
      </c>
      <c r="I61" s="49">
        <v>5141</v>
      </c>
      <c r="J61" s="49">
        <v>4277</v>
      </c>
      <c r="K61" s="50">
        <v>9421</v>
      </c>
      <c r="L61" s="50">
        <v>2641</v>
      </c>
      <c r="M61" s="50">
        <v>11974</v>
      </c>
      <c r="N61" s="50">
        <v>11935</v>
      </c>
      <c r="O61" s="50">
        <v>15591</v>
      </c>
      <c r="P61" s="49">
        <v>4341</v>
      </c>
      <c r="Q61" s="50">
        <v>16892</v>
      </c>
      <c r="R61" s="49">
        <v>14843</v>
      </c>
      <c r="S61" s="49">
        <v>17844</v>
      </c>
      <c r="T61" s="49">
        <v>4569</v>
      </c>
      <c r="U61" s="49">
        <v>16669</v>
      </c>
      <c r="V61" s="49">
        <v>14817</v>
      </c>
      <c r="W61" s="49">
        <v>16633</v>
      </c>
      <c r="X61" s="7">
        <v>4.2284866468842441E-3</v>
      </c>
      <c r="Y61" s="8">
        <v>-4.1183423210460202E-3</v>
      </c>
      <c r="Z61" s="8">
        <v>-4.82151135836828E-4</v>
      </c>
      <c r="AA61" s="8">
        <v>-2.2467949312603212E-2</v>
      </c>
    </row>
    <row r="62" spans="2:27" x14ac:dyDescent="0.3">
      <c r="B62" s="12">
        <v>8591</v>
      </c>
      <c r="C62" s="3" t="s">
        <v>409</v>
      </c>
      <c r="D62" s="3" t="str">
        <f>VLOOKUP(B62,기업리스트!B:G,2,FALSE)</f>
        <v>ORIX Corporation</v>
      </c>
      <c r="E62" s="3" t="s">
        <v>396</v>
      </c>
      <c r="F62" s="5">
        <v>-4</v>
      </c>
      <c r="G62" s="49">
        <v>95628</v>
      </c>
      <c r="H62" s="49">
        <v>94149</v>
      </c>
      <c r="I62" s="49">
        <v>66153</v>
      </c>
      <c r="J62" s="49">
        <v>82518</v>
      </c>
      <c r="K62" s="50">
        <v>136498</v>
      </c>
      <c r="L62" s="50">
        <v>182706</v>
      </c>
      <c r="M62" s="50">
        <v>118795</v>
      </c>
      <c r="N62" s="49">
        <v>130654</v>
      </c>
      <c r="O62" s="49">
        <v>134288</v>
      </c>
      <c r="P62" s="49">
        <v>160838</v>
      </c>
      <c r="Q62" s="49">
        <v>131360</v>
      </c>
      <c r="R62" s="49">
        <v>93214</v>
      </c>
      <c r="S62" s="50">
        <v>191632</v>
      </c>
      <c r="T62" s="49">
        <v>128932</v>
      </c>
      <c r="U62" s="49">
        <v>176243</v>
      </c>
      <c r="V62" s="50">
        <v>172788</v>
      </c>
      <c r="W62" s="49">
        <v>165104</v>
      </c>
      <c r="X62" s="7">
        <v>-5.5292144099930003E-2</v>
      </c>
      <c r="Y62" s="8">
        <v>8.2333280747260318E-2</v>
      </c>
      <c r="Z62" s="9">
        <v>0.13486638611168081</v>
      </c>
      <c r="AA62" s="8">
        <v>-3.9617978031496692E-2</v>
      </c>
    </row>
    <row r="63" spans="2:27" x14ac:dyDescent="0.3">
      <c r="B63" s="12">
        <v>6823</v>
      </c>
      <c r="C63" s="3" t="s">
        <v>409</v>
      </c>
      <c r="D63" s="3" t="str">
        <f>VLOOKUP(B63,기업리스트!B:G,2,FALSE)</f>
        <v>HKT Trust and HKT Limited</v>
      </c>
      <c r="E63" s="3" t="s">
        <v>396</v>
      </c>
      <c r="F63" s="5">
        <v>-5.4</v>
      </c>
      <c r="G63" s="49">
        <v>969</v>
      </c>
      <c r="H63" s="49">
        <v>932</v>
      </c>
      <c r="I63" s="49">
        <v>428</v>
      </c>
      <c r="J63" s="49">
        <v>624</v>
      </c>
      <c r="K63" s="49">
        <v>897</v>
      </c>
      <c r="L63" s="49">
        <v>896</v>
      </c>
      <c r="M63" s="50">
        <v>934</v>
      </c>
      <c r="N63" s="49">
        <v>760</v>
      </c>
      <c r="O63" s="49">
        <v>932</v>
      </c>
      <c r="P63" s="49">
        <v>848</v>
      </c>
      <c r="Q63" s="49">
        <v>692</v>
      </c>
      <c r="R63" s="49">
        <v>1070</v>
      </c>
      <c r="S63" s="50">
        <v>1308</v>
      </c>
      <c r="T63" s="49">
        <v>964</v>
      </c>
      <c r="U63" s="49">
        <v>829.65</v>
      </c>
      <c r="V63" s="49">
        <v>1155</v>
      </c>
      <c r="W63" s="49">
        <v>1080</v>
      </c>
      <c r="X63" s="7">
        <v>2.960694231750893E-2</v>
      </c>
      <c r="Y63" s="8">
        <v>3.4122459097669637E-2</v>
      </c>
      <c r="Z63" s="8">
        <v>2.03756307456282E-2</v>
      </c>
      <c r="AA63" s="8">
        <v>-5.3563248094158467E-2</v>
      </c>
    </row>
    <row r="64" spans="2:27" x14ac:dyDescent="0.3">
      <c r="B64" s="12">
        <v>5393</v>
      </c>
      <c r="C64" s="3" t="s">
        <v>409</v>
      </c>
      <c r="D64" s="3" t="str">
        <f>VLOOKUP(B64,기업리스트!B:G,2,FALSE)</f>
        <v>Nichias Corporation</v>
      </c>
      <c r="E64" s="3" t="s">
        <v>396</v>
      </c>
      <c r="F64" s="5">
        <v>-9.5</v>
      </c>
      <c r="G64" s="49">
        <v>7401</v>
      </c>
      <c r="H64" s="49">
        <v>6192</v>
      </c>
      <c r="I64" s="49">
        <v>6590</v>
      </c>
      <c r="J64" s="49">
        <v>6365</v>
      </c>
      <c r="K64" s="49">
        <v>8751</v>
      </c>
      <c r="L64" s="49">
        <v>8248</v>
      </c>
      <c r="M64" s="49">
        <v>7642</v>
      </c>
      <c r="N64" s="49">
        <v>8049</v>
      </c>
      <c r="O64" s="49">
        <v>9806</v>
      </c>
      <c r="P64" s="49">
        <v>9713</v>
      </c>
      <c r="Q64" s="49">
        <v>10549</v>
      </c>
      <c r="R64" s="49">
        <v>9306</v>
      </c>
      <c r="S64" s="49">
        <v>11109</v>
      </c>
      <c r="T64" s="49">
        <v>8768</v>
      </c>
      <c r="U64" s="49">
        <v>9232</v>
      </c>
      <c r="V64" s="49">
        <v>8548</v>
      </c>
      <c r="W64" s="49">
        <v>7531</v>
      </c>
      <c r="X64" s="7">
        <v>-2.3231801755291711E-2</v>
      </c>
      <c r="Y64" s="8">
        <v>-3.3147085472666871E-2</v>
      </c>
      <c r="Z64" s="8">
        <v>-1.9731875569439009E-2</v>
      </c>
      <c r="AA64" s="8">
        <v>-9.5015534960299575E-2</v>
      </c>
    </row>
    <row r="65" spans="2:27" x14ac:dyDescent="0.3">
      <c r="B65" s="12">
        <v>4997</v>
      </c>
      <c r="C65" s="3" t="s">
        <v>409</v>
      </c>
      <c r="D65" s="3" t="str">
        <f>VLOOKUP(B65,기업리스트!B:G,2,FALSE)</f>
        <v>Nihon Nohyaku Co., Ltd.</v>
      </c>
      <c r="E65" s="3" t="s">
        <v>396</v>
      </c>
      <c r="F65" s="5">
        <v>-11.9</v>
      </c>
      <c r="G65" s="49">
        <v>1637</v>
      </c>
      <c r="H65" s="49">
        <v>3448</v>
      </c>
      <c r="I65" s="49">
        <v>2782</v>
      </c>
      <c r="J65" s="49">
        <v>249</v>
      </c>
      <c r="K65" s="49">
        <v>2089</v>
      </c>
      <c r="L65" s="49">
        <v>3619</v>
      </c>
      <c r="M65" s="49">
        <v>1386</v>
      </c>
      <c r="N65" s="49">
        <v>-210</v>
      </c>
      <c r="O65" s="49">
        <v>1381</v>
      </c>
      <c r="P65" s="50">
        <v>4882</v>
      </c>
      <c r="Q65" s="49">
        <v>-163</v>
      </c>
      <c r="R65" s="50">
        <v>1193</v>
      </c>
      <c r="S65" s="50">
        <v>2610</v>
      </c>
      <c r="T65" s="49">
        <v>4937</v>
      </c>
      <c r="U65" s="50">
        <v>3544</v>
      </c>
      <c r="V65" s="49">
        <v>1144</v>
      </c>
      <c r="W65" s="49">
        <v>1157</v>
      </c>
      <c r="X65" s="7">
        <v>6.4538840647734297E-3</v>
      </c>
      <c r="Y65" s="9">
        <v>0.4322024017721815</v>
      </c>
      <c r="Z65" s="8">
        <v>-3.988928687723825E-3</v>
      </c>
      <c r="AA65" s="8">
        <v>-0.1187576624438087</v>
      </c>
    </row>
    <row r="66" spans="2:27" x14ac:dyDescent="0.3">
      <c r="B66" s="12">
        <v>5631</v>
      </c>
      <c r="C66" s="3" t="s">
        <v>409</v>
      </c>
      <c r="D66" s="3" t="str">
        <f>VLOOKUP(B66,기업리스트!B:G,2,FALSE)</f>
        <v>The Japan Steel Works, Ltd.</v>
      </c>
      <c r="E66" s="3" t="s">
        <v>396</v>
      </c>
      <c r="F66" s="5">
        <v>-12.8</v>
      </c>
      <c r="G66" s="49">
        <v>3018</v>
      </c>
      <c r="H66" s="49">
        <v>5330</v>
      </c>
      <c r="I66" s="49">
        <v>650</v>
      </c>
      <c r="J66" s="49">
        <v>2460</v>
      </c>
      <c r="K66" s="49">
        <v>2932</v>
      </c>
      <c r="L66" s="50">
        <v>7806</v>
      </c>
      <c r="M66" s="50">
        <v>2756</v>
      </c>
      <c r="N66" s="49">
        <v>3030</v>
      </c>
      <c r="O66" s="50">
        <v>5453</v>
      </c>
      <c r="P66" s="49">
        <v>6775</v>
      </c>
      <c r="Q66" s="49">
        <v>4269</v>
      </c>
      <c r="R66" s="49">
        <v>4022</v>
      </c>
      <c r="S66" s="50">
        <v>8745</v>
      </c>
      <c r="T66" s="49">
        <v>5789</v>
      </c>
      <c r="U66" s="49">
        <v>5274</v>
      </c>
      <c r="V66" s="50">
        <v>6918</v>
      </c>
      <c r="W66" s="49">
        <v>5333</v>
      </c>
      <c r="X66" s="7">
        <v>-4.1409432615177821E-2</v>
      </c>
      <c r="Y66" s="8">
        <v>4.4030668127053703E-2</v>
      </c>
      <c r="Z66" s="9">
        <v>0.1215274863617288</v>
      </c>
      <c r="AA66" s="8">
        <v>-0.12766594327621039</v>
      </c>
    </row>
    <row r="67" spans="2:27" x14ac:dyDescent="0.3">
      <c r="B67" s="12">
        <v>4523</v>
      </c>
      <c r="C67" s="3" t="s">
        <v>409</v>
      </c>
      <c r="D67" s="3" t="str">
        <f>VLOOKUP(B67,기업리스트!B:G,2,FALSE)</f>
        <v>Eisai Co., Ltd.</v>
      </c>
      <c r="E67" s="3" t="s">
        <v>396</v>
      </c>
      <c r="F67" s="5">
        <v>-21</v>
      </c>
      <c r="G67" s="49">
        <v>13647</v>
      </c>
      <c r="H67" s="49">
        <v>-32120</v>
      </c>
      <c r="I67" s="49">
        <v>7436</v>
      </c>
      <c r="J67" s="49">
        <v>-2181</v>
      </c>
      <c r="K67" s="50">
        <v>8571</v>
      </c>
      <c r="L67" s="49">
        <v>24612</v>
      </c>
      <c r="M67" s="50">
        <v>26027</v>
      </c>
      <c r="N67" s="50">
        <v>5400</v>
      </c>
      <c r="O67" s="49">
        <v>6110</v>
      </c>
      <c r="P67" s="49">
        <v>6548</v>
      </c>
      <c r="Q67" s="49">
        <v>13408</v>
      </c>
      <c r="R67" s="50">
        <v>14429</v>
      </c>
      <c r="S67" s="50">
        <v>31305</v>
      </c>
      <c r="T67" s="49">
        <v>-12071</v>
      </c>
      <c r="U67" s="50">
        <v>20938</v>
      </c>
      <c r="V67" s="49">
        <v>13480</v>
      </c>
      <c r="W67" s="49">
        <v>20034</v>
      </c>
      <c r="X67" s="7">
        <v>-0.28343735728421371</v>
      </c>
      <c r="Y67" s="9">
        <v>0.1599711074759407</v>
      </c>
      <c r="Z67" s="8">
        <v>-1.7380634054321331E-2</v>
      </c>
      <c r="AA67" s="8">
        <v>-0.2100760456273765</v>
      </c>
    </row>
    <row r="68" spans="2:27" x14ac:dyDescent="0.3">
      <c r="B68" s="12">
        <v>6707</v>
      </c>
      <c r="C68" s="3" t="s">
        <v>409</v>
      </c>
      <c r="D68" s="3" t="str">
        <f>VLOOKUP(B68,기업리스트!B:G,2,FALSE)</f>
        <v>Sanken Electric Co., Ltd.</v>
      </c>
      <c r="E68" s="3" t="s">
        <v>396</v>
      </c>
      <c r="F68" s="5">
        <v>-111.5</v>
      </c>
      <c r="G68" s="49">
        <v>3230</v>
      </c>
      <c r="H68" s="49">
        <v>4041</v>
      </c>
      <c r="I68" s="49">
        <v>936</v>
      </c>
      <c r="J68" s="49">
        <v>7261</v>
      </c>
      <c r="K68" s="50">
        <v>8667</v>
      </c>
      <c r="L68" s="50">
        <v>9293</v>
      </c>
      <c r="M68" s="50">
        <v>8529</v>
      </c>
      <c r="N68" s="49">
        <v>8629</v>
      </c>
      <c r="O68" s="49">
        <v>4629</v>
      </c>
      <c r="P68" s="49">
        <v>-2247</v>
      </c>
      <c r="Q68" s="49">
        <v>-4639</v>
      </c>
      <c r="R68" s="49">
        <v>-1019</v>
      </c>
      <c r="S68" s="50">
        <v>234</v>
      </c>
      <c r="T68" s="49">
        <v>1636</v>
      </c>
      <c r="U68" s="49">
        <v>-387</v>
      </c>
      <c r="V68" s="50">
        <v>-530</v>
      </c>
      <c r="W68" s="49">
        <v>-829</v>
      </c>
      <c r="X68" s="7">
        <v>-0.50619215226176517</v>
      </c>
      <c r="Y68" s="8">
        <v>-1.1224920802534319</v>
      </c>
      <c r="Z68" s="9">
        <v>1.053879310344827</v>
      </c>
      <c r="AA68" s="8">
        <v>-1.115424973767051</v>
      </c>
    </row>
    <row r="69" spans="2:27" x14ac:dyDescent="0.3">
      <c r="B69" s="26">
        <v>5713</v>
      </c>
      <c r="C69" s="19" t="s">
        <v>409</v>
      </c>
      <c r="D69" s="19" t="str">
        <f>VLOOKUP(B69,기업리스트!B:G,2,FALSE)</f>
        <v>Sumitomo Metal Mining Co., Ltd.</v>
      </c>
      <c r="E69" s="19" t="s">
        <v>396</v>
      </c>
      <c r="F69" s="20">
        <v>-435.5</v>
      </c>
      <c r="G69" s="53">
        <v>51838</v>
      </c>
      <c r="H69" s="53">
        <v>62611</v>
      </c>
      <c r="I69" s="53">
        <v>66150</v>
      </c>
      <c r="J69" s="53">
        <v>51587</v>
      </c>
      <c r="K69" s="53">
        <v>55306</v>
      </c>
      <c r="L69" s="53">
        <v>7740</v>
      </c>
      <c r="M69" s="53">
        <v>19783</v>
      </c>
      <c r="N69" s="53">
        <v>24342</v>
      </c>
      <c r="O69" s="53">
        <v>38315</v>
      </c>
      <c r="P69" s="54">
        <v>29317</v>
      </c>
      <c r="Q69" s="53">
        <v>29981</v>
      </c>
      <c r="R69" s="53">
        <v>24174</v>
      </c>
      <c r="S69" s="53">
        <v>-39783</v>
      </c>
      <c r="T69" s="53">
        <v>-30091</v>
      </c>
      <c r="U69" s="54">
        <v>16149</v>
      </c>
      <c r="V69" s="53">
        <v>28962</v>
      </c>
      <c r="W69" s="53">
        <v>68068</v>
      </c>
      <c r="X69" s="22">
        <v>-1.359793082927053</v>
      </c>
      <c r="Y69" s="28">
        <v>0.87995419555951404</v>
      </c>
      <c r="Z69" s="23">
        <v>-0.16202497377415309</v>
      </c>
      <c r="AA69" s="23">
        <v>-4.3553285143157128</v>
      </c>
    </row>
    <row r="70" spans="2:27" x14ac:dyDescent="0.3">
      <c r="B70" s="12" t="s">
        <v>436</v>
      </c>
      <c r="C70" s="3" t="s">
        <v>411</v>
      </c>
      <c r="D70" s="3" t="str">
        <f>VLOOKUP(B70,기업리스트!B:G,2,FALSE)</f>
        <v>Prime Focus Limited</v>
      </c>
      <c r="E70" s="3" t="s">
        <v>396</v>
      </c>
      <c r="F70" s="13">
        <v>15.3</v>
      </c>
      <c r="G70" s="49">
        <v>1039</v>
      </c>
      <c r="H70" s="49">
        <v>1972</v>
      </c>
      <c r="I70" s="49">
        <v>701.09</v>
      </c>
      <c r="J70" s="49">
        <v>795.13</v>
      </c>
      <c r="K70" s="49">
        <v>910.87</v>
      </c>
      <c r="L70" s="50">
        <v>2819</v>
      </c>
      <c r="M70" s="49">
        <v>469.89</v>
      </c>
      <c r="N70" s="49">
        <v>-844.12</v>
      </c>
      <c r="O70" s="49">
        <v>-902.38</v>
      </c>
      <c r="P70" s="49">
        <v>-1176</v>
      </c>
      <c r="Q70" s="50">
        <v>-272.32</v>
      </c>
      <c r="R70" s="49">
        <v>816.82</v>
      </c>
      <c r="S70" s="49">
        <v>1506</v>
      </c>
      <c r="T70" s="50">
        <v>762.86</v>
      </c>
      <c r="U70" s="50">
        <v>1191</v>
      </c>
      <c r="V70" s="50">
        <v>1567</v>
      </c>
      <c r="W70" s="50">
        <v>2273</v>
      </c>
      <c r="X70" s="10">
        <v>2.217106918238994</v>
      </c>
      <c r="Y70" s="9">
        <v>0.52013251059231669</v>
      </c>
      <c r="Z70" s="9">
        <v>0.17541176800695851</v>
      </c>
      <c r="AA70" s="9">
        <v>0.152580338421997</v>
      </c>
    </row>
    <row r="71" spans="2:27" x14ac:dyDescent="0.3">
      <c r="B71" s="12" t="s">
        <v>437</v>
      </c>
      <c r="C71" s="3" t="s">
        <v>411</v>
      </c>
      <c r="D71" s="3" t="str">
        <f>VLOOKUP(B71,기업리스트!B:G,2,FALSE)</f>
        <v>Engineers India Limited</v>
      </c>
      <c r="E71" s="3" t="s">
        <v>395</v>
      </c>
      <c r="F71" s="13">
        <v>11</v>
      </c>
      <c r="G71" s="49">
        <v>562.23</v>
      </c>
      <c r="H71" s="49">
        <v>586.02</v>
      </c>
      <c r="I71" s="49">
        <v>1231</v>
      </c>
      <c r="J71" s="49">
        <v>416.19</v>
      </c>
      <c r="K71" s="49">
        <v>381.53</v>
      </c>
      <c r="L71" s="49">
        <v>430.47</v>
      </c>
      <c r="M71" s="50">
        <v>1776</v>
      </c>
      <c r="N71" s="49">
        <v>634.77</v>
      </c>
      <c r="O71" s="50">
        <v>902.44</v>
      </c>
      <c r="P71" s="49">
        <v>416.05</v>
      </c>
      <c r="Q71" s="49">
        <v>874.33</v>
      </c>
      <c r="R71" s="49">
        <v>411.71</v>
      </c>
      <c r="S71" s="49">
        <v>528.49</v>
      </c>
      <c r="T71" s="50">
        <v>883.95</v>
      </c>
      <c r="U71" s="50">
        <v>3127</v>
      </c>
      <c r="V71" s="49">
        <v>615.39</v>
      </c>
      <c r="W71" s="50">
        <v>1096</v>
      </c>
      <c r="X71" s="10">
        <v>0.20976606981143919</v>
      </c>
      <c r="Y71" s="9">
        <v>0.83479217930093963</v>
      </c>
      <c r="Z71" s="8">
        <v>4.1137917453520911E-2</v>
      </c>
      <c r="AA71" s="9">
        <v>0.1100928643621613</v>
      </c>
    </row>
    <row r="72" spans="2:27" x14ac:dyDescent="0.3">
      <c r="B72" s="12" t="s">
        <v>435</v>
      </c>
      <c r="C72" s="3" t="s">
        <v>411</v>
      </c>
      <c r="D72" s="3" t="str">
        <f>VLOOKUP(B72,기업리스트!B:G,2,FALSE)</f>
        <v>Techno Electric &amp; Engineering Company Limited</v>
      </c>
      <c r="E72" s="3" t="s">
        <v>395</v>
      </c>
      <c r="F72" s="13">
        <v>11</v>
      </c>
      <c r="G72" s="49">
        <v>752.17</v>
      </c>
      <c r="H72" s="49">
        <v>323.19</v>
      </c>
      <c r="I72" s="49">
        <v>0</v>
      </c>
      <c r="J72" s="49">
        <v>374.2</v>
      </c>
      <c r="K72" s="49">
        <v>607.29</v>
      </c>
      <c r="L72" s="49">
        <v>214.29</v>
      </c>
      <c r="M72" s="49">
        <v>61.07</v>
      </c>
      <c r="N72" s="49">
        <v>191.27</v>
      </c>
      <c r="O72" s="50">
        <v>756.84</v>
      </c>
      <c r="P72" s="50">
        <v>543.44000000000005</v>
      </c>
      <c r="Q72" s="50">
        <v>524.15</v>
      </c>
      <c r="R72" s="50">
        <v>504.11</v>
      </c>
      <c r="S72" s="49">
        <v>681.83</v>
      </c>
      <c r="T72" s="50">
        <v>877.3</v>
      </c>
      <c r="U72" s="50">
        <v>1249</v>
      </c>
      <c r="V72" s="50">
        <v>903.4</v>
      </c>
      <c r="W72" s="50">
        <v>1089</v>
      </c>
      <c r="X72" s="10">
        <v>0.14814979166019529</v>
      </c>
      <c r="Y72" s="9">
        <v>0.28014717533885491</v>
      </c>
      <c r="Z72" s="9">
        <v>0.1205498393836195</v>
      </c>
      <c r="AA72" s="9">
        <v>0.10970408429946681</v>
      </c>
    </row>
    <row r="73" spans="2:27" x14ac:dyDescent="0.3">
      <c r="B73" s="12" t="s">
        <v>152</v>
      </c>
      <c r="C73" s="3" t="s">
        <v>411</v>
      </c>
      <c r="D73" s="3" t="str">
        <f>VLOOKUP(B73,기업리스트!B:G,2,FALSE)</f>
        <v>Pfizer Limited</v>
      </c>
      <c r="E73" s="3" t="s">
        <v>396</v>
      </c>
      <c r="F73" s="13">
        <v>10.9</v>
      </c>
      <c r="G73" s="49">
        <v>1680</v>
      </c>
      <c r="H73" s="49">
        <v>1333</v>
      </c>
      <c r="I73" s="49">
        <v>1653</v>
      </c>
      <c r="J73" s="49">
        <v>2054</v>
      </c>
      <c r="K73" s="49">
        <v>1771</v>
      </c>
      <c r="L73" s="49">
        <v>1567</v>
      </c>
      <c r="M73" s="49">
        <v>951.6</v>
      </c>
      <c r="N73" s="49">
        <v>1672</v>
      </c>
      <c r="O73" s="49">
        <v>1350</v>
      </c>
      <c r="P73" s="49">
        <v>1797</v>
      </c>
      <c r="Q73" s="50">
        <v>1629</v>
      </c>
      <c r="R73" s="49">
        <v>1743</v>
      </c>
      <c r="S73" s="49">
        <v>1312</v>
      </c>
      <c r="T73" s="49">
        <v>2128</v>
      </c>
      <c r="U73" s="49">
        <v>1956</v>
      </c>
      <c r="V73" s="49">
        <v>2157</v>
      </c>
      <c r="W73" s="50">
        <v>2139</v>
      </c>
      <c r="X73" s="7">
        <v>5.1072365375713691E-2</v>
      </c>
      <c r="Y73" s="8">
        <v>4.8003523194362963E-2</v>
      </c>
      <c r="Z73" s="8">
        <v>5.7991315310267577E-2</v>
      </c>
      <c r="AA73" s="9">
        <v>0.1094929167218324</v>
      </c>
    </row>
    <row r="74" spans="2:27" x14ac:dyDescent="0.3">
      <c r="B74" s="12" t="s">
        <v>200</v>
      </c>
      <c r="C74" s="3" t="s">
        <v>411</v>
      </c>
      <c r="D74" s="3" t="str">
        <f>VLOOKUP(B74,기업리스트!B:G,2,FALSE)</f>
        <v>E.I.D.- Parry (India) Limited</v>
      </c>
      <c r="E74" s="3" t="s">
        <v>395</v>
      </c>
      <c r="F74" s="5">
        <v>7.8</v>
      </c>
      <c r="G74" s="49">
        <v>6642</v>
      </c>
      <c r="H74" s="49">
        <v>5297</v>
      </c>
      <c r="I74" s="49">
        <v>5241</v>
      </c>
      <c r="J74" s="49">
        <v>6159</v>
      </c>
      <c r="K74" s="49">
        <v>8577</v>
      </c>
      <c r="L74" s="50">
        <v>8229</v>
      </c>
      <c r="M74" s="49">
        <v>5212</v>
      </c>
      <c r="N74" s="49">
        <v>5738</v>
      </c>
      <c r="O74" s="49">
        <v>9562</v>
      </c>
      <c r="P74" s="49">
        <v>3087</v>
      </c>
      <c r="Q74" s="49">
        <v>3560</v>
      </c>
      <c r="R74" s="49">
        <v>3665</v>
      </c>
      <c r="S74" s="49">
        <v>8485</v>
      </c>
      <c r="T74" s="50">
        <v>5716</v>
      </c>
      <c r="U74" s="49">
        <v>3883</v>
      </c>
      <c r="V74" s="50">
        <v>6296</v>
      </c>
      <c r="W74" s="49">
        <v>10397</v>
      </c>
      <c r="X74" s="10">
        <v>0.13986274405490229</v>
      </c>
      <c r="Y74" s="8">
        <v>1.50751423504154E-2</v>
      </c>
      <c r="Z74" s="9">
        <v>0.1209710791300749</v>
      </c>
      <c r="AA74" s="8">
        <v>7.84249384741591E-2</v>
      </c>
    </row>
    <row r="75" spans="2:27" x14ac:dyDescent="0.3">
      <c r="B75" s="12" t="s">
        <v>198</v>
      </c>
      <c r="C75" s="3" t="s">
        <v>411</v>
      </c>
      <c r="D75" s="3" t="str">
        <f>VLOOKUP(B75,기업리스트!B:G,2,FALSE)</f>
        <v>Kirloskar Oil Engines Limited</v>
      </c>
      <c r="E75" s="3" t="s">
        <v>395</v>
      </c>
      <c r="F75" s="5">
        <v>7.6</v>
      </c>
      <c r="G75" s="49">
        <v>719.5</v>
      </c>
      <c r="H75" s="49">
        <v>628.1</v>
      </c>
      <c r="I75" s="49">
        <v>1192</v>
      </c>
      <c r="J75" s="49">
        <v>1464</v>
      </c>
      <c r="K75" s="50">
        <v>1545</v>
      </c>
      <c r="L75" s="50">
        <v>1666</v>
      </c>
      <c r="M75" s="49">
        <v>1652</v>
      </c>
      <c r="N75" s="50">
        <v>2374</v>
      </c>
      <c r="O75" s="49">
        <v>1719</v>
      </c>
      <c r="P75" s="49">
        <v>2256</v>
      </c>
      <c r="Q75" s="50">
        <v>2731</v>
      </c>
      <c r="R75" s="49">
        <v>2927</v>
      </c>
      <c r="S75" s="49">
        <v>2603</v>
      </c>
      <c r="T75" s="49">
        <v>2175</v>
      </c>
      <c r="U75" s="49">
        <v>2749</v>
      </c>
      <c r="V75" s="49">
        <v>2870</v>
      </c>
      <c r="W75" s="49">
        <v>3397</v>
      </c>
      <c r="X75" s="7">
        <v>-7.7018161072549551E-3</v>
      </c>
      <c r="Y75" s="8">
        <v>1.724798773476532E-3</v>
      </c>
      <c r="Z75" s="8">
        <v>-5.45245838913333E-3</v>
      </c>
      <c r="AA75" s="8">
        <v>7.6368183129748912E-2</v>
      </c>
    </row>
    <row r="76" spans="2:27" x14ac:dyDescent="0.3">
      <c r="B76" s="12" t="s">
        <v>63</v>
      </c>
      <c r="C76" s="3" t="s">
        <v>411</v>
      </c>
      <c r="D76" s="3" t="str">
        <f>VLOOKUP(B76,기업리스트!B:G,2,FALSE)</f>
        <v>Zydus Lifesciences Limited</v>
      </c>
      <c r="E76" s="3" t="s">
        <v>396</v>
      </c>
      <c r="F76" s="5">
        <v>5.3</v>
      </c>
      <c r="G76" s="49">
        <v>5693</v>
      </c>
      <c r="H76" s="49">
        <v>4785</v>
      </c>
      <c r="I76" s="49">
        <v>6523</v>
      </c>
      <c r="J76" s="49">
        <v>6335</v>
      </c>
      <c r="K76" s="49">
        <v>7744</v>
      </c>
      <c r="L76" s="50">
        <v>7926</v>
      </c>
      <c r="M76" s="50">
        <v>13526</v>
      </c>
      <c r="N76" s="49">
        <v>8797</v>
      </c>
      <c r="O76" s="49">
        <v>8870</v>
      </c>
      <c r="P76" s="50">
        <v>14199</v>
      </c>
      <c r="Q76" s="50">
        <v>18939</v>
      </c>
      <c r="R76" s="49">
        <v>11824</v>
      </c>
      <c r="S76" s="49">
        <v>9760</v>
      </c>
      <c r="T76" s="49">
        <v>19079</v>
      </c>
      <c r="U76" s="49">
        <v>17933</v>
      </c>
      <c r="V76" s="49">
        <v>12998</v>
      </c>
      <c r="W76" s="49">
        <v>12924</v>
      </c>
      <c r="X76" s="7">
        <v>8.9178027118891778E-2</v>
      </c>
      <c r="Y76" s="8">
        <v>-1.687862823395192E-2</v>
      </c>
      <c r="Z76" s="8">
        <v>2.003549730357013E-2</v>
      </c>
      <c r="AA76" s="8">
        <v>5.2936255646645503E-2</v>
      </c>
    </row>
    <row r="77" spans="2:27" x14ac:dyDescent="0.3">
      <c r="B77" s="12" t="s">
        <v>342</v>
      </c>
      <c r="C77" s="3" t="s">
        <v>411</v>
      </c>
      <c r="D77" s="3" t="str">
        <f>VLOOKUP(B77,기업리스트!B:G,2,FALSE)</f>
        <v>Vertoz Limited</v>
      </c>
      <c r="E77" s="3" t="s">
        <v>396</v>
      </c>
      <c r="F77" s="5">
        <v>4.5999999999999996</v>
      </c>
      <c r="G77" s="49">
        <v>23.85</v>
      </c>
      <c r="H77" s="49">
        <v>21.12</v>
      </c>
      <c r="I77" s="49">
        <v>20.7</v>
      </c>
      <c r="J77" s="49">
        <v>34.85</v>
      </c>
      <c r="K77" s="50">
        <v>36.78</v>
      </c>
      <c r="L77" s="50">
        <v>66.63</v>
      </c>
      <c r="M77" s="49">
        <v>33.020000000000003</v>
      </c>
      <c r="N77" s="50">
        <v>57.73</v>
      </c>
      <c r="O77" s="49">
        <v>47.37</v>
      </c>
      <c r="P77" s="49">
        <v>23.85</v>
      </c>
      <c r="Q77" s="50">
        <v>61.48</v>
      </c>
      <c r="R77" s="49">
        <v>44.17</v>
      </c>
      <c r="S77" s="50">
        <v>70.599999999999994</v>
      </c>
      <c r="T77" s="50">
        <v>73.03</v>
      </c>
      <c r="U77" s="49">
        <v>74.64</v>
      </c>
      <c r="V77" s="50">
        <v>71.61</v>
      </c>
      <c r="W77" s="49">
        <v>84</v>
      </c>
      <c r="X77" s="10">
        <v>0.24577711144427791</v>
      </c>
      <c r="Y77" s="8">
        <v>5.2792041078305603E-2</v>
      </c>
      <c r="Z77" s="9">
        <v>0.1045572321292485</v>
      </c>
      <c r="AA77" s="8">
        <v>4.6226024561887513E-2</v>
      </c>
    </row>
    <row r="78" spans="2:27" x14ac:dyDescent="0.3">
      <c r="B78" s="12" t="s">
        <v>262</v>
      </c>
      <c r="C78" s="3" t="s">
        <v>411</v>
      </c>
      <c r="D78" s="3" t="str">
        <f>VLOOKUP(B78,기업리스트!B:G,2,FALSE)</f>
        <v>ESAB India Limited</v>
      </c>
      <c r="E78" s="3" t="s">
        <v>395</v>
      </c>
      <c r="F78" s="5">
        <v>4.5999999999999996</v>
      </c>
      <c r="G78" s="49">
        <v>293.8</v>
      </c>
      <c r="H78" s="49">
        <v>234.9</v>
      </c>
      <c r="I78" s="49">
        <v>318.2</v>
      </c>
      <c r="J78" s="49">
        <v>329</v>
      </c>
      <c r="K78" s="50">
        <v>429.8</v>
      </c>
      <c r="L78" s="50">
        <v>486.6</v>
      </c>
      <c r="M78" s="50">
        <v>544</v>
      </c>
      <c r="N78" s="50">
        <v>569.70000000000005</v>
      </c>
      <c r="O78" s="49">
        <v>521.5</v>
      </c>
      <c r="P78" s="49">
        <v>512.20000000000005</v>
      </c>
      <c r="Q78" s="49">
        <v>563.79999999999995</v>
      </c>
      <c r="R78" s="49">
        <v>587.4</v>
      </c>
      <c r="S78" s="49">
        <v>576.79999999999995</v>
      </c>
      <c r="T78" s="49">
        <v>513.70000000000005</v>
      </c>
      <c r="U78" s="49">
        <v>639.5</v>
      </c>
      <c r="V78" s="49">
        <v>548.79999999999995</v>
      </c>
      <c r="W78" s="49">
        <v>681.8</v>
      </c>
      <c r="X78" s="7">
        <v>6.69583072939961E-4</v>
      </c>
      <c r="Y78" s="8">
        <v>3.3769014587143882E-2</v>
      </c>
      <c r="Z78" s="8">
        <v>-1.6656597911452461E-2</v>
      </c>
      <c r="AA78" s="8">
        <v>4.6076882569773492E-2</v>
      </c>
    </row>
    <row r="79" spans="2:27" x14ac:dyDescent="0.3">
      <c r="B79" s="12" t="s">
        <v>265</v>
      </c>
      <c r="C79" s="3" t="s">
        <v>411</v>
      </c>
      <c r="D79" s="3" t="str">
        <f>VLOOKUP(B79,기업리스트!B:G,2,FALSE)</f>
        <v>Time Technoplast Limited</v>
      </c>
      <c r="E79" s="3" t="s">
        <v>395</v>
      </c>
      <c r="F79" s="5">
        <v>3.6</v>
      </c>
      <c r="G79" s="49">
        <v>920.9</v>
      </c>
      <c r="H79" s="49">
        <v>971.3</v>
      </c>
      <c r="I79" s="49">
        <v>993.24</v>
      </c>
      <c r="J79" s="49">
        <v>834.9</v>
      </c>
      <c r="K79" s="49">
        <v>921.4</v>
      </c>
      <c r="L79" s="49">
        <v>1098</v>
      </c>
      <c r="M79" s="49">
        <v>1232</v>
      </c>
      <c r="N79" s="49">
        <v>1028</v>
      </c>
      <c r="O79" s="49">
        <v>1214</v>
      </c>
      <c r="P79" s="49">
        <v>1507</v>
      </c>
      <c r="Q79" s="49">
        <v>1464</v>
      </c>
      <c r="R79" s="49">
        <v>1335</v>
      </c>
      <c r="S79" s="49">
        <v>1554</v>
      </c>
      <c r="T79" s="49">
        <v>1577</v>
      </c>
      <c r="U79" s="49">
        <v>1739</v>
      </c>
      <c r="V79" s="49">
        <v>1512</v>
      </c>
      <c r="W79" s="49">
        <v>1781</v>
      </c>
      <c r="X79" s="7">
        <v>1.194539249146764E-2</v>
      </c>
      <c r="Y79" s="8">
        <v>4.637436762225966E-2</v>
      </c>
      <c r="Z79" s="8">
        <v>2.852538275584204E-2</v>
      </c>
      <c r="AA79" s="8">
        <v>3.5568787214039548E-2</v>
      </c>
    </row>
    <row r="80" spans="2:27" x14ac:dyDescent="0.3">
      <c r="B80" s="12" t="s">
        <v>311</v>
      </c>
      <c r="C80" s="3" t="s">
        <v>411</v>
      </c>
      <c r="D80" s="3" t="str">
        <f>VLOOKUP(B80,기업리스트!B:G,2,FALSE)</f>
        <v>Power Mech Projects Limited</v>
      </c>
      <c r="E80" s="3" t="s">
        <v>395</v>
      </c>
      <c r="F80" s="5">
        <v>3.2</v>
      </c>
      <c r="G80" s="49">
        <v>484.9</v>
      </c>
      <c r="H80" s="49">
        <v>586.30999999999995</v>
      </c>
      <c r="I80" s="49">
        <v>884.98</v>
      </c>
      <c r="J80" s="49">
        <v>735.92</v>
      </c>
      <c r="K80" s="50">
        <v>765.42</v>
      </c>
      <c r="L80" s="50">
        <v>923.82</v>
      </c>
      <c r="M80" s="49">
        <v>1197</v>
      </c>
      <c r="N80" s="49">
        <v>890.77</v>
      </c>
      <c r="O80" s="49">
        <v>1033</v>
      </c>
      <c r="P80" s="49">
        <v>1221</v>
      </c>
      <c r="Q80" s="49">
        <v>1416</v>
      </c>
      <c r="R80" s="49">
        <v>1013</v>
      </c>
      <c r="S80" s="49">
        <v>1104</v>
      </c>
      <c r="T80" s="49">
        <v>1369</v>
      </c>
      <c r="U80" s="50">
        <v>2024</v>
      </c>
      <c r="V80" s="49">
        <v>1546</v>
      </c>
      <c r="W80" s="49">
        <v>1296</v>
      </c>
      <c r="X80" s="7">
        <v>3.1131678586453489E-2</v>
      </c>
      <c r="Y80" s="9">
        <v>0.124031007751938</v>
      </c>
      <c r="Z80" s="8">
        <v>9.6733212341197916E-2</v>
      </c>
      <c r="AA80" s="8">
        <v>3.1772298527221521E-2</v>
      </c>
    </row>
    <row r="81" spans="2:27" x14ac:dyDescent="0.3">
      <c r="B81" s="12" t="s">
        <v>324</v>
      </c>
      <c r="C81" s="3" t="s">
        <v>411</v>
      </c>
      <c r="D81" s="3" t="str">
        <f>VLOOKUP(B81,기업리스트!B:G,2,FALSE)</f>
        <v>Indigo Paints Limited</v>
      </c>
      <c r="E81" s="3" t="s">
        <v>395</v>
      </c>
      <c r="F81" s="5">
        <v>3.1</v>
      </c>
      <c r="G81" s="49">
        <v>156.72999999999999</v>
      </c>
      <c r="H81" s="49">
        <v>308.06</v>
      </c>
      <c r="I81" s="49">
        <v>455</v>
      </c>
      <c r="J81" s="49">
        <v>268.48</v>
      </c>
      <c r="K81" s="49">
        <v>252.82</v>
      </c>
      <c r="L81" s="49">
        <v>318.45999999999998</v>
      </c>
      <c r="M81" s="50">
        <v>630.1</v>
      </c>
      <c r="N81" s="49">
        <v>390.13</v>
      </c>
      <c r="O81" s="49">
        <v>308.39999999999998</v>
      </c>
      <c r="P81" s="49">
        <v>476.27</v>
      </c>
      <c r="Q81" s="49">
        <v>690.06</v>
      </c>
      <c r="R81" s="49">
        <v>321.18</v>
      </c>
      <c r="S81" s="49">
        <v>261.48</v>
      </c>
      <c r="T81" s="49">
        <v>425.06</v>
      </c>
      <c r="U81" s="49">
        <v>741.88</v>
      </c>
      <c r="V81" s="49">
        <v>294.87</v>
      </c>
      <c r="W81" s="49">
        <v>314.81</v>
      </c>
      <c r="X81" s="7">
        <v>-2.927975574474417E-2</v>
      </c>
      <c r="Y81" s="8">
        <v>3.052221135836208E-2</v>
      </c>
      <c r="Z81" s="8">
        <v>-1.5037722908093239E-2</v>
      </c>
      <c r="AA81" s="8">
        <v>3.0946619547493451E-2</v>
      </c>
    </row>
    <row r="82" spans="2:27" x14ac:dyDescent="0.3">
      <c r="B82" s="12" t="s">
        <v>290</v>
      </c>
      <c r="C82" s="3" t="s">
        <v>411</v>
      </c>
      <c r="D82" s="3" t="str">
        <f>VLOOKUP(B82,기업리스트!B:G,2,FALSE)</f>
        <v>Happiest Minds Technologies Limited</v>
      </c>
      <c r="E82" s="3" t="s">
        <v>395</v>
      </c>
      <c r="F82" s="5">
        <v>2.8</v>
      </c>
      <c r="G82" s="49">
        <v>521.9</v>
      </c>
      <c r="H82" s="49">
        <v>595</v>
      </c>
      <c r="I82" s="49">
        <v>634.4</v>
      </c>
      <c r="J82" s="49">
        <v>745.9</v>
      </c>
      <c r="K82" s="50">
        <v>808.1</v>
      </c>
      <c r="L82" s="49">
        <v>795.4</v>
      </c>
      <c r="M82" s="49">
        <v>792.4</v>
      </c>
      <c r="N82" s="49">
        <v>750.9</v>
      </c>
      <c r="O82" s="49">
        <v>680.6</v>
      </c>
      <c r="P82" s="49">
        <v>660.9</v>
      </c>
      <c r="Q82" s="49">
        <v>683.3</v>
      </c>
      <c r="R82" s="49">
        <v>628</v>
      </c>
      <c r="S82" s="49">
        <v>686.8</v>
      </c>
      <c r="T82" s="49">
        <v>729.1</v>
      </c>
      <c r="U82" s="49">
        <v>613.29999999999995</v>
      </c>
      <c r="V82" s="49">
        <v>716.6</v>
      </c>
      <c r="W82" s="49">
        <v>764.6</v>
      </c>
      <c r="X82" s="7">
        <v>2.564874012786755E-2</v>
      </c>
      <c r="Y82" s="8">
        <v>-2.5667351129363469E-2</v>
      </c>
      <c r="Z82" s="8">
        <v>3.3343368959807503E-2</v>
      </c>
      <c r="AA82" s="8">
        <v>2.8334183116031749E-2</v>
      </c>
    </row>
    <row r="83" spans="2:27" x14ac:dyDescent="0.3">
      <c r="B83" s="12" t="s">
        <v>166</v>
      </c>
      <c r="C83" s="3" t="s">
        <v>411</v>
      </c>
      <c r="D83" s="3" t="str">
        <f>VLOOKUP(B83,기업리스트!B:G,2,FALSE)</f>
        <v>Schneider Electric Infrastructure Limited</v>
      </c>
      <c r="E83" s="3" t="s">
        <v>395</v>
      </c>
      <c r="F83" s="5">
        <v>2.6</v>
      </c>
      <c r="G83" s="49">
        <v>-4.6399999999999997</v>
      </c>
      <c r="H83" s="49">
        <v>628.07000000000005</v>
      </c>
      <c r="I83" s="49">
        <v>157.82</v>
      </c>
      <c r="J83" s="49">
        <v>240.73</v>
      </c>
      <c r="K83" s="50">
        <v>148.69999999999999</v>
      </c>
      <c r="L83" s="49">
        <v>543.79</v>
      </c>
      <c r="M83" s="50">
        <v>598.28</v>
      </c>
      <c r="N83" s="50">
        <v>443.7</v>
      </c>
      <c r="O83" s="50">
        <v>569.4</v>
      </c>
      <c r="P83" s="50">
        <v>1047</v>
      </c>
      <c r="Q83" s="49">
        <v>695.8</v>
      </c>
      <c r="R83" s="50">
        <v>758.5</v>
      </c>
      <c r="S83" s="49">
        <v>678.7</v>
      </c>
      <c r="T83" s="49">
        <v>1334</v>
      </c>
      <c r="U83" s="49">
        <v>838.6</v>
      </c>
      <c r="V83" s="49">
        <v>623.6</v>
      </c>
      <c r="W83" s="49">
        <v>767.6</v>
      </c>
      <c r="X83" s="7">
        <v>9.0251572327044061E-2</v>
      </c>
      <c r="Y83" s="8">
        <v>4.1188347274300652E-2</v>
      </c>
      <c r="Z83" s="8">
        <v>-3.7370491439968963E-2</v>
      </c>
      <c r="AA83" s="8">
        <v>2.5583470027914501E-2</v>
      </c>
    </row>
    <row r="84" spans="2:27" x14ac:dyDescent="0.3">
      <c r="B84" s="12" t="s">
        <v>85</v>
      </c>
      <c r="C84" s="3" t="s">
        <v>411</v>
      </c>
      <c r="D84" s="3" t="str">
        <f>VLOOKUP(B84,기업리스트!B:G,2,FALSE)</f>
        <v>Aurobindo Pharma Limited</v>
      </c>
      <c r="E84" s="3" t="s">
        <v>396</v>
      </c>
      <c r="F84" s="5">
        <v>2</v>
      </c>
      <c r="G84" s="49">
        <v>7172</v>
      </c>
      <c r="H84" s="49">
        <v>7670</v>
      </c>
      <c r="I84" s="49">
        <v>6852</v>
      </c>
      <c r="J84" s="49">
        <v>5388</v>
      </c>
      <c r="K84" s="49">
        <v>6330</v>
      </c>
      <c r="L84" s="49">
        <v>6549</v>
      </c>
      <c r="M84" s="49">
        <v>8248</v>
      </c>
      <c r="N84" s="50">
        <v>9857</v>
      </c>
      <c r="O84" s="50">
        <v>11780</v>
      </c>
      <c r="P84" s="50">
        <v>14029</v>
      </c>
      <c r="Q84" s="49">
        <v>12154</v>
      </c>
      <c r="R84" s="49">
        <v>11839</v>
      </c>
      <c r="S84" s="49">
        <v>12093</v>
      </c>
      <c r="T84" s="49">
        <v>14239</v>
      </c>
      <c r="U84" s="49">
        <v>11977</v>
      </c>
      <c r="V84" s="49">
        <v>12489</v>
      </c>
      <c r="W84" s="49">
        <v>13086</v>
      </c>
      <c r="X84" s="7">
        <v>4.1903621670158486E-3</v>
      </c>
      <c r="Y84" s="8">
        <v>-3.5171385991058508E-3</v>
      </c>
      <c r="Z84" s="8">
        <v>1.2961633564648739E-2</v>
      </c>
      <c r="AA84" s="8">
        <v>1.9548013701326861E-2</v>
      </c>
    </row>
    <row r="85" spans="2:27" x14ac:dyDescent="0.3">
      <c r="B85" s="12" t="s">
        <v>117</v>
      </c>
      <c r="C85" s="3" t="s">
        <v>411</v>
      </c>
      <c r="D85" s="3" t="str">
        <f>VLOOKUP(B85,기업리스트!B:G,2,FALSE)</f>
        <v>Cholamandalam Financial Holdings Limited</v>
      </c>
      <c r="E85" s="3" t="s">
        <v>395</v>
      </c>
      <c r="F85" s="5">
        <v>1.8</v>
      </c>
      <c r="G85" s="49">
        <v>8728</v>
      </c>
      <c r="H85" s="49">
        <v>7310</v>
      </c>
      <c r="I85" s="49">
        <v>9137</v>
      </c>
      <c r="J85" s="49">
        <v>7910</v>
      </c>
      <c r="K85" s="49">
        <v>8162</v>
      </c>
      <c r="L85" s="49">
        <v>9721</v>
      </c>
      <c r="M85" s="49">
        <v>12266</v>
      </c>
      <c r="N85" s="49">
        <v>10653</v>
      </c>
      <c r="O85" s="49">
        <v>12158</v>
      </c>
      <c r="P85" s="49">
        <v>13629</v>
      </c>
      <c r="Q85" s="49">
        <v>15506</v>
      </c>
      <c r="R85" s="49">
        <v>15585</v>
      </c>
      <c r="S85" s="49">
        <v>15116</v>
      </c>
      <c r="T85" s="49">
        <v>14693</v>
      </c>
      <c r="U85" s="49">
        <v>17567</v>
      </c>
      <c r="V85" s="49">
        <v>16948</v>
      </c>
      <c r="W85" s="49">
        <v>16298</v>
      </c>
      <c r="X85" s="7">
        <v>1.7781937295273661E-2</v>
      </c>
      <c r="Y85" s="8">
        <v>3.3842364532019609E-2</v>
      </c>
      <c r="Z85" s="8">
        <v>2.164832197709687E-2</v>
      </c>
      <c r="AA85" s="8">
        <v>1.837572290280454E-2</v>
      </c>
    </row>
    <row r="86" spans="2:27" x14ac:dyDescent="0.3">
      <c r="B86" s="12" t="s">
        <v>237</v>
      </c>
      <c r="C86" s="3" t="s">
        <v>411</v>
      </c>
      <c r="D86" s="3" t="str">
        <f>VLOOKUP(B86,기업리스트!B:G,2,FALSE)</f>
        <v>Sansera Engineering Limited</v>
      </c>
      <c r="E86" s="3" t="s">
        <v>395</v>
      </c>
      <c r="F86" s="5">
        <v>0.6</v>
      </c>
      <c r="G86" s="49">
        <v>779.1</v>
      </c>
      <c r="H86" s="49">
        <v>438.28</v>
      </c>
      <c r="I86" s="49">
        <v>659.97</v>
      </c>
      <c r="J86" s="49">
        <v>592.88</v>
      </c>
      <c r="K86" s="49">
        <v>746.34</v>
      </c>
      <c r="L86" s="49">
        <v>535.87</v>
      </c>
      <c r="M86" s="49">
        <v>677.45</v>
      </c>
      <c r="N86" s="49">
        <v>794.83</v>
      </c>
      <c r="O86" s="49">
        <v>807.01</v>
      </c>
      <c r="P86" s="50">
        <v>828.52</v>
      </c>
      <c r="Q86" s="49">
        <v>878.67</v>
      </c>
      <c r="R86" s="49">
        <v>875.69</v>
      </c>
      <c r="S86" s="49">
        <v>905.74</v>
      </c>
      <c r="T86" s="49">
        <v>826.02</v>
      </c>
      <c r="U86" s="49">
        <v>803.72</v>
      </c>
      <c r="V86" s="49">
        <v>844.84</v>
      </c>
      <c r="W86" s="49">
        <v>927.47</v>
      </c>
      <c r="X86" s="7">
        <v>-7.1661573917480847E-4</v>
      </c>
      <c r="Y86" s="8">
        <v>-2.149954677406396E-2</v>
      </c>
      <c r="Z86" s="8">
        <v>-9.0438178103113831E-3</v>
      </c>
      <c r="AA86" s="8">
        <v>6.4283854782978267E-3</v>
      </c>
    </row>
    <row r="87" spans="2:27" x14ac:dyDescent="0.3">
      <c r="B87" s="12" t="s">
        <v>221</v>
      </c>
      <c r="C87" s="3" t="s">
        <v>411</v>
      </c>
      <c r="D87" s="3" t="str">
        <f>VLOOKUP(B87,기업리스트!B:G,2,FALSE)</f>
        <v>Trident Limited</v>
      </c>
      <c r="E87" s="3" t="s">
        <v>395</v>
      </c>
      <c r="F87" s="5">
        <v>0.4</v>
      </c>
      <c r="G87" s="49">
        <v>3185</v>
      </c>
      <c r="H87" s="49">
        <v>3288</v>
      </c>
      <c r="I87" s="49">
        <v>2559</v>
      </c>
      <c r="J87" s="49">
        <v>1847</v>
      </c>
      <c r="K87" s="49">
        <v>724.5</v>
      </c>
      <c r="L87" s="49">
        <v>1890</v>
      </c>
      <c r="M87" s="49">
        <v>1861</v>
      </c>
      <c r="N87" s="49">
        <v>1381</v>
      </c>
      <c r="O87" s="50">
        <v>1487</v>
      </c>
      <c r="P87" s="49">
        <v>1710</v>
      </c>
      <c r="Q87" s="49">
        <v>1069</v>
      </c>
      <c r="R87" s="49">
        <v>1280</v>
      </c>
      <c r="S87" s="49">
        <v>1294</v>
      </c>
      <c r="T87" s="49">
        <v>1139</v>
      </c>
      <c r="U87" s="50">
        <v>1624</v>
      </c>
      <c r="V87" s="50">
        <v>1962</v>
      </c>
      <c r="W87" s="49">
        <v>1317</v>
      </c>
      <c r="X87" s="7">
        <v>-0.106669157481786</v>
      </c>
      <c r="Y87" s="9">
        <v>0.11606022584692589</v>
      </c>
      <c r="Z87" s="9">
        <v>0.12778714633689339</v>
      </c>
      <c r="AA87" s="8">
        <v>3.8212327629174592E-3</v>
      </c>
    </row>
    <row r="88" spans="2:27" x14ac:dyDescent="0.3">
      <c r="B88" s="12" t="s">
        <v>122</v>
      </c>
      <c r="C88" s="3" t="s">
        <v>411</v>
      </c>
      <c r="D88" s="3" t="str">
        <f>VLOOKUP(B88,기업리스트!B:G,2,FALSE)</f>
        <v>K.P.R. Mill Limited</v>
      </c>
      <c r="E88" s="3" t="s">
        <v>396</v>
      </c>
      <c r="F88" s="5">
        <v>-0.8</v>
      </c>
      <c r="G88" s="49">
        <v>2634</v>
      </c>
      <c r="H88" s="49">
        <v>3304</v>
      </c>
      <c r="I88" s="49">
        <v>3195</v>
      </c>
      <c r="J88" s="49">
        <v>2677</v>
      </c>
      <c r="K88" s="49">
        <v>2393</v>
      </c>
      <c r="L88" s="49">
        <v>2792</v>
      </c>
      <c r="M88" s="49">
        <v>2869</v>
      </c>
      <c r="N88" s="49">
        <v>2520</v>
      </c>
      <c r="O88" s="49">
        <v>2229</v>
      </c>
      <c r="P88" s="49">
        <v>3142</v>
      </c>
      <c r="Q88" s="49">
        <v>2637</v>
      </c>
      <c r="R88" s="49">
        <v>2446</v>
      </c>
      <c r="S88" s="49">
        <v>2492</v>
      </c>
      <c r="T88" s="49">
        <v>2976</v>
      </c>
      <c r="U88" s="49">
        <v>2570</v>
      </c>
      <c r="V88" s="49">
        <v>2604</v>
      </c>
      <c r="W88" s="49">
        <v>2403</v>
      </c>
      <c r="X88" s="7">
        <v>-1.5489409349631391E-2</v>
      </c>
      <c r="Y88" s="8">
        <v>-6.3501089944081324E-3</v>
      </c>
      <c r="Z88" s="8">
        <v>1.507058374666159E-2</v>
      </c>
      <c r="AA88" s="8">
        <v>-8.3630896448035896E-3</v>
      </c>
    </row>
    <row r="89" spans="2:27" x14ac:dyDescent="0.3">
      <c r="B89" s="12" t="s">
        <v>142</v>
      </c>
      <c r="C89" s="3" t="s">
        <v>411</v>
      </c>
      <c r="D89" s="3" t="str">
        <f>VLOOKUP(B89,기업리스트!B:G,2,FALSE)</f>
        <v>The Ramco Cements Limited</v>
      </c>
      <c r="E89" s="3" t="s">
        <v>396</v>
      </c>
      <c r="F89" s="5">
        <v>-1.4</v>
      </c>
      <c r="G89" s="49">
        <v>1294</v>
      </c>
      <c r="H89" s="49">
        <v>1990</v>
      </c>
      <c r="I89" s="49">
        <v>1963</v>
      </c>
      <c r="J89" s="49">
        <v>657.3</v>
      </c>
      <c r="K89" s="49">
        <v>1468</v>
      </c>
      <c r="L89" s="50">
        <v>2818</v>
      </c>
      <c r="M89" s="49">
        <v>1938</v>
      </c>
      <c r="N89" s="50">
        <v>2428</v>
      </c>
      <c r="O89" s="49">
        <v>2168</v>
      </c>
      <c r="P89" s="49">
        <v>2748</v>
      </c>
      <c r="Q89" s="49">
        <v>1525</v>
      </c>
      <c r="R89" s="49">
        <v>1446</v>
      </c>
      <c r="S89" s="49">
        <v>1043</v>
      </c>
      <c r="T89" s="49">
        <v>1458</v>
      </c>
      <c r="U89" s="50">
        <v>2136</v>
      </c>
      <c r="V89" s="49">
        <v>2047</v>
      </c>
      <c r="W89" s="49">
        <v>948.9</v>
      </c>
      <c r="X89" s="7">
        <v>-0.1907719609582964</v>
      </c>
      <c r="Y89" s="9">
        <v>0.11165935672514631</v>
      </c>
      <c r="Z89" s="8">
        <v>9.8799934242972176E-2</v>
      </c>
      <c r="AA89" s="8">
        <v>-1.4078396169958211E-2</v>
      </c>
    </row>
    <row r="90" spans="2:27" x14ac:dyDescent="0.3">
      <c r="B90" s="12" t="s">
        <v>302</v>
      </c>
      <c r="C90" s="3" t="s">
        <v>411</v>
      </c>
      <c r="D90" s="3" t="str">
        <f>VLOOKUP(B90,기업리스트!B:G,2,FALSE)</f>
        <v>Galaxy Surfactants Limited</v>
      </c>
      <c r="E90" s="3" t="s">
        <v>395</v>
      </c>
      <c r="F90" s="5">
        <v>-5.2</v>
      </c>
      <c r="G90" s="49">
        <v>527.70000000000005</v>
      </c>
      <c r="H90" s="49">
        <v>586.5</v>
      </c>
      <c r="I90" s="49">
        <v>1266</v>
      </c>
      <c r="J90" s="49">
        <v>1291</v>
      </c>
      <c r="K90" s="50">
        <v>1112</v>
      </c>
      <c r="L90" s="50">
        <v>1325</v>
      </c>
      <c r="M90" s="49">
        <v>1121</v>
      </c>
      <c r="N90" s="49">
        <v>993.8</v>
      </c>
      <c r="O90" s="49">
        <v>1002</v>
      </c>
      <c r="P90" s="49">
        <v>873.6</v>
      </c>
      <c r="Q90" s="49">
        <v>754.4</v>
      </c>
      <c r="R90" s="49">
        <v>975.2</v>
      </c>
      <c r="S90" s="49">
        <v>998.9</v>
      </c>
      <c r="T90" s="49">
        <v>778.9</v>
      </c>
      <c r="U90" s="49">
        <v>985.9</v>
      </c>
      <c r="V90" s="49">
        <v>945.3</v>
      </c>
      <c r="W90" s="49">
        <v>806.9</v>
      </c>
      <c r="X90" s="7">
        <v>-2.6290219594125589E-2</v>
      </c>
      <c r="Y90" s="8">
        <v>6.6003307293151625E-2</v>
      </c>
      <c r="Z90" s="8">
        <v>-7.9970044665543805E-3</v>
      </c>
      <c r="AA90" s="8">
        <v>-5.1765974656241547E-2</v>
      </c>
    </row>
    <row r="91" spans="2:27" x14ac:dyDescent="0.3">
      <c r="B91" s="12" t="s">
        <v>150</v>
      </c>
      <c r="C91" s="3" t="s">
        <v>411</v>
      </c>
      <c r="D91" s="3" t="str">
        <f>VLOOKUP(B91,기업리스트!B:G,2,FALSE)</f>
        <v>EIH Limited</v>
      </c>
      <c r="E91" s="3" t="s">
        <v>395</v>
      </c>
      <c r="F91" s="5">
        <v>-5.6</v>
      </c>
      <c r="G91" s="49">
        <v>-233.8</v>
      </c>
      <c r="H91" s="49">
        <v>673.4</v>
      </c>
      <c r="I91" s="49">
        <v>0</v>
      </c>
      <c r="J91" s="49">
        <v>861.9</v>
      </c>
      <c r="K91" s="50">
        <v>690.1</v>
      </c>
      <c r="L91" s="50">
        <v>1943</v>
      </c>
      <c r="M91" s="50">
        <v>2160</v>
      </c>
      <c r="N91" s="50">
        <v>1480</v>
      </c>
      <c r="O91" s="49">
        <v>1317</v>
      </c>
      <c r="P91" s="50">
        <v>3192</v>
      </c>
      <c r="Q91" s="49">
        <v>2661</v>
      </c>
      <c r="R91" s="49">
        <v>1349</v>
      </c>
      <c r="S91" s="49">
        <v>1743</v>
      </c>
      <c r="T91" s="49">
        <v>3536</v>
      </c>
      <c r="U91" s="49">
        <v>2912</v>
      </c>
      <c r="V91" s="49">
        <v>1619</v>
      </c>
      <c r="W91" s="49">
        <v>1192</v>
      </c>
      <c r="X91" s="7">
        <v>3.8457238680827288E-2</v>
      </c>
      <c r="Y91" s="8">
        <v>2.70212078802885E-2</v>
      </c>
      <c r="Z91" s="8">
        <v>2.8301886792452931E-2</v>
      </c>
      <c r="AA91" s="8">
        <v>-5.6167176350662602E-2</v>
      </c>
    </row>
    <row r="92" spans="2:27" x14ac:dyDescent="0.3">
      <c r="B92" s="12" t="s">
        <v>338</v>
      </c>
      <c r="C92" s="3" t="s">
        <v>411</v>
      </c>
      <c r="D92" s="3" t="str">
        <f>VLOOKUP(B92,기업리스트!B:G,2,FALSE)</f>
        <v>PNC Infratech Limited</v>
      </c>
      <c r="E92" s="3" t="s">
        <v>395</v>
      </c>
      <c r="F92" s="5">
        <v>-6.9</v>
      </c>
      <c r="G92" s="49">
        <v>2696</v>
      </c>
      <c r="H92" s="49">
        <v>2098</v>
      </c>
      <c r="I92" s="49">
        <v>4388</v>
      </c>
      <c r="J92" s="49">
        <v>4141</v>
      </c>
      <c r="K92" s="49">
        <v>2785</v>
      </c>
      <c r="L92" s="49">
        <v>3003</v>
      </c>
      <c r="M92" s="49">
        <v>3538</v>
      </c>
      <c r="N92" s="49">
        <v>3888</v>
      </c>
      <c r="O92" s="49">
        <v>3589</v>
      </c>
      <c r="P92" s="49">
        <v>3882</v>
      </c>
      <c r="Q92" s="50">
        <v>7060</v>
      </c>
      <c r="R92" s="50">
        <v>9282</v>
      </c>
      <c r="S92" s="49">
        <v>3166</v>
      </c>
      <c r="T92" s="49">
        <v>3051</v>
      </c>
      <c r="U92" s="49">
        <v>3432</v>
      </c>
      <c r="V92" s="49">
        <v>3362</v>
      </c>
      <c r="W92" s="49">
        <v>2274</v>
      </c>
      <c r="X92" s="7">
        <v>-3.5528003420265082E-2</v>
      </c>
      <c r="Y92" s="8">
        <v>-0.16082273150405599</v>
      </c>
      <c r="Z92" s="8">
        <v>-0.31271459510855221</v>
      </c>
      <c r="AA92" s="8">
        <v>-6.8557374529244486E-2</v>
      </c>
    </row>
    <row r="93" spans="2:27" x14ac:dyDescent="0.3">
      <c r="B93" s="12" t="s">
        <v>209</v>
      </c>
      <c r="C93" s="3" t="s">
        <v>411</v>
      </c>
      <c r="D93" s="3" t="str">
        <f>VLOOKUP(B93,기업리스트!B:G,2,FALSE)</f>
        <v>Ircon International Limited</v>
      </c>
      <c r="E93" s="3" t="s">
        <v>395</v>
      </c>
      <c r="F93" s="5">
        <v>-10.8</v>
      </c>
      <c r="G93" s="49">
        <v>1163</v>
      </c>
      <c r="H93" s="49">
        <v>1299</v>
      </c>
      <c r="I93" s="49">
        <v>1714</v>
      </c>
      <c r="J93" s="49">
        <v>1362</v>
      </c>
      <c r="K93" s="50">
        <v>1757</v>
      </c>
      <c r="L93" s="49">
        <v>1427</v>
      </c>
      <c r="M93" s="49">
        <v>1416</v>
      </c>
      <c r="N93" s="49">
        <v>1897</v>
      </c>
      <c r="O93" s="49">
        <v>1886</v>
      </c>
      <c r="P93" s="49">
        <v>1863</v>
      </c>
      <c r="Q93" s="50">
        <v>4696</v>
      </c>
      <c r="R93" s="49">
        <v>2230</v>
      </c>
      <c r="S93" s="49">
        <v>1731</v>
      </c>
      <c r="T93" s="49">
        <v>1014</v>
      </c>
      <c r="U93" s="49">
        <v>2298</v>
      </c>
      <c r="V93" s="49">
        <v>1627</v>
      </c>
      <c r="W93" s="49">
        <v>1012</v>
      </c>
      <c r="X93" s="7">
        <v>-8.0703422053231888E-2</v>
      </c>
      <c r="Y93" s="8">
        <v>-0.24795781201530351</v>
      </c>
      <c r="Z93" s="8">
        <v>-8.2909390897841329E-2</v>
      </c>
      <c r="AA93" s="8">
        <v>-0.10779610194902541</v>
      </c>
    </row>
    <row r="94" spans="2:27" x14ac:dyDescent="0.3">
      <c r="B94" s="25" t="s">
        <v>313</v>
      </c>
      <c r="C94" s="14" t="s">
        <v>411</v>
      </c>
      <c r="D94" s="14" t="str">
        <f>VLOOKUP(B94,기업리스트!B:G,2,FALSE)</f>
        <v>Jai Balaji Industries Limited</v>
      </c>
      <c r="E94" s="14" t="s">
        <v>395</v>
      </c>
      <c r="F94" s="15">
        <v>-28.6</v>
      </c>
      <c r="G94" s="51">
        <v>300.20999999999998</v>
      </c>
      <c r="H94" s="51">
        <v>287.33</v>
      </c>
      <c r="I94" s="51">
        <v>838.72</v>
      </c>
      <c r="J94" s="51">
        <v>357.08</v>
      </c>
      <c r="K94" s="51">
        <v>383</v>
      </c>
      <c r="L94" s="51">
        <v>453.48</v>
      </c>
      <c r="M94" s="52">
        <v>1246</v>
      </c>
      <c r="N94" s="52">
        <v>1838</v>
      </c>
      <c r="O94" s="52">
        <v>1927</v>
      </c>
      <c r="P94" s="52">
        <v>2262</v>
      </c>
      <c r="Q94" s="52">
        <v>2406</v>
      </c>
      <c r="R94" s="52">
        <v>2936</v>
      </c>
      <c r="S94" s="51">
        <v>2057</v>
      </c>
      <c r="T94" s="51">
        <v>1670</v>
      </c>
      <c r="U94" s="51">
        <v>1068</v>
      </c>
      <c r="V94" s="51">
        <v>964</v>
      </c>
      <c r="W94" s="51">
        <v>408.2</v>
      </c>
      <c r="X94" s="7">
        <v>-6.1277300486492048E-2</v>
      </c>
      <c r="Y94" s="18">
        <v>-0.14753556070129009</v>
      </c>
      <c r="Z94" s="18">
        <v>-0.2550769628767301</v>
      </c>
      <c r="AA94" s="18">
        <v>-0.28629970480986289</v>
      </c>
    </row>
    <row r="95" spans="2:27" x14ac:dyDescent="0.3">
      <c r="B95" s="26" t="s">
        <v>315</v>
      </c>
      <c r="C95" s="19" t="s">
        <v>411</v>
      </c>
      <c r="D95" s="19" t="str">
        <f>VLOOKUP(B95,기업리스트!B:G,2,FALSE)</f>
        <v>Shree Renuka Sugars Limited</v>
      </c>
      <c r="E95" s="19" t="s">
        <v>396</v>
      </c>
      <c r="F95" s="20">
        <v>-164.5</v>
      </c>
      <c r="G95" s="53">
        <v>1246</v>
      </c>
      <c r="H95" s="53">
        <v>2417</v>
      </c>
      <c r="I95" s="53">
        <v>318</v>
      </c>
      <c r="J95" s="53">
        <v>122</v>
      </c>
      <c r="K95" s="53">
        <v>1554</v>
      </c>
      <c r="L95" s="53">
        <v>1993</v>
      </c>
      <c r="M95" s="53">
        <v>15</v>
      </c>
      <c r="N95" s="53">
        <v>228</v>
      </c>
      <c r="O95" s="53">
        <v>1240</v>
      </c>
      <c r="P95" s="54">
        <v>3025</v>
      </c>
      <c r="Q95" s="53">
        <v>-42</v>
      </c>
      <c r="R95" s="54">
        <v>1661</v>
      </c>
      <c r="S95" s="53">
        <v>-295</v>
      </c>
      <c r="T95" s="53">
        <v>2136</v>
      </c>
      <c r="U95" s="53">
        <v>-1492</v>
      </c>
      <c r="V95" s="53">
        <v>-1743</v>
      </c>
      <c r="W95" s="53">
        <v>1998</v>
      </c>
      <c r="X95" s="22">
        <v>-0.2044148080018395</v>
      </c>
      <c r="Y95" s="23">
        <v>-0.41907514450867062</v>
      </c>
      <c r="Z95" s="23">
        <v>-1.693532338308458</v>
      </c>
      <c r="AA95" s="23">
        <v>-1.644906743185079</v>
      </c>
    </row>
    <row r="96" spans="2:27" hidden="1" x14ac:dyDescent="0.3">
      <c r="B96" s="3" t="s">
        <v>288</v>
      </c>
      <c r="C96" s="3" t="s">
        <v>388</v>
      </c>
      <c r="D96" s="3" t="s">
        <v>389</v>
      </c>
      <c r="E96" s="3" t="s">
        <v>412</v>
      </c>
      <c r="F96" s="5">
        <v>216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4">
        <v>-5.48</v>
      </c>
      <c r="S96" s="4">
        <v>-5.48</v>
      </c>
      <c r="T96" s="4">
        <v>-7.01</v>
      </c>
      <c r="U96" s="4">
        <v>-3.43</v>
      </c>
      <c r="V96" s="4">
        <v>-3.43</v>
      </c>
      <c r="W96" s="6">
        <v>-47.28</v>
      </c>
      <c r="X96" s="11"/>
      <c r="Y96" s="3"/>
      <c r="Z96" s="8">
        <v>-9.5794392523364524E-2</v>
      </c>
      <c r="AA96" s="9">
        <v>2.1602067183462532</v>
      </c>
    </row>
    <row r="97" spans="2:27" hidden="1" x14ac:dyDescent="0.3">
      <c r="B97" s="3" t="s">
        <v>40</v>
      </c>
      <c r="C97" s="3" t="s">
        <v>388</v>
      </c>
      <c r="D97" s="3" t="s">
        <v>389</v>
      </c>
      <c r="E97" s="3" t="s">
        <v>412</v>
      </c>
      <c r="F97" s="5">
        <v>57.8</v>
      </c>
      <c r="G97" s="4">
        <v>1933</v>
      </c>
      <c r="H97" s="4">
        <v>1734</v>
      </c>
      <c r="I97" s="4">
        <v>4019</v>
      </c>
      <c r="J97" s="4">
        <v>3009</v>
      </c>
      <c r="K97" s="4">
        <v>2356</v>
      </c>
      <c r="L97" s="4">
        <v>-97</v>
      </c>
      <c r="M97" s="4">
        <v>-316</v>
      </c>
      <c r="N97" s="4">
        <v>837</v>
      </c>
      <c r="O97" s="4">
        <v>2064</v>
      </c>
      <c r="P97" s="4">
        <v>-1542</v>
      </c>
      <c r="Q97" s="6">
        <v>733</v>
      </c>
      <c r="R97" s="4">
        <v>324</v>
      </c>
      <c r="S97" s="4">
        <v>-521</v>
      </c>
      <c r="T97" s="4">
        <v>2208</v>
      </c>
      <c r="U97" s="4">
        <v>-208</v>
      </c>
      <c r="V97" s="4">
        <v>-302</v>
      </c>
      <c r="W97" s="6">
        <v>159</v>
      </c>
      <c r="X97" s="7">
        <v>-3.7276341948310141</v>
      </c>
      <c r="Y97" s="8">
        <v>-0.34293002915451898</v>
      </c>
      <c r="Z97" s="8">
        <v>-0.34719911259012759</v>
      </c>
      <c r="AA97" s="9">
        <v>0.57774001699235344</v>
      </c>
    </row>
    <row r="98" spans="2:27" hidden="1" x14ac:dyDescent="0.3">
      <c r="B98" s="3" t="s">
        <v>128</v>
      </c>
      <c r="C98" s="3" t="s">
        <v>388</v>
      </c>
      <c r="D98" s="3" t="s">
        <v>415</v>
      </c>
      <c r="E98" s="3" t="s">
        <v>412</v>
      </c>
      <c r="F98" s="5">
        <v>45.1</v>
      </c>
      <c r="G98" s="4">
        <v>82.61</v>
      </c>
      <c r="H98" s="4">
        <v>50.56</v>
      </c>
      <c r="I98" s="4">
        <v>200.77</v>
      </c>
      <c r="J98" s="4">
        <v>157.72</v>
      </c>
      <c r="K98" s="4">
        <v>65.849999999999994</v>
      </c>
      <c r="L98" s="4">
        <v>10.59</v>
      </c>
      <c r="M98" s="4">
        <v>13.17</v>
      </c>
      <c r="N98" s="4">
        <v>36.32</v>
      </c>
      <c r="O98" s="4">
        <v>36.229999999999997</v>
      </c>
      <c r="P98" s="4">
        <v>0.03</v>
      </c>
      <c r="Q98" s="4">
        <v>-4.76</v>
      </c>
      <c r="R98" s="4">
        <v>17.45</v>
      </c>
      <c r="S98" s="4">
        <v>7.17</v>
      </c>
      <c r="T98" s="6">
        <v>13.33</v>
      </c>
      <c r="U98" s="6">
        <v>27.51</v>
      </c>
      <c r="V98" s="4">
        <v>13.85</v>
      </c>
      <c r="W98" s="6">
        <v>35.06</v>
      </c>
      <c r="X98" s="10">
        <v>0.66867772750125676</v>
      </c>
      <c r="Y98" s="9">
        <v>0.97228080747213053</v>
      </c>
      <c r="Z98" s="8">
        <v>-5.4995417048579347E-2</v>
      </c>
      <c r="AA98" s="9">
        <v>0.45085677335919822</v>
      </c>
    </row>
    <row r="99" spans="2:27" hidden="1" x14ac:dyDescent="0.3">
      <c r="B99" s="3" t="s">
        <v>244</v>
      </c>
      <c r="C99" s="3" t="s">
        <v>388</v>
      </c>
      <c r="D99" s="3" t="s">
        <v>413</v>
      </c>
      <c r="E99" s="3" t="s">
        <v>412</v>
      </c>
      <c r="F99" s="5">
        <v>37.700000000000003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4">
        <v>-42.4</v>
      </c>
      <c r="S99" s="4">
        <v>-42.4</v>
      </c>
      <c r="T99" s="4">
        <v>-51.91</v>
      </c>
      <c r="U99" s="4">
        <v>-56.73</v>
      </c>
      <c r="V99" s="4">
        <v>-56.73</v>
      </c>
      <c r="W99" s="6">
        <v>-120.79</v>
      </c>
      <c r="X99" s="11"/>
      <c r="Y99" s="3"/>
      <c r="Z99" s="8">
        <v>7.4079818031430822E-2</v>
      </c>
      <c r="AA99" s="9">
        <v>0.37729219810367232</v>
      </c>
    </row>
    <row r="100" spans="2:27" hidden="1" x14ac:dyDescent="0.3">
      <c r="B100" s="3" t="s">
        <v>38</v>
      </c>
      <c r="C100" s="3" t="s">
        <v>388</v>
      </c>
      <c r="D100" s="3" t="s">
        <v>389</v>
      </c>
      <c r="E100" s="3" t="s">
        <v>412</v>
      </c>
      <c r="F100" s="5">
        <v>34.1</v>
      </c>
      <c r="G100" s="4">
        <v>428.1</v>
      </c>
      <c r="H100" s="4">
        <v>609</v>
      </c>
      <c r="I100" s="4">
        <v>387.3</v>
      </c>
      <c r="J100" s="4">
        <v>4075</v>
      </c>
      <c r="K100" s="6">
        <v>1656</v>
      </c>
      <c r="L100" s="4">
        <v>-5.9</v>
      </c>
      <c r="M100" s="4">
        <v>-215.4</v>
      </c>
      <c r="N100" s="4">
        <v>446.7</v>
      </c>
      <c r="O100" s="4">
        <v>1623</v>
      </c>
      <c r="P100" s="4">
        <v>-1087</v>
      </c>
      <c r="Q100" s="6">
        <v>612.6</v>
      </c>
      <c r="R100" s="4">
        <v>443.5</v>
      </c>
      <c r="S100" s="4">
        <v>-239.8</v>
      </c>
      <c r="T100" s="4">
        <v>1104</v>
      </c>
      <c r="U100" s="4">
        <v>63.6</v>
      </c>
      <c r="V100" s="4">
        <v>517.4</v>
      </c>
      <c r="W100" s="6">
        <v>252.4</v>
      </c>
      <c r="X100" s="7">
        <v>-8.0938308090136672</v>
      </c>
      <c r="Y100" s="8">
        <v>-0.28589282924543041</v>
      </c>
      <c r="Z100" s="8">
        <v>5.3890468898125883E-2</v>
      </c>
      <c r="AA100" s="9">
        <v>0.34057569886520889</v>
      </c>
    </row>
    <row r="101" spans="2:27" hidden="1" x14ac:dyDescent="0.3">
      <c r="B101" s="3" t="s">
        <v>257</v>
      </c>
      <c r="C101" s="3" t="s">
        <v>388</v>
      </c>
      <c r="D101" s="3" t="s">
        <v>416</v>
      </c>
      <c r="E101" s="3" t="s">
        <v>412</v>
      </c>
      <c r="F101" s="5">
        <v>28.4</v>
      </c>
      <c r="G101" s="4">
        <v>21.2</v>
      </c>
      <c r="H101" s="4">
        <v>22.38</v>
      </c>
      <c r="I101" s="4">
        <v>16.329999999999998</v>
      </c>
      <c r="J101" s="4">
        <v>24.82</v>
      </c>
      <c r="K101" s="6">
        <v>33.590000000000003</v>
      </c>
      <c r="L101" s="4">
        <v>18.02</v>
      </c>
      <c r="M101" s="4">
        <v>6.08</v>
      </c>
      <c r="N101" s="4">
        <v>-2.91</v>
      </c>
      <c r="O101" s="4">
        <v>-4.05</v>
      </c>
      <c r="P101" s="4">
        <v>-7.83</v>
      </c>
      <c r="Q101" s="6">
        <v>-2.21</v>
      </c>
      <c r="R101" s="4">
        <v>-1.53</v>
      </c>
      <c r="S101" s="4">
        <v>-0.39</v>
      </c>
      <c r="T101" s="4">
        <v>-2.04</v>
      </c>
      <c r="U101" s="4">
        <v>-0.09</v>
      </c>
      <c r="V101" s="4">
        <v>-0.16</v>
      </c>
      <c r="W101" s="6">
        <v>-1.1499999999999999</v>
      </c>
      <c r="X101" s="7">
        <v>-0.48411371237458201</v>
      </c>
      <c r="Y101" s="8">
        <v>-0.34359805510534852</v>
      </c>
      <c r="Z101" s="8">
        <v>-0.33827160493827158</v>
      </c>
      <c r="AA101" s="9">
        <v>0.28358208955223868</v>
      </c>
    </row>
    <row r="102" spans="2:27" hidden="1" x14ac:dyDescent="0.3">
      <c r="B102" s="3" t="s">
        <v>30</v>
      </c>
      <c r="C102" s="3" t="s">
        <v>388</v>
      </c>
      <c r="D102" s="3" t="s">
        <v>400</v>
      </c>
      <c r="E102" s="3" t="s">
        <v>412</v>
      </c>
      <c r="F102" s="5">
        <v>16.2</v>
      </c>
      <c r="G102" s="4">
        <v>197</v>
      </c>
      <c r="H102" s="4">
        <v>1860</v>
      </c>
      <c r="I102" s="4">
        <v>-338</v>
      </c>
      <c r="J102" s="4">
        <v>-1040</v>
      </c>
      <c r="K102" s="4">
        <v>-563</v>
      </c>
      <c r="L102" s="6">
        <v>1300</v>
      </c>
      <c r="M102" s="4">
        <v>282</v>
      </c>
      <c r="N102" s="4">
        <v>679</v>
      </c>
      <c r="O102" s="6">
        <v>-135</v>
      </c>
      <c r="P102" s="4">
        <v>1504</v>
      </c>
      <c r="Q102" s="6">
        <v>966</v>
      </c>
      <c r="R102" s="4">
        <v>400</v>
      </c>
      <c r="S102" s="6">
        <v>1053</v>
      </c>
      <c r="T102" s="4">
        <v>492</v>
      </c>
      <c r="U102" s="4">
        <v>-115</v>
      </c>
      <c r="V102" s="6">
        <v>869</v>
      </c>
      <c r="W102" s="6">
        <v>1426</v>
      </c>
      <c r="X102" s="7">
        <v>-0.25796584246749932</v>
      </c>
      <c r="Y102" s="8">
        <v>-0.37135005152868428</v>
      </c>
      <c r="Z102" s="9">
        <v>0.25628415300546448</v>
      </c>
      <c r="AA102" s="9">
        <v>0.1622444541104828</v>
      </c>
    </row>
    <row r="103" spans="2:27" hidden="1" x14ac:dyDescent="0.3">
      <c r="B103" s="3" t="s">
        <v>54</v>
      </c>
      <c r="C103" s="3" t="s">
        <v>388</v>
      </c>
      <c r="D103" s="3" t="s">
        <v>400</v>
      </c>
      <c r="E103" s="3" t="s">
        <v>412</v>
      </c>
      <c r="F103" s="5">
        <v>12.6</v>
      </c>
      <c r="G103" s="4">
        <v>342</v>
      </c>
      <c r="H103" s="4">
        <v>358</v>
      </c>
      <c r="I103" s="4">
        <v>383</v>
      </c>
      <c r="J103" s="4">
        <v>255</v>
      </c>
      <c r="K103" s="4">
        <v>-23</v>
      </c>
      <c r="L103" s="4">
        <v>311</v>
      </c>
      <c r="M103" s="4">
        <v>399</v>
      </c>
      <c r="N103" s="6">
        <v>392</v>
      </c>
      <c r="O103" s="6">
        <v>360</v>
      </c>
      <c r="P103" s="6">
        <v>494</v>
      </c>
      <c r="Q103" s="4">
        <v>462</v>
      </c>
      <c r="R103" s="4">
        <v>436</v>
      </c>
      <c r="S103" s="4">
        <v>393</v>
      </c>
      <c r="T103" s="4">
        <v>53</v>
      </c>
      <c r="U103" s="4">
        <v>381</v>
      </c>
      <c r="V103" s="4">
        <v>411</v>
      </c>
      <c r="W103" s="6">
        <v>549</v>
      </c>
      <c r="X103" s="7">
        <v>-0.2470588235294118</v>
      </c>
      <c r="Y103" s="8">
        <v>-6.0267857142857102E-2</v>
      </c>
      <c r="Z103" s="8">
        <v>-1.9794140934283441E-2</v>
      </c>
      <c r="AA103" s="9">
        <v>0.12600969305331189</v>
      </c>
    </row>
    <row r="104" spans="2:27" hidden="1" x14ac:dyDescent="0.3">
      <c r="B104" s="3" t="s">
        <v>24</v>
      </c>
      <c r="C104" s="3" t="s">
        <v>388</v>
      </c>
      <c r="D104" s="3" t="s">
        <v>417</v>
      </c>
      <c r="E104" s="3" t="s">
        <v>412</v>
      </c>
      <c r="F104" s="5">
        <v>8.9</v>
      </c>
      <c r="G104" s="4">
        <v>299.57</v>
      </c>
      <c r="H104" s="4">
        <v>646.84</v>
      </c>
      <c r="I104" s="4">
        <v>214</v>
      </c>
      <c r="J104" s="4">
        <v>366</v>
      </c>
      <c r="K104" s="4">
        <v>-64</v>
      </c>
      <c r="L104" s="6">
        <v>1000</v>
      </c>
      <c r="M104" s="6">
        <v>793</v>
      </c>
      <c r="N104" s="6">
        <v>753</v>
      </c>
      <c r="O104" s="6">
        <v>753</v>
      </c>
      <c r="P104" s="4">
        <v>1285</v>
      </c>
      <c r="Q104" s="6">
        <v>1176</v>
      </c>
      <c r="R104" s="6">
        <v>1373</v>
      </c>
      <c r="S104" s="4">
        <v>1178</v>
      </c>
      <c r="T104" s="4">
        <v>894</v>
      </c>
      <c r="U104" s="4">
        <v>750</v>
      </c>
      <c r="V104" s="4">
        <v>1555</v>
      </c>
      <c r="W104" s="4">
        <v>1568</v>
      </c>
      <c r="X104" s="7">
        <v>-7.8012769353551503E-2</v>
      </c>
      <c r="Y104" s="8">
        <v>-9.2187838130274868E-2</v>
      </c>
      <c r="Z104" s="8">
        <v>4.3384982121573268E-2</v>
      </c>
      <c r="AA104" s="8">
        <v>8.9102124742974631E-2</v>
      </c>
    </row>
    <row r="105" spans="2:27" hidden="1" x14ac:dyDescent="0.3">
      <c r="B105" s="3" t="s">
        <v>159</v>
      </c>
      <c r="C105" s="3" t="s">
        <v>388</v>
      </c>
      <c r="D105" s="3" t="s">
        <v>422</v>
      </c>
      <c r="E105" s="3" t="s">
        <v>412</v>
      </c>
      <c r="F105" s="5">
        <v>8.6999999999999993</v>
      </c>
      <c r="G105" s="4">
        <v>-8.32</v>
      </c>
      <c r="H105" s="4">
        <v>-20.47</v>
      </c>
      <c r="I105" s="4">
        <v>-23.65</v>
      </c>
      <c r="J105" s="4">
        <v>-23.05</v>
      </c>
      <c r="K105" s="6">
        <v>-25.44</v>
      </c>
      <c r="L105" s="4">
        <v>-20.48</v>
      </c>
      <c r="M105" s="4">
        <v>-25.04</v>
      </c>
      <c r="N105" s="4">
        <v>-6.12</v>
      </c>
      <c r="O105" s="4">
        <v>11.47</v>
      </c>
      <c r="P105" s="4">
        <v>8.43</v>
      </c>
      <c r="Q105" s="4">
        <v>13.05</v>
      </c>
      <c r="R105" s="6">
        <v>17.78</v>
      </c>
      <c r="S105" s="6">
        <v>20.79</v>
      </c>
      <c r="T105" s="6">
        <v>32.51</v>
      </c>
      <c r="U105" s="6">
        <v>38.69</v>
      </c>
      <c r="V105" s="6">
        <v>32.57</v>
      </c>
      <c r="W105" s="4">
        <v>31.66</v>
      </c>
      <c r="X105" s="10">
        <v>0.40099916736053293</v>
      </c>
      <c r="Y105" s="9">
        <v>0.3047664329014621</v>
      </c>
      <c r="Z105" s="9">
        <v>0.13473626673954639</v>
      </c>
      <c r="AA105" s="8">
        <v>8.7267180475272932E-2</v>
      </c>
    </row>
    <row r="106" spans="2:27" hidden="1" x14ac:dyDescent="0.3">
      <c r="B106" s="3" t="s">
        <v>58</v>
      </c>
      <c r="C106" s="3" t="s">
        <v>388</v>
      </c>
      <c r="D106" s="3" t="s">
        <v>420</v>
      </c>
      <c r="E106" s="3" t="s">
        <v>412</v>
      </c>
      <c r="F106" s="5">
        <v>6.9</v>
      </c>
      <c r="G106" s="4">
        <v>49.19</v>
      </c>
      <c r="H106" s="4">
        <v>74.31</v>
      </c>
      <c r="I106" s="4">
        <v>52.54</v>
      </c>
      <c r="J106" s="4">
        <v>40.58</v>
      </c>
      <c r="K106" s="6">
        <v>73.819999999999993</v>
      </c>
      <c r="L106" s="6">
        <v>110.26</v>
      </c>
      <c r="M106" s="4">
        <v>80.05</v>
      </c>
      <c r="N106" s="6">
        <v>81.45</v>
      </c>
      <c r="O106" s="4">
        <v>81.650000000000006</v>
      </c>
      <c r="P106" s="4">
        <v>72.8</v>
      </c>
      <c r="Q106" s="4">
        <v>78.260000000000005</v>
      </c>
      <c r="R106" s="4">
        <v>73.709999999999994</v>
      </c>
      <c r="S106" s="4">
        <v>69.45</v>
      </c>
      <c r="T106" s="4">
        <v>89.8</v>
      </c>
      <c r="U106" s="4">
        <v>83.37</v>
      </c>
      <c r="V106" s="4">
        <v>84.4</v>
      </c>
      <c r="W106" s="4">
        <v>92.12</v>
      </c>
      <c r="X106" s="7">
        <v>5.7779892597376037E-2</v>
      </c>
      <c r="Y106" s="8">
        <v>1.6419253261358291E-2</v>
      </c>
      <c r="Z106" s="8">
        <v>3.3793822906458493E-2</v>
      </c>
      <c r="AA106" s="8">
        <v>6.9322977187939561E-2</v>
      </c>
    </row>
    <row r="107" spans="2:27" hidden="1" x14ac:dyDescent="0.3">
      <c r="B107" s="3" t="s">
        <v>205</v>
      </c>
      <c r="C107" s="3" t="s">
        <v>388</v>
      </c>
      <c r="D107" s="3" t="s">
        <v>391</v>
      </c>
      <c r="E107" s="3" t="s">
        <v>412</v>
      </c>
      <c r="F107" s="5">
        <v>6.8</v>
      </c>
      <c r="G107" s="3"/>
      <c r="H107" s="3"/>
      <c r="I107" s="3"/>
      <c r="J107" s="3"/>
      <c r="K107" s="3"/>
      <c r="L107" s="3"/>
      <c r="M107" s="3"/>
      <c r="N107" s="3"/>
      <c r="O107" s="4">
        <v>30.24</v>
      </c>
      <c r="P107" s="4">
        <v>32.32</v>
      </c>
      <c r="Q107" s="4">
        <v>32.44</v>
      </c>
      <c r="R107" s="4">
        <v>33.39</v>
      </c>
      <c r="S107" s="4">
        <v>32.85</v>
      </c>
      <c r="T107" s="4">
        <v>28</v>
      </c>
      <c r="U107" s="4">
        <v>25.62</v>
      </c>
      <c r="V107" s="4">
        <v>40.630000000000003</v>
      </c>
      <c r="W107" s="4">
        <v>41.46</v>
      </c>
      <c r="X107" s="7">
        <v>-3.2977099236641161E-2</v>
      </c>
      <c r="Y107" s="8">
        <v>-5.3836438269655902E-2</v>
      </c>
      <c r="Z107" s="8">
        <v>6.0403804438511573E-2</v>
      </c>
      <c r="AA107" s="8">
        <v>6.7741935483870863E-2</v>
      </c>
    </row>
    <row r="108" spans="2:27" hidden="1" x14ac:dyDescent="0.3">
      <c r="B108" s="3" t="s">
        <v>48</v>
      </c>
      <c r="C108" s="3" t="s">
        <v>388</v>
      </c>
      <c r="D108" s="3" t="s">
        <v>414</v>
      </c>
      <c r="E108" s="3" t="s">
        <v>412</v>
      </c>
      <c r="F108" s="5">
        <v>6.2</v>
      </c>
      <c r="G108" s="4">
        <v>53.71</v>
      </c>
      <c r="H108" s="4">
        <v>54.86</v>
      </c>
      <c r="I108" s="4">
        <v>64.2</v>
      </c>
      <c r="J108" s="4">
        <v>60.24</v>
      </c>
      <c r="K108" s="6">
        <v>77.83</v>
      </c>
      <c r="L108" s="4">
        <v>76.430000000000007</v>
      </c>
      <c r="M108" s="4">
        <v>86.2</v>
      </c>
      <c r="N108" s="4">
        <v>78.39</v>
      </c>
      <c r="O108" s="4">
        <v>84.91</v>
      </c>
      <c r="P108" s="4">
        <v>87.32</v>
      </c>
      <c r="Q108" s="4">
        <v>104.07</v>
      </c>
      <c r="R108" s="4">
        <v>105.15</v>
      </c>
      <c r="S108" s="4">
        <v>112.27</v>
      </c>
      <c r="T108" s="4">
        <v>125.38</v>
      </c>
      <c r="U108" s="4">
        <v>113.52</v>
      </c>
      <c r="V108" s="4">
        <v>126.34</v>
      </c>
      <c r="W108" s="4">
        <v>141.81</v>
      </c>
      <c r="X108" s="7">
        <v>9.3099483867811417E-2</v>
      </c>
      <c r="Y108" s="8">
        <v>2.114708975764756E-2</v>
      </c>
      <c r="Z108" s="8">
        <v>4.643671107994396E-2</v>
      </c>
      <c r="AA108" s="8">
        <v>6.1862578794161349E-2</v>
      </c>
    </row>
    <row r="109" spans="2:27" hidden="1" x14ac:dyDescent="0.3">
      <c r="B109" s="3" t="s">
        <v>130</v>
      </c>
      <c r="C109" s="3" t="s">
        <v>388</v>
      </c>
      <c r="D109" s="3" t="s">
        <v>393</v>
      </c>
      <c r="E109" s="3" t="s">
        <v>412</v>
      </c>
      <c r="F109" s="5">
        <v>4.5</v>
      </c>
      <c r="G109" s="4">
        <v>36.200000000000003</v>
      </c>
      <c r="H109" s="4">
        <v>34.799999999999997</v>
      </c>
      <c r="I109" s="4">
        <v>35.5</v>
      </c>
      <c r="J109" s="4">
        <v>41.5</v>
      </c>
      <c r="K109" s="6">
        <v>52.1</v>
      </c>
      <c r="L109" s="6">
        <v>54.2</v>
      </c>
      <c r="M109" s="6">
        <v>66.400000000000006</v>
      </c>
      <c r="N109" s="4">
        <v>59.6</v>
      </c>
      <c r="O109" s="4">
        <v>63.1</v>
      </c>
      <c r="P109" s="6">
        <v>80.8</v>
      </c>
      <c r="Q109" s="4">
        <v>43.2</v>
      </c>
      <c r="R109" s="4">
        <v>30</v>
      </c>
      <c r="S109" s="4">
        <v>60.3</v>
      </c>
      <c r="T109" s="4">
        <v>90.2</v>
      </c>
      <c r="U109" s="4">
        <v>55.7</v>
      </c>
      <c r="V109" s="6">
        <v>58.8</v>
      </c>
      <c r="W109" s="4">
        <v>72.2</v>
      </c>
      <c r="X109" s="7">
        <v>4.3863742417172169E-2</v>
      </c>
      <c r="Y109" s="8">
        <v>5.5878408582923589E-2</v>
      </c>
      <c r="Z109" s="9">
        <v>0.1219305673158342</v>
      </c>
      <c r="AA109" s="8">
        <v>4.4905660377358332E-2</v>
      </c>
    </row>
    <row r="110" spans="2:27" hidden="1" x14ac:dyDescent="0.3">
      <c r="B110" s="3" t="s">
        <v>196</v>
      </c>
      <c r="C110" s="3" t="s">
        <v>388</v>
      </c>
      <c r="D110" s="3" t="s">
        <v>418</v>
      </c>
      <c r="E110" s="3" t="s">
        <v>412</v>
      </c>
      <c r="F110" s="5">
        <v>3.8</v>
      </c>
      <c r="G110" s="4">
        <v>40.56</v>
      </c>
      <c r="H110" s="4">
        <v>42.43</v>
      </c>
      <c r="I110" s="4">
        <v>45.33</v>
      </c>
      <c r="J110" s="4">
        <v>50.18</v>
      </c>
      <c r="K110" s="4">
        <v>58.36</v>
      </c>
      <c r="L110" s="6">
        <v>63.83</v>
      </c>
      <c r="M110" s="4">
        <v>62.87</v>
      </c>
      <c r="N110" s="4">
        <v>61.52</v>
      </c>
      <c r="O110" s="4">
        <v>49.13</v>
      </c>
      <c r="P110" s="4">
        <v>52.74</v>
      </c>
      <c r="Q110" s="4">
        <v>54.29</v>
      </c>
      <c r="R110" s="4">
        <v>51.52</v>
      </c>
      <c r="S110" s="4">
        <v>53.96</v>
      </c>
      <c r="T110" s="4">
        <v>61.08</v>
      </c>
      <c r="U110" s="4">
        <v>54.94</v>
      </c>
      <c r="V110" s="4">
        <v>54.53</v>
      </c>
      <c r="W110" s="4">
        <v>62.51</v>
      </c>
      <c r="X110" s="7">
        <v>3.9245211990023947E-2</v>
      </c>
      <c r="Y110" s="8">
        <v>2.9431741000678362E-3</v>
      </c>
      <c r="Z110" s="8">
        <v>1.358916478555305E-2</v>
      </c>
      <c r="AA110" s="8">
        <v>3.8082936172108228E-2</v>
      </c>
    </row>
    <row r="111" spans="2:27" hidden="1" x14ac:dyDescent="0.3">
      <c r="B111" s="3" t="s">
        <v>72</v>
      </c>
      <c r="C111" s="3" t="s">
        <v>388</v>
      </c>
      <c r="D111" s="3" t="s">
        <v>416</v>
      </c>
      <c r="E111" s="3" t="s">
        <v>412</v>
      </c>
      <c r="F111" s="5">
        <v>2.2999999999999998</v>
      </c>
      <c r="G111" s="4">
        <v>211.61</v>
      </c>
      <c r="H111" s="4">
        <v>255.45</v>
      </c>
      <c r="I111" s="4">
        <v>210.23</v>
      </c>
      <c r="J111" s="4">
        <v>143.02000000000001</v>
      </c>
      <c r="K111" s="6">
        <v>319.48</v>
      </c>
      <c r="L111" s="4">
        <v>225.28</v>
      </c>
      <c r="M111" s="4">
        <v>68.510000000000005</v>
      </c>
      <c r="N111" s="4">
        <v>76.150000000000006</v>
      </c>
      <c r="O111" s="4">
        <v>166.42</v>
      </c>
      <c r="P111" s="4">
        <v>158.31</v>
      </c>
      <c r="Q111" s="4">
        <v>73.180000000000007</v>
      </c>
      <c r="R111" s="4">
        <v>81.58</v>
      </c>
      <c r="S111" s="4">
        <v>149.41</v>
      </c>
      <c r="T111" s="4">
        <v>134.58000000000001</v>
      </c>
      <c r="U111" s="4">
        <v>31.49</v>
      </c>
      <c r="V111" s="4">
        <v>91.92</v>
      </c>
      <c r="W111" s="4">
        <v>158.88999999999999</v>
      </c>
      <c r="X111" s="7">
        <v>-5.1310326933056587E-2</v>
      </c>
      <c r="Y111" s="8">
        <v>-9.5019943019942987E-2</v>
      </c>
      <c r="Z111" s="8">
        <v>2.604140432176516E-2</v>
      </c>
      <c r="AA111" s="8">
        <v>2.326951399116339E-2</v>
      </c>
    </row>
    <row r="112" spans="2:27" hidden="1" x14ac:dyDescent="0.3">
      <c r="B112" s="3" t="s">
        <v>79</v>
      </c>
      <c r="C112" s="3" t="s">
        <v>388</v>
      </c>
      <c r="D112" s="3" t="s">
        <v>392</v>
      </c>
      <c r="E112" s="3" t="s">
        <v>412</v>
      </c>
      <c r="F112" s="5">
        <v>2.2000000000000002</v>
      </c>
      <c r="G112" s="4">
        <v>110.62</v>
      </c>
      <c r="H112" s="4">
        <v>105.52</v>
      </c>
      <c r="I112" s="4">
        <v>109.97</v>
      </c>
      <c r="J112" s="4">
        <v>114.49</v>
      </c>
      <c r="K112" s="4">
        <v>113.4</v>
      </c>
      <c r="L112" s="4">
        <v>106.47</v>
      </c>
      <c r="M112" s="4">
        <v>113.95</v>
      </c>
      <c r="N112" s="4">
        <v>113.05</v>
      </c>
      <c r="O112" s="4">
        <v>104.66</v>
      </c>
      <c r="P112" s="4">
        <v>113.98</v>
      </c>
      <c r="Q112" s="4">
        <v>121.97</v>
      </c>
      <c r="R112" s="4">
        <v>120.71</v>
      </c>
      <c r="S112" s="4">
        <v>116.26</v>
      </c>
      <c r="T112" s="4">
        <v>108.84</v>
      </c>
      <c r="U112" s="4">
        <v>119.64</v>
      </c>
      <c r="V112" s="4">
        <v>123.69</v>
      </c>
      <c r="W112" s="4">
        <v>126.49</v>
      </c>
      <c r="X112" s="7">
        <v>-1.086864585976499E-2</v>
      </c>
      <c r="Y112" s="8">
        <v>-4.9809739621189397E-3</v>
      </c>
      <c r="Z112" s="8">
        <v>6.4024062734988618E-3</v>
      </c>
      <c r="AA112" s="8">
        <v>2.1838908695002379E-2</v>
      </c>
    </row>
    <row r="113" spans="2:27" hidden="1" x14ac:dyDescent="0.3">
      <c r="B113" s="3" t="s">
        <v>81</v>
      </c>
      <c r="C113" s="3" t="s">
        <v>388</v>
      </c>
      <c r="D113" s="3" t="s">
        <v>423</v>
      </c>
      <c r="E113" s="3" t="s">
        <v>412</v>
      </c>
      <c r="F113" s="5">
        <v>1.5</v>
      </c>
      <c r="G113" s="4">
        <v>96.36</v>
      </c>
      <c r="H113" s="4">
        <v>104.52</v>
      </c>
      <c r="I113" s="4">
        <v>100.66</v>
      </c>
      <c r="J113" s="4">
        <v>106.34</v>
      </c>
      <c r="K113" s="4">
        <v>96.48</v>
      </c>
      <c r="L113" s="4">
        <v>89.05</v>
      </c>
      <c r="M113" s="4">
        <v>85.66</v>
      </c>
      <c r="N113" s="4">
        <v>123.94</v>
      </c>
      <c r="O113" s="4">
        <v>89.34</v>
      </c>
      <c r="P113" s="4">
        <v>82.66</v>
      </c>
      <c r="Q113" s="4">
        <v>79.87</v>
      </c>
      <c r="R113" s="4">
        <v>120.59</v>
      </c>
      <c r="S113" s="4">
        <v>73.819999999999993</v>
      </c>
      <c r="T113" s="4">
        <v>102.06</v>
      </c>
      <c r="U113" s="4">
        <v>102.9</v>
      </c>
      <c r="V113" s="4">
        <v>83.21</v>
      </c>
      <c r="W113" s="4">
        <v>79.260000000000005</v>
      </c>
      <c r="X113" s="7">
        <v>5.4350871294895693E-2</v>
      </c>
      <c r="Y113" s="8">
        <v>6.1194664399213387E-2</v>
      </c>
      <c r="Z113" s="8">
        <v>-9.3597415930089856E-2</v>
      </c>
      <c r="AA113" s="8">
        <v>1.502803944860354E-2</v>
      </c>
    </row>
    <row r="114" spans="2:27" hidden="1" x14ac:dyDescent="0.3">
      <c r="B114" s="3" t="s">
        <v>284</v>
      </c>
      <c r="C114" s="3" t="s">
        <v>388</v>
      </c>
      <c r="D114" s="3" t="s">
        <v>419</v>
      </c>
      <c r="E114" s="3" t="s">
        <v>412</v>
      </c>
      <c r="F114" s="5">
        <v>1.2</v>
      </c>
      <c r="G114" s="4">
        <v>7.18</v>
      </c>
      <c r="H114" s="4">
        <v>26.15</v>
      </c>
      <c r="I114" s="4">
        <v>35.659999999999997</v>
      </c>
      <c r="J114" s="4">
        <v>12.03</v>
      </c>
      <c r="K114" s="4">
        <v>7.4</v>
      </c>
      <c r="L114" s="4">
        <v>25.67</v>
      </c>
      <c r="M114" s="4">
        <v>39.67</v>
      </c>
      <c r="N114" s="4">
        <v>12.21</v>
      </c>
      <c r="O114" s="4">
        <v>8.4700000000000006</v>
      </c>
      <c r="P114" s="4">
        <v>28.15</v>
      </c>
      <c r="Q114" s="4">
        <v>44.55</v>
      </c>
      <c r="R114" s="4">
        <v>12.9</v>
      </c>
      <c r="S114" s="4">
        <v>6.36</v>
      </c>
      <c r="T114" s="4">
        <v>28.7</v>
      </c>
      <c r="U114" s="4">
        <v>46.51</v>
      </c>
      <c r="V114" s="4">
        <v>13.7</v>
      </c>
      <c r="W114" s="4">
        <v>7.49</v>
      </c>
      <c r="X114" s="7">
        <v>5.9808612440190867E-3</v>
      </c>
      <c r="Y114" s="8">
        <v>2.1186898713652761E-2</v>
      </c>
      <c r="Z114" s="8">
        <v>8.4682968138032333E-3</v>
      </c>
      <c r="AA114" s="8">
        <v>1.186102655610366E-2</v>
      </c>
    </row>
    <row r="115" spans="2:27" hidden="1" x14ac:dyDescent="0.3">
      <c r="B115" s="3" t="s">
        <v>91</v>
      </c>
      <c r="C115" s="3" t="s">
        <v>388</v>
      </c>
      <c r="D115" s="3" t="s">
        <v>421</v>
      </c>
      <c r="E115" s="3" t="s">
        <v>412</v>
      </c>
      <c r="F115" s="5">
        <v>0.2</v>
      </c>
      <c r="G115" s="4">
        <v>100.62</v>
      </c>
      <c r="H115" s="4">
        <v>96.85</v>
      </c>
      <c r="I115" s="4">
        <v>130.31</v>
      </c>
      <c r="J115" s="4">
        <v>138.9</v>
      </c>
      <c r="K115" s="4">
        <v>124.58</v>
      </c>
      <c r="L115" s="4">
        <v>94.91</v>
      </c>
      <c r="M115" s="4">
        <v>119.76</v>
      </c>
      <c r="N115" s="4">
        <v>146.72</v>
      </c>
      <c r="O115" s="4">
        <v>140.97999999999999</v>
      </c>
      <c r="P115" s="4">
        <v>72.05</v>
      </c>
      <c r="Q115" s="4">
        <v>97.95</v>
      </c>
      <c r="R115" s="4">
        <v>133.54</v>
      </c>
      <c r="S115" s="4">
        <v>126.19</v>
      </c>
      <c r="T115" s="4">
        <v>77.67</v>
      </c>
      <c r="U115" s="4">
        <v>102.37</v>
      </c>
      <c r="V115" s="4">
        <v>140.05000000000001</v>
      </c>
      <c r="W115" s="4">
        <v>126.97</v>
      </c>
      <c r="X115" s="7">
        <v>1.3077979196239429E-2</v>
      </c>
      <c r="Y115" s="8">
        <v>1.015275066038801E-2</v>
      </c>
      <c r="Z115" s="8">
        <v>1.480319257793861E-2</v>
      </c>
      <c r="AA115" s="8">
        <v>1.7477816617370581E-3</v>
      </c>
    </row>
    <row r="116" spans="2:27" hidden="1" x14ac:dyDescent="0.3">
      <c r="B116" s="3" t="s">
        <v>174</v>
      </c>
      <c r="C116" s="3" t="s">
        <v>388</v>
      </c>
      <c r="D116" s="3" t="s">
        <v>424</v>
      </c>
      <c r="E116" s="3" t="s">
        <v>412</v>
      </c>
      <c r="F116" s="5">
        <v>-0.4</v>
      </c>
      <c r="G116" s="4">
        <v>112.26</v>
      </c>
      <c r="H116" s="4">
        <v>115.64</v>
      </c>
      <c r="I116" s="4">
        <v>140.08000000000001</v>
      </c>
      <c r="J116" s="4">
        <v>156.81</v>
      </c>
      <c r="K116" s="6">
        <v>166.15</v>
      </c>
      <c r="L116" s="4">
        <v>145.37</v>
      </c>
      <c r="M116" s="4">
        <v>152.84</v>
      </c>
      <c r="N116" s="4">
        <v>147.62</v>
      </c>
      <c r="O116" s="4">
        <v>146.6</v>
      </c>
      <c r="P116" s="4">
        <v>131.08000000000001</v>
      </c>
      <c r="Q116" s="4">
        <v>140.43</v>
      </c>
      <c r="R116" s="4">
        <v>132.88999999999999</v>
      </c>
      <c r="S116" s="4">
        <v>132.12</v>
      </c>
      <c r="T116" s="4">
        <v>126.06</v>
      </c>
      <c r="U116" s="4">
        <v>120.25</v>
      </c>
      <c r="V116" s="4">
        <v>125.54</v>
      </c>
      <c r="W116" s="4">
        <v>130.05000000000001</v>
      </c>
      <c r="X116" s="7">
        <v>-9.3565943487661229E-3</v>
      </c>
      <c r="Y116" s="8">
        <v>-3.7968015051740411E-2</v>
      </c>
      <c r="Z116" s="8">
        <v>-1.437455996245007E-2</v>
      </c>
      <c r="AA116" s="8">
        <v>-4.1073873444847919E-3</v>
      </c>
    </row>
    <row r="117" spans="2:27" hidden="1" x14ac:dyDescent="0.3">
      <c r="B117" s="3" t="s">
        <v>101</v>
      </c>
      <c r="C117" s="3" t="s">
        <v>388</v>
      </c>
      <c r="D117" s="3" t="s">
        <v>423</v>
      </c>
      <c r="E117" s="3" t="s">
        <v>412</v>
      </c>
      <c r="F117" s="5">
        <v>-1.1000000000000001</v>
      </c>
      <c r="G117" s="4">
        <v>68.62</v>
      </c>
      <c r="H117" s="4">
        <v>80.569999999999993</v>
      </c>
      <c r="I117" s="4">
        <v>79.930000000000007</v>
      </c>
      <c r="J117" s="4">
        <v>73.97</v>
      </c>
      <c r="K117" s="4">
        <v>89.02</v>
      </c>
      <c r="L117" s="4">
        <v>81.760000000000005</v>
      </c>
      <c r="M117" s="4">
        <v>89.44</v>
      </c>
      <c r="N117" s="4">
        <v>84.24</v>
      </c>
      <c r="O117" s="4">
        <v>81.56</v>
      </c>
      <c r="P117" s="4">
        <v>74.680000000000007</v>
      </c>
      <c r="Q117" s="4">
        <v>81.67</v>
      </c>
      <c r="R117" s="4">
        <v>81.349999999999994</v>
      </c>
      <c r="S117" s="4">
        <v>84.48</v>
      </c>
      <c r="T117" s="4">
        <v>87.51</v>
      </c>
      <c r="U117" s="4">
        <v>73.849999999999994</v>
      </c>
      <c r="V117" s="4">
        <v>93.16</v>
      </c>
      <c r="W117" s="4">
        <v>80.739999999999995</v>
      </c>
      <c r="X117" s="7">
        <v>3.9822459494692319E-2</v>
      </c>
      <c r="Y117" s="8">
        <v>-2.3342586788454019E-2</v>
      </c>
      <c r="Z117" s="8">
        <v>3.6095235184449459E-2</v>
      </c>
      <c r="AA117" s="8">
        <v>-1.1032448377581111E-2</v>
      </c>
    </row>
    <row r="118" spans="2:27" hidden="1" x14ac:dyDescent="0.3">
      <c r="B118" s="3" t="s">
        <v>36</v>
      </c>
      <c r="C118" s="3" t="s">
        <v>388</v>
      </c>
      <c r="D118" s="3" t="s">
        <v>426</v>
      </c>
      <c r="E118" s="3" t="s">
        <v>412</v>
      </c>
      <c r="F118" s="5">
        <v>-16.399999999999999</v>
      </c>
      <c r="G118" s="4">
        <v>397.5</v>
      </c>
      <c r="H118" s="4">
        <v>516.6</v>
      </c>
      <c r="I118" s="4">
        <v>647.20000000000005</v>
      </c>
      <c r="J118" s="4">
        <v>697.3</v>
      </c>
      <c r="K118" s="6">
        <v>736.6</v>
      </c>
      <c r="L118" s="4">
        <v>719</v>
      </c>
      <c r="M118" s="4">
        <v>616.4</v>
      </c>
      <c r="N118" s="4">
        <v>677.3</v>
      </c>
      <c r="O118" s="4">
        <v>696.4</v>
      </c>
      <c r="P118" s="4">
        <v>623.79999999999995</v>
      </c>
      <c r="Q118" s="4">
        <v>526.6</v>
      </c>
      <c r="R118" s="4">
        <v>460</v>
      </c>
      <c r="S118" s="4">
        <v>472.8</v>
      </c>
      <c r="T118" s="4">
        <v>450.1</v>
      </c>
      <c r="U118" s="4">
        <v>-34.4</v>
      </c>
      <c r="V118" s="4">
        <v>242.6</v>
      </c>
      <c r="W118" s="4">
        <v>287</v>
      </c>
      <c r="X118" s="7">
        <v>-8.3381336405529916E-2</v>
      </c>
      <c r="Y118" s="8">
        <v>-0.2937941869599372</v>
      </c>
      <c r="Z118" s="8">
        <v>-0.16121616611049311</v>
      </c>
      <c r="AA118" s="8">
        <v>-0.16426487490053929</v>
      </c>
    </row>
    <row r="119" spans="2:27" hidden="1" x14ac:dyDescent="0.3">
      <c r="B119" s="3" t="s">
        <v>161</v>
      </c>
      <c r="C119" s="3" t="s">
        <v>388</v>
      </c>
      <c r="D119" s="3" t="s">
        <v>425</v>
      </c>
      <c r="E119" s="3" t="s">
        <v>412</v>
      </c>
      <c r="F119" s="5">
        <v>-31.5</v>
      </c>
      <c r="G119" s="4">
        <v>292</v>
      </c>
      <c r="H119" s="4">
        <v>314</v>
      </c>
      <c r="I119" s="4">
        <v>241</v>
      </c>
      <c r="J119" s="4">
        <v>294</v>
      </c>
      <c r="K119" s="4">
        <v>287</v>
      </c>
      <c r="L119" s="4">
        <v>47</v>
      </c>
      <c r="M119" s="4">
        <v>55</v>
      </c>
      <c r="N119" s="4">
        <v>-28</v>
      </c>
      <c r="O119" s="4">
        <v>270</v>
      </c>
      <c r="P119" s="6">
        <v>247</v>
      </c>
      <c r="Q119" s="4">
        <v>96</v>
      </c>
      <c r="R119" s="6">
        <v>185</v>
      </c>
      <c r="S119" s="4">
        <v>234</v>
      </c>
      <c r="T119" s="4">
        <v>152</v>
      </c>
      <c r="U119" s="4">
        <v>64</v>
      </c>
      <c r="V119" s="4">
        <v>45</v>
      </c>
      <c r="W119" s="4">
        <v>78</v>
      </c>
      <c r="X119" s="7">
        <v>-0.12467191601049871</v>
      </c>
      <c r="Y119" s="8">
        <v>-4.7976011994003032E-2</v>
      </c>
      <c r="Z119" s="8">
        <v>-0.22047244094488189</v>
      </c>
      <c r="AA119" s="8">
        <v>-0.31515151515151518</v>
      </c>
    </row>
    <row r="120" spans="2:27" hidden="1" x14ac:dyDescent="0.3">
      <c r="B120" s="3">
        <v>3405</v>
      </c>
      <c r="C120" s="3" t="s">
        <v>409</v>
      </c>
      <c r="D120" s="3" t="s">
        <v>410</v>
      </c>
      <c r="E120" s="3" t="s">
        <v>412</v>
      </c>
      <c r="F120" s="5">
        <v>-12.7</v>
      </c>
      <c r="G120" s="4">
        <v>23921</v>
      </c>
      <c r="H120" s="4">
        <v>17938</v>
      </c>
      <c r="I120" s="4">
        <v>22145</v>
      </c>
      <c r="J120" s="4">
        <v>15946</v>
      </c>
      <c r="K120" s="6">
        <v>32756</v>
      </c>
      <c r="L120" s="4">
        <v>16292</v>
      </c>
      <c r="M120" s="4">
        <v>21325</v>
      </c>
      <c r="N120" s="4">
        <v>19646</v>
      </c>
      <c r="O120" s="4">
        <v>20731</v>
      </c>
      <c r="P120" s="4">
        <v>13774</v>
      </c>
      <c r="Q120" s="4">
        <v>28794</v>
      </c>
      <c r="R120" s="4">
        <v>16670</v>
      </c>
      <c r="S120" s="4">
        <v>28459</v>
      </c>
      <c r="T120" s="4">
        <v>11159</v>
      </c>
      <c r="U120" s="4">
        <v>18651</v>
      </c>
      <c r="V120" s="4">
        <v>7611</v>
      </c>
      <c r="W120" s="4">
        <v>20096</v>
      </c>
      <c r="X120" s="7">
        <v>-2.9818579883006291E-2</v>
      </c>
      <c r="Y120" s="8">
        <v>-0.1192144049270116</v>
      </c>
      <c r="Z120" s="8">
        <v>-0.1208849864556506</v>
      </c>
      <c r="AA120" s="8">
        <v>-0.1269429265330905</v>
      </c>
    </row>
    <row r="121" spans="2:27" hidden="1" x14ac:dyDescent="0.3">
      <c r="B121" s="3" t="s">
        <v>46</v>
      </c>
      <c r="C121" s="3" t="s">
        <v>427</v>
      </c>
      <c r="D121" s="3" t="s">
        <v>428</v>
      </c>
      <c r="E121" s="3" t="s">
        <v>429</v>
      </c>
      <c r="F121" s="5">
        <v>6581.8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4">
        <v>7.53</v>
      </c>
      <c r="T121" s="4">
        <v>-3.34</v>
      </c>
      <c r="U121" s="4">
        <v>-11.53</v>
      </c>
      <c r="V121" s="4">
        <v>6.9</v>
      </c>
      <c r="W121" s="6">
        <v>-21.43</v>
      </c>
      <c r="X121" s="11"/>
      <c r="Y121" s="3"/>
      <c r="Z121" s="3"/>
      <c r="AA121" s="9">
        <v>65.818181818182026</v>
      </c>
    </row>
    <row r="122" spans="2:27" hidden="1" x14ac:dyDescent="0.3">
      <c r="B122" s="3" t="s">
        <v>194</v>
      </c>
      <c r="C122" s="3" t="s">
        <v>427</v>
      </c>
      <c r="D122" s="3" t="s">
        <v>398</v>
      </c>
      <c r="E122" s="3" t="s">
        <v>412</v>
      </c>
      <c r="F122" s="5">
        <v>35.5</v>
      </c>
      <c r="G122" s="4">
        <v>14.81</v>
      </c>
      <c r="H122" s="4">
        <v>-2.19</v>
      </c>
      <c r="I122" s="4">
        <v>-10.01</v>
      </c>
      <c r="J122" s="4">
        <v>-150.62</v>
      </c>
      <c r="K122" s="6">
        <v>-64.17</v>
      </c>
      <c r="L122" s="6">
        <v>-26.7</v>
      </c>
      <c r="M122" s="4">
        <v>-24.98</v>
      </c>
      <c r="N122" s="4">
        <v>-10.24</v>
      </c>
      <c r="O122" s="4">
        <v>0.16</v>
      </c>
      <c r="P122" s="4">
        <v>10.65</v>
      </c>
      <c r="Q122" s="4">
        <v>7.69</v>
      </c>
      <c r="R122" s="6">
        <v>5.03</v>
      </c>
      <c r="S122" s="6">
        <v>22.38</v>
      </c>
      <c r="T122" s="6">
        <v>35.840000000000003</v>
      </c>
      <c r="U122" s="6">
        <v>47.69</v>
      </c>
      <c r="V122" s="6">
        <v>56.47</v>
      </c>
      <c r="W122" s="6">
        <v>79.959999999999994</v>
      </c>
      <c r="X122" s="10">
        <v>0.55060109289617487</v>
      </c>
      <c r="Y122" s="9">
        <v>0.56385678037778408</v>
      </c>
      <c r="Z122" s="9">
        <v>0.4636740580493961</v>
      </c>
      <c r="AA122" s="9">
        <v>0.35460032023648219</v>
      </c>
    </row>
    <row r="123" spans="2:27" x14ac:dyDescent="0.3">
      <c r="B123" s="12">
        <v>1830</v>
      </c>
      <c r="C123" s="3" t="s">
        <v>430</v>
      </c>
      <c r="D123" s="3" t="str">
        <f>VLOOKUP(B123,기업리스트!B:G,2,FALSE)</f>
        <v>Leejam Sports Company</v>
      </c>
      <c r="E123" s="3" t="s">
        <v>431</v>
      </c>
      <c r="F123" s="5">
        <v>-14.7</v>
      </c>
      <c r="G123" s="49">
        <v>268.64999999999998</v>
      </c>
      <c r="H123" s="55"/>
      <c r="I123" s="49">
        <v>115.15</v>
      </c>
      <c r="J123" s="55"/>
      <c r="K123" s="49">
        <v>184.23</v>
      </c>
      <c r="L123" s="55"/>
      <c r="M123" s="49">
        <v>184.58</v>
      </c>
      <c r="N123" s="55"/>
      <c r="O123" s="49">
        <v>200.56</v>
      </c>
      <c r="P123" s="55"/>
      <c r="Q123" s="49">
        <v>175.04</v>
      </c>
      <c r="R123" s="55"/>
      <c r="S123" s="49">
        <v>156.27000000000001</v>
      </c>
      <c r="T123" s="55"/>
      <c r="U123" s="49">
        <v>91.56</v>
      </c>
      <c r="V123" s="55"/>
      <c r="W123" s="49">
        <v>109.08</v>
      </c>
      <c r="X123" s="8">
        <f>(O123+Q123)/(O123+M123)-1</f>
        <v>-2.4770213428882859E-2</v>
      </c>
      <c r="Y123" s="8">
        <f>(Q123+S123)/(Q123+O123)-1</f>
        <v>-0.11791799787007462</v>
      </c>
      <c r="Z123" s="8">
        <f>(S123+U123)/(S123+Q123)-1</f>
        <v>-0.25196945458935738</v>
      </c>
      <c r="AA123" s="8">
        <f>(U123+W123)/(U123+S123)-1</f>
        <v>-0.19041278295605868</v>
      </c>
    </row>
  </sheetData>
  <autoFilter ref="B2:AA123" xr:uid="{00000000-0009-0000-0000-000002000000}">
    <filterColumn colId="3">
      <filters>
        <filter val="Dec'25"/>
        <filter val="H1 2026"/>
        <filter val="Jun'26"/>
        <filter val="Mar'26"/>
        <filter val="Sep'26"/>
      </filters>
    </filterColumn>
    <sortState xmlns:xlrd2="http://schemas.microsoft.com/office/spreadsheetml/2017/richdata2" ref="B3:AA123">
      <sortCondition descending="1" ref="C2:C123"/>
    </sortState>
  </autoFilter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17"/>
  <sheetViews>
    <sheetView workbookViewId="0">
      <selection activeCell="J21" sqref="J21"/>
    </sheetView>
  </sheetViews>
  <sheetFormatPr defaultRowHeight="16.5" x14ac:dyDescent="0.3"/>
  <cols>
    <col min="1" max="1" width="9.25" customWidth="1"/>
    <col min="2" max="2" width="18" customWidth="1"/>
    <col min="3" max="7" width="10.125" hidden="1" customWidth="1"/>
    <col min="8" max="23" width="10.125" customWidth="1"/>
  </cols>
  <sheetData>
    <row r="2" spans="2:27" x14ac:dyDescent="0.3">
      <c r="B2" s="29" t="s">
        <v>438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2:27" x14ac:dyDescent="0.3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2:27" x14ac:dyDescent="0.3">
      <c r="B4" s="31">
        <v>4023</v>
      </c>
      <c r="C4" s="32">
        <v>6</v>
      </c>
      <c r="D4" s="32">
        <v>7</v>
      </c>
      <c r="E4" s="32">
        <v>8</v>
      </c>
      <c r="F4" s="32">
        <v>9</v>
      </c>
      <c r="G4" s="32">
        <v>10</v>
      </c>
      <c r="H4" s="32">
        <v>11</v>
      </c>
      <c r="I4" s="32">
        <v>12</v>
      </c>
      <c r="J4" s="32">
        <v>13</v>
      </c>
      <c r="K4" s="32">
        <v>14</v>
      </c>
      <c r="L4" s="32">
        <v>15</v>
      </c>
      <c r="M4" s="32">
        <v>16</v>
      </c>
      <c r="N4" s="32">
        <v>17</v>
      </c>
      <c r="O4" s="32">
        <v>18</v>
      </c>
      <c r="P4" s="32">
        <v>19</v>
      </c>
      <c r="Q4" s="32">
        <v>20</v>
      </c>
      <c r="R4" s="32">
        <v>21</v>
      </c>
      <c r="S4" s="32">
        <v>22</v>
      </c>
      <c r="Y4" s="12" t="s">
        <v>87</v>
      </c>
      <c r="Z4" s="12">
        <v>1893</v>
      </c>
      <c r="AA4" s="3" t="s">
        <v>144</v>
      </c>
    </row>
    <row r="5" spans="2:27" ht="18.75" customHeight="1" x14ac:dyDescent="0.3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Y5" s="12" t="s">
        <v>156</v>
      </c>
      <c r="Z5" s="12"/>
      <c r="AA5" s="3"/>
    </row>
    <row r="6" spans="2:27" ht="18" customHeight="1" x14ac:dyDescent="0.3">
      <c r="B6" s="34"/>
      <c r="C6" s="35" t="s">
        <v>439</v>
      </c>
      <c r="D6" s="35" t="s">
        <v>440</v>
      </c>
      <c r="E6" s="35" t="s">
        <v>441</v>
      </c>
      <c r="F6" s="35" t="s">
        <v>442</v>
      </c>
      <c r="G6" s="35" t="s">
        <v>443</v>
      </c>
      <c r="H6" s="35" t="s">
        <v>376</v>
      </c>
      <c r="I6" s="35" t="s">
        <v>444</v>
      </c>
      <c r="J6" s="35" t="s">
        <v>445</v>
      </c>
      <c r="K6" s="35" t="s">
        <v>446</v>
      </c>
      <c r="L6" s="35" t="s">
        <v>380</v>
      </c>
      <c r="M6" s="35" t="s">
        <v>381</v>
      </c>
      <c r="N6" s="35" t="s">
        <v>382</v>
      </c>
      <c r="O6" s="35" t="s">
        <v>383</v>
      </c>
      <c r="P6" s="35" t="s">
        <v>384</v>
      </c>
      <c r="Q6" s="35" t="s">
        <v>385</v>
      </c>
      <c r="R6" s="35" t="s">
        <v>386</v>
      </c>
      <c r="S6" s="36" t="s">
        <v>387</v>
      </c>
      <c r="T6" s="35" t="s">
        <v>447</v>
      </c>
      <c r="U6" s="35" t="s">
        <v>448</v>
      </c>
      <c r="V6" s="35" t="s">
        <v>449</v>
      </c>
      <c r="W6" s="35" t="s">
        <v>450</v>
      </c>
      <c r="Y6" s="12" t="s">
        <v>340</v>
      </c>
      <c r="Z6" s="12">
        <v>9887</v>
      </c>
      <c r="AA6" s="3" t="s">
        <v>292</v>
      </c>
    </row>
    <row r="7" spans="2:27" x14ac:dyDescent="0.3">
      <c r="B7" s="37" t="s">
        <v>451</v>
      </c>
      <c r="C7" s="38">
        <f>VLOOKUP($B$4,Revenue!$B:$W,C4,FALSE)</f>
        <v>44042</v>
      </c>
      <c r="D7" s="38">
        <f>VLOOKUP($B$4,Revenue!$B:$W,D4,FALSE)</f>
        <v>45230</v>
      </c>
      <c r="E7" s="38">
        <f>VLOOKUP($B$4,Revenue!$B:$W,E4,FALSE)</f>
        <v>49280</v>
      </c>
      <c r="F7" s="38">
        <f>VLOOKUP($B$4,Revenue!$B:$W,F4,FALSE)</f>
        <v>52475</v>
      </c>
      <c r="G7" s="38">
        <f>VLOOKUP($B$4,Revenue!$B:$W,G4,FALSE)</f>
        <v>47225</v>
      </c>
      <c r="H7" s="38">
        <f>VLOOKUP($B$4,Revenue!$B:$W,H4,FALSE)</f>
        <v>42297</v>
      </c>
      <c r="I7" s="38">
        <f>VLOOKUP($B$4,Revenue!$B:$W,I4,FALSE)</f>
        <v>43759</v>
      </c>
      <c r="J7" s="38">
        <f>VLOOKUP($B$4,Revenue!$B:$W,J4,FALSE)</f>
        <v>44730</v>
      </c>
      <c r="K7" s="38">
        <f>VLOOKUP($B$4,Revenue!$B:$W,K4,FALSE)</f>
        <v>44363</v>
      </c>
      <c r="L7" s="38">
        <f>VLOOKUP($B$4,Revenue!$B:$W,L4,FALSE)</f>
        <v>45119</v>
      </c>
      <c r="M7" s="38">
        <f>VLOOKUP($B$4,Revenue!$B:$W,M4,FALSE)</f>
        <v>41934</v>
      </c>
      <c r="N7" s="38">
        <f>VLOOKUP($B$4,Revenue!$B:$W,N4,FALSE)</f>
        <v>39707</v>
      </c>
      <c r="O7" s="38">
        <f>VLOOKUP($B$4,Revenue!$B:$W,O4,FALSE)</f>
        <v>40371</v>
      </c>
      <c r="P7" s="38">
        <f>VLOOKUP($B$4,Revenue!$B:$W,P4,FALSE)</f>
        <v>40003</v>
      </c>
      <c r="Q7" s="38">
        <f>VLOOKUP($B$4,Revenue!$B:$W,Q4,FALSE)</f>
        <v>36540</v>
      </c>
      <c r="R7" s="38">
        <f>VLOOKUP($B$4,Revenue!$B:$W,R4,FALSE)</f>
        <v>40847</v>
      </c>
      <c r="S7" s="39">
        <f>VLOOKUP($B$4,Revenue!$B:$W,S4,FALSE)</f>
        <v>40376</v>
      </c>
      <c r="T7" s="38"/>
      <c r="U7" s="38"/>
      <c r="V7" s="38"/>
      <c r="W7" s="38"/>
      <c r="Y7" s="12" t="s">
        <v>34</v>
      </c>
      <c r="Z7" s="12">
        <v>5195</v>
      </c>
      <c r="AA7" s="3" t="s">
        <v>357</v>
      </c>
    </row>
    <row r="8" spans="2:27" x14ac:dyDescent="0.3">
      <c r="B8" s="37" t="s">
        <v>452</v>
      </c>
      <c r="C8" s="38">
        <f>VLOOKUP($B$4,'Operating Income'!$B:$W,C4,FALSE)</f>
        <v>6568</v>
      </c>
      <c r="D8" s="38">
        <f>VLOOKUP($B$4,'Operating Income'!$B:$W,D4,FALSE)</f>
        <v>6483</v>
      </c>
      <c r="E8" s="38">
        <f>VLOOKUP($B$4,'Operating Income'!$B:$W,E4,FALSE)</f>
        <v>7774</v>
      </c>
      <c r="F8" s="38">
        <f>VLOOKUP($B$4,'Operating Income'!$B:$W,F4,FALSE)</f>
        <v>8253</v>
      </c>
      <c r="G8" s="38">
        <f>VLOOKUP($B$4,'Operating Income'!$B:$W,G4,FALSE)</f>
        <v>7306</v>
      </c>
      <c r="H8" s="38">
        <f>VLOOKUP($B$4,'Operating Income'!$B:$W,H4,FALSE)</f>
        <v>-272</v>
      </c>
      <c r="I8" s="38">
        <f>VLOOKUP($B$4,'Operating Income'!$B:$W,I4,FALSE)</f>
        <v>5004</v>
      </c>
      <c r="J8" s="38">
        <f>VLOOKUP($B$4,'Operating Income'!$B:$W,J4,FALSE)</f>
        <v>4618</v>
      </c>
      <c r="K8" s="38">
        <f>VLOOKUP($B$4,'Operating Income'!$B:$W,K4,FALSE)</f>
        <v>6465</v>
      </c>
      <c r="L8" s="38">
        <f>VLOOKUP($B$4,'Operating Income'!$B:$W,L4,FALSE)</f>
        <v>2297</v>
      </c>
      <c r="M8" s="38">
        <f>VLOOKUP($B$4,'Operating Income'!$B:$W,M4,FALSE)</f>
        <v>2774</v>
      </c>
      <c r="N8" s="38">
        <f>VLOOKUP($B$4,'Operating Income'!$B:$W,N4,FALSE)</f>
        <v>3597</v>
      </c>
      <c r="O8" s="38">
        <f>VLOOKUP($B$4,'Operating Income'!$B:$W,O4,FALSE)</f>
        <v>3658</v>
      </c>
      <c r="P8" s="38">
        <f>VLOOKUP($B$4,'Operating Income'!$B:$W,P4,FALSE)</f>
        <v>5</v>
      </c>
      <c r="Q8" s="38">
        <f>VLOOKUP($B$4,'Operating Income'!$B:$W,Q4,FALSE)</f>
        <v>1928</v>
      </c>
      <c r="R8" s="38">
        <f>VLOOKUP($B$4,'Operating Income'!$B:$W,R4,FALSE)</f>
        <v>5235</v>
      </c>
      <c r="S8" s="39">
        <f>VLOOKUP($B$4,'Operating Income'!$B:$W,S4,FALSE)</f>
        <v>4874</v>
      </c>
      <c r="T8" s="38"/>
      <c r="U8" s="38"/>
      <c r="V8" s="38"/>
      <c r="W8" s="38"/>
      <c r="Y8" s="12" t="s">
        <v>307</v>
      </c>
      <c r="Z8" s="12">
        <v>5463</v>
      </c>
      <c r="AA8" s="3" t="s">
        <v>165</v>
      </c>
    </row>
    <row r="9" spans="2:27" x14ac:dyDescent="0.3">
      <c r="B9" s="37" t="s">
        <v>453</v>
      </c>
      <c r="C9" s="38">
        <f>AVERAGE(C8:C8)</f>
        <v>6568</v>
      </c>
      <c r="D9" s="38">
        <f>AVERAGE(C8:D8)</f>
        <v>6525.5</v>
      </c>
      <c r="E9" s="38">
        <f>AVERAGE(C8:E8)</f>
        <v>6941.666666666667</v>
      </c>
      <c r="F9" s="38">
        <f t="shared" ref="F9:R9" si="0">AVERAGE(C8:F8)</f>
        <v>7269.5</v>
      </c>
      <c r="G9" s="38">
        <f t="shared" si="0"/>
        <v>7454</v>
      </c>
      <c r="H9" s="38">
        <f t="shared" si="0"/>
        <v>5765.25</v>
      </c>
      <c r="I9" s="38">
        <f t="shared" si="0"/>
        <v>5072.75</v>
      </c>
      <c r="J9" s="38">
        <f>AVERAGE(G8:J8)</f>
        <v>4164</v>
      </c>
      <c r="K9" s="38">
        <f t="shared" si="0"/>
        <v>3953.75</v>
      </c>
      <c r="L9" s="38">
        <f t="shared" si="0"/>
        <v>4596</v>
      </c>
      <c r="M9" s="38">
        <f t="shared" si="0"/>
        <v>4038.5</v>
      </c>
      <c r="N9" s="38">
        <f t="shared" si="0"/>
        <v>3783.25</v>
      </c>
      <c r="O9" s="38">
        <f t="shared" si="0"/>
        <v>3081.5</v>
      </c>
      <c r="P9" s="38">
        <f t="shared" si="0"/>
        <v>2508.5</v>
      </c>
      <c r="Q9" s="38">
        <f t="shared" si="0"/>
        <v>2297</v>
      </c>
      <c r="R9" s="38">
        <f t="shared" si="0"/>
        <v>2706.5</v>
      </c>
      <c r="S9" s="39">
        <f>AVERAGE(P8:S8)</f>
        <v>3010.5</v>
      </c>
      <c r="T9" s="38"/>
      <c r="U9" s="38"/>
      <c r="V9" s="38"/>
      <c r="W9" s="38"/>
      <c r="Y9" s="12" t="s">
        <v>50</v>
      </c>
      <c r="Z9" s="12">
        <v>5805</v>
      </c>
      <c r="AA9" s="3" t="s">
        <v>182</v>
      </c>
    </row>
    <row r="10" spans="2:27" x14ac:dyDescent="0.3">
      <c r="B10" s="37" t="s">
        <v>454</v>
      </c>
      <c r="C10" s="38">
        <f>SUM(C8:C8)</f>
        <v>6568</v>
      </c>
      <c r="D10" s="38">
        <f>SUM(C8:D8)</f>
        <v>13051</v>
      </c>
      <c r="E10" s="38">
        <f>SUM(C8:E8)</f>
        <v>20825</v>
      </c>
      <c r="F10" s="38">
        <f t="shared" ref="F10:S10" si="1">SUM(C8:F8)</f>
        <v>29078</v>
      </c>
      <c r="G10" s="38">
        <f t="shared" si="1"/>
        <v>29816</v>
      </c>
      <c r="H10" s="38">
        <f t="shared" si="1"/>
        <v>23061</v>
      </c>
      <c r="I10" s="38">
        <f t="shared" si="1"/>
        <v>20291</v>
      </c>
      <c r="J10" s="38">
        <f t="shared" si="1"/>
        <v>16656</v>
      </c>
      <c r="K10" s="38">
        <f t="shared" si="1"/>
        <v>15815</v>
      </c>
      <c r="L10" s="38">
        <f t="shared" si="1"/>
        <v>18384</v>
      </c>
      <c r="M10" s="38">
        <f t="shared" si="1"/>
        <v>16154</v>
      </c>
      <c r="N10" s="38">
        <f t="shared" si="1"/>
        <v>15133</v>
      </c>
      <c r="O10" s="38">
        <f t="shared" si="1"/>
        <v>12326</v>
      </c>
      <c r="P10" s="38">
        <f t="shared" si="1"/>
        <v>10034</v>
      </c>
      <c r="Q10" s="38">
        <f t="shared" si="1"/>
        <v>9188</v>
      </c>
      <c r="R10" s="38">
        <f t="shared" si="1"/>
        <v>10826</v>
      </c>
      <c r="S10" s="39">
        <f t="shared" si="1"/>
        <v>12042</v>
      </c>
      <c r="T10" s="38"/>
      <c r="U10" s="38"/>
      <c r="V10" s="38"/>
      <c r="W10" s="38"/>
      <c r="Z10" s="12">
        <v>8361</v>
      </c>
      <c r="AA10" s="3" t="s">
        <v>243</v>
      </c>
    </row>
    <row r="11" spans="2:27" x14ac:dyDescent="0.3">
      <c r="B11" s="37" t="s">
        <v>455</v>
      </c>
      <c r="C11" s="40"/>
      <c r="D11" s="40">
        <f t="shared" ref="D11:S11" si="2">D9/C9-1</f>
        <v>-6.4707673568819013E-3</v>
      </c>
      <c r="E11" s="40">
        <f t="shared" si="2"/>
        <v>6.3775445048910751E-2</v>
      </c>
      <c r="F11" s="40">
        <f t="shared" si="2"/>
        <v>4.7226890756302486E-2</v>
      </c>
      <c r="G11" s="40">
        <f t="shared" si="2"/>
        <v>2.5380012380493921E-2</v>
      </c>
      <c r="H11" s="40">
        <f t="shared" si="2"/>
        <v>-0.22655621143010463</v>
      </c>
      <c r="I11" s="40">
        <f t="shared" si="2"/>
        <v>-0.1201162135206626</v>
      </c>
      <c r="J11" s="40">
        <f t="shared" si="2"/>
        <v>-0.17914346261889502</v>
      </c>
      <c r="K11" s="40">
        <f t="shared" si="2"/>
        <v>-5.0492315081652306E-2</v>
      </c>
      <c r="L11" s="40">
        <f t="shared" si="2"/>
        <v>0.16244072083465055</v>
      </c>
      <c r="M11" s="40">
        <f t="shared" si="2"/>
        <v>-0.12130113141862486</v>
      </c>
      <c r="N11" s="40">
        <f t="shared" si="2"/>
        <v>-6.3204159960381312E-2</v>
      </c>
      <c r="O11" s="40">
        <f t="shared" si="2"/>
        <v>-0.18548866715125889</v>
      </c>
      <c r="P11" s="41">
        <f t="shared" si="2"/>
        <v>-0.18594840175239336</v>
      </c>
      <c r="Q11" s="41">
        <f t="shared" si="2"/>
        <v>-8.4313334662148742E-2</v>
      </c>
      <c r="R11" s="41">
        <f t="shared" si="2"/>
        <v>0.17827601218981282</v>
      </c>
      <c r="S11" s="42">
        <f t="shared" si="2"/>
        <v>0.11232218732680588</v>
      </c>
      <c r="T11" s="43"/>
      <c r="U11" s="43"/>
      <c r="V11" s="43"/>
      <c r="W11" s="43"/>
      <c r="Z11" s="12">
        <v>6588</v>
      </c>
      <c r="AA11" s="3" t="s">
        <v>267</v>
      </c>
    </row>
    <row r="12" spans="2:27" x14ac:dyDescent="0.3">
      <c r="B12" s="37" t="s">
        <v>432</v>
      </c>
      <c r="C12" s="44">
        <f t="shared" ref="C12:F12" si="3">IFERROR(C8/C7,"-")</f>
        <v>0.14913037555061079</v>
      </c>
      <c r="D12" s="44">
        <f t="shared" si="3"/>
        <v>0.14333407030731815</v>
      </c>
      <c r="E12" s="44">
        <f t="shared" si="3"/>
        <v>0.15775162337662338</v>
      </c>
      <c r="F12" s="44">
        <f t="shared" si="3"/>
        <v>0.15727489280609813</v>
      </c>
      <c r="G12" s="44">
        <f>IFERROR(G8/G7,"-")</f>
        <v>0.15470619375330863</v>
      </c>
      <c r="H12" s="44">
        <f t="shared" ref="H12:S12" si="4">IFERROR(H8/H7,"-")</f>
        <v>-6.4307161264392275E-3</v>
      </c>
      <c r="I12" s="44">
        <f t="shared" si="4"/>
        <v>0.1143536186841564</v>
      </c>
      <c r="J12" s="44">
        <f t="shared" si="4"/>
        <v>0.10324167225575677</v>
      </c>
      <c r="K12" s="44">
        <f t="shared" si="4"/>
        <v>0.14572954939927418</v>
      </c>
      <c r="L12" s="44">
        <f t="shared" si="4"/>
        <v>5.0909816263658328E-2</v>
      </c>
      <c r="M12" s="44">
        <f t="shared" si="4"/>
        <v>6.6151571517145985E-2</v>
      </c>
      <c r="N12" s="44">
        <f t="shared" si="4"/>
        <v>9.0588561210869625E-2</v>
      </c>
      <c r="O12" s="44">
        <f t="shared" si="4"/>
        <v>9.0609595997126646E-2</v>
      </c>
      <c r="P12" s="44">
        <f t="shared" si="4"/>
        <v>1.2499062570307226E-4</v>
      </c>
      <c r="Q12" s="44">
        <f t="shared" si="4"/>
        <v>5.2764094143404487E-2</v>
      </c>
      <c r="R12" s="44">
        <f t="shared" si="4"/>
        <v>0.12816118686806866</v>
      </c>
      <c r="S12" s="45">
        <f t="shared" si="4"/>
        <v>0.12071527640182286</v>
      </c>
      <c r="T12" s="46"/>
      <c r="U12" s="46"/>
      <c r="V12" s="46"/>
      <c r="W12" s="46"/>
      <c r="Z12" s="12">
        <v>4186</v>
      </c>
      <c r="AA12" s="3" t="s">
        <v>105</v>
      </c>
    </row>
    <row r="13" spans="2:27" x14ac:dyDescent="0.3">
      <c r="B13" s="37" t="s">
        <v>456</v>
      </c>
      <c r="C13" s="46" t="e">
        <f>C8/#REF!-1</f>
        <v>#REF!</v>
      </c>
      <c r="D13" s="46" t="e">
        <f>D8/#REF!-1</f>
        <v>#REF!</v>
      </c>
      <c r="E13" s="46" t="e">
        <f>E8/#REF!-1</f>
        <v>#REF!</v>
      </c>
      <c r="F13" s="46" t="e">
        <f>F8/#REF!-1</f>
        <v>#REF!</v>
      </c>
      <c r="G13" s="46">
        <f t="shared" ref="G13:S13" si="5">G8/C8-1</f>
        <v>0.11236297198538359</v>
      </c>
      <c r="H13" s="46">
        <f t="shared" si="5"/>
        <v>-1.0419558846213173</v>
      </c>
      <c r="I13" s="46">
        <f t="shared" si="5"/>
        <v>-0.35631592487779784</v>
      </c>
      <c r="J13" s="46">
        <f t="shared" si="5"/>
        <v>-0.44044589846116566</v>
      </c>
      <c r="K13" s="46">
        <f t="shared" si="5"/>
        <v>-0.11511086777990698</v>
      </c>
      <c r="L13" s="46">
        <f t="shared" si="5"/>
        <v>-9.444852941176471</v>
      </c>
      <c r="M13" s="46">
        <f t="shared" si="5"/>
        <v>-0.4456434852118305</v>
      </c>
      <c r="N13" s="46">
        <f t="shared" si="5"/>
        <v>-0.22109138155045471</v>
      </c>
      <c r="O13" s="46">
        <f t="shared" si="5"/>
        <v>-0.43418406805877807</v>
      </c>
      <c r="P13" s="47">
        <f t="shared" si="5"/>
        <v>-0.99782324771441011</v>
      </c>
      <c r="Q13" s="47">
        <f t="shared" si="5"/>
        <v>-0.30497476568132664</v>
      </c>
      <c r="R13" s="47">
        <f t="shared" si="5"/>
        <v>0.4553794829024187</v>
      </c>
      <c r="S13" s="48">
        <f t="shared" si="5"/>
        <v>0.33242208857299071</v>
      </c>
      <c r="T13" s="46"/>
      <c r="U13" s="46"/>
      <c r="V13" s="46"/>
      <c r="W13" s="46"/>
      <c r="Z13" s="12">
        <v>7189</v>
      </c>
      <c r="AA13" s="3" t="s">
        <v>149</v>
      </c>
    </row>
    <row r="14" spans="2:27" x14ac:dyDescent="0.3">
      <c r="B14" s="37" t="s">
        <v>457</v>
      </c>
      <c r="G14" s="46">
        <f>G7/C7-1</f>
        <v>7.2271922256028409E-2</v>
      </c>
      <c r="H14" s="46">
        <f>H7/D7-1</f>
        <v>-6.4846340924165413E-2</v>
      </c>
      <c r="I14" s="46">
        <f t="shared" ref="I14:S14" si="6">I7/E7-1</f>
        <v>-0.11203327922077921</v>
      </c>
      <c r="J14" s="46">
        <f t="shared" si="6"/>
        <v>-0.14759409242496424</v>
      </c>
      <c r="K14" s="46">
        <f t="shared" si="6"/>
        <v>-6.060349391212283E-2</v>
      </c>
      <c r="L14" s="46">
        <f t="shared" si="6"/>
        <v>6.6718679811806902E-2</v>
      </c>
      <c r="M14" s="46">
        <f t="shared" si="6"/>
        <v>-4.1705706254713371E-2</v>
      </c>
      <c r="N14" s="46">
        <f t="shared" si="6"/>
        <v>-0.11229599821149117</v>
      </c>
      <c r="O14" s="46">
        <f t="shared" si="6"/>
        <v>-8.9984897324346891E-2</v>
      </c>
      <c r="P14" s="46">
        <f t="shared" si="6"/>
        <v>-0.11338903787761256</v>
      </c>
      <c r="Q14" s="46">
        <f t="shared" si="6"/>
        <v>-0.12863070539419086</v>
      </c>
      <c r="R14" s="46">
        <f t="shared" si="6"/>
        <v>2.8710302969249701E-2</v>
      </c>
      <c r="S14" s="46">
        <f t="shared" si="6"/>
        <v>1.2385127938374652E-4</v>
      </c>
      <c r="Z14" s="12">
        <v>1870</v>
      </c>
      <c r="AA14" s="3" t="s">
        <v>323</v>
      </c>
    </row>
    <row r="15" spans="2:27" x14ac:dyDescent="0.3">
      <c r="Z15" s="12">
        <v>4385</v>
      </c>
      <c r="AA15" s="3" t="s">
        <v>132</v>
      </c>
    </row>
    <row r="16" spans="2:27" x14ac:dyDescent="0.3">
      <c r="Z16" s="12">
        <v>8392</v>
      </c>
      <c r="AA16" s="3" t="s">
        <v>319</v>
      </c>
    </row>
    <row r="17" spans="26:27" x14ac:dyDescent="0.3">
      <c r="Z17" s="12">
        <v>4023</v>
      </c>
      <c r="AA17" s="3" t="s">
        <v>277</v>
      </c>
    </row>
  </sheetData>
  <phoneticPr fontId="5" type="noConversion"/>
  <conditionalFormatting sqref="B10:P10">
    <cfRule type="top10" dxfId="3" priority="18" percent="1" rank="5"/>
  </conditionalFormatting>
  <conditionalFormatting sqref="B8:S8">
    <cfRule type="top10" dxfId="2" priority="19" percent="1" rank="10"/>
  </conditionalFormatting>
  <conditionalFormatting sqref="B10:S10">
    <cfRule type="top10" priority="20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2026-02-10T10:50:53Z</dcterms:created>
  <dcterms:modified xsi:type="dcterms:W3CDTF">2026-02-10T12:21:18Z</dcterms:modified>
</cp:coreProperties>
</file>