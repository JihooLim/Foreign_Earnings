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툴 개발\finchat 키인\260202\"/>
    </mc:Choice>
  </mc:AlternateContent>
  <xr:revisionPtr revIDLastSave="0" documentId="13_ncr:1_{F9EE8580-DE95-4538-B7AD-8DA439BEF379}" xr6:coauthVersionLast="47" xr6:coauthVersionMax="47" xr10:uidLastSave="{00000000-0000-0000-0000-000000000000}"/>
  <bookViews>
    <workbookView xWindow="3150" yWindow="480" windowWidth="22950" windowHeight="13350" xr2:uid="{00000000-000D-0000-FFFF-FFFF00000000}"/>
  </bookViews>
  <sheets>
    <sheet name="기업리스트" sheetId="1" r:id="rId1"/>
    <sheet name="Revenue" sheetId="2" r:id="rId2"/>
    <sheet name="Operating Income" sheetId="3" r:id="rId3"/>
    <sheet name="빨간줄" sheetId="4" r:id="rId4"/>
  </sheets>
  <definedNames>
    <definedName name="_xlnm._FilterDatabase" localSheetId="2" hidden="1">'Operating Income'!$B$2:$AA$77</definedName>
    <definedName name="_xlnm._FilterDatabase" localSheetId="1" hidden="1">Revenue!$B$2:$AA$77</definedName>
    <definedName name="_xlnm._FilterDatabase" localSheetId="0" hidden="1">기업리스트!$B$3:$G$132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2" l="1"/>
  <c r="D72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75" i="3"/>
  <c r="D72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I9" i="4" l="1"/>
  <c r="M12" i="4"/>
  <c r="Q13" i="4"/>
  <c r="H9" i="4"/>
  <c r="M10" i="4"/>
  <c r="P13" i="4"/>
  <c r="Q12" i="4"/>
  <c r="P10" i="4"/>
  <c r="K12" i="4"/>
  <c r="Q10" i="4"/>
  <c r="S9" i="4"/>
  <c r="G13" i="4"/>
  <c r="S13" i="4"/>
  <c r="K13" i="4"/>
  <c r="E12" i="4"/>
  <c r="F10" i="4"/>
  <c r="R10" i="4"/>
  <c r="H13" i="4"/>
  <c r="C9" i="4"/>
  <c r="N14" i="4"/>
  <c r="L14" i="4"/>
  <c r="R14" i="4"/>
  <c r="P14" i="4"/>
  <c r="S14" i="4"/>
  <c r="G14" i="4"/>
  <c r="O14" i="4"/>
  <c r="H14" i="4"/>
  <c r="I14" i="4"/>
  <c r="D12" i="4"/>
  <c r="P12" i="4"/>
  <c r="J14" i="4"/>
  <c r="I12" i="4"/>
  <c r="K14" i="4"/>
  <c r="L9" i="4"/>
  <c r="G10" i="4"/>
  <c r="S10" i="4"/>
  <c r="J12" i="4"/>
  <c r="I13" i="4"/>
  <c r="M9" i="4"/>
  <c r="H10" i="4"/>
  <c r="J13" i="4"/>
  <c r="N9" i="4"/>
  <c r="I10" i="4"/>
  <c r="L12" i="4"/>
  <c r="O9" i="4"/>
  <c r="L13" i="4"/>
  <c r="D9" i="4"/>
  <c r="P9" i="4"/>
  <c r="K10" i="4"/>
  <c r="N12" i="4"/>
  <c r="M13" i="4"/>
  <c r="E9" i="4"/>
  <c r="Q9" i="4"/>
  <c r="L10" i="4"/>
  <c r="C12" i="4"/>
  <c r="O12" i="4"/>
  <c r="N13" i="4"/>
  <c r="M14" i="4"/>
  <c r="J10" i="4"/>
  <c r="F9" i="4"/>
  <c r="R9" i="4"/>
  <c r="O13" i="4"/>
  <c r="C10" i="4"/>
  <c r="O10" i="4"/>
  <c r="F12" i="4"/>
  <c r="R12" i="4"/>
  <c r="G9" i="4"/>
  <c r="D10" i="4"/>
  <c r="G12" i="4"/>
  <c r="S12" i="4"/>
  <c r="R13" i="4"/>
  <c r="Q14" i="4"/>
  <c r="N10" i="4"/>
  <c r="J9" i="4"/>
  <c r="J11" i="4" s="1"/>
  <c r="E10" i="4"/>
  <c r="H12" i="4"/>
  <c r="K9" i="4"/>
  <c r="I11" i="4" l="1"/>
  <c r="H11" i="4"/>
  <c r="D11" i="4"/>
  <c r="N11" i="4"/>
  <c r="P11" i="4"/>
  <c r="K11" i="4"/>
  <c r="Q11" i="4"/>
  <c r="E11" i="4"/>
  <c r="M11" i="4"/>
  <c r="R11" i="4"/>
  <c r="O11" i="4"/>
  <c r="F11" i="4"/>
  <c r="L11" i="4"/>
  <c r="S11" i="4"/>
  <c r="G11" i="4"/>
</calcChain>
</file>

<file path=xl/sharedStrings.xml><?xml version="1.0" encoding="utf-8"?>
<sst xmlns="http://schemas.openxmlformats.org/spreadsheetml/2006/main" count="1035" uniqueCount="304">
  <si>
    <t>실적 기업 정보</t>
  </si>
  <si>
    <t>Ticker</t>
  </si>
  <si>
    <t>Company</t>
  </si>
  <si>
    <t>Date</t>
  </si>
  <si>
    <t>Time</t>
  </si>
  <si>
    <t>Quarter Ending</t>
  </si>
  <si>
    <t>Market Cap (mil$)</t>
  </si>
  <si>
    <t>PLTR</t>
  </si>
  <si>
    <t>Palantir Technologies Inc.</t>
  </si>
  <si>
    <t>02-Feb-26</t>
  </si>
  <si>
    <t>After Hours</t>
  </si>
  <si>
    <t>Dec-25</t>
  </si>
  <si>
    <t>DIS</t>
  </si>
  <si>
    <t>The Walt Disney Company</t>
  </si>
  <si>
    <t>ISP</t>
  </si>
  <si>
    <t>Intesa Sanpaolo S.p.A.</t>
  </si>
  <si>
    <t>Mizuho Financial Group, Inc.</t>
  </si>
  <si>
    <t>ITUB4</t>
  </si>
  <si>
    <t>Itaú Unibanco Holding S.A.</t>
  </si>
  <si>
    <t>SPG</t>
  </si>
  <si>
    <t>Simon Property Group, Inc.</t>
  </si>
  <si>
    <t>NXPI</t>
  </si>
  <si>
    <t>NXP Semiconductors N.V.</t>
  </si>
  <si>
    <t>IDXX</t>
  </si>
  <si>
    <t>IDEXX Laboratories, Inc.</t>
  </si>
  <si>
    <t>Pre Market</t>
  </si>
  <si>
    <t>Murata Manufacturing Co., Ltd.</t>
  </si>
  <si>
    <t>TER</t>
  </si>
  <si>
    <t>Teradyne, Inc.</t>
  </si>
  <si>
    <t>East Japan Railway Company</t>
  </si>
  <si>
    <t>Central Japan Railway Company</t>
  </si>
  <si>
    <t>TDK Corporation</t>
  </si>
  <si>
    <t>Riyad Bank</t>
  </si>
  <si>
    <t>Kyocera Corporation</t>
  </si>
  <si>
    <t>TSN</t>
  </si>
  <si>
    <t>Tyson Foods, Inc.</t>
  </si>
  <si>
    <t>Alinma Bank</t>
  </si>
  <si>
    <t>Saudi Awwal Bank</t>
  </si>
  <si>
    <t>APTV</t>
  </si>
  <si>
    <t>Aptiv PLC</t>
  </si>
  <si>
    <t>WWD</t>
  </si>
  <si>
    <t>Woodward, Inc.</t>
  </si>
  <si>
    <t>BAER</t>
  </si>
  <si>
    <t>Julius Bär Gruppe AG</t>
  </si>
  <si>
    <t>DOC</t>
  </si>
  <si>
    <t>Healthpeak Properties, Inc.</t>
  </si>
  <si>
    <t>A000810</t>
  </si>
  <si>
    <t>Samsung Fire &amp; Marine Insurance Co., Ltd.</t>
  </si>
  <si>
    <t>FN</t>
  </si>
  <si>
    <t>Fabrinet</t>
  </si>
  <si>
    <t>Bank Albilad</t>
  </si>
  <si>
    <t>Osaka Gas Co., Ltd.</t>
  </si>
  <si>
    <t>Daiwa Securities Group Inc.</t>
  </si>
  <si>
    <t>RVTY</t>
  </si>
  <si>
    <t>Revvity, Inc.</t>
  </si>
  <si>
    <t>RMBS</t>
  </si>
  <si>
    <t>Rambus Inc.</t>
  </si>
  <si>
    <t>INDUSTOWER</t>
  </si>
  <si>
    <t>Indus Towers Limited</t>
  </si>
  <si>
    <t>Chubu Electric Power Company, Incorporated</t>
  </si>
  <si>
    <t>LARGAN Precision Co.,Ltd</t>
  </si>
  <si>
    <t>DVA</t>
  </si>
  <si>
    <t>DaVita Inc.</t>
  </si>
  <si>
    <t>POLICYBZR</t>
  </si>
  <si>
    <t>PB Fintech Limited</t>
  </si>
  <si>
    <t>CHMF</t>
  </si>
  <si>
    <t>Public Joint Stock Company Severstal</t>
  </si>
  <si>
    <t>Otsuka Corporation</t>
  </si>
  <si>
    <t>GICRE</t>
  </si>
  <si>
    <t>General Insurance Corporation of India</t>
  </si>
  <si>
    <t>AKBNK</t>
  </si>
  <si>
    <t>Akbank T.A.S.</t>
  </si>
  <si>
    <t>UPL Limited</t>
  </si>
  <si>
    <t>The Chiba Bank, Ltd.</t>
  </si>
  <si>
    <t>SUNDARMFIN</t>
  </si>
  <si>
    <t>Sundaram Finance Limited</t>
  </si>
  <si>
    <t>MTG</t>
  </si>
  <si>
    <t>MGIC Investment Corporation</t>
  </si>
  <si>
    <t>The National Shipping Company of Saudi Arabia</t>
  </si>
  <si>
    <t>Yamato Holdings Co., Ltd.</t>
  </si>
  <si>
    <t>NJR</t>
  </si>
  <si>
    <t>New Jersey Resources Corporation</t>
  </si>
  <si>
    <t>ARG</t>
  </si>
  <si>
    <t>Argo Investments Limited</t>
  </si>
  <si>
    <t>HESM</t>
  </si>
  <si>
    <t>Hess Midstream LP</t>
  </si>
  <si>
    <t>Bank AlJazira</t>
  </si>
  <si>
    <t>NLC India Limited</t>
  </si>
  <si>
    <t>NH Foods Ltd.</t>
  </si>
  <si>
    <t>USLM</t>
  </si>
  <si>
    <t>United States Lime &amp; Minerals, Inc.</t>
  </si>
  <si>
    <t>THERMAX</t>
  </si>
  <si>
    <t>Thermax Limited</t>
  </si>
  <si>
    <t>Honeywell Automation India Limited</t>
  </si>
  <si>
    <t>PCH</t>
  </si>
  <si>
    <t>PotlatchDeltic Corporation</t>
  </si>
  <si>
    <t>ZUGER</t>
  </si>
  <si>
    <t>Zuger Kantonalbank</t>
  </si>
  <si>
    <t>F&amp;N</t>
  </si>
  <si>
    <t>Fraser &amp; Neave Holdings Bhd</t>
  </si>
  <si>
    <t>ARLP</t>
  </si>
  <si>
    <t>Alliance Resource Partners, L.P.</t>
  </si>
  <si>
    <t>VFQS</t>
  </si>
  <si>
    <t>Vodafone Qatar P.Q.S.C.</t>
  </si>
  <si>
    <t>Hirogin Holdings, Inc.</t>
  </si>
  <si>
    <t>Macnica Holdings, Inc.</t>
  </si>
  <si>
    <t>KINV B</t>
  </si>
  <si>
    <t>Kinnevik AB</t>
  </si>
  <si>
    <t>ERIS</t>
  </si>
  <si>
    <t>Eris Lifesciences Limited</t>
  </si>
  <si>
    <t>ASH</t>
  </si>
  <si>
    <t>Ashland Inc.</t>
  </si>
  <si>
    <t>CUB</t>
  </si>
  <si>
    <t>City Union Bank Limited</t>
  </si>
  <si>
    <t>Tata Chemicals Limited</t>
  </si>
  <si>
    <t>BASF</t>
  </si>
  <si>
    <t>BASF India Limited</t>
  </si>
  <si>
    <t>Poly Medicure Limited</t>
  </si>
  <si>
    <t>A204320</t>
  </si>
  <si>
    <t>HL Mando Corporation</t>
  </si>
  <si>
    <t>APLLTD</t>
  </si>
  <si>
    <t>Alembic Pharmaceuticals Limited</t>
  </si>
  <si>
    <t>C2PU</t>
  </si>
  <si>
    <t>Parkway Life Real Estate Investment Trust</t>
  </si>
  <si>
    <t>Mitsubishi Shokuhin Co., Ltd.</t>
  </si>
  <si>
    <t>TWST</t>
  </si>
  <si>
    <t>Twist Bioscience Corporation</t>
  </si>
  <si>
    <t>A000240</t>
  </si>
  <si>
    <t>Hankook &amp; Company Co., Ltd.</t>
  </si>
  <si>
    <t>Nippon Kayaku Co., Ltd.</t>
  </si>
  <si>
    <t>Kotobuki Spirits Co., Ltd.</t>
  </si>
  <si>
    <t>RHLD</t>
  </si>
  <si>
    <t>Resolute Holdings Management, Inc.</t>
  </si>
  <si>
    <t>Kagome Co., Ltd.</t>
  </si>
  <si>
    <t>FINEORG</t>
  </si>
  <si>
    <t>Fine Organic Industries Limited</t>
  </si>
  <si>
    <t>Zydus Wellness Limited</t>
  </si>
  <si>
    <t>Aarti Industries Limited</t>
  </si>
  <si>
    <t>A030000</t>
  </si>
  <si>
    <t>Cheil Worldwide Inc.</t>
  </si>
  <si>
    <t>GCHE</t>
  </si>
  <si>
    <t>Public Joint Stock Company Cherkizovo Group""</t>
  </si>
  <si>
    <t>JK Tyre &amp; Industries Limited</t>
  </si>
  <si>
    <t>A004800</t>
  </si>
  <si>
    <t>Hyosung Corporation</t>
  </si>
  <si>
    <t>NSSC</t>
  </si>
  <si>
    <t>Napco Security Technologies, Inc.</t>
  </si>
  <si>
    <t>GISS</t>
  </si>
  <si>
    <t>Gulf International Services Q.P.S.C.</t>
  </si>
  <si>
    <t>A097230</t>
  </si>
  <si>
    <t>HJ Shipbuilding &amp; Construction Co., Ltd.</t>
  </si>
  <si>
    <t>SHRIPISTON</t>
  </si>
  <si>
    <t>Shriram Pistons &amp; Rings Limited</t>
  </si>
  <si>
    <t>The Kiyo Bank, Ltd.</t>
  </si>
  <si>
    <t>CSWC</t>
  </si>
  <si>
    <t>Capital Southwest Corporation</t>
  </si>
  <si>
    <t>Safari Industries (India) Limited</t>
  </si>
  <si>
    <t>A098460</t>
  </si>
  <si>
    <t>Koh Young Technology Inc.</t>
  </si>
  <si>
    <t>Takara Standard Co.,Ltd.</t>
  </si>
  <si>
    <t>The Hyakujushi Bank, Ltd.</t>
  </si>
  <si>
    <t>ATX</t>
  </si>
  <si>
    <t>ATEX Resources Inc.</t>
  </si>
  <si>
    <t>HFCL</t>
  </si>
  <si>
    <t>HFCL Limited</t>
  </si>
  <si>
    <t>A089030</t>
  </si>
  <si>
    <t>Techwing, Inc.</t>
  </si>
  <si>
    <t>ACAD</t>
  </si>
  <si>
    <t>AcadeMedia AB (publ)</t>
  </si>
  <si>
    <t>TWO</t>
  </si>
  <si>
    <t>Two Harbors Investment Corp.</t>
  </si>
  <si>
    <t>The Toho Bank, Ltd.</t>
  </si>
  <si>
    <t>ShinMaywa Industries, Ltd.</t>
  </si>
  <si>
    <t>BESALCO</t>
  </si>
  <si>
    <t>Besalco S.A.</t>
  </si>
  <si>
    <t>Prima Meat Packers, Ltd.</t>
  </si>
  <si>
    <t>APOLLO</t>
  </si>
  <si>
    <t>Apollo Micro Systems Limited</t>
  </si>
  <si>
    <t>PCJEWELLER</t>
  </si>
  <si>
    <t>PC Jeweller Limited</t>
  </si>
  <si>
    <t>TSKB</t>
  </si>
  <si>
    <t>Türkiye Sinai Kalkinma Bankasi A.S.</t>
  </si>
  <si>
    <t>CRLO</t>
  </si>
  <si>
    <t>Caisse Régionale de Crédit Agricole Mutuel Loire Haute-Loire Société coopérative</t>
  </si>
  <si>
    <t>A100090</t>
  </si>
  <si>
    <t>SK oceanplant Co.,Ltd</t>
  </si>
  <si>
    <t>TOCALO Co.,Ltd.</t>
  </si>
  <si>
    <t>Kirloskar Ferrous Industries Limited</t>
  </si>
  <si>
    <t>RELIGARE</t>
  </si>
  <si>
    <t>Religare Enterprises Limited</t>
  </si>
  <si>
    <t>A185750</t>
  </si>
  <si>
    <t>Chong Kun Dang Pharmaceutical Corp.</t>
  </si>
  <si>
    <t>Thomas Cook (India) Limited</t>
  </si>
  <si>
    <t>GMO Financial Holdings, Inc.</t>
  </si>
  <si>
    <t>RattanIndia Enterprises Limited</t>
  </si>
  <si>
    <t>Futaba Industrial Co., Ltd.</t>
  </si>
  <si>
    <t>AvenuesAI Limited</t>
  </si>
  <si>
    <t>MIDHANI</t>
  </si>
  <si>
    <t>Mishra Dhatu Nigam Limited</t>
  </si>
  <si>
    <t>Sharda Motor Industries Limited</t>
  </si>
  <si>
    <t>India Glycols Limited</t>
  </si>
  <si>
    <t>Proto Corporation</t>
  </si>
  <si>
    <t>FTC</t>
  </si>
  <si>
    <t>Filtronic plc</t>
  </si>
  <si>
    <t>Nov-25</t>
  </si>
  <si>
    <t>Chuo Spring Co.,Ltd.</t>
  </si>
  <si>
    <t>KFRC</t>
  </si>
  <si>
    <t>Kforce Inc.</t>
  </si>
  <si>
    <t>Dhanuka Agritech Limited</t>
  </si>
  <si>
    <t>A003850</t>
  </si>
  <si>
    <t>Boryung Corporation</t>
  </si>
  <si>
    <t>A001680</t>
  </si>
  <si>
    <t>Daesang Corporation</t>
  </si>
  <si>
    <t>Sky Gold and Diamonds Limited</t>
  </si>
  <si>
    <t>Bannari Amman Sugars Limited</t>
  </si>
  <si>
    <t>Country</t>
  </si>
  <si>
    <t>Industry</t>
  </si>
  <si>
    <t>Latest_Date</t>
  </si>
  <si>
    <t>Growth_Rate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</si>
  <si>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</si>
  <si>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</si>
  <si>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</si>
  <si>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</si>
  <si>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</si>
  <si>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</si>
  <si>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</si>
  <si>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</si>
  <si>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</si>
  <si>
    <t>1Q24</t>
  </si>
  <si>
    <t>2Q24</t>
  </si>
  <si>
    <t>3Q24</t>
  </si>
  <si>
    <t>4Q24</t>
  </si>
  <si>
    <t>1Q25</t>
  </si>
  <si>
    <t>2Q25</t>
  </si>
  <si>
    <t>3Q25</t>
  </si>
  <si>
    <t>4Q25</t>
  </si>
  <si>
    <t>United States</t>
  </si>
  <si>
    <t>Software - Infrastructure</t>
  </si>
  <si>
    <t>Dec'25</t>
  </si>
  <si>
    <t>Semiconductor Equipment &amp; Materials</t>
  </si>
  <si>
    <t>Electronic Components</t>
  </si>
  <si>
    <t>Jun'26</t>
  </si>
  <si>
    <t>Aerospace &amp; Defense</t>
  </si>
  <si>
    <t>Mar'26</t>
  </si>
  <si>
    <t>Utilities - Regulated Gas</t>
  </si>
  <si>
    <t>Asset Management</t>
  </si>
  <si>
    <t>Sep'26</t>
  </si>
  <si>
    <t>Semiconductors</t>
  </si>
  <si>
    <t>Diagnostics &amp; Research</t>
  </si>
  <si>
    <t>REIT - Retail</t>
  </si>
  <si>
    <t>Security &amp; Protection Services</t>
  </si>
  <si>
    <t>Medical Care Facilities</t>
  </si>
  <si>
    <t>Building Materials</t>
  </si>
  <si>
    <t>Entertainment</t>
  </si>
  <si>
    <t>Farm Products</t>
  </si>
  <si>
    <t>Auto Parts</t>
  </si>
  <si>
    <t>REIT - Healthcare Facilities</t>
  </si>
  <si>
    <t>Oil &amp; Gas Midstream</t>
  </si>
  <si>
    <t>Insurance - Specialty</t>
  </si>
  <si>
    <t>Staffing &amp; Employment Services</t>
  </si>
  <si>
    <t>Specialty Chemicals</t>
  </si>
  <si>
    <t>Thermal Coal</t>
  </si>
  <si>
    <t>REIT - Mortgage</t>
  </si>
  <si>
    <t>Japan</t>
  </si>
  <si>
    <t>N/A</t>
  </si>
  <si>
    <t>India</t>
  </si>
  <si>
    <t>REIT - Specialty</t>
  </si>
  <si>
    <t>Sep'25</t>
  </si>
  <si>
    <t>Specialty Business Services</t>
  </si>
  <si>
    <t>Biotechnology</t>
  </si>
  <si>
    <t>Hong Kong</t>
  </si>
  <si>
    <t>H1 2026</t>
  </si>
  <si>
    <t>France</t>
  </si>
  <si>
    <t>H1 2025</t>
  </si>
  <si>
    <t>Revenue</t>
  </si>
  <si>
    <t>OP</t>
  </si>
  <si>
    <t>Trailing 4Q OP avg.</t>
  </si>
  <si>
    <t>Trailing 4Q OP sum.</t>
  </si>
  <si>
    <t>Trailing OP Delta</t>
  </si>
  <si>
    <t>opm</t>
  </si>
  <si>
    <t>op yoy</t>
  </si>
  <si>
    <t>rv yoy</t>
  </si>
  <si>
    <t>APOLLO</t>
    <phoneticPr fontId="3" type="noConversion"/>
  </si>
  <si>
    <t>POLICYBZR</t>
    <phoneticPr fontId="3" type="noConversion"/>
  </si>
  <si>
    <t>PCJEWELLER</t>
    <phoneticPr fontId="3" type="noConversion"/>
  </si>
  <si>
    <t>SHRIPISTON</t>
    <phoneticPr fontId="3" type="noConversion"/>
  </si>
  <si>
    <t>SUNDARMFIN</t>
    <phoneticPr fontId="3" type="noConversion"/>
  </si>
  <si>
    <t>APLLTD</t>
    <phoneticPr fontId="3" type="noConversion"/>
  </si>
  <si>
    <t>INDUSTOWER</t>
    <phoneticPr fontId="3" type="noConversion"/>
  </si>
  <si>
    <t>THERMAX</t>
    <phoneticPr fontId="3" type="noConversion"/>
  </si>
  <si>
    <t>RELIGARE</t>
    <phoneticPr fontId="3" type="noConversion"/>
  </si>
  <si>
    <t>GICRE</t>
    <phoneticPr fontId="3" type="noConversion"/>
  </si>
  <si>
    <t>FINEORG</t>
    <phoneticPr fontId="3" type="noConversion"/>
  </si>
  <si>
    <t>MIDHANI</t>
    <phoneticPr fontId="3" type="noConversion"/>
  </si>
  <si>
    <t>PCH</t>
    <phoneticPr fontId="3" type="noConversion"/>
  </si>
  <si>
    <t>RHLD</t>
    <phoneticPr fontId="3" type="noConversion"/>
  </si>
  <si>
    <t>ACAD</t>
    <phoneticPr fontId="3" type="noConversion"/>
  </si>
  <si>
    <t>BAER</t>
    <phoneticPr fontId="3" type="noConversion"/>
  </si>
  <si>
    <t>CRLO</t>
    <phoneticPr fontId="3" type="noConversion"/>
  </si>
  <si>
    <t>1Q26</t>
  </si>
  <si>
    <t>2Q26</t>
  </si>
  <si>
    <t>3Q26</t>
  </si>
  <si>
    <t>4Q26</t>
  </si>
  <si>
    <t>(단위: mil $)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</si>
</sst>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%&quot;"/>
    <numFmt numFmtId="177" formatCode="0.0%"/>
    <numFmt numFmtId="178" formatCode="#,##0_);[Red]\(#,##0\)"/>
  </numFmts>
  <fonts count="11" x14ac:knownFonts="1">
    <font>
      <sz val="11"/>
      <color theme="1"/>
      <name val="맑은 고딕"/>
      <family val="2"/>
      <scheme val="minor"/>
    </font>
    <font>
      <b/>
      <sz val="10"/>
      <name val="Pretendard"/>
      <family val="3"/>
      <charset val="129"/>
    </font>
    <font>
      <sz val="10"/>
      <name val="Pretendard"/>
      <family val="3"/>
      <charset val="129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b/>
      <sz val="11"/>
      <color theme="0"/>
      <name val="Pretendard"/>
      <family val="3"/>
      <charset val="129"/>
    </font>
    <font>
      <sz val="11"/>
      <name val="Pretendard"/>
      <family val="3"/>
      <charset val="129"/>
    </font>
    <font>
      <b/>
      <sz val="11"/>
      <name val="Pretendard"/>
      <family val="3"/>
      <charset val="129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4"/>
      <color theme="0"/>
      <name val="Pretendard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6">
    <border>
      <left/>
      <right/>
      <top/>
      <bottom/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tted">
        <color rgb="FF000000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76" fontId="2" fillId="0" borderId="0" xfId="0" applyNumberFormat="1" applyFont="1"/>
    <xf numFmtId="3" fontId="2" fillId="3" borderId="0" xfId="0" applyNumberFormat="1" applyFont="1" applyFill="1"/>
    <xf numFmtId="177" fontId="2" fillId="0" borderId="1" xfId="0" applyNumberFormat="1" applyFont="1" applyBorder="1"/>
    <xf numFmtId="177" fontId="2" fillId="3" borderId="0" xfId="0" applyNumberFormat="1" applyFont="1" applyFill="1"/>
    <xf numFmtId="177" fontId="2" fillId="0" borderId="0" xfId="0" applyNumberFormat="1" applyFont="1"/>
    <xf numFmtId="177" fontId="2" fillId="3" borderId="1" xfId="0" applyNumberFormat="1" applyFont="1" applyFill="1" applyBorder="1"/>
    <xf numFmtId="0" fontId="1" fillId="0" borderId="0" xfId="0" applyFont="1"/>
    <xf numFmtId="0" fontId="4" fillId="4" borderId="2" xfId="0" applyFont="1" applyFill="1" applyBorder="1"/>
    <xf numFmtId="0" fontId="5" fillId="4" borderId="0" xfId="0" applyFont="1" applyFill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/>
    <xf numFmtId="3" fontId="6" fillId="0" borderId="0" xfId="0" applyNumberFormat="1" applyFont="1" applyAlignment="1">
      <alignment horizontal="right"/>
    </xf>
    <xf numFmtId="9" fontId="6" fillId="0" borderId="0" xfId="0" applyNumberFormat="1" applyFont="1" applyAlignment="1">
      <alignment horizontal="right"/>
    </xf>
    <xf numFmtId="0" fontId="7" fillId="0" borderId="2" xfId="0" applyFont="1" applyBorder="1"/>
    <xf numFmtId="3" fontId="6" fillId="0" borderId="2" xfId="0" applyNumberFormat="1" applyFont="1" applyBorder="1" applyAlignment="1">
      <alignment horizontal="right"/>
    </xf>
    <xf numFmtId="9" fontId="6" fillId="0" borderId="2" xfId="0" applyNumberFormat="1" applyFont="1" applyBorder="1" applyAlignment="1">
      <alignment horizontal="right"/>
    </xf>
    <xf numFmtId="0" fontId="8" fillId="0" borderId="0" xfId="0" applyFont="1"/>
    <xf numFmtId="177" fontId="6" fillId="0" borderId="0" xfId="0" applyNumberFormat="1" applyFont="1" applyAlignment="1">
      <alignment horizontal="right"/>
    </xf>
    <xf numFmtId="177" fontId="6" fillId="0" borderId="2" xfId="0" applyNumberFormat="1" applyFont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176" fontId="1" fillId="5" borderId="0" xfId="0" applyNumberFormat="1" applyFont="1" applyFill="1"/>
    <xf numFmtId="0" fontId="2" fillId="0" borderId="4" xfId="0" applyFont="1" applyBorder="1"/>
    <xf numFmtId="176" fontId="1" fillId="5" borderId="4" xfId="0" applyNumberFormat="1" applyFont="1" applyFill="1" applyBorder="1"/>
    <xf numFmtId="3" fontId="2" fillId="0" borderId="4" xfId="0" applyNumberFormat="1" applyFont="1" applyBorder="1"/>
    <xf numFmtId="3" fontId="2" fillId="3" borderId="4" xfId="0" applyNumberFormat="1" applyFont="1" applyFill="1" applyBorder="1"/>
    <xf numFmtId="177" fontId="2" fillId="0" borderId="5" xfId="0" applyNumberFormat="1" applyFont="1" applyBorder="1"/>
    <xf numFmtId="177" fontId="2" fillId="0" borderId="4" xfId="0" applyNumberFormat="1" applyFont="1" applyBorder="1"/>
    <xf numFmtId="177" fontId="2" fillId="3" borderId="4" xfId="0" applyNumberFormat="1" applyFont="1" applyFill="1" applyBorder="1"/>
    <xf numFmtId="176" fontId="2" fillId="0" borderId="4" xfId="0" applyNumberFormat="1" applyFont="1" applyBorder="1"/>
    <xf numFmtId="177" fontId="2" fillId="3" borderId="5" xfId="0" applyNumberFormat="1" applyFont="1" applyFill="1" applyBorder="1"/>
    <xf numFmtId="0" fontId="9" fillId="0" borderId="0" xfId="0" applyFont="1"/>
    <xf numFmtId="0" fontId="1" fillId="0" borderId="4" xfId="0" applyFont="1" applyBorder="1"/>
    <xf numFmtId="178" fontId="2" fillId="0" borderId="0" xfId="0" applyNumberFormat="1" applyFont="1"/>
    <xf numFmtId="178" fontId="2" fillId="3" borderId="0" xfId="0" applyNumberFormat="1" applyFont="1" applyFill="1"/>
    <xf numFmtId="178" fontId="2" fillId="0" borderId="4" xfId="0" applyNumberFormat="1" applyFont="1" applyBorder="1"/>
    <xf numFmtId="178" fontId="2" fillId="3" borderId="4" xfId="0" applyNumberFormat="1" applyFont="1" applyFill="1" applyBorder="1"/>
    <xf numFmtId="0" fontId="10" fillId="6" borderId="0" xfId="0" applyFont="1" applyFill="1" applyAlignment="1">
      <alignment horizontal="center" vertical="center"/>
    </xf>
  </cellXfs>
  <cellStyles count="1">
    <cellStyle name="표준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32"/>
  <sheetViews>
    <sheetView tabSelected="1" topLeftCell="A126" workbookViewId="0">
      <selection activeCell="B4" sqref="B4:G132"/>
    </sheetView>
  </sheetViews>
  <sheetFormatPr defaultRowHeight="16.5" x14ac:dyDescent="0.3"/>
  <cols>
    <col min="1" max="1" width="3" customWidth="1"/>
    <col min="2" max="2" width="12" customWidth="1"/>
    <col min="3" max="3" width="45" customWidth="1"/>
    <col min="4" max="5" width="12" customWidth="1"/>
    <col min="6" max="6" width="14" customWidth="1"/>
    <col min="7" max="7" width="16" customWidth="1"/>
  </cols>
  <sheetData>
    <row r="2" spans="2:7" ht="27" customHeight="1" x14ac:dyDescent="0.3">
      <c r="B2" s="41" t="s">
        <v>0</v>
      </c>
      <c r="C2" s="41"/>
    </row>
    <row r="3" spans="2:7" x14ac:dyDescent="0.3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</row>
    <row r="4" spans="2:7" x14ac:dyDescent="0.3"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  <c r="G4" s="3">
        <v>349387.93</v>
      </c>
    </row>
    <row r="5" spans="2:7" x14ac:dyDescent="0.3">
      <c r="B5" s="2" t="s">
        <v>12</v>
      </c>
      <c r="C5" s="2" t="s">
        <v>13</v>
      </c>
      <c r="D5" s="2" t="s">
        <v>9</v>
      </c>
      <c r="E5" s="2"/>
      <c r="F5" s="2" t="s">
        <v>11</v>
      </c>
      <c r="G5" s="3">
        <v>201380.58</v>
      </c>
    </row>
    <row r="6" spans="2:7" x14ac:dyDescent="0.3">
      <c r="B6" s="2" t="s">
        <v>14</v>
      </c>
      <c r="C6" s="2" t="s">
        <v>15</v>
      </c>
      <c r="D6" s="2" t="s">
        <v>9</v>
      </c>
      <c r="E6" s="2"/>
      <c r="F6" s="2" t="s">
        <v>11</v>
      </c>
      <c r="G6" s="3">
        <v>123582.78</v>
      </c>
    </row>
    <row r="7" spans="2:7" x14ac:dyDescent="0.3">
      <c r="B7" s="2">
        <v>8411</v>
      </c>
      <c r="C7" s="2" t="s">
        <v>16</v>
      </c>
      <c r="D7" s="2" t="s">
        <v>9</v>
      </c>
      <c r="E7" s="2"/>
      <c r="F7" s="2" t="s">
        <v>11</v>
      </c>
      <c r="G7" s="3">
        <v>108869.48</v>
      </c>
    </row>
    <row r="8" spans="2:7" x14ac:dyDescent="0.3">
      <c r="B8" s="2" t="s">
        <v>17</v>
      </c>
      <c r="C8" s="2" t="s">
        <v>18</v>
      </c>
      <c r="D8" s="2" t="s">
        <v>9</v>
      </c>
      <c r="E8" s="2"/>
      <c r="F8" s="2" t="s">
        <v>11</v>
      </c>
      <c r="G8" s="3">
        <v>91584.13</v>
      </c>
    </row>
    <row r="9" spans="2:7" x14ac:dyDescent="0.3">
      <c r="B9" s="2" t="s">
        <v>19</v>
      </c>
      <c r="C9" s="2" t="s">
        <v>20</v>
      </c>
      <c r="D9" s="2" t="s">
        <v>9</v>
      </c>
      <c r="E9" s="2" t="s">
        <v>10</v>
      </c>
      <c r="F9" s="2" t="s">
        <v>11</v>
      </c>
      <c r="G9" s="3">
        <v>62220.11</v>
      </c>
    </row>
    <row r="10" spans="2:7" x14ac:dyDescent="0.3">
      <c r="B10" s="2" t="s">
        <v>21</v>
      </c>
      <c r="C10" s="2" t="s">
        <v>22</v>
      </c>
      <c r="D10" s="2" t="s">
        <v>9</v>
      </c>
      <c r="E10" s="2" t="s">
        <v>10</v>
      </c>
      <c r="F10" s="2" t="s">
        <v>11</v>
      </c>
      <c r="G10" s="3">
        <v>56913.66</v>
      </c>
    </row>
    <row r="11" spans="2:7" x14ac:dyDescent="0.3">
      <c r="B11" s="2" t="s">
        <v>23</v>
      </c>
      <c r="C11" s="2" t="s">
        <v>24</v>
      </c>
      <c r="D11" s="2" t="s">
        <v>9</v>
      </c>
      <c r="E11" s="2" t="s">
        <v>25</v>
      </c>
      <c r="F11" s="2" t="s">
        <v>11</v>
      </c>
      <c r="G11" s="3">
        <v>53537.120000000003</v>
      </c>
    </row>
    <row r="12" spans="2:7" x14ac:dyDescent="0.3">
      <c r="B12" s="2">
        <v>6981</v>
      </c>
      <c r="C12" s="2" t="s">
        <v>26</v>
      </c>
      <c r="D12" s="2" t="s">
        <v>9</v>
      </c>
      <c r="E12" s="2"/>
      <c r="F12" s="2" t="s">
        <v>11</v>
      </c>
      <c r="G12" s="3">
        <v>39312.39</v>
      </c>
    </row>
    <row r="13" spans="2:7" x14ac:dyDescent="0.3">
      <c r="B13" s="2" t="s">
        <v>27</v>
      </c>
      <c r="C13" s="2" t="s">
        <v>28</v>
      </c>
      <c r="D13" s="2" t="s">
        <v>9</v>
      </c>
      <c r="E13" s="2" t="s">
        <v>10</v>
      </c>
      <c r="F13" s="2" t="s">
        <v>11</v>
      </c>
      <c r="G13" s="3">
        <v>35729.4</v>
      </c>
    </row>
    <row r="14" spans="2:7" x14ac:dyDescent="0.3">
      <c r="B14" s="2">
        <v>9020</v>
      </c>
      <c r="C14" s="2" t="s">
        <v>29</v>
      </c>
      <c r="D14" s="2" t="s">
        <v>9</v>
      </c>
      <c r="E14" s="2"/>
      <c r="F14" s="2" t="s">
        <v>11</v>
      </c>
      <c r="G14" s="3">
        <v>28273.48</v>
      </c>
    </row>
    <row r="15" spans="2:7" x14ac:dyDescent="0.3">
      <c r="B15" s="2">
        <v>9022</v>
      </c>
      <c r="C15" s="2" t="s">
        <v>30</v>
      </c>
      <c r="D15" s="2" t="s">
        <v>9</v>
      </c>
      <c r="E15" s="2"/>
      <c r="F15" s="2" t="s">
        <v>11</v>
      </c>
      <c r="G15" s="3">
        <v>25620.45</v>
      </c>
    </row>
    <row r="16" spans="2:7" x14ac:dyDescent="0.3">
      <c r="B16" s="2">
        <v>6762</v>
      </c>
      <c r="C16" s="2" t="s">
        <v>31</v>
      </c>
      <c r="D16" s="2" t="s">
        <v>9</v>
      </c>
      <c r="E16" s="2"/>
      <c r="F16" s="2" t="s">
        <v>11</v>
      </c>
      <c r="G16" s="3">
        <v>25069.09</v>
      </c>
    </row>
    <row r="17" spans="2:7" x14ac:dyDescent="0.3">
      <c r="B17" s="2">
        <v>1010</v>
      </c>
      <c r="C17" s="2" t="s">
        <v>32</v>
      </c>
      <c r="D17" s="2" t="s">
        <v>9</v>
      </c>
      <c r="E17" s="2"/>
      <c r="F17" s="2" t="s">
        <v>11</v>
      </c>
      <c r="G17" s="3">
        <v>21317.66</v>
      </c>
    </row>
    <row r="18" spans="2:7" x14ac:dyDescent="0.3">
      <c r="B18" s="2">
        <v>6971</v>
      </c>
      <c r="C18" s="2" t="s">
        <v>33</v>
      </c>
      <c r="D18" s="2" t="s">
        <v>9</v>
      </c>
      <c r="E18" s="2"/>
      <c r="F18" s="2" t="s">
        <v>11</v>
      </c>
      <c r="G18" s="3">
        <v>18668.240000000002</v>
      </c>
    </row>
    <row r="19" spans="2:7" x14ac:dyDescent="0.3">
      <c r="B19" s="2" t="s">
        <v>34</v>
      </c>
      <c r="C19" s="2" t="s">
        <v>35</v>
      </c>
      <c r="D19" s="2" t="s">
        <v>9</v>
      </c>
      <c r="E19" s="2" t="s">
        <v>25</v>
      </c>
      <c r="F19" s="2" t="s">
        <v>11</v>
      </c>
      <c r="G19" s="3">
        <v>18514.240000000002</v>
      </c>
    </row>
    <row r="20" spans="2:7" x14ac:dyDescent="0.3">
      <c r="B20" s="2">
        <v>1150</v>
      </c>
      <c r="C20" s="2" t="s">
        <v>36</v>
      </c>
      <c r="D20" s="2" t="s">
        <v>9</v>
      </c>
      <c r="E20" s="2"/>
      <c r="F20" s="2" t="s">
        <v>11</v>
      </c>
      <c r="G20" s="3">
        <v>17890.95</v>
      </c>
    </row>
    <row r="21" spans="2:7" x14ac:dyDescent="0.3">
      <c r="B21" s="2">
        <v>1060</v>
      </c>
      <c r="C21" s="2" t="s">
        <v>37</v>
      </c>
      <c r="D21" s="2" t="s">
        <v>9</v>
      </c>
      <c r="E21" s="2"/>
      <c r="F21" s="2" t="s">
        <v>11</v>
      </c>
      <c r="G21" s="3">
        <v>17805.849999999999</v>
      </c>
    </row>
    <row r="22" spans="2:7" x14ac:dyDescent="0.3">
      <c r="B22" s="2" t="s">
        <v>38</v>
      </c>
      <c r="C22" s="2" t="s">
        <v>39</v>
      </c>
      <c r="D22" s="2" t="s">
        <v>9</v>
      </c>
      <c r="E22" s="2" t="s">
        <v>25</v>
      </c>
      <c r="F22" s="2" t="s">
        <v>11</v>
      </c>
      <c r="G22" s="3">
        <v>16986</v>
      </c>
    </row>
    <row r="23" spans="2:7" x14ac:dyDescent="0.3">
      <c r="B23" s="2" t="s">
        <v>40</v>
      </c>
      <c r="C23" s="2" t="s">
        <v>41</v>
      </c>
      <c r="D23" s="2" t="s">
        <v>9</v>
      </c>
      <c r="E23" s="2" t="s">
        <v>10</v>
      </c>
      <c r="F23" s="2" t="s">
        <v>11</v>
      </c>
      <c r="G23" s="3">
        <v>15454.49</v>
      </c>
    </row>
    <row r="24" spans="2:7" x14ac:dyDescent="0.3">
      <c r="B24" s="2" t="s">
        <v>42</v>
      </c>
      <c r="C24" s="2" t="s">
        <v>43</v>
      </c>
      <c r="D24" s="2" t="s">
        <v>9</v>
      </c>
      <c r="E24" s="2"/>
      <c r="F24" s="2" t="s">
        <v>11</v>
      </c>
      <c r="G24" s="3">
        <v>14222.32</v>
      </c>
    </row>
    <row r="25" spans="2:7" x14ac:dyDescent="0.3">
      <c r="B25" s="2" t="s">
        <v>44</v>
      </c>
      <c r="C25" s="2" t="s">
        <v>45</v>
      </c>
      <c r="D25" s="2" t="s">
        <v>9</v>
      </c>
      <c r="E25" s="2" t="s">
        <v>10</v>
      </c>
      <c r="F25" s="2" t="s">
        <v>11</v>
      </c>
      <c r="G25" s="3">
        <v>13460.67</v>
      </c>
    </row>
    <row r="26" spans="2:7" x14ac:dyDescent="0.3">
      <c r="B26" s="2" t="s">
        <v>46</v>
      </c>
      <c r="C26" s="2" t="s">
        <v>47</v>
      </c>
      <c r="D26" s="2" t="s">
        <v>9</v>
      </c>
      <c r="E26" s="2"/>
      <c r="F26" s="2" t="s">
        <v>11</v>
      </c>
      <c r="G26" s="3">
        <v>13406.95</v>
      </c>
    </row>
    <row r="27" spans="2:7" x14ac:dyDescent="0.3">
      <c r="B27" s="2" t="s">
        <v>48</v>
      </c>
      <c r="C27" s="2" t="s">
        <v>49</v>
      </c>
      <c r="D27" s="2" t="s">
        <v>9</v>
      </c>
      <c r="E27" s="2" t="s">
        <v>10</v>
      </c>
      <c r="F27" s="2" t="s">
        <v>11</v>
      </c>
      <c r="G27" s="3">
        <v>13077.03</v>
      </c>
    </row>
    <row r="28" spans="2:7" x14ac:dyDescent="0.3">
      <c r="B28" s="2">
        <v>1140</v>
      </c>
      <c r="C28" s="2" t="s">
        <v>50</v>
      </c>
      <c r="D28" s="2" t="s">
        <v>9</v>
      </c>
      <c r="E28" s="2"/>
      <c r="F28" s="2" t="s">
        <v>11</v>
      </c>
      <c r="G28" s="3">
        <v>11582.46</v>
      </c>
    </row>
    <row r="29" spans="2:7" x14ac:dyDescent="0.3">
      <c r="B29" s="2">
        <v>9532</v>
      </c>
      <c r="C29" s="2" t="s">
        <v>51</v>
      </c>
      <c r="D29" s="2" t="s">
        <v>9</v>
      </c>
      <c r="E29" s="2"/>
      <c r="F29" s="2" t="s">
        <v>11</v>
      </c>
      <c r="G29" s="3">
        <v>11248.27</v>
      </c>
    </row>
    <row r="30" spans="2:7" x14ac:dyDescent="0.3">
      <c r="B30" s="2">
        <v>8601</v>
      </c>
      <c r="C30" s="2" t="s">
        <v>52</v>
      </c>
      <c r="D30" s="2" t="s">
        <v>9</v>
      </c>
      <c r="E30" s="2"/>
      <c r="F30" s="2" t="s">
        <v>11</v>
      </c>
      <c r="G30" s="3">
        <v>11033.39</v>
      </c>
    </row>
    <row r="31" spans="2:7" x14ac:dyDescent="0.3">
      <c r="B31" s="2" t="s">
        <v>53</v>
      </c>
      <c r="C31" s="2" t="s">
        <v>54</v>
      </c>
      <c r="D31" s="2" t="s">
        <v>9</v>
      </c>
      <c r="E31" s="2" t="s">
        <v>25</v>
      </c>
      <c r="F31" s="2" t="s">
        <v>11</v>
      </c>
      <c r="G31" s="3">
        <v>10916.63</v>
      </c>
    </row>
    <row r="32" spans="2:7" x14ac:dyDescent="0.3">
      <c r="B32" s="2" t="s">
        <v>55</v>
      </c>
      <c r="C32" s="2" t="s">
        <v>56</v>
      </c>
      <c r="D32" s="2" t="s">
        <v>9</v>
      </c>
      <c r="E32" s="2"/>
      <c r="F32" s="2" t="s">
        <v>11</v>
      </c>
      <c r="G32" s="3">
        <v>10758.31</v>
      </c>
    </row>
    <row r="33" spans="2:7" x14ac:dyDescent="0.3">
      <c r="B33" s="2" t="s">
        <v>57</v>
      </c>
      <c r="C33" s="2" t="s">
        <v>58</v>
      </c>
      <c r="D33" s="2" t="s">
        <v>9</v>
      </c>
      <c r="E33" s="2"/>
      <c r="F33" s="2" t="s">
        <v>11</v>
      </c>
      <c r="G33" s="3">
        <v>10489.07</v>
      </c>
    </row>
    <row r="34" spans="2:7" x14ac:dyDescent="0.3">
      <c r="B34" s="2">
        <v>9502</v>
      </c>
      <c r="C34" s="2" t="s">
        <v>59</v>
      </c>
      <c r="D34" s="2" t="s">
        <v>9</v>
      </c>
      <c r="E34" s="2"/>
      <c r="F34" s="2" t="s">
        <v>11</v>
      </c>
      <c r="G34" s="3">
        <v>10469.58</v>
      </c>
    </row>
    <row r="35" spans="2:7" x14ac:dyDescent="0.3">
      <c r="B35" s="2">
        <v>3008</v>
      </c>
      <c r="C35" s="2" t="s">
        <v>60</v>
      </c>
      <c r="D35" s="2" t="s">
        <v>9</v>
      </c>
      <c r="E35" s="2"/>
      <c r="F35" s="2" t="s">
        <v>11</v>
      </c>
      <c r="G35" s="3">
        <v>10468.01</v>
      </c>
    </row>
    <row r="36" spans="2:7" x14ac:dyDescent="0.3">
      <c r="B36" s="2" t="s">
        <v>61</v>
      </c>
      <c r="C36" s="2" t="s">
        <v>62</v>
      </c>
      <c r="D36" s="2" t="s">
        <v>9</v>
      </c>
      <c r="E36" s="2" t="s">
        <v>10</v>
      </c>
      <c r="F36" s="2" t="s">
        <v>11</v>
      </c>
      <c r="G36" s="3">
        <v>9377.94</v>
      </c>
    </row>
    <row r="37" spans="2:7" x14ac:dyDescent="0.3">
      <c r="B37" s="2" t="s">
        <v>63</v>
      </c>
      <c r="C37" s="2" t="s">
        <v>64</v>
      </c>
      <c r="D37" s="2" t="s">
        <v>9</v>
      </c>
      <c r="E37" s="2"/>
      <c r="F37" s="2" t="s">
        <v>11</v>
      </c>
      <c r="G37" s="3">
        <v>8797.68</v>
      </c>
    </row>
    <row r="38" spans="2:7" x14ac:dyDescent="0.3">
      <c r="B38" s="2" t="s">
        <v>65</v>
      </c>
      <c r="C38" s="2" t="s">
        <v>66</v>
      </c>
      <c r="D38" s="2" t="s">
        <v>9</v>
      </c>
      <c r="E38" s="2"/>
      <c r="F38" s="2" t="s">
        <v>11</v>
      </c>
      <c r="G38" s="3">
        <v>8355.8700000000008</v>
      </c>
    </row>
    <row r="39" spans="2:7" x14ac:dyDescent="0.3">
      <c r="B39" s="2">
        <v>4768</v>
      </c>
      <c r="C39" s="2" t="s">
        <v>67</v>
      </c>
      <c r="D39" s="2" t="s">
        <v>9</v>
      </c>
      <c r="E39" s="2"/>
      <c r="F39" s="2" t="s">
        <v>11</v>
      </c>
      <c r="G39" s="3">
        <v>7822.9</v>
      </c>
    </row>
    <row r="40" spans="2:7" x14ac:dyDescent="0.3">
      <c r="B40" s="2" t="s">
        <v>68</v>
      </c>
      <c r="C40" s="2" t="s">
        <v>69</v>
      </c>
      <c r="D40" s="2" t="s">
        <v>9</v>
      </c>
      <c r="E40" s="2"/>
      <c r="F40" s="2" t="s">
        <v>11</v>
      </c>
      <c r="G40" s="3">
        <v>7374.71</v>
      </c>
    </row>
    <row r="41" spans="2:7" x14ac:dyDescent="0.3">
      <c r="B41" s="2" t="s">
        <v>70</v>
      </c>
      <c r="C41" s="2" t="s">
        <v>71</v>
      </c>
      <c r="D41" s="2" t="s">
        <v>9</v>
      </c>
      <c r="E41" s="2"/>
      <c r="F41" s="2" t="s">
        <v>11</v>
      </c>
      <c r="G41" s="3">
        <v>7252.37</v>
      </c>
    </row>
    <row r="42" spans="2:7" x14ac:dyDescent="0.3">
      <c r="B42" s="2">
        <v>512070</v>
      </c>
      <c r="C42" s="2" t="s">
        <v>72</v>
      </c>
      <c r="D42" s="2" t="s">
        <v>9</v>
      </c>
      <c r="E42" s="2"/>
      <c r="F42" s="2" t="s">
        <v>11</v>
      </c>
      <c r="G42" s="3">
        <v>7248.48</v>
      </c>
    </row>
    <row r="43" spans="2:7" x14ac:dyDescent="0.3">
      <c r="B43" s="2">
        <v>8331</v>
      </c>
      <c r="C43" s="2" t="s">
        <v>73</v>
      </c>
      <c r="D43" s="2" t="s">
        <v>9</v>
      </c>
      <c r="E43" s="2"/>
      <c r="F43" s="2" t="s">
        <v>11</v>
      </c>
      <c r="G43" s="3">
        <v>6921.95</v>
      </c>
    </row>
    <row r="44" spans="2:7" x14ac:dyDescent="0.3">
      <c r="B44" s="2" t="s">
        <v>74</v>
      </c>
      <c r="C44" s="2" t="s">
        <v>75</v>
      </c>
      <c r="D44" s="2" t="s">
        <v>9</v>
      </c>
      <c r="E44" s="2"/>
      <c r="F44" s="2" t="s">
        <v>11</v>
      </c>
      <c r="G44" s="3">
        <v>6622.39</v>
      </c>
    </row>
    <row r="45" spans="2:7" x14ac:dyDescent="0.3">
      <c r="B45" s="2" t="s">
        <v>76</v>
      </c>
      <c r="C45" s="2" t="s">
        <v>77</v>
      </c>
      <c r="D45" s="2" t="s">
        <v>9</v>
      </c>
      <c r="E45" s="2" t="s">
        <v>10</v>
      </c>
      <c r="F45" s="2" t="s">
        <v>11</v>
      </c>
      <c r="G45" s="3">
        <v>6613.78</v>
      </c>
    </row>
    <row r="46" spans="2:7" x14ac:dyDescent="0.3">
      <c r="B46" s="2">
        <v>4030</v>
      </c>
      <c r="C46" s="2" t="s">
        <v>78</v>
      </c>
      <c r="D46" s="2" t="s">
        <v>9</v>
      </c>
      <c r="E46" s="2"/>
      <c r="F46" s="2" t="s">
        <v>11</v>
      </c>
      <c r="G46" s="3">
        <v>6555.59</v>
      </c>
    </row>
    <row r="47" spans="2:7" x14ac:dyDescent="0.3">
      <c r="B47" s="2">
        <v>9064</v>
      </c>
      <c r="C47" s="2" t="s">
        <v>79</v>
      </c>
      <c r="D47" s="2" t="s">
        <v>9</v>
      </c>
      <c r="E47" s="2"/>
      <c r="F47" s="2" t="s">
        <v>11</v>
      </c>
      <c r="G47" s="3">
        <v>4859.45</v>
      </c>
    </row>
    <row r="48" spans="2:7" x14ac:dyDescent="0.3">
      <c r="B48" s="2" t="s">
        <v>80</v>
      </c>
      <c r="C48" s="2" t="s">
        <v>81</v>
      </c>
      <c r="D48" s="2" t="s">
        <v>9</v>
      </c>
      <c r="E48" s="2"/>
      <c r="F48" s="2" t="s">
        <v>11</v>
      </c>
      <c r="G48" s="3">
        <v>4719.21</v>
      </c>
    </row>
    <row r="49" spans="2:7" x14ac:dyDescent="0.3">
      <c r="B49" s="2" t="s">
        <v>82</v>
      </c>
      <c r="C49" s="2" t="s">
        <v>83</v>
      </c>
      <c r="D49" s="2" t="s">
        <v>9</v>
      </c>
      <c r="E49" s="2"/>
      <c r="F49" s="2" t="s">
        <v>11</v>
      </c>
      <c r="G49" s="3">
        <v>4689.63</v>
      </c>
    </row>
    <row r="50" spans="2:7" x14ac:dyDescent="0.3">
      <c r="B50" s="2" t="s">
        <v>84</v>
      </c>
      <c r="C50" s="2" t="s">
        <v>85</v>
      </c>
      <c r="D50" s="2" t="s">
        <v>9</v>
      </c>
      <c r="E50" s="2" t="s">
        <v>25</v>
      </c>
      <c r="F50" s="2" t="s">
        <v>11</v>
      </c>
      <c r="G50" s="3">
        <v>4510.62</v>
      </c>
    </row>
    <row r="51" spans="2:7" x14ac:dyDescent="0.3">
      <c r="B51" s="2">
        <v>1020</v>
      </c>
      <c r="C51" s="2" t="s">
        <v>86</v>
      </c>
      <c r="D51" s="2" t="s">
        <v>9</v>
      </c>
      <c r="E51" s="2"/>
      <c r="F51" s="2" t="s">
        <v>11</v>
      </c>
      <c r="G51" s="3">
        <v>4441.07</v>
      </c>
    </row>
    <row r="52" spans="2:7" x14ac:dyDescent="0.3">
      <c r="B52" s="2">
        <v>513683</v>
      </c>
      <c r="C52" s="2" t="s">
        <v>87</v>
      </c>
      <c r="D52" s="2" t="s">
        <v>9</v>
      </c>
      <c r="E52" s="2"/>
      <c r="F52" s="2" t="s">
        <v>11</v>
      </c>
      <c r="G52" s="3">
        <v>4420.93</v>
      </c>
    </row>
    <row r="53" spans="2:7" x14ac:dyDescent="0.3">
      <c r="B53" s="2">
        <v>2282</v>
      </c>
      <c r="C53" s="2" t="s">
        <v>88</v>
      </c>
      <c r="D53" s="2" t="s">
        <v>9</v>
      </c>
      <c r="E53" s="2"/>
      <c r="F53" s="2" t="s">
        <v>11</v>
      </c>
      <c r="G53" s="3">
        <v>4140.0200000000004</v>
      </c>
    </row>
    <row r="54" spans="2:7" x14ac:dyDescent="0.3">
      <c r="B54" s="2" t="s">
        <v>89</v>
      </c>
      <c r="C54" s="2" t="s">
        <v>90</v>
      </c>
      <c r="D54" s="2" t="s">
        <v>9</v>
      </c>
      <c r="E54" s="2"/>
      <c r="F54" s="2" t="s">
        <v>11</v>
      </c>
      <c r="G54" s="3">
        <v>3627.74</v>
      </c>
    </row>
    <row r="55" spans="2:7" x14ac:dyDescent="0.3">
      <c r="B55" s="2" t="s">
        <v>91</v>
      </c>
      <c r="C55" s="2" t="s">
        <v>92</v>
      </c>
      <c r="D55" s="2" t="s">
        <v>9</v>
      </c>
      <c r="E55" s="2"/>
      <c r="F55" s="2" t="s">
        <v>11</v>
      </c>
      <c r="G55" s="3">
        <v>3475.46</v>
      </c>
    </row>
    <row r="56" spans="2:7" x14ac:dyDescent="0.3">
      <c r="B56" s="2">
        <v>517174</v>
      </c>
      <c r="C56" s="2" t="s">
        <v>93</v>
      </c>
      <c r="D56" s="2" t="s">
        <v>9</v>
      </c>
      <c r="E56" s="2"/>
      <c r="F56" s="2" t="s">
        <v>11</v>
      </c>
      <c r="G56" s="3">
        <v>3347.41</v>
      </c>
    </row>
    <row r="57" spans="2:7" x14ac:dyDescent="0.3">
      <c r="B57" s="2" t="s">
        <v>94</v>
      </c>
      <c r="C57" s="2" t="s">
        <v>95</v>
      </c>
      <c r="D57" s="2" t="s">
        <v>9</v>
      </c>
      <c r="E57" s="2"/>
      <c r="F57" s="2" t="s">
        <v>11</v>
      </c>
      <c r="G57" s="3">
        <v>3159.66</v>
      </c>
    </row>
    <row r="58" spans="2:7" x14ac:dyDescent="0.3">
      <c r="B58" s="2" t="s">
        <v>96</v>
      </c>
      <c r="C58" s="2" t="s">
        <v>97</v>
      </c>
      <c r="D58" s="2" t="s">
        <v>9</v>
      </c>
      <c r="E58" s="2"/>
      <c r="F58" s="2" t="s">
        <v>11</v>
      </c>
      <c r="G58" s="3">
        <v>3121.23</v>
      </c>
    </row>
    <row r="59" spans="2:7" x14ac:dyDescent="0.3">
      <c r="B59" s="2" t="s">
        <v>98</v>
      </c>
      <c r="C59" s="2" t="s">
        <v>99</v>
      </c>
      <c r="D59" s="2" t="s">
        <v>9</v>
      </c>
      <c r="E59" s="2"/>
      <c r="F59" s="2" t="s">
        <v>11</v>
      </c>
      <c r="G59" s="3">
        <v>3120.35</v>
      </c>
    </row>
    <row r="60" spans="2:7" x14ac:dyDescent="0.3">
      <c r="B60" s="2" t="s">
        <v>100</v>
      </c>
      <c r="C60" s="2" t="s">
        <v>101</v>
      </c>
      <c r="D60" s="2" t="s">
        <v>9</v>
      </c>
      <c r="E60" s="2" t="s">
        <v>25</v>
      </c>
      <c r="F60" s="2" t="s">
        <v>11</v>
      </c>
      <c r="G60" s="3">
        <v>3105.39</v>
      </c>
    </row>
    <row r="61" spans="2:7" x14ac:dyDescent="0.3">
      <c r="B61" s="2" t="s">
        <v>102</v>
      </c>
      <c r="C61" s="2" t="s">
        <v>103</v>
      </c>
      <c r="D61" s="2" t="s">
        <v>9</v>
      </c>
      <c r="E61" s="2"/>
      <c r="F61" s="2" t="s">
        <v>11</v>
      </c>
      <c r="G61" s="3">
        <v>2877.46</v>
      </c>
    </row>
    <row r="62" spans="2:7" x14ac:dyDescent="0.3">
      <c r="B62" s="2">
        <v>7337</v>
      </c>
      <c r="C62" s="2" t="s">
        <v>104</v>
      </c>
      <c r="D62" s="2" t="s">
        <v>9</v>
      </c>
      <c r="E62" s="2"/>
      <c r="F62" s="2" t="s">
        <v>11</v>
      </c>
      <c r="G62" s="3">
        <v>2819.65</v>
      </c>
    </row>
    <row r="63" spans="2:7" x14ac:dyDescent="0.3">
      <c r="B63" s="2">
        <v>3132</v>
      </c>
      <c r="C63" s="2" t="s">
        <v>105</v>
      </c>
      <c r="D63" s="2" t="s">
        <v>9</v>
      </c>
      <c r="E63" s="2"/>
      <c r="F63" s="2" t="s">
        <v>11</v>
      </c>
      <c r="G63" s="3">
        <v>2552.4299999999998</v>
      </c>
    </row>
    <row r="64" spans="2:7" x14ac:dyDescent="0.3">
      <c r="B64" s="2" t="s">
        <v>106</v>
      </c>
      <c r="C64" s="2" t="s">
        <v>107</v>
      </c>
      <c r="D64" s="2" t="s">
        <v>9</v>
      </c>
      <c r="E64" s="2"/>
      <c r="F64" s="2" t="s">
        <v>11</v>
      </c>
      <c r="G64" s="3">
        <v>2510.1999999999998</v>
      </c>
    </row>
    <row r="65" spans="2:7" x14ac:dyDescent="0.3">
      <c r="B65" s="2" t="s">
        <v>108</v>
      </c>
      <c r="C65" s="2" t="s">
        <v>109</v>
      </c>
      <c r="D65" s="2" t="s">
        <v>9</v>
      </c>
      <c r="E65" s="2"/>
      <c r="F65" s="2" t="s">
        <v>11</v>
      </c>
      <c r="G65" s="3">
        <v>2422.48</v>
      </c>
    </row>
    <row r="66" spans="2:7" x14ac:dyDescent="0.3">
      <c r="B66" s="2" t="s">
        <v>110</v>
      </c>
      <c r="C66" s="2" t="s">
        <v>111</v>
      </c>
      <c r="D66" s="2" t="s">
        <v>9</v>
      </c>
      <c r="E66" s="2" t="s">
        <v>10</v>
      </c>
      <c r="F66" s="2" t="s">
        <v>11</v>
      </c>
      <c r="G66" s="3">
        <v>2302.8200000000002</v>
      </c>
    </row>
    <row r="67" spans="2:7" x14ac:dyDescent="0.3">
      <c r="B67" s="2" t="s">
        <v>112</v>
      </c>
      <c r="C67" s="2" t="s">
        <v>113</v>
      </c>
      <c r="D67" s="2" t="s">
        <v>9</v>
      </c>
      <c r="E67" s="2"/>
      <c r="F67" s="2" t="s">
        <v>11</v>
      </c>
      <c r="G67" s="3">
        <v>2196.2600000000002</v>
      </c>
    </row>
    <row r="68" spans="2:7" x14ac:dyDescent="0.3">
      <c r="B68" s="2">
        <v>500770</v>
      </c>
      <c r="C68" s="2" t="s">
        <v>114</v>
      </c>
      <c r="D68" s="2" t="s">
        <v>9</v>
      </c>
      <c r="E68" s="2"/>
      <c r="F68" s="2" t="s">
        <v>11</v>
      </c>
      <c r="G68" s="3">
        <v>2150.5700000000002</v>
      </c>
    </row>
    <row r="69" spans="2:7" x14ac:dyDescent="0.3">
      <c r="B69" s="2" t="s">
        <v>115</v>
      </c>
      <c r="C69" s="2" t="s">
        <v>116</v>
      </c>
      <c r="D69" s="2" t="s">
        <v>9</v>
      </c>
      <c r="E69" s="2"/>
      <c r="F69" s="2" t="s">
        <v>11</v>
      </c>
      <c r="G69" s="3">
        <v>2146.15</v>
      </c>
    </row>
    <row r="70" spans="2:7" x14ac:dyDescent="0.3">
      <c r="B70" s="2">
        <v>531768</v>
      </c>
      <c r="C70" s="2" t="s">
        <v>117</v>
      </c>
      <c r="D70" s="2" t="s">
        <v>9</v>
      </c>
      <c r="E70" s="2"/>
      <c r="F70" s="2" t="s">
        <v>11</v>
      </c>
      <c r="G70" s="3">
        <v>2144.59</v>
      </c>
    </row>
    <row r="71" spans="2:7" x14ac:dyDescent="0.3">
      <c r="B71" s="2" t="s">
        <v>118</v>
      </c>
      <c r="C71" s="2" t="s">
        <v>119</v>
      </c>
      <c r="D71" s="2" t="s">
        <v>9</v>
      </c>
      <c r="E71" s="2"/>
      <c r="F71" s="2" t="s">
        <v>11</v>
      </c>
      <c r="G71" s="3">
        <v>2098.5300000000002</v>
      </c>
    </row>
    <row r="72" spans="2:7" x14ac:dyDescent="0.3">
      <c r="B72" s="2" t="s">
        <v>120</v>
      </c>
      <c r="C72" s="2" t="s">
        <v>121</v>
      </c>
      <c r="D72" s="2" t="s">
        <v>9</v>
      </c>
      <c r="E72" s="2"/>
      <c r="F72" s="2" t="s">
        <v>11</v>
      </c>
      <c r="G72" s="3">
        <v>1997.81</v>
      </c>
    </row>
    <row r="73" spans="2:7" x14ac:dyDescent="0.3">
      <c r="B73" s="2" t="s">
        <v>122</v>
      </c>
      <c r="C73" s="2" t="s">
        <v>123</v>
      </c>
      <c r="D73" s="2" t="s">
        <v>9</v>
      </c>
      <c r="E73" s="2"/>
      <c r="F73" s="2" t="s">
        <v>11</v>
      </c>
      <c r="G73" s="3">
        <v>1985.46</v>
      </c>
    </row>
    <row r="74" spans="2:7" x14ac:dyDescent="0.3">
      <c r="B74" s="2">
        <v>7451</v>
      </c>
      <c r="C74" s="2" t="s">
        <v>124</v>
      </c>
      <c r="D74" s="2" t="s">
        <v>9</v>
      </c>
      <c r="E74" s="2"/>
      <c r="F74" s="2" t="s">
        <v>11</v>
      </c>
      <c r="G74" s="3">
        <v>1828.98</v>
      </c>
    </row>
    <row r="75" spans="2:7" x14ac:dyDescent="0.3">
      <c r="B75" s="2" t="s">
        <v>125</v>
      </c>
      <c r="C75" s="2" t="s">
        <v>126</v>
      </c>
      <c r="D75" s="2" t="s">
        <v>9</v>
      </c>
      <c r="E75" s="2" t="s">
        <v>25</v>
      </c>
      <c r="F75" s="2" t="s">
        <v>11</v>
      </c>
      <c r="G75" s="3">
        <v>1814.45</v>
      </c>
    </row>
    <row r="76" spans="2:7" x14ac:dyDescent="0.3">
      <c r="B76" s="2" t="s">
        <v>127</v>
      </c>
      <c r="C76" s="2" t="s">
        <v>128</v>
      </c>
      <c r="D76" s="2" t="s">
        <v>9</v>
      </c>
      <c r="E76" s="2"/>
      <c r="F76" s="2" t="s">
        <v>11</v>
      </c>
      <c r="G76" s="3">
        <v>1809.47</v>
      </c>
    </row>
    <row r="77" spans="2:7" x14ac:dyDescent="0.3">
      <c r="B77" s="2">
        <v>4272</v>
      </c>
      <c r="C77" s="2" t="s">
        <v>129</v>
      </c>
      <c r="D77" s="2" t="s">
        <v>9</v>
      </c>
      <c r="E77" s="2"/>
      <c r="F77" s="2" t="s">
        <v>11</v>
      </c>
      <c r="G77" s="3">
        <v>1763.1</v>
      </c>
    </row>
    <row r="78" spans="2:7" x14ac:dyDescent="0.3">
      <c r="B78" s="2">
        <v>2222</v>
      </c>
      <c r="C78" s="2" t="s">
        <v>130</v>
      </c>
      <c r="D78" s="2" t="s">
        <v>9</v>
      </c>
      <c r="E78" s="2"/>
      <c r="F78" s="2" t="s">
        <v>11</v>
      </c>
      <c r="G78" s="3">
        <v>1740.47</v>
      </c>
    </row>
    <row r="79" spans="2:7" x14ac:dyDescent="0.3">
      <c r="B79" s="2" t="s">
        <v>131</v>
      </c>
      <c r="C79" s="2" t="s">
        <v>132</v>
      </c>
      <c r="D79" s="2" t="s">
        <v>9</v>
      </c>
      <c r="E79" s="2"/>
      <c r="F79" s="2" t="s">
        <v>11</v>
      </c>
      <c r="G79" s="3">
        <v>1627.87</v>
      </c>
    </row>
    <row r="80" spans="2:7" x14ac:dyDescent="0.3">
      <c r="B80" s="2">
        <v>2811</v>
      </c>
      <c r="C80" s="2" t="s">
        <v>133</v>
      </c>
      <c r="D80" s="2" t="s">
        <v>9</v>
      </c>
      <c r="E80" s="2"/>
      <c r="F80" s="2" t="s">
        <v>11</v>
      </c>
      <c r="G80" s="3">
        <v>1567.71</v>
      </c>
    </row>
    <row r="81" spans="2:7" x14ac:dyDescent="0.3">
      <c r="B81" s="2" t="s">
        <v>134</v>
      </c>
      <c r="C81" s="2" t="s">
        <v>135</v>
      </c>
      <c r="D81" s="2" t="s">
        <v>9</v>
      </c>
      <c r="E81" s="2"/>
      <c r="F81" s="2" t="s">
        <v>11</v>
      </c>
      <c r="G81" s="3">
        <v>1464.28</v>
      </c>
    </row>
    <row r="82" spans="2:7" x14ac:dyDescent="0.3">
      <c r="B82" s="2">
        <v>531335</v>
      </c>
      <c r="C82" s="2" t="s">
        <v>136</v>
      </c>
      <c r="D82" s="2" t="s">
        <v>9</v>
      </c>
      <c r="E82" s="2"/>
      <c r="F82" s="2" t="s">
        <v>11</v>
      </c>
      <c r="G82" s="3">
        <v>1453.69</v>
      </c>
    </row>
    <row r="83" spans="2:7" x14ac:dyDescent="0.3">
      <c r="B83" s="2">
        <v>524208</v>
      </c>
      <c r="C83" s="2" t="s">
        <v>137</v>
      </c>
      <c r="D83" s="2" t="s">
        <v>9</v>
      </c>
      <c r="E83" s="2"/>
      <c r="F83" s="2" t="s">
        <v>11</v>
      </c>
      <c r="G83" s="3">
        <v>1438.89</v>
      </c>
    </row>
    <row r="84" spans="2:7" x14ac:dyDescent="0.3">
      <c r="B84" s="2" t="s">
        <v>138</v>
      </c>
      <c r="C84" s="2" t="s">
        <v>139</v>
      </c>
      <c r="D84" s="2" t="s">
        <v>9</v>
      </c>
      <c r="E84" s="2"/>
      <c r="F84" s="2" t="s">
        <v>11</v>
      </c>
      <c r="G84" s="3">
        <v>1433.27</v>
      </c>
    </row>
    <row r="85" spans="2:7" x14ac:dyDescent="0.3">
      <c r="B85" s="2" t="s">
        <v>140</v>
      </c>
      <c r="C85" s="2" t="s">
        <v>141</v>
      </c>
      <c r="D85" s="2" t="s">
        <v>9</v>
      </c>
      <c r="E85" s="2"/>
      <c r="F85" s="2" t="s">
        <v>11</v>
      </c>
      <c r="G85" s="3">
        <v>1422.97</v>
      </c>
    </row>
    <row r="86" spans="2:7" x14ac:dyDescent="0.3">
      <c r="B86" s="2">
        <v>530007</v>
      </c>
      <c r="C86" s="2" t="s">
        <v>142</v>
      </c>
      <c r="D86" s="2" t="s">
        <v>9</v>
      </c>
      <c r="E86" s="2"/>
      <c r="F86" s="2" t="s">
        <v>11</v>
      </c>
      <c r="G86" s="3">
        <v>1387.79</v>
      </c>
    </row>
    <row r="87" spans="2:7" x14ac:dyDescent="0.3">
      <c r="B87" s="2" t="s">
        <v>143</v>
      </c>
      <c r="C87" s="2" t="s">
        <v>144</v>
      </c>
      <c r="D87" s="2" t="s">
        <v>9</v>
      </c>
      <c r="E87" s="2"/>
      <c r="F87" s="2" t="s">
        <v>11</v>
      </c>
      <c r="G87" s="3">
        <v>1386.12</v>
      </c>
    </row>
    <row r="88" spans="2:7" x14ac:dyDescent="0.3">
      <c r="B88" s="2" t="s">
        <v>145</v>
      </c>
      <c r="C88" s="2" t="s">
        <v>146</v>
      </c>
      <c r="D88" s="2" t="s">
        <v>9</v>
      </c>
      <c r="E88" s="2"/>
      <c r="F88" s="2" t="s">
        <v>11</v>
      </c>
      <c r="G88" s="3">
        <v>1374.15</v>
      </c>
    </row>
    <row r="89" spans="2:7" x14ac:dyDescent="0.3">
      <c r="B89" s="2" t="s">
        <v>147</v>
      </c>
      <c r="C89" s="2" t="s">
        <v>148</v>
      </c>
      <c r="D89" s="2" t="s">
        <v>9</v>
      </c>
      <c r="E89" s="2"/>
      <c r="F89" s="2" t="s">
        <v>11</v>
      </c>
      <c r="G89" s="3">
        <v>1321.64</v>
      </c>
    </row>
    <row r="90" spans="2:7" x14ac:dyDescent="0.3">
      <c r="B90" s="2" t="s">
        <v>149</v>
      </c>
      <c r="C90" s="2" t="s">
        <v>150</v>
      </c>
      <c r="D90" s="2" t="s">
        <v>9</v>
      </c>
      <c r="E90" s="2"/>
      <c r="F90" s="2" t="s">
        <v>11</v>
      </c>
      <c r="G90" s="3">
        <v>1307.1199999999999</v>
      </c>
    </row>
    <row r="91" spans="2:7" x14ac:dyDescent="0.3">
      <c r="B91" s="2" t="s">
        <v>151</v>
      </c>
      <c r="C91" s="2" t="s">
        <v>152</v>
      </c>
      <c r="D91" s="2" t="s">
        <v>9</v>
      </c>
      <c r="E91" s="2"/>
      <c r="F91" s="2" t="s">
        <v>11</v>
      </c>
      <c r="G91" s="3">
        <v>1298.17</v>
      </c>
    </row>
    <row r="92" spans="2:7" x14ac:dyDescent="0.3">
      <c r="B92" s="2">
        <v>8370</v>
      </c>
      <c r="C92" s="2" t="s">
        <v>153</v>
      </c>
      <c r="D92" s="2" t="s">
        <v>9</v>
      </c>
      <c r="E92" s="2"/>
      <c r="F92" s="2" t="s">
        <v>11</v>
      </c>
      <c r="G92" s="3">
        <v>1286.06</v>
      </c>
    </row>
    <row r="93" spans="2:7" x14ac:dyDescent="0.3">
      <c r="B93" s="2" t="s">
        <v>154</v>
      </c>
      <c r="C93" s="2" t="s">
        <v>155</v>
      </c>
      <c r="D93" s="2" t="s">
        <v>9</v>
      </c>
      <c r="E93" s="2" t="s">
        <v>10</v>
      </c>
      <c r="F93" s="2" t="s">
        <v>11</v>
      </c>
      <c r="G93" s="3">
        <v>1279.79</v>
      </c>
    </row>
    <row r="94" spans="2:7" x14ac:dyDescent="0.3">
      <c r="B94" s="2">
        <v>523025</v>
      </c>
      <c r="C94" s="2" t="s">
        <v>156</v>
      </c>
      <c r="D94" s="2" t="s">
        <v>9</v>
      </c>
      <c r="E94" s="2"/>
      <c r="F94" s="2" t="s">
        <v>11</v>
      </c>
      <c r="G94" s="3">
        <v>1251.0899999999999</v>
      </c>
    </row>
    <row r="95" spans="2:7" x14ac:dyDescent="0.3">
      <c r="B95" s="2" t="s">
        <v>157</v>
      </c>
      <c r="C95" s="2" t="s">
        <v>158</v>
      </c>
      <c r="D95" s="2" t="s">
        <v>9</v>
      </c>
      <c r="E95" s="2"/>
      <c r="F95" s="2" t="s">
        <v>11</v>
      </c>
      <c r="G95" s="3">
        <v>1191.81</v>
      </c>
    </row>
    <row r="96" spans="2:7" x14ac:dyDescent="0.3">
      <c r="B96" s="2">
        <v>7981</v>
      </c>
      <c r="C96" s="2" t="s">
        <v>159</v>
      </c>
      <c r="D96" s="2" t="s">
        <v>9</v>
      </c>
      <c r="E96" s="2"/>
      <c r="F96" s="2" t="s">
        <v>11</v>
      </c>
      <c r="G96" s="3">
        <v>1145.6199999999999</v>
      </c>
    </row>
    <row r="97" spans="2:7" x14ac:dyDescent="0.3">
      <c r="B97" s="2">
        <v>8386</v>
      </c>
      <c r="C97" s="2" t="s">
        <v>160</v>
      </c>
      <c r="D97" s="2" t="s">
        <v>9</v>
      </c>
      <c r="E97" s="2"/>
      <c r="F97" s="2" t="s">
        <v>11</v>
      </c>
      <c r="G97" s="3">
        <v>1134.57</v>
      </c>
    </row>
    <row r="98" spans="2:7" x14ac:dyDescent="0.3">
      <c r="B98" s="2" t="s">
        <v>161</v>
      </c>
      <c r="C98" s="2" t="s">
        <v>162</v>
      </c>
      <c r="D98" s="2" t="s">
        <v>9</v>
      </c>
      <c r="E98" s="2"/>
      <c r="F98" s="2" t="s">
        <v>11</v>
      </c>
      <c r="G98" s="3">
        <v>1097.22</v>
      </c>
    </row>
    <row r="99" spans="2:7" x14ac:dyDescent="0.3">
      <c r="B99" s="2" t="s">
        <v>163</v>
      </c>
      <c r="C99" s="2" t="s">
        <v>164</v>
      </c>
      <c r="D99" s="2" t="s">
        <v>9</v>
      </c>
      <c r="E99" s="2"/>
      <c r="F99" s="2" t="s">
        <v>11</v>
      </c>
      <c r="G99" s="3">
        <v>1068.1300000000001</v>
      </c>
    </row>
    <row r="100" spans="2:7" x14ac:dyDescent="0.3">
      <c r="B100" s="2" t="s">
        <v>165</v>
      </c>
      <c r="C100" s="2" t="s">
        <v>166</v>
      </c>
      <c r="D100" s="2" t="s">
        <v>9</v>
      </c>
      <c r="E100" s="2"/>
      <c r="F100" s="2" t="s">
        <v>11</v>
      </c>
      <c r="G100" s="3">
        <v>1047.44</v>
      </c>
    </row>
    <row r="101" spans="2:7" x14ac:dyDescent="0.3">
      <c r="B101" s="2" t="s">
        <v>167</v>
      </c>
      <c r="C101" s="2" t="s">
        <v>168</v>
      </c>
      <c r="D101" s="2" t="s">
        <v>9</v>
      </c>
      <c r="E101" s="2"/>
      <c r="F101" s="2" t="s">
        <v>11</v>
      </c>
      <c r="G101" s="3">
        <v>1034.78</v>
      </c>
    </row>
    <row r="102" spans="2:7" x14ac:dyDescent="0.3">
      <c r="B102" s="2" t="s">
        <v>169</v>
      </c>
      <c r="C102" s="2" t="s">
        <v>170</v>
      </c>
      <c r="D102" s="2" t="s">
        <v>9</v>
      </c>
      <c r="E102" s="2"/>
      <c r="F102" s="2" t="s">
        <v>11</v>
      </c>
      <c r="G102" s="3">
        <v>1034.27</v>
      </c>
    </row>
    <row r="103" spans="2:7" x14ac:dyDescent="0.3">
      <c r="B103" s="2">
        <v>8346</v>
      </c>
      <c r="C103" s="2" t="s">
        <v>171</v>
      </c>
      <c r="D103" s="2" t="s">
        <v>9</v>
      </c>
      <c r="E103" s="2"/>
      <c r="F103" s="2" t="s">
        <v>11</v>
      </c>
      <c r="G103" s="3">
        <v>975.05</v>
      </c>
    </row>
    <row r="104" spans="2:7" x14ac:dyDescent="0.3">
      <c r="B104" s="2">
        <v>7224</v>
      </c>
      <c r="C104" s="2" t="s">
        <v>172</v>
      </c>
      <c r="D104" s="2" t="s">
        <v>9</v>
      </c>
      <c r="E104" s="2"/>
      <c r="F104" s="2" t="s">
        <v>11</v>
      </c>
      <c r="G104" s="3">
        <v>950.01</v>
      </c>
    </row>
    <row r="105" spans="2:7" x14ac:dyDescent="0.3">
      <c r="B105" s="2" t="s">
        <v>173</v>
      </c>
      <c r="C105" s="2" t="s">
        <v>174</v>
      </c>
      <c r="D105" s="2" t="s">
        <v>9</v>
      </c>
      <c r="E105" s="2"/>
      <c r="F105" s="2" t="s">
        <v>11</v>
      </c>
      <c r="G105" s="3">
        <v>912.98</v>
      </c>
    </row>
    <row r="106" spans="2:7" x14ac:dyDescent="0.3">
      <c r="B106" s="2">
        <v>2281</v>
      </c>
      <c r="C106" s="2" t="s">
        <v>175</v>
      </c>
      <c r="D106" s="2" t="s">
        <v>9</v>
      </c>
      <c r="E106" s="2"/>
      <c r="F106" s="2" t="s">
        <v>11</v>
      </c>
      <c r="G106" s="3">
        <v>909</v>
      </c>
    </row>
    <row r="107" spans="2:7" x14ac:dyDescent="0.3">
      <c r="B107" s="2" t="s">
        <v>176</v>
      </c>
      <c r="C107" s="2" t="s">
        <v>177</v>
      </c>
      <c r="D107" s="2" t="s">
        <v>9</v>
      </c>
      <c r="E107" s="2"/>
      <c r="F107" s="2" t="s">
        <v>11</v>
      </c>
      <c r="G107" s="3">
        <v>860.1</v>
      </c>
    </row>
    <row r="108" spans="2:7" x14ac:dyDescent="0.3">
      <c r="B108" s="2" t="s">
        <v>178</v>
      </c>
      <c r="C108" s="2" t="s">
        <v>179</v>
      </c>
      <c r="D108" s="2" t="s">
        <v>9</v>
      </c>
      <c r="E108" s="2"/>
      <c r="F108" s="2" t="s">
        <v>11</v>
      </c>
      <c r="G108" s="3">
        <v>855</v>
      </c>
    </row>
    <row r="109" spans="2:7" x14ac:dyDescent="0.3">
      <c r="B109" s="2" t="s">
        <v>180</v>
      </c>
      <c r="C109" s="2" t="s">
        <v>181</v>
      </c>
      <c r="D109" s="2" t="s">
        <v>9</v>
      </c>
      <c r="E109" s="2"/>
      <c r="F109" s="2" t="s">
        <v>11</v>
      </c>
      <c r="G109" s="3">
        <v>853.71</v>
      </c>
    </row>
    <row r="110" spans="2:7" x14ac:dyDescent="0.3">
      <c r="B110" s="2" t="s">
        <v>182</v>
      </c>
      <c r="C110" s="2" t="s">
        <v>183</v>
      </c>
      <c r="D110" s="2" t="s">
        <v>9</v>
      </c>
      <c r="E110" s="2"/>
      <c r="F110" s="2" t="s">
        <v>11</v>
      </c>
      <c r="G110" s="3">
        <v>849.47</v>
      </c>
    </row>
    <row r="111" spans="2:7" x14ac:dyDescent="0.3">
      <c r="B111" s="2" t="s">
        <v>184</v>
      </c>
      <c r="C111" s="2" t="s">
        <v>185</v>
      </c>
      <c r="D111" s="2" t="s">
        <v>9</v>
      </c>
      <c r="E111" s="2"/>
      <c r="F111" s="2" t="s">
        <v>11</v>
      </c>
      <c r="G111" s="3">
        <v>847.41</v>
      </c>
    </row>
    <row r="112" spans="2:7" x14ac:dyDescent="0.3">
      <c r="B112" s="2">
        <v>3433</v>
      </c>
      <c r="C112" s="2" t="s">
        <v>186</v>
      </c>
      <c r="D112" s="2" t="s">
        <v>9</v>
      </c>
      <c r="E112" s="2"/>
      <c r="F112" s="2" t="s">
        <v>11</v>
      </c>
      <c r="G112" s="3">
        <v>840.19</v>
      </c>
    </row>
    <row r="113" spans="2:7" x14ac:dyDescent="0.3">
      <c r="B113" s="2">
        <v>500245</v>
      </c>
      <c r="C113" s="2" t="s">
        <v>187</v>
      </c>
      <c r="D113" s="2" t="s">
        <v>9</v>
      </c>
      <c r="E113" s="2"/>
      <c r="F113" s="2" t="s">
        <v>11</v>
      </c>
      <c r="G113" s="3">
        <v>812.85</v>
      </c>
    </row>
    <row r="114" spans="2:7" x14ac:dyDescent="0.3">
      <c r="B114" s="2" t="s">
        <v>188</v>
      </c>
      <c r="C114" s="2" t="s">
        <v>189</v>
      </c>
      <c r="D114" s="2" t="s">
        <v>9</v>
      </c>
      <c r="E114" s="2"/>
      <c r="F114" s="2" t="s">
        <v>11</v>
      </c>
      <c r="G114" s="3">
        <v>806.58</v>
      </c>
    </row>
    <row r="115" spans="2:7" x14ac:dyDescent="0.3">
      <c r="B115" s="2" t="s">
        <v>190</v>
      </c>
      <c r="C115" s="2" t="s">
        <v>191</v>
      </c>
      <c r="D115" s="2" t="s">
        <v>9</v>
      </c>
      <c r="E115" s="2"/>
      <c r="F115" s="2" t="s">
        <v>11</v>
      </c>
      <c r="G115" s="3">
        <v>776.73</v>
      </c>
    </row>
    <row r="116" spans="2:7" x14ac:dyDescent="0.3">
      <c r="B116" s="2">
        <v>500413</v>
      </c>
      <c r="C116" s="2" t="s">
        <v>192</v>
      </c>
      <c r="D116" s="2" t="s">
        <v>9</v>
      </c>
      <c r="E116" s="2"/>
      <c r="F116" s="2" t="s">
        <v>11</v>
      </c>
      <c r="G116" s="3">
        <v>719.8</v>
      </c>
    </row>
    <row r="117" spans="2:7" x14ac:dyDescent="0.3">
      <c r="B117" s="2">
        <v>7177</v>
      </c>
      <c r="C117" s="2" t="s">
        <v>193</v>
      </c>
      <c r="D117" s="2" t="s">
        <v>9</v>
      </c>
      <c r="E117" s="2"/>
      <c r="F117" s="2" t="s">
        <v>11</v>
      </c>
      <c r="G117" s="3">
        <v>656.44</v>
      </c>
    </row>
    <row r="118" spans="2:7" x14ac:dyDescent="0.3">
      <c r="B118" s="2">
        <v>534597</v>
      </c>
      <c r="C118" s="2" t="s">
        <v>194</v>
      </c>
      <c r="D118" s="2" t="s">
        <v>9</v>
      </c>
      <c r="E118" s="2"/>
      <c r="F118" s="2" t="s">
        <v>11</v>
      </c>
      <c r="G118" s="3">
        <v>639.32000000000005</v>
      </c>
    </row>
    <row r="119" spans="2:7" x14ac:dyDescent="0.3">
      <c r="B119" s="2">
        <v>7241</v>
      </c>
      <c r="C119" s="2" t="s">
        <v>195</v>
      </c>
      <c r="D119" s="2" t="s">
        <v>9</v>
      </c>
      <c r="E119" s="2"/>
      <c r="F119" s="2" t="s">
        <v>11</v>
      </c>
      <c r="G119" s="3">
        <v>629.51</v>
      </c>
    </row>
    <row r="120" spans="2:7" x14ac:dyDescent="0.3">
      <c r="B120" s="2">
        <v>539807</v>
      </c>
      <c r="C120" s="2" t="s">
        <v>196</v>
      </c>
      <c r="D120" s="2" t="s">
        <v>9</v>
      </c>
      <c r="E120" s="2"/>
      <c r="F120" s="2" t="s">
        <v>11</v>
      </c>
      <c r="G120" s="3">
        <v>628.54999999999995</v>
      </c>
    </row>
    <row r="121" spans="2:7" x14ac:dyDescent="0.3">
      <c r="B121" s="2" t="s">
        <v>197</v>
      </c>
      <c r="C121" s="2" t="s">
        <v>198</v>
      </c>
      <c r="D121" s="2" t="s">
        <v>9</v>
      </c>
      <c r="E121" s="2"/>
      <c r="F121" s="2" t="s">
        <v>11</v>
      </c>
      <c r="G121" s="3">
        <v>626.30999999999995</v>
      </c>
    </row>
    <row r="122" spans="2:7" x14ac:dyDescent="0.3">
      <c r="B122" s="2">
        <v>535602</v>
      </c>
      <c r="C122" s="2" t="s">
        <v>199</v>
      </c>
      <c r="D122" s="2" t="s">
        <v>9</v>
      </c>
      <c r="E122" s="2"/>
      <c r="F122" s="2" t="s">
        <v>11</v>
      </c>
      <c r="G122" s="3">
        <v>605.28</v>
      </c>
    </row>
    <row r="123" spans="2:7" x14ac:dyDescent="0.3">
      <c r="B123" s="2">
        <v>500201</v>
      </c>
      <c r="C123" s="2" t="s">
        <v>200</v>
      </c>
      <c r="D123" s="2" t="s">
        <v>9</v>
      </c>
      <c r="E123" s="2"/>
      <c r="F123" s="2" t="s">
        <v>11</v>
      </c>
      <c r="G123" s="3">
        <v>593.66</v>
      </c>
    </row>
    <row r="124" spans="2:7" x14ac:dyDescent="0.3">
      <c r="B124" s="2">
        <v>4298</v>
      </c>
      <c r="C124" s="2" t="s">
        <v>201</v>
      </c>
      <c r="D124" s="2" t="s">
        <v>9</v>
      </c>
      <c r="E124" s="2"/>
      <c r="F124" s="2" t="s">
        <v>11</v>
      </c>
      <c r="G124" s="3">
        <v>586.95000000000005</v>
      </c>
    </row>
    <row r="125" spans="2:7" x14ac:dyDescent="0.3">
      <c r="B125" s="2" t="s">
        <v>202</v>
      </c>
      <c r="C125" s="2" t="s">
        <v>203</v>
      </c>
      <c r="D125" s="2" t="s">
        <v>9</v>
      </c>
      <c r="E125" s="2"/>
      <c r="F125" s="2" t="s">
        <v>204</v>
      </c>
      <c r="G125" s="3">
        <v>585.77</v>
      </c>
    </row>
    <row r="126" spans="2:7" x14ac:dyDescent="0.3">
      <c r="B126" s="2">
        <v>5992</v>
      </c>
      <c r="C126" s="2" t="s">
        <v>205</v>
      </c>
      <c r="D126" s="2" t="s">
        <v>9</v>
      </c>
      <c r="E126" s="2"/>
      <c r="F126" s="2" t="s">
        <v>11</v>
      </c>
      <c r="G126" s="3">
        <v>565.87</v>
      </c>
    </row>
    <row r="127" spans="2:7" x14ac:dyDescent="0.3">
      <c r="B127" s="2" t="s">
        <v>206</v>
      </c>
      <c r="C127" s="2" t="s">
        <v>207</v>
      </c>
      <c r="D127" s="2" t="s">
        <v>9</v>
      </c>
      <c r="E127" s="2"/>
      <c r="F127" s="2" t="s">
        <v>11</v>
      </c>
      <c r="G127" s="3">
        <v>548.88</v>
      </c>
    </row>
    <row r="128" spans="2:7" x14ac:dyDescent="0.3">
      <c r="B128" s="2">
        <v>507717</v>
      </c>
      <c r="C128" s="2" t="s">
        <v>208</v>
      </c>
      <c r="D128" s="2" t="s">
        <v>9</v>
      </c>
      <c r="E128" s="2"/>
      <c r="F128" s="2" t="s">
        <v>11</v>
      </c>
      <c r="G128" s="3">
        <v>535.41999999999996</v>
      </c>
    </row>
    <row r="129" spans="2:7" x14ac:dyDescent="0.3">
      <c r="B129" s="2" t="s">
        <v>209</v>
      </c>
      <c r="C129" s="2" t="s">
        <v>210</v>
      </c>
      <c r="D129" s="2" t="s">
        <v>9</v>
      </c>
      <c r="E129" s="2"/>
      <c r="F129" s="2" t="s">
        <v>11</v>
      </c>
      <c r="G129" s="3">
        <v>528.1</v>
      </c>
    </row>
    <row r="130" spans="2:7" x14ac:dyDescent="0.3">
      <c r="B130" s="2" t="s">
        <v>211</v>
      </c>
      <c r="C130" s="2" t="s">
        <v>212</v>
      </c>
      <c r="D130" s="2" t="s">
        <v>9</v>
      </c>
      <c r="E130" s="2"/>
      <c r="F130" s="2" t="s">
        <v>11</v>
      </c>
      <c r="G130" s="3">
        <v>522.53</v>
      </c>
    </row>
    <row r="131" spans="2:7" x14ac:dyDescent="0.3">
      <c r="B131" s="2">
        <v>541967</v>
      </c>
      <c r="C131" s="2" t="s">
        <v>213</v>
      </c>
      <c r="D131" s="2" t="s">
        <v>9</v>
      </c>
      <c r="E131" s="2"/>
      <c r="F131" s="2" t="s">
        <v>11</v>
      </c>
      <c r="G131" s="3">
        <v>510.17</v>
      </c>
    </row>
    <row r="132" spans="2:7" x14ac:dyDescent="0.3">
      <c r="B132" s="2">
        <v>500041</v>
      </c>
      <c r="C132" s="2" t="s">
        <v>214</v>
      </c>
      <c r="D132" s="2" t="s">
        <v>9</v>
      </c>
      <c r="E132" s="2"/>
      <c r="F132" s="2" t="s">
        <v>11</v>
      </c>
      <c r="G132" s="3">
        <v>507.73</v>
      </c>
    </row>
  </sheetData>
  <autoFilter ref="B3:G132" xr:uid="{00000000-0009-0000-0000-000000000000}">
    <sortState xmlns:xlrd2="http://schemas.microsoft.com/office/spreadsheetml/2017/richdata2" ref="B4:G132">
      <sortCondition descending="1" ref="G3:G132"/>
    </sortState>
  </autoFilter>
  <mergeCells count="1">
    <mergeCell ref="B2:C2"/>
  </mergeCells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AA77"/>
  <sheetViews>
    <sheetView topLeftCell="C1" workbookViewId="0">
      <selection activeCell="I61" sqref="I61"/>
    </sheetView>
  </sheetViews>
  <sheetFormatPr defaultRowHeight="16.5" x14ac:dyDescent="0.3"/>
  <cols>
    <col min="1" max="1" width="3" customWidth="1"/>
    <col min="2" max="2" width="12" style="35" customWidth="1"/>
    <col min="3" max="3" width="14" customWidth="1"/>
    <col min="4" max="4" width="37.125" bestFit="1" customWidth="1"/>
    <col min="5" max="5" width="12" hidden="1" customWidth="1"/>
    <col min="6" max="6" width="15.375" bestFit="1" customWidth="1"/>
    <col min="7" max="23" width="9" customWidth="1"/>
    <col min="24" max="27" width="10" customWidth="1"/>
  </cols>
  <sheetData>
    <row r="2" spans="2:27" x14ac:dyDescent="0.3">
      <c r="B2" s="24" t="s">
        <v>1</v>
      </c>
      <c r="C2" s="24" t="s">
        <v>215</v>
      </c>
      <c r="D2" s="24" t="s">
        <v>216</v>
      </c>
      <c r="E2" s="24" t="s">
        <v>217</v>
      </c>
      <c r="F2" s="24" t="s">
        <v>218</v>
      </c>
      <c r="G2" s="24" t="s">
        <v>219</v>
      </c>
      <c r="H2" s="24" t="s">
        <v>220</v>
      </c>
      <c r="I2" s="24" t="s">
        <v>221</v>
      </c>
      <c r="J2" s="24" t="s">
        <v>222</v>
      </c>
      <c r="K2" s="24" t="s">
        <v>223</v>
      </c>
      <c r="L2" s="24" t="s">
        <v>224</v>
      </c>
      <c r="M2" s="24" t="s">
        <v>225</v>
      </c>
      <c r="N2" s="24" t="s">
        <v>226</v>
      </c>
      <c r="O2" s="24" t="s">
        <v>227</v>
      </c>
      <c r="P2" s="24" t="s">
        <v>228</v>
      </c>
      <c r="Q2" s="24" t="s">
        <v>229</v>
      </c>
      <c r="R2" s="24" t="s">
        <v>230</v>
      </c>
      <c r="S2" s="24" t="s">
        <v>231</v>
      </c>
      <c r="T2" s="24" t="s">
        <v>232</v>
      </c>
      <c r="U2" s="24" t="s">
        <v>233</v>
      </c>
      <c r="V2" s="24" t="s">
        <v>234</v>
      </c>
      <c r="W2" s="24" t="s">
        <v>235</v>
      </c>
      <c r="X2" s="24" t="s">
        <v>232</v>
      </c>
      <c r="Y2" s="24" t="s">
        <v>233</v>
      </c>
      <c r="Z2" s="24" t="s">
        <v>234</v>
      </c>
      <c r="AA2" s="24" t="s">
        <v>235</v>
      </c>
    </row>
    <row r="3" spans="2:27" x14ac:dyDescent="0.3">
      <c r="B3" s="10" t="s">
        <v>7</v>
      </c>
      <c r="C3" s="2" t="s">
        <v>236</v>
      </c>
      <c r="D3" s="2" t="s">
        <v>237</v>
      </c>
      <c r="E3" s="2" t="s">
        <v>238</v>
      </c>
      <c r="F3" s="25">
        <v>14.9</v>
      </c>
      <c r="G3" s="3">
        <v>432.87</v>
      </c>
      <c r="H3" s="3">
        <v>446.36</v>
      </c>
      <c r="I3" s="3">
        <v>473.01</v>
      </c>
      <c r="J3" s="3">
        <v>477.88</v>
      </c>
      <c r="K3" s="3">
        <v>508.62</v>
      </c>
      <c r="L3" s="3">
        <v>525.19000000000005</v>
      </c>
      <c r="M3" s="3">
        <v>533.32000000000005</v>
      </c>
      <c r="N3" s="3">
        <v>558.16</v>
      </c>
      <c r="O3" s="3">
        <v>608.35</v>
      </c>
      <c r="P3" s="3">
        <v>634.34</v>
      </c>
      <c r="Q3" s="3">
        <v>678.13</v>
      </c>
      <c r="R3" s="3">
        <v>725.52</v>
      </c>
      <c r="S3" s="3">
        <v>827.52</v>
      </c>
      <c r="T3" s="3">
        <v>883.86</v>
      </c>
      <c r="U3" s="5">
        <v>1004</v>
      </c>
      <c r="V3" s="5">
        <v>1181</v>
      </c>
      <c r="W3" s="5">
        <v>1407</v>
      </c>
      <c r="X3" s="6">
        <v>8.7076995020083592E-2</v>
      </c>
      <c r="Y3" s="7">
        <v>0.1046121546180936</v>
      </c>
      <c r="Z3" s="7">
        <v>0.13237234444476731</v>
      </c>
      <c r="AA3" s="7">
        <v>0.148722660520791</v>
      </c>
    </row>
    <row r="4" spans="2:27" x14ac:dyDescent="0.3">
      <c r="B4" s="10" t="s">
        <v>27</v>
      </c>
      <c r="C4" s="2" t="s">
        <v>236</v>
      </c>
      <c r="D4" s="2" t="s">
        <v>239</v>
      </c>
      <c r="E4" s="2" t="s">
        <v>238</v>
      </c>
      <c r="F4" s="25">
        <v>11.5</v>
      </c>
      <c r="G4" s="3">
        <v>885.05</v>
      </c>
      <c r="H4" s="3">
        <v>755.37</v>
      </c>
      <c r="I4" s="3">
        <v>840.77</v>
      </c>
      <c r="J4" s="3">
        <v>827.07</v>
      </c>
      <c r="K4" s="3">
        <v>731.84</v>
      </c>
      <c r="L4" s="3">
        <v>617.53</v>
      </c>
      <c r="M4" s="3">
        <v>684.44</v>
      </c>
      <c r="N4" s="3">
        <v>703.73</v>
      </c>
      <c r="O4" s="3">
        <v>670.6</v>
      </c>
      <c r="P4" s="3">
        <v>599.82000000000005</v>
      </c>
      <c r="Q4" s="3">
        <v>729.88</v>
      </c>
      <c r="R4" s="3">
        <v>737.3</v>
      </c>
      <c r="S4" s="3">
        <v>752.88</v>
      </c>
      <c r="T4" s="3">
        <v>685.68</v>
      </c>
      <c r="U4" s="3">
        <v>651.79999999999995</v>
      </c>
      <c r="V4" s="3">
        <v>769.21</v>
      </c>
      <c r="W4" s="5">
        <v>1083</v>
      </c>
      <c r="X4" s="6">
        <v>3.0448104174645611E-2</v>
      </c>
      <c r="Y4" s="8">
        <v>-2.6870951977809421E-2</v>
      </c>
      <c r="Z4" s="8">
        <v>1.128494939278402E-2</v>
      </c>
      <c r="AA4" s="7">
        <v>0.1154439303811414</v>
      </c>
    </row>
    <row r="5" spans="2:27" x14ac:dyDescent="0.3">
      <c r="B5" s="10" t="s">
        <v>48</v>
      </c>
      <c r="C5" s="2" t="s">
        <v>236</v>
      </c>
      <c r="D5" s="2" t="s">
        <v>240</v>
      </c>
      <c r="E5" s="2" t="s">
        <v>241</v>
      </c>
      <c r="F5" s="4">
        <v>8.3000000000000007</v>
      </c>
      <c r="G5" s="3">
        <v>566.63</v>
      </c>
      <c r="H5" s="3">
        <v>564.4</v>
      </c>
      <c r="I5" s="3">
        <v>587.87</v>
      </c>
      <c r="J5" s="3">
        <v>655.43</v>
      </c>
      <c r="K5" s="3">
        <v>668.66</v>
      </c>
      <c r="L5" s="3">
        <v>665.28</v>
      </c>
      <c r="M5" s="3">
        <v>655.87</v>
      </c>
      <c r="N5" s="3">
        <v>685.48</v>
      </c>
      <c r="O5" s="3">
        <v>712.69</v>
      </c>
      <c r="P5" s="3">
        <v>731.54</v>
      </c>
      <c r="Q5" s="3">
        <v>753.26</v>
      </c>
      <c r="R5" s="3">
        <v>804.23</v>
      </c>
      <c r="S5" s="3">
        <v>833.61</v>
      </c>
      <c r="T5" s="3">
        <v>871.8</v>
      </c>
      <c r="U5" s="3">
        <v>909.69</v>
      </c>
      <c r="V5" s="3">
        <v>978.13</v>
      </c>
      <c r="W5" s="3">
        <v>1133</v>
      </c>
      <c r="X5" s="6">
        <v>4.4917121410088967E-2</v>
      </c>
      <c r="Y5" s="8">
        <v>4.7942014772135222E-2</v>
      </c>
      <c r="Z5" s="8">
        <v>5.0857916609394323E-2</v>
      </c>
      <c r="AA5" s="8">
        <v>8.3320577864484102E-2</v>
      </c>
    </row>
    <row r="6" spans="2:27" x14ac:dyDescent="0.3">
      <c r="B6" s="10" t="s">
        <v>40</v>
      </c>
      <c r="C6" s="2" t="s">
        <v>236</v>
      </c>
      <c r="D6" s="2" t="s">
        <v>242</v>
      </c>
      <c r="E6" s="2" t="s">
        <v>243</v>
      </c>
      <c r="F6" s="4">
        <v>6.3</v>
      </c>
      <c r="G6" s="3">
        <v>541.59</v>
      </c>
      <c r="H6" s="3">
        <v>586.84</v>
      </c>
      <c r="I6" s="3">
        <v>614.33000000000004</v>
      </c>
      <c r="J6" s="3">
        <v>640.03</v>
      </c>
      <c r="K6" s="3">
        <v>618.62</v>
      </c>
      <c r="L6" s="3">
        <v>718.21</v>
      </c>
      <c r="M6" s="3">
        <v>800.66</v>
      </c>
      <c r="N6" s="3">
        <v>777.07</v>
      </c>
      <c r="O6" s="3">
        <v>786.73</v>
      </c>
      <c r="P6" s="3">
        <v>835.34</v>
      </c>
      <c r="Q6" s="3">
        <v>847.69</v>
      </c>
      <c r="R6" s="3">
        <v>854.49</v>
      </c>
      <c r="S6" s="3">
        <v>772.73</v>
      </c>
      <c r="T6" s="3">
        <v>883.63</v>
      </c>
      <c r="U6" s="3">
        <v>915.45</v>
      </c>
      <c r="V6" s="3">
        <v>995.26</v>
      </c>
      <c r="W6" s="3">
        <v>996.45</v>
      </c>
      <c r="X6" s="6">
        <v>1.4588022052715029E-2</v>
      </c>
      <c r="Y6" s="8">
        <v>2.017543337283478E-2</v>
      </c>
      <c r="Z6" s="8">
        <v>4.108513556898119E-2</v>
      </c>
      <c r="AA6" s="8">
        <v>6.2718141219544332E-2</v>
      </c>
    </row>
    <row r="7" spans="2:27" x14ac:dyDescent="0.3">
      <c r="B7" s="10" t="s">
        <v>80</v>
      </c>
      <c r="C7" s="2" t="s">
        <v>236</v>
      </c>
      <c r="D7" s="2" t="s">
        <v>244</v>
      </c>
      <c r="E7" s="2" t="s">
        <v>243</v>
      </c>
      <c r="F7" s="4">
        <v>5.7</v>
      </c>
      <c r="G7" s="3">
        <v>675.84</v>
      </c>
      <c r="H7" s="3">
        <v>912.32</v>
      </c>
      <c r="I7" s="3">
        <v>552.34</v>
      </c>
      <c r="J7" s="3">
        <v>765.49</v>
      </c>
      <c r="K7" s="3">
        <v>723.57</v>
      </c>
      <c r="L7" s="3">
        <v>644.03</v>
      </c>
      <c r="M7" s="3">
        <v>264.08</v>
      </c>
      <c r="N7" s="3">
        <v>331.33</v>
      </c>
      <c r="O7" s="3">
        <v>467.21</v>
      </c>
      <c r="P7" s="3">
        <v>657.91</v>
      </c>
      <c r="Q7" s="3">
        <v>275.64</v>
      </c>
      <c r="R7" s="3">
        <v>395.78</v>
      </c>
      <c r="S7" s="3">
        <v>488.36</v>
      </c>
      <c r="T7" s="5">
        <v>913.03</v>
      </c>
      <c r="U7" s="3">
        <v>298.95</v>
      </c>
      <c r="V7" s="3">
        <v>336.08</v>
      </c>
      <c r="W7" s="3">
        <v>604.85</v>
      </c>
      <c r="X7" s="9">
        <v>0.14035396574773459</v>
      </c>
      <c r="Y7" s="8">
        <v>1.1245603793883729E-2</v>
      </c>
      <c r="Z7" s="8">
        <v>-2.8481193824780981E-2</v>
      </c>
      <c r="AA7" s="8">
        <v>5.7203327407902023E-2</v>
      </c>
    </row>
    <row r="8" spans="2:27" x14ac:dyDescent="0.3">
      <c r="B8" s="10" t="s">
        <v>154</v>
      </c>
      <c r="C8" s="2" t="s">
        <v>236</v>
      </c>
      <c r="D8" s="2" t="s">
        <v>245</v>
      </c>
      <c r="E8" s="2" t="s">
        <v>246</v>
      </c>
      <c r="F8" s="4">
        <v>4.4000000000000004</v>
      </c>
      <c r="G8" s="3">
        <v>22.31</v>
      </c>
      <c r="H8" s="3">
        <v>21.03</v>
      </c>
      <c r="I8" s="3">
        <v>22.54</v>
      </c>
      <c r="J8" s="3">
        <v>26.8</v>
      </c>
      <c r="K8" s="5">
        <v>32.770000000000003</v>
      </c>
      <c r="L8" s="5">
        <v>37.19</v>
      </c>
      <c r="M8" s="5">
        <v>40.36</v>
      </c>
      <c r="N8" s="5">
        <v>42.78</v>
      </c>
      <c r="O8" s="5">
        <v>48.57</v>
      </c>
      <c r="P8" s="3">
        <v>46.43</v>
      </c>
      <c r="Q8" s="3">
        <v>51.35</v>
      </c>
      <c r="R8" s="3">
        <v>48.71</v>
      </c>
      <c r="S8" s="3">
        <v>51.97</v>
      </c>
      <c r="T8" s="3">
        <v>52.41</v>
      </c>
      <c r="U8" s="3">
        <v>55.95</v>
      </c>
      <c r="V8" s="3">
        <v>56.95</v>
      </c>
      <c r="W8" s="3">
        <v>61.45</v>
      </c>
      <c r="X8" s="6">
        <v>3.0132016527259831E-2</v>
      </c>
      <c r="Y8" s="8">
        <v>2.2500489141068281E-2</v>
      </c>
      <c r="Z8" s="8">
        <v>3.9418293149636519E-2</v>
      </c>
      <c r="AA8" s="8">
        <v>4.3630338733431362E-2</v>
      </c>
    </row>
    <row r="9" spans="2:27" x14ac:dyDescent="0.3">
      <c r="B9" s="10" t="s">
        <v>55</v>
      </c>
      <c r="C9" s="2" t="s">
        <v>236</v>
      </c>
      <c r="D9" s="2" t="s">
        <v>247</v>
      </c>
      <c r="E9" s="2" t="s">
        <v>238</v>
      </c>
      <c r="F9" s="4">
        <v>4.3</v>
      </c>
      <c r="G9" s="3">
        <v>91.78</v>
      </c>
      <c r="H9" s="3">
        <v>99.05</v>
      </c>
      <c r="I9" s="3">
        <v>121.13</v>
      </c>
      <c r="J9" s="3">
        <v>112.24</v>
      </c>
      <c r="K9" s="3">
        <v>122.37</v>
      </c>
      <c r="L9" s="3">
        <v>113.76</v>
      </c>
      <c r="M9" s="3">
        <v>119.83</v>
      </c>
      <c r="N9" s="3">
        <v>105.3</v>
      </c>
      <c r="O9" s="3">
        <v>122.23</v>
      </c>
      <c r="P9" s="3">
        <v>117.87</v>
      </c>
      <c r="Q9" s="3">
        <v>132.13999999999999</v>
      </c>
      <c r="R9" s="3">
        <v>145.51</v>
      </c>
      <c r="S9" s="3">
        <v>161.1</v>
      </c>
      <c r="T9" s="3">
        <v>166.66</v>
      </c>
      <c r="U9" s="3">
        <v>172.21</v>
      </c>
      <c r="V9" s="3">
        <v>178.51</v>
      </c>
      <c r="W9" s="3">
        <v>190.24</v>
      </c>
      <c r="X9" s="6">
        <v>8.7654054830943906E-2</v>
      </c>
      <c r="Y9" s="8">
        <v>6.6186551262780613E-2</v>
      </c>
      <c r="Z9" s="8">
        <v>5.112474437627812E-2</v>
      </c>
      <c r="AA9" s="8">
        <v>4.2948944699917391E-2</v>
      </c>
    </row>
    <row r="10" spans="2:27" x14ac:dyDescent="0.3">
      <c r="B10" s="10" t="s">
        <v>125</v>
      </c>
      <c r="C10" s="2" t="s">
        <v>236</v>
      </c>
      <c r="D10" s="2" t="s">
        <v>248</v>
      </c>
      <c r="E10" s="2" t="s">
        <v>243</v>
      </c>
      <c r="F10" s="4">
        <v>4</v>
      </c>
      <c r="G10" s="3">
        <v>42.02</v>
      </c>
      <c r="H10" s="3">
        <v>48.13</v>
      </c>
      <c r="I10" s="3">
        <v>56.11</v>
      </c>
      <c r="J10" s="3">
        <v>57.31</v>
      </c>
      <c r="K10" s="3">
        <v>54.24</v>
      </c>
      <c r="L10" s="3">
        <v>60.18</v>
      </c>
      <c r="M10" s="3">
        <v>63.74</v>
      </c>
      <c r="N10" s="3">
        <v>66.95</v>
      </c>
      <c r="O10" s="3">
        <v>71.5</v>
      </c>
      <c r="P10" s="3">
        <v>75.3</v>
      </c>
      <c r="Q10" s="3">
        <v>81.459999999999994</v>
      </c>
      <c r="R10" s="3">
        <v>84.71</v>
      </c>
      <c r="S10" s="3">
        <v>88.71</v>
      </c>
      <c r="T10" s="3">
        <v>92.79</v>
      </c>
      <c r="U10" s="3">
        <v>96.06</v>
      </c>
      <c r="V10" s="3">
        <v>99.01</v>
      </c>
      <c r="W10" s="3">
        <v>103.7</v>
      </c>
      <c r="X10" s="6">
        <v>5.2971106669089663E-2</v>
      </c>
      <c r="Y10" s="8">
        <v>4.199384473782608E-2</v>
      </c>
      <c r="Z10" s="8">
        <v>3.9473321003671291E-2</v>
      </c>
      <c r="AA10" s="8">
        <v>3.9806676049605638E-2</v>
      </c>
    </row>
    <row r="11" spans="2:27" x14ac:dyDescent="0.3">
      <c r="B11" s="10" t="s">
        <v>19</v>
      </c>
      <c r="C11" s="2" t="s">
        <v>236</v>
      </c>
      <c r="D11" s="2" t="s">
        <v>249</v>
      </c>
      <c r="E11" s="2" t="s">
        <v>238</v>
      </c>
      <c r="F11" s="4">
        <v>3.4</v>
      </c>
      <c r="G11" s="3">
        <v>1324</v>
      </c>
      <c r="H11" s="3">
        <v>1296</v>
      </c>
      <c r="I11" s="3">
        <v>1280</v>
      </c>
      <c r="J11" s="3">
        <v>1316</v>
      </c>
      <c r="K11" s="3">
        <v>1400</v>
      </c>
      <c r="L11" s="3">
        <v>1351</v>
      </c>
      <c r="M11" s="3">
        <v>1370</v>
      </c>
      <c r="N11" s="3">
        <v>1411</v>
      </c>
      <c r="O11" s="3">
        <v>1527</v>
      </c>
      <c r="P11" s="3">
        <v>1443</v>
      </c>
      <c r="Q11" s="3">
        <v>1458</v>
      </c>
      <c r="R11" s="3">
        <v>1481</v>
      </c>
      <c r="S11" s="3">
        <v>1582</v>
      </c>
      <c r="T11" s="3">
        <v>1473</v>
      </c>
      <c r="U11" s="3">
        <v>1498</v>
      </c>
      <c r="V11" s="3">
        <v>1602</v>
      </c>
      <c r="W11" s="3">
        <v>1791</v>
      </c>
      <c r="X11" s="6">
        <v>5.0301810865192031E-3</v>
      </c>
      <c r="Y11" s="8">
        <v>6.6733400066734117E-3</v>
      </c>
      <c r="Z11" s="8">
        <v>2.0053032814053798E-2</v>
      </c>
      <c r="AA11" s="8">
        <v>3.3956133225020217E-2</v>
      </c>
    </row>
    <row r="12" spans="2:27" x14ac:dyDescent="0.3">
      <c r="B12" s="10" t="s">
        <v>23</v>
      </c>
      <c r="C12" s="2" t="s">
        <v>236</v>
      </c>
      <c r="D12" s="2" t="s">
        <v>248</v>
      </c>
      <c r="E12" s="2" t="s">
        <v>238</v>
      </c>
      <c r="F12" s="4">
        <v>3.3</v>
      </c>
      <c r="G12" s="3">
        <v>801.09</v>
      </c>
      <c r="H12" s="3">
        <v>836.55</v>
      </c>
      <c r="I12" s="3">
        <v>860.55</v>
      </c>
      <c r="J12" s="3">
        <v>841.66</v>
      </c>
      <c r="K12" s="3">
        <v>828.57</v>
      </c>
      <c r="L12" s="3">
        <v>900.2</v>
      </c>
      <c r="M12" s="3">
        <v>943.63</v>
      </c>
      <c r="N12" s="3">
        <v>915.53</v>
      </c>
      <c r="O12" s="3">
        <v>901.6</v>
      </c>
      <c r="P12" s="3">
        <v>964.1</v>
      </c>
      <c r="Q12" s="3">
        <v>1004</v>
      </c>
      <c r="R12" s="3">
        <v>975.54</v>
      </c>
      <c r="S12" s="3">
        <v>954.29</v>
      </c>
      <c r="T12" s="3">
        <v>998.43</v>
      </c>
      <c r="U12" s="3">
        <v>1109</v>
      </c>
      <c r="V12" s="3">
        <v>1105</v>
      </c>
      <c r="W12" s="3">
        <v>1091</v>
      </c>
      <c r="X12" s="6">
        <v>8.80723871388156E-3</v>
      </c>
      <c r="Y12" s="8">
        <v>2.670220178726734E-2</v>
      </c>
      <c r="Z12" s="8">
        <v>3.2066302393207291E-2</v>
      </c>
      <c r="AA12" s="8">
        <v>3.2809980032255659E-2</v>
      </c>
    </row>
    <row r="13" spans="2:27" x14ac:dyDescent="0.3">
      <c r="B13" s="10" t="s">
        <v>145</v>
      </c>
      <c r="C13" s="2" t="s">
        <v>236</v>
      </c>
      <c r="D13" s="2" t="s">
        <v>250</v>
      </c>
      <c r="E13" s="2" t="s">
        <v>241</v>
      </c>
      <c r="F13" s="4">
        <v>2.8</v>
      </c>
      <c r="G13" s="3">
        <v>33.409999999999997</v>
      </c>
      <c r="H13" s="3">
        <v>35.909999999999997</v>
      </c>
      <c r="I13" s="3">
        <v>43.23</v>
      </c>
      <c r="J13" s="3">
        <v>39.49</v>
      </c>
      <c r="K13" s="3">
        <v>42.31</v>
      </c>
      <c r="L13" s="3">
        <v>43.53</v>
      </c>
      <c r="M13" s="3">
        <v>44.66</v>
      </c>
      <c r="N13" s="3">
        <v>41.68</v>
      </c>
      <c r="O13" s="3">
        <v>47.55</v>
      </c>
      <c r="P13" s="3">
        <v>49.27</v>
      </c>
      <c r="Q13" s="3">
        <v>50.33</v>
      </c>
      <c r="R13" s="3">
        <v>44</v>
      </c>
      <c r="S13" s="3">
        <v>42.93</v>
      </c>
      <c r="T13" s="3">
        <v>43.96</v>
      </c>
      <c r="U13" s="3">
        <v>50.72</v>
      </c>
      <c r="V13" s="3">
        <v>49.17</v>
      </c>
      <c r="W13" s="3">
        <v>48.17</v>
      </c>
      <c r="X13" s="6">
        <v>-2.8467270680319508E-2</v>
      </c>
      <c r="Y13" s="8">
        <v>2.1520803443328962E-3</v>
      </c>
      <c r="Z13" s="8">
        <v>2.8467595396729269E-2</v>
      </c>
      <c r="AA13" s="8">
        <v>2.8054395545561661E-2</v>
      </c>
    </row>
    <row r="14" spans="2:27" x14ac:dyDescent="0.3">
      <c r="B14" s="10" t="s">
        <v>61</v>
      </c>
      <c r="C14" s="2" t="s">
        <v>236</v>
      </c>
      <c r="D14" s="2" t="s">
        <v>251</v>
      </c>
      <c r="E14" s="2" t="s">
        <v>238</v>
      </c>
      <c r="F14" s="4">
        <v>2.4</v>
      </c>
      <c r="G14" s="3">
        <v>2944</v>
      </c>
      <c r="H14" s="3">
        <v>2818</v>
      </c>
      <c r="I14" s="3">
        <v>2927</v>
      </c>
      <c r="J14" s="3">
        <v>2949</v>
      </c>
      <c r="K14" s="3">
        <v>0</v>
      </c>
      <c r="L14" s="3">
        <v>2873</v>
      </c>
      <c r="M14" s="3">
        <v>3000</v>
      </c>
      <c r="N14" s="3">
        <v>3121</v>
      </c>
      <c r="O14" s="5">
        <v>3146</v>
      </c>
      <c r="P14" s="3">
        <v>3071</v>
      </c>
      <c r="Q14" s="3">
        <v>3187</v>
      </c>
      <c r="R14" s="3">
        <v>3264</v>
      </c>
      <c r="S14" s="3">
        <v>3295</v>
      </c>
      <c r="T14" s="3">
        <v>3224</v>
      </c>
      <c r="U14" s="3">
        <v>3380</v>
      </c>
      <c r="V14" s="3">
        <v>3420</v>
      </c>
      <c r="W14" s="3">
        <v>3620</v>
      </c>
      <c r="X14" s="6">
        <v>1.1937270812202531E-2</v>
      </c>
      <c r="Y14" s="8">
        <v>1.4880493446414841E-2</v>
      </c>
      <c r="Z14" s="8">
        <v>1.1851401656157501E-2</v>
      </c>
      <c r="AA14" s="8">
        <v>2.4401231323673001E-2</v>
      </c>
    </row>
    <row r="15" spans="2:27" x14ac:dyDescent="0.3">
      <c r="B15" s="10" t="s">
        <v>89</v>
      </c>
      <c r="C15" s="2" t="s">
        <v>236</v>
      </c>
      <c r="D15" s="2" t="s">
        <v>252</v>
      </c>
      <c r="E15" s="2" t="s">
        <v>238</v>
      </c>
      <c r="F15" s="4">
        <v>2.2000000000000002</v>
      </c>
      <c r="G15" s="3">
        <v>46.11</v>
      </c>
      <c r="H15" s="3">
        <v>50.91</v>
      </c>
      <c r="I15" s="3">
        <v>60.49</v>
      </c>
      <c r="J15" s="3">
        <v>66.459999999999994</v>
      </c>
      <c r="K15" s="3">
        <v>58.29</v>
      </c>
      <c r="L15" s="3">
        <v>66.78</v>
      </c>
      <c r="M15" s="3">
        <v>73.98</v>
      </c>
      <c r="N15" s="3">
        <v>74.88</v>
      </c>
      <c r="O15" s="3">
        <v>65.69</v>
      </c>
      <c r="P15" s="3">
        <v>71.69</v>
      </c>
      <c r="Q15" s="3">
        <v>76.55</v>
      </c>
      <c r="R15" s="3">
        <v>89.43</v>
      </c>
      <c r="S15" s="3">
        <v>80.06</v>
      </c>
      <c r="T15" s="3">
        <v>91.25</v>
      </c>
      <c r="U15" s="3">
        <v>91.52</v>
      </c>
      <c r="V15" s="3">
        <v>102.02</v>
      </c>
      <c r="W15" s="3">
        <v>87.94</v>
      </c>
      <c r="X15" s="6">
        <v>6.1561703333018691E-2</v>
      </c>
      <c r="Y15" s="8">
        <v>4.4383171751311901E-2</v>
      </c>
      <c r="Z15" s="8">
        <v>3.574064611366623E-2</v>
      </c>
      <c r="AA15" s="8">
        <v>2.1597916952172062E-2</v>
      </c>
    </row>
    <row r="16" spans="2:27" x14ac:dyDescent="0.3">
      <c r="B16" s="10" t="s">
        <v>21</v>
      </c>
      <c r="C16" s="2" t="s">
        <v>236</v>
      </c>
      <c r="D16" s="2" t="s">
        <v>247</v>
      </c>
      <c r="E16" s="2" t="s">
        <v>238</v>
      </c>
      <c r="F16" s="4">
        <v>1.9</v>
      </c>
      <c r="G16" s="3">
        <v>3039</v>
      </c>
      <c r="H16" s="3">
        <v>3136</v>
      </c>
      <c r="I16" s="3">
        <v>3312</v>
      </c>
      <c r="J16" s="3">
        <v>3445</v>
      </c>
      <c r="K16" s="3">
        <v>3312</v>
      </c>
      <c r="L16" s="3">
        <v>3121</v>
      </c>
      <c r="M16" s="3">
        <v>3299</v>
      </c>
      <c r="N16" s="3">
        <v>3434</v>
      </c>
      <c r="O16" s="3">
        <v>3422</v>
      </c>
      <c r="P16" s="3">
        <v>3126</v>
      </c>
      <c r="Q16" s="3">
        <v>3127</v>
      </c>
      <c r="R16" s="3">
        <v>3250</v>
      </c>
      <c r="S16" s="3">
        <v>3111</v>
      </c>
      <c r="T16" s="3">
        <v>2835</v>
      </c>
      <c r="U16" s="3">
        <v>2926</v>
      </c>
      <c r="V16" s="3">
        <v>3173</v>
      </c>
      <c r="W16" s="3">
        <v>3335</v>
      </c>
      <c r="X16" s="6">
        <v>-2.3069605200570779E-2</v>
      </c>
      <c r="Y16" s="8">
        <v>-1.6310963239470899E-2</v>
      </c>
      <c r="Z16" s="8">
        <v>-6.3520871143375457E-3</v>
      </c>
      <c r="AA16" s="8">
        <v>1.8596928185969249E-2</v>
      </c>
    </row>
    <row r="17" spans="2:27" x14ac:dyDescent="0.3">
      <c r="B17" s="10" t="s">
        <v>53</v>
      </c>
      <c r="C17" s="2" t="s">
        <v>236</v>
      </c>
      <c r="D17" s="2" t="s">
        <v>248</v>
      </c>
      <c r="E17" s="2" t="s">
        <v>238</v>
      </c>
      <c r="F17" s="4">
        <v>1.5</v>
      </c>
      <c r="G17" s="3">
        <v>1028</v>
      </c>
      <c r="H17" s="3">
        <v>963.16</v>
      </c>
      <c r="I17" s="3">
        <v>895.64</v>
      </c>
      <c r="J17" s="3">
        <v>711.8</v>
      </c>
      <c r="K17" s="3">
        <v>741.21</v>
      </c>
      <c r="L17" s="3">
        <v>674.87</v>
      </c>
      <c r="M17" s="3">
        <v>709.07</v>
      </c>
      <c r="N17" s="3">
        <v>670.74</v>
      </c>
      <c r="O17" s="3">
        <v>695.9</v>
      </c>
      <c r="P17" s="3">
        <v>649.91999999999996</v>
      </c>
      <c r="Q17" s="3">
        <v>691.69</v>
      </c>
      <c r="R17" s="3">
        <v>684.05</v>
      </c>
      <c r="S17" s="3">
        <v>729.37</v>
      </c>
      <c r="T17" s="3">
        <v>664.76</v>
      </c>
      <c r="U17" s="3">
        <v>720.28</v>
      </c>
      <c r="V17" s="3">
        <v>698.95</v>
      </c>
      <c r="W17" s="3">
        <v>772.06</v>
      </c>
      <c r="X17" s="6">
        <v>5.3865112176636476E-3</v>
      </c>
      <c r="Y17" s="8">
        <v>1.032178405484729E-2</v>
      </c>
      <c r="Z17" s="8">
        <v>5.3243569677607896E-3</v>
      </c>
      <c r="AA17" s="8">
        <v>1.5174026786475951E-2</v>
      </c>
    </row>
    <row r="18" spans="2:27" x14ac:dyDescent="0.3">
      <c r="B18" s="10" t="s">
        <v>12</v>
      </c>
      <c r="C18" s="2" t="s">
        <v>236</v>
      </c>
      <c r="D18" s="2" t="s">
        <v>253</v>
      </c>
      <c r="E18" s="2" t="s">
        <v>243</v>
      </c>
      <c r="F18" s="4">
        <v>1.4</v>
      </c>
      <c r="G18" s="3">
        <v>21819</v>
      </c>
      <c r="H18" s="3">
        <v>19249</v>
      </c>
      <c r="I18" s="3">
        <v>21504</v>
      </c>
      <c r="J18" s="3">
        <v>20150</v>
      </c>
      <c r="K18" s="3">
        <v>23512</v>
      </c>
      <c r="L18" s="3">
        <v>21815</v>
      </c>
      <c r="M18" s="3">
        <v>22330</v>
      </c>
      <c r="N18" s="3">
        <v>21241</v>
      </c>
      <c r="O18" s="3">
        <v>23549</v>
      </c>
      <c r="P18" s="3">
        <v>22083</v>
      </c>
      <c r="Q18" s="3">
        <v>23155</v>
      </c>
      <c r="R18" s="3">
        <v>22574</v>
      </c>
      <c r="S18" s="3">
        <v>24690</v>
      </c>
      <c r="T18" s="3">
        <v>23621</v>
      </c>
      <c r="U18" s="3">
        <v>23650</v>
      </c>
      <c r="V18" s="3">
        <v>22464</v>
      </c>
      <c r="W18" s="3">
        <v>25981</v>
      </c>
      <c r="X18" s="6">
        <v>1.6626667531512759E-2</v>
      </c>
      <c r="Y18" s="8">
        <v>5.2637175669927316E-3</v>
      </c>
      <c r="Z18" s="8">
        <v>-1.163590204686149E-3</v>
      </c>
      <c r="AA18" s="8">
        <v>1.367222663489542E-2</v>
      </c>
    </row>
    <row r="19" spans="2:27" x14ac:dyDescent="0.3">
      <c r="B19" s="10" t="s">
        <v>34</v>
      </c>
      <c r="C19" s="2" t="s">
        <v>236</v>
      </c>
      <c r="D19" s="2" t="s">
        <v>254</v>
      </c>
      <c r="E19" s="2" t="s">
        <v>243</v>
      </c>
      <c r="F19" s="4">
        <v>1.3</v>
      </c>
      <c r="G19" s="3">
        <v>12933</v>
      </c>
      <c r="H19" s="3">
        <v>13117</v>
      </c>
      <c r="I19" s="3">
        <v>13495</v>
      </c>
      <c r="J19" s="3">
        <v>13737</v>
      </c>
      <c r="K19" s="3">
        <v>13260</v>
      </c>
      <c r="L19" s="3">
        <v>13133</v>
      </c>
      <c r="M19" s="3">
        <v>13140</v>
      </c>
      <c r="N19" s="3">
        <v>13348</v>
      </c>
      <c r="O19" s="3">
        <v>13319</v>
      </c>
      <c r="P19" s="3">
        <v>13072</v>
      </c>
      <c r="Q19" s="3">
        <v>13353</v>
      </c>
      <c r="R19" s="3">
        <v>13565</v>
      </c>
      <c r="S19" s="3">
        <v>13623</v>
      </c>
      <c r="T19" s="3">
        <v>13074</v>
      </c>
      <c r="U19" s="3">
        <v>13884</v>
      </c>
      <c r="V19" s="3">
        <v>13860</v>
      </c>
      <c r="W19" s="3">
        <v>14313</v>
      </c>
      <c r="X19" s="6">
        <v>3.7304385130498829E-5</v>
      </c>
      <c r="Y19" s="8">
        <v>9.903944791569419E-3</v>
      </c>
      <c r="Z19" s="8">
        <v>5.4482325564215728E-3</v>
      </c>
      <c r="AA19" s="8">
        <v>1.267427122940434E-2</v>
      </c>
    </row>
    <row r="20" spans="2:27" x14ac:dyDescent="0.3">
      <c r="B20" s="10" t="s">
        <v>38</v>
      </c>
      <c r="C20" s="2" t="s">
        <v>236</v>
      </c>
      <c r="D20" s="2" t="s">
        <v>255</v>
      </c>
      <c r="E20" s="2" t="s">
        <v>238</v>
      </c>
      <c r="F20" s="4">
        <v>1.2</v>
      </c>
      <c r="G20" s="3">
        <v>4134</v>
      </c>
      <c r="H20" s="3">
        <v>4178</v>
      </c>
      <c r="I20" s="3">
        <v>4057</v>
      </c>
      <c r="J20" s="3">
        <v>4614</v>
      </c>
      <c r="K20" s="3">
        <v>4640</v>
      </c>
      <c r="L20" s="3">
        <v>4818</v>
      </c>
      <c r="M20" s="3">
        <v>5200</v>
      </c>
      <c r="N20" s="3">
        <v>5114</v>
      </c>
      <c r="O20" s="3">
        <v>4919</v>
      </c>
      <c r="P20" s="3">
        <v>4901</v>
      </c>
      <c r="Q20" s="3">
        <v>5051</v>
      </c>
      <c r="R20" s="3">
        <v>4854</v>
      </c>
      <c r="S20" s="3">
        <v>4907</v>
      </c>
      <c r="T20" s="3">
        <v>4825</v>
      </c>
      <c r="U20" s="3">
        <v>5208</v>
      </c>
      <c r="V20" s="3">
        <v>5212</v>
      </c>
      <c r="W20" s="3">
        <v>5153</v>
      </c>
      <c r="X20" s="6">
        <v>-3.8553238979354139E-3</v>
      </c>
      <c r="Y20" s="8">
        <v>7.9951112695422211E-3</v>
      </c>
      <c r="Z20" s="8">
        <v>1.808628877437601E-2</v>
      </c>
      <c r="AA20" s="8">
        <v>1.2207225089321261E-2</v>
      </c>
    </row>
    <row r="21" spans="2:27" x14ac:dyDescent="0.3">
      <c r="B21" s="10" t="s">
        <v>44</v>
      </c>
      <c r="C21" s="2" t="s">
        <v>236</v>
      </c>
      <c r="D21" s="2" t="s">
        <v>256</v>
      </c>
      <c r="E21" s="2" t="s">
        <v>238</v>
      </c>
      <c r="F21" s="4">
        <v>0.8</v>
      </c>
      <c r="G21" s="3">
        <v>483.21</v>
      </c>
      <c r="H21" s="3">
        <v>498.37</v>
      </c>
      <c r="I21" s="3">
        <v>517.92999999999995</v>
      </c>
      <c r="J21" s="3">
        <v>520.41</v>
      </c>
      <c r="K21" s="3">
        <v>524.47</v>
      </c>
      <c r="L21" s="3">
        <v>525.67999999999995</v>
      </c>
      <c r="M21" s="3">
        <v>545.42999999999995</v>
      </c>
      <c r="N21" s="3">
        <v>556.24</v>
      </c>
      <c r="O21" s="3">
        <v>553.65</v>
      </c>
      <c r="P21" s="3">
        <v>606.55999999999995</v>
      </c>
      <c r="Q21" s="3">
        <v>695.5</v>
      </c>
      <c r="R21" s="3">
        <v>700.4</v>
      </c>
      <c r="S21" s="3">
        <v>697.99</v>
      </c>
      <c r="T21" s="3">
        <v>702.89</v>
      </c>
      <c r="U21" s="3">
        <v>694.35</v>
      </c>
      <c r="V21" s="3">
        <v>705.87</v>
      </c>
      <c r="W21" s="3">
        <v>719.4</v>
      </c>
      <c r="X21" s="6">
        <v>3.5671832472365723E-2</v>
      </c>
      <c r="Y21" s="8">
        <v>-4.1118715093768632E-4</v>
      </c>
      <c r="Z21" s="8">
        <v>1.9566251614124841E-3</v>
      </c>
      <c r="AA21" s="8">
        <v>7.6434257970083852E-3</v>
      </c>
    </row>
    <row r="22" spans="2:27" x14ac:dyDescent="0.3">
      <c r="B22" s="10" t="s">
        <v>84</v>
      </c>
      <c r="C22" s="2" t="s">
        <v>236</v>
      </c>
      <c r="D22" s="2" t="s">
        <v>257</v>
      </c>
      <c r="E22" s="2" t="s">
        <v>238</v>
      </c>
      <c r="F22" s="4">
        <v>0.5</v>
      </c>
      <c r="G22" s="3">
        <v>316.3</v>
      </c>
      <c r="H22" s="3">
        <v>312.39999999999998</v>
      </c>
      <c r="I22" s="3">
        <v>313.39999999999998</v>
      </c>
      <c r="J22" s="3">
        <v>334.8</v>
      </c>
      <c r="K22" s="3">
        <v>314.60000000000002</v>
      </c>
      <c r="L22" s="3">
        <v>305</v>
      </c>
      <c r="M22" s="3">
        <v>324</v>
      </c>
      <c r="N22" s="3">
        <v>363.1</v>
      </c>
      <c r="O22" s="3">
        <v>356.5</v>
      </c>
      <c r="P22" s="3">
        <v>355.6</v>
      </c>
      <c r="Q22" s="3">
        <v>365.5</v>
      </c>
      <c r="R22" s="3">
        <v>378.5</v>
      </c>
      <c r="S22" s="3">
        <v>395.9</v>
      </c>
      <c r="T22" s="3">
        <v>382</v>
      </c>
      <c r="U22" s="3">
        <v>414.2</v>
      </c>
      <c r="V22" s="3">
        <v>420.9</v>
      </c>
      <c r="W22" s="3">
        <v>404.2</v>
      </c>
      <c r="X22" s="6">
        <v>1.765295887662988E-2</v>
      </c>
      <c r="Y22" s="8">
        <v>3.1999474341283703E-2</v>
      </c>
      <c r="Z22" s="8">
        <v>2.699605246402648E-2</v>
      </c>
      <c r="AA22" s="8">
        <v>5.1456912585243764E-3</v>
      </c>
    </row>
    <row r="23" spans="2:27" x14ac:dyDescent="0.3">
      <c r="B23" s="10" t="s">
        <v>76</v>
      </c>
      <c r="C23" s="2" t="s">
        <v>236</v>
      </c>
      <c r="D23" s="2" t="s">
        <v>258</v>
      </c>
      <c r="E23" s="2" t="s">
        <v>238</v>
      </c>
      <c r="F23" s="4">
        <v>-0.2</v>
      </c>
      <c r="G23" s="3">
        <v>294.12</v>
      </c>
      <c r="H23" s="3">
        <v>294.62</v>
      </c>
      <c r="I23" s="3">
        <v>293.12</v>
      </c>
      <c r="J23" s="3">
        <v>292.8</v>
      </c>
      <c r="K23" s="3">
        <v>292.25</v>
      </c>
      <c r="L23" s="3">
        <v>283.97000000000003</v>
      </c>
      <c r="M23" s="3">
        <v>290.68</v>
      </c>
      <c r="N23" s="3">
        <v>296.51</v>
      </c>
      <c r="O23" s="3">
        <v>283.95999999999998</v>
      </c>
      <c r="P23" s="3">
        <v>294.36</v>
      </c>
      <c r="Q23" s="3">
        <v>305.27999999999997</v>
      </c>
      <c r="R23" s="3">
        <v>306.64999999999998</v>
      </c>
      <c r="S23" s="3">
        <v>301.44</v>
      </c>
      <c r="T23" s="3">
        <v>306.23</v>
      </c>
      <c r="U23" s="3">
        <v>304.25</v>
      </c>
      <c r="V23" s="3">
        <v>304.51</v>
      </c>
      <c r="W23" s="3">
        <v>298.64999999999998</v>
      </c>
      <c r="X23" s="6">
        <v>9.8283556755234258E-3</v>
      </c>
      <c r="Y23" s="8">
        <v>-8.4453919317806214E-4</v>
      </c>
      <c r="Z23" s="8">
        <v>-1.756156806748788E-3</v>
      </c>
      <c r="AA23" s="8">
        <v>-2.293596836645095E-3</v>
      </c>
    </row>
    <row r="24" spans="2:27" x14ac:dyDescent="0.3">
      <c r="B24" s="10" t="s">
        <v>206</v>
      </c>
      <c r="C24" s="2" t="s">
        <v>236</v>
      </c>
      <c r="D24" s="2" t="s">
        <v>259</v>
      </c>
      <c r="E24" s="2" t="s">
        <v>238</v>
      </c>
      <c r="F24" s="4">
        <v>-0.9</v>
      </c>
      <c r="G24" s="3">
        <v>410.36</v>
      </c>
      <c r="H24" s="3">
        <v>416.97</v>
      </c>
      <c r="I24" s="3">
        <v>436.52</v>
      </c>
      <c r="J24" s="3">
        <v>437.62</v>
      </c>
      <c r="K24" s="3">
        <v>419.66</v>
      </c>
      <c r="L24" s="3">
        <v>406</v>
      </c>
      <c r="M24" s="3">
        <v>389.19</v>
      </c>
      <c r="N24" s="3">
        <v>373.12</v>
      </c>
      <c r="O24" s="3">
        <v>363.45</v>
      </c>
      <c r="P24" s="3">
        <v>351.89</v>
      </c>
      <c r="Q24" s="3">
        <v>356.32</v>
      </c>
      <c r="R24" s="3">
        <v>353.32</v>
      </c>
      <c r="S24" s="3">
        <v>343.78</v>
      </c>
      <c r="T24" s="3">
        <v>330.03</v>
      </c>
      <c r="U24" s="3">
        <v>334.32</v>
      </c>
      <c r="V24" s="3">
        <v>332.65</v>
      </c>
      <c r="W24" s="3">
        <v>332.02</v>
      </c>
      <c r="X24" s="6">
        <v>-1.555528673388795E-2</v>
      </c>
      <c r="Y24" s="8">
        <v>-1.5902273302251579E-2</v>
      </c>
      <c r="Z24" s="8">
        <v>-1.5182342355576689E-2</v>
      </c>
      <c r="AA24" s="8">
        <v>-8.7710138874386168E-3</v>
      </c>
    </row>
    <row r="25" spans="2:27" x14ac:dyDescent="0.3">
      <c r="B25" s="10" t="s">
        <v>110</v>
      </c>
      <c r="C25" s="2" t="s">
        <v>236</v>
      </c>
      <c r="D25" s="2" t="s">
        <v>260</v>
      </c>
      <c r="E25" s="2" t="s">
        <v>243</v>
      </c>
      <c r="F25" s="4">
        <v>-1</v>
      </c>
      <c r="G25" s="3">
        <v>512</v>
      </c>
      <c r="H25" s="3">
        <v>604</v>
      </c>
      <c r="I25" s="3">
        <v>644</v>
      </c>
      <c r="J25" s="3">
        <v>632</v>
      </c>
      <c r="K25" s="3">
        <v>525</v>
      </c>
      <c r="L25" s="3">
        <v>603</v>
      </c>
      <c r="M25" s="3">
        <v>546</v>
      </c>
      <c r="N25" s="3">
        <v>517</v>
      </c>
      <c r="O25" s="3">
        <v>473</v>
      </c>
      <c r="P25" s="3">
        <v>575</v>
      </c>
      <c r="Q25" s="3">
        <v>544</v>
      </c>
      <c r="R25" s="3">
        <v>522</v>
      </c>
      <c r="S25" s="3">
        <v>405</v>
      </c>
      <c r="T25" s="3">
        <v>479</v>
      </c>
      <c r="U25" s="3">
        <v>463</v>
      </c>
      <c r="V25" s="3">
        <v>477</v>
      </c>
      <c r="W25" s="3">
        <v>386</v>
      </c>
      <c r="X25" s="6">
        <v>-4.692082111436946E-2</v>
      </c>
      <c r="Y25" s="8">
        <v>-4.1538461538461517E-2</v>
      </c>
      <c r="Z25" s="8">
        <v>-2.4077046548956701E-2</v>
      </c>
      <c r="AA25" s="8">
        <v>-1.041666666666663E-2</v>
      </c>
    </row>
    <row r="26" spans="2:27" x14ac:dyDescent="0.3">
      <c r="B26" s="10" t="s">
        <v>100</v>
      </c>
      <c r="C26" s="2" t="s">
        <v>236</v>
      </c>
      <c r="D26" s="2" t="s">
        <v>261</v>
      </c>
      <c r="E26" s="2" t="s">
        <v>238</v>
      </c>
      <c r="F26" s="4">
        <v>-2.4</v>
      </c>
      <c r="G26" s="3">
        <v>473.47</v>
      </c>
      <c r="H26" s="3">
        <v>463.42</v>
      </c>
      <c r="I26" s="3">
        <v>619.88</v>
      </c>
      <c r="J26" s="3">
        <v>632.46</v>
      </c>
      <c r="K26" s="5">
        <v>704.21</v>
      </c>
      <c r="L26" s="3">
        <v>662.92</v>
      </c>
      <c r="M26" s="3">
        <v>641.84</v>
      </c>
      <c r="N26" s="3">
        <v>636.52</v>
      </c>
      <c r="O26" s="3">
        <v>625.41999999999996</v>
      </c>
      <c r="P26" s="3">
        <v>651.70000000000005</v>
      </c>
      <c r="Q26" s="3">
        <v>593.35</v>
      </c>
      <c r="R26" s="3">
        <v>613.57000000000005</v>
      </c>
      <c r="S26" s="3">
        <v>590.09</v>
      </c>
      <c r="T26" s="3">
        <v>540.47</v>
      </c>
      <c r="U26" s="3">
        <v>547.46</v>
      </c>
      <c r="V26" s="3">
        <v>571.37</v>
      </c>
      <c r="W26" s="3">
        <v>535.51</v>
      </c>
      <c r="X26" s="6">
        <v>-4.5423917082872189E-2</v>
      </c>
      <c r="Y26" s="8">
        <v>-1.9632253537998131E-2</v>
      </c>
      <c r="Z26" s="8">
        <v>-1.8415161525403682E-2</v>
      </c>
      <c r="AA26" s="8">
        <v>-2.426435611432454E-2</v>
      </c>
    </row>
    <row r="27" spans="2:27" x14ac:dyDescent="0.3">
      <c r="B27" s="10" t="s">
        <v>169</v>
      </c>
      <c r="C27" s="2" t="s">
        <v>236</v>
      </c>
      <c r="D27" s="2" t="s">
        <v>262</v>
      </c>
      <c r="E27" s="2" t="s">
        <v>238</v>
      </c>
      <c r="F27" s="4">
        <v>-39.5</v>
      </c>
      <c r="G27" s="3">
        <v>166.7</v>
      </c>
      <c r="H27" s="3">
        <v>-33.03</v>
      </c>
      <c r="I27" s="3">
        <v>-88.9</v>
      </c>
      <c r="J27" s="3">
        <v>346.8</v>
      </c>
      <c r="K27" s="3">
        <v>-146.16999999999999</v>
      </c>
      <c r="L27" s="3">
        <v>-100.54</v>
      </c>
      <c r="M27" s="5">
        <v>239.29</v>
      </c>
      <c r="N27" s="3">
        <v>349.87</v>
      </c>
      <c r="O27" s="3">
        <v>-233.74</v>
      </c>
      <c r="P27" s="5">
        <v>259.25</v>
      </c>
      <c r="Q27" s="3">
        <v>136.57</v>
      </c>
      <c r="R27" s="3">
        <v>-73.11</v>
      </c>
      <c r="S27" s="5">
        <v>271.04000000000002</v>
      </c>
      <c r="T27" s="3">
        <v>7.89</v>
      </c>
      <c r="U27" s="3">
        <v>23.61</v>
      </c>
      <c r="V27" s="5">
        <v>201.36</v>
      </c>
      <c r="W27" s="3">
        <v>71.94</v>
      </c>
      <c r="X27" s="6">
        <v>-0.42334315789473692</v>
      </c>
      <c r="Y27" s="8">
        <v>-0.32991617745845381</v>
      </c>
      <c r="Z27" s="7">
        <v>1.196312600793271</v>
      </c>
      <c r="AA27" s="8">
        <v>-0.39511807898392542</v>
      </c>
    </row>
    <row r="28" spans="2:27" x14ac:dyDescent="0.3">
      <c r="B28" s="36">
        <v>8370</v>
      </c>
      <c r="C28" s="26" t="s">
        <v>263</v>
      </c>
      <c r="D28" s="26" t="str">
        <f>VLOOKUP(B28,기업리스트!B:G,2,FALSE)</f>
        <v>The Kiyo Bank, Ltd.</v>
      </c>
      <c r="E28" s="2" t="s">
        <v>246</v>
      </c>
      <c r="F28" s="33">
        <v>8.6999999999999993</v>
      </c>
      <c r="G28" s="28">
        <v>18255</v>
      </c>
      <c r="H28" s="28">
        <v>16336</v>
      </c>
      <c r="I28" s="28">
        <v>21599</v>
      </c>
      <c r="J28" s="28">
        <v>18351</v>
      </c>
      <c r="K28" s="28">
        <v>17959</v>
      </c>
      <c r="L28" s="28">
        <v>19789</v>
      </c>
      <c r="M28" s="28">
        <v>17504</v>
      </c>
      <c r="N28" s="28">
        <v>17837</v>
      </c>
      <c r="O28" s="28">
        <v>17614</v>
      </c>
      <c r="P28" s="28">
        <v>22750</v>
      </c>
      <c r="Q28" s="28">
        <v>21185</v>
      </c>
      <c r="R28" s="28">
        <v>17490</v>
      </c>
      <c r="S28" s="28">
        <v>23018</v>
      </c>
      <c r="T28" s="28">
        <v>23840</v>
      </c>
      <c r="U28" s="28">
        <v>22188</v>
      </c>
      <c r="V28" s="28">
        <v>17463</v>
      </c>
      <c r="W28" s="28">
        <v>30564</v>
      </c>
      <c r="X28" s="30">
        <v>1.290811553355509E-2</v>
      </c>
      <c r="Y28" s="31">
        <v>1.1726468146797229E-2</v>
      </c>
      <c r="Z28" s="31">
        <v>-3.1200887491911189E-4</v>
      </c>
      <c r="AA28" s="31">
        <v>8.7227918482470024E-2</v>
      </c>
    </row>
    <row r="29" spans="2:27" x14ac:dyDescent="0.3">
      <c r="B29" s="10">
        <v>8601</v>
      </c>
      <c r="C29" s="2" t="s">
        <v>263</v>
      </c>
      <c r="D29" s="2" t="str">
        <f>VLOOKUP(B29,기업리스트!B:G,2,FALSE)</f>
        <v>Daiwa Securities Group Inc.</v>
      </c>
      <c r="E29" s="2" t="s">
        <v>246</v>
      </c>
      <c r="F29" s="4">
        <v>8</v>
      </c>
      <c r="G29" s="3">
        <v>166602</v>
      </c>
      <c r="H29" s="3">
        <v>148323</v>
      </c>
      <c r="I29" s="3">
        <v>146604</v>
      </c>
      <c r="J29" s="3">
        <v>192551</v>
      </c>
      <c r="K29" s="5">
        <v>233022</v>
      </c>
      <c r="L29" s="5">
        <v>293864</v>
      </c>
      <c r="M29" s="5">
        <v>266255</v>
      </c>
      <c r="N29" s="5">
        <v>303827</v>
      </c>
      <c r="O29" s="3">
        <v>335377</v>
      </c>
      <c r="P29" s="3">
        <v>372008</v>
      </c>
      <c r="Q29" s="3">
        <v>176188</v>
      </c>
      <c r="R29" s="3">
        <v>159958</v>
      </c>
      <c r="S29" s="3">
        <v>160018</v>
      </c>
      <c r="T29" s="5">
        <v>876860</v>
      </c>
      <c r="U29" s="3">
        <v>160993</v>
      </c>
      <c r="V29" s="3">
        <v>194358</v>
      </c>
      <c r="W29" s="3">
        <v>271228</v>
      </c>
      <c r="X29" s="9">
        <v>0.58151149772164956</v>
      </c>
      <c r="Y29" s="8">
        <v>-1.106681310741842E-2</v>
      </c>
      <c r="Z29" s="8">
        <v>2.5334559800976431E-2</v>
      </c>
      <c r="AA29" s="8">
        <v>7.9879100349152354E-2</v>
      </c>
    </row>
    <row r="30" spans="2:27" x14ac:dyDescent="0.3">
      <c r="B30" s="10">
        <v>8331</v>
      </c>
      <c r="C30" s="2" t="s">
        <v>263</v>
      </c>
      <c r="D30" s="2" t="str">
        <f>VLOOKUP(B30,기업리스트!B:G,2,FALSE)</f>
        <v>The Chiba Bank, Ltd.</v>
      </c>
      <c r="E30" s="2" t="s">
        <v>246</v>
      </c>
      <c r="F30" s="4">
        <v>7</v>
      </c>
      <c r="G30" s="3">
        <v>52659</v>
      </c>
      <c r="H30" s="3">
        <v>49973</v>
      </c>
      <c r="I30" s="3">
        <v>61244</v>
      </c>
      <c r="J30" s="3">
        <v>63020</v>
      </c>
      <c r="K30" s="3">
        <v>60603</v>
      </c>
      <c r="L30" s="3">
        <v>55498</v>
      </c>
      <c r="M30" s="3">
        <v>60170</v>
      </c>
      <c r="N30" s="3">
        <v>60590</v>
      </c>
      <c r="O30" s="3">
        <v>61776</v>
      </c>
      <c r="P30" s="3">
        <v>55515</v>
      </c>
      <c r="Q30" s="3">
        <v>67905</v>
      </c>
      <c r="R30" s="3">
        <v>66474</v>
      </c>
      <c r="S30" s="3">
        <v>64252</v>
      </c>
      <c r="T30" s="3">
        <v>65179</v>
      </c>
      <c r="U30" s="3">
        <v>75955</v>
      </c>
      <c r="V30" s="3">
        <v>81359</v>
      </c>
      <c r="W30" s="3">
        <v>84291</v>
      </c>
      <c r="X30" s="6">
        <v>3.8025386982285747E-2</v>
      </c>
      <c r="Y30" s="8">
        <v>3.0514385353095141E-2</v>
      </c>
      <c r="Z30" s="8">
        <v>5.4752446111969499E-2</v>
      </c>
      <c r="AA30" s="8">
        <v>6.9884392055659106E-2</v>
      </c>
    </row>
    <row r="31" spans="2:27" x14ac:dyDescent="0.3">
      <c r="B31" s="10">
        <v>7337</v>
      </c>
      <c r="C31" s="2" t="s">
        <v>263</v>
      </c>
      <c r="D31" s="2" t="str">
        <f>VLOOKUP(B31,기업리스트!B:G,2,FALSE)</f>
        <v>Hirogin Holdings, Inc.</v>
      </c>
      <c r="E31" s="2" t="s">
        <v>246</v>
      </c>
      <c r="F31" s="4">
        <v>6.9</v>
      </c>
      <c r="G31" s="3">
        <v>35473</v>
      </c>
      <c r="H31" s="3">
        <v>31052</v>
      </c>
      <c r="I31" s="3">
        <v>36024</v>
      </c>
      <c r="J31" s="3">
        <v>28051</v>
      </c>
      <c r="K31" s="3">
        <v>34042</v>
      </c>
      <c r="L31" s="3">
        <v>33564</v>
      </c>
      <c r="M31" s="3">
        <v>36058</v>
      </c>
      <c r="N31" s="3">
        <v>36180</v>
      </c>
      <c r="O31" s="3">
        <v>35605</v>
      </c>
      <c r="P31" s="3">
        <v>27550</v>
      </c>
      <c r="Q31" s="3">
        <v>38834</v>
      </c>
      <c r="R31" s="3">
        <v>38922</v>
      </c>
      <c r="S31" s="3">
        <v>42895</v>
      </c>
      <c r="T31" s="3">
        <v>37223</v>
      </c>
      <c r="U31" s="3">
        <v>42154</v>
      </c>
      <c r="V31" s="3">
        <v>39847</v>
      </c>
      <c r="W31" s="3">
        <v>54153</v>
      </c>
      <c r="X31" s="6">
        <v>6.5269465118318992E-2</v>
      </c>
      <c r="Y31" s="8">
        <v>2.1029428531613711E-2</v>
      </c>
      <c r="Z31" s="8">
        <v>5.7384269885976114E-3</v>
      </c>
      <c r="AA31" s="8">
        <v>6.9442816696377418E-2</v>
      </c>
    </row>
    <row r="32" spans="2:27" x14ac:dyDescent="0.3">
      <c r="B32" s="10">
        <v>8386</v>
      </c>
      <c r="C32" s="2" t="s">
        <v>263</v>
      </c>
      <c r="D32" s="2" t="str">
        <f>VLOOKUP(B32,기업리스트!B:G,2,FALSE)</f>
        <v>The Hyakujushi Bank, Ltd.</v>
      </c>
      <c r="E32" s="2" t="s">
        <v>241</v>
      </c>
      <c r="F32" s="4">
        <v>6</v>
      </c>
      <c r="G32" s="3">
        <v>17037</v>
      </c>
      <c r="H32" s="3">
        <v>18567</v>
      </c>
      <c r="I32" s="3">
        <v>15023</v>
      </c>
      <c r="J32" s="3">
        <v>21178</v>
      </c>
      <c r="K32" s="3">
        <v>20437</v>
      </c>
      <c r="L32" s="3">
        <v>19040</v>
      </c>
      <c r="M32" s="3">
        <v>14645</v>
      </c>
      <c r="N32" s="3">
        <v>16940</v>
      </c>
      <c r="O32" s="3">
        <v>14494</v>
      </c>
      <c r="P32" s="3">
        <v>17039</v>
      </c>
      <c r="Q32" s="3">
        <v>17520</v>
      </c>
      <c r="R32" s="3">
        <v>17247</v>
      </c>
      <c r="S32" s="3">
        <v>14292</v>
      </c>
      <c r="T32" s="3">
        <v>19913</v>
      </c>
      <c r="U32" s="3">
        <v>18479</v>
      </c>
      <c r="V32" s="3">
        <v>20602</v>
      </c>
      <c r="W32" s="3">
        <v>18703</v>
      </c>
      <c r="X32" s="6">
        <v>4.3480892008835433E-2</v>
      </c>
      <c r="Y32" s="8">
        <v>1.390419300585743E-2</v>
      </c>
      <c r="Z32" s="8">
        <v>4.7975861921036422E-2</v>
      </c>
      <c r="AA32" s="8">
        <v>6.018884916628009E-2</v>
      </c>
    </row>
    <row r="33" spans="2:27" x14ac:dyDescent="0.3">
      <c r="B33" s="10">
        <v>3132</v>
      </c>
      <c r="C33" s="2" t="s">
        <v>263</v>
      </c>
      <c r="D33" s="2" t="str">
        <f>VLOOKUP(B33,기업리스트!B:G,2,FALSE)</f>
        <v>Macnica Holdings, Inc.</v>
      </c>
      <c r="E33" s="2" t="s">
        <v>246</v>
      </c>
      <c r="F33" s="4">
        <v>4.5999999999999996</v>
      </c>
      <c r="G33" s="3">
        <v>194802</v>
      </c>
      <c r="H33" s="3">
        <v>204678</v>
      </c>
      <c r="I33" s="3">
        <v>241320</v>
      </c>
      <c r="J33" s="3">
        <v>251242</v>
      </c>
      <c r="K33" s="3">
        <v>275442</v>
      </c>
      <c r="L33" s="3">
        <v>261259</v>
      </c>
      <c r="M33" s="3">
        <v>278562</v>
      </c>
      <c r="N33" s="3">
        <v>268399</v>
      </c>
      <c r="O33" s="3">
        <v>253342</v>
      </c>
      <c r="P33" s="3">
        <v>228415</v>
      </c>
      <c r="Q33" s="3">
        <v>256330</v>
      </c>
      <c r="R33" s="3">
        <v>262630</v>
      </c>
      <c r="S33" s="3">
        <v>262829</v>
      </c>
      <c r="T33" s="3">
        <v>252391</v>
      </c>
      <c r="U33" s="3">
        <v>281613</v>
      </c>
      <c r="V33" s="3">
        <v>293822</v>
      </c>
      <c r="W33" s="3">
        <v>312722</v>
      </c>
      <c r="X33" s="6">
        <v>2.37338200997026E-2</v>
      </c>
      <c r="Y33" s="8">
        <v>2.4447388268966641E-2</v>
      </c>
      <c r="Z33" s="8">
        <v>2.9441330183309859E-2</v>
      </c>
      <c r="AA33" s="8">
        <v>4.5745904983702353E-2</v>
      </c>
    </row>
    <row r="34" spans="2:27" x14ac:dyDescent="0.3">
      <c r="B34" s="10">
        <v>6762</v>
      </c>
      <c r="C34" s="2" t="s">
        <v>263</v>
      </c>
      <c r="D34" s="2" t="str">
        <f>VLOOKUP(B34,기업리스트!B:G,2,FALSE)</f>
        <v>TDK Corporation</v>
      </c>
      <c r="E34" s="2" t="s">
        <v>246</v>
      </c>
      <c r="F34" s="4">
        <v>4.0999999999999996</v>
      </c>
      <c r="G34" s="3">
        <v>499670</v>
      </c>
      <c r="H34" s="3">
        <v>508269</v>
      </c>
      <c r="I34" s="3">
        <v>510504</v>
      </c>
      <c r="J34" s="3">
        <v>611489</v>
      </c>
      <c r="K34" s="3">
        <v>586972</v>
      </c>
      <c r="L34" s="3">
        <v>471852</v>
      </c>
      <c r="M34" s="3">
        <v>503399</v>
      </c>
      <c r="N34" s="3">
        <v>556312</v>
      </c>
      <c r="O34" s="3">
        <v>559250</v>
      </c>
      <c r="P34" s="3">
        <v>484915</v>
      </c>
      <c r="Q34" s="3">
        <v>518809</v>
      </c>
      <c r="R34" s="3">
        <v>570692</v>
      </c>
      <c r="S34" s="3">
        <v>581043</v>
      </c>
      <c r="T34" s="3">
        <v>534262</v>
      </c>
      <c r="U34" s="3">
        <v>535753</v>
      </c>
      <c r="V34" s="3">
        <v>647610</v>
      </c>
      <c r="W34" s="3">
        <v>675203</v>
      </c>
      <c r="X34" s="6">
        <v>2.2893963652289351E-2</v>
      </c>
      <c r="Y34" s="8">
        <v>7.6850298847155329E-3</v>
      </c>
      <c r="Z34" s="8">
        <v>3.4620456847080039E-2</v>
      </c>
      <c r="AA34" s="8">
        <v>4.0962853269806747E-2</v>
      </c>
    </row>
    <row r="35" spans="2:27" x14ac:dyDescent="0.3">
      <c r="B35" s="10">
        <v>8346</v>
      </c>
      <c r="C35" s="2" t="s">
        <v>263</v>
      </c>
      <c r="D35" s="2" t="str">
        <f>VLOOKUP(B35,기업리스트!B:G,2,FALSE)</f>
        <v>The Toho Bank, Ltd.</v>
      </c>
      <c r="E35" s="2" t="s">
        <v>241</v>
      </c>
      <c r="F35" s="4">
        <v>3.2</v>
      </c>
      <c r="G35" s="3">
        <v>14750</v>
      </c>
      <c r="H35" s="3">
        <v>14288</v>
      </c>
      <c r="I35" s="3">
        <v>14091</v>
      </c>
      <c r="J35" s="3">
        <v>14536</v>
      </c>
      <c r="K35" s="3">
        <v>13215</v>
      </c>
      <c r="L35" s="3">
        <v>13962</v>
      </c>
      <c r="M35" s="3">
        <v>13006</v>
      </c>
      <c r="N35" s="3">
        <v>14421</v>
      </c>
      <c r="O35" s="3">
        <v>13647</v>
      </c>
      <c r="P35" s="3">
        <v>15023</v>
      </c>
      <c r="Q35" s="3">
        <v>13888</v>
      </c>
      <c r="R35" s="3">
        <v>15806</v>
      </c>
      <c r="S35" s="3">
        <v>15618</v>
      </c>
      <c r="T35" s="3">
        <v>16217</v>
      </c>
      <c r="U35" s="3">
        <v>16230</v>
      </c>
      <c r="V35" s="3">
        <v>18249</v>
      </c>
      <c r="W35" s="3">
        <v>17757</v>
      </c>
      <c r="X35" s="6">
        <v>1.9789508577111151E-2</v>
      </c>
      <c r="Y35" s="8">
        <v>3.8063352240407022E-2</v>
      </c>
      <c r="Z35" s="8">
        <v>3.8248970581328028E-2</v>
      </c>
      <c r="AA35" s="8">
        <v>3.2255632294839742E-2</v>
      </c>
    </row>
    <row r="36" spans="2:27" x14ac:dyDescent="0.3">
      <c r="B36" s="10">
        <v>4768</v>
      </c>
      <c r="C36" s="2" t="s">
        <v>263</v>
      </c>
      <c r="D36" s="2" t="str">
        <f>VLOOKUP(B36,기업리스트!B:G,2,FALSE)</f>
        <v>Otsuka Corporation</v>
      </c>
      <c r="E36" s="2" t="s">
        <v>238</v>
      </c>
      <c r="F36" s="4">
        <v>2.5</v>
      </c>
      <c r="G36" s="3">
        <v>192635</v>
      </c>
      <c r="H36" s="3">
        <v>210069</v>
      </c>
      <c r="I36" s="3">
        <v>235267</v>
      </c>
      <c r="J36" s="3">
        <v>207843</v>
      </c>
      <c r="K36" s="3">
        <v>207843</v>
      </c>
      <c r="L36" s="3">
        <v>242609</v>
      </c>
      <c r="M36" s="3">
        <v>278447</v>
      </c>
      <c r="N36" s="3">
        <v>219002</v>
      </c>
      <c r="O36" s="3">
        <v>237312</v>
      </c>
      <c r="P36" s="3">
        <v>266664</v>
      </c>
      <c r="Q36" s="3">
        <v>303058</v>
      </c>
      <c r="R36" s="3">
        <v>252540</v>
      </c>
      <c r="S36" s="3">
        <v>285406</v>
      </c>
      <c r="T36" s="3">
        <v>315541</v>
      </c>
      <c r="U36" s="3">
        <v>379591</v>
      </c>
      <c r="V36" s="3">
        <v>310587</v>
      </c>
      <c r="W36" s="3">
        <v>317072</v>
      </c>
      <c r="X36" s="6">
        <v>4.4126037765828803E-2</v>
      </c>
      <c r="Y36" s="8">
        <v>6.6173819436338377E-2</v>
      </c>
      <c r="Z36" s="8">
        <v>4.7074880907777228E-2</v>
      </c>
      <c r="AA36" s="8">
        <v>2.4525897957207832E-2</v>
      </c>
    </row>
    <row r="37" spans="2:27" x14ac:dyDescent="0.3">
      <c r="B37" s="10">
        <v>2222</v>
      </c>
      <c r="C37" s="2" t="s">
        <v>263</v>
      </c>
      <c r="D37" s="2" t="str">
        <f>VLOOKUP(B37,기업리스트!B:G,2,FALSE)</f>
        <v>Kotobuki Spirits Co., Ltd.</v>
      </c>
      <c r="E37" s="2" t="s">
        <v>246</v>
      </c>
      <c r="F37" s="4">
        <v>2.4</v>
      </c>
      <c r="G37" s="3">
        <v>10963</v>
      </c>
      <c r="H37" s="3">
        <v>9270</v>
      </c>
      <c r="I37" s="3">
        <v>9515</v>
      </c>
      <c r="J37" s="3">
        <v>10584</v>
      </c>
      <c r="K37" s="5">
        <v>15271</v>
      </c>
      <c r="L37" s="5">
        <v>14785</v>
      </c>
      <c r="M37" s="3">
        <v>13853</v>
      </c>
      <c r="N37" s="3">
        <v>15038</v>
      </c>
      <c r="O37" s="3">
        <v>18145</v>
      </c>
      <c r="P37" s="3">
        <v>16999</v>
      </c>
      <c r="Q37" s="3">
        <v>15526</v>
      </c>
      <c r="R37" s="3">
        <v>17380</v>
      </c>
      <c r="S37" s="3">
        <v>20901</v>
      </c>
      <c r="T37" s="3">
        <v>18542</v>
      </c>
      <c r="U37" s="3">
        <v>16976</v>
      </c>
      <c r="V37" s="3">
        <v>18811</v>
      </c>
      <c r="W37" s="3">
        <v>22698</v>
      </c>
      <c r="X37" s="6">
        <v>2.1791938536282141E-2</v>
      </c>
      <c r="Y37" s="8">
        <v>2.004174211115561E-2</v>
      </c>
      <c r="Z37" s="8">
        <v>1.939050664643149E-2</v>
      </c>
      <c r="AA37" s="8">
        <v>2.3886747308254689E-2</v>
      </c>
    </row>
    <row r="38" spans="2:27" x14ac:dyDescent="0.3">
      <c r="B38" s="10">
        <v>9022</v>
      </c>
      <c r="C38" s="2" t="s">
        <v>263</v>
      </c>
      <c r="D38" s="2" t="str">
        <f>VLOOKUP(B38,기업리스트!B:G,2,FALSE)</f>
        <v>Central Japan Railway Company</v>
      </c>
      <c r="E38" s="2" t="s">
        <v>246</v>
      </c>
      <c r="F38" s="4">
        <v>1.9</v>
      </c>
      <c r="G38" s="3">
        <v>299440</v>
      </c>
      <c r="H38" s="3">
        <v>248750</v>
      </c>
      <c r="I38" s="3">
        <v>309342</v>
      </c>
      <c r="J38" s="3">
        <v>324797</v>
      </c>
      <c r="K38" s="3">
        <v>385012</v>
      </c>
      <c r="L38" s="5">
        <v>381134</v>
      </c>
      <c r="M38" s="3">
        <v>395091</v>
      </c>
      <c r="N38" s="3">
        <v>422454</v>
      </c>
      <c r="O38" s="3">
        <v>455472</v>
      </c>
      <c r="P38" s="3">
        <v>437390</v>
      </c>
      <c r="Q38" s="3">
        <v>435290</v>
      </c>
      <c r="R38" s="3">
        <v>438575</v>
      </c>
      <c r="S38" s="3">
        <v>494172</v>
      </c>
      <c r="T38" s="3">
        <v>463810</v>
      </c>
      <c r="U38" s="3">
        <v>478283</v>
      </c>
      <c r="V38" s="3">
        <v>503919</v>
      </c>
      <c r="W38" s="3">
        <v>531950</v>
      </c>
      <c r="X38" s="6">
        <v>1.463365730101529E-2</v>
      </c>
      <c r="Y38" s="8">
        <v>2.3469754843062681E-2</v>
      </c>
      <c r="Z38" s="8">
        <v>3.4853107465170341E-2</v>
      </c>
      <c r="AA38" s="8">
        <v>1.947134910915671E-2</v>
      </c>
    </row>
    <row r="39" spans="2:27" x14ac:dyDescent="0.3">
      <c r="B39" s="10">
        <v>6971</v>
      </c>
      <c r="C39" s="2" t="s">
        <v>263</v>
      </c>
      <c r="D39" s="2" t="str">
        <f>VLOOKUP(B39,기업리스트!B:G,2,FALSE)</f>
        <v>Kyocera Corporation</v>
      </c>
      <c r="E39" s="2" t="s">
        <v>246</v>
      </c>
      <c r="F39" s="4">
        <v>1.9</v>
      </c>
      <c r="G39" s="3">
        <v>479328</v>
      </c>
      <c r="H39" s="3">
        <v>483273</v>
      </c>
      <c r="I39" s="3">
        <v>491954</v>
      </c>
      <c r="J39" s="3">
        <v>520218</v>
      </c>
      <c r="K39" s="3">
        <v>514325</v>
      </c>
      <c r="L39" s="3">
        <v>498835</v>
      </c>
      <c r="M39" s="3">
        <v>479420</v>
      </c>
      <c r="N39" s="3">
        <v>505870</v>
      </c>
      <c r="O39" s="3">
        <v>507382</v>
      </c>
      <c r="P39" s="3">
        <v>511549</v>
      </c>
      <c r="Q39" s="3">
        <v>498868</v>
      </c>
      <c r="R39" s="3">
        <v>499720</v>
      </c>
      <c r="S39" s="3">
        <v>493467</v>
      </c>
      <c r="T39" s="3">
        <v>522399</v>
      </c>
      <c r="U39" s="3">
        <v>478038</v>
      </c>
      <c r="V39" s="3">
        <v>513347</v>
      </c>
      <c r="W39" s="3">
        <v>530611</v>
      </c>
      <c r="X39" s="6">
        <v>5.4152417343946713E-3</v>
      </c>
      <c r="Y39" s="8">
        <v>-1.034027086247691E-2</v>
      </c>
      <c r="Z39" s="8">
        <v>6.8352909074127499E-3</v>
      </c>
      <c r="AA39" s="8">
        <v>1.8504910447173731E-2</v>
      </c>
    </row>
    <row r="40" spans="2:27" x14ac:dyDescent="0.3">
      <c r="B40" s="10">
        <v>9020</v>
      </c>
      <c r="C40" s="2" t="s">
        <v>263</v>
      </c>
      <c r="D40" s="2" t="str">
        <f>VLOOKUP(B40,기업리스트!B:G,2,FALSE)</f>
        <v>East Japan Railway Company</v>
      </c>
      <c r="E40" s="2" t="s">
        <v>246</v>
      </c>
      <c r="F40" s="4">
        <v>1.6</v>
      </c>
      <c r="G40" s="3">
        <v>604954</v>
      </c>
      <c r="H40" s="3">
        <v>496173</v>
      </c>
      <c r="I40" s="3">
        <v>557618</v>
      </c>
      <c r="J40" s="3">
        <v>557455</v>
      </c>
      <c r="K40" s="3">
        <v>612011</v>
      </c>
      <c r="L40" s="3">
        <v>678454</v>
      </c>
      <c r="M40" s="3">
        <v>629472</v>
      </c>
      <c r="N40" s="3">
        <v>670357</v>
      </c>
      <c r="O40" s="3">
        <v>701193</v>
      </c>
      <c r="P40" s="3">
        <v>729096</v>
      </c>
      <c r="Q40" s="3">
        <v>686670</v>
      </c>
      <c r="R40" s="3">
        <v>708447</v>
      </c>
      <c r="S40" s="3">
        <v>730953</v>
      </c>
      <c r="T40" s="3">
        <v>761483</v>
      </c>
      <c r="U40" s="3">
        <v>715349</v>
      </c>
      <c r="V40" s="3">
        <v>747747</v>
      </c>
      <c r="W40" s="3">
        <v>776926</v>
      </c>
      <c r="X40" s="6">
        <v>1.1343298428182489E-2</v>
      </c>
      <c r="Y40" s="8">
        <v>9.9319389115974932E-3</v>
      </c>
      <c r="Z40" s="8">
        <v>1.347629406713868E-2</v>
      </c>
      <c r="AA40" s="8">
        <v>1.5554898407460939E-2</v>
      </c>
    </row>
    <row r="41" spans="2:27" x14ac:dyDescent="0.3">
      <c r="B41" s="10">
        <v>9064</v>
      </c>
      <c r="C41" s="2" t="s">
        <v>263</v>
      </c>
      <c r="D41" s="2" t="str">
        <f>VLOOKUP(B41,기업리스트!B:G,2,FALSE)</f>
        <v>Yamato Holdings Co., Ltd.</v>
      </c>
      <c r="E41" s="2" t="s">
        <v>246</v>
      </c>
      <c r="F41" s="4">
        <v>1.5</v>
      </c>
      <c r="G41" s="3">
        <v>506916</v>
      </c>
      <c r="H41" s="3">
        <v>421232</v>
      </c>
      <c r="I41" s="3">
        <v>424159</v>
      </c>
      <c r="J41" s="3">
        <v>459596</v>
      </c>
      <c r="K41" s="3">
        <v>512212</v>
      </c>
      <c r="L41" s="3">
        <v>404701</v>
      </c>
      <c r="M41" s="3">
        <v>420212</v>
      </c>
      <c r="N41" s="3">
        <v>446370</v>
      </c>
      <c r="O41" s="3">
        <v>500245</v>
      </c>
      <c r="P41" s="3">
        <v>391799</v>
      </c>
      <c r="Q41" s="3">
        <v>405632</v>
      </c>
      <c r="R41" s="3">
        <v>434781</v>
      </c>
      <c r="S41" s="3">
        <v>504118</v>
      </c>
      <c r="T41" s="3">
        <v>418165</v>
      </c>
      <c r="U41" s="3">
        <v>437352</v>
      </c>
      <c r="V41" s="3">
        <v>469422</v>
      </c>
      <c r="W41" s="3">
        <v>531982</v>
      </c>
      <c r="X41" s="6">
        <v>1.518490148762042E-2</v>
      </c>
      <c r="Y41" s="8">
        <v>1.7995161956457562E-2</v>
      </c>
      <c r="Z41" s="8">
        <v>1.9304888052714689E-2</v>
      </c>
      <c r="AA41" s="8">
        <v>1.52340796377588E-2</v>
      </c>
    </row>
    <row r="42" spans="2:27" x14ac:dyDescent="0.3">
      <c r="B42" s="10">
        <v>8411</v>
      </c>
      <c r="C42" s="2" t="s">
        <v>263</v>
      </c>
      <c r="D42" s="2" t="str">
        <f>VLOOKUP(B42,기업리스트!B:G,2,FALSE)</f>
        <v>Mizuho Financial Group, Inc.</v>
      </c>
      <c r="E42" s="2" t="s">
        <v>246</v>
      </c>
      <c r="F42" s="4">
        <v>1.5</v>
      </c>
      <c r="G42" s="3">
        <v>681625</v>
      </c>
      <c r="H42" s="3">
        <v>802755</v>
      </c>
      <c r="I42" s="3">
        <v>689784</v>
      </c>
      <c r="J42" s="3">
        <v>451997</v>
      </c>
      <c r="K42" s="5">
        <v>995900</v>
      </c>
      <c r="L42" s="3">
        <v>641535</v>
      </c>
      <c r="M42" s="3">
        <v>771638</v>
      </c>
      <c r="N42" s="5">
        <v>788870</v>
      </c>
      <c r="O42" s="3">
        <v>807972</v>
      </c>
      <c r="P42" s="3">
        <v>753625</v>
      </c>
      <c r="Q42" s="3">
        <v>950408</v>
      </c>
      <c r="R42" s="3">
        <v>1071722</v>
      </c>
      <c r="S42" s="3">
        <v>1058632</v>
      </c>
      <c r="T42" s="3">
        <v>818078</v>
      </c>
      <c r="U42" s="3">
        <v>957553</v>
      </c>
      <c r="V42" s="3">
        <v>1139963</v>
      </c>
      <c r="W42" s="3">
        <v>1117111</v>
      </c>
      <c r="X42" s="6">
        <v>1.6809205747881029E-2</v>
      </c>
      <c r="Y42" s="8">
        <v>1.8325963619949539E-3</v>
      </c>
      <c r="Z42" s="8">
        <v>1.7470881224582291E-2</v>
      </c>
      <c r="AA42" s="8">
        <v>1.47145632885497E-2</v>
      </c>
    </row>
    <row r="43" spans="2:27" x14ac:dyDescent="0.3">
      <c r="B43" s="10">
        <v>2281</v>
      </c>
      <c r="C43" s="2" t="s">
        <v>263</v>
      </c>
      <c r="D43" s="2" t="str">
        <f>VLOOKUP(B43,기업리스트!B:G,2,FALSE)</f>
        <v>Prima Meat Packers, Ltd.</v>
      </c>
      <c r="E43" s="2" t="s">
        <v>246</v>
      </c>
      <c r="F43" s="4">
        <v>1.3</v>
      </c>
      <c r="G43" s="3">
        <v>110386</v>
      </c>
      <c r="H43" s="3">
        <v>99477</v>
      </c>
      <c r="I43" s="3">
        <v>104451</v>
      </c>
      <c r="J43" s="3">
        <v>107263</v>
      </c>
      <c r="K43" s="3">
        <v>116674</v>
      </c>
      <c r="L43" s="3">
        <v>102352</v>
      </c>
      <c r="M43" s="3">
        <v>109283</v>
      </c>
      <c r="N43" s="3">
        <v>113452</v>
      </c>
      <c r="O43" s="3">
        <v>119832</v>
      </c>
      <c r="P43" s="3">
        <v>105862</v>
      </c>
      <c r="Q43" s="3">
        <v>112891</v>
      </c>
      <c r="R43" s="3">
        <v>116550</v>
      </c>
      <c r="S43" s="3">
        <v>120844</v>
      </c>
      <c r="T43" s="3">
        <v>108069</v>
      </c>
      <c r="U43" s="3">
        <v>115809</v>
      </c>
      <c r="V43" s="3">
        <v>120250</v>
      </c>
      <c r="W43" s="3">
        <v>126814</v>
      </c>
      <c r="X43" s="6">
        <v>4.838352548630187E-3</v>
      </c>
      <c r="Y43" s="8">
        <v>6.3662583941670459E-3</v>
      </c>
      <c r="Z43" s="8">
        <v>8.0212976291644811E-3</v>
      </c>
      <c r="AA43" s="8">
        <v>1.283948280756686E-2</v>
      </c>
    </row>
    <row r="44" spans="2:27" x14ac:dyDescent="0.3">
      <c r="B44" s="10">
        <v>7981</v>
      </c>
      <c r="C44" s="2" t="s">
        <v>263</v>
      </c>
      <c r="D44" s="2" t="str">
        <f>VLOOKUP(B44,기업리스트!B:G,2,FALSE)</f>
        <v>Takara Standard Co.,Ltd.</v>
      </c>
      <c r="E44" s="2" t="s">
        <v>241</v>
      </c>
      <c r="F44" s="4">
        <v>1.3</v>
      </c>
      <c r="G44" s="3">
        <v>51745</v>
      </c>
      <c r="H44" s="3">
        <v>59159</v>
      </c>
      <c r="I44" s="3">
        <v>50827</v>
      </c>
      <c r="J44" s="3">
        <v>54354</v>
      </c>
      <c r="K44" s="3">
        <v>55742</v>
      </c>
      <c r="L44" s="3">
        <v>62626</v>
      </c>
      <c r="M44" s="3">
        <v>54701</v>
      </c>
      <c r="N44" s="3">
        <v>57237</v>
      </c>
      <c r="O44" s="3">
        <v>57459</v>
      </c>
      <c r="P44" s="3">
        <v>64716</v>
      </c>
      <c r="Q44" s="3">
        <v>55326</v>
      </c>
      <c r="R44" s="3">
        <v>57318</v>
      </c>
      <c r="S44" s="3">
        <v>58639</v>
      </c>
      <c r="T44" s="3">
        <v>68359</v>
      </c>
      <c r="U44" s="3">
        <v>59064</v>
      </c>
      <c r="V44" s="3">
        <v>61385</v>
      </c>
      <c r="W44" s="3">
        <v>61757</v>
      </c>
      <c r="X44" s="6">
        <v>1.543650608689018E-2</v>
      </c>
      <c r="Y44" s="8">
        <v>1.559826741556147E-2</v>
      </c>
      <c r="Z44" s="8">
        <v>1.6710493877886371E-2</v>
      </c>
      <c r="AA44" s="8">
        <v>1.260067812501253E-2</v>
      </c>
    </row>
    <row r="45" spans="2:27" x14ac:dyDescent="0.3">
      <c r="B45" s="10">
        <v>6981</v>
      </c>
      <c r="C45" s="2" t="s">
        <v>263</v>
      </c>
      <c r="D45" s="2" t="str">
        <f>VLOOKUP(B45,기업리스트!B:G,2,FALSE)</f>
        <v>Murata Manufacturing Co., Ltd.</v>
      </c>
      <c r="E45" s="2" t="s">
        <v>246</v>
      </c>
      <c r="F45" s="4">
        <v>1.1000000000000001</v>
      </c>
      <c r="G45" s="3">
        <v>471387</v>
      </c>
      <c r="H45" s="3">
        <v>433060</v>
      </c>
      <c r="I45" s="3">
        <v>436657</v>
      </c>
      <c r="J45" s="3">
        <v>483567</v>
      </c>
      <c r="K45" s="3">
        <v>418978</v>
      </c>
      <c r="L45" s="3">
        <v>347594</v>
      </c>
      <c r="M45" s="3">
        <v>367694</v>
      </c>
      <c r="N45" s="3">
        <v>442656</v>
      </c>
      <c r="O45" s="3">
        <v>439394</v>
      </c>
      <c r="P45" s="3">
        <v>390414</v>
      </c>
      <c r="Q45" s="3">
        <v>421707</v>
      </c>
      <c r="R45" s="3">
        <v>461774</v>
      </c>
      <c r="S45" s="3">
        <v>448008</v>
      </c>
      <c r="T45" s="3">
        <v>411863</v>
      </c>
      <c r="U45" s="3">
        <v>416154</v>
      </c>
      <c r="V45" s="3">
        <v>486624</v>
      </c>
      <c r="W45" s="3">
        <v>467454</v>
      </c>
      <c r="X45" s="6">
        <v>1.245656694947384E-2</v>
      </c>
      <c r="Y45" s="8">
        <v>-3.185243140800043E-3</v>
      </c>
      <c r="Z45" s="8">
        <v>1.4299697490906651E-2</v>
      </c>
      <c r="AA45" s="8">
        <v>1.103225883315395E-2</v>
      </c>
    </row>
    <row r="46" spans="2:27" x14ac:dyDescent="0.3">
      <c r="B46" s="10">
        <v>2282</v>
      </c>
      <c r="C46" s="2" t="s">
        <v>263</v>
      </c>
      <c r="D46" s="2" t="str">
        <f>VLOOKUP(B46,기업리스트!B:G,2,FALSE)</f>
        <v>NH Foods Ltd.</v>
      </c>
      <c r="E46" s="2" t="s">
        <v>246</v>
      </c>
      <c r="F46" s="4">
        <v>1.1000000000000001</v>
      </c>
      <c r="G46" s="3">
        <v>349874</v>
      </c>
      <c r="H46" s="3">
        <v>0</v>
      </c>
      <c r="I46" s="3">
        <v>311512</v>
      </c>
      <c r="J46" s="3">
        <v>322512</v>
      </c>
      <c r="K46" s="3">
        <v>352079</v>
      </c>
      <c r="L46" s="5">
        <v>273689</v>
      </c>
      <c r="M46" s="3">
        <v>322175</v>
      </c>
      <c r="N46" s="3">
        <v>329947</v>
      </c>
      <c r="O46" s="3">
        <v>345835</v>
      </c>
      <c r="P46" s="3">
        <v>305475</v>
      </c>
      <c r="Q46" s="3">
        <v>338050</v>
      </c>
      <c r="R46" s="3">
        <v>345814</v>
      </c>
      <c r="S46" s="3">
        <v>371154</v>
      </c>
      <c r="T46" s="3">
        <v>315535</v>
      </c>
      <c r="U46" s="3">
        <v>354141</v>
      </c>
      <c r="V46" s="3">
        <v>368458</v>
      </c>
      <c r="W46" s="3">
        <v>385992</v>
      </c>
      <c r="X46" s="6">
        <v>7.3943783613734659E-3</v>
      </c>
      <c r="Y46" s="8">
        <v>1.174051641928475E-2</v>
      </c>
      <c r="Z46" s="8">
        <v>1.6330074626219829E-2</v>
      </c>
      <c r="AA46" s="8">
        <v>1.0528720886007649E-2</v>
      </c>
    </row>
    <row r="47" spans="2:27" x14ac:dyDescent="0.3">
      <c r="B47" s="10">
        <v>4272</v>
      </c>
      <c r="C47" s="2" t="s">
        <v>263</v>
      </c>
      <c r="D47" s="2" t="str">
        <f>VLOOKUP(B47,기업리스트!B:G,2,FALSE)</f>
        <v>Nippon Kayaku Co., Ltd.</v>
      </c>
      <c r="E47" s="2" t="s">
        <v>246</v>
      </c>
      <c r="F47" s="4">
        <v>1</v>
      </c>
      <c r="G47" s="3">
        <v>49255</v>
      </c>
      <c r="H47" s="3">
        <v>46710</v>
      </c>
      <c r="I47" s="3">
        <v>48296</v>
      </c>
      <c r="J47" s="3">
        <v>54432</v>
      </c>
      <c r="K47" s="3">
        <v>50899</v>
      </c>
      <c r="L47" s="3">
        <v>44753</v>
      </c>
      <c r="M47" s="3">
        <v>48584</v>
      </c>
      <c r="N47" s="3">
        <v>49324</v>
      </c>
      <c r="O47" s="3">
        <v>51845</v>
      </c>
      <c r="P47" s="3">
        <v>52038</v>
      </c>
      <c r="Q47" s="3">
        <v>53645</v>
      </c>
      <c r="R47" s="3">
        <v>55464</v>
      </c>
      <c r="S47" s="3">
        <v>58846</v>
      </c>
      <c r="T47" s="3">
        <v>54629</v>
      </c>
      <c r="U47" s="3">
        <v>54758</v>
      </c>
      <c r="V47" s="3">
        <v>58817</v>
      </c>
      <c r="W47" s="3">
        <v>61023</v>
      </c>
      <c r="X47" s="6">
        <v>1.1777647470601281E-2</v>
      </c>
      <c r="Y47" s="8">
        <v>5.000359414872646E-3</v>
      </c>
      <c r="Z47" s="8">
        <v>1.4989025333375089E-2</v>
      </c>
      <c r="AA47" s="8">
        <v>9.5881964325037483E-3</v>
      </c>
    </row>
    <row r="48" spans="2:27" x14ac:dyDescent="0.3">
      <c r="B48" s="10">
        <v>7241</v>
      </c>
      <c r="C48" s="2" t="s">
        <v>263</v>
      </c>
      <c r="D48" s="2" t="str">
        <f>VLOOKUP(B48,기업리스트!B:G,2,FALSE)</f>
        <v>Futaba Industrial Co., Ltd.</v>
      </c>
      <c r="E48" s="2" t="s">
        <v>241</v>
      </c>
      <c r="F48" s="4">
        <v>0.4</v>
      </c>
      <c r="G48" s="3">
        <v>126703</v>
      </c>
      <c r="H48" s="3">
        <v>144515</v>
      </c>
      <c r="I48" s="3">
        <v>163972</v>
      </c>
      <c r="J48" s="3">
        <v>153488</v>
      </c>
      <c r="K48" s="3">
        <v>172969</v>
      </c>
      <c r="L48" s="3">
        <v>188290</v>
      </c>
      <c r="M48" s="3">
        <v>193325</v>
      </c>
      <c r="N48" s="3">
        <v>204673</v>
      </c>
      <c r="O48" s="3">
        <v>198667</v>
      </c>
      <c r="P48" s="3">
        <v>206826</v>
      </c>
      <c r="Q48" s="3">
        <v>185636</v>
      </c>
      <c r="R48" s="3">
        <v>186453</v>
      </c>
      <c r="S48" s="3">
        <v>162859</v>
      </c>
      <c r="T48" s="3">
        <v>177177</v>
      </c>
      <c r="U48" s="3">
        <v>180615</v>
      </c>
      <c r="V48" s="3">
        <v>163920</v>
      </c>
      <c r="W48" s="3">
        <v>165558</v>
      </c>
      <c r="X48" s="6">
        <v>-3.9970395295602201E-2</v>
      </c>
      <c r="Y48" s="8">
        <v>-7.0507284535720194E-3</v>
      </c>
      <c r="Z48" s="8">
        <v>-3.1866599538398883E-2</v>
      </c>
      <c r="AA48" s="8">
        <v>3.9426151560613132E-3</v>
      </c>
    </row>
    <row r="49" spans="2:27" x14ac:dyDescent="0.3">
      <c r="B49" s="10">
        <v>3433</v>
      </c>
      <c r="C49" s="2" t="s">
        <v>263</v>
      </c>
      <c r="D49" s="2" t="str">
        <f>VLOOKUP(B49,기업리스트!B:G,2,FALSE)</f>
        <v>TOCALO Co.,Ltd.</v>
      </c>
      <c r="E49" s="2" t="s">
        <v>241</v>
      </c>
      <c r="F49" s="4">
        <v>0.3</v>
      </c>
      <c r="G49" s="3">
        <v>10362</v>
      </c>
      <c r="H49" s="3">
        <v>11129</v>
      </c>
      <c r="I49" s="3">
        <v>11586</v>
      </c>
      <c r="J49" s="3">
        <v>11906</v>
      </c>
      <c r="K49" s="3">
        <v>12090</v>
      </c>
      <c r="L49" s="3">
        <v>12428</v>
      </c>
      <c r="M49" s="3">
        <v>11720</v>
      </c>
      <c r="N49" s="3">
        <v>11787</v>
      </c>
      <c r="O49" s="3">
        <v>11184</v>
      </c>
      <c r="P49" s="3">
        <v>11833</v>
      </c>
      <c r="Q49" s="3">
        <v>11931</v>
      </c>
      <c r="R49" s="3">
        <v>12864</v>
      </c>
      <c r="S49" s="3">
        <v>12999</v>
      </c>
      <c r="T49" s="3">
        <v>14040</v>
      </c>
      <c r="U49" s="3">
        <v>14328</v>
      </c>
      <c r="V49" s="3">
        <v>15151</v>
      </c>
      <c r="W49" s="3">
        <v>13160</v>
      </c>
      <c r="X49" s="6">
        <v>4.4471759324561162E-2</v>
      </c>
      <c r="Y49" s="8">
        <v>4.6243778215071092E-2</v>
      </c>
      <c r="Z49" s="8">
        <v>4.2171451752687661E-2</v>
      </c>
      <c r="AA49" s="8">
        <v>2.8486499876145821E-3</v>
      </c>
    </row>
    <row r="50" spans="2:27" x14ac:dyDescent="0.3">
      <c r="B50" s="10">
        <v>5992</v>
      </c>
      <c r="C50" s="2" t="s">
        <v>263</v>
      </c>
      <c r="D50" s="2" t="str">
        <f>VLOOKUP(B50,기업리스트!B:G,2,FALSE)</f>
        <v>Chuo Spring Co.,Ltd.</v>
      </c>
      <c r="E50" s="2" t="s">
        <v>246</v>
      </c>
      <c r="F50" s="4">
        <v>0.1</v>
      </c>
      <c r="G50" s="3">
        <v>21965</v>
      </c>
      <c r="H50" s="3">
        <v>21899</v>
      </c>
      <c r="I50" s="3">
        <v>20318</v>
      </c>
      <c r="J50" s="3">
        <v>23085</v>
      </c>
      <c r="K50" s="3">
        <v>25089</v>
      </c>
      <c r="L50" s="3">
        <v>24274</v>
      </c>
      <c r="M50" s="3">
        <v>24006</v>
      </c>
      <c r="N50" s="3">
        <v>26338</v>
      </c>
      <c r="O50" s="3">
        <v>27259</v>
      </c>
      <c r="P50" s="3">
        <v>23372</v>
      </c>
      <c r="Q50" s="3">
        <v>25520</v>
      </c>
      <c r="R50" s="3">
        <v>27736</v>
      </c>
      <c r="S50" s="3">
        <v>28994</v>
      </c>
      <c r="T50" s="3">
        <v>27907</v>
      </c>
      <c r="U50" s="3">
        <v>26306</v>
      </c>
      <c r="V50" s="3">
        <v>27751</v>
      </c>
      <c r="W50" s="3">
        <v>29071</v>
      </c>
      <c r="X50" s="6">
        <v>4.2936130730340187E-2</v>
      </c>
      <c r="Y50" s="8">
        <v>7.1352705683704887E-3</v>
      </c>
      <c r="Z50" s="8">
        <v>1.3520456450599741E-4</v>
      </c>
      <c r="AA50" s="8">
        <v>6.9395627174251295E-4</v>
      </c>
    </row>
    <row r="51" spans="2:27" x14ac:dyDescent="0.3">
      <c r="B51" s="10">
        <v>7224</v>
      </c>
      <c r="C51" s="2" t="s">
        <v>263</v>
      </c>
      <c r="D51" s="2" t="str">
        <f>VLOOKUP(B51,기업리스트!B:G,2,FALSE)</f>
        <v>ShinMaywa Industries, Ltd.</v>
      </c>
      <c r="E51" s="2" t="s">
        <v>241</v>
      </c>
      <c r="F51" s="4">
        <v>-0.5</v>
      </c>
      <c r="G51" s="3">
        <v>53777</v>
      </c>
      <c r="H51" s="3">
        <v>54314</v>
      </c>
      <c r="I51" s="3">
        <v>62245</v>
      </c>
      <c r="J51" s="3">
        <v>47262</v>
      </c>
      <c r="K51" s="3">
        <v>56739</v>
      </c>
      <c r="L51" s="3">
        <v>56545</v>
      </c>
      <c r="M51" s="3">
        <v>64629</v>
      </c>
      <c r="N51" s="3">
        <v>52399</v>
      </c>
      <c r="O51" s="3">
        <v>64065</v>
      </c>
      <c r="P51" s="3">
        <v>61163</v>
      </c>
      <c r="Q51" s="3">
        <v>79433</v>
      </c>
      <c r="R51" s="3">
        <v>57423</v>
      </c>
      <c r="S51" s="3">
        <v>66642</v>
      </c>
      <c r="T51" s="3">
        <v>63177</v>
      </c>
      <c r="U51" s="3">
        <v>79199</v>
      </c>
      <c r="V51" s="3">
        <v>57665</v>
      </c>
      <c r="W51" s="3">
        <v>65298</v>
      </c>
      <c r="X51" s="6">
        <v>7.6097347172421337E-3</v>
      </c>
      <c r="Y51" s="8">
        <v>-8.7747257898185271E-4</v>
      </c>
      <c r="Z51" s="8">
        <v>9.0826862232162853E-4</v>
      </c>
      <c r="AA51" s="8">
        <v>-5.0396913189066916E-3</v>
      </c>
    </row>
    <row r="52" spans="2:27" x14ac:dyDescent="0.3">
      <c r="B52" s="10">
        <v>9532</v>
      </c>
      <c r="C52" s="2" t="s">
        <v>263</v>
      </c>
      <c r="D52" s="2" t="str">
        <f>VLOOKUP(B52,기업리스트!B:G,2,FALSE)</f>
        <v>Osaka Gas Co., Ltd.</v>
      </c>
      <c r="E52" s="2" t="s">
        <v>246</v>
      </c>
      <c r="F52" s="4">
        <v>-0.7</v>
      </c>
      <c r="G52" s="3">
        <v>393347</v>
      </c>
      <c r="H52" s="3">
        <v>543111</v>
      </c>
      <c r="I52" s="3">
        <v>467119</v>
      </c>
      <c r="J52" s="3">
        <v>514441</v>
      </c>
      <c r="K52" s="5">
        <v>614965</v>
      </c>
      <c r="L52" s="3">
        <v>678588</v>
      </c>
      <c r="M52" s="3">
        <v>512611</v>
      </c>
      <c r="N52" s="3">
        <v>483082</v>
      </c>
      <c r="O52" s="3">
        <v>514454</v>
      </c>
      <c r="P52" s="3">
        <v>572903</v>
      </c>
      <c r="Q52" s="3">
        <v>470928</v>
      </c>
      <c r="R52" s="3">
        <v>479182</v>
      </c>
      <c r="S52" s="3">
        <v>494021</v>
      </c>
      <c r="T52" s="3">
        <v>624888</v>
      </c>
      <c r="U52" s="3">
        <v>470993</v>
      </c>
      <c r="V52" s="3">
        <v>488174</v>
      </c>
      <c r="W52" s="3">
        <v>479663</v>
      </c>
      <c r="X52" s="6">
        <v>2.5772991431973979E-2</v>
      </c>
      <c r="Y52" s="8">
        <v>3.1415854566896328E-5</v>
      </c>
      <c r="Z52" s="8">
        <v>4.3458844590167356E-3</v>
      </c>
      <c r="AA52" s="8">
        <v>-6.9092756954028936E-3</v>
      </c>
    </row>
    <row r="53" spans="2:27" x14ac:dyDescent="0.3">
      <c r="B53" s="10">
        <v>2811</v>
      </c>
      <c r="C53" s="2" t="s">
        <v>263</v>
      </c>
      <c r="D53" s="2" t="str">
        <f>VLOOKUP(B53,기업리스트!B:G,2,FALSE)</f>
        <v>Kagome Co., Ltd.</v>
      </c>
      <c r="E53" s="2" t="s">
        <v>238</v>
      </c>
      <c r="F53" s="4">
        <v>-0.9</v>
      </c>
      <c r="G53" s="3">
        <v>47825</v>
      </c>
      <c r="H53" s="3">
        <v>44144</v>
      </c>
      <c r="I53" s="3">
        <v>51645</v>
      </c>
      <c r="J53" s="3">
        <v>54817</v>
      </c>
      <c r="K53" s="3">
        <v>55011</v>
      </c>
      <c r="L53" s="3">
        <v>48009</v>
      </c>
      <c r="M53" s="3">
        <v>57313</v>
      </c>
      <c r="N53" s="3">
        <v>59544</v>
      </c>
      <c r="O53" s="3">
        <v>59863</v>
      </c>
      <c r="P53" s="3">
        <v>67378</v>
      </c>
      <c r="Q53" s="3">
        <v>80863</v>
      </c>
      <c r="R53" s="3">
        <v>78138</v>
      </c>
      <c r="S53" s="3">
        <v>80489</v>
      </c>
      <c r="T53" s="3">
        <v>67167</v>
      </c>
      <c r="U53" s="3">
        <v>71514</v>
      </c>
      <c r="V53" s="3">
        <v>77628</v>
      </c>
      <c r="W53" s="3">
        <v>77955</v>
      </c>
      <c r="X53" s="6">
        <v>-6.875920591263851E-4</v>
      </c>
      <c r="Y53" s="8">
        <v>-3.0486830563137279E-2</v>
      </c>
      <c r="Z53" s="8">
        <v>-1.7153927913140521E-3</v>
      </c>
      <c r="AA53" s="8">
        <v>-8.5377933813569618E-3</v>
      </c>
    </row>
    <row r="54" spans="2:27" x14ac:dyDescent="0.3">
      <c r="B54" s="10">
        <v>9502</v>
      </c>
      <c r="C54" s="2" t="s">
        <v>263</v>
      </c>
      <c r="D54" s="2" t="str">
        <f>VLOOKUP(B54,기업리스트!B:G,2,FALSE)</f>
        <v>Chubu Electric Power Company, Incorporated</v>
      </c>
      <c r="E54" s="2" t="s">
        <v>246</v>
      </c>
      <c r="F54" s="4">
        <v>-1.8</v>
      </c>
      <c r="G54" s="3">
        <v>666420</v>
      </c>
      <c r="H54" s="3">
        <v>878268</v>
      </c>
      <c r="I54" s="3">
        <v>765963</v>
      </c>
      <c r="J54" s="3">
        <v>1013270</v>
      </c>
      <c r="K54" s="5">
        <v>1034811</v>
      </c>
      <c r="L54" s="3">
        <v>1172637</v>
      </c>
      <c r="M54" s="3">
        <v>897604</v>
      </c>
      <c r="N54" s="3">
        <v>943940</v>
      </c>
      <c r="O54" s="3">
        <v>855599</v>
      </c>
      <c r="P54" s="3">
        <v>913271</v>
      </c>
      <c r="Q54" s="3">
        <v>820592</v>
      </c>
      <c r="R54" s="3">
        <v>945890</v>
      </c>
      <c r="S54" s="3">
        <v>885154</v>
      </c>
      <c r="T54" s="3">
        <v>1017598</v>
      </c>
      <c r="U54" s="3">
        <v>800312</v>
      </c>
      <c r="V54" s="3">
        <v>947520</v>
      </c>
      <c r="W54" s="3">
        <v>818528</v>
      </c>
      <c r="X54" s="6">
        <v>2.926499905888158E-2</v>
      </c>
      <c r="Y54" s="8">
        <v>-5.5270391585818812E-3</v>
      </c>
      <c r="Z54" s="8">
        <v>4.4670335663310468E-4</v>
      </c>
      <c r="AA54" s="8">
        <v>-1.8250778505576101E-2</v>
      </c>
    </row>
    <row r="55" spans="2:27" x14ac:dyDescent="0.3">
      <c r="B55" s="36" t="s">
        <v>282</v>
      </c>
      <c r="C55" s="26" t="s">
        <v>265</v>
      </c>
      <c r="D55" s="26" t="str">
        <f>VLOOKUP(B55,기업리스트!B:G,2,FALSE)</f>
        <v>Apollo Micro Systems Limited</v>
      </c>
      <c r="E55" s="2" t="s">
        <v>241</v>
      </c>
      <c r="F55" s="27">
        <v>10.7</v>
      </c>
      <c r="G55" s="28">
        <v>458.99</v>
      </c>
      <c r="H55" s="28">
        <v>645.91999999999996</v>
      </c>
      <c r="I55" s="28">
        <v>1057</v>
      </c>
      <c r="J55" s="28">
        <v>562.70000000000005</v>
      </c>
      <c r="K55" s="28">
        <v>520.59</v>
      </c>
      <c r="L55" s="28">
        <v>823.52</v>
      </c>
      <c r="M55" s="28">
        <v>1068</v>
      </c>
      <c r="N55" s="28">
        <v>576.91</v>
      </c>
      <c r="O55" s="29">
        <v>871.63</v>
      </c>
      <c r="P55" s="28">
        <v>913.43</v>
      </c>
      <c r="Q55" s="28">
        <v>1354</v>
      </c>
      <c r="R55" s="28">
        <v>912.02</v>
      </c>
      <c r="S55" s="29">
        <v>1607</v>
      </c>
      <c r="T55" s="29">
        <v>1484</v>
      </c>
      <c r="U55" s="28">
        <v>1618</v>
      </c>
      <c r="V55" s="28">
        <v>1336</v>
      </c>
      <c r="W55" s="29">
        <v>2253</v>
      </c>
      <c r="X55" s="34">
        <v>0.1192052565053434</v>
      </c>
      <c r="Y55" s="31">
        <v>4.9281130180585553E-2</v>
      </c>
      <c r="Z55" s="31">
        <v>7.542759143358313E-2</v>
      </c>
      <c r="AA55" s="32">
        <v>0.1068651778329197</v>
      </c>
    </row>
    <row r="56" spans="2:27" x14ac:dyDescent="0.3">
      <c r="B56" s="10" t="s">
        <v>283</v>
      </c>
      <c r="C56" s="2" t="s">
        <v>265</v>
      </c>
      <c r="D56" s="2" t="str">
        <f>VLOOKUP(B56,기업리스트!B:G,2,FALSE)</f>
        <v>PB Fintech Limited</v>
      </c>
      <c r="E56" s="2" t="s">
        <v>246</v>
      </c>
      <c r="F56" s="4">
        <v>9.8000000000000007</v>
      </c>
      <c r="G56" s="3">
        <v>3673</v>
      </c>
      <c r="H56" s="3">
        <v>5403</v>
      </c>
      <c r="I56" s="3">
        <v>5052</v>
      </c>
      <c r="J56" s="3">
        <v>5735</v>
      </c>
      <c r="K56" s="5">
        <v>6101</v>
      </c>
      <c r="L56" s="5">
        <v>8691</v>
      </c>
      <c r="M56" s="3">
        <v>6656</v>
      </c>
      <c r="N56" s="3">
        <v>8116</v>
      </c>
      <c r="O56" s="3">
        <v>8709</v>
      </c>
      <c r="P56" s="3">
        <v>10896</v>
      </c>
      <c r="Q56" s="5">
        <v>10105</v>
      </c>
      <c r="R56" s="3">
        <v>11672</v>
      </c>
      <c r="S56" s="5">
        <v>12916</v>
      </c>
      <c r="T56" s="3">
        <v>15079</v>
      </c>
      <c r="U56" s="3">
        <v>13480</v>
      </c>
      <c r="V56" s="3">
        <v>16136</v>
      </c>
      <c r="W56" s="3">
        <v>18560</v>
      </c>
      <c r="X56" s="6">
        <v>9.1754589923007668E-2</v>
      </c>
      <c r="Y56" s="8">
        <v>6.7809209997589104E-2</v>
      </c>
      <c r="Z56" s="8">
        <v>8.3993452123356072E-2</v>
      </c>
      <c r="AA56" s="8">
        <v>9.7967402058634745E-2</v>
      </c>
    </row>
    <row r="57" spans="2:27" x14ac:dyDescent="0.3">
      <c r="B57" s="10" t="s">
        <v>284</v>
      </c>
      <c r="C57" s="2" t="s">
        <v>265</v>
      </c>
      <c r="D57" s="2" t="str">
        <f>VLOOKUP(B57,기업리스트!B:G,2,FALSE)</f>
        <v>PC Jeweller Limited</v>
      </c>
      <c r="E57" s="2" t="s">
        <v>246</v>
      </c>
      <c r="F57" s="4">
        <v>8.1999999999999993</v>
      </c>
      <c r="G57" s="3">
        <v>6110</v>
      </c>
      <c r="H57" s="3">
        <v>1886</v>
      </c>
      <c r="I57" s="3">
        <v>5474</v>
      </c>
      <c r="J57" s="3">
        <v>8976</v>
      </c>
      <c r="K57" s="5">
        <v>8543</v>
      </c>
      <c r="L57" s="3">
        <v>1734</v>
      </c>
      <c r="M57" s="3">
        <v>676.8</v>
      </c>
      <c r="N57" s="3">
        <v>4492</v>
      </c>
      <c r="O57" s="3">
        <v>400.6</v>
      </c>
      <c r="P57" s="3">
        <v>484.9</v>
      </c>
      <c r="Q57" s="5">
        <v>4012</v>
      </c>
      <c r="R57" s="3">
        <v>5050</v>
      </c>
      <c r="S57" s="5">
        <v>6395</v>
      </c>
      <c r="T57" s="5">
        <v>6990</v>
      </c>
      <c r="U57" s="5">
        <v>7249</v>
      </c>
      <c r="V57" s="5">
        <v>8253</v>
      </c>
      <c r="W57" s="3">
        <v>8754</v>
      </c>
      <c r="X57" s="9">
        <v>0.4080504833175469</v>
      </c>
      <c r="Y57" s="7">
        <v>0.14420635274201449</v>
      </c>
      <c r="Z57" s="7">
        <v>0.12470798940974941</v>
      </c>
      <c r="AA57" s="8">
        <v>8.1663031813618669E-2</v>
      </c>
    </row>
    <row r="58" spans="2:27" x14ac:dyDescent="0.3">
      <c r="B58" s="10" t="s">
        <v>285</v>
      </c>
      <c r="C58" s="2" t="s">
        <v>265</v>
      </c>
      <c r="D58" s="2" t="str">
        <f>VLOOKUP(B58,기업리스트!B:G,2,FALSE)</f>
        <v>Shriram Pistons &amp; Rings Limited</v>
      </c>
      <c r="E58" s="2" t="s">
        <v>246</v>
      </c>
      <c r="F58" s="4">
        <v>5.5</v>
      </c>
      <c r="G58" s="3">
        <v>5106</v>
      </c>
      <c r="H58" s="3">
        <v>5873</v>
      </c>
      <c r="I58" s="3">
        <v>6201</v>
      </c>
      <c r="J58" s="3">
        <v>6522</v>
      </c>
      <c r="K58" s="3">
        <v>6360</v>
      </c>
      <c r="L58" s="3">
        <v>7010</v>
      </c>
      <c r="M58" s="3">
        <v>7164</v>
      </c>
      <c r="N58" s="3">
        <v>7516</v>
      </c>
      <c r="O58" s="3">
        <v>7657</v>
      </c>
      <c r="P58" s="3">
        <v>8556</v>
      </c>
      <c r="Q58" s="3">
        <v>8371</v>
      </c>
      <c r="R58" s="3">
        <v>8765</v>
      </c>
      <c r="S58" s="3">
        <v>8479</v>
      </c>
      <c r="T58" s="3">
        <v>9884</v>
      </c>
      <c r="U58" s="3">
        <v>9633</v>
      </c>
      <c r="V58" s="3">
        <v>10165</v>
      </c>
      <c r="W58" s="3">
        <v>10563</v>
      </c>
      <c r="X58" s="6">
        <v>3.8863363670949003E-2</v>
      </c>
      <c r="Y58" s="8">
        <v>3.5550297191470293E-2</v>
      </c>
      <c r="Z58" s="8">
        <v>3.808383885095612E-2</v>
      </c>
      <c r="AA58" s="8">
        <v>5.4610728230392258E-2</v>
      </c>
    </row>
    <row r="59" spans="2:27" x14ac:dyDescent="0.3">
      <c r="B59" s="10" t="s">
        <v>286</v>
      </c>
      <c r="C59" s="2" t="s">
        <v>265</v>
      </c>
      <c r="D59" s="2" t="str">
        <f>VLOOKUP(B59,기업리스트!B:G,2,FALSE)</f>
        <v>Sundaram Finance Limited</v>
      </c>
      <c r="E59" s="2" t="s">
        <v>246</v>
      </c>
      <c r="F59" s="4">
        <v>4.4000000000000004</v>
      </c>
      <c r="G59" s="3">
        <v>6100</v>
      </c>
      <c r="H59" s="3">
        <v>7580</v>
      </c>
      <c r="I59" s="3">
        <v>6329</v>
      </c>
      <c r="J59" s="3">
        <v>7147</v>
      </c>
      <c r="K59" s="3">
        <v>7265</v>
      </c>
      <c r="L59" s="3">
        <v>8111</v>
      </c>
      <c r="M59" s="3">
        <v>7662</v>
      </c>
      <c r="N59" s="3">
        <v>8342</v>
      </c>
      <c r="O59" s="3">
        <v>8942</v>
      </c>
      <c r="P59" s="3">
        <v>11368</v>
      </c>
      <c r="Q59" s="3">
        <v>9006</v>
      </c>
      <c r="R59" s="3">
        <v>9449</v>
      </c>
      <c r="S59" s="3">
        <v>10017</v>
      </c>
      <c r="T59" s="3">
        <v>11272</v>
      </c>
      <c r="U59" s="3">
        <v>9992</v>
      </c>
      <c r="V59" s="3">
        <v>10830</v>
      </c>
      <c r="W59" s="3">
        <v>11883</v>
      </c>
      <c r="X59" s="6">
        <v>-2.4096385542168308E-3</v>
      </c>
      <c r="Y59" s="8">
        <v>2.4808776167471791E-2</v>
      </c>
      <c r="Z59" s="8">
        <v>3.3906211637613648E-2</v>
      </c>
      <c r="AA59" s="8">
        <v>4.4311462563225712E-2</v>
      </c>
    </row>
    <row r="60" spans="2:27" x14ac:dyDescent="0.3">
      <c r="B60" s="10" t="s">
        <v>287</v>
      </c>
      <c r="C60" s="2" t="s">
        <v>265</v>
      </c>
      <c r="D60" s="2" t="str">
        <f>VLOOKUP(B60,기업리스트!B:G,2,FALSE)</f>
        <v>Alembic Pharmaceuticals Limited</v>
      </c>
      <c r="E60" s="2" t="s">
        <v>241</v>
      </c>
      <c r="F60" s="4">
        <v>3.8</v>
      </c>
      <c r="G60" s="3">
        <v>12923</v>
      </c>
      <c r="H60" s="3">
        <v>12717</v>
      </c>
      <c r="I60" s="3">
        <v>14157</v>
      </c>
      <c r="J60" s="3">
        <v>12621</v>
      </c>
      <c r="K60" s="3">
        <v>14750</v>
      </c>
      <c r="L60" s="3">
        <v>15090</v>
      </c>
      <c r="M60" s="3">
        <v>14065</v>
      </c>
      <c r="N60" s="3">
        <v>14862</v>
      </c>
      <c r="O60" s="3">
        <v>15949</v>
      </c>
      <c r="P60" s="3">
        <v>16306</v>
      </c>
      <c r="Q60" s="3">
        <v>15170</v>
      </c>
      <c r="R60" s="3">
        <v>15617</v>
      </c>
      <c r="S60" s="3">
        <v>16480</v>
      </c>
      <c r="T60" s="3">
        <v>16928</v>
      </c>
      <c r="U60" s="3">
        <v>17696</v>
      </c>
      <c r="V60" s="3">
        <v>17107</v>
      </c>
      <c r="W60" s="3">
        <v>19102</v>
      </c>
      <c r="X60" s="6">
        <v>9.7840278105485456E-3</v>
      </c>
      <c r="Y60" s="8">
        <v>3.9348858945400737E-2</v>
      </c>
      <c r="Z60" s="8">
        <v>2.233179958333964E-2</v>
      </c>
      <c r="AA60" s="8">
        <v>3.8439547873510227E-2</v>
      </c>
    </row>
    <row r="61" spans="2:27" x14ac:dyDescent="0.3">
      <c r="B61" s="10" t="s">
        <v>288</v>
      </c>
      <c r="C61" s="2" t="s">
        <v>265</v>
      </c>
      <c r="D61" s="2" t="str">
        <f>VLOOKUP(B61,기업리스트!B:G,2,FALSE)</f>
        <v>Indus Towers Limited</v>
      </c>
      <c r="E61" s="2" t="s">
        <v>246</v>
      </c>
      <c r="F61" s="4">
        <v>1.9</v>
      </c>
      <c r="G61" s="3">
        <v>69274</v>
      </c>
      <c r="H61" s="3">
        <v>71163</v>
      </c>
      <c r="I61" s="3">
        <v>68973</v>
      </c>
      <c r="J61" s="3">
        <v>79666</v>
      </c>
      <c r="K61" s="3">
        <v>67650</v>
      </c>
      <c r="L61" s="3">
        <v>67529</v>
      </c>
      <c r="M61" s="3">
        <v>70759</v>
      </c>
      <c r="N61" s="3">
        <v>71325</v>
      </c>
      <c r="O61" s="3">
        <v>71990</v>
      </c>
      <c r="P61" s="3">
        <v>71932</v>
      </c>
      <c r="Q61" s="3">
        <v>73830</v>
      </c>
      <c r="R61" s="3">
        <v>74653</v>
      </c>
      <c r="S61" s="3">
        <v>75474</v>
      </c>
      <c r="T61" s="3">
        <v>77271</v>
      </c>
      <c r="U61" s="3">
        <v>80576</v>
      </c>
      <c r="V61" s="3">
        <v>81882</v>
      </c>
      <c r="W61" s="3">
        <v>81463</v>
      </c>
      <c r="X61" s="6">
        <v>1.8043928635400389E-2</v>
      </c>
      <c r="Y61" s="8">
        <v>2.2394996481070791E-2</v>
      </c>
      <c r="Z61" s="8">
        <v>2.347276068759041E-2</v>
      </c>
      <c r="AA61" s="8">
        <v>1.9000453675884991E-2</v>
      </c>
    </row>
    <row r="62" spans="2:27" x14ac:dyDescent="0.3">
      <c r="B62" s="10" t="s">
        <v>289</v>
      </c>
      <c r="C62" s="2" t="s">
        <v>265</v>
      </c>
      <c r="D62" s="2" t="str">
        <f>VLOOKUP(B62,기업리스트!B:G,2,FALSE)</f>
        <v>Thermax Limited</v>
      </c>
      <c r="E62" s="2" t="s">
        <v>246</v>
      </c>
      <c r="F62" s="4">
        <v>1.9</v>
      </c>
      <c r="G62" s="3">
        <v>16147</v>
      </c>
      <c r="H62" s="3">
        <v>19919</v>
      </c>
      <c r="I62" s="3">
        <v>16545</v>
      </c>
      <c r="J62" s="3">
        <v>20753</v>
      </c>
      <c r="K62" s="3">
        <v>20493</v>
      </c>
      <c r="L62" s="3">
        <v>23108</v>
      </c>
      <c r="M62" s="3">
        <v>19330</v>
      </c>
      <c r="N62" s="3">
        <v>23025</v>
      </c>
      <c r="O62" s="3">
        <v>23244</v>
      </c>
      <c r="P62" s="3">
        <v>27637</v>
      </c>
      <c r="Q62" s="3">
        <v>21844</v>
      </c>
      <c r="R62" s="3">
        <v>26116</v>
      </c>
      <c r="S62" s="3">
        <v>25078</v>
      </c>
      <c r="T62" s="3">
        <v>30849</v>
      </c>
      <c r="U62" s="3">
        <v>21502</v>
      </c>
      <c r="V62" s="3">
        <v>24739</v>
      </c>
      <c r="W62" s="3">
        <v>26974</v>
      </c>
      <c r="X62" s="6">
        <v>3.1904643655326533E-2</v>
      </c>
      <c r="Y62" s="8">
        <v>-3.292038464870473E-3</v>
      </c>
      <c r="Z62" s="8">
        <v>-1.329856584093869E-2</v>
      </c>
      <c r="AA62" s="8">
        <v>1.855766972046036E-2</v>
      </c>
    </row>
    <row r="63" spans="2:27" x14ac:dyDescent="0.3">
      <c r="B63" s="10" t="s">
        <v>290</v>
      </c>
      <c r="C63" s="2" t="s">
        <v>265</v>
      </c>
      <c r="D63" s="2" t="str">
        <f>VLOOKUP(B63,기업리스트!B:G,2,FALSE)</f>
        <v>Religare Enterprises Limited</v>
      </c>
      <c r="E63" s="2" t="s">
        <v>241</v>
      </c>
      <c r="F63" s="4">
        <v>1.5</v>
      </c>
      <c r="G63" s="3">
        <v>8880</v>
      </c>
      <c r="H63" s="3">
        <v>8813</v>
      </c>
      <c r="I63" s="3">
        <v>9461</v>
      </c>
      <c r="J63" s="3">
        <v>10511</v>
      </c>
      <c r="K63" s="3">
        <v>11645</v>
      </c>
      <c r="L63" s="3">
        <v>11654</v>
      </c>
      <c r="M63" s="5">
        <v>13980</v>
      </c>
      <c r="N63" s="3">
        <v>12846</v>
      </c>
      <c r="O63" s="3">
        <v>15844</v>
      </c>
      <c r="P63" s="3">
        <v>15372</v>
      </c>
      <c r="Q63" s="3">
        <v>18450</v>
      </c>
      <c r="R63" s="3">
        <v>17095</v>
      </c>
      <c r="S63" s="3">
        <v>19519</v>
      </c>
      <c r="T63" s="3">
        <v>16702</v>
      </c>
      <c r="U63" s="3">
        <v>20258</v>
      </c>
      <c r="V63" s="3">
        <v>18614</v>
      </c>
      <c r="W63" s="3">
        <v>20642</v>
      </c>
      <c r="X63" s="6">
        <v>1.8882389687091768E-2</v>
      </c>
      <c r="Y63" s="8">
        <v>2.519298832316141E-2</v>
      </c>
      <c r="Z63" s="8">
        <v>2.064588033816284E-2</v>
      </c>
      <c r="AA63" s="8">
        <v>1.4954789394484139E-2</v>
      </c>
    </row>
    <row r="64" spans="2:27" x14ac:dyDescent="0.3">
      <c r="B64" s="10" t="s">
        <v>291</v>
      </c>
      <c r="C64" s="2" t="s">
        <v>265</v>
      </c>
      <c r="D64" s="2" t="str">
        <f>VLOOKUP(B64,기업리스트!B:G,2,FALSE)</f>
        <v>General Insurance Corporation of India</v>
      </c>
      <c r="E64" s="2" t="s">
        <v>241</v>
      </c>
      <c r="F64" s="4">
        <v>0.7</v>
      </c>
      <c r="G64" s="3">
        <v>134292</v>
      </c>
      <c r="H64" s="3">
        <v>111394</v>
      </c>
      <c r="I64" s="3">
        <v>115211</v>
      </c>
      <c r="J64" s="3">
        <v>126437</v>
      </c>
      <c r="K64" s="3">
        <v>120566</v>
      </c>
      <c r="L64" s="3">
        <v>112595</v>
      </c>
      <c r="M64" s="3">
        <v>106282</v>
      </c>
      <c r="N64" s="3">
        <v>110799</v>
      </c>
      <c r="O64" s="3">
        <v>130522</v>
      </c>
      <c r="P64" s="3">
        <v>108649</v>
      </c>
      <c r="Q64" s="3">
        <v>108917</v>
      </c>
      <c r="R64" s="3">
        <v>128712</v>
      </c>
      <c r="S64" s="3">
        <v>123838</v>
      </c>
      <c r="T64" s="3">
        <v>111373</v>
      </c>
      <c r="U64" s="3">
        <v>131939</v>
      </c>
      <c r="V64" s="3">
        <v>145679</v>
      </c>
      <c r="W64" s="3">
        <v>127377</v>
      </c>
      <c r="X64" s="6">
        <v>5.7943145946957042E-3</v>
      </c>
      <c r="Y64" s="8">
        <v>4.8688774215379427E-2</v>
      </c>
      <c r="Z64" s="8">
        <v>3.4217181393210172E-2</v>
      </c>
      <c r="AA64" s="8">
        <v>6.9009357895126744E-3</v>
      </c>
    </row>
    <row r="65" spans="2:27" x14ac:dyDescent="0.3">
      <c r="B65" s="10" t="s">
        <v>292</v>
      </c>
      <c r="C65" s="2" t="s">
        <v>265</v>
      </c>
      <c r="D65" s="2" t="str">
        <f>VLOOKUP(B65,기업리스트!B:G,2,FALSE)</f>
        <v>Fine Organic Industries Limited</v>
      </c>
      <c r="E65" s="2" t="s">
        <v>241</v>
      </c>
      <c r="F65" s="4">
        <v>0.1</v>
      </c>
      <c r="G65" s="3">
        <v>4384</v>
      </c>
      <c r="H65" s="3">
        <v>4634</v>
      </c>
      <c r="I65" s="3">
        <v>6169</v>
      </c>
      <c r="J65" s="3">
        <v>7477</v>
      </c>
      <c r="K65" s="5">
        <v>9192</v>
      </c>
      <c r="L65" s="5">
        <v>7595</v>
      </c>
      <c r="M65" s="3">
        <v>5966</v>
      </c>
      <c r="N65" s="3">
        <v>5472</v>
      </c>
      <c r="O65" s="3">
        <v>5405</v>
      </c>
      <c r="P65" s="3">
        <v>4884</v>
      </c>
      <c r="Q65" s="3">
        <v>5469</v>
      </c>
      <c r="R65" s="3">
        <v>5497</v>
      </c>
      <c r="S65" s="3">
        <v>5958</v>
      </c>
      <c r="T65" s="3">
        <v>5132</v>
      </c>
      <c r="U65" s="3">
        <v>6104</v>
      </c>
      <c r="V65" s="3">
        <v>5884</v>
      </c>
      <c r="W65" s="3">
        <v>5973</v>
      </c>
      <c r="X65" s="6">
        <v>1.137197358767428E-2</v>
      </c>
      <c r="Y65" s="8">
        <v>2.87903518317012E-2</v>
      </c>
      <c r="Z65" s="8">
        <v>1.7055220131329651E-2</v>
      </c>
      <c r="AA65" s="8">
        <v>6.4996966808217316E-4</v>
      </c>
    </row>
    <row r="66" spans="2:27" x14ac:dyDescent="0.3">
      <c r="B66" s="10" t="s">
        <v>293</v>
      </c>
      <c r="C66" s="2" t="s">
        <v>265</v>
      </c>
      <c r="D66" s="2" t="str">
        <f>VLOOKUP(B66,기업리스트!B:G,2,FALSE)</f>
        <v>Mishra Dhatu Nigam Limited</v>
      </c>
      <c r="E66" s="2" t="s">
        <v>241</v>
      </c>
      <c r="F66" s="4">
        <v>-4.8</v>
      </c>
      <c r="G66" s="3">
        <v>1879</v>
      </c>
      <c r="H66" s="3">
        <v>2342</v>
      </c>
      <c r="I66" s="3">
        <v>3233</v>
      </c>
      <c r="J66" s="3">
        <v>1149</v>
      </c>
      <c r="K66" s="3">
        <v>1810</v>
      </c>
      <c r="L66" s="3">
        <v>2315</v>
      </c>
      <c r="M66" s="3">
        <v>3446</v>
      </c>
      <c r="N66" s="3">
        <v>1877</v>
      </c>
      <c r="O66" s="3">
        <v>2275</v>
      </c>
      <c r="P66" s="3">
        <v>2520</v>
      </c>
      <c r="Q66" s="3">
        <v>4055</v>
      </c>
      <c r="R66" s="3">
        <v>1635</v>
      </c>
      <c r="S66" s="3">
        <v>2621</v>
      </c>
      <c r="T66" s="3">
        <v>2380</v>
      </c>
      <c r="U66" s="3">
        <v>4106</v>
      </c>
      <c r="V66" s="3">
        <v>1705</v>
      </c>
      <c r="W66" s="3">
        <v>2097</v>
      </c>
      <c r="X66" s="6">
        <v>-1.292586095466719E-2</v>
      </c>
      <c r="Y66" s="8">
        <v>4.7703675989150263E-3</v>
      </c>
      <c r="Z66" s="8">
        <v>6.5164773785142396E-3</v>
      </c>
      <c r="AA66" s="8">
        <v>-4.8464668886422542E-2</v>
      </c>
    </row>
    <row r="67" spans="2:27" hidden="1" x14ac:dyDescent="0.3">
      <c r="B67" s="2" t="s">
        <v>294</v>
      </c>
      <c r="C67" s="2" t="s">
        <v>236</v>
      </c>
      <c r="D67" s="2" t="s">
        <v>266</v>
      </c>
      <c r="E67" s="2" t="s">
        <v>267</v>
      </c>
      <c r="F67" s="4">
        <v>5.6</v>
      </c>
      <c r="G67" s="3">
        <v>287.33</v>
      </c>
      <c r="H67" s="3">
        <v>248.41</v>
      </c>
      <c r="I67" s="3">
        <v>411.35</v>
      </c>
      <c r="J67" s="3">
        <v>359.6</v>
      </c>
      <c r="K67" s="3">
        <v>306.69</v>
      </c>
      <c r="L67" s="3">
        <v>253.14</v>
      </c>
      <c r="M67" s="3">
        <v>257.95999999999998</v>
      </c>
      <c r="N67" s="3">
        <v>246.1</v>
      </c>
      <c r="O67" s="3">
        <v>265.51</v>
      </c>
      <c r="P67" s="3">
        <v>254.5</v>
      </c>
      <c r="Q67" s="3">
        <v>228.13</v>
      </c>
      <c r="R67" s="3">
        <v>320.67</v>
      </c>
      <c r="S67" s="3">
        <v>255.13</v>
      </c>
      <c r="T67" s="3">
        <v>258.14999999999998</v>
      </c>
      <c r="U67" s="3">
        <v>268.26</v>
      </c>
      <c r="V67" s="3">
        <v>274.99</v>
      </c>
      <c r="W67" s="3">
        <v>314.18</v>
      </c>
      <c r="X67" s="6">
        <v>3.4485039161775699E-3</v>
      </c>
      <c r="Y67" s="8">
        <v>3.7784347695088982E-2</v>
      </c>
      <c r="Z67" s="8">
        <v>-4.1444007947668782E-2</v>
      </c>
      <c r="AA67" s="8">
        <v>5.5890509498073948E-2</v>
      </c>
    </row>
    <row r="68" spans="2:27" hidden="1" x14ac:dyDescent="0.3">
      <c r="B68" s="2" t="s">
        <v>295</v>
      </c>
      <c r="C68" s="2" t="s">
        <v>236</v>
      </c>
      <c r="D68" s="2" t="s">
        <v>268</v>
      </c>
      <c r="E68" s="2" t="s">
        <v>267</v>
      </c>
      <c r="F68" s="4">
        <v>3.2</v>
      </c>
      <c r="G68" s="2"/>
      <c r="H68" s="2"/>
      <c r="I68" s="2"/>
      <c r="J68" s="2"/>
      <c r="K68" s="2"/>
      <c r="L68" s="2"/>
      <c r="M68" s="2"/>
      <c r="N68" s="2"/>
      <c r="O68" s="3">
        <v>96.89</v>
      </c>
      <c r="P68" s="3">
        <v>99.9</v>
      </c>
      <c r="Q68" s="3">
        <v>104.01</v>
      </c>
      <c r="R68" s="3">
        <v>108.57</v>
      </c>
      <c r="S68" s="3">
        <v>107.14</v>
      </c>
      <c r="T68" s="3">
        <v>100.86</v>
      </c>
      <c r="U68" s="3">
        <v>103.89</v>
      </c>
      <c r="V68" s="3">
        <v>119.59</v>
      </c>
      <c r="W68" s="3">
        <v>120.87</v>
      </c>
      <c r="X68" s="6">
        <v>2.2877841856918661E-3</v>
      </c>
      <c r="Y68" s="8">
        <v>-2.8532027200534049E-4</v>
      </c>
      <c r="Z68" s="8">
        <v>2.6209389716025381E-2</v>
      </c>
      <c r="AA68" s="8">
        <v>3.1820710114026207E-2</v>
      </c>
    </row>
    <row r="69" spans="2:27" hidden="1" x14ac:dyDescent="0.3">
      <c r="B69" s="2" t="s">
        <v>296</v>
      </c>
      <c r="C69" s="2" t="s">
        <v>236</v>
      </c>
      <c r="D69" s="2" t="s">
        <v>269</v>
      </c>
      <c r="E69" s="2" t="s">
        <v>267</v>
      </c>
      <c r="F69" s="4">
        <v>2.8</v>
      </c>
      <c r="G69" s="3">
        <v>131.61000000000001</v>
      </c>
      <c r="H69" s="3">
        <v>130.76</v>
      </c>
      <c r="I69" s="3">
        <v>115.47</v>
      </c>
      <c r="J69" s="3">
        <v>134.56</v>
      </c>
      <c r="K69" s="3">
        <v>130.71</v>
      </c>
      <c r="L69" s="3">
        <v>136.49</v>
      </c>
      <c r="M69" s="3">
        <v>118.46</v>
      </c>
      <c r="N69" s="3">
        <v>165.24</v>
      </c>
      <c r="O69" s="5">
        <v>211.7</v>
      </c>
      <c r="P69" s="5">
        <v>231.04</v>
      </c>
      <c r="Q69" s="5">
        <v>205.83</v>
      </c>
      <c r="R69" s="3">
        <v>241.96</v>
      </c>
      <c r="S69" s="3">
        <v>250.4</v>
      </c>
      <c r="T69" s="3">
        <v>259.60000000000002</v>
      </c>
      <c r="U69" s="3">
        <v>244.32</v>
      </c>
      <c r="V69" s="3">
        <v>264.57</v>
      </c>
      <c r="W69" s="3">
        <v>278.63</v>
      </c>
      <c r="X69" s="6">
        <v>3.0735124780732589E-2</v>
      </c>
      <c r="Y69" s="8">
        <v>4.0186262124265022E-2</v>
      </c>
      <c r="Z69" s="8">
        <v>2.2694423254506772E-2</v>
      </c>
      <c r="AA69" s="8">
        <v>2.7706621912080731E-2</v>
      </c>
    </row>
    <row r="70" spans="2:27" hidden="1" x14ac:dyDescent="0.3">
      <c r="B70" s="2" t="s">
        <v>297</v>
      </c>
      <c r="C70" s="2" t="s">
        <v>236</v>
      </c>
      <c r="D70" s="2" t="s">
        <v>250</v>
      </c>
      <c r="E70" s="2" t="s">
        <v>267</v>
      </c>
      <c r="F70" s="4">
        <v>2.7</v>
      </c>
      <c r="G70" s="3">
        <v>34.97</v>
      </c>
      <c r="H70" s="3">
        <v>0.67</v>
      </c>
      <c r="I70" s="3">
        <v>7.0000000000000007E-2</v>
      </c>
      <c r="J70" s="3">
        <v>12.75</v>
      </c>
      <c r="K70" s="3">
        <v>32.450000000000003</v>
      </c>
      <c r="L70" s="3">
        <v>1.1100000000000001</v>
      </c>
      <c r="M70" s="3">
        <v>0.37</v>
      </c>
      <c r="N70" s="3">
        <v>11.62</v>
      </c>
      <c r="O70" s="5">
        <v>53.62</v>
      </c>
      <c r="P70" s="3">
        <v>1.1100000000000001</v>
      </c>
      <c r="Q70" s="3">
        <v>5.51</v>
      </c>
      <c r="R70" s="3">
        <v>13.01</v>
      </c>
      <c r="S70" s="5">
        <v>64.510000000000005</v>
      </c>
      <c r="T70" s="5">
        <v>15.59</v>
      </c>
      <c r="U70" s="5">
        <v>15.65</v>
      </c>
      <c r="V70" s="5">
        <v>30.75</v>
      </c>
      <c r="W70" s="3">
        <v>67.89</v>
      </c>
      <c r="X70" s="9">
        <v>0.17209412883289771</v>
      </c>
      <c r="Y70" s="7">
        <v>0.10281890083147439</v>
      </c>
      <c r="Z70" s="7">
        <v>0.16311143802868691</v>
      </c>
      <c r="AA70" s="8">
        <v>2.6719367588932789E-2</v>
      </c>
    </row>
    <row r="71" spans="2:27" hidden="1" x14ac:dyDescent="0.3">
      <c r="B71" s="2">
        <v>7177</v>
      </c>
      <c r="C71" s="2" t="s">
        <v>263</v>
      </c>
      <c r="D71" s="2" t="s">
        <v>264</v>
      </c>
      <c r="E71" s="2" t="s">
        <v>267</v>
      </c>
      <c r="F71" s="4">
        <v>0.2</v>
      </c>
      <c r="G71" s="3">
        <v>8742</v>
      </c>
      <c r="H71" s="3">
        <v>12365</v>
      </c>
      <c r="I71" s="3">
        <v>11321</v>
      </c>
      <c r="J71" s="3">
        <v>10836</v>
      </c>
      <c r="K71" s="3">
        <v>9931</v>
      </c>
      <c r="L71" s="3">
        <v>8383</v>
      </c>
      <c r="M71" s="3">
        <v>11377</v>
      </c>
      <c r="N71" s="3">
        <v>11585</v>
      </c>
      <c r="O71" s="3">
        <v>11030</v>
      </c>
      <c r="P71" s="3">
        <v>11014</v>
      </c>
      <c r="Q71" s="3">
        <v>11990</v>
      </c>
      <c r="R71" s="3">
        <v>7883</v>
      </c>
      <c r="S71" s="3">
        <v>11221</v>
      </c>
      <c r="T71" s="3">
        <v>9223</v>
      </c>
      <c r="U71" s="3">
        <v>11869</v>
      </c>
      <c r="V71" s="5">
        <v>13201</v>
      </c>
      <c r="W71" s="3">
        <v>11321</v>
      </c>
      <c r="X71" s="6">
        <v>-4.2533485323454023E-2</v>
      </c>
      <c r="Y71" s="8">
        <v>-3.001215368206966E-3</v>
      </c>
      <c r="Z71" s="7">
        <v>0.1323017215643347</v>
      </c>
      <c r="AA71" s="8">
        <v>2.1971261589841529E-3</v>
      </c>
    </row>
    <row r="72" spans="2:27" x14ac:dyDescent="0.3">
      <c r="B72" s="36">
        <v>1060</v>
      </c>
      <c r="C72" s="26" t="s">
        <v>270</v>
      </c>
      <c r="D72" s="26" t="str">
        <f>VLOOKUP(B72,기업리스트!B:G,2,FALSE)</f>
        <v>Saudi Awwal Bank</v>
      </c>
      <c r="E72" s="2" t="s">
        <v>271</v>
      </c>
      <c r="F72" s="27">
        <v>15.4</v>
      </c>
      <c r="G72" s="26"/>
      <c r="H72" s="26"/>
      <c r="I72" s="26"/>
      <c r="J72" s="26"/>
      <c r="K72" s="26"/>
      <c r="L72" s="26"/>
      <c r="M72" s="26"/>
      <c r="N72" s="28">
        <v>1932</v>
      </c>
      <c r="O72" s="28">
        <v>1358</v>
      </c>
      <c r="P72" s="28">
        <v>2294</v>
      </c>
      <c r="Q72" s="28">
        <v>1829</v>
      </c>
      <c r="R72" s="28">
        <v>0</v>
      </c>
      <c r="S72" s="29">
        <v>2616</v>
      </c>
      <c r="T72" s="28">
        <v>0</v>
      </c>
      <c r="U72" s="29">
        <v>3051</v>
      </c>
      <c r="V72" s="29">
        <v>3652</v>
      </c>
      <c r="W72" s="29">
        <v>4047</v>
      </c>
      <c r="X72" s="30">
        <v>-0.34040658851461641</v>
      </c>
      <c r="Y72" s="32">
        <v>0.27491563554555692</v>
      </c>
      <c r="Z72" s="32">
        <v>0.6444326804305629</v>
      </c>
      <c r="AA72" s="32">
        <v>0.15355724863182749</v>
      </c>
    </row>
    <row r="73" spans="2:27" hidden="1" x14ac:dyDescent="0.3">
      <c r="B73" s="2" t="s">
        <v>298</v>
      </c>
      <c r="C73" s="2" t="s">
        <v>272</v>
      </c>
      <c r="D73" s="2" t="s">
        <v>264</v>
      </c>
      <c r="E73" s="2" t="s">
        <v>273</v>
      </c>
      <c r="F73" s="4">
        <v>-0.1</v>
      </c>
      <c r="G73" s="2"/>
      <c r="H73" s="2"/>
      <c r="I73" s="2"/>
      <c r="J73" s="2"/>
      <c r="K73" s="2"/>
      <c r="L73" s="2"/>
      <c r="M73" s="2"/>
      <c r="N73" s="3">
        <v>192.29</v>
      </c>
      <c r="O73" s="3">
        <v>206.73</v>
      </c>
      <c r="P73" s="3">
        <v>188.58</v>
      </c>
      <c r="Q73" s="3">
        <v>162.52000000000001</v>
      </c>
      <c r="R73" s="3">
        <v>204.68</v>
      </c>
      <c r="S73" s="3">
        <v>207.5</v>
      </c>
      <c r="T73" s="3">
        <v>196.82</v>
      </c>
      <c r="U73" s="3">
        <v>216.99</v>
      </c>
      <c r="V73" s="3">
        <v>201.09</v>
      </c>
      <c r="W73" s="3">
        <v>206.99</v>
      </c>
      <c r="X73" s="6">
        <v>1.0795514097054809E-2</v>
      </c>
      <c r="Y73" s="8">
        <v>7.0600891746163352E-2</v>
      </c>
      <c r="Z73" s="8">
        <v>-4.346299592004832E-3</v>
      </c>
      <c r="AA73" s="8">
        <v>-6.201361867703703E-4</v>
      </c>
    </row>
    <row r="74" spans="2:27" hidden="1" x14ac:dyDescent="0.3">
      <c r="B74" s="2">
        <v>1020</v>
      </c>
      <c r="C74" s="2" t="s">
        <v>270</v>
      </c>
      <c r="D74" s="2" t="s">
        <v>264</v>
      </c>
      <c r="E74" s="2" t="s">
        <v>273</v>
      </c>
      <c r="F74" s="4">
        <v>-2.9</v>
      </c>
      <c r="G74" s="2"/>
      <c r="H74" s="2"/>
      <c r="I74" s="2"/>
      <c r="J74" s="2"/>
      <c r="K74" s="2"/>
      <c r="L74" s="2"/>
      <c r="M74" s="2"/>
      <c r="N74" s="3">
        <v>0</v>
      </c>
      <c r="O74" s="3">
        <v>71.89</v>
      </c>
      <c r="P74" s="3">
        <v>54.49</v>
      </c>
      <c r="Q74" s="3">
        <v>21.7</v>
      </c>
      <c r="R74" s="5">
        <v>35.24</v>
      </c>
      <c r="S74" s="3">
        <v>34.07</v>
      </c>
      <c r="T74" s="5">
        <v>77.48</v>
      </c>
      <c r="U74" s="5">
        <v>44.51</v>
      </c>
      <c r="V74" s="3">
        <v>48.73</v>
      </c>
      <c r="W74" s="3">
        <v>28.03</v>
      </c>
      <c r="X74" s="9">
        <v>0.15800687285223369</v>
      </c>
      <c r="Y74" s="7">
        <v>0.13537895424060789</v>
      </c>
      <c r="Z74" s="8">
        <v>7.0517511761630791E-2</v>
      </c>
      <c r="AA74" s="8">
        <v>-2.9493627618536019E-2</v>
      </c>
    </row>
    <row r="75" spans="2:27" x14ac:dyDescent="0.3">
      <c r="B75" s="10">
        <v>1140</v>
      </c>
      <c r="C75" s="2" t="s">
        <v>270</v>
      </c>
      <c r="D75" s="2" t="str">
        <f>VLOOKUP(B75,기업리스트!B:G,2,FALSE)</f>
        <v>Bank Albilad</v>
      </c>
      <c r="E75" s="2" t="s">
        <v>271</v>
      </c>
      <c r="F75" s="4">
        <v>-4.8</v>
      </c>
      <c r="G75" s="2"/>
      <c r="H75" s="2"/>
      <c r="I75" s="2"/>
      <c r="J75" s="2"/>
      <c r="K75" s="2"/>
      <c r="L75" s="2"/>
      <c r="M75" s="2"/>
      <c r="N75" s="3">
        <v>64.14</v>
      </c>
      <c r="O75" s="3">
        <v>49.92</v>
      </c>
      <c r="P75" s="3">
        <v>45.31</v>
      </c>
      <c r="Q75" s="3">
        <v>85.91</v>
      </c>
      <c r="R75" s="5">
        <v>106.83</v>
      </c>
      <c r="S75" s="5">
        <v>147.41999999999999</v>
      </c>
      <c r="T75" s="5">
        <v>160.91</v>
      </c>
      <c r="U75" s="3">
        <v>131.47</v>
      </c>
      <c r="V75" s="3">
        <v>144.16</v>
      </c>
      <c r="W75" s="3">
        <v>119.55</v>
      </c>
      <c r="X75" s="9">
        <v>0.29989363634005239</v>
      </c>
      <c r="Y75" s="8">
        <v>9.0925419602051694E-2</v>
      </c>
      <c r="Z75" s="8">
        <v>6.8291165870881576E-2</v>
      </c>
      <c r="AA75" s="8">
        <v>-4.7725871635043493E-2</v>
      </c>
    </row>
    <row r="76" spans="2:27" hidden="1" x14ac:dyDescent="0.3">
      <c r="B76" s="2">
        <v>1150</v>
      </c>
      <c r="C76" s="2" t="s">
        <v>270</v>
      </c>
      <c r="D76" s="2" t="s">
        <v>264</v>
      </c>
      <c r="E76" s="2" t="s">
        <v>273</v>
      </c>
      <c r="F76" s="4">
        <v>-17.600000000000001</v>
      </c>
      <c r="G76" s="2"/>
      <c r="H76" s="2"/>
      <c r="I76" s="2"/>
      <c r="J76" s="2"/>
      <c r="K76" s="2"/>
      <c r="L76" s="2"/>
      <c r="M76" s="2"/>
      <c r="N76" s="3">
        <v>93.44</v>
      </c>
      <c r="O76" s="3">
        <v>112.83</v>
      </c>
      <c r="P76" s="3">
        <v>132.19</v>
      </c>
      <c r="Q76" s="3">
        <v>118.36</v>
      </c>
      <c r="R76" s="3">
        <v>114.92</v>
      </c>
      <c r="S76" s="3">
        <v>100</v>
      </c>
      <c r="T76" s="3">
        <v>72.52</v>
      </c>
      <c r="U76" s="3">
        <v>63.16</v>
      </c>
      <c r="V76" s="3">
        <v>48.7</v>
      </c>
      <c r="W76" s="3">
        <v>50.06</v>
      </c>
      <c r="X76" s="6">
        <v>-0.12819300921649091</v>
      </c>
      <c r="Y76" s="8">
        <v>-0.1360275998028585</v>
      </c>
      <c r="Z76" s="8">
        <v>-0.18887621220764411</v>
      </c>
      <c r="AA76" s="8">
        <v>-0.1756100991630917</v>
      </c>
    </row>
    <row r="77" spans="2:27" hidden="1" x14ac:dyDescent="0.3">
      <c r="B77" s="2">
        <v>1010</v>
      </c>
      <c r="C77" s="2" t="s">
        <v>270</v>
      </c>
      <c r="D77" s="2" t="s">
        <v>264</v>
      </c>
      <c r="E77" s="2" t="s">
        <v>273</v>
      </c>
      <c r="F77" s="4">
        <v>-57</v>
      </c>
      <c r="G77" s="2"/>
      <c r="H77" s="2"/>
      <c r="I77" s="2"/>
      <c r="J77" s="2"/>
      <c r="K77" s="2"/>
      <c r="L77" s="2"/>
      <c r="M77" s="2"/>
      <c r="N77" s="3">
        <v>57.32</v>
      </c>
      <c r="O77" s="3">
        <v>54.47</v>
      </c>
      <c r="P77" s="3">
        <v>51.15</v>
      </c>
      <c r="Q77" s="3">
        <v>43.6</v>
      </c>
      <c r="R77" s="5">
        <v>137.47999999999999</v>
      </c>
      <c r="S77" s="5">
        <v>101.69</v>
      </c>
      <c r="T77" s="3">
        <v>12.28</v>
      </c>
      <c r="U77" s="3">
        <v>15.96</v>
      </c>
      <c r="V77" s="3">
        <v>20.079999999999998</v>
      </c>
      <c r="W77" s="3">
        <v>16.12</v>
      </c>
      <c r="X77" s="6">
        <v>-0.11640512697652119</v>
      </c>
      <c r="Y77" s="8">
        <v>-9.367903745127959E-2</v>
      </c>
      <c r="Z77" s="8">
        <v>-0.43902621442728401</v>
      </c>
      <c r="AA77" s="8">
        <v>-0.57042863809079392</v>
      </c>
    </row>
  </sheetData>
  <autoFilter ref="B2:AA77" xr:uid="{00000000-0009-0000-0000-000001000000}">
    <filterColumn colId="3">
      <filters>
        <filter val="Dec'25"/>
        <filter val="H1 2026"/>
        <filter val="Jun'26"/>
        <filter val="Mar'26"/>
        <filter val="Sep'26"/>
      </filters>
    </filterColumn>
  </autoFilter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B2:AA77"/>
  <sheetViews>
    <sheetView workbookViewId="0">
      <selection activeCell="B2" sqref="B2:AA75"/>
    </sheetView>
  </sheetViews>
  <sheetFormatPr defaultRowHeight="16.5" x14ac:dyDescent="0.3"/>
  <cols>
    <col min="1" max="1" width="3" customWidth="1"/>
    <col min="2" max="2" width="12" style="35" customWidth="1"/>
    <col min="3" max="3" width="14" customWidth="1"/>
    <col min="4" max="4" width="37.125" bestFit="1" customWidth="1"/>
    <col min="5" max="5" width="12" hidden="1" customWidth="1"/>
    <col min="6" max="6" width="15.375" bestFit="1" customWidth="1"/>
    <col min="7" max="23" width="9" customWidth="1"/>
    <col min="24" max="27" width="10" customWidth="1"/>
  </cols>
  <sheetData>
    <row r="2" spans="2:27" x14ac:dyDescent="0.3">
      <c r="B2" s="24" t="s">
        <v>1</v>
      </c>
      <c r="C2" s="24" t="s">
        <v>215</v>
      </c>
      <c r="D2" s="24" t="s">
        <v>216</v>
      </c>
      <c r="E2" s="1" t="s">
        <v>217</v>
      </c>
      <c r="F2" s="24" t="s">
        <v>218</v>
      </c>
      <c r="G2" s="24" t="s">
        <v>219</v>
      </c>
      <c r="H2" s="24" t="s">
        <v>220</v>
      </c>
      <c r="I2" s="24" t="s">
        <v>221</v>
      </c>
      <c r="J2" s="24" t="s">
        <v>222</v>
      </c>
      <c r="K2" s="24" t="s">
        <v>223</v>
      </c>
      <c r="L2" s="24" t="s">
        <v>224</v>
      </c>
      <c r="M2" s="24" t="s">
        <v>225</v>
      </c>
      <c r="N2" s="24" t="s">
        <v>226</v>
      </c>
      <c r="O2" s="24" t="s">
        <v>227</v>
      </c>
      <c r="P2" s="24" t="s">
        <v>228</v>
      </c>
      <c r="Q2" s="24" t="s">
        <v>229</v>
      </c>
      <c r="R2" s="24" t="s">
        <v>230</v>
      </c>
      <c r="S2" s="24" t="s">
        <v>231</v>
      </c>
      <c r="T2" s="24" t="s">
        <v>232</v>
      </c>
      <c r="U2" s="24" t="s">
        <v>233</v>
      </c>
      <c r="V2" s="24" t="s">
        <v>234</v>
      </c>
      <c r="W2" s="24" t="s">
        <v>235</v>
      </c>
      <c r="X2" s="24" t="s">
        <v>232</v>
      </c>
      <c r="Y2" s="24" t="s">
        <v>233</v>
      </c>
      <c r="Z2" s="24" t="s">
        <v>234</v>
      </c>
      <c r="AA2" s="24" t="s">
        <v>235</v>
      </c>
    </row>
    <row r="3" spans="2:27" x14ac:dyDescent="0.3">
      <c r="B3" s="10" t="s">
        <v>7</v>
      </c>
      <c r="C3" s="2" t="s">
        <v>236</v>
      </c>
      <c r="D3" s="2" t="s">
        <v>237</v>
      </c>
      <c r="E3" s="2" t="s">
        <v>238</v>
      </c>
      <c r="F3" s="25">
        <v>66.400000000000006</v>
      </c>
      <c r="G3" s="37">
        <v>-58.94</v>
      </c>
      <c r="H3" s="37">
        <v>-39.44</v>
      </c>
      <c r="I3" s="37">
        <v>-41.75</v>
      </c>
      <c r="J3" s="37">
        <v>-62.19</v>
      </c>
      <c r="K3" s="37">
        <v>-17.829999999999998</v>
      </c>
      <c r="L3" s="37">
        <v>4.12</v>
      </c>
      <c r="M3" s="37">
        <v>10.07</v>
      </c>
      <c r="N3" s="37">
        <v>39.979999999999997</v>
      </c>
      <c r="O3" s="38">
        <v>65.790000000000006</v>
      </c>
      <c r="P3" s="38">
        <v>80.88</v>
      </c>
      <c r="Q3" s="38">
        <v>105.34</v>
      </c>
      <c r="R3" s="38">
        <v>113.14</v>
      </c>
      <c r="S3" s="37">
        <v>11.04</v>
      </c>
      <c r="T3" s="38">
        <v>176.05</v>
      </c>
      <c r="U3" s="38">
        <v>269.32</v>
      </c>
      <c r="V3" s="38">
        <v>393.26</v>
      </c>
      <c r="W3" s="38">
        <v>575.39</v>
      </c>
      <c r="X3" s="9">
        <v>0.30660438144329899</v>
      </c>
      <c r="Y3" s="7">
        <v>0.40431984614246602</v>
      </c>
      <c r="Z3" s="7">
        <v>0.49182688087086301</v>
      </c>
      <c r="AA3" s="7">
        <v>0.66419904198100443</v>
      </c>
    </row>
    <row r="4" spans="2:27" x14ac:dyDescent="0.3">
      <c r="B4" s="10" t="s">
        <v>27</v>
      </c>
      <c r="C4" s="2" t="s">
        <v>236</v>
      </c>
      <c r="D4" s="2" t="s">
        <v>239</v>
      </c>
      <c r="E4" s="2" t="s">
        <v>238</v>
      </c>
      <c r="F4" s="25">
        <v>26.2</v>
      </c>
      <c r="G4" s="37">
        <v>270.83</v>
      </c>
      <c r="H4" s="37">
        <v>200.56</v>
      </c>
      <c r="I4" s="37">
        <v>247.99</v>
      </c>
      <c r="J4" s="37">
        <v>232.71</v>
      </c>
      <c r="K4" s="37">
        <v>215.44</v>
      </c>
      <c r="L4" s="37">
        <v>94.9</v>
      </c>
      <c r="M4" s="37">
        <v>145.01</v>
      </c>
      <c r="N4" s="37">
        <v>147.96</v>
      </c>
      <c r="O4" s="37">
        <v>130.26</v>
      </c>
      <c r="P4" s="37">
        <v>81.97</v>
      </c>
      <c r="Q4" s="37">
        <v>154.88</v>
      </c>
      <c r="R4" s="37">
        <v>154.54</v>
      </c>
      <c r="S4" s="37">
        <v>154.55000000000001</v>
      </c>
      <c r="T4" s="37">
        <v>135.30000000000001</v>
      </c>
      <c r="U4" s="37">
        <v>93.04</v>
      </c>
      <c r="V4" s="37">
        <v>145.32</v>
      </c>
      <c r="W4" s="38">
        <v>293.2</v>
      </c>
      <c r="X4" s="6">
        <v>9.768472725940569E-2</v>
      </c>
      <c r="Y4" s="8">
        <v>-0.10319221719759029</v>
      </c>
      <c r="Z4" s="8">
        <v>-1.7155722605734721E-2</v>
      </c>
      <c r="AA4" s="7">
        <v>0.26249029741958679</v>
      </c>
    </row>
    <row r="5" spans="2:27" x14ac:dyDescent="0.3">
      <c r="B5" s="10" t="s">
        <v>100</v>
      </c>
      <c r="C5" s="2" t="s">
        <v>236</v>
      </c>
      <c r="D5" s="2" t="s">
        <v>261</v>
      </c>
      <c r="E5" s="2" t="s">
        <v>238</v>
      </c>
      <c r="F5" s="25">
        <v>16.2</v>
      </c>
      <c r="G5" s="37">
        <v>59.22</v>
      </c>
      <c r="H5" s="37">
        <v>88.46</v>
      </c>
      <c r="I5" s="37">
        <v>176.51</v>
      </c>
      <c r="J5" s="37">
        <v>180.36</v>
      </c>
      <c r="K5" s="38">
        <v>212.17</v>
      </c>
      <c r="L5" s="38">
        <v>205.83</v>
      </c>
      <c r="M5" s="37">
        <v>182.35</v>
      </c>
      <c r="N5" s="37">
        <v>163.9</v>
      </c>
      <c r="O5" s="37">
        <v>114.16</v>
      </c>
      <c r="P5" s="37">
        <v>158.32</v>
      </c>
      <c r="Q5" s="37">
        <v>115.4</v>
      </c>
      <c r="R5" s="37">
        <v>98.95</v>
      </c>
      <c r="S5" s="37">
        <v>44.36</v>
      </c>
      <c r="T5" s="37">
        <v>92.78</v>
      </c>
      <c r="U5" s="37">
        <v>87.2</v>
      </c>
      <c r="V5" s="37">
        <v>103.46</v>
      </c>
      <c r="W5" s="38">
        <v>97.34</v>
      </c>
      <c r="X5" s="6">
        <v>-0.1571589573891565</v>
      </c>
      <c r="Y5" s="8">
        <v>-8.0229878517169784E-2</v>
      </c>
      <c r="Z5" s="8">
        <v>1.3950323239196869E-2</v>
      </c>
      <c r="AA5" s="7">
        <v>0.16162294081757159</v>
      </c>
    </row>
    <row r="6" spans="2:27" x14ac:dyDescent="0.3">
      <c r="B6" s="10" t="s">
        <v>40</v>
      </c>
      <c r="C6" s="2" t="s">
        <v>236</v>
      </c>
      <c r="D6" s="2" t="s">
        <v>242</v>
      </c>
      <c r="E6" s="2" t="s">
        <v>243</v>
      </c>
      <c r="F6" s="25">
        <v>13.2</v>
      </c>
      <c r="G6" s="37">
        <v>35.75</v>
      </c>
      <c r="H6" s="37">
        <v>56.66</v>
      </c>
      <c r="I6" s="37">
        <v>56.24</v>
      </c>
      <c r="J6" s="37">
        <v>59.66</v>
      </c>
      <c r="K6" s="37">
        <v>33.82</v>
      </c>
      <c r="L6" s="37">
        <v>45.56</v>
      </c>
      <c r="M6" s="38">
        <v>104.06</v>
      </c>
      <c r="N6" s="38">
        <v>91.57</v>
      </c>
      <c r="O6" s="38">
        <v>103.28</v>
      </c>
      <c r="P6" s="38">
        <v>120.83</v>
      </c>
      <c r="Q6" s="37">
        <v>117.46</v>
      </c>
      <c r="R6" s="37">
        <v>99.73</v>
      </c>
      <c r="S6" s="37">
        <v>93.94</v>
      </c>
      <c r="T6" s="37">
        <v>123.53</v>
      </c>
      <c r="U6" s="37">
        <v>120.07</v>
      </c>
      <c r="V6" s="38">
        <v>158.01</v>
      </c>
      <c r="W6" s="38">
        <v>159.41999999999999</v>
      </c>
      <c r="X6" s="6">
        <v>6.2505787572924021E-3</v>
      </c>
      <c r="Y6" s="8">
        <v>6.0046933235171629E-3</v>
      </c>
      <c r="Z6" s="7">
        <v>0.13328149655819049</v>
      </c>
      <c r="AA6" s="7">
        <v>0.1321360104933913</v>
      </c>
    </row>
    <row r="7" spans="2:27" x14ac:dyDescent="0.3">
      <c r="B7" s="10" t="s">
        <v>48</v>
      </c>
      <c r="C7" s="2" t="s">
        <v>236</v>
      </c>
      <c r="D7" s="2" t="s">
        <v>240</v>
      </c>
      <c r="E7" s="2" t="s">
        <v>241</v>
      </c>
      <c r="F7" s="25">
        <v>10</v>
      </c>
      <c r="G7" s="37">
        <v>51.58</v>
      </c>
      <c r="H7" s="37">
        <v>53.66</v>
      </c>
      <c r="I7" s="37">
        <v>56.71</v>
      </c>
      <c r="J7" s="37">
        <v>62.19</v>
      </c>
      <c r="K7" s="37">
        <v>66.290000000000006</v>
      </c>
      <c r="L7" s="37">
        <v>67.7</v>
      </c>
      <c r="M7" s="37">
        <v>62.76</v>
      </c>
      <c r="N7" s="37">
        <v>63.98</v>
      </c>
      <c r="O7" s="37">
        <v>68.819999999999993</v>
      </c>
      <c r="P7" s="37">
        <v>71.31</v>
      </c>
      <c r="Q7" s="37">
        <v>73.7</v>
      </c>
      <c r="R7" s="37">
        <v>76.89</v>
      </c>
      <c r="S7" s="37">
        <v>80.09</v>
      </c>
      <c r="T7" s="37">
        <v>80.12</v>
      </c>
      <c r="U7" s="37">
        <v>89</v>
      </c>
      <c r="V7" s="37">
        <v>94.29</v>
      </c>
      <c r="W7" s="37">
        <v>114.4</v>
      </c>
      <c r="X7" s="6">
        <v>2.9173151428855348E-2</v>
      </c>
      <c r="Y7" s="8">
        <v>4.9227799227799178E-2</v>
      </c>
      <c r="Z7" s="8">
        <v>5.3357865685372603E-2</v>
      </c>
      <c r="AA7" s="8">
        <v>9.9883551673944693E-2</v>
      </c>
    </row>
    <row r="8" spans="2:27" x14ac:dyDescent="0.3">
      <c r="B8" s="10" t="s">
        <v>80</v>
      </c>
      <c r="C8" s="2" t="s">
        <v>236</v>
      </c>
      <c r="D8" s="2" t="s">
        <v>244</v>
      </c>
      <c r="E8" s="2" t="s">
        <v>243</v>
      </c>
      <c r="F8" s="4">
        <v>9.9</v>
      </c>
      <c r="G8" s="37">
        <v>156.88999999999999</v>
      </c>
      <c r="H8" s="37">
        <v>138.88</v>
      </c>
      <c r="I8" s="37">
        <v>29.81</v>
      </c>
      <c r="J8" s="37">
        <v>80.91</v>
      </c>
      <c r="K8" s="37">
        <v>172.79</v>
      </c>
      <c r="L8" s="37">
        <v>165.18</v>
      </c>
      <c r="M8" s="37">
        <v>4.7300000000000004</v>
      </c>
      <c r="N8" s="37">
        <v>64.290000000000006</v>
      </c>
      <c r="O8" s="37">
        <v>135.82</v>
      </c>
      <c r="P8" s="37">
        <v>170.22</v>
      </c>
      <c r="Q8" s="37">
        <v>5.94</v>
      </c>
      <c r="R8" s="38">
        <v>146.13</v>
      </c>
      <c r="S8" s="37">
        <v>134.72</v>
      </c>
      <c r="T8" s="38">
        <v>279.26</v>
      </c>
      <c r="U8" s="37">
        <v>-1.61</v>
      </c>
      <c r="V8" s="37">
        <v>38.299999999999997</v>
      </c>
      <c r="W8" s="37">
        <v>179.21</v>
      </c>
      <c r="X8" s="9">
        <v>0.23859434148049269</v>
      </c>
      <c r="Y8" s="8">
        <v>-1.3338044342372511E-2</v>
      </c>
      <c r="Z8" s="8">
        <v>-0.1930707251566697</v>
      </c>
      <c r="AA8" s="8">
        <v>9.8719684026005838E-2</v>
      </c>
    </row>
    <row r="9" spans="2:27" x14ac:dyDescent="0.3">
      <c r="B9" s="10" t="s">
        <v>145</v>
      </c>
      <c r="C9" s="2" t="s">
        <v>236</v>
      </c>
      <c r="D9" s="2" t="s">
        <v>250</v>
      </c>
      <c r="E9" s="2" t="s">
        <v>241</v>
      </c>
      <c r="F9" s="4">
        <v>7.4</v>
      </c>
      <c r="G9" s="37">
        <v>1.27</v>
      </c>
      <c r="H9" s="37">
        <v>4.58</v>
      </c>
      <c r="I9" s="37">
        <v>9.3800000000000008</v>
      </c>
      <c r="J9" s="37">
        <v>3.65</v>
      </c>
      <c r="K9" s="38">
        <v>4.33</v>
      </c>
      <c r="L9" s="38">
        <v>10.54</v>
      </c>
      <c r="M9" s="37">
        <v>11.36</v>
      </c>
      <c r="N9" s="38">
        <v>11.56</v>
      </c>
      <c r="O9" s="38">
        <v>13.81</v>
      </c>
      <c r="P9" s="37">
        <v>14.49</v>
      </c>
      <c r="Q9" s="37">
        <v>15.66</v>
      </c>
      <c r="R9" s="37">
        <v>11.86</v>
      </c>
      <c r="S9" s="37">
        <v>11.17</v>
      </c>
      <c r="T9" s="37">
        <v>11.15</v>
      </c>
      <c r="U9" s="37">
        <v>12.73</v>
      </c>
      <c r="V9" s="37">
        <v>13.64</v>
      </c>
      <c r="W9" s="37">
        <v>14.75</v>
      </c>
      <c r="X9" s="6">
        <v>-6.2805566002256397E-2</v>
      </c>
      <c r="Y9" s="8">
        <v>-5.8788121990369313E-2</v>
      </c>
      <c r="Z9" s="8">
        <v>3.7945001065870843E-2</v>
      </c>
      <c r="AA9" s="8">
        <v>7.3526391456151252E-2</v>
      </c>
    </row>
    <row r="10" spans="2:27" x14ac:dyDescent="0.3">
      <c r="B10" s="10" t="s">
        <v>61</v>
      </c>
      <c r="C10" s="2" t="s">
        <v>236</v>
      </c>
      <c r="D10" s="2" t="s">
        <v>251</v>
      </c>
      <c r="E10" s="2" t="s">
        <v>238</v>
      </c>
      <c r="F10" s="4">
        <v>6.2</v>
      </c>
      <c r="G10" s="37">
        <v>386.26</v>
      </c>
      <c r="H10" s="37">
        <v>331.26</v>
      </c>
      <c r="I10" s="37">
        <v>423.57</v>
      </c>
      <c r="J10" s="37">
        <v>303.27999999999997</v>
      </c>
      <c r="K10" s="37">
        <v>0</v>
      </c>
      <c r="L10" s="37">
        <v>304.83</v>
      </c>
      <c r="M10" s="37">
        <v>396.84</v>
      </c>
      <c r="N10" s="38">
        <v>488.71</v>
      </c>
      <c r="O10" s="38">
        <v>315.33</v>
      </c>
      <c r="P10" s="37">
        <v>442.02</v>
      </c>
      <c r="Q10" s="37">
        <v>500.92</v>
      </c>
      <c r="R10" s="37">
        <v>531.16999999999996</v>
      </c>
      <c r="S10" s="37">
        <v>432.53</v>
      </c>
      <c r="T10" s="37">
        <v>433.33</v>
      </c>
      <c r="U10" s="37">
        <v>530.48</v>
      </c>
      <c r="V10" s="37">
        <v>507.31</v>
      </c>
      <c r="W10" s="37">
        <v>551.21</v>
      </c>
      <c r="X10" s="6">
        <v>-4.5577560525322802E-3</v>
      </c>
      <c r="Y10" s="8">
        <v>1.557469901736086E-2</v>
      </c>
      <c r="Z10" s="8">
        <v>-1.2378664702128559E-2</v>
      </c>
      <c r="AA10" s="8">
        <v>6.2343392955637837E-2</v>
      </c>
    </row>
    <row r="11" spans="2:27" x14ac:dyDescent="0.3">
      <c r="B11" s="10" t="s">
        <v>55</v>
      </c>
      <c r="C11" s="2" t="s">
        <v>236</v>
      </c>
      <c r="D11" s="2" t="s">
        <v>247</v>
      </c>
      <c r="E11" s="2" t="s">
        <v>238</v>
      </c>
      <c r="F11" s="4">
        <v>5.2</v>
      </c>
      <c r="G11" s="37">
        <v>16.47</v>
      </c>
      <c r="H11" s="37">
        <v>9.52</v>
      </c>
      <c r="I11" s="37">
        <v>30.06</v>
      </c>
      <c r="J11" s="37">
        <v>19.329999999999998</v>
      </c>
      <c r="K11" s="37">
        <v>22.34</v>
      </c>
      <c r="L11" s="37">
        <v>8.84</v>
      </c>
      <c r="M11" s="37">
        <v>28.09</v>
      </c>
      <c r="N11" s="37">
        <v>18.309999999999999</v>
      </c>
      <c r="O11" s="38">
        <v>36.26</v>
      </c>
      <c r="P11" s="38">
        <v>30.83</v>
      </c>
      <c r="Q11" s="38">
        <v>40.19</v>
      </c>
      <c r="R11" s="38">
        <v>50.15</v>
      </c>
      <c r="S11" s="38">
        <v>57.86</v>
      </c>
      <c r="T11" s="38">
        <v>63.14</v>
      </c>
      <c r="U11" s="38">
        <v>62.99</v>
      </c>
      <c r="V11" s="37">
        <v>63.26</v>
      </c>
      <c r="W11" s="37">
        <v>70.83</v>
      </c>
      <c r="X11" s="9">
        <v>0.1804725465005865</v>
      </c>
      <c r="Y11" s="7">
        <v>0.1078830320810069</v>
      </c>
      <c r="Z11" s="8">
        <v>5.5992141453831128E-2</v>
      </c>
      <c r="AA11" s="8">
        <v>5.2457027300303549E-2</v>
      </c>
    </row>
    <row r="12" spans="2:27" x14ac:dyDescent="0.3">
      <c r="B12" s="10" t="s">
        <v>23</v>
      </c>
      <c r="C12" s="2" t="s">
        <v>236</v>
      </c>
      <c r="D12" s="2" t="s">
        <v>248</v>
      </c>
      <c r="E12" s="2" t="s">
        <v>238</v>
      </c>
      <c r="F12" s="4">
        <v>4.0999999999999996</v>
      </c>
      <c r="G12" s="37">
        <v>199.19</v>
      </c>
      <c r="H12" s="37">
        <v>248.34</v>
      </c>
      <c r="I12" s="37">
        <v>179.07</v>
      </c>
      <c r="J12" s="37">
        <v>244.83</v>
      </c>
      <c r="K12" s="37">
        <v>226.53</v>
      </c>
      <c r="L12" s="37">
        <v>280.39999999999998</v>
      </c>
      <c r="M12" s="38">
        <v>296.14</v>
      </c>
      <c r="N12" s="37">
        <v>275.27999999999997</v>
      </c>
      <c r="O12" s="37">
        <v>245.3</v>
      </c>
      <c r="P12" s="37">
        <v>298.95999999999998</v>
      </c>
      <c r="Q12" s="37">
        <v>325.3</v>
      </c>
      <c r="R12" s="37">
        <v>303.89</v>
      </c>
      <c r="S12" s="37">
        <v>261.69</v>
      </c>
      <c r="T12" s="37">
        <v>316.52999999999997</v>
      </c>
      <c r="U12" s="37">
        <v>373.05</v>
      </c>
      <c r="V12" s="37">
        <v>354.85</v>
      </c>
      <c r="W12" s="37">
        <v>315.61</v>
      </c>
      <c r="X12" s="6">
        <v>1.4766691319841209E-2</v>
      </c>
      <c r="Y12" s="8">
        <v>3.9547461094408647E-2</v>
      </c>
      <c r="Z12" s="8">
        <v>4.0600401542432829E-2</v>
      </c>
      <c r="AA12" s="8">
        <v>4.1282577404832647E-2</v>
      </c>
    </row>
    <row r="13" spans="2:27" x14ac:dyDescent="0.3">
      <c r="B13" s="10" t="s">
        <v>154</v>
      </c>
      <c r="C13" s="2" t="s">
        <v>236</v>
      </c>
      <c r="D13" s="2" t="s">
        <v>245</v>
      </c>
      <c r="E13" s="2" t="s">
        <v>246</v>
      </c>
      <c r="F13" s="4">
        <v>3.9</v>
      </c>
      <c r="G13" s="37">
        <v>16.489999999999998</v>
      </c>
      <c r="H13" s="37">
        <v>16.899999999999999</v>
      </c>
      <c r="I13" s="37">
        <v>18.11</v>
      </c>
      <c r="J13" s="37">
        <v>21.61</v>
      </c>
      <c r="K13" s="38">
        <v>26.62</v>
      </c>
      <c r="L13" s="38">
        <v>31.58</v>
      </c>
      <c r="M13" s="38">
        <v>34.68</v>
      </c>
      <c r="N13" s="38">
        <v>36.89</v>
      </c>
      <c r="O13" s="38">
        <v>41.24</v>
      </c>
      <c r="P13" s="37">
        <v>41.22</v>
      </c>
      <c r="Q13" s="37">
        <v>43.73</v>
      </c>
      <c r="R13" s="37">
        <v>42.6</v>
      </c>
      <c r="S13" s="37">
        <v>45.4</v>
      </c>
      <c r="T13" s="37">
        <v>43.67</v>
      </c>
      <c r="U13" s="37">
        <v>47.98</v>
      </c>
      <c r="V13" s="37">
        <v>50.04</v>
      </c>
      <c r="W13" s="37">
        <v>52.68</v>
      </c>
      <c r="X13" s="6">
        <v>1.416594391442616E-2</v>
      </c>
      <c r="Y13" s="8">
        <v>2.423033067274805E-2</v>
      </c>
      <c r="Z13" s="8">
        <v>4.1413860283885377E-2</v>
      </c>
      <c r="AA13" s="8">
        <v>3.8911753701427187E-2</v>
      </c>
    </row>
    <row r="14" spans="2:27" x14ac:dyDescent="0.3">
      <c r="B14" s="10" t="s">
        <v>44</v>
      </c>
      <c r="C14" s="2" t="s">
        <v>236</v>
      </c>
      <c r="D14" s="2" t="s">
        <v>256</v>
      </c>
      <c r="E14" s="2" t="s">
        <v>238</v>
      </c>
      <c r="F14" s="4">
        <v>3.5</v>
      </c>
      <c r="G14" s="37">
        <v>77.69</v>
      </c>
      <c r="H14" s="37">
        <v>89.27</v>
      </c>
      <c r="I14" s="37">
        <v>97.01</v>
      </c>
      <c r="J14" s="37">
        <v>101.73</v>
      </c>
      <c r="K14" s="37">
        <v>96.2</v>
      </c>
      <c r="L14" s="37">
        <v>96.39</v>
      </c>
      <c r="M14" s="37">
        <v>99.45</v>
      </c>
      <c r="N14" s="37">
        <v>115.82</v>
      </c>
      <c r="O14" s="37">
        <v>113.65</v>
      </c>
      <c r="P14" s="37">
        <v>29.42</v>
      </c>
      <c r="Q14" s="37">
        <v>110.7</v>
      </c>
      <c r="R14" s="37">
        <v>115.75</v>
      </c>
      <c r="S14" s="37">
        <v>120.48</v>
      </c>
      <c r="T14" s="38">
        <v>132.5</v>
      </c>
      <c r="U14" s="37">
        <v>124.27</v>
      </c>
      <c r="V14" s="37">
        <v>131.31</v>
      </c>
      <c r="W14" s="37">
        <v>138.49</v>
      </c>
      <c r="X14" s="9">
        <v>0.27389398166600237</v>
      </c>
      <c r="Y14" s="8">
        <v>2.8304444861606552E-2</v>
      </c>
      <c r="Z14" s="8">
        <v>3.1561866125760618E-2</v>
      </c>
      <c r="AA14" s="8">
        <v>3.5413717162183563E-2</v>
      </c>
    </row>
    <row r="15" spans="2:27" x14ac:dyDescent="0.3">
      <c r="B15" s="10" t="s">
        <v>89</v>
      </c>
      <c r="C15" s="2" t="s">
        <v>236</v>
      </c>
      <c r="D15" s="2" t="s">
        <v>252</v>
      </c>
      <c r="E15" s="2" t="s">
        <v>238</v>
      </c>
      <c r="F15" s="4">
        <v>3.2</v>
      </c>
      <c r="G15" s="37">
        <v>9.65</v>
      </c>
      <c r="H15" s="37">
        <v>10.83</v>
      </c>
      <c r="I15" s="37">
        <v>12.63</v>
      </c>
      <c r="J15" s="37">
        <v>19.05</v>
      </c>
      <c r="K15" s="37">
        <v>12.27</v>
      </c>
      <c r="L15" s="38">
        <v>19.84</v>
      </c>
      <c r="M15" s="38">
        <v>22.81</v>
      </c>
      <c r="N15" s="37">
        <v>23.8</v>
      </c>
      <c r="O15" s="37">
        <v>18.97</v>
      </c>
      <c r="P15" s="37">
        <v>25.76</v>
      </c>
      <c r="Q15" s="37">
        <v>29.94</v>
      </c>
      <c r="R15" s="38">
        <v>38.14</v>
      </c>
      <c r="S15" s="38">
        <v>31.09</v>
      </c>
      <c r="T15" s="38">
        <v>39.89</v>
      </c>
      <c r="U15" s="37">
        <v>35.69</v>
      </c>
      <c r="V15" s="37">
        <v>46.26</v>
      </c>
      <c r="W15" s="37">
        <v>36.01</v>
      </c>
      <c r="X15" s="9">
        <v>0.1131033378692068</v>
      </c>
      <c r="Y15" s="8">
        <v>4.1349057960592628E-2</v>
      </c>
      <c r="Z15" s="8">
        <v>5.6073475588702459E-2</v>
      </c>
      <c r="AA15" s="8">
        <v>3.2171581769437019E-2</v>
      </c>
    </row>
    <row r="16" spans="2:27" x14ac:dyDescent="0.3">
      <c r="B16" s="10" t="s">
        <v>53</v>
      </c>
      <c r="C16" s="2" t="s">
        <v>236</v>
      </c>
      <c r="D16" s="2" t="s">
        <v>248</v>
      </c>
      <c r="E16" s="2" t="s">
        <v>238</v>
      </c>
      <c r="F16" s="4">
        <v>2.5</v>
      </c>
      <c r="G16" s="37">
        <v>346.63</v>
      </c>
      <c r="H16" s="37">
        <v>303.39999999999998</v>
      </c>
      <c r="I16" s="37">
        <v>263.12</v>
      </c>
      <c r="J16" s="37">
        <v>134.44999999999999</v>
      </c>
      <c r="K16" s="37">
        <v>175.25</v>
      </c>
      <c r="L16" s="37">
        <v>95.72</v>
      </c>
      <c r="M16" s="37">
        <v>108.02</v>
      </c>
      <c r="N16" s="37">
        <v>92.8</v>
      </c>
      <c r="O16" s="37">
        <v>86.41</v>
      </c>
      <c r="P16" s="37">
        <v>73.09</v>
      </c>
      <c r="Q16" s="37">
        <v>104.32</v>
      </c>
      <c r="R16" s="37">
        <v>101.38</v>
      </c>
      <c r="S16" s="38">
        <v>136.46</v>
      </c>
      <c r="T16" s="37">
        <v>81.180000000000007</v>
      </c>
      <c r="U16" s="37">
        <v>103.1</v>
      </c>
      <c r="V16" s="37">
        <v>96.37</v>
      </c>
      <c r="W16" s="37">
        <v>146.93</v>
      </c>
      <c r="X16" s="6">
        <v>1.9482239614690089E-2</v>
      </c>
      <c r="Y16" s="8">
        <v>-2.8818443804035092E-3</v>
      </c>
      <c r="Z16" s="8">
        <v>-1.1868662939448439E-2</v>
      </c>
      <c r="AA16" s="8">
        <v>2.5101292225072621E-2</v>
      </c>
    </row>
    <row r="17" spans="2:27" x14ac:dyDescent="0.3">
      <c r="B17" s="10" t="s">
        <v>19</v>
      </c>
      <c r="C17" s="2" t="s">
        <v>236</v>
      </c>
      <c r="D17" s="2" t="s">
        <v>249</v>
      </c>
      <c r="E17" s="2" t="s">
        <v>238</v>
      </c>
      <c r="F17" s="4">
        <v>1.8</v>
      </c>
      <c r="G17" s="37">
        <v>589.42999999999995</v>
      </c>
      <c r="H17" s="37">
        <v>620.39</v>
      </c>
      <c r="I17" s="37">
        <v>626.76</v>
      </c>
      <c r="J17" s="37">
        <v>652.20000000000005</v>
      </c>
      <c r="K17" s="37">
        <v>684.21</v>
      </c>
      <c r="L17" s="37">
        <v>662.72</v>
      </c>
      <c r="M17" s="37">
        <v>657.93</v>
      </c>
      <c r="N17" s="37">
        <v>694.23</v>
      </c>
      <c r="O17" s="37">
        <v>792.14</v>
      </c>
      <c r="P17" s="37">
        <v>735.18</v>
      </c>
      <c r="Q17" s="37">
        <v>754.1</v>
      </c>
      <c r="R17" s="37">
        <v>767.77</v>
      </c>
      <c r="S17" s="37">
        <v>835.75</v>
      </c>
      <c r="T17" s="37">
        <v>727.62</v>
      </c>
      <c r="U17" s="37">
        <v>744.2</v>
      </c>
      <c r="V17" s="37">
        <v>812.91</v>
      </c>
      <c r="W17" s="37">
        <v>890.67</v>
      </c>
      <c r="X17" s="6">
        <v>-2.4443869632696509E-3</v>
      </c>
      <c r="Y17" s="8">
        <v>-3.2088265418572788E-3</v>
      </c>
      <c r="Z17" s="8">
        <v>1.467805185768079E-2</v>
      </c>
      <c r="AA17" s="8">
        <v>1.7599856432343849E-2</v>
      </c>
    </row>
    <row r="18" spans="2:27" x14ac:dyDescent="0.3">
      <c r="B18" s="10" t="s">
        <v>84</v>
      </c>
      <c r="C18" s="2" t="s">
        <v>236</v>
      </c>
      <c r="D18" s="2" t="s">
        <v>257</v>
      </c>
      <c r="E18" s="2" t="s">
        <v>238</v>
      </c>
      <c r="F18" s="4">
        <v>0.9</v>
      </c>
      <c r="G18" s="37">
        <v>199.9</v>
      </c>
      <c r="H18" s="37">
        <v>195.5</v>
      </c>
      <c r="I18" s="37">
        <v>195.3</v>
      </c>
      <c r="J18" s="37">
        <v>204</v>
      </c>
      <c r="K18" s="37">
        <v>196.4</v>
      </c>
      <c r="L18" s="37">
        <v>188.7</v>
      </c>
      <c r="M18" s="37">
        <v>198.1</v>
      </c>
      <c r="N18" s="37">
        <v>220</v>
      </c>
      <c r="O18" s="37">
        <v>210.1</v>
      </c>
      <c r="P18" s="37">
        <v>222</v>
      </c>
      <c r="Q18" s="37">
        <v>222.3</v>
      </c>
      <c r="R18" s="37">
        <v>231.7</v>
      </c>
      <c r="S18" s="37">
        <v>243</v>
      </c>
      <c r="T18" s="37">
        <v>237.4</v>
      </c>
      <c r="U18" s="37">
        <v>260.2</v>
      </c>
      <c r="V18" s="37">
        <v>258.89999999999998</v>
      </c>
      <c r="W18" s="37">
        <v>251.6</v>
      </c>
      <c r="X18" s="6">
        <v>1.6757344940152349E-2</v>
      </c>
      <c r="Y18" s="8">
        <v>4.0560787671232827E-2</v>
      </c>
      <c r="Z18" s="8">
        <v>2.7974904864753739E-2</v>
      </c>
      <c r="AA18" s="8">
        <v>8.6043021510755491E-3</v>
      </c>
    </row>
    <row r="19" spans="2:27" x14ac:dyDescent="0.3">
      <c r="B19" s="10" t="s">
        <v>21</v>
      </c>
      <c r="C19" s="2" t="s">
        <v>236</v>
      </c>
      <c r="D19" s="2" t="s">
        <v>247</v>
      </c>
      <c r="E19" s="2" t="s">
        <v>238</v>
      </c>
      <c r="F19" s="4">
        <v>-0.9</v>
      </c>
      <c r="G19" s="37">
        <v>832</v>
      </c>
      <c r="H19" s="37">
        <v>872</v>
      </c>
      <c r="I19" s="37">
        <v>943</v>
      </c>
      <c r="J19" s="37">
        <v>1002</v>
      </c>
      <c r="K19" s="37">
        <v>962</v>
      </c>
      <c r="L19" s="37">
        <v>843</v>
      </c>
      <c r="M19" s="37">
        <v>937</v>
      </c>
      <c r="N19" s="37">
        <v>988</v>
      </c>
      <c r="O19" s="37">
        <v>978</v>
      </c>
      <c r="P19" s="37">
        <v>863</v>
      </c>
      <c r="Q19" s="37">
        <v>902</v>
      </c>
      <c r="R19" s="37">
        <v>990</v>
      </c>
      <c r="S19" s="37">
        <v>771</v>
      </c>
      <c r="T19" s="37">
        <v>737</v>
      </c>
      <c r="U19" s="37">
        <v>754</v>
      </c>
      <c r="V19" s="37">
        <v>896</v>
      </c>
      <c r="W19" s="37">
        <v>744</v>
      </c>
      <c r="X19" s="6">
        <v>-3.5734543391945588E-2</v>
      </c>
      <c r="Y19" s="8">
        <v>-4.3529411764705928E-2</v>
      </c>
      <c r="Z19" s="8">
        <v>-2.8905289052890581E-2</v>
      </c>
      <c r="AA19" s="8">
        <v>-8.5497150094996366E-3</v>
      </c>
    </row>
    <row r="20" spans="2:27" x14ac:dyDescent="0.3">
      <c r="B20" s="10" t="s">
        <v>125</v>
      </c>
      <c r="C20" s="2" t="s">
        <v>236</v>
      </c>
      <c r="D20" s="2" t="s">
        <v>248</v>
      </c>
      <c r="E20" s="2" t="s">
        <v>243</v>
      </c>
      <c r="F20" s="4">
        <v>-1.3</v>
      </c>
      <c r="G20" s="37">
        <v>-58.77</v>
      </c>
      <c r="H20" s="37">
        <v>-66.819999999999993</v>
      </c>
      <c r="I20" s="37">
        <v>-65.39</v>
      </c>
      <c r="J20" s="37">
        <v>-58.05</v>
      </c>
      <c r="K20" s="37">
        <v>-48.77</v>
      </c>
      <c r="L20" s="37">
        <v>-62.83</v>
      </c>
      <c r="M20" s="37">
        <v>-48.69</v>
      </c>
      <c r="N20" s="37">
        <v>-46.62</v>
      </c>
      <c r="O20" s="37">
        <v>-46.98</v>
      </c>
      <c r="P20" s="37">
        <v>-48.89</v>
      </c>
      <c r="Q20" s="37">
        <v>-43.99</v>
      </c>
      <c r="R20" s="37">
        <v>-36.04</v>
      </c>
      <c r="S20" s="37">
        <v>-34.64</v>
      </c>
      <c r="T20" s="37">
        <v>-41.56</v>
      </c>
      <c r="U20" s="37">
        <v>-30.12</v>
      </c>
      <c r="V20" s="37">
        <v>-29.93</v>
      </c>
      <c r="W20" s="37">
        <v>-32.9</v>
      </c>
      <c r="X20" s="6">
        <v>-4.4815358278307522E-2</v>
      </c>
      <c r="Y20" s="8">
        <v>-8.8779363758561103E-2</v>
      </c>
      <c r="Z20" s="8">
        <v>-4.2919359370609873E-2</v>
      </c>
      <c r="AA20" s="8">
        <v>-1.2770642201834881E-2</v>
      </c>
    </row>
    <row r="21" spans="2:27" x14ac:dyDescent="0.3">
      <c r="B21" s="10" t="s">
        <v>12</v>
      </c>
      <c r="C21" s="2" t="s">
        <v>236</v>
      </c>
      <c r="D21" s="2" t="s">
        <v>253</v>
      </c>
      <c r="E21" s="2" t="s">
        <v>243</v>
      </c>
      <c r="F21" s="4">
        <v>-1.9</v>
      </c>
      <c r="G21" s="37">
        <v>2212</v>
      </c>
      <c r="H21" s="37">
        <v>1616</v>
      </c>
      <c r="I21" s="37">
        <v>2445</v>
      </c>
      <c r="J21" s="37">
        <v>559</v>
      </c>
      <c r="K21" s="37">
        <v>2079</v>
      </c>
      <c r="L21" s="38">
        <v>2359</v>
      </c>
      <c r="M21" s="37">
        <v>2728</v>
      </c>
      <c r="N21" s="38">
        <v>2166</v>
      </c>
      <c r="O21" s="38">
        <v>3036</v>
      </c>
      <c r="P21" s="37">
        <v>2982</v>
      </c>
      <c r="Q21" s="37">
        <v>3453</v>
      </c>
      <c r="R21" s="37">
        <v>2847</v>
      </c>
      <c r="S21" s="37">
        <v>4144</v>
      </c>
      <c r="T21" s="37">
        <v>3571</v>
      </c>
      <c r="U21" s="37">
        <v>3712</v>
      </c>
      <c r="V21" s="37">
        <v>2666</v>
      </c>
      <c r="W21" s="37">
        <v>3875</v>
      </c>
      <c r="X21" s="6">
        <v>4.3870102785639853E-2</v>
      </c>
      <c r="Y21" s="8">
        <v>1.8480199785943618E-2</v>
      </c>
      <c r="Z21" s="8">
        <v>-1.2680397926299601E-2</v>
      </c>
      <c r="AA21" s="8">
        <v>-1.9087490243383191E-2</v>
      </c>
    </row>
    <row r="22" spans="2:27" x14ac:dyDescent="0.3">
      <c r="B22" s="10" t="s">
        <v>76</v>
      </c>
      <c r="C22" s="2" t="s">
        <v>236</v>
      </c>
      <c r="D22" s="2" t="s">
        <v>258</v>
      </c>
      <c r="E22" s="2" t="s">
        <v>238</v>
      </c>
      <c r="F22" s="4">
        <v>-2.2000000000000002</v>
      </c>
      <c r="G22" s="37">
        <v>272.83999999999997</v>
      </c>
      <c r="H22" s="37">
        <v>256.45999999999998</v>
      </c>
      <c r="I22" s="37">
        <v>335.74</v>
      </c>
      <c r="J22" s="37">
        <v>336.2</v>
      </c>
      <c r="K22" s="37">
        <v>249.89</v>
      </c>
      <c r="L22" s="37">
        <v>204.98</v>
      </c>
      <c r="M22" s="37">
        <v>251.76</v>
      </c>
      <c r="N22" s="37">
        <v>243.65</v>
      </c>
      <c r="O22" s="37">
        <v>238.75</v>
      </c>
      <c r="P22" s="37">
        <v>228.78</v>
      </c>
      <c r="Q22" s="37">
        <v>268.72000000000003</v>
      </c>
      <c r="R22" s="37">
        <v>263.2</v>
      </c>
      <c r="S22" s="37">
        <v>243.61</v>
      </c>
      <c r="T22" s="37">
        <v>243.58</v>
      </c>
      <c r="U22" s="37">
        <v>254.99</v>
      </c>
      <c r="V22" s="37">
        <v>243.97</v>
      </c>
      <c r="W22" s="37">
        <v>221.61</v>
      </c>
      <c r="X22" s="6">
        <v>1.473648574643294E-2</v>
      </c>
      <c r="Y22" s="8">
        <v>-1.3472539765089111E-2</v>
      </c>
      <c r="Z22" s="8">
        <v>-1.9127096222323781E-2</v>
      </c>
      <c r="AA22" s="8">
        <v>-2.230897936419407E-2</v>
      </c>
    </row>
    <row r="23" spans="2:27" x14ac:dyDescent="0.3">
      <c r="B23" s="10" t="s">
        <v>38</v>
      </c>
      <c r="C23" s="2" t="s">
        <v>236</v>
      </c>
      <c r="D23" s="2" t="s">
        <v>255</v>
      </c>
      <c r="E23" s="2" t="s">
        <v>238</v>
      </c>
      <c r="F23" s="4">
        <v>-3.8</v>
      </c>
      <c r="G23" s="37">
        <v>278</v>
      </c>
      <c r="H23" s="37">
        <v>283</v>
      </c>
      <c r="I23" s="37">
        <v>172</v>
      </c>
      <c r="J23" s="37">
        <v>484</v>
      </c>
      <c r="K23" s="38">
        <v>482</v>
      </c>
      <c r="L23" s="37">
        <v>371</v>
      </c>
      <c r="M23" s="38">
        <v>465</v>
      </c>
      <c r="N23" s="37">
        <v>494</v>
      </c>
      <c r="O23" s="37">
        <v>510</v>
      </c>
      <c r="P23" s="37">
        <v>484</v>
      </c>
      <c r="Q23" s="37">
        <v>547</v>
      </c>
      <c r="R23" s="37">
        <v>535</v>
      </c>
      <c r="S23" s="37">
        <v>545</v>
      </c>
      <c r="T23" s="37">
        <v>515</v>
      </c>
      <c r="U23" s="37">
        <v>573</v>
      </c>
      <c r="V23" s="37">
        <v>596</v>
      </c>
      <c r="W23" s="37">
        <v>461</v>
      </c>
      <c r="X23" s="6">
        <v>1.4684983420180099E-2</v>
      </c>
      <c r="Y23" s="8">
        <v>1.2138188608776799E-2</v>
      </c>
      <c r="Z23" s="8">
        <v>2.8136531365313688E-2</v>
      </c>
      <c r="AA23" s="8">
        <v>-3.7685060565275867E-2</v>
      </c>
    </row>
    <row r="24" spans="2:27" x14ac:dyDescent="0.3">
      <c r="B24" s="10" t="s">
        <v>110</v>
      </c>
      <c r="C24" s="2" t="s">
        <v>236</v>
      </c>
      <c r="D24" s="2" t="s">
        <v>260</v>
      </c>
      <c r="E24" s="2" t="s">
        <v>243</v>
      </c>
      <c r="F24" s="4">
        <v>-12.1</v>
      </c>
      <c r="G24" s="37">
        <v>43</v>
      </c>
      <c r="H24" s="37">
        <v>92</v>
      </c>
      <c r="I24" s="37">
        <v>74</v>
      </c>
      <c r="J24" s="37">
        <v>102</v>
      </c>
      <c r="K24" s="37">
        <v>40</v>
      </c>
      <c r="L24" s="37">
        <v>81</v>
      </c>
      <c r="M24" s="37">
        <v>56</v>
      </c>
      <c r="N24" s="37">
        <v>-9</v>
      </c>
      <c r="O24" s="37">
        <v>6</v>
      </c>
      <c r="P24" s="37">
        <v>19</v>
      </c>
      <c r="Q24" s="37">
        <v>51</v>
      </c>
      <c r="R24" s="38">
        <v>48</v>
      </c>
      <c r="S24" s="37">
        <v>7</v>
      </c>
      <c r="T24" s="38">
        <v>32</v>
      </c>
      <c r="U24" s="37">
        <v>34</v>
      </c>
      <c r="V24" s="38">
        <v>68</v>
      </c>
      <c r="W24" s="37">
        <v>-10</v>
      </c>
      <c r="X24" s="9">
        <v>0.10400000000000011</v>
      </c>
      <c r="Y24" s="8">
        <v>-0.1231884057971014</v>
      </c>
      <c r="Z24" s="7">
        <v>0.165289256198347</v>
      </c>
      <c r="AA24" s="8">
        <v>-0.1205673758865248</v>
      </c>
    </row>
    <row r="25" spans="2:27" x14ac:dyDescent="0.3">
      <c r="B25" s="10" t="s">
        <v>206</v>
      </c>
      <c r="C25" s="2" t="s">
        <v>236</v>
      </c>
      <c r="D25" s="2" t="s">
        <v>259</v>
      </c>
      <c r="E25" s="2" t="s">
        <v>238</v>
      </c>
      <c r="F25" s="4">
        <v>-12.3</v>
      </c>
      <c r="G25" s="37">
        <v>24.67</v>
      </c>
      <c r="H25" s="37">
        <v>27.74</v>
      </c>
      <c r="I25" s="37">
        <v>33.85</v>
      </c>
      <c r="J25" s="37">
        <v>31.32</v>
      </c>
      <c r="K25" s="37">
        <v>23.95</v>
      </c>
      <c r="L25" s="37">
        <v>23.4</v>
      </c>
      <c r="M25" s="37">
        <v>25.93</v>
      </c>
      <c r="N25" s="37">
        <v>21.87</v>
      </c>
      <c r="O25" s="37">
        <v>15.92</v>
      </c>
      <c r="P25" s="37">
        <v>15.73</v>
      </c>
      <c r="Q25" s="37">
        <v>19.7</v>
      </c>
      <c r="R25" s="37">
        <v>18.72</v>
      </c>
      <c r="S25" s="37">
        <v>15.58</v>
      </c>
      <c r="T25" s="37">
        <v>11.63</v>
      </c>
      <c r="U25" s="37">
        <v>14.89</v>
      </c>
      <c r="V25" s="37">
        <v>15</v>
      </c>
      <c r="W25" s="37">
        <v>8.56</v>
      </c>
      <c r="X25" s="6">
        <v>-5.8798221712319083E-2</v>
      </c>
      <c r="Y25" s="8">
        <v>-7.3289654121590719E-2</v>
      </c>
      <c r="Z25" s="8">
        <v>-6.1164090759618477E-2</v>
      </c>
      <c r="AA25" s="8">
        <v>-0.1229422066549913</v>
      </c>
    </row>
    <row r="26" spans="2:27" x14ac:dyDescent="0.3">
      <c r="B26" s="10" t="s">
        <v>34</v>
      </c>
      <c r="C26" s="2" t="s">
        <v>236</v>
      </c>
      <c r="D26" s="2" t="s">
        <v>254</v>
      </c>
      <c r="E26" s="2" t="s">
        <v>243</v>
      </c>
      <c r="F26" s="4">
        <v>-15</v>
      </c>
      <c r="G26" s="37">
        <v>1432</v>
      </c>
      <c r="H26" s="37">
        <v>1161</v>
      </c>
      <c r="I26" s="37">
        <v>998</v>
      </c>
      <c r="J26" s="37">
        <v>816</v>
      </c>
      <c r="K26" s="37">
        <v>453</v>
      </c>
      <c r="L26" s="37">
        <v>65</v>
      </c>
      <c r="M26" s="37">
        <v>141</v>
      </c>
      <c r="N26" s="37">
        <v>113</v>
      </c>
      <c r="O26" s="37">
        <v>386</v>
      </c>
      <c r="P26" s="38">
        <v>405</v>
      </c>
      <c r="Q26" s="38">
        <v>491</v>
      </c>
      <c r="R26" s="38">
        <v>440</v>
      </c>
      <c r="S26" s="38">
        <v>659</v>
      </c>
      <c r="T26" s="37">
        <v>515</v>
      </c>
      <c r="U26" s="37">
        <v>505</v>
      </c>
      <c r="V26" s="37">
        <v>-69</v>
      </c>
      <c r="W26" s="37">
        <v>417</v>
      </c>
      <c r="X26" s="6">
        <v>5.513784461152893E-2</v>
      </c>
      <c r="Y26" s="8">
        <v>6.6508313539193056E-3</v>
      </c>
      <c r="Z26" s="8">
        <v>-0.24020764511562051</v>
      </c>
      <c r="AA26" s="8">
        <v>-0.15031055900621121</v>
      </c>
    </row>
    <row r="27" spans="2:27" x14ac:dyDescent="0.3">
      <c r="B27" s="10" t="s">
        <v>169</v>
      </c>
      <c r="C27" s="2" t="s">
        <v>236</v>
      </c>
      <c r="D27" s="2" t="s">
        <v>262</v>
      </c>
      <c r="E27" s="2" t="s">
        <v>238</v>
      </c>
      <c r="F27" s="4">
        <v>-129.4</v>
      </c>
      <c r="G27" s="37">
        <v>1.48</v>
      </c>
      <c r="H27" s="37">
        <v>334.76</v>
      </c>
      <c r="I27" s="37">
        <v>-44.08</v>
      </c>
      <c r="J27" s="37">
        <v>303.66000000000003</v>
      </c>
      <c r="K27" s="37">
        <v>-269.08999999999997</v>
      </c>
      <c r="L27" s="37">
        <v>-175.3</v>
      </c>
      <c r="M27" s="37">
        <v>222.16</v>
      </c>
      <c r="N27" s="38">
        <v>354.05</v>
      </c>
      <c r="O27" s="37">
        <v>-459.45</v>
      </c>
      <c r="P27" s="37">
        <v>216.76</v>
      </c>
      <c r="Q27" s="37">
        <v>69.709999999999994</v>
      </c>
      <c r="R27" s="37">
        <v>-248.84</v>
      </c>
      <c r="S27" s="37">
        <v>308.94</v>
      </c>
      <c r="T27" s="37">
        <v>-78.52</v>
      </c>
      <c r="U27" s="37">
        <v>-57.45</v>
      </c>
      <c r="V27" s="37">
        <v>52.41</v>
      </c>
      <c r="W27" s="37">
        <v>17.29</v>
      </c>
      <c r="X27" s="6">
        <v>-0.85200680959113595</v>
      </c>
      <c r="Y27" s="8">
        <v>-2.479235718463638</v>
      </c>
      <c r="Z27" s="8">
        <v>-3.970607618294451</v>
      </c>
      <c r="AA27" s="8">
        <v>-1.2940367379536779</v>
      </c>
    </row>
    <row r="28" spans="2:27" x14ac:dyDescent="0.3">
      <c r="B28" s="36">
        <v>2811</v>
      </c>
      <c r="C28" s="26" t="s">
        <v>263</v>
      </c>
      <c r="D28" s="26" t="str">
        <f>VLOOKUP(B28,기업리스트!B:G,2,FALSE)</f>
        <v>Kagome Co., Ltd.</v>
      </c>
      <c r="E28" s="2" t="s">
        <v>238</v>
      </c>
      <c r="F28" s="27">
        <v>107</v>
      </c>
      <c r="G28" s="39">
        <v>2180</v>
      </c>
      <c r="H28" s="39">
        <v>2149</v>
      </c>
      <c r="I28" s="39">
        <v>3159</v>
      </c>
      <c r="J28" s="39">
        <v>4253</v>
      </c>
      <c r="K28" s="39">
        <v>2390</v>
      </c>
      <c r="L28" s="39">
        <v>3144</v>
      </c>
      <c r="M28" s="40">
        <v>5039</v>
      </c>
      <c r="N28" s="40">
        <v>6011</v>
      </c>
      <c r="O28" s="39">
        <v>3327</v>
      </c>
      <c r="P28" s="40">
        <v>15195</v>
      </c>
      <c r="Q28" s="40">
        <v>10110</v>
      </c>
      <c r="R28" s="39">
        <v>8169</v>
      </c>
      <c r="S28" s="39">
        <v>-6737</v>
      </c>
      <c r="T28" s="39">
        <v>4791</v>
      </c>
      <c r="U28" s="39">
        <v>5734</v>
      </c>
      <c r="V28" s="39">
        <v>6992</v>
      </c>
      <c r="W28" s="40">
        <v>4795</v>
      </c>
      <c r="X28" s="30">
        <v>-0.3891236862774432</v>
      </c>
      <c r="Y28" s="31">
        <v>-0.26792383518030982</v>
      </c>
      <c r="Z28" s="31">
        <v>-9.8436062557497706E-2</v>
      </c>
      <c r="AA28" s="32">
        <v>1.0697588126159561</v>
      </c>
    </row>
    <row r="29" spans="2:27" x14ac:dyDescent="0.3">
      <c r="B29" s="10">
        <v>6971</v>
      </c>
      <c r="C29" s="2" t="s">
        <v>263</v>
      </c>
      <c r="D29" s="2" t="str">
        <f>VLOOKUP(B29,기업리스트!B:G,2,FALSE)</f>
        <v>Kyocera Corporation</v>
      </c>
      <c r="E29" s="2" t="s">
        <v>246</v>
      </c>
      <c r="F29" s="25">
        <v>75.900000000000006</v>
      </c>
      <c r="G29" s="37">
        <v>42779</v>
      </c>
      <c r="H29" s="37">
        <v>30452</v>
      </c>
      <c r="I29" s="37">
        <v>41428</v>
      </c>
      <c r="J29" s="37">
        <v>35060</v>
      </c>
      <c r="K29" s="37">
        <v>37396</v>
      </c>
      <c r="L29" s="37">
        <v>14633</v>
      </c>
      <c r="M29" s="37">
        <v>25677</v>
      </c>
      <c r="N29" s="37">
        <v>28325</v>
      </c>
      <c r="O29" s="37">
        <v>25842</v>
      </c>
      <c r="P29" s="37">
        <v>13079</v>
      </c>
      <c r="Q29" s="37">
        <v>20956</v>
      </c>
      <c r="R29" s="37">
        <v>16920</v>
      </c>
      <c r="S29" s="37">
        <v>-25601</v>
      </c>
      <c r="T29" s="38">
        <v>55172</v>
      </c>
      <c r="U29" s="37">
        <v>18550</v>
      </c>
      <c r="V29" s="37">
        <v>23395</v>
      </c>
      <c r="W29" s="38">
        <v>28676</v>
      </c>
      <c r="X29" s="9">
        <v>1.660211406484184</v>
      </c>
      <c r="Y29" s="8">
        <v>-3.5672453926786973E-2</v>
      </c>
      <c r="Z29" s="8">
        <v>9.9552589904829292E-2</v>
      </c>
      <c r="AA29" s="7">
        <v>0.75894904636724658</v>
      </c>
    </row>
    <row r="30" spans="2:27" x14ac:dyDescent="0.3">
      <c r="B30" s="10">
        <v>7241</v>
      </c>
      <c r="C30" s="2" t="s">
        <v>263</v>
      </c>
      <c r="D30" s="2" t="str">
        <f>VLOOKUP(B30,기업리스트!B:G,2,FALSE)</f>
        <v>Futaba Industrial Co., Ltd.</v>
      </c>
      <c r="E30" s="2" t="s">
        <v>241</v>
      </c>
      <c r="F30" s="25">
        <v>16.399999999999999</v>
      </c>
      <c r="G30" s="37">
        <v>-1909</v>
      </c>
      <c r="H30" s="37">
        <v>940</v>
      </c>
      <c r="I30" s="37">
        <v>3878</v>
      </c>
      <c r="J30" s="37">
        <v>-2008</v>
      </c>
      <c r="K30" s="38">
        <v>1718</v>
      </c>
      <c r="L30" s="38">
        <v>2764</v>
      </c>
      <c r="M30" s="38">
        <v>5208</v>
      </c>
      <c r="N30" s="38">
        <v>4730</v>
      </c>
      <c r="O30" s="38">
        <v>4716</v>
      </c>
      <c r="P30" s="38">
        <v>6565</v>
      </c>
      <c r="Q30" s="37">
        <v>3202</v>
      </c>
      <c r="R30" s="37">
        <v>3615</v>
      </c>
      <c r="S30" s="37">
        <v>1832</v>
      </c>
      <c r="T30" s="37">
        <v>4466</v>
      </c>
      <c r="U30" s="38">
        <v>5265</v>
      </c>
      <c r="V30" s="37">
        <v>4192</v>
      </c>
      <c r="W30" s="38">
        <v>4417</v>
      </c>
      <c r="X30" s="6">
        <v>-0.1379650322071776</v>
      </c>
      <c r="Y30" s="7">
        <v>0.15730080060998849</v>
      </c>
      <c r="Z30" s="8">
        <v>3.8015548820661493E-2</v>
      </c>
      <c r="AA30" s="7">
        <v>0.16407489685814031</v>
      </c>
    </row>
    <row r="31" spans="2:27" x14ac:dyDescent="0.3">
      <c r="B31" s="10">
        <v>8386</v>
      </c>
      <c r="C31" s="2" t="s">
        <v>263</v>
      </c>
      <c r="D31" s="2" t="str">
        <f>VLOOKUP(B31,기업리스트!B:G,2,FALSE)</f>
        <v>The Hyakujushi Bank, Ltd.</v>
      </c>
      <c r="E31" s="2" t="s">
        <v>241</v>
      </c>
      <c r="F31" s="25">
        <v>15.4</v>
      </c>
      <c r="G31" s="37">
        <v>4702</v>
      </c>
      <c r="H31" s="37">
        <v>4792</v>
      </c>
      <c r="I31" s="37">
        <v>479</v>
      </c>
      <c r="J31" s="37">
        <v>5110</v>
      </c>
      <c r="K31" s="37">
        <v>3616</v>
      </c>
      <c r="L31" s="37">
        <v>2197</v>
      </c>
      <c r="M31" s="38">
        <v>2285</v>
      </c>
      <c r="N31" s="37">
        <v>5688</v>
      </c>
      <c r="O31" s="37">
        <v>1616</v>
      </c>
      <c r="P31" s="38">
        <v>3488</v>
      </c>
      <c r="Q31" s="37">
        <v>3489</v>
      </c>
      <c r="R31" s="37">
        <v>4955</v>
      </c>
      <c r="S31" s="38">
        <v>3016</v>
      </c>
      <c r="T31" s="38">
        <v>5576</v>
      </c>
      <c r="U31" s="37">
        <v>4050</v>
      </c>
      <c r="V31" s="37">
        <v>6603</v>
      </c>
      <c r="W31" s="38">
        <v>5971</v>
      </c>
      <c r="X31" s="9">
        <v>0.13968423869413971</v>
      </c>
      <c r="Y31" s="8">
        <v>3.2930265320497698E-2</v>
      </c>
      <c r="Z31" s="8">
        <v>9.3652327101210409E-2</v>
      </c>
      <c r="AA31" s="7">
        <v>0.15354637568199531</v>
      </c>
    </row>
    <row r="32" spans="2:27" x14ac:dyDescent="0.3">
      <c r="B32" s="10">
        <v>2281</v>
      </c>
      <c r="C32" s="2" t="s">
        <v>263</v>
      </c>
      <c r="D32" s="2" t="str">
        <f>VLOOKUP(B32,기업리스트!B:G,2,FALSE)</f>
        <v>Prima Meat Packers, Ltd.</v>
      </c>
      <c r="E32" s="2" t="s">
        <v>246</v>
      </c>
      <c r="F32" s="25">
        <v>14.4</v>
      </c>
      <c r="G32" s="37">
        <v>3521</v>
      </c>
      <c r="H32" s="37">
        <v>1450</v>
      </c>
      <c r="I32" s="37">
        <v>3406</v>
      </c>
      <c r="J32" s="37">
        <v>2066</v>
      </c>
      <c r="K32" s="37">
        <v>3291</v>
      </c>
      <c r="L32" s="37">
        <v>919</v>
      </c>
      <c r="M32" s="37">
        <v>3608</v>
      </c>
      <c r="N32" s="38">
        <v>3223</v>
      </c>
      <c r="O32" s="37">
        <v>3561</v>
      </c>
      <c r="P32" s="37">
        <v>1428</v>
      </c>
      <c r="Q32" s="37">
        <v>3347</v>
      </c>
      <c r="R32" s="37">
        <v>2839</v>
      </c>
      <c r="S32" s="37">
        <v>2088</v>
      </c>
      <c r="T32" s="37">
        <v>675</v>
      </c>
      <c r="U32" s="37">
        <v>2530</v>
      </c>
      <c r="V32" s="37">
        <v>2381</v>
      </c>
      <c r="W32" s="38">
        <v>3190</v>
      </c>
      <c r="X32" s="6">
        <v>-7.7612863327149006E-2</v>
      </c>
      <c r="Y32" s="8">
        <v>-9.1295116772823759E-2</v>
      </c>
      <c r="Z32" s="8">
        <v>-5.6320708312838197E-2</v>
      </c>
      <c r="AA32" s="7">
        <v>0.14360177221787859</v>
      </c>
    </row>
    <row r="33" spans="2:27" x14ac:dyDescent="0.3">
      <c r="B33" s="10">
        <v>8370</v>
      </c>
      <c r="C33" s="2" t="s">
        <v>263</v>
      </c>
      <c r="D33" s="2" t="str">
        <f>VLOOKUP(B33,기업리스트!B:G,2,FALSE)</f>
        <v>The Kiyo Bank, Ltd.</v>
      </c>
      <c r="E33" s="2" t="s">
        <v>246</v>
      </c>
      <c r="F33" s="25">
        <v>12.6</v>
      </c>
      <c r="G33" s="37">
        <v>7447</v>
      </c>
      <c r="H33" s="37">
        <v>3014</v>
      </c>
      <c r="I33" s="37">
        <v>6694</v>
      </c>
      <c r="J33" s="37">
        <v>6340</v>
      </c>
      <c r="K33" s="37">
        <v>6734</v>
      </c>
      <c r="L33" s="37">
        <v>-14901</v>
      </c>
      <c r="M33" s="37">
        <v>4787</v>
      </c>
      <c r="N33" s="37">
        <v>4747</v>
      </c>
      <c r="O33" s="37">
        <v>5654</v>
      </c>
      <c r="P33" s="38">
        <v>4845</v>
      </c>
      <c r="Q33" s="37">
        <v>5175</v>
      </c>
      <c r="R33" s="37">
        <v>5267</v>
      </c>
      <c r="S33" s="37">
        <v>6006</v>
      </c>
      <c r="T33" s="37">
        <v>6925</v>
      </c>
      <c r="U33" s="37">
        <v>6407</v>
      </c>
      <c r="V33" s="37">
        <v>4039</v>
      </c>
      <c r="W33" s="38">
        <v>8952</v>
      </c>
      <c r="X33" s="6">
        <v>9.7684685107781943E-2</v>
      </c>
      <c r="Y33" s="8">
        <v>5.2710392333033873E-2</v>
      </c>
      <c r="Z33" s="8">
        <v>-4.9908555171713109E-2</v>
      </c>
      <c r="AA33" s="7">
        <v>0.12602130299011849</v>
      </c>
    </row>
    <row r="34" spans="2:27" x14ac:dyDescent="0.3">
      <c r="B34" s="10">
        <v>7981</v>
      </c>
      <c r="C34" s="2" t="s">
        <v>263</v>
      </c>
      <c r="D34" s="2" t="str">
        <f>VLOOKUP(B34,기업리스트!B:G,2,FALSE)</f>
        <v>Takara Standard Co.,Ltd.</v>
      </c>
      <c r="E34" s="2" t="s">
        <v>241</v>
      </c>
      <c r="F34" s="4">
        <v>9.9</v>
      </c>
      <c r="G34" s="37">
        <v>3990</v>
      </c>
      <c r="H34" s="37">
        <v>5837</v>
      </c>
      <c r="I34" s="37">
        <v>877</v>
      </c>
      <c r="J34" s="37">
        <v>3225</v>
      </c>
      <c r="K34" s="37">
        <v>2861</v>
      </c>
      <c r="L34" s="37">
        <v>3886</v>
      </c>
      <c r="M34" s="37">
        <v>969</v>
      </c>
      <c r="N34" s="37">
        <v>2684</v>
      </c>
      <c r="O34" s="37">
        <v>2624</v>
      </c>
      <c r="P34" s="38">
        <v>5411</v>
      </c>
      <c r="Q34" s="37">
        <v>1709</v>
      </c>
      <c r="R34" s="37">
        <v>3098</v>
      </c>
      <c r="S34" s="37">
        <v>2860</v>
      </c>
      <c r="T34" s="38">
        <v>6885</v>
      </c>
      <c r="U34" s="37">
        <v>2793</v>
      </c>
      <c r="V34" s="37">
        <v>4196</v>
      </c>
      <c r="W34" s="37">
        <v>4519</v>
      </c>
      <c r="X34" s="9">
        <v>0.1127083651934546</v>
      </c>
      <c r="Y34" s="8">
        <v>7.449147883452456E-2</v>
      </c>
      <c r="Z34" s="8">
        <v>7.0222563315425868E-2</v>
      </c>
      <c r="AA34" s="8">
        <v>9.9139476514879865E-2</v>
      </c>
    </row>
    <row r="35" spans="2:27" x14ac:dyDescent="0.3">
      <c r="B35" s="10">
        <v>2282</v>
      </c>
      <c r="C35" s="2" t="s">
        <v>263</v>
      </c>
      <c r="D35" s="2" t="str">
        <f>VLOOKUP(B35,기업리스트!B:G,2,FALSE)</f>
        <v>NH Foods Ltd.</v>
      </c>
      <c r="E35" s="2" t="s">
        <v>246</v>
      </c>
      <c r="F35" s="4">
        <v>9.4</v>
      </c>
      <c r="G35" s="37">
        <v>20357</v>
      </c>
      <c r="H35" s="37">
        <v>0</v>
      </c>
      <c r="I35" s="37">
        <v>13202</v>
      </c>
      <c r="J35" s="37">
        <v>6423</v>
      </c>
      <c r="K35" s="37">
        <v>1760</v>
      </c>
      <c r="L35" s="37">
        <v>-10848</v>
      </c>
      <c r="M35" s="38">
        <v>17632</v>
      </c>
      <c r="N35" s="38">
        <v>13023</v>
      </c>
      <c r="O35" s="38">
        <v>12269</v>
      </c>
      <c r="P35" s="37">
        <v>-11247</v>
      </c>
      <c r="Q35" s="37">
        <v>19099</v>
      </c>
      <c r="R35" s="37">
        <v>9780</v>
      </c>
      <c r="S35" s="37">
        <v>14203</v>
      </c>
      <c r="T35" s="38">
        <v>-6510</v>
      </c>
      <c r="U35" s="37">
        <v>18261</v>
      </c>
      <c r="V35" s="38">
        <v>20694</v>
      </c>
      <c r="W35" s="37">
        <v>18565</v>
      </c>
      <c r="X35" s="9">
        <v>0.1487984922255379</v>
      </c>
      <c r="Y35" s="8">
        <v>-2.2913704473367599E-2</v>
      </c>
      <c r="Z35" s="7">
        <v>0.30542340627973358</v>
      </c>
      <c r="AA35" s="8">
        <v>9.3508832104270301E-2</v>
      </c>
    </row>
    <row r="36" spans="2:27" x14ac:dyDescent="0.3">
      <c r="B36" s="10">
        <v>8331</v>
      </c>
      <c r="C36" s="2" t="s">
        <v>263</v>
      </c>
      <c r="D36" s="2" t="str">
        <f>VLOOKUP(B36,기업리스트!B:G,2,FALSE)</f>
        <v>The Chiba Bank, Ltd.</v>
      </c>
      <c r="E36" s="2" t="s">
        <v>246</v>
      </c>
      <c r="F36" s="4">
        <v>8.9</v>
      </c>
      <c r="G36" s="37">
        <v>19452</v>
      </c>
      <c r="H36" s="37">
        <v>13461</v>
      </c>
      <c r="I36" s="37">
        <v>23942</v>
      </c>
      <c r="J36" s="37">
        <v>26698</v>
      </c>
      <c r="K36" s="37">
        <v>19092</v>
      </c>
      <c r="L36" s="37">
        <v>16937</v>
      </c>
      <c r="M36" s="37">
        <v>25921</v>
      </c>
      <c r="N36" s="37">
        <v>24001</v>
      </c>
      <c r="O36" s="37">
        <v>22592</v>
      </c>
      <c r="P36" s="37">
        <v>18153</v>
      </c>
      <c r="Q36" s="37">
        <v>28626</v>
      </c>
      <c r="R36" s="37">
        <v>25631</v>
      </c>
      <c r="S36" s="37">
        <v>25108</v>
      </c>
      <c r="T36" s="37">
        <v>27460</v>
      </c>
      <c r="U36" s="37">
        <v>30960</v>
      </c>
      <c r="V36" s="37">
        <v>31799</v>
      </c>
      <c r="W36" s="37">
        <v>35358</v>
      </c>
      <c r="X36" s="6">
        <v>9.5438790787341743E-2</v>
      </c>
      <c r="Y36" s="8">
        <v>2.184881816054296E-2</v>
      </c>
      <c r="Z36" s="8">
        <v>5.6504731630007583E-2</v>
      </c>
      <c r="AA36" s="8">
        <v>8.8877712937993625E-2</v>
      </c>
    </row>
    <row r="37" spans="2:27" x14ac:dyDescent="0.3">
      <c r="B37" s="10">
        <v>8346</v>
      </c>
      <c r="C37" s="2" t="s">
        <v>263</v>
      </c>
      <c r="D37" s="2" t="str">
        <f>VLOOKUP(B37,기업리스트!B:G,2,FALSE)</f>
        <v>The Toho Bank, Ltd.</v>
      </c>
      <c r="E37" s="2" t="s">
        <v>241</v>
      </c>
      <c r="F37" s="4">
        <v>8.5</v>
      </c>
      <c r="G37" s="37">
        <v>2851</v>
      </c>
      <c r="H37" s="37">
        <v>2876</v>
      </c>
      <c r="I37" s="37">
        <v>1558</v>
      </c>
      <c r="J37" s="37">
        <v>2478</v>
      </c>
      <c r="K37" s="37">
        <v>1533</v>
      </c>
      <c r="L37" s="37">
        <v>2341</v>
      </c>
      <c r="M37" s="37">
        <v>711</v>
      </c>
      <c r="N37" s="37">
        <v>2858</v>
      </c>
      <c r="O37" s="37">
        <v>2201</v>
      </c>
      <c r="P37" s="38">
        <v>3211</v>
      </c>
      <c r="Q37" s="37">
        <v>-276</v>
      </c>
      <c r="R37" s="37">
        <v>3291</v>
      </c>
      <c r="S37" s="38">
        <v>3211</v>
      </c>
      <c r="T37" s="37">
        <v>2872</v>
      </c>
      <c r="U37" s="38">
        <v>1250</v>
      </c>
      <c r="V37" s="38">
        <v>4545</v>
      </c>
      <c r="W37" s="37">
        <v>4222</v>
      </c>
      <c r="X37" s="6">
        <v>-3.5922432976581493E-2</v>
      </c>
      <c r="Y37" s="7">
        <v>0.16772917124642769</v>
      </c>
      <c r="Z37" s="7">
        <v>0.11803463855421679</v>
      </c>
      <c r="AA37" s="8">
        <v>8.5115339282707536E-2</v>
      </c>
    </row>
    <row r="38" spans="2:27" x14ac:dyDescent="0.3">
      <c r="B38" s="10">
        <v>7337</v>
      </c>
      <c r="C38" s="2" t="s">
        <v>263</v>
      </c>
      <c r="D38" s="2" t="str">
        <f>VLOOKUP(B38,기업리스트!B:G,2,FALSE)</f>
        <v>Hirogin Holdings, Inc.</v>
      </c>
      <c r="E38" s="2" t="s">
        <v>246</v>
      </c>
      <c r="F38" s="4">
        <v>5</v>
      </c>
      <c r="G38" s="37">
        <v>12515</v>
      </c>
      <c r="H38" s="37">
        <v>4371</v>
      </c>
      <c r="I38" s="37">
        <v>12885</v>
      </c>
      <c r="J38" s="37">
        <v>1687</v>
      </c>
      <c r="K38" s="37">
        <v>5896</v>
      </c>
      <c r="L38" s="37">
        <v>-2214</v>
      </c>
      <c r="M38" s="37">
        <v>13684</v>
      </c>
      <c r="N38" s="38">
        <v>10157</v>
      </c>
      <c r="O38" s="38">
        <v>9513</v>
      </c>
      <c r="P38" s="38">
        <v>6590</v>
      </c>
      <c r="Q38" s="37">
        <v>15232</v>
      </c>
      <c r="R38" s="37">
        <v>11141</v>
      </c>
      <c r="S38" s="38">
        <v>15310</v>
      </c>
      <c r="T38" s="37">
        <v>9358</v>
      </c>
      <c r="U38" s="37">
        <v>16518</v>
      </c>
      <c r="V38" s="37">
        <v>12526</v>
      </c>
      <c r="W38" s="37">
        <v>17990</v>
      </c>
      <c r="X38" s="6">
        <v>5.7340542332152467E-2</v>
      </c>
      <c r="Y38" s="8">
        <v>2.5195431123998361E-2</v>
      </c>
      <c r="Z38" s="8">
        <v>2.646817130735557E-2</v>
      </c>
      <c r="AA38" s="8">
        <v>4.9895740244265678E-2</v>
      </c>
    </row>
    <row r="39" spans="2:27" x14ac:dyDescent="0.3">
      <c r="B39" s="10">
        <v>9064</v>
      </c>
      <c r="C39" s="2" t="s">
        <v>263</v>
      </c>
      <c r="D39" s="2" t="str">
        <f>VLOOKUP(B39,기업리스트!B:G,2,FALSE)</f>
        <v>Yamato Holdings Co., Ltd.</v>
      </c>
      <c r="E39" s="2" t="s">
        <v>246</v>
      </c>
      <c r="F39" s="4">
        <v>4.3</v>
      </c>
      <c r="G39" s="37">
        <v>47482</v>
      </c>
      <c r="H39" s="37">
        <v>-1973</v>
      </c>
      <c r="I39" s="37">
        <v>2418</v>
      </c>
      <c r="J39" s="37">
        <v>15631</v>
      </c>
      <c r="K39" s="37">
        <v>48352</v>
      </c>
      <c r="L39" s="37">
        <v>-6315</v>
      </c>
      <c r="M39" s="37">
        <v>1598</v>
      </c>
      <c r="N39" s="37">
        <v>10761</v>
      </c>
      <c r="O39" s="37">
        <v>38004</v>
      </c>
      <c r="P39" s="37">
        <v>-10303</v>
      </c>
      <c r="Q39" s="37">
        <v>-14205</v>
      </c>
      <c r="R39" s="37">
        <v>-797</v>
      </c>
      <c r="S39" s="38">
        <v>41267</v>
      </c>
      <c r="T39" s="37">
        <v>-12058</v>
      </c>
      <c r="U39" s="38">
        <v>-6494</v>
      </c>
      <c r="V39" s="38">
        <v>2712</v>
      </c>
      <c r="W39" s="37">
        <v>42368</v>
      </c>
      <c r="X39" s="6">
        <v>-0.10994862799147979</v>
      </c>
      <c r="Y39" s="7">
        <v>0.54276061096642492</v>
      </c>
      <c r="Z39" s="7">
        <v>0.16009672415366369</v>
      </c>
      <c r="AA39" s="8">
        <v>4.330042867817685E-2</v>
      </c>
    </row>
    <row r="40" spans="2:27" x14ac:dyDescent="0.3">
      <c r="B40" s="10">
        <v>8411</v>
      </c>
      <c r="C40" s="2" t="s">
        <v>263</v>
      </c>
      <c r="D40" s="2" t="str">
        <f>VLOOKUP(B40,기업리스트!B:G,2,FALSE)</f>
        <v>Mizuho Financial Group, Inc.</v>
      </c>
      <c r="E40" s="2" t="s">
        <v>246</v>
      </c>
      <c r="F40" s="4">
        <v>3.7</v>
      </c>
      <c r="G40" s="37">
        <v>108485</v>
      </c>
      <c r="H40" s="37">
        <v>48765</v>
      </c>
      <c r="I40" s="37">
        <v>207355</v>
      </c>
      <c r="J40" s="37">
        <v>237700</v>
      </c>
      <c r="K40" s="38">
        <v>244905</v>
      </c>
      <c r="L40" s="37">
        <v>89003</v>
      </c>
      <c r="M40" s="38">
        <v>313573</v>
      </c>
      <c r="N40" s="37">
        <v>282748</v>
      </c>
      <c r="O40" s="37">
        <v>325130</v>
      </c>
      <c r="P40" s="37">
        <v>33582</v>
      </c>
      <c r="Q40" s="37">
        <v>397385</v>
      </c>
      <c r="R40" s="38">
        <v>393772</v>
      </c>
      <c r="S40" s="37">
        <v>376077</v>
      </c>
      <c r="T40" s="37">
        <v>22849</v>
      </c>
      <c r="U40" s="37">
        <v>378595</v>
      </c>
      <c r="V40" s="38">
        <v>520119</v>
      </c>
      <c r="W40" s="37">
        <v>424507</v>
      </c>
      <c r="X40" s="6">
        <v>-8.9380887663055297E-3</v>
      </c>
      <c r="Y40" s="8">
        <v>-1.5788814729728928E-2</v>
      </c>
      <c r="Z40" s="7">
        <v>0.107869679064077</v>
      </c>
      <c r="AA40" s="8">
        <v>3.7321599210875078E-2</v>
      </c>
    </row>
    <row r="41" spans="2:27" x14ac:dyDescent="0.3">
      <c r="B41" s="10">
        <v>6762</v>
      </c>
      <c r="C41" s="2" t="s">
        <v>263</v>
      </c>
      <c r="D41" s="2" t="str">
        <f>VLOOKUP(B41,기업리스트!B:G,2,FALSE)</f>
        <v>TDK Corporation</v>
      </c>
      <c r="E41" s="2" t="s">
        <v>246</v>
      </c>
      <c r="F41" s="4">
        <v>3.1</v>
      </c>
      <c r="G41" s="37">
        <v>59492</v>
      </c>
      <c r="H41" s="37">
        <v>21407</v>
      </c>
      <c r="I41" s="37">
        <v>44414</v>
      </c>
      <c r="J41" s="37">
        <v>75390</v>
      </c>
      <c r="K41" s="37">
        <v>66228</v>
      </c>
      <c r="L41" s="37">
        <v>-28306</v>
      </c>
      <c r="M41" s="37">
        <v>25342</v>
      </c>
      <c r="N41" s="37">
        <v>58605</v>
      </c>
      <c r="O41" s="37">
        <v>69027</v>
      </c>
      <c r="P41" s="38">
        <v>17688</v>
      </c>
      <c r="Q41" s="38">
        <v>57872</v>
      </c>
      <c r="R41" s="37">
        <v>72806</v>
      </c>
      <c r="S41" s="37">
        <v>75791</v>
      </c>
      <c r="T41" s="37">
        <v>11743</v>
      </c>
      <c r="U41" s="37">
        <v>56419</v>
      </c>
      <c r="V41" s="37">
        <v>91208</v>
      </c>
      <c r="W41" s="37">
        <v>83110</v>
      </c>
      <c r="X41" s="6">
        <v>-2.652158977859265E-2</v>
      </c>
      <c r="Y41" s="8">
        <v>-6.6586622183931743E-3</v>
      </c>
      <c r="Z41" s="8">
        <v>8.4896128880461719E-2</v>
      </c>
      <c r="AA41" s="8">
        <v>3.1123358039810919E-2</v>
      </c>
    </row>
    <row r="42" spans="2:27" x14ac:dyDescent="0.3">
      <c r="B42" s="10">
        <v>9022</v>
      </c>
      <c r="C42" s="2" t="s">
        <v>263</v>
      </c>
      <c r="D42" s="2" t="str">
        <f>VLOOKUP(B42,기업리스트!B:G,2,FALSE)</f>
        <v>Central Japan Railway Company</v>
      </c>
      <c r="E42" s="2" t="s">
        <v>246</v>
      </c>
      <c r="F42" s="4">
        <v>3</v>
      </c>
      <c r="G42" s="37">
        <v>71276</v>
      </c>
      <c r="H42" s="37">
        <v>-35464</v>
      </c>
      <c r="I42" s="37">
        <v>83541</v>
      </c>
      <c r="J42" s="37">
        <v>88386</v>
      </c>
      <c r="K42" s="38">
        <v>134444</v>
      </c>
      <c r="L42" s="38">
        <v>68133</v>
      </c>
      <c r="M42" s="38">
        <v>146519</v>
      </c>
      <c r="N42" s="38">
        <v>165573</v>
      </c>
      <c r="O42" s="38">
        <v>190507</v>
      </c>
      <c r="P42" s="37">
        <v>104783</v>
      </c>
      <c r="Q42" s="37">
        <v>184329</v>
      </c>
      <c r="R42" s="37">
        <v>180881</v>
      </c>
      <c r="S42" s="37">
        <v>218719</v>
      </c>
      <c r="T42" s="37">
        <v>118866</v>
      </c>
      <c r="U42" s="37">
        <v>221226</v>
      </c>
      <c r="V42" s="37">
        <v>232826</v>
      </c>
      <c r="W42" s="37">
        <v>242711</v>
      </c>
      <c r="X42" s="6">
        <v>2.0448315115752399E-2</v>
      </c>
      <c r="Y42" s="8">
        <v>5.2500373508633347E-2</v>
      </c>
      <c r="Z42" s="8">
        <v>7.0225174802485357E-2</v>
      </c>
      <c r="AA42" s="8">
        <v>3.0306819918725299E-2</v>
      </c>
    </row>
    <row r="43" spans="2:27" x14ac:dyDescent="0.3">
      <c r="B43" s="10">
        <v>8601</v>
      </c>
      <c r="C43" s="2" t="s">
        <v>263</v>
      </c>
      <c r="D43" s="2" t="str">
        <f>VLOOKUP(B43,기업리스트!B:G,2,FALSE)</f>
        <v>Daiwa Securities Group Inc.</v>
      </c>
      <c r="E43" s="2" t="s">
        <v>246</v>
      </c>
      <c r="F43" s="4">
        <v>3</v>
      </c>
      <c r="G43" s="37">
        <v>68276</v>
      </c>
      <c r="H43" s="37">
        <v>53515</v>
      </c>
      <c r="I43" s="37">
        <v>49366</v>
      </c>
      <c r="J43" s="37">
        <v>93611</v>
      </c>
      <c r="K43" s="38">
        <v>133122</v>
      </c>
      <c r="L43" s="38">
        <v>192039</v>
      </c>
      <c r="M43" s="38">
        <v>162882</v>
      </c>
      <c r="N43" s="38">
        <v>197335</v>
      </c>
      <c r="O43" s="38">
        <v>225544</v>
      </c>
      <c r="P43" s="37">
        <v>254516</v>
      </c>
      <c r="Q43" s="37">
        <v>34552</v>
      </c>
      <c r="R43" s="37">
        <v>41008</v>
      </c>
      <c r="S43" s="37">
        <v>37040</v>
      </c>
      <c r="T43" s="38">
        <v>781179</v>
      </c>
      <c r="U43" s="37">
        <v>35094</v>
      </c>
      <c r="V43" s="37">
        <v>48910</v>
      </c>
      <c r="W43" s="37">
        <v>63782</v>
      </c>
      <c r="X43" s="9">
        <v>1.434595604659018</v>
      </c>
      <c r="Y43" s="8">
        <v>6.0641388978699418E-4</v>
      </c>
      <c r="Z43" s="8">
        <v>8.8357536052490193E-3</v>
      </c>
      <c r="AA43" s="8">
        <v>2.9640122231421762E-2</v>
      </c>
    </row>
    <row r="44" spans="2:27" x14ac:dyDescent="0.3">
      <c r="B44" s="10">
        <v>2222</v>
      </c>
      <c r="C44" s="2" t="s">
        <v>263</v>
      </c>
      <c r="D44" s="2" t="str">
        <f>VLOOKUP(B44,기업리스트!B:G,2,FALSE)</f>
        <v>Kotobuki Spirits Co., Ltd.</v>
      </c>
      <c r="E44" s="2" t="s">
        <v>246</v>
      </c>
      <c r="F44" s="4">
        <v>2.9</v>
      </c>
      <c r="G44" s="37">
        <v>2279</v>
      </c>
      <c r="H44" s="37">
        <v>539</v>
      </c>
      <c r="I44" s="37">
        <v>1151</v>
      </c>
      <c r="J44" s="37">
        <v>1679</v>
      </c>
      <c r="K44" s="38">
        <v>4027</v>
      </c>
      <c r="L44" s="38">
        <v>3093</v>
      </c>
      <c r="M44" s="38">
        <v>3059</v>
      </c>
      <c r="N44" s="38">
        <v>3564</v>
      </c>
      <c r="O44" s="37">
        <v>5112</v>
      </c>
      <c r="P44" s="37">
        <v>4044</v>
      </c>
      <c r="Q44" s="37">
        <v>3428</v>
      </c>
      <c r="R44" s="37">
        <v>4050</v>
      </c>
      <c r="S44" s="37">
        <v>6068</v>
      </c>
      <c r="T44" s="37">
        <v>4064</v>
      </c>
      <c r="U44" s="37">
        <v>3441</v>
      </c>
      <c r="V44" s="37">
        <v>3999</v>
      </c>
      <c r="W44" s="37">
        <v>6573</v>
      </c>
      <c r="X44" s="6">
        <v>1.137009664582189E-3</v>
      </c>
      <c r="Y44" s="8">
        <v>7.3821692220321644E-4</v>
      </c>
      <c r="Z44" s="8">
        <v>-2.8939454122454129E-3</v>
      </c>
      <c r="AA44" s="8">
        <v>2.873890279990898E-2</v>
      </c>
    </row>
    <row r="45" spans="2:27" x14ac:dyDescent="0.3">
      <c r="B45" s="10">
        <v>4768</v>
      </c>
      <c r="C45" s="2" t="s">
        <v>263</v>
      </c>
      <c r="D45" s="2" t="str">
        <f>VLOOKUP(B45,기업리스트!B:G,2,FALSE)</f>
        <v>Otsuka Corporation</v>
      </c>
      <c r="E45" s="2" t="s">
        <v>238</v>
      </c>
      <c r="F45" s="4">
        <v>1.5</v>
      </c>
      <c r="G45" s="37">
        <v>11293</v>
      </c>
      <c r="H45" s="37">
        <v>13787</v>
      </c>
      <c r="I45" s="37">
        <v>16992</v>
      </c>
      <c r="J45" s="37">
        <v>11997</v>
      </c>
      <c r="K45" s="37">
        <v>11997</v>
      </c>
      <c r="L45" s="37">
        <v>16876</v>
      </c>
      <c r="M45" s="37">
        <v>19837</v>
      </c>
      <c r="N45" s="37">
        <v>10678</v>
      </c>
      <c r="O45" s="37">
        <v>15574</v>
      </c>
      <c r="P45" s="37">
        <v>17243</v>
      </c>
      <c r="Q45" s="37">
        <v>21601</v>
      </c>
      <c r="R45" s="37">
        <v>13326</v>
      </c>
      <c r="S45" s="37">
        <v>22047</v>
      </c>
      <c r="T45" s="37">
        <v>21176</v>
      </c>
      <c r="U45" s="37">
        <v>27998</v>
      </c>
      <c r="V45" s="37">
        <v>17357</v>
      </c>
      <c r="W45" s="37">
        <v>23413</v>
      </c>
      <c r="X45" s="6">
        <v>5.2993249525041357E-2</v>
      </c>
      <c r="Y45" s="8">
        <v>8.1855406269993658E-2</v>
      </c>
      <c r="Z45" s="8">
        <v>4.7677623097212241E-2</v>
      </c>
      <c r="AA45" s="8">
        <v>1.542143647406813E-2</v>
      </c>
    </row>
    <row r="46" spans="2:27" x14ac:dyDescent="0.3">
      <c r="B46" s="10">
        <v>9020</v>
      </c>
      <c r="C46" s="2" t="s">
        <v>263</v>
      </c>
      <c r="D46" s="2" t="str">
        <f>VLOOKUP(B46,기업리스트!B:G,2,FALSE)</f>
        <v>East Japan Railway Company</v>
      </c>
      <c r="E46" s="2" t="s">
        <v>246</v>
      </c>
      <c r="F46" s="4">
        <v>0.3</v>
      </c>
      <c r="G46" s="37">
        <v>73356</v>
      </c>
      <c r="H46" s="37">
        <v>-111402</v>
      </c>
      <c r="I46" s="37">
        <v>40298</v>
      </c>
      <c r="J46" s="37">
        <v>26413</v>
      </c>
      <c r="K46" s="37">
        <v>45297</v>
      </c>
      <c r="L46" s="38">
        <v>28622</v>
      </c>
      <c r="M46" s="38">
        <v>80176</v>
      </c>
      <c r="N46" s="38">
        <v>111622</v>
      </c>
      <c r="O46" s="38">
        <v>106713</v>
      </c>
      <c r="P46" s="37">
        <v>46651</v>
      </c>
      <c r="Q46" s="38">
        <v>120531</v>
      </c>
      <c r="R46" s="37">
        <v>115075</v>
      </c>
      <c r="S46" s="37">
        <v>116948</v>
      </c>
      <c r="T46" s="37">
        <v>24233</v>
      </c>
      <c r="U46" s="37">
        <v>114787</v>
      </c>
      <c r="V46" s="37">
        <v>116694</v>
      </c>
      <c r="W46" s="37">
        <v>118134</v>
      </c>
      <c r="X46" s="6">
        <v>-5.6156611264888912E-2</v>
      </c>
      <c r="Y46" s="8">
        <v>-1.524468731670681E-2</v>
      </c>
      <c r="Z46" s="8">
        <v>4.3633756734393634E-3</v>
      </c>
      <c r="AA46" s="8">
        <v>3.182508546618612E-3</v>
      </c>
    </row>
    <row r="47" spans="2:27" x14ac:dyDescent="0.3">
      <c r="B47" s="10">
        <v>3433</v>
      </c>
      <c r="C47" s="2" t="s">
        <v>263</v>
      </c>
      <c r="D47" s="2" t="str">
        <f>VLOOKUP(B47,기업리스트!B:G,2,FALSE)</f>
        <v>TOCALO Co.,Ltd.</v>
      </c>
      <c r="E47" s="2" t="s">
        <v>241</v>
      </c>
      <c r="F47" s="4">
        <v>-0.1</v>
      </c>
      <c r="G47" s="37">
        <v>2351</v>
      </c>
      <c r="H47" s="37">
        <v>2443</v>
      </c>
      <c r="I47" s="37">
        <v>2702</v>
      </c>
      <c r="J47" s="37">
        <v>2724</v>
      </c>
      <c r="K47" s="37">
        <v>2858</v>
      </c>
      <c r="L47" s="37">
        <v>2642</v>
      </c>
      <c r="M47" s="37">
        <v>2335</v>
      </c>
      <c r="N47" s="37">
        <v>2270</v>
      </c>
      <c r="O47" s="37">
        <v>2027</v>
      </c>
      <c r="P47" s="37">
        <v>2108</v>
      </c>
      <c r="Q47" s="37">
        <v>2793</v>
      </c>
      <c r="R47" s="37">
        <v>2688</v>
      </c>
      <c r="S47" s="37">
        <v>2696</v>
      </c>
      <c r="T47" s="37">
        <v>3107</v>
      </c>
      <c r="U47" s="37">
        <v>3781</v>
      </c>
      <c r="V47" s="37">
        <v>3838</v>
      </c>
      <c r="W47" s="37">
        <v>2682</v>
      </c>
      <c r="X47" s="6">
        <v>9.7131745260087499E-2</v>
      </c>
      <c r="Y47" s="8">
        <v>8.7557603686635899E-2</v>
      </c>
      <c r="Z47" s="8">
        <v>9.3709256844850097E-2</v>
      </c>
      <c r="AA47" s="8">
        <v>-1.0430636268812239E-3</v>
      </c>
    </row>
    <row r="48" spans="2:27" x14ac:dyDescent="0.3">
      <c r="B48" s="10">
        <v>3132</v>
      </c>
      <c r="C48" s="2" t="s">
        <v>263</v>
      </c>
      <c r="D48" s="2" t="str">
        <f>VLOOKUP(B48,기업리스트!B:G,2,FALSE)</f>
        <v>Macnica Holdings, Inc.</v>
      </c>
      <c r="E48" s="2" t="s">
        <v>246</v>
      </c>
      <c r="F48" s="4">
        <v>-0.2</v>
      </c>
      <c r="G48" s="37">
        <v>9939</v>
      </c>
      <c r="H48" s="37">
        <v>11435</v>
      </c>
      <c r="I48" s="37">
        <v>12266</v>
      </c>
      <c r="J48" s="37">
        <v>14536</v>
      </c>
      <c r="K48" s="38">
        <v>18493</v>
      </c>
      <c r="L48" s="37">
        <v>16353</v>
      </c>
      <c r="M48" s="38">
        <v>20654</v>
      </c>
      <c r="N48" s="37">
        <v>17346</v>
      </c>
      <c r="O48" s="37">
        <v>13311</v>
      </c>
      <c r="P48" s="37">
        <v>12422</v>
      </c>
      <c r="Q48" s="37">
        <v>12048</v>
      </c>
      <c r="R48" s="37">
        <v>10329</v>
      </c>
      <c r="S48" s="37">
        <v>10841</v>
      </c>
      <c r="T48" s="37">
        <v>6432</v>
      </c>
      <c r="U48" s="37">
        <v>8198</v>
      </c>
      <c r="V48" s="37">
        <v>9309</v>
      </c>
      <c r="W48" s="37">
        <v>10762</v>
      </c>
      <c r="X48" s="6">
        <v>-0.13124452234881681</v>
      </c>
      <c r="Y48" s="8">
        <v>-9.7099621689785587E-2</v>
      </c>
      <c r="Z48" s="8">
        <v>-2.84916201117319E-2</v>
      </c>
      <c r="AA48" s="8">
        <v>-2.271420356526721E-3</v>
      </c>
    </row>
    <row r="49" spans="2:27" x14ac:dyDescent="0.3">
      <c r="B49" s="10">
        <v>9532</v>
      </c>
      <c r="C49" s="2" t="s">
        <v>263</v>
      </c>
      <c r="D49" s="2" t="str">
        <f>VLOOKUP(B49,기업리스트!B:G,2,FALSE)</f>
        <v>Osaka Gas Co., Ltd.</v>
      </c>
      <c r="E49" s="2" t="s">
        <v>246</v>
      </c>
      <c r="F49" s="4">
        <v>-0.2</v>
      </c>
      <c r="G49" s="37">
        <v>2137</v>
      </c>
      <c r="H49" s="37">
        <v>52229</v>
      </c>
      <c r="I49" s="37">
        <v>7367</v>
      </c>
      <c r="J49" s="37">
        <v>-53057</v>
      </c>
      <c r="K49" s="38">
        <v>30763</v>
      </c>
      <c r="L49" s="38">
        <v>74929</v>
      </c>
      <c r="M49" s="38">
        <v>73664</v>
      </c>
      <c r="N49" s="38">
        <v>23068</v>
      </c>
      <c r="O49" s="37">
        <v>43961</v>
      </c>
      <c r="P49" s="37">
        <v>31862</v>
      </c>
      <c r="Q49" s="37">
        <v>28750</v>
      </c>
      <c r="R49" s="37">
        <v>26191</v>
      </c>
      <c r="S49" s="37">
        <v>44567</v>
      </c>
      <c r="T49" s="38">
        <v>61224</v>
      </c>
      <c r="U49" s="38">
        <v>47680</v>
      </c>
      <c r="V49" s="37">
        <v>41990</v>
      </c>
      <c r="W49" s="37">
        <v>44079</v>
      </c>
      <c r="X49" s="9">
        <v>0.22350612773083661</v>
      </c>
      <c r="Y49" s="7">
        <v>0.11777368538934389</v>
      </c>
      <c r="Z49" s="8">
        <v>8.7937349022052524E-2</v>
      </c>
      <c r="AA49" s="8">
        <v>-2.4966617381472211E-3</v>
      </c>
    </row>
    <row r="50" spans="2:27" x14ac:dyDescent="0.3">
      <c r="B50" s="10">
        <v>7224</v>
      </c>
      <c r="C50" s="2" t="s">
        <v>263</v>
      </c>
      <c r="D50" s="2" t="str">
        <f>VLOOKUP(B50,기업리스트!B:G,2,FALSE)</f>
        <v>ShinMaywa Industries, Ltd.</v>
      </c>
      <c r="E50" s="2" t="s">
        <v>241</v>
      </c>
      <c r="F50" s="4">
        <v>-5.4</v>
      </c>
      <c r="G50" s="37">
        <v>3039</v>
      </c>
      <c r="H50" s="37">
        <v>2687</v>
      </c>
      <c r="I50" s="37">
        <v>3443</v>
      </c>
      <c r="J50" s="37">
        <v>793</v>
      </c>
      <c r="K50" s="37">
        <v>2413</v>
      </c>
      <c r="L50" s="37">
        <v>2799</v>
      </c>
      <c r="M50" s="37">
        <v>3290</v>
      </c>
      <c r="N50" s="37">
        <v>638</v>
      </c>
      <c r="O50" s="38">
        <v>3794</v>
      </c>
      <c r="P50" s="37">
        <v>1869</v>
      </c>
      <c r="Q50" s="38">
        <v>5464</v>
      </c>
      <c r="R50" s="38">
        <v>1843</v>
      </c>
      <c r="S50" s="37">
        <v>3880</v>
      </c>
      <c r="T50" s="37">
        <v>2596</v>
      </c>
      <c r="U50" s="37">
        <v>5651</v>
      </c>
      <c r="V50" s="37">
        <v>1427</v>
      </c>
      <c r="W50" s="37">
        <v>3151</v>
      </c>
      <c r="X50" s="6">
        <v>5.5683210784313708E-2</v>
      </c>
      <c r="Y50" s="8">
        <v>1.356743814844363E-2</v>
      </c>
      <c r="Z50" s="8">
        <v>-2.9778095919828159E-2</v>
      </c>
      <c r="AA50" s="8">
        <v>-5.3784860557768877E-2</v>
      </c>
    </row>
    <row r="51" spans="2:27" x14ac:dyDescent="0.3">
      <c r="B51" s="10">
        <v>4272</v>
      </c>
      <c r="C51" s="2" t="s">
        <v>263</v>
      </c>
      <c r="D51" s="2" t="str">
        <f>VLOOKUP(B51,기업리스트!B:G,2,FALSE)</f>
        <v>Nippon Kayaku Co., Ltd.</v>
      </c>
      <c r="E51" s="2" t="s">
        <v>246</v>
      </c>
      <c r="F51" s="4">
        <v>-6.3</v>
      </c>
      <c r="G51" s="37">
        <v>6438</v>
      </c>
      <c r="H51" s="37">
        <v>3711</v>
      </c>
      <c r="I51" s="37">
        <v>6381</v>
      </c>
      <c r="J51" s="37">
        <v>7179</v>
      </c>
      <c r="K51" s="37">
        <v>5503</v>
      </c>
      <c r="L51" s="37">
        <v>2443</v>
      </c>
      <c r="M51" s="37">
        <v>2335</v>
      </c>
      <c r="N51" s="37">
        <v>2433</v>
      </c>
      <c r="O51" s="37">
        <v>-656</v>
      </c>
      <c r="P51" s="38">
        <v>3225</v>
      </c>
      <c r="Q51" s="38">
        <v>5570</v>
      </c>
      <c r="R51" s="38">
        <v>5591</v>
      </c>
      <c r="S51" s="38">
        <v>6955</v>
      </c>
      <c r="T51" s="37">
        <v>2286</v>
      </c>
      <c r="U51" s="37">
        <v>4369</v>
      </c>
      <c r="V51" s="37">
        <v>6250</v>
      </c>
      <c r="W51" s="37">
        <v>5703</v>
      </c>
      <c r="X51" s="6">
        <v>-4.3999812567358632E-2</v>
      </c>
      <c r="Y51" s="8">
        <v>-5.8866777766885647E-2</v>
      </c>
      <c r="Z51" s="8">
        <v>3.4321129107858887E-2</v>
      </c>
      <c r="AA51" s="8">
        <v>-6.3041289023162084E-2</v>
      </c>
    </row>
    <row r="52" spans="2:27" x14ac:dyDescent="0.3">
      <c r="B52" s="10">
        <v>9502</v>
      </c>
      <c r="C52" s="2" t="s">
        <v>263</v>
      </c>
      <c r="D52" s="2" t="str">
        <f>VLOOKUP(B52,기업리스트!B:G,2,FALSE)</f>
        <v>Chubu Electric Power Company, Incorporated</v>
      </c>
      <c r="E52" s="2" t="s">
        <v>246</v>
      </c>
      <c r="F52" s="4">
        <v>-7.5</v>
      </c>
      <c r="G52" s="37">
        <v>-55866</v>
      </c>
      <c r="H52" s="37">
        <v>-52029</v>
      </c>
      <c r="I52" s="37">
        <v>41486</v>
      </c>
      <c r="J52" s="37">
        <v>19776</v>
      </c>
      <c r="K52" s="37">
        <v>-12994</v>
      </c>
      <c r="L52" s="37">
        <v>58821</v>
      </c>
      <c r="M52" s="38">
        <v>157186</v>
      </c>
      <c r="N52" s="38">
        <v>88472</v>
      </c>
      <c r="O52" s="38">
        <v>43953</v>
      </c>
      <c r="P52" s="37">
        <v>53729</v>
      </c>
      <c r="Q52" s="37">
        <v>85868</v>
      </c>
      <c r="R52" s="37">
        <v>56887</v>
      </c>
      <c r="S52" s="37">
        <v>41365</v>
      </c>
      <c r="T52" s="37">
        <v>57925</v>
      </c>
      <c r="U52" s="37">
        <v>67932</v>
      </c>
      <c r="V52" s="37">
        <v>77613</v>
      </c>
      <c r="W52" s="37">
        <v>23021</v>
      </c>
      <c r="X52" s="6">
        <v>1.764144478219376E-2</v>
      </c>
      <c r="Y52" s="8">
        <v>-7.4101923196099873E-2</v>
      </c>
      <c r="Z52" s="8">
        <v>9.2481783417890373E-2</v>
      </c>
      <c r="AA52" s="8">
        <v>-7.4923928359915903E-2</v>
      </c>
    </row>
    <row r="53" spans="2:27" x14ac:dyDescent="0.3">
      <c r="B53" s="10">
        <v>6981</v>
      </c>
      <c r="C53" s="2" t="s">
        <v>263</v>
      </c>
      <c r="D53" s="2" t="str">
        <f>VLOOKUP(B53,기업리스트!B:G,2,FALSE)</f>
        <v>Murata Manufacturing Co., Ltd.</v>
      </c>
      <c r="E53" s="2" t="s">
        <v>246</v>
      </c>
      <c r="F53" s="4">
        <v>-12.4</v>
      </c>
      <c r="G53" s="37">
        <v>113919</v>
      </c>
      <c r="H53" s="37">
        <v>91283</v>
      </c>
      <c r="I53" s="37">
        <v>88613</v>
      </c>
      <c r="J53" s="37">
        <v>106361</v>
      </c>
      <c r="K53" s="37">
        <v>77285</v>
      </c>
      <c r="L53" s="37">
        <v>26207</v>
      </c>
      <c r="M53" s="37">
        <v>50111</v>
      </c>
      <c r="N53" s="37">
        <v>88811</v>
      </c>
      <c r="O53" s="37">
        <v>76197</v>
      </c>
      <c r="P53" s="37">
        <v>45869</v>
      </c>
      <c r="Q53" s="37">
        <v>66375</v>
      </c>
      <c r="R53" s="37">
        <v>91797</v>
      </c>
      <c r="S53" s="37">
        <v>75989</v>
      </c>
      <c r="T53" s="37">
        <v>65600</v>
      </c>
      <c r="U53" s="37">
        <v>61621</v>
      </c>
      <c r="V53" s="37">
        <v>103515</v>
      </c>
      <c r="W53" s="37">
        <v>37876</v>
      </c>
      <c r="X53" s="6">
        <v>7.0460307824161683E-2</v>
      </c>
      <c r="Y53" s="8">
        <v>-1.5859301243323801E-2</v>
      </c>
      <c r="Z53" s="8">
        <v>3.9721091363933647E-2</v>
      </c>
      <c r="AA53" s="8">
        <v>-0.1242578857282582</v>
      </c>
    </row>
    <row r="54" spans="2:27" x14ac:dyDescent="0.3">
      <c r="B54" s="10">
        <v>5992</v>
      </c>
      <c r="C54" s="2" t="s">
        <v>263</v>
      </c>
      <c r="D54" s="2" t="str">
        <f>VLOOKUP(B54,기업리스트!B:G,2,FALSE)</f>
        <v>Chuo Spring Co.,Ltd.</v>
      </c>
      <c r="E54" s="2" t="s">
        <v>246</v>
      </c>
      <c r="F54" s="4">
        <v>-15.6</v>
      </c>
      <c r="G54" s="37">
        <v>809</v>
      </c>
      <c r="H54" s="37">
        <v>786</v>
      </c>
      <c r="I54" s="37">
        <v>-391</v>
      </c>
      <c r="J54" s="37">
        <v>732</v>
      </c>
      <c r="K54" s="37">
        <v>144</v>
      </c>
      <c r="L54" s="37">
        <v>-149</v>
      </c>
      <c r="M54" s="38">
        <v>-54</v>
      </c>
      <c r="N54" s="37">
        <v>735</v>
      </c>
      <c r="O54" s="38">
        <v>311</v>
      </c>
      <c r="P54" s="38">
        <v>69</v>
      </c>
      <c r="Q54" s="38">
        <v>136</v>
      </c>
      <c r="R54" s="38">
        <v>1625</v>
      </c>
      <c r="S54" s="38">
        <v>1235</v>
      </c>
      <c r="T54" s="38">
        <v>1383</v>
      </c>
      <c r="U54" s="38">
        <v>602</v>
      </c>
      <c r="V54" s="37">
        <v>893</v>
      </c>
      <c r="W54" s="37">
        <v>592</v>
      </c>
      <c r="X54" s="9">
        <v>0.42871125611745509</v>
      </c>
      <c r="Y54" s="7">
        <v>0.1064169901804064</v>
      </c>
      <c r="Z54" s="8">
        <v>-0.15108359133126939</v>
      </c>
      <c r="AA54" s="8">
        <v>-0.15633357646486751</v>
      </c>
    </row>
    <row r="55" spans="2:27" x14ac:dyDescent="0.3">
      <c r="B55" s="36" t="s">
        <v>283</v>
      </c>
      <c r="C55" s="26" t="s">
        <v>265</v>
      </c>
      <c r="D55" s="26" t="str">
        <f>VLOOKUP(B55,기업리스트!B:G,2,FALSE)</f>
        <v>PB Fintech Limited</v>
      </c>
      <c r="E55" s="2" t="s">
        <v>246</v>
      </c>
      <c r="F55" s="27">
        <v>155.69999999999999</v>
      </c>
      <c r="G55" s="39">
        <v>-3280</v>
      </c>
      <c r="H55" s="39">
        <v>-2669</v>
      </c>
      <c r="I55" s="39">
        <v>-2475</v>
      </c>
      <c r="J55" s="39">
        <v>-2416</v>
      </c>
      <c r="K55" s="39">
        <v>-1507</v>
      </c>
      <c r="L55" s="39">
        <v>-854.94</v>
      </c>
      <c r="M55" s="39">
        <v>-966.21</v>
      </c>
      <c r="N55" s="39">
        <v>-1114</v>
      </c>
      <c r="O55" s="39">
        <v>-485.8</v>
      </c>
      <c r="P55" s="39">
        <v>-183.38</v>
      </c>
      <c r="Q55" s="39">
        <v>-642.70000000000005</v>
      </c>
      <c r="R55" s="39">
        <v>-371.8</v>
      </c>
      <c r="S55" s="39">
        <v>-58.9</v>
      </c>
      <c r="T55" s="39">
        <v>795.8</v>
      </c>
      <c r="U55" s="39">
        <v>9.1</v>
      </c>
      <c r="V55" s="40">
        <v>639.6</v>
      </c>
      <c r="W55" s="40">
        <v>2099</v>
      </c>
      <c r="X55" s="30">
        <v>-0.77911806362290925</v>
      </c>
      <c r="Y55" s="31">
        <v>-2.3479827089337171</v>
      </c>
      <c r="Z55" s="32">
        <v>2.702832709780866</v>
      </c>
      <c r="AA55" s="32">
        <v>1.5573758660508079</v>
      </c>
    </row>
    <row r="56" spans="2:27" x14ac:dyDescent="0.3">
      <c r="B56" s="10" t="s">
        <v>282</v>
      </c>
      <c r="C56" s="2" t="s">
        <v>265</v>
      </c>
      <c r="D56" s="2" t="str">
        <f>VLOOKUP(B56,기업리스트!B:G,2,FALSE)</f>
        <v>Apollo Micro Systems Limited</v>
      </c>
      <c r="E56" s="2" t="s">
        <v>241</v>
      </c>
      <c r="F56" s="25">
        <v>19.100000000000001</v>
      </c>
      <c r="G56" s="37">
        <v>78.27</v>
      </c>
      <c r="H56" s="37">
        <v>95.5</v>
      </c>
      <c r="I56" s="37">
        <v>140.6</v>
      </c>
      <c r="J56" s="37">
        <v>73.760000000000005</v>
      </c>
      <c r="K56" s="37">
        <v>94.07</v>
      </c>
      <c r="L56" s="38">
        <v>169.63</v>
      </c>
      <c r="M56" s="38">
        <v>202.4</v>
      </c>
      <c r="N56" s="37">
        <v>101.33</v>
      </c>
      <c r="O56" s="38">
        <v>156.61000000000001</v>
      </c>
      <c r="P56" s="37">
        <v>211.74</v>
      </c>
      <c r="Q56" s="37">
        <v>257.74</v>
      </c>
      <c r="R56" s="38">
        <v>189.18</v>
      </c>
      <c r="S56" s="38">
        <v>291.47000000000003</v>
      </c>
      <c r="T56" s="38">
        <v>339.68</v>
      </c>
      <c r="U56" s="37">
        <v>327.72</v>
      </c>
      <c r="V56" s="38">
        <v>364.42</v>
      </c>
      <c r="W56" s="38">
        <v>544.41999999999996</v>
      </c>
      <c r="X56" s="9">
        <v>0.1346552577015778</v>
      </c>
      <c r="Y56" s="8">
        <v>6.4912296975150108E-2</v>
      </c>
      <c r="Z56" s="7">
        <v>0.15264143547754869</v>
      </c>
      <c r="AA56" s="7">
        <v>0.191152355114903</v>
      </c>
    </row>
    <row r="57" spans="2:27" x14ac:dyDescent="0.3">
      <c r="B57" s="10" t="s">
        <v>284</v>
      </c>
      <c r="C57" s="2" t="s">
        <v>265</v>
      </c>
      <c r="D57" s="2" t="str">
        <f>VLOOKUP(B57,기업리스트!B:G,2,FALSE)</f>
        <v>PC Jeweller Limited</v>
      </c>
      <c r="E57" s="2" t="s">
        <v>246</v>
      </c>
      <c r="F57" s="25">
        <v>16.399999999999999</v>
      </c>
      <c r="G57" s="37">
        <v>294.7</v>
      </c>
      <c r="H57" s="37">
        <v>-1965</v>
      </c>
      <c r="I57" s="37">
        <v>779.5</v>
      </c>
      <c r="J57" s="37">
        <v>1405</v>
      </c>
      <c r="K57" s="37">
        <v>292.89999999999998</v>
      </c>
      <c r="L57" s="38">
        <v>-267.7</v>
      </c>
      <c r="M57" s="37">
        <v>-496.4</v>
      </c>
      <c r="N57" s="37">
        <v>-585.20000000000005</v>
      </c>
      <c r="O57" s="38">
        <v>-778.6</v>
      </c>
      <c r="P57" s="37">
        <v>-49</v>
      </c>
      <c r="Q57" s="37">
        <v>478</v>
      </c>
      <c r="R57" s="37">
        <v>814.8</v>
      </c>
      <c r="S57" s="38">
        <v>1071</v>
      </c>
      <c r="T57" s="38">
        <v>1419</v>
      </c>
      <c r="U57" s="38">
        <v>1223</v>
      </c>
      <c r="V57" s="38">
        <v>1727</v>
      </c>
      <c r="W57" s="38">
        <v>1962</v>
      </c>
      <c r="X57" s="9">
        <v>0.63418005875237604</v>
      </c>
      <c r="Y57" s="7">
        <v>0.196944062599133</v>
      </c>
      <c r="Z57" s="7">
        <v>0.20146649586995879</v>
      </c>
      <c r="AA57" s="7">
        <v>0.16378676470588241</v>
      </c>
    </row>
    <row r="58" spans="2:27" x14ac:dyDescent="0.3">
      <c r="B58" s="10" t="s">
        <v>289</v>
      </c>
      <c r="C58" s="2" t="s">
        <v>265</v>
      </c>
      <c r="D58" s="2" t="str">
        <f>VLOOKUP(B58,기업리스트!B:G,2,FALSE)</f>
        <v>Thermax Limited</v>
      </c>
      <c r="E58" s="2" t="s">
        <v>246</v>
      </c>
      <c r="F58" s="25">
        <v>15.6</v>
      </c>
      <c r="G58" s="37">
        <v>841.3</v>
      </c>
      <c r="H58" s="37">
        <v>1078</v>
      </c>
      <c r="I58" s="37">
        <v>674.8</v>
      </c>
      <c r="J58" s="37">
        <v>1108</v>
      </c>
      <c r="K58" s="38">
        <v>1320</v>
      </c>
      <c r="L58" s="38">
        <v>1743</v>
      </c>
      <c r="M58" s="37">
        <v>1028</v>
      </c>
      <c r="N58" s="38">
        <v>1717</v>
      </c>
      <c r="O58" s="37">
        <v>1516</v>
      </c>
      <c r="P58" s="38">
        <v>2379</v>
      </c>
      <c r="Q58" s="37">
        <v>1051</v>
      </c>
      <c r="R58" s="37">
        <v>2359</v>
      </c>
      <c r="S58" s="37">
        <v>1539</v>
      </c>
      <c r="T58" s="37">
        <v>2585</v>
      </c>
      <c r="U58" s="37">
        <v>1762</v>
      </c>
      <c r="V58" s="37">
        <v>1206</v>
      </c>
      <c r="W58" s="38">
        <v>2643</v>
      </c>
      <c r="X58" s="6">
        <v>2.8111353711790299E-2</v>
      </c>
      <c r="Y58" s="8">
        <v>9.4372179453145799E-2</v>
      </c>
      <c r="Z58" s="8">
        <v>-0.13984232868405089</v>
      </c>
      <c r="AA58" s="7">
        <v>0.15566835871404389</v>
      </c>
    </row>
    <row r="59" spans="2:27" x14ac:dyDescent="0.3">
      <c r="B59" s="10" t="s">
        <v>151</v>
      </c>
      <c r="C59" s="2" t="s">
        <v>265</v>
      </c>
      <c r="D59" s="2" t="str">
        <f>VLOOKUP(B59,기업리스트!B:G,2,FALSE)</f>
        <v>Shriram Pistons &amp; Rings Limited</v>
      </c>
      <c r="E59" s="2" t="s">
        <v>246</v>
      </c>
      <c r="F59" s="25">
        <v>10</v>
      </c>
      <c r="G59" s="37">
        <v>470.3</v>
      </c>
      <c r="H59" s="37">
        <v>612.35</v>
      </c>
      <c r="I59" s="37">
        <v>696.4</v>
      </c>
      <c r="J59" s="37">
        <v>910.5</v>
      </c>
      <c r="K59" s="38">
        <v>937.8</v>
      </c>
      <c r="L59" s="38">
        <v>1112</v>
      </c>
      <c r="M59" s="38">
        <v>1235</v>
      </c>
      <c r="N59" s="38">
        <v>1351</v>
      </c>
      <c r="O59" s="37">
        <v>1323</v>
      </c>
      <c r="P59" s="37">
        <v>1437</v>
      </c>
      <c r="Q59" s="37">
        <v>1359</v>
      </c>
      <c r="R59" s="37">
        <v>1469</v>
      </c>
      <c r="S59" s="37">
        <v>1397</v>
      </c>
      <c r="T59" s="37">
        <v>1828</v>
      </c>
      <c r="U59" s="37">
        <v>1636</v>
      </c>
      <c r="V59" s="37">
        <v>1747</v>
      </c>
      <c r="W59" s="38">
        <v>2061</v>
      </c>
      <c r="X59" s="6">
        <v>6.9056870363829015E-2</v>
      </c>
      <c r="Y59" s="8">
        <v>4.5762431851974261E-2</v>
      </c>
      <c r="Z59" s="8">
        <v>4.3917851500789862E-2</v>
      </c>
      <c r="AA59" s="7">
        <v>0.1004842615012107</v>
      </c>
    </row>
    <row r="60" spans="2:27" x14ac:dyDescent="0.3">
      <c r="B60" s="10" t="s">
        <v>120</v>
      </c>
      <c r="C60" s="2" t="s">
        <v>265</v>
      </c>
      <c r="D60" s="2" t="str">
        <f>VLOOKUP(B60,기업리스트!B:G,2,FALSE)</f>
        <v>Alembic Pharmaceuticals Limited</v>
      </c>
      <c r="E60" s="2" t="s">
        <v>241</v>
      </c>
      <c r="F60" s="4">
        <v>9.1999999999999993</v>
      </c>
      <c r="G60" s="37">
        <v>2026</v>
      </c>
      <c r="H60" s="37">
        <v>1997</v>
      </c>
      <c r="I60" s="37">
        <v>23.6</v>
      </c>
      <c r="J60" s="37">
        <v>-524.4</v>
      </c>
      <c r="K60" s="37">
        <v>1651</v>
      </c>
      <c r="L60" s="37">
        <v>1822</v>
      </c>
      <c r="M60" s="38">
        <v>1430</v>
      </c>
      <c r="N60" s="38">
        <v>1325</v>
      </c>
      <c r="O60" s="37">
        <v>1407</v>
      </c>
      <c r="P60" s="37">
        <v>1969</v>
      </c>
      <c r="Q60" s="37">
        <v>1906</v>
      </c>
      <c r="R60" s="37">
        <v>1678</v>
      </c>
      <c r="S60" s="37">
        <v>1688</v>
      </c>
      <c r="T60" s="37">
        <v>1902</v>
      </c>
      <c r="U60" s="37">
        <v>2031</v>
      </c>
      <c r="V60" s="37">
        <v>2076</v>
      </c>
      <c r="W60" s="37">
        <v>2396</v>
      </c>
      <c r="X60" s="6">
        <v>-9.2528656262946818E-3</v>
      </c>
      <c r="Y60" s="8">
        <v>1.7424031223864041E-2</v>
      </c>
      <c r="Z60" s="8">
        <v>5.4528017536648932E-2</v>
      </c>
      <c r="AA60" s="8">
        <v>9.1983889827205401E-2</v>
      </c>
    </row>
    <row r="61" spans="2:27" x14ac:dyDescent="0.3">
      <c r="B61" s="10" t="s">
        <v>74</v>
      </c>
      <c r="C61" s="2" t="s">
        <v>265</v>
      </c>
      <c r="D61" s="2" t="str">
        <f>VLOOKUP(B61,기업리스트!B:G,2,FALSE)</f>
        <v>Sundaram Finance Limited</v>
      </c>
      <c r="E61" s="2" t="s">
        <v>246</v>
      </c>
      <c r="F61" s="4">
        <v>6</v>
      </c>
      <c r="G61" s="37">
        <v>3434</v>
      </c>
      <c r="H61" s="37">
        <v>4511</v>
      </c>
      <c r="I61" s="37">
        <v>3460</v>
      </c>
      <c r="J61" s="37">
        <v>3974</v>
      </c>
      <c r="K61" s="37">
        <v>4241</v>
      </c>
      <c r="L61" s="37">
        <v>5073</v>
      </c>
      <c r="M61" s="37">
        <v>4220</v>
      </c>
      <c r="N61" s="37">
        <v>4681</v>
      </c>
      <c r="O61" s="37">
        <v>5134</v>
      </c>
      <c r="P61" s="38">
        <v>7111</v>
      </c>
      <c r="Q61" s="37">
        <v>5165</v>
      </c>
      <c r="R61" s="37">
        <v>5462</v>
      </c>
      <c r="S61" s="37">
        <v>5837</v>
      </c>
      <c r="T61" s="37">
        <v>6834</v>
      </c>
      <c r="U61" s="37">
        <v>5712</v>
      </c>
      <c r="V61" s="37">
        <v>6351</v>
      </c>
      <c r="W61" s="37">
        <v>7331</v>
      </c>
      <c r="X61" s="6">
        <v>-1.174973488865327E-2</v>
      </c>
      <c r="Y61" s="8">
        <v>2.3478410163962678E-2</v>
      </c>
      <c r="Z61" s="8">
        <v>3.7282449150765277E-2</v>
      </c>
      <c r="AA61" s="8">
        <v>6.0402684563758413E-2</v>
      </c>
    </row>
    <row r="62" spans="2:27" x14ac:dyDescent="0.3">
      <c r="B62" s="10" t="s">
        <v>68</v>
      </c>
      <c r="C62" s="2" t="s">
        <v>265</v>
      </c>
      <c r="D62" s="2" t="str">
        <f>VLOOKUP(B62,기업리스트!B:G,2,FALSE)</f>
        <v>General Insurance Corporation of India</v>
      </c>
      <c r="E62" s="2" t="s">
        <v>241</v>
      </c>
      <c r="F62" s="4">
        <v>5.9</v>
      </c>
      <c r="G62" s="37">
        <v>15372</v>
      </c>
      <c r="H62" s="37">
        <v>-837.5</v>
      </c>
      <c r="I62" s="37">
        <v>35245</v>
      </c>
      <c r="J62" s="37">
        <v>5345</v>
      </c>
      <c r="K62" s="38">
        <v>21655</v>
      </c>
      <c r="L62" s="38">
        <v>9858</v>
      </c>
      <c r="M62" s="37">
        <v>34945</v>
      </c>
      <c r="N62" s="37">
        <v>9662</v>
      </c>
      <c r="O62" s="37">
        <v>14646</v>
      </c>
      <c r="P62" s="37">
        <v>13479</v>
      </c>
      <c r="Q62" s="37">
        <v>40865</v>
      </c>
      <c r="R62" s="37">
        <v>14731</v>
      </c>
      <c r="S62" s="38">
        <v>23802</v>
      </c>
      <c r="T62" s="37">
        <v>19289</v>
      </c>
      <c r="U62" s="37">
        <v>31921</v>
      </c>
      <c r="V62" s="38">
        <v>27485</v>
      </c>
      <c r="W62" s="37">
        <v>29807</v>
      </c>
      <c r="X62" s="6">
        <v>6.2555853440571907E-2</v>
      </c>
      <c r="Y62" s="8">
        <v>-9.0629971526138164E-2</v>
      </c>
      <c r="Z62" s="7">
        <v>0.14211693391128</v>
      </c>
      <c r="AA62" s="8">
        <v>5.8587080597480863E-2</v>
      </c>
    </row>
    <row r="63" spans="2:27" x14ac:dyDescent="0.3">
      <c r="B63" s="10" t="s">
        <v>134</v>
      </c>
      <c r="C63" s="2" t="s">
        <v>265</v>
      </c>
      <c r="D63" s="2" t="str">
        <f>VLOOKUP(B63,기업리스트!B:G,2,FALSE)</f>
        <v>Fine Organic Industries Limited</v>
      </c>
      <c r="E63" s="2" t="s">
        <v>241</v>
      </c>
      <c r="F63" s="4">
        <v>-3.6</v>
      </c>
      <c r="G63" s="37">
        <v>632.89</v>
      </c>
      <c r="H63" s="37">
        <v>697.27</v>
      </c>
      <c r="I63" s="37">
        <v>1503</v>
      </c>
      <c r="J63" s="37">
        <v>2035</v>
      </c>
      <c r="K63" s="38">
        <v>2424</v>
      </c>
      <c r="L63" s="38">
        <v>1478</v>
      </c>
      <c r="M63" s="37">
        <v>1894</v>
      </c>
      <c r="N63" s="37">
        <v>1295</v>
      </c>
      <c r="O63" s="37">
        <v>1167</v>
      </c>
      <c r="P63" s="37">
        <v>1035</v>
      </c>
      <c r="Q63" s="37">
        <v>1282</v>
      </c>
      <c r="R63" s="37">
        <v>1280</v>
      </c>
      <c r="S63" s="37">
        <v>1382</v>
      </c>
      <c r="T63" s="37">
        <v>859.88</v>
      </c>
      <c r="U63" s="37">
        <v>1084</v>
      </c>
      <c r="V63" s="37">
        <v>1118</v>
      </c>
      <c r="W63" s="37">
        <v>1223</v>
      </c>
      <c r="X63" s="6">
        <v>-3.5171721229162463E-2</v>
      </c>
      <c r="Y63" s="8">
        <v>-4.1216683181095282E-2</v>
      </c>
      <c r="Z63" s="8">
        <v>-3.5172431761140148E-2</v>
      </c>
      <c r="AA63" s="8">
        <v>-3.577954400208827E-2</v>
      </c>
    </row>
    <row r="64" spans="2:27" x14ac:dyDescent="0.3">
      <c r="B64" s="10" t="s">
        <v>188</v>
      </c>
      <c r="C64" s="2" t="s">
        <v>265</v>
      </c>
      <c r="D64" s="2" t="str">
        <f>VLOOKUP(B64,기업리스트!B:G,2,FALSE)</f>
        <v>Religare Enterprises Limited</v>
      </c>
      <c r="E64" s="2" t="s">
        <v>241</v>
      </c>
      <c r="F64" s="4">
        <v>-5.8</v>
      </c>
      <c r="G64" s="37">
        <v>-1829</v>
      </c>
      <c r="H64" s="37">
        <v>-534.73</v>
      </c>
      <c r="I64" s="37">
        <v>1197</v>
      </c>
      <c r="J64" s="37">
        <v>1140</v>
      </c>
      <c r="K64" s="37">
        <v>338.99</v>
      </c>
      <c r="L64" s="38">
        <v>1309</v>
      </c>
      <c r="M64" s="38">
        <v>2441</v>
      </c>
      <c r="N64" s="37">
        <v>1193</v>
      </c>
      <c r="O64" s="37">
        <v>830.83</v>
      </c>
      <c r="P64" s="37">
        <v>649.59</v>
      </c>
      <c r="Q64" s="37">
        <v>84.87</v>
      </c>
      <c r="R64" s="37">
        <v>410.9</v>
      </c>
      <c r="S64" s="37">
        <v>612.25</v>
      </c>
      <c r="T64" s="37">
        <v>-737.81</v>
      </c>
      <c r="U64" s="38">
        <v>2252</v>
      </c>
      <c r="V64" s="37">
        <v>27.52</v>
      </c>
      <c r="W64" s="37">
        <v>487.32</v>
      </c>
      <c r="X64" s="6">
        <v>-0.78936737956657055</v>
      </c>
      <c r="Y64" s="7">
        <v>5.8537856892034252</v>
      </c>
      <c r="Z64" s="8">
        <v>-0.1510952414733541</v>
      </c>
      <c r="AA64" s="8">
        <v>-5.8000148563575937E-2</v>
      </c>
    </row>
    <row r="65" spans="2:27" x14ac:dyDescent="0.3">
      <c r="B65" s="10" t="s">
        <v>197</v>
      </c>
      <c r="C65" s="2" t="s">
        <v>265</v>
      </c>
      <c r="D65" s="2" t="str">
        <f>VLOOKUP(B65,기업리스트!B:G,2,FALSE)</f>
        <v>Mishra Dhatu Nigam Limited</v>
      </c>
      <c r="E65" s="2" t="s">
        <v>241</v>
      </c>
      <c r="F65" s="4">
        <v>-9.6999999999999993</v>
      </c>
      <c r="G65" s="37">
        <v>448.47</v>
      </c>
      <c r="H65" s="37">
        <v>559.91999999999996</v>
      </c>
      <c r="I65" s="37">
        <v>1134</v>
      </c>
      <c r="J65" s="37">
        <v>206.46</v>
      </c>
      <c r="K65" s="37">
        <v>453.13</v>
      </c>
      <c r="L65" s="37">
        <v>520.96</v>
      </c>
      <c r="M65" s="37">
        <v>997.96</v>
      </c>
      <c r="N65" s="37">
        <v>273.51</v>
      </c>
      <c r="O65" s="37">
        <v>218.63</v>
      </c>
      <c r="P65" s="37">
        <v>214.42</v>
      </c>
      <c r="Q65" s="37">
        <v>773.29</v>
      </c>
      <c r="R65" s="37">
        <v>80.319999999999993</v>
      </c>
      <c r="S65" s="37">
        <v>332.72</v>
      </c>
      <c r="T65" s="38">
        <v>362.71</v>
      </c>
      <c r="U65" s="37">
        <v>911.78</v>
      </c>
      <c r="V65" s="37">
        <v>180.53</v>
      </c>
      <c r="W65" s="37">
        <v>159.85</v>
      </c>
      <c r="X65" s="9">
        <v>0.1058647153310726</v>
      </c>
      <c r="Y65" s="8">
        <v>8.9403759747972877E-2</v>
      </c>
      <c r="Z65" s="8">
        <v>5.9382648012183507E-2</v>
      </c>
      <c r="AA65" s="8">
        <v>-9.6697506348798035E-2</v>
      </c>
    </row>
    <row r="66" spans="2:27" x14ac:dyDescent="0.3">
      <c r="B66" s="10" t="s">
        <v>57</v>
      </c>
      <c r="C66" s="2" t="s">
        <v>265</v>
      </c>
      <c r="D66" s="2" t="str">
        <f>VLOOKUP(B66,기업리스트!B:G,2,FALSE)</f>
        <v>Indus Towers Limited</v>
      </c>
      <c r="E66" s="2" t="s">
        <v>246</v>
      </c>
      <c r="F66" s="4">
        <v>-19.5</v>
      </c>
      <c r="G66" s="37">
        <v>23797</v>
      </c>
      <c r="H66" s="37">
        <v>27643</v>
      </c>
      <c r="I66" s="37">
        <v>9829</v>
      </c>
      <c r="J66" s="37">
        <v>15057</v>
      </c>
      <c r="K66" s="37">
        <v>-1719</v>
      </c>
      <c r="L66" s="37">
        <v>23839</v>
      </c>
      <c r="M66" s="38">
        <v>21397</v>
      </c>
      <c r="N66" s="37">
        <v>19303</v>
      </c>
      <c r="O66" s="38">
        <v>20259</v>
      </c>
      <c r="P66" s="37">
        <v>28283</v>
      </c>
      <c r="Q66" s="37">
        <v>29848</v>
      </c>
      <c r="R66" s="38">
        <v>33270</v>
      </c>
      <c r="S66" s="38">
        <v>54286</v>
      </c>
      <c r="T66" s="37">
        <v>29899</v>
      </c>
      <c r="U66" s="37">
        <v>26858</v>
      </c>
      <c r="V66" s="37">
        <v>28119</v>
      </c>
      <c r="W66" s="37">
        <v>27106</v>
      </c>
      <c r="X66" s="6">
        <v>1.1092273160954619E-2</v>
      </c>
      <c r="Y66" s="8">
        <v>-2.0298296708145761E-2</v>
      </c>
      <c r="Z66" s="8">
        <v>-3.5693250088349671E-2</v>
      </c>
      <c r="AA66" s="8">
        <v>-0.19531193860392931</v>
      </c>
    </row>
    <row r="67" spans="2:27" hidden="1" x14ac:dyDescent="0.3">
      <c r="B67" s="2" t="s">
        <v>94</v>
      </c>
      <c r="C67" s="2" t="s">
        <v>236</v>
      </c>
      <c r="D67" s="2" t="s">
        <v>266</v>
      </c>
      <c r="E67" s="2" t="s">
        <v>267</v>
      </c>
      <c r="F67" s="4">
        <v>47.5</v>
      </c>
      <c r="G67" s="3">
        <v>74.95</v>
      </c>
      <c r="H67" s="3">
        <v>48.32</v>
      </c>
      <c r="I67" s="3">
        <v>213.28</v>
      </c>
      <c r="J67" s="3">
        <v>146.04</v>
      </c>
      <c r="K67" s="3">
        <v>65.13</v>
      </c>
      <c r="L67" s="3">
        <v>9.31</v>
      </c>
      <c r="M67" s="3">
        <v>15.15</v>
      </c>
      <c r="N67" s="3">
        <v>13.22</v>
      </c>
      <c r="O67" s="3">
        <v>19.68</v>
      </c>
      <c r="P67" s="3">
        <v>-0.2</v>
      </c>
      <c r="Q67" s="3">
        <v>-4.5599999999999996</v>
      </c>
      <c r="R67" s="5">
        <v>17.649999999999999</v>
      </c>
      <c r="S67" s="3">
        <v>7.37</v>
      </c>
      <c r="T67" s="5">
        <v>13.54</v>
      </c>
      <c r="U67" s="5">
        <v>27.16</v>
      </c>
      <c r="V67" s="3">
        <v>13.5</v>
      </c>
      <c r="W67" s="5">
        <v>36.61</v>
      </c>
      <c r="X67" s="9">
        <v>0.67818361303060226</v>
      </c>
      <c r="Y67" s="7">
        <v>0.93294117647058816</v>
      </c>
      <c r="Z67" s="8">
        <v>-6.3146682897139317E-2</v>
      </c>
      <c r="AA67" s="7">
        <v>0.47490661036218951</v>
      </c>
    </row>
    <row r="68" spans="2:27" hidden="1" x14ac:dyDescent="0.3">
      <c r="B68" s="2" t="s">
        <v>42</v>
      </c>
      <c r="C68" s="2" t="s">
        <v>236</v>
      </c>
      <c r="D68" s="2" t="s">
        <v>250</v>
      </c>
      <c r="E68" s="2" t="s">
        <v>267</v>
      </c>
      <c r="F68" s="4">
        <v>31.1</v>
      </c>
      <c r="G68" s="3">
        <v>20.78</v>
      </c>
      <c r="H68" s="3">
        <v>-6.97</v>
      </c>
      <c r="I68" s="3">
        <v>-10.52</v>
      </c>
      <c r="J68" s="3">
        <v>-2.4</v>
      </c>
      <c r="K68" s="3">
        <v>1.78</v>
      </c>
      <c r="L68" s="3">
        <v>2.16</v>
      </c>
      <c r="M68" s="5">
        <v>-40.11</v>
      </c>
      <c r="N68" s="5">
        <v>-13.16</v>
      </c>
      <c r="O68" s="3">
        <v>23.25</v>
      </c>
      <c r="P68" s="5">
        <v>-17.48</v>
      </c>
      <c r="Q68" s="3">
        <v>-15.04</v>
      </c>
      <c r="R68" s="3">
        <v>-4.5599999999999996</v>
      </c>
      <c r="S68" s="3">
        <v>33.14</v>
      </c>
      <c r="T68" s="3">
        <v>-6.82</v>
      </c>
      <c r="U68" s="5">
        <v>-10.41</v>
      </c>
      <c r="V68" s="5">
        <v>2.93</v>
      </c>
      <c r="W68" s="5">
        <v>39</v>
      </c>
      <c r="X68" s="6">
        <v>-2.7055837563451779</v>
      </c>
      <c r="Y68" s="7">
        <v>0.68898809523809512</v>
      </c>
      <c r="Z68" s="7">
        <v>0.65991189427312746</v>
      </c>
      <c r="AA68" s="7">
        <v>0.31104033970276013</v>
      </c>
    </row>
    <row r="69" spans="2:27" hidden="1" x14ac:dyDescent="0.3">
      <c r="B69" s="2" t="s">
        <v>131</v>
      </c>
      <c r="C69" s="2" t="s">
        <v>236</v>
      </c>
      <c r="D69" s="2" t="s">
        <v>268</v>
      </c>
      <c r="E69" s="2" t="s">
        <v>267</v>
      </c>
      <c r="F69" s="4">
        <v>6.8</v>
      </c>
      <c r="G69" s="2"/>
      <c r="H69" s="2"/>
      <c r="I69" s="2"/>
      <c r="J69" s="2"/>
      <c r="K69" s="2"/>
      <c r="L69" s="2"/>
      <c r="M69" s="2"/>
      <c r="N69" s="2"/>
      <c r="O69" s="3">
        <v>30.24</v>
      </c>
      <c r="P69" s="3">
        <v>32.32</v>
      </c>
      <c r="Q69" s="3">
        <v>32.44</v>
      </c>
      <c r="R69" s="3">
        <v>33.39</v>
      </c>
      <c r="S69" s="3">
        <v>32.85</v>
      </c>
      <c r="T69" s="3">
        <v>28</v>
      </c>
      <c r="U69" s="3">
        <v>25.62</v>
      </c>
      <c r="V69" s="3">
        <v>40.630000000000003</v>
      </c>
      <c r="W69" s="3">
        <v>41.46</v>
      </c>
      <c r="X69" s="6">
        <v>-3.2977099236641161E-2</v>
      </c>
      <c r="Y69" s="8">
        <v>-5.3836438269655902E-2</v>
      </c>
      <c r="Z69" s="8">
        <v>6.0403804438511573E-2</v>
      </c>
      <c r="AA69" s="8">
        <v>6.7741935483870863E-2</v>
      </c>
    </row>
    <row r="70" spans="2:27" hidden="1" x14ac:dyDescent="0.3">
      <c r="B70" s="2" t="s">
        <v>167</v>
      </c>
      <c r="C70" s="2" t="s">
        <v>236</v>
      </c>
      <c r="D70" s="2" t="s">
        <v>269</v>
      </c>
      <c r="E70" s="2" t="s">
        <v>267</v>
      </c>
      <c r="F70" s="4">
        <v>4.5999999999999996</v>
      </c>
      <c r="G70" s="3">
        <v>-15.3</v>
      </c>
      <c r="H70" s="3">
        <v>-44.66</v>
      </c>
      <c r="I70" s="3">
        <v>-113.02</v>
      </c>
      <c r="J70" s="3">
        <v>-33.65</v>
      </c>
      <c r="K70" s="3">
        <v>-30.87</v>
      </c>
      <c r="L70" s="3">
        <v>-46.06</v>
      </c>
      <c r="M70" s="3">
        <v>-53.58</v>
      </c>
      <c r="N70" s="3">
        <v>3.04</v>
      </c>
      <c r="O70" s="5">
        <v>-57.78</v>
      </c>
      <c r="P70" s="3">
        <v>34.94</v>
      </c>
      <c r="Q70" s="3">
        <v>15.21</v>
      </c>
      <c r="R70" s="3">
        <v>30.44</v>
      </c>
      <c r="S70" s="5">
        <v>31.64</v>
      </c>
      <c r="T70" s="3">
        <v>6.99</v>
      </c>
      <c r="U70" s="3">
        <v>19.29</v>
      </c>
      <c r="V70" s="3">
        <v>32.369999999999997</v>
      </c>
      <c r="W70" s="3">
        <v>35.76</v>
      </c>
      <c r="X70" s="6">
        <v>-0.2490421455938697</v>
      </c>
      <c r="Y70" s="8">
        <v>4.8410061699098117E-2</v>
      </c>
      <c r="Z70" s="8">
        <v>2.1842462652784E-2</v>
      </c>
      <c r="AA70" s="8">
        <v>4.5630745376010751E-2</v>
      </c>
    </row>
    <row r="71" spans="2:27" hidden="1" x14ac:dyDescent="0.3">
      <c r="B71" s="2">
        <v>7177</v>
      </c>
      <c r="C71" s="2" t="s">
        <v>263</v>
      </c>
      <c r="D71" s="2" t="s">
        <v>264</v>
      </c>
      <c r="E71" s="2" t="s">
        <v>267</v>
      </c>
      <c r="F71" s="4">
        <v>1.3</v>
      </c>
      <c r="G71" s="3">
        <v>2898</v>
      </c>
      <c r="H71" s="3">
        <v>2950</v>
      </c>
      <c r="I71" s="3">
        <v>3395</v>
      </c>
      <c r="J71" s="3">
        <v>2904</v>
      </c>
      <c r="K71" s="3">
        <v>2080</v>
      </c>
      <c r="L71" s="3">
        <v>771</v>
      </c>
      <c r="M71" s="3">
        <v>3777</v>
      </c>
      <c r="N71" s="5">
        <v>4154</v>
      </c>
      <c r="O71" s="5">
        <v>3463</v>
      </c>
      <c r="P71" s="5">
        <v>3058</v>
      </c>
      <c r="Q71" s="3">
        <v>4354</v>
      </c>
      <c r="R71" s="3">
        <v>592</v>
      </c>
      <c r="S71" s="3">
        <v>3734</v>
      </c>
      <c r="T71" s="3">
        <v>247</v>
      </c>
      <c r="U71" s="3">
        <v>4223</v>
      </c>
      <c r="V71" s="5">
        <v>5554</v>
      </c>
      <c r="W71" s="3">
        <v>3915</v>
      </c>
      <c r="X71" s="6">
        <v>-0.23947861645936269</v>
      </c>
      <c r="Y71" s="8">
        <v>-1.4674582726559859E-2</v>
      </c>
      <c r="Z71" s="7">
        <v>0.56412005457025916</v>
      </c>
      <c r="AA71" s="8">
        <v>1.3155981974124041E-2</v>
      </c>
    </row>
    <row r="72" spans="2:27" x14ac:dyDescent="0.3">
      <c r="B72" s="36">
        <v>1060</v>
      </c>
      <c r="C72" s="26" t="s">
        <v>270</v>
      </c>
      <c r="D72" s="26" t="str">
        <f>VLOOKUP(B72,기업리스트!B:G,2,FALSE)</f>
        <v>Saudi Awwal Bank</v>
      </c>
      <c r="E72" s="2" t="s">
        <v>271</v>
      </c>
      <c r="F72" s="33">
        <v>7.6</v>
      </c>
      <c r="G72" s="39"/>
      <c r="H72" s="39"/>
      <c r="I72" s="39"/>
      <c r="J72" s="39"/>
      <c r="K72" s="39"/>
      <c r="L72" s="39"/>
      <c r="M72" s="39"/>
      <c r="N72" s="39">
        <v>428.02</v>
      </c>
      <c r="O72" s="39">
        <v>-192.25</v>
      </c>
      <c r="P72" s="39">
        <v>209.71</v>
      </c>
      <c r="Q72" s="39">
        <v>4.6399999999999997</v>
      </c>
      <c r="R72" s="39">
        <v>0</v>
      </c>
      <c r="S72" s="40">
        <v>333.66</v>
      </c>
      <c r="T72" s="39">
        <v>0</v>
      </c>
      <c r="U72" s="40">
        <v>538.04999999999995</v>
      </c>
      <c r="V72" s="40">
        <v>261.56</v>
      </c>
      <c r="W72" s="39">
        <v>419.31</v>
      </c>
      <c r="X72" s="30">
        <v>-0.38267549862228789</v>
      </c>
      <c r="Y72" s="32">
        <v>1.5767366242979599</v>
      </c>
      <c r="Z72" s="32">
        <v>0.30005391701368578</v>
      </c>
      <c r="AA72" s="31">
        <v>7.5577752874425475E-2</v>
      </c>
    </row>
    <row r="73" spans="2:27" hidden="1" x14ac:dyDescent="0.3">
      <c r="B73" s="2">
        <v>1150</v>
      </c>
      <c r="C73" s="2" t="s">
        <v>270</v>
      </c>
      <c r="D73" s="2" t="s">
        <v>264</v>
      </c>
      <c r="E73" s="2" t="s">
        <v>273</v>
      </c>
      <c r="F73" s="4">
        <v>5.5</v>
      </c>
      <c r="G73" s="2"/>
      <c r="H73" s="2"/>
      <c r="I73" s="2"/>
      <c r="J73" s="2"/>
      <c r="K73" s="2"/>
      <c r="L73" s="2"/>
      <c r="M73" s="2"/>
      <c r="N73" s="3">
        <v>-7.29</v>
      </c>
      <c r="O73" s="3">
        <v>-0.8</v>
      </c>
      <c r="P73" s="3">
        <v>0.62</v>
      </c>
      <c r="Q73" s="3">
        <v>-9.09</v>
      </c>
      <c r="R73" s="5">
        <v>-22.78</v>
      </c>
      <c r="S73" s="5">
        <v>-6.67</v>
      </c>
      <c r="T73" s="5">
        <v>-19.52</v>
      </c>
      <c r="U73" s="5">
        <v>-23.85</v>
      </c>
      <c r="V73" s="3">
        <v>-18.86</v>
      </c>
      <c r="W73" s="3">
        <v>-10.43</v>
      </c>
      <c r="X73" s="9">
        <v>0.5311181434599157</v>
      </c>
      <c r="Y73" s="7">
        <v>0.25421977264898388</v>
      </c>
      <c r="Z73" s="8">
        <v>-5.3831365009612719E-2</v>
      </c>
      <c r="AA73" s="8">
        <v>5.4571843251088437E-2</v>
      </c>
    </row>
    <row r="74" spans="2:27" hidden="1" x14ac:dyDescent="0.3">
      <c r="B74" s="2">
        <v>1010</v>
      </c>
      <c r="C74" s="2" t="s">
        <v>270</v>
      </c>
      <c r="D74" s="2" t="s">
        <v>264</v>
      </c>
      <c r="E74" s="2" t="s">
        <v>273</v>
      </c>
      <c r="F74" s="4">
        <v>4.4000000000000004</v>
      </c>
      <c r="G74" s="2"/>
      <c r="H74" s="2"/>
      <c r="I74" s="2"/>
      <c r="J74" s="2"/>
      <c r="K74" s="2"/>
      <c r="L74" s="2"/>
      <c r="M74" s="2"/>
      <c r="N74" s="3">
        <v>-11.38</v>
      </c>
      <c r="O74" s="3">
        <v>-10.06</v>
      </c>
      <c r="P74" s="3">
        <v>-21.38</v>
      </c>
      <c r="Q74" s="3">
        <v>-12.26</v>
      </c>
      <c r="R74" s="3">
        <v>19.57</v>
      </c>
      <c r="S74" s="3">
        <v>3.23</v>
      </c>
      <c r="T74" s="5">
        <v>-45.99</v>
      </c>
      <c r="U74" s="5">
        <v>-23.96</v>
      </c>
      <c r="V74" s="5">
        <v>-120.04</v>
      </c>
      <c r="W74" s="3">
        <v>-4.97</v>
      </c>
      <c r="X74" s="9">
        <v>2.2702952029520298</v>
      </c>
      <c r="Y74" s="7">
        <v>0.33004231311706639</v>
      </c>
      <c r="Z74" s="7">
        <v>2.960975609756098</v>
      </c>
      <c r="AA74" s="8">
        <v>4.3906618119511583E-2</v>
      </c>
    </row>
    <row r="75" spans="2:27" x14ac:dyDescent="0.3">
      <c r="B75" s="10">
        <v>1140</v>
      </c>
      <c r="C75" s="2" t="s">
        <v>270</v>
      </c>
      <c r="D75" s="2" t="str">
        <f>VLOOKUP(B75,기업리스트!B:G,2,FALSE)</f>
        <v>Bank Albilad</v>
      </c>
      <c r="E75" s="2" t="s">
        <v>271</v>
      </c>
      <c r="F75" s="4">
        <v>-2</v>
      </c>
      <c r="G75" s="37"/>
      <c r="H75" s="37"/>
      <c r="I75" s="37"/>
      <c r="J75" s="37"/>
      <c r="K75" s="37"/>
      <c r="L75" s="37"/>
      <c r="M75" s="37"/>
      <c r="N75" s="37">
        <v>94.16</v>
      </c>
      <c r="O75" s="37">
        <v>55.58</v>
      </c>
      <c r="P75" s="37">
        <v>32.74</v>
      </c>
      <c r="Q75" s="37">
        <v>50.31</v>
      </c>
      <c r="R75" s="37">
        <v>78.010000000000005</v>
      </c>
      <c r="S75" s="38">
        <v>114.57</v>
      </c>
      <c r="T75" s="38">
        <v>129.93</v>
      </c>
      <c r="U75" s="38">
        <v>111.4</v>
      </c>
      <c r="V75" s="38">
        <v>123.49</v>
      </c>
      <c r="W75" s="37">
        <v>105.03</v>
      </c>
      <c r="X75" s="9">
        <v>0.35261038348510693</v>
      </c>
      <c r="Y75" s="7">
        <v>0.16385923501958069</v>
      </c>
      <c r="Z75" s="7">
        <v>0.10481436242538771</v>
      </c>
      <c r="AA75" s="8">
        <v>-1.9900289951813699E-2</v>
      </c>
    </row>
    <row r="76" spans="2:27" hidden="1" x14ac:dyDescent="0.3">
      <c r="B76" s="2">
        <v>1020</v>
      </c>
      <c r="C76" s="2" t="s">
        <v>270</v>
      </c>
      <c r="D76" s="2" t="s">
        <v>264</v>
      </c>
      <c r="E76" s="2" t="s">
        <v>273</v>
      </c>
      <c r="F76" s="4">
        <v>-4.4000000000000004</v>
      </c>
      <c r="G76" s="2"/>
      <c r="H76" s="2"/>
      <c r="I76" s="2"/>
      <c r="J76" s="2"/>
      <c r="K76" s="2"/>
      <c r="L76" s="2"/>
      <c r="M76" s="2"/>
      <c r="N76" s="3">
        <v>0</v>
      </c>
      <c r="O76" s="3">
        <v>-12.96</v>
      </c>
      <c r="P76" s="3">
        <v>-11.82</v>
      </c>
      <c r="Q76" s="3">
        <v>-4.95</v>
      </c>
      <c r="R76" s="5">
        <v>-13.15</v>
      </c>
      <c r="S76" s="3">
        <v>-5.26</v>
      </c>
      <c r="T76" s="3">
        <v>-1</v>
      </c>
      <c r="U76" s="3">
        <v>-5.34</v>
      </c>
      <c r="V76" s="3">
        <v>-6.43</v>
      </c>
      <c r="W76" s="3">
        <v>-4.47</v>
      </c>
      <c r="X76" s="6">
        <v>-0.3075611142694713</v>
      </c>
      <c r="Y76" s="8">
        <v>1.6009852216748891E-2</v>
      </c>
      <c r="Z76" s="8">
        <v>-0.27151515151515149</v>
      </c>
      <c r="AA76" s="8">
        <v>-4.3815862451469963E-2</v>
      </c>
    </row>
    <row r="77" spans="2:27" hidden="1" x14ac:dyDescent="0.3">
      <c r="B77" s="2" t="s">
        <v>298</v>
      </c>
      <c r="C77" s="2" t="s">
        <v>272</v>
      </c>
      <c r="D77" s="2" t="s">
        <v>264</v>
      </c>
      <c r="E77" s="2" t="s">
        <v>273</v>
      </c>
      <c r="F77" s="4">
        <v>-5.2</v>
      </c>
      <c r="G77" s="2"/>
      <c r="H77" s="2"/>
      <c r="I77" s="2"/>
      <c r="J77" s="2"/>
      <c r="K77" s="2"/>
      <c r="L77" s="2"/>
      <c r="M77" s="2"/>
      <c r="N77" s="3">
        <v>66.540000000000006</v>
      </c>
      <c r="O77" s="3">
        <v>74.459999999999994</v>
      </c>
      <c r="P77" s="3">
        <v>57.76</v>
      </c>
      <c r="Q77" s="3">
        <v>32.79</v>
      </c>
      <c r="R77" s="3">
        <v>68.95</v>
      </c>
      <c r="S77" s="3">
        <v>70.180000000000007</v>
      </c>
      <c r="T77" s="3">
        <v>57.5</v>
      </c>
      <c r="U77" s="5">
        <v>71.150000000000006</v>
      </c>
      <c r="V77" s="3">
        <v>52.94</v>
      </c>
      <c r="W77" s="3">
        <v>57.13</v>
      </c>
      <c r="X77" s="6">
        <v>-1.1320097526993369E-3</v>
      </c>
      <c r="Y77" s="7">
        <v>0.16720425420625931</v>
      </c>
      <c r="Z77" s="8">
        <v>-5.9787885577713078E-2</v>
      </c>
      <c r="AA77" s="8">
        <v>-5.1833022202804169E-2</v>
      </c>
    </row>
  </sheetData>
  <autoFilter ref="B2:AA77" xr:uid="{00000000-0009-0000-0000-000002000000}">
    <filterColumn colId="3">
      <filters>
        <filter val="Dec'25"/>
        <filter val="H1 2026"/>
        <filter val="Jun'26"/>
        <filter val="Mar'26"/>
        <filter val="Sep'26"/>
      </filters>
    </filterColumn>
  </autoFilter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14"/>
  <sheetViews>
    <sheetView workbookViewId="0">
      <selection activeCell="P23" sqref="P23"/>
    </sheetView>
  </sheetViews>
  <sheetFormatPr defaultRowHeight="16.5" x14ac:dyDescent="0.3"/>
  <cols>
    <col min="1" max="1" width="3" customWidth="1"/>
    <col min="2" max="2" width="20" bestFit="1" customWidth="1"/>
    <col min="3" max="7" width="9" hidden="1" customWidth="1"/>
    <col min="8" max="23" width="9.125" customWidth="1"/>
  </cols>
  <sheetData>
    <row r="2" spans="2:27" x14ac:dyDescent="0.3">
      <c r="B2" s="15" t="s">
        <v>303</v>
      </c>
    </row>
    <row r="3" spans="2:27" x14ac:dyDescent="0.3">
      <c r="Y3" s="10" t="s">
        <v>7</v>
      </c>
      <c r="Z3" s="36">
        <v>2811</v>
      </c>
      <c r="AA3" s="36" t="s">
        <v>283</v>
      </c>
    </row>
    <row r="4" spans="2:27" x14ac:dyDescent="0.3">
      <c r="B4" s="15">
        <v>8370</v>
      </c>
      <c r="C4" s="14">
        <v>6</v>
      </c>
      <c r="D4" s="14">
        <v>7</v>
      </c>
      <c r="E4" s="14">
        <v>8</v>
      </c>
      <c r="F4" s="14">
        <v>9</v>
      </c>
      <c r="G4" s="14">
        <v>10</v>
      </c>
      <c r="H4" s="14">
        <v>11</v>
      </c>
      <c r="I4" s="14">
        <v>12</v>
      </c>
      <c r="J4" s="14">
        <v>13</v>
      </c>
      <c r="K4" s="14">
        <v>14</v>
      </c>
      <c r="L4" s="14">
        <v>15</v>
      </c>
      <c r="M4" s="14">
        <v>16</v>
      </c>
      <c r="N4" s="14">
        <v>17</v>
      </c>
      <c r="O4" s="14">
        <v>18</v>
      </c>
      <c r="P4" s="14">
        <v>19</v>
      </c>
      <c r="Q4" s="14">
        <v>20</v>
      </c>
      <c r="R4" s="14">
        <v>21</v>
      </c>
      <c r="S4" s="14">
        <v>22</v>
      </c>
      <c r="Y4" s="10" t="s">
        <v>27</v>
      </c>
      <c r="Z4" s="10">
        <v>6971</v>
      </c>
      <c r="AA4" s="10" t="s">
        <v>282</v>
      </c>
    </row>
    <row r="5" spans="2:27" x14ac:dyDescent="0.3">
      <c r="Y5" s="10" t="s">
        <v>100</v>
      </c>
      <c r="Z5" s="10">
        <v>7241</v>
      </c>
      <c r="AA5" s="10" t="s">
        <v>284</v>
      </c>
    </row>
    <row r="6" spans="2:27" x14ac:dyDescent="0.3">
      <c r="B6" s="11"/>
      <c r="C6" s="12" t="s">
        <v>219</v>
      </c>
      <c r="D6" s="12" t="s">
        <v>220</v>
      </c>
      <c r="E6" s="12" t="s">
        <v>221</v>
      </c>
      <c r="F6" s="12" t="s">
        <v>222</v>
      </c>
      <c r="G6" s="12" t="s">
        <v>223</v>
      </c>
      <c r="H6" s="12" t="s">
        <v>224</v>
      </c>
      <c r="I6" s="12" t="s">
        <v>225</v>
      </c>
      <c r="J6" s="12" t="s">
        <v>226</v>
      </c>
      <c r="K6" s="12" t="s">
        <v>227</v>
      </c>
      <c r="L6" s="12" t="s">
        <v>228</v>
      </c>
      <c r="M6" s="12" t="s">
        <v>229</v>
      </c>
      <c r="N6" s="12" t="s">
        <v>230</v>
      </c>
      <c r="O6" s="12" t="s">
        <v>231</v>
      </c>
      <c r="P6" s="12" t="s">
        <v>232</v>
      </c>
      <c r="Q6" s="12" t="s">
        <v>233</v>
      </c>
      <c r="R6" s="12" t="s">
        <v>234</v>
      </c>
      <c r="S6" s="13" t="s">
        <v>235</v>
      </c>
      <c r="T6" s="12" t="s">
        <v>299</v>
      </c>
      <c r="U6" s="12" t="s">
        <v>300</v>
      </c>
      <c r="V6" s="13" t="s">
        <v>301</v>
      </c>
      <c r="W6" s="12" t="s">
        <v>302</v>
      </c>
      <c r="Y6" s="10" t="s">
        <v>40</v>
      </c>
      <c r="Z6" s="10">
        <v>8386</v>
      </c>
      <c r="AA6" s="10" t="s">
        <v>289</v>
      </c>
    </row>
    <row r="7" spans="2:27" x14ac:dyDescent="0.3">
      <c r="B7" s="18" t="s">
        <v>274</v>
      </c>
      <c r="C7" s="16">
        <f>IFERROR(VLOOKUP($B$4,Revenue!$B$2:$X$500,C$4,FALSE),"-")</f>
        <v>18255</v>
      </c>
      <c r="D7" s="16">
        <f>IFERROR(VLOOKUP($B$4,Revenue!$B$2:$X$500,D$4,FALSE),"-")</f>
        <v>16336</v>
      </c>
      <c r="E7" s="16">
        <f>IFERROR(VLOOKUP($B$4,Revenue!$B$2:$X$500,E$4,FALSE),"-")</f>
        <v>21599</v>
      </c>
      <c r="F7" s="16">
        <f>IFERROR(VLOOKUP($B$4,Revenue!$B$2:$X$500,F$4,FALSE),"-")</f>
        <v>18351</v>
      </c>
      <c r="G7" s="16">
        <f>IFERROR(VLOOKUP($B$4,Revenue!$B$2:$X$500,G$4,FALSE),"-")</f>
        <v>17959</v>
      </c>
      <c r="H7" s="16">
        <f>IFERROR(VLOOKUP($B$4,Revenue!$B$2:$X$500,H$4,FALSE),"-")</f>
        <v>19789</v>
      </c>
      <c r="I7" s="16">
        <f>IFERROR(VLOOKUP($B$4,Revenue!$B$2:$X$500,I$4,FALSE),"-")</f>
        <v>17504</v>
      </c>
      <c r="J7" s="16">
        <f>IFERROR(VLOOKUP($B$4,Revenue!$B$2:$X$500,J$4,FALSE),"-")</f>
        <v>17837</v>
      </c>
      <c r="K7" s="16">
        <f>IFERROR(VLOOKUP($B$4,Revenue!$B$2:$X$500,K$4,FALSE),"-")</f>
        <v>17614</v>
      </c>
      <c r="L7" s="16">
        <f>IFERROR(VLOOKUP($B$4,Revenue!$B$2:$X$500,L$4,FALSE),"-")</f>
        <v>22750</v>
      </c>
      <c r="M7" s="16">
        <f>IFERROR(VLOOKUP($B$4,Revenue!$B$2:$X$500,M$4,FALSE),"-")</f>
        <v>21185</v>
      </c>
      <c r="N7" s="16">
        <f>IFERROR(VLOOKUP($B$4,Revenue!$B$2:$X$500,N$4,FALSE),"-")</f>
        <v>17490</v>
      </c>
      <c r="O7" s="16">
        <f>IFERROR(VLOOKUP($B$4,Revenue!$B$2:$X$500,O$4,FALSE),"-")</f>
        <v>23018</v>
      </c>
      <c r="P7" s="16">
        <f>IFERROR(VLOOKUP($B$4,Revenue!$B$2:$X$500,P$4,FALSE),"-")</f>
        <v>23840</v>
      </c>
      <c r="Q7" s="16">
        <f>IFERROR(VLOOKUP($B$4,Revenue!$B$2:$X$500,Q$4,FALSE),"-")</f>
        <v>22188</v>
      </c>
      <c r="R7" s="16">
        <f>IFERROR(VLOOKUP($B$4,Revenue!$B$2:$X$500,R$4,FALSE),"-")</f>
        <v>17463</v>
      </c>
      <c r="S7" s="19">
        <f>IFERROR(VLOOKUP($B$4,Revenue!$B$2:$X$500,S$4,FALSE),"-")</f>
        <v>30564</v>
      </c>
      <c r="Y7" s="10" t="s">
        <v>48</v>
      </c>
      <c r="Z7" s="10">
        <v>2281</v>
      </c>
      <c r="AA7" s="10" t="s">
        <v>151</v>
      </c>
    </row>
    <row r="8" spans="2:27" x14ac:dyDescent="0.3">
      <c r="B8" s="18" t="s">
        <v>275</v>
      </c>
      <c r="C8" s="16">
        <f>IFERROR(VLOOKUP($B$4,'Operating Income'!$B$2:$X$500,C$4,FALSE),"-")</f>
        <v>7447</v>
      </c>
      <c r="D8" s="16">
        <f>IFERROR(VLOOKUP($B$4,'Operating Income'!$B$2:$X$500,D$4,FALSE),"-")</f>
        <v>3014</v>
      </c>
      <c r="E8" s="16">
        <f>IFERROR(VLOOKUP($B$4,'Operating Income'!$B$2:$X$500,E$4,FALSE),"-")</f>
        <v>6694</v>
      </c>
      <c r="F8" s="16">
        <f>IFERROR(VLOOKUP($B$4,'Operating Income'!$B$2:$X$500,F$4,FALSE),"-")</f>
        <v>6340</v>
      </c>
      <c r="G8" s="16">
        <f>IFERROR(VLOOKUP($B$4,'Operating Income'!$B$2:$X$500,G$4,FALSE),"-")</f>
        <v>6734</v>
      </c>
      <c r="H8" s="16">
        <f>IFERROR(VLOOKUP($B$4,'Operating Income'!$B$2:$X$500,H$4,FALSE),"-")</f>
        <v>-14901</v>
      </c>
      <c r="I8" s="16">
        <f>IFERROR(VLOOKUP($B$4,'Operating Income'!$B$2:$X$500,I$4,FALSE),"-")</f>
        <v>4787</v>
      </c>
      <c r="J8" s="16">
        <f>IFERROR(VLOOKUP($B$4,'Operating Income'!$B$2:$X$500,J$4,FALSE),"-")</f>
        <v>4747</v>
      </c>
      <c r="K8" s="16">
        <f>IFERROR(VLOOKUP($B$4,'Operating Income'!$B$2:$X$500,K$4,FALSE),"-")</f>
        <v>5654</v>
      </c>
      <c r="L8" s="16">
        <f>IFERROR(VLOOKUP($B$4,'Operating Income'!$B$2:$X$500,L$4,FALSE),"-")</f>
        <v>4845</v>
      </c>
      <c r="M8" s="16">
        <f>IFERROR(VLOOKUP($B$4,'Operating Income'!$B$2:$X$500,M$4,FALSE),"-")</f>
        <v>5175</v>
      </c>
      <c r="N8" s="16">
        <f>IFERROR(VLOOKUP($B$4,'Operating Income'!$B$2:$X$500,N$4,FALSE),"-")</f>
        <v>5267</v>
      </c>
      <c r="O8" s="16">
        <f>IFERROR(VLOOKUP($B$4,'Operating Income'!$B$2:$X$500,O$4,FALSE),"-")</f>
        <v>6006</v>
      </c>
      <c r="P8" s="16">
        <f>IFERROR(VLOOKUP($B$4,'Operating Income'!$B$2:$X$500,P$4,FALSE),"-")</f>
        <v>6925</v>
      </c>
      <c r="Q8" s="16">
        <f>IFERROR(VLOOKUP($B$4,'Operating Income'!$B$2:$X$500,Q$4,FALSE),"-")</f>
        <v>6407</v>
      </c>
      <c r="R8" s="16">
        <f>IFERROR(VLOOKUP($B$4,'Operating Income'!$B$2:$X$500,R$4,FALSE),"-")</f>
        <v>4039</v>
      </c>
      <c r="S8" s="19">
        <f>IFERROR(VLOOKUP($B$4,'Operating Income'!$B$2:$X$500,S$4,FALSE),"-")</f>
        <v>8952</v>
      </c>
      <c r="Z8" s="10">
        <v>8370</v>
      </c>
    </row>
    <row r="9" spans="2:27" x14ac:dyDescent="0.3">
      <c r="B9" s="18" t="s">
        <v>276</v>
      </c>
      <c r="C9" s="16">
        <f>IFERROR(AVERAGE(C8:C8),"-")</f>
        <v>7447</v>
      </c>
      <c r="D9" s="16">
        <f>IFERROR(AVERAGE(C8:D8),"-")</f>
        <v>5230.5</v>
      </c>
      <c r="E9" s="16">
        <f>IFERROR(AVERAGE(C8:E8),"-")</f>
        <v>5718.333333333333</v>
      </c>
      <c r="F9" s="16">
        <f t="shared" ref="F9:S9" si="0">IFERROR(AVERAGE(C8:F8),"-")</f>
        <v>5873.75</v>
      </c>
      <c r="G9" s="16">
        <f t="shared" si="0"/>
        <v>5695.5</v>
      </c>
      <c r="H9" s="16">
        <f t="shared" si="0"/>
        <v>1216.75</v>
      </c>
      <c r="I9" s="16">
        <f t="shared" si="0"/>
        <v>740</v>
      </c>
      <c r="J9" s="16">
        <f t="shared" si="0"/>
        <v>341.75</v>
      </c>
      <c r="K9" s="16">
        <f t="shared" si="0"/>
        <v>71.75</v>
      </c>
      <c r="L9" s="16">
        <f t="shared" si="0"/>
        <v>5008.25</v>
      </c>
      <c r="M9" s="16">
        <f t="shared" si="0"/>
        <v>5105.25</v>
      </c>
      <c r="N9" s="16">
        <f t="shared" si="0"/>
        <v>5235.25</v>
      </c>
      <c r="O9" s="16">
        <f t="shared" si="0"/>
        <v>5323.25</v>
      </c>
      <c r="P9" s="16">
        <f t="shared" si="0"/>
        <v>5843.25</v>
      </c>
      <c r="Q9" s="16">
        <f t="shared" si="0"/>
        <v>6151.25</v>
      </c>
      <c r="R9" s="16">
        <f t="shared" si="0"/>
        <v>5844.25</v>
      </c>
      <c r="S9" s="19">
        <f t="shared" si="0"/>
        <v>6580.75</v>
      </c>
      <c r="Z9" s="2" t="s">
        <v>33</v>
      </c>
    </row>
    <row r="10" spans="2:27" x14ac:dyDescent="0.3">
      <c r="B10" s="18" t="s">
        <v>277</v>
      </c>
      <c r="C10" s="16">
        <f>IFERROR(SUM(C8:C8),"-")</f>
        <v>7447</v>
      </c>
      <c r="D10" s="16">
        <f>IFERROR(SUM(C8:D8),"-")</f>
        <v>10461</v>
      </c>
      <c r="E10" s="16">
        <f>IFERROR(SUM(C8:E8),"-")</f>
        <v>17155</v>
      </c>
      <c r="F10" s="16">
        <f t="shared" ref="F10:S10" si="1">IFERROR(SUM(C8:F8),"-")</f>
        <v>23495</v>
      </c>
      <c r="G10" s="16">
        <f t="shared" si="1"/>
        <v>22782</v>
      </c>
      <c r="H10" s="16">
        <f t="shared" si="1"/>
        <v>4867</v>
      </c>
      <c r="I10" s="16">
        <f t="shared" si="1"/>
        <v>2960</v>
      </c>
      <c r="J10" s="16">
        <f t="shared" si="1"/>
        <v>1367</v>
      </c>
      <c r="K10" s="16">
        <f t="shared" si="1"/>
        <v>287</v>
      </c>
      <c r="L10" s="16">
        <f t="shared" si="1"/>
        <v>20033</v>
      </c>
      <c r="M10" s="16">
        <f t="shared" si="1"/>
        <v>20421</v>
      </c>
      <c r="N10" s="16">
        <f t="shared" si="1"/>
        <v>20941</v>
      </c>
      <c r="O10" s="16">
        <f t="shared" si="1"/>
        <v>21293</v>
      </c>
      <c r="P10" s="16">
        <f t="shared" si="1"/>
        <v>23373</v>
      </c>
      <c r="Q10" s="16">
        <f t="shared" si="1"/>
        <v>24605</v>
      </c>
      <c r="R10" s="16">
        <f t="shared" si="1"/>
        <v>23377</v>
      </c>
      <c r="S10" s="19">
        <f t="shared" si="1"/>
        <v>26323</v>
      </c>
      <c r="Z10" s="2" t="s">
        <v>195</v>
      </c>
    </row>
    <row r="11" spans="2:27" x14ac:dyDescent="0.3">
      <c r="B11" s="18" t="s">
        <v>278</v>
      </c>
      <c r="C11" s="21"/>
      <c r="D11" s="22">
        <f t="shared" ref="D11:S11" si="2">IFERROR(D9/C9-1,"-")</f>
        <v>-0.29763663220088621</v>
      </c>
      <c r="E11" s="22">
        <f t="shared" si="2"/>
        <v>9.3267055412165734E-2</v>
      </c>
      <c r="F11" s="22">
        <f t="shared" si="2"/>
        <v>2.7178665112212341E-2</v>
      </c>
      <c r="G11" s="22">
        <f t="shared" si="2"/>
        <v>-3.0346882315386292E-2</v>
      </c>
      <c r="H11" s="22">
        <f t="shared" si="2"/>
        <v>-0.78636642963743308</v>
      </c>
      <c r="I11" s="22">
        <f t="shared" si="2"/>
        <v>-0.39182247791247171</v>
      </c>
      <c r="J11" s="22">
        <f t="shared" si="2"/>
        <v>-0.5381756756756757</v>
      </c>
      <c r="K11" s="22">
        <f t="shared" si="2"/>
        <v>-0.79005120702267739</v>
      </c>
      <c r="L11" s="22">
        <f t="shared" si="2"/>
        <v>68.80139372822299</v>
      </c>
      <c r="M11" s="22">
        <f t="shared" si="2"/>
        <v>1.9368042729496437E-2</v>
      </c>
      <c r="N11" s="22">
        <f t="shared" si="2"/>
        <v>2.5463983154595748E-2</v>
      </c>
      <c r="O11" s="22">
        <f t="shared" si="2"/>
        <v>1.6809130414020323E-2</v>
      </c>
      <c r="P11" s="22">
        <f t="shared" si="2"/>
        <v>9.7684685107781943E-2</v>
      </c>
      <c r="Q11" s="22">
        <f t="shared" si="2"/>
        <v>5.2710392333033873E-2</v>
      </c>
      <c r="R11" s="22">
        <f t="shared" si="2"/>
        <v>-4.9908555171713109E-2</v>
      </c>
      <c r="S11" s="23">
        <f t="shared" si="2"/>
        <v>0.12602130299011849</v>
      </c>
      <c r="Z11" s="2" t="s">
        <v>160</v>
      </c>
    </row>
    <row r="12" spans="2:27" x14ac:dyDescent="0.3">
      <c r="B12" s="18" t="s">
        <v>279</v>
      </c>
      <c r="C12" s="17">
        <f t="shared" ref="C12:S12" si="3">IFERROR(C8/C7,"-")</f>
        <v>0.40794302930703918</v>
      </c>
      <c r="D12" s="17">
        <f t="shared" si="3"/>
        <v>0.18450048971596475</v>
      </c>
      <c r="E12" s="17">
        <f t="shared" si="3"/>
        <v>0.30992175563683505</v>
      </c>
      <c r="F12" s="17">
        <f t="shared" si="3"/>
        <v>0.34548525965887417</v>
      </c>
      <c r="G12" s="17">
        <f t="shared" si="3"/>
        <v>0.37496519850771198</v>
      </c>
      <c r="H12" s="17">
        <f t="shared" si="3"/>
        <v>-0.75299408762443787</v>
      </c>
      <c r="I12" s="17">
        <f t="shared" si="3"/>
        <v>0.27348034734917731</v>
      </c>
      <c r="J12" s="17">
        <f t="shared" si="3"/>
        <v>0.26613219711834951</v>
      </c>
      <c r="K12" s="17">
        <f t="shared" si="3"/>
        <v>0.32099466333598276</v>
      </c>
      <c r="L12" s="17">
        <f t="shared" si="3"/>
        <v>0.21296703296703295</v>
      </c>
      <c r="M12" s="17">
        <f t="shared" si="3"/>
        <v>0.24427661080953506</v>
      </c>
      <c r="N12" s="17">
        <f t="shared" si="3"/>
        <v>0.30114351057747285</v>
      </c>
      <c r="O12" s="17">
        <f t="shared" si="3"/>
        <v>0.26092623164479972</v>
      </c>
      <c r="P12" s="17">
        <f t="shared" si="3"/>
        <v>0.29047818791946306</v>
      </c>
      <c r="Q12" s="17">
        <f t="shared" si="3"/>
        <v>0.28875968992248063</v>
      </c>
      <c r="R12" s="17">
        <f t="shared" si="3"/>
        <v>0.23128901105193839</v>
      </c>
      <c r="S12" s="20">
        <f t="shared" si="3"/>
        <v>0.292893600314095</v>
      </c>
      <c r="Z12" s="2" t="s">
        <v>175</v>
      </c>
    </row>
    <row r="13" spans="2:27" x14ac:dyDescent="0.3">
      <c r="B13" s="18" t="s">
        <v>280</v>
      </c>
      <c r="G13" s="17">
        <f t="shared" ref="G13:S13" si="4">IFERROR(G8/C8-1,"-")</f>
        <v>-9.5743252316369043E-2</v>
      </c>
      <c r="H13" s="17">
        <f t="shared" si="4"/>
        <v>-5.943928334439283</v>
      </c>
      <c r="I13" s="17">
        <f t="shared" si="4"/>
        <v>-0.28488198386614882</v>
      </c>
      <c r="J13" s="17">
        <f t="shared" si="4"/>
        <v>-0.25126182965299682</v>
      </c>
      <c r="K13" s="17">
        <f t="shared" si="4"/>
        <v>-0.16038016038016034</v>
      </c>
      <c r="L13" s="17">
        <f t="shared" si="4"/>
        <v>-1.3251459633581639</v>
      </c>
      <c r="M13" s="17">
        <f t="shared" si="4"/>
        <v>8.1052851472738663E-2</v>
      </c>
      <c r="N13" s="17">
        <f t="shared" si="4"/>
        <v>0.10954286918053513</v>
      </c>
      <c r="O13" s="17">
        <f t="shared" si="4"/>
        <v>6.2256809338521402E-2</v>
      </c>
      <c r="P13" s="17">
        <f t="shared" si="4"/>
        <v>0.42930856553147567</v>
      </c>
      <c r="Q13" s="17">
        <f t="shared" si="4"/>
        <v>0.23806763285024157</v>
      </c>
      <c r="R13" s="17">
        <f t="shared" si="4"/>
        <v>-0.23314980064552882</v>
      </c>
      <c r="S13" s="20">
        <f t="shared" si="4"/>
        <v>0.49050949050949044</v>
      </c>
      <c r="Z13" s="2" t="s">
        <v>153</v>
      </c>
    </row>
    <row r="14" spans="2:27" x14ac:dyDescent="0.3">
      <c r="B14" s="18" t="s">
        <v>281</v>
      </c>
      <c r="G14" s="17">
        <f t="shared" ref="G14:S14" si="5">IFERROR(G7/C7-1,"-")</f>
        <v>-1.6214735688852344E-2</v>
      </c>
      <c r="H14" s="17">
        <f t="shared" si="5"/>
        <v>0.21137365328109703</v>
      </c>
      <c r="I14" s="17">
        <f t="shared" si="5"/>
        <v>-0.1895921107458679</v>
      </c>
      <c r="J14" s="17">
        <f t="shared" si="5"/>
        <v>-2.8009372786224174E-2</v>
      </c>
      <c r="K14" s="17">
        <f t="shared" si="5"/>
        <v>-1.9210423742970106E-2</v>
      </c>
      <c r="L14" s="17">
        <f t="shared" si="5"/>
        <v>0.14962858153519631</v>
      </c>
      <c r="M14" s="17">
        <f t="shared" si="5"/>
        <v>0.21029478976233995</v>
      </c>
      <c r="N14" s="17">
        <f t="shared" si="5"/>
        <v>-1.9453944048887117E-2</v>
      </c>
      <c r="O14" s="17">
        <f t="shared" si="5"/>
        <v>0.30680140797093225</v>
      </c>
      <c r="P14" s="17">
        <f t="shared" si="5"/>
        <v>4.7912087912088008E-2</v>
      </c>
      <c r="Q14" s="17">
        <f t="shared" si="5"/>
        <v>4.7344819447722397E-2</v>
      </c>
      <c r="R14" s="17">
        <f t="shared" si="5"/>
        <v>-1.5437392795882854E-3</v>
      </c>
      <c r="S14" s="20">
        <f t="shared" si="5"/>
        <v>0.32783039360500488</v>
      </c>
    </row>
  </sheetData>
  <phoneticPr fontId="3" type="noConversion"/>
  <conditionalFormatting sqref="C11:S11">
    <cfRule type="cellIs" dxfId="3" priority="6" operator="greaterThan">
      <formula>0.1</formula>
    </cfRule>
  </conditionalFormatting>
  <conditionalFormatting sqref="C12:S12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D11:S11">
    <cfRule type="cellIs" dxfId="2" priority="7" operator="greaterThanOrEqual">
      <formula>0.1</formula>
    </cfRule>
  </conditionalFormatting>
  <conditionalFormatting sqref="D13:S1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D14:S14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H7:S7">
    <cfRule type="top10" dxfId="1" priority="2" percent="1" rank="10"/>
  </conditionalFormatting>
  <conditionalFormatting sqref="H8:S8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기업리스트</vt:lpstr>
      <vt:lpstr>Revenue</vt:lpstr>
      <vt:lpstr>Operating Income</vt:lpstr>
      <vt:lpstr>빨간줄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임지후[ 학부재학 / 수학과 ]</cp:lastModifiedBy>
  <dcterms:created xsi:type="dcterms:W3CDTF">2026-02-03T08:59:24Z</dcterms:created>
  <dcterms:modified xsi:type="dcterms:W3CDTF">2026-02-04T09:45:43Z</dcterms:modified>
</cp:coreProperties>
</file>