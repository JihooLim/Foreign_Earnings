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33" documentId="11_8E595864FBF21FA42A0C873C83BEE5104745ED11" xr6:coauthVersionLast="47" xr6:coauthVersionMax="47" xr10:uidLastSave="{B81A4538-2EDC-40EA-A146-571935032E36}"/>
  <bookViews>
    <workbookView xWindow="4650" yWindow="1710" windowWidth="22185" windowHeight="13350" activeTab="3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Income'!$B$2:$AA$127</definedName>
    <definedName name="_xlnm._FilterDatabase" localSheetId="1" hidden="1">Revenue!$B$2:$AA$126</definedName>
    <definedName name="_xlnm._FilterDatabase" localSheetId="0" hidden="1">기업리스트!$B$3:$G$244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4" l="1"/>
  <c r="R8" i="4"/>
  <c r="R13" i="4" s="1"/>
  <c r="Q8" i="4"/>
  <c r="P8" i="4"/>
  <c r="O8" i="4"/>
  <c r="N8" i="4"/>
  <c r="M8" i="4"/>
  <c r="L8" i="4"/>
  <c r="O10" i="4" s="1"/>
  <c r="K8" i="4"/>
  <c r="N10" i="4" s="1"/>
  <c r="J8" i="4"/>
  <c r="I8" i="4"/>
  <c r="H8" i="4"/>
  <c r="G8" i="4"/>
  <c r="F8" i="4"/>
  <c r="E8" i="4"/>
  <c r="D8" i="4"/>
  <c r="C8" i="4"/>
  <c r="S7" i="4"/>
  <c r="R7" i="4"/>
  <c r="Q7" i="4"/>
  <c r="P7" i="4"/>
  <c r="P14" i="4" s="1"/>
  <c r="O7" i="4"/>
  <c r="N7" i="4"/>
  <c r="M7" i="4"/>
  <c r="L7" i="4"/>
  <c r="K7" i="4"/>
  <c r="J7" i="4"/>
  <c r="I7" i="4"/>
  <c r="H7" i="4"/>
  <c r="G7" i="4"/>
  <c r="F7" i="4"/>
  <c r="E7" i="4"/>
  <c r="D7" i="4"/>
  <c r="C7" i="4"/>
  <c r="L9" i="4" l="1"/>
  <c r="Q14" i="4"/>
  <c r="P10" i="4"/>
  <c r="Q10" i="4"/>
  <c r="J12" i="4"/>
  <c r="I9" i="4"/>
  <c r="I11" i="4" s="1"/>
  <c r="G13" i="4"/>
  <c r="S13" i="4"/>
  <c r="M10" i="4"/>
  <c r="G14" i="4"/>
  <c r="S14" i="4"/>
  <c r="H14" i="4"/>
  <c r="F10" i="4"/>
  <c r="R10" i="4"/>
  <c r="I14" i="4"/>
  <c r="G9" i="4"/>
  <c r="P13" i="4"/>
  <c r="H9" i="4"/>
  <c r="H11" i="4" s="1"/>
  <c r="Q13" i="4"/>
  <c r="K12" i="4"/>
  <c r="M14" i="4"/>
  <c r="H13" i="4"/>
  <c r="N14" i="4"/>
  <c r="M9" i="4"/>
  <c r="M11" i="4" s="1"/>
  <c r="R14" i="4"/>
  <c r="L14" i="4"/>
  <c r="I12" i="4"/>
  <c r="O14" i="4"/>
  <c r="J13" i="4"/>
  <c r="N9" i="4"/>
  <c r="I10" i="4"/>
  <c r="L12" i="4"/>
  <c r="K13" i="4"/>
  <c r="J14" i="4"/>
  <c r="C9" i="4"/>
  <c r="O9" i="4"/>
  <c r="J10" i="4"/>
  <c r="M12" i="4"/>
  <c r="L13" i="4"/>
  <c r="K14" i="4"/>
  <c r="S10" i="4"/>
  <c r="D9" i="4"/>
  <c r="P9" i="4"/>
  <c r="K10" i="4"/>
  <c r="N12" i="4"/>
  <c r="M13" i="4"/>
  <c r="E9" i="4"/>
  <c r="Q9" i="4"/>
  <c r="L10" i="4"/>
  <c r="C12" i="4"/>
  <c r="O12" i="4"/>
  <c r="N13" i="4"/>
  <c r="F9" i="4"/>
  <c r="R9" i="4"/>
  <c r="D12" i="4"/>
  <c r="P12" i="4"/>
  <c r="O13" i="4"/>
  <c r="G10" i="4"/>
  <c r="I13" i="4"/>
  <c r="H10" i="4"/>
  <c r="S9" i="4"/>
  <c r="E12" i="4"/>
  <c r="Q12" i="4"/>
  <c r="C10" i="4"/>
  <c r="F12" i="4"/>
  <c r="R12" i="4"/>
  <c r="D10" i="4"/>
  <c r="G12" i="4"/>
  <c r="S12" i="4"/>
  <c r="J9" i="4"/>
  <c r="J11" i="4" s="1"/>
  <c r="E10" i="4"/>
  <c r="H12" i="4"/>
  <c r="K9" i="4"/>
  <c r="N11" i="4" l="1"/>
  <c r="K11" i="4"/>
  <c r="Q11" i="4"/>
  <c r="E11" i="4"/>
  <c r="S11" i="4"/>
  <c r="O11" i="4"/>
  <c r="R11" i="4"/>
  <c r="F11" i="4"/>
  <c r="P11" i="4"/>
  <c r="D11" i="4"/>
  <c r="L11" i="4"/>
  <c r="G11" i="4"/>
</calcChain>
</file>

<file path=xl/sharedStrings.xml><?xml version="1.0" encoding="utf-8"?>
<sst xmlns="http://schemas.openxmlformats.org/spreadsheetml/2006/main" count="2128" uniqueCount="591">
  <si>
    <t>실적 기업 정보</t>
  </si>
  <si>
    <t>Ticker</t>
  </si>
  <si>
    <t>Company</t>
  </si>
  <si>
    <t>Date</t>
  </si>
  <si>
    <t>Time</t>
  </si>
  <si>
    <t>Quarter Ending</t>
  </si>
  <si>
    <t>Market Cap (mil$)</t>
  </si>
  <si>
    <t>HD</t>
  </si>
  <si>
    <t>The Home Depot, Inc.</t>
  </si>
  <si>
    <t>24-Feb-26</t>
  </si>
  <si>
    <t>Feb-26</t>
  </si>
  <si>
    <t>CEG</t>
  </si>
  <si>
    <t>Constellation Energy Corporation</t>
  </si>
  <si>
    <t>Dec-25</t>
  </si>
  <si>
    <t>MELI</t>
  </si>
  <si>
    <t>MercadoLibre, Inc.</t>
  </si>
  <si>
    <t>After Hours</t>
  </si>
  <si>
    <t>BNS</t>
  </si>
  <si>
    <t>The Bank of Nova Scotia</t>
  </si>
  <si>
    <t>Jan-26</t>
  </si>
  <si>
    <t>AMT</t>
  </si>
  <si>
    <t>American Tower Corporation</t>
  </si>
  <si>
    <t>O39</t>
  </si>
  <si>
    <t>Oversea-Chinese Banking Corporation Limited</t>
  </si>
  <si>
    <t>EOG</t>
  </si>
  <si>
    <t>EOG Resources, Inc.</t>
  </si>
  <si>
    <t>O</t>
  </si>
  <si>
    <t>Realty Income Corporation</t>
  </si>
  <si>
    <t>STAN</t>
  </si>
  <si>
    <t>Standard Chartered PLC</t>
  </si>
  <si>
    <t>Guotai Haitong Securities Co., Ltd.</t>
  </si>
  <si>
    <t>ROSN</t>
  </si>
  <si>
    <t>Public Joint Stock Company Rosneft Oil Company</t>
  </si>
  <si>
    <t>WDAY</t>
  </si>
  <si>
    <t>Workday, Inc.</t>
  </si>
  <si>
    <t>ELE</t>
  </si>
  <si>
    <t>Endesa, S.A.</t>
  </si>
  <si>
    <t>KDP</t>
  </si>
  <si>
    <t>Keurig Dr Pepper Inc.</t>
  </si>
  <si>
    <t>Pre Market</t>
  </si>
  <si>
    <t>ALC</t>
  </si>
  <si>
    <t>Alcon Inc.</t>
  </si>
  <si>
    <t>GMKN</t>
  </si>
  <si>
    <t>Public Joint Stock Company Mining and Metallurgical Company Norilsk Nickel</t>
  </si>
  <si>
    <t>AXON</t>
  </si>
  <si>
    <t>Axon Enterprise, Inc.</t>
  </si>
  <si>
    <t>NRG</t>
  </si>
  <si>
    <t>NRG Energy, Inc.</t>
  </si>
  <si>
    <t>FSLR</t>
  </si>
  <si>
    <t>First Solar, Inc.</t>
  </si>
  <si>
    <t>MTX</t>
  </si>
  <si>
    <t>MTU Aero Engines AG</t>
  </si>
  <si>
    <t>SIBN</t>
  </si>
  <si>
    <t>Public Joint Stock Company Gazprom Neft</t>
  </si>
  <si>
    <t>TEF</t>
  </si>
  <si>
    <t>Telefónica, S.A.</t>
  </si>
  <si>
    <t>CSGP</t>
  </si>
  <si>
    <t>CoStar Group, Inc.</t>
  </si>
  <si>
    <t>AS</t>
  </si>
  <si>
    <t>Amer Sports, Inc.</t>
  </si>
  <si>
    <t>EXPD</t>
  </si>
  <si>
    <t>Expeditors International of Washington, Inc.</t>
  </si>
  <si>
    <t>HPQ</t>
  </si>
  <si>
    <t>HP Inc.</t>
  </si>
  <si>
    <t>GDDY</t>
  </si>
  <si>
    <t>GoDaddy Inc.</t>
  </si>
  <si>
    <t>KOF</t>
  </si>
  <si>
    <t>Coca-Cola FEMSA, S.A.B. de C.V.</t>
  </si>
  <si>
    <t>TEM</t>
  </si>
  <si>
    <t>Tempus AI, Inc.</t>
  </si>
  <si>
    <t>SUI</t>
  </si>
  <si>
    <t>Sun Communities, Inc.</t>
  </si>
  <si>
    <t>C6L</t>
  </si>
  <si>
    <t>Singapore Airlines Limited</t>
  </si>
  <si>
    <t>FME</t>
  </si>
  <si>
    <t>Fresenius Medical Care AG</t>
  </si>
  <si>
    <t>WTC</t>
  </si>
  <si>
    <t>WiseTech Global Limited</t>
  </si>
  <si>
    <t>2020</t>
  </si>
  <si>
    <t>SABIC Agri-Nutrients Company</t>
  </si>
  <si>
    <t>FALABELLA</t>
  </si>
  <si>
    <t>Falabella S.A.</t>
  </si>
  <si>
    <t>1080</t>
  </si>
  <si>
    <t>Arab National Bank</t>
  </si>
  <si>
    <t>CPALL</t>
  </si>
  <si>
    <t>CP ALL Public Company Limited</t>
  </si>
  <si>
    <t>BBIO</t>
  </si>
  <si>
    <t>BridgeBio Pharma, Inc.</t>
  </si>
  <si>
    <t>PMETAL</t>
  </si>
  <si>
    <t>Press Metal Aluminium Holdings Berhad</t>
  </si>
  <si>
    <t>PEN</t>
  </si>
  <si>
    <t>Penumbra, Inc.</t>
  </si>
  <si>
    <t>MOS</t>
  </si>
  <si>
    <t>The Mosaic Company</t>
  </si>
  <si>
    <t>EFN</t>
  </si>
  <si>
    <t>Element Fleet Management Corp.</t>
  </si>
  <si>
    <t>WLK</t>
  </si>
  <si>
    <t>Westlake Corporation</t>
  </si>
  <si>
    <t>ELAN</t>
  </si>
  <si>
    <t>Elanco Animal Health Incorporated</t>
  </si>
  <si>
    <t>DDS</t>
  </si>
  <si>
    <t>Dillard's, Inc.</t>
  </si>
  <si>
    <t>ASUR B</t>
  </si>
  <si>
    <t>Grupo Aeroportuario del Sureste, S. A. B. de C. V.</t>
  </si>
  <si>
    <t>DRS</t>
  </si>
  <si>
    <t>Leonardo DRS, Inc.</t>
  </si>
  <si>
    <t>SPXC</t>
  </si>
  <si>
    <t>SPX Technologies, Inc.</t>
  </si>
  <si>
    <t>CORT</t>
  </si>
  <si>
    <t>Corcept Therapeutics Incorporated</t>
  </si>
  <si>
    <t>RRC</t>
  </si>
  <si>
    <t>Range Resources Corporation</t>
  </si>
  <si>
    <t>MEL</t>
  </si>
  <si>
    <t>Meridian Energy Limited</t>
  </si>
  <si>
    <t>U96</t>
  </si>
  <si>
    <t>Sembcorp Industries Ltd</t>
  </si>
  <si>
    <t>AWI</t>
  </si>
  <si>
    <t>Armstrong World Industries, Inc.</t>
  </si>
  <si>
    <t>JAZZ</t>
  </si>
  <si>
    <t>Jazz Pharmaceuticals plc</t>
  </si>
  <si>
    <t>PLNT</t>
  </si>
  <si>
    <t>Planet Fitness, Inc.</t>
  </si>
  <si>
    <t>RGEN</t>
  </si>
  <si>
    <t>Repligen Corporation</t>
  </si>
  <si>
    <t>CHMF</t>
  </si>
  <si>
    <t>Public Joint Stock Company Severstal</t>
  </si>
  <si>
    <t>GMED</t>
  </si>
  <si>
    <t>Globus Medical, Inc.</t>
  </si>
  <si>
    <t>HSIC</t>
  </si>
  <si>
    <t>Henry Schein, Inc.</t>
  </si>
  <si>
    <t>CYTK</t>
  </si>
  <si>
    <t>Cytokinetics, Incorporated</t>
  </si>
  <si>
    <t>Unimicron Technology Corp.</t>
  </si>
  <si>
    <t>PSPN</t>
  </si>
  <si>
    <t>PSP Swiss Property AG</t>
  </si>
  <si>
    <t>DSY</t>
  </si>
  <si>
    <t>Discovery Limited</t>
  </si>
  <si>
    <t>ISA</t>
  </si>
  <si>
    <t>Interconexión Eléctrica S.A. E.S.P.</t>
  </si>
  <si>
    <t>Constellation Energy Group, Inc.</t>
  </si>
  <si>
    <t>CAVA</t>
  </si>
  <si>
    <t>CAVA Group, Inc.</t>
  </si>
  <si>
    <t>CIFR</t>
  </si>
  <si>
    <t>Cipher Mining Inc.</t>
  </si>
  <si>
    <t>G13</t>
  </si>
  <si>
    <t>Genting Singapore Limited</t>
  </si>
  <si>
    <t>EXLS</t>
  </si>
  <si>
    <t>ExlService Holdings, Inc.</t>
  </si>
  <si>
    <t>CHDRAUI B</t>
  </si>
  <si>
    <t>Grupo Comercial Chedraui, S.A.B. de C.V.</t>
  </si>
  <si>
    <t>CTEC</t>
  </si>
  <si>
    <t>Convatec Group PLC</t>
  </si>
  <si>
    <t>IOICORP</t>
  </si>
  <si>
    <t>IOI Corporation Berhad</t>
  </si>
  <si>
    <t>VTBR</t>
  </si>
  <si>
    <t>VTB Bank (public joint-stock company)</t>
  </si>
  <si>
    <t>NRP</t>
  </si>
  <si>
    <t>NEPI Rockcastle N.V.</t>
  </si>
  <si>
    <t>LTH</t>
  </si>
  <si>
    <t>Life Time Group Holdings, Inc.</t>
  </si>
  <si>
    <t>PCVX</t>
  </si>
  <si>
    <t>Vaxcyte, Inc.</t>
  </si>
  <si>
    <t>BRFS3</t>
  </si>
  <si>
    <t>BRF S.A.</t>
  </si>
  <si>
    <t>5871</t>
  </si>
  <si>
    <t>Chailease Holding Company Limited</t>
  </si>
  <si>
    <t>PETDAG</t>
  </si>
  <si>
    <t>PETRONAS Dagangan Berhad</t>
  </si>
  <si>
    <t>LCID</t>
  </si>
  <si>
    <t>Lucid Group, Inc.</t>
  </si>
  <si>
    <t>MMSI</t>
  </si>
  <si>
    <t>Merit Medical Systems, Inc.</t>
  </si>
  <si>
    <t>EDEN</t>
  </si>
  <si>
    <t>Edenred SE</t>
  </si>
  <si>
    <t>MCY</t>
  </si>
  <si>
    <t>Mercury NZ Limited</t>
  </si>
  <si>
    <t>CRDA</t>
  </si>
  <si>
    <t>Croda International Plc</t>
  </si>
  <si>
    <t>MTDR</t>
  </si>
  <si>
    <t>Matador Resources Company</t>
  </si>
  <si>
    <t>ECG</t>
  </si>
  <si>
    <t>Everus Construction Group, Inc.</t>
  </si>
  <si>
    <t>A028300</t>
  </si>
  <si>
    <t>HLB Co., Ltd.</t>
  </si>
  <si>
    <t>SHC</t>
  </si>
  <si>
    <t>Sotera Health Company</t>
  </si>
  <si>
    <t>UTG</t>
  </si>
  <si>
    <t>Unite Group PLC</t>
  </si>
  <si>
    <t>CCC</t>
  </si>
  <si>
    <t>CCC Intelligent Solutions Holdings Inc.</t>
  </si>
  <si>
    <t>REZI</t>
  </si>
  <si>
    <t>Resideo Technologies, Inc.</t>
  </si>
  <si>
    <t>TTKOM</t>
  </si>
  <si>
    <t>Türk Telekomünikasyon Anonim Sirketi</t>
  </si>
  <si>
    <t>DOCN</t>
  </si>
  <si>
    <t>DigitalOcean Holdings, Inc.</t>
  </si>
  <si>
    <t>ZETA</t>
  </si>
  <si>
    <t>Zeta Global Holdings Corp.</t>
  </si>
  <si>
    <t>TMDX</t>
  </si>
  <si>
    <t>TransMedics Group, Inc.</t>
  </si>
  <si>
    <t>OPCH</t>
  </si>
  <si>
    <t>Option Care Health, Inc.</t>
  </si>
  <si>
    <t>AROC</t>
  </si>
  <si>
    <t>Archrock, Inc.</t>
  </si>
  <si>
    <t>SDF</t>
  </si>
  <si>
    <t>Steadfast Group Limited</t>
  </si>
  <si>
    <t>GPOR</t>
  </si>
  <si>
    <t>Gulfport Energy Corporation</t>
  </si>
  <si>
    <t>SKT</t>
  </si>
  <si>
    <t>Tanger Inc.</t>
  </si>
  <si>
    <t>TREX</t>
  </si>
  <si>
    <t>Trex Company, Inc.</t>
  </si>
  <si>
    <t>MATX</t>
  </si>
  <si>
    <t>Matson, Inc.</t>
  </si>
  <si>
    <t>BHW</t>
  </si>
  <si>
    <t>Bank Handlowy w Warszawie S.A.</t>
  </si>
  <si>
    <t>VRRM</t>
  </si>
  <si>
    <t>Verra Mobility Corporation</t>
  </si>
  <si>
    <t>DOKA</t>
  </si>
  <si>
    <t>dormakaba Holding AG</t>
  </si>
  <si>
    <t>EBO</t>
  </si>
  <si>
    <t>EBOS Group Limited</t>
  </si>
  <si>
    <t>PHP</t>
  </si>
  <si>
    <t>Primary Health Properties Plc</t>
  </si>
  <si>
    <t>EIF</t>
  </si>
  <si>
    <t>Exchange Income Corporation</t>
  </si>
  <si>
    <t>APLS</t>
  </si>
  <si>
    <t>Apellis Pharmaceuticals, Inc.</t>
  </si>
  <si>
    <t>BRSL</t>
  </si>
  <si>
    <t>Brightstar Lottery PLC</t>
  </si>
  <si>
    <t>ATEC</t>
  </si>
  <si>
    <t>Alphatec Holdings, Inc.</t>
  </si>
  <si>
    <t>KNSA</t>
  </si>
  <si>
    <t>Kiniksa Pharmaceuticals International, plc</t>
  </si>
  <si>
    <t>ALM</t>
  </si>
  <si>
    <t>Almirall, S.A.</t>
  </si>
  <si>
    <t>FRVIA</t>
  </si>
  <si>
    <t>Forvia SE</t>
  </si>
  <si>
    <t>ALUP11</t>
  </si>
  <si>
    <t>Alupar Investimento S.A.</t>
  </si>
  <si>
    <t>ATE</t>
  </si>
  <si>
    <t>Alten S.A.</t>
  </si>
  <si>
    <t>MGEE</t>
  </si>
  <si>
    <t>MGE Energy, Inc.</t>
  </si>
  <si>
    <t>Voltronic Power Technology Corp.</t>
  </si>
  <si>
    <t>KPJ</t>
  </si>
  <si>
    <t>KPJ Healthcare Berhad</t>
  </si>
  <si>
    <t>XMTR</t>
  </si>
  <si>
    <t>Xometry, Inc.</t>
  </si>
  <si>
    <t>ATRO</t>
  </si>
  <si>
    <t>Astronics Corporation</t>
  </si>
  <si>
    <t>BEAM</t>
  </si>
  <si>
    <t>Beam Therapeutics Inc.</t>
  </si>
  <si>
    <t>IPAR</t>
  </si>
  <si>
    <t>Interparfums, Inc.</t>
  </si>
  <si>
    <t>SUPN</t>
  </si>
  <si>
    <t>Supernus Pharmaceuticals, Inc.</t>
  </si>
  <si>
    <t>TXAR</t>
  </si>
  <si>
    <t>Ternium Argentina S.A.</t>
  </si>
  <si>
    <t>SEI</t>
  </si>
  <si>
    <t>Solaris Energy Infrastructure, Inc.</t>
  </si>
  <si>
    <t>SAM</t>
  </si>
  <si>
    <t>The Boston Beer Company, Inc.</t>
  </si>
  <si>
    <t>HURN</t>
  </si>
  <si>
    <t>Huron Consulting Group Inc.</t>
  </si>
  <si>
    <t>BB</t>
  </si>
  <si>
    <t>Société BIC SA</t>
  </si>
  <si>
    <t>CLVT</t>
  </si>
  <si>
    <t>Clarivate Plc</t>
  </si>
  <si>
    <t>GRE</t>
  </si>
  <si>
    <t>Grenergy Renovables, S.A.</t>
  </si>
  <si>
    <t>ILCO</t>
  </si>
  <si>
    <t>Israel Corporation Ltd</t>
  </si>
  <si>
    <t>8358</t>
  </si>
  <si>
    <t>Co-Tech Development Corporation</t>
  </si>
  <si>
    <t>CECO</t>
  </si>
  <si>
    <t>CECO Environmental Corp.</t>
  </si>
  <si>
    <t>ENJSA</t>
  </si>
  <si>
    <t>Enerjisa Enerji A.S.</t>
  </si>
  <si>
    <t>HRMY</t>
  </si>
  <si>
    <t>Harmony Biosciences Holdings, Inc.</t>
  </si>
  <si>
    <t>ESTA</t>
  </si>
  <si>
    <t>Establishment Labs Holdings Inc.</t>
  </si>
  <si>
    <t>MCEMENT</t>
  </si>
  <si>
    <t>Malayan Cement Berhad</t>
  </si>
  <si>
    <t>RVLV</t>
  </si>
  <si>
    <t>Revolve Group, Inc.</t>
  </si>
  <si>
    <t>PRCT</t>
  </si>
  <si>
    <t>PROCEPT BioRobotics Corporation</t>
  </si>
  <si>
    <t>MQ</t>
  </si>
  <si>
    <t>Marqeta, Inc.</t>
  </si>
  <si>
    <t>P8Z</t>
  </si>
  <si>
    <t>Bumitama Agri Ltd.</t>
  </si>
  <si>
    <t>TALO</t>
  </si>
  <si>
    <t>Talos Energy Inc.</t>
  </si>
  <si>
    <t>AUSS</t>
  </si>
  <si>
    <t>Austevoll Seafood ASA</t>
  </si>
  <si>
    <t>TILE</t>
  </si>
  <si>
    <t>Interface, Inc.</t>
  </si>
  <si>
    <t>ORBIA *</t>
  </si>
  <si>
    <t>Orbia Advance Corporation, S.A.B. de C.V.</t>
  </si>
  <si>
    <t>SLX</t>
  </si>
  <si>
    <t>Silex Systems Limited</t>
  </si>
  <si>
    <t>WMK</t>
  </si>
  <si>
    <t>Weis Markets, Inc.</t>
  </si>
  <si>
    <t>FLYW</t>
  </si>
  <si>
    <t>Flywire Corporation</t>
  </si>
  <si>
    <t>U10</t>
  </si>
  <si>
    <t>UOB-Kay Hian Holdings Limited</t>
  </si>
  <si>
    <t>PARR</t>
  </si>
  <si>
    <t>Par Pacific Holdings, Inc.</t>
  </si>
  <si>
    <t>PNBN</t>
  </si>
  <si>
    <t>PT Bank Pan Indonesia Tbk</t>
  </si>
  <si>
    <t>EXPI</t>
  </si>
  <si>
    <t>eXp World Holdings, Inc.</t>
  </si>
  <si>
    <t>MVC</t>
  </si>
  <si>
    <t>Metrovacesa S.A.</t>
  </si>
  <si>
    <t>LTC</t>
  </si>
  <si>
    <t>LTC Properties, Inc.</t>
  </si>
  <si>
    <t>IPS</t>
  </si>
  <si>
    <t>Ipsos SA</t>
  </si>
  <si>
    <t>NVTS</t>
  </si>
  <si>
    <t>Navitas Semiconductor Corporation</t>
  </si>
  <si>
    <t>UFPT</t>
  </si>
  <si>
    <t>UFP Technologies, Inc.</t>
  </si>
  <si>
    <t>AIN</t>
  </si>
  <si>
    <t>Albany International Corp.</t>
  </si>
  <si>
    <t>Wisdom Marine Lines Co., Limited (Cayman)</t>
  </si>
  <si>
    <t>GBM O</t>
  </si>
  <si>
    <t>Corporativo GBM, S.A.B. de C.V.</t>
  </si>
  <si>
    <t>SHLS</t>
  </si>
  <si>
    <t>Shoals Technologies Group, Inc.</t>
  </si>
  <si>
    <t>TAH</t>
  </si>
  <si>
    <t>Tabcorp Holdings Limited</t>
  </si>
  <si>
    <t>AND</t>
  </si>
  <si>
    <t>Andlauer Healthcare Group Inc.</t>
  </si>
  <si>
    <t>AAV</t>
  </si>
  <si>
    <t>Advantage Energy Ltd.</t>
  </si>
  <si>
    <t>AXGN</t>
  </si>
  <si>
    <t>Axogen, Inc.</t>
  </si>
  <si>
    <t>NVRI</t>
  </si>
  <si>
    <t>Enviri Corporation</t>
  </si>
  <si>
    <t>DMP</t>
  </si>
  <si>
    <t>Domino's Pizza Enterprises Limited</t>
  </si>
  <si>
    <t>STR</t>
  </si>
  <si>
    <t>Sitio Royalties Corp.</t>
  </si>
  <si>
    <t>XHR</t>
  </si>
  <si>
    <t>Xenia Hotels &amp; Resorts, Inc.</t>
  </si>
  <si>
    <t>AHCO</t>
  </si>
  <si>
    <t>AdaptHealth Corp.</t>
  </si>
  <si>
    <t>INA</t>
  </si>
  <si>
    <t>Ingenia Communities Group</t>
  </si>
  <si>
    <t>CYD</t>
  </si>
  <si>
    <t>China Yuchai International Limited</t>
  </si>
  <si>
    <t>A005290</t>
  </si>
  <si>
    <t>Dongjin Semichem Co., Ltd.</t>
  </si>
  <si>
    <t>ZIM</t>
  </si>
  <si>
    <t>Zimplats Holdings Limited</t>
  </si>
  <si>
    <t>SILA</t>
  </si>
  <si>
    <t>Sila Realty Trust, Inc.</t>
  </si>
  <si>
    <t>President Securities Corporation</t>
  </si>
  <si>
    <t>GOZ</t>
  </si>
  <si>
    <t>Growthpoint Properties Australia</t>
  </si>
  <si>
    <t>CGEO</t>
  </si>
  <si>
    <t>Georgia Capital PLC</t>
  </si>
  <si>
    <t>VNP</t>
  </si>
  <si>
    <t>5N Plus Inc.</t>
  </si>
  <si>
    <t>CRI</t>
  </si>
  <si>
    <t>Carter's, Inc.</t>
  </si>
  <si>
    <t>SDR</t>
  </si>
  <si>
    <t>SiteMinder Limited</t>
  </si>
  <si>
    <t>GIC</t>
  </si>
  <si>
    <t>Global Industrial Company</t>
  </si>
  <si>
    <t>GREATEC</t>
  </si>
  <si>
    <t>Greatech Technology Berhad</t>
  </si>
  <si>
    <t>SOLG</t>
  </si>
  <si>
    <t>SolGold Plc</t>
  </si>
  <si>
    <t>ELV</t>
  </si>
  <si>
    <t>Elevra Lithium Limited</t>
  </si>
  <si>
    <t>VOLAR A</t>
  </si>
  <si>
    <t>Controladora Vuela Compañía de Aviación, S.A.B. de C.V.</t>
  </si>
  <si>
    <t>ABCL</t>
  </si>
  <si>
    <t>AbCellera Biologics Inc.</t>
  </si>
  <si>
    <t>SPALI</t>
  </si>
  <si>
    <t>Supalai Public Company Limited</t>
  </si>
  <si>
    <t>IGIC</t>
  </si>
  <si>
    <t>International General Insurance Holdings Ltd.</t>
  </si>
  <si>
    <t>AREIT</t>
  </si>
  <si>
    <t>Altareit SCA</t>
  </si>
  <si>
    <t>A077970</t>
  </si>
  <si>
    <t>STX Engine Co.,Ltd.</t>
  </si>
  <si>
    <t>IOVA</t>
  </si>
  <si>
    <t>Iovance Biotherapeutics, Inc.</t>
  </si>
  <si>
    <t>HLI</t>
  </si>
  <si>
    <t>Helia Group Limited</t>
  </si>
  <si>
    <t>UPR</t>
  </si>
  <si>
    <t>Uniphar plc</t>
  </si>
  <si>
    <t>BTG</t>
  </si>
  <si>
    <t>Betagro Public Company Limited</t>
  </si>
  <si>
    <t>CJT</t>
  </si>
  <si>
    <t>Cargojet Inc.</t>
  </si>
  <si>
    <t>CDNA</t>
  </si>
  <si>
    <t>CareDx, Inc.</t>
  </si>
  <si>
    <t>FWRG</t>
  </si>
  <si>
    <t>First Watch Restaurant Group, Inc.</t>
  </si>
  <si>
    <t>SLDP</t>
  </si>
  <si>
    <t>Solid Power, Inc.</t>
  </si>
  <si>
    <t>ADN</t>
  </si>
  <si>
    <t>First Sponsor Group Limited</t>
  </si>
  <si>
    <t>BCI</t>
  </si>
  <si>
    <t>BCI Minerals Limited</t>
  </si>
  <si>
    <t>AESANDES</t>
  </si>
  <si>
    <t>AES Andes S.A.</t>
  </si>
  <si>
    <t>DAWN</t>
  </si>
  <si>
    <t>Day One Biopharmaceuticals, Inc.</t>
  </si>
  <si>
    <t>RPL</t>
  </si>
  <si>
    <t>Regal Partners Limited</t>
  </si>
  <si>
    <t>ERA</t>
  </si>
  <si>
    <t>Energy Resources of Australia Ltd</t>
  </si>
  <si>
    <t>BOW</t>
  </si>
  <si>
    <t>Bowhead Specialty Holdings Inc.</t>
  </si>
  <si>
    <t>CBLL</t>
  </si>
  <si>
    <t>CeriBell, Inc.</t>
  </si>
  <si>
    <t>ENNOSTAR Inc.</t>
  </si>
  <si>
    <t>HannStar Display Corporation</t>
  </si>
  <si>
    <t>UVE</t>
  </si>
  <si>
    <t>Universal Insurance Holdings, Inc.</t>
  </si>
  <si>
    <t>S61</t>
  </si>
  <si>
    <t>SBS Transit Ltd</t>
  </si>
  <si>
    <t>VAMO3</t>
  </si>
  <si>
    <t>Vamos Locação de Caminhões, Máquinas e Equipamentos S.A.</t>
  </si>
  <si>
    <t>MPCC</t>
  </si>
  <si>
    <t>MPC Container Ships ASA</t>
  </si>
  <si>
    <t>NXRT</t>
  </si>
  <si>
    <t>NexPoint Residential Trust, Inc.</t>
  </si>
  <si>
    <t>ABG</t>
  </si>
  <si>
    <t>Abacus Group</t>
  </si>
  <si>
    <t>FULC</t>
  </si>
  <si>
    <t>Fulcrum Therapeutics, Inc.</t>
  </si>
  <si>
    <t>D6H</t>
  </si>
  <si>
    <t>DATAGROUP SE</t>
  </si>
  <si>
    <t>SmarTone Telecommunications Holdings Limited</t>
  </si>
  <si>
    <t>WLKP</t>
  </si>
  <si>
    <t>Westlake Chemical Partners LP</t>
  </si>
  <si>
    <t>ENC</t>
  </si>
  <si>
    <t>ENCE Energía y Celulosa, S.A.</t>
  </si>
  <si>
    <t>Fulgent Sun International (Holding) Co., Ltd.</t>
  </si>
  <si>
    <t>CWH</t>
  </si>
  <si>
    <t>Camping World Holdings, Inc.</t>
  </si>
  <si>
    <t>FCL</t>
  </si>
  <si>
    <t>FINEOS Corporation Holdings plc</t>
  </si>
  <si>
    <t>NEMAK A</t>
  </si>
  <si>
    <t>Nemak, S. A. B. de C. V.</t>
  </si>
  <si>
    <t>IDX</t>
  </si>
  <si>
    <t>Integral Diagnostics Limited</t>
  </si>
  <si>
    <t>HSTR</t>
  </si>
  <si>
    <t>Heliostar Metals Ltd.</t>
  </si>
  <si>
    <t>LAB</t>
  </si>
  <si>
    <t>Standard BioTools Inc.</t>
  </si>
  <si>
    <t>HY</t>
  </si>
  <si>
    <t>Hyster-Yale, Inc.</t>
  </si>
  <si>
    <t>CEAB3</t>
  </si>
  <si>
    <t>C&amp;A Modas S.A.</t>
  </si>
  <si>
    <t>CRN</t>
  </si>
  <si>
    <t>Coronado Global Resources Inc.</t>
  </si>
  <si>
    <t>PRS</t>
  </si>
  <si>
    <t>Promotora de Informaciones, S.A.</t>
  </si>
  <si>
    <t>SOAG</t>
  </si>
  <si>
    <t>SpareBank 1 Østfold Akershus</t>
  </si>
  <si>
    <t>AVNS</t>
  </si>
  <si>
    <t>Avanos Medical, Inc.</t>
  </si>
  <si>
    <t>OFIX</t>
  </si>
  <si>
    <t>Orthofix Medical Inc.</t>
  </si>
  <si>
    <t>DRM</t>
  </si>
  <si>
    <t>Dream Unlimited Corp.</t>
  </si>
  <si>
    <t>CLNE</t>
  </si>
  <si>
    <t>Clean Energy Fuels Corp.</t>
  </si>
  <si>
    <t>Raydium Semiconductor Corporation</t>
  </si>
  <si>
    <t>SCL</t>
  </si>
  <si>
    <t>Scales Corporation Limited</t>
  </si>
  <si>
    <t>CYDSASA A</t>
  </si>
  <si>
    <t>Cydsa, S.A.B. de C.V.</t>
  </si>
  <si>
    <t>WGN</t>
  </si>
  <si>
    <t>Wagners Holding Company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</si>
  <si>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</si>
  <si>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</si>
  <si>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</si>
  <si>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</si>
  <si>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</si>
  <si>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</si>
  <si>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</si>
  <si>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</si>
  <si>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</si>
  <si>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</si>
  <si>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</si>
  <si>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</si>
  <si>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</si>
  <si>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</si>
  <si>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</si>
  <si>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</si>
  <si>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</si>
  <si>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</si>
  <si>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</si>
  <si>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</si>
  <si>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</si>
  <si>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</si>
  <si>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Biotechnology</t>
  </si>
  <si>
    <t>Dec'25</t>
  </si>
  <si>
    <t>Auto Manufacturers</t>
  </si>
  <si>
    <t>Gold</t>
  </si>
  <si>
    <t>Oil &amp; Gas Equipment &amp; Services</t>
  </si>
  <si>
    <t>Health Information Services</t>
  </si>
  <si>
    <t>REIT - Healthcare Facilities</t>
  </si>
  <si>
    <t>Drug Manufacturers - Specialty &amp; Generic</t>
  </si>
  <si>
    <t>Internet Retail</t>
  </si>
  <si>
    <t>Oil &amp; Gas E&amp;P</t>
  </si>
  <si>
    <t>Solar</t>
  </si>
  <si>
    <t>Auto Parts</t>
  </si>
  <si>
    <t>Aerospace &amp; Defense</t>
  </si>
  <si>
    <t>Capital Markets</t>
  </si>
  <si>
    <t>Pollution &amp; Treatment Controls</t>
  </si>
  <si>
    <t>Leisure</t>
  </si>
  <si>
    <t>Engineering &amp; Construction</t>
  </si>
  <si>
    <t>Medical Devices</t>
  </si>
  <si>
    <t>Software - Infrastructure</t>
  </si>
  <si>
    <t>Industrial Distribution</t>
  </si>
  <si>
    <t>Real Estate Services</t>
  </si>
  <si>
    <t>Diagnostics &amp; Research</t>
  </si>
  <si>
    <t>Banks - Diversified</t>
  </si>
  <si>
    <t>Mar'26</t>
  </si>
  <si>
    <t>Building Products &amp; Equipment</t>
  </si>
  <si>
    <t>Restaurants</t>
  </si>
  <si>
    <t>Medical Instruments &amp; Supplies</t>
  </si>
  <si>
    <t>Software - Application</t>
  </si>
  <si>
    <t>Dec'26</t>
  </si>
  <si>
    <t>Insurance - Property &amp; Casualty</t>
  </si>
  <si>
    <t>Sep'26</t>
  </si>
  <si>
    <t>Utilities - Independent Power Producers</t>
  </si>
  <si>
    <t>Information Technology Services</t>
  </si>
  <si>
    <t>Textile Manufacturing</t>
  </si>
  <si>
    <t>REIT - Retail</t>
  </si>
  <si>
    <t>Consulting Services</t>
  </si>
  <si>
    <t>Beverages - Non-Alcoholic</t>
  </si>
  <si>
    <t>Utilities - Regulated Electric</t>
  </si>
  <si>
    <t>Healthcare Plans</t>
  </si>
  <si>
    <t>Medical Care Facilities</t>
  </si>
  <si>
    <t>Medical Distribution</t>
  </si>
  <si>
    <t>REIT - Specialty</t>
  </si>
  <si>
    <t>Computer Hardware</t>
  </si>
  <si>
    <t>Household &amp; Personal Products</t>
  </si>
  <si>
    <t>Agricultural Inputs</t>
  </si>
  <si>
    <t>Furnishings, Fixtures &amp; Appliances</t>
  </si>
  <si>
    <t>Gambling</t>
  </si>
  <si>
    <t>REIT - Hotel &amp; Motel</t>
  </si>
  <si>
    <t>Specialty Chemicals</t>
  </si>
  <si>
    <t>Waste Management</t>
  </si>
  <si>
    <t>Oil &amp; Gas Refining &amp; Marketing</t>
  </si>
  <si>
    <t>Beverages - Brewers</t>
  </si>
  <si>
    <t>Integrated Freight &amp; Logistics</t>
  </si>
  <si>
    <t>Home Improvement Retail</t>
  </si>
  <si>
    <t>Department Stores</t>
  </si>
  <si>
    <t>Marine Shipping</t>
  </si>
  <si>
    <t>REIT - Residential</t>
  </si>
  <si>
    <t>Semiconductors</t>
  </si>
  <si>
    <t>Japan</t>
  </si>
  <si>
    <t>N/A</t>
  </si>
  <si>
    <t>Unknown</t>
  </si>
  <si>
    <t>Insurance - Diversified</t>
  </si>
  <si>
    <t>Sep'25</t>
  </si>
  <si>
    <t>H2 2025</t>
  </si>
  <si>
    <t>Telecom Services</t>
  </si>
  <si>
    <t>TTM</t>
  </si>
  <si>
    <t>Asset Management</t>
  </si>
  <si>
    <t>Grocery Stores</t>
  </si>
  <si>
    <t>H2 2024</t>
  </si>
  <si>
    <t>Apparel Retail</t>
  </si>
  <si>
    <t>Thermal Coal</t>
  </si>
  <si>
    <t>Other Precious Metals &amp; Mining</t>
  </si>
  <si>
    <t>Other Industrial Metals &amp; Mining</t>
  </si>
  <si>
    <t>Hong Kong</t>
  </si>
  <si>
    <t>H1 2025</t>
  </si>
  <si>
    <t>(단위: mil $)</t>
  </si>
  <si>
    <t>Revenue</t>
  </si>
  <si>
    <t>OP</t>
  </si>
  <si>
    <t>Trailing 4Q OP avg.</t>
  </si>
  <si>
    <t>Trailing 4Q OP sum.</t>
  </si>
  <si>
    <t>Trailing OP Delta</t>
  </si>
  <si>
    <t>opm</t>
  </si>
  <si>
    <t>op yoy</t>
  </si>
  <si>
    <t>rv yoy</t>
  </si>
  <si>
    <t>zeta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</si>
</sst>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9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9"/>
      <name val="Pretendard"/>
      <family val="3"/>
      <charset val="129"/>
    </font>
    <font>
      <b/>
      <sz val="10"/>
      <color rgb="FFFFFFFF"/>
      <name val="Pretendard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1"/>
        <bgColor rgb="FF7030A0"/>
      </patternFill>
    </fill>
  </fills>
  <borders count="3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3" fillId="0" borderId="1" xfId="0" applyFont="1" applyBorder="1"/>
    <xf numFmtId="0" fontId="4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6" fillId="0" borderId="0" xfId="0" applyFont="1"/>
    <xf numFmtId="0" fontId="2" fillId="2" borderId="2" xfId="0" applyFont="1" applyFill="1" applyBorder="1" applyAlignment="1">
      <alignment horizontal="center"/>
    </xf>
    <xf numFmtId="178" fontId="3" fillId="0" borderId="0" xfId="0" applyNumberFormat="1" applyFont="1"/>
    <xf numFmtId="178" fontId="3" fillId="3" borderId="0" xfId="0" applyNumberFormat="1" applyFont="1" applyFill="1"/>
    <xf numFmtId="0" fontId="0" fillId="0" borderId="0" xfId="0" applyFill="1"/>
    <xf numFmtId="0" fontId="5" fillId="4" borderId="0" xfId="0" applyFont="1" applyFill="1" applyAlignment="1">
      <alignment horizontal="center"/>
    </xf>
    <xf numFmtId="0" fontId="8" fillId="0" borderId="0" xfId="0" applyFont="1"/>
    <xf numFmtId="177" fontId="3" fillId="0" borderId="0" xfId="0" applyNumberFormat="1" applyFont="1" applyAlignment="1">
      <alignment horizontal="right"/>
    </xf>
  </cellXfs>
  <cellStyles count="1">
    <cellStyle name="표준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44"/>
  <sheetViews>
    <sheetView topLeftCell="A84" workbookViewId="0">
      <selection activeCell="B97" sqref="B97"/>
    </sheetView>
  </sheetViews>
  <sheetFormatPr defaultRowHeight="16.5"/>
  <cols>
    <col min="1" max="1" width="3" customWidth="1"/>
    <col min="2" max="2" width="12" style="16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>
      <c r="B2" s="1" t="s">
        <v>0</v>
      </c>
    </row>
    <row r="3" spans="2:7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13" t="s">
        <v>7</v>
      </c>
      <c r="C4" s="3" t="s">
        <v>8</v>
      </c>
      <c r="D4" s="3" t="s">
        <v>9</v>
      </c>
      <c r="E4" s="3"/>
      <c r="F4" s="3" t="s">
        <v>10</v>
      </c>
      <c r="G4" s="4">
        <v>380534</v>
      </c>
    </row>
    <row r="5" spans="2:7">
      <c r="B5" s="13" t="s">
        <v>11</v>
      </c>
      <c r="C5" s="3" t="s">
        <v>12</v>
      </c>
      <c r="D5" s="3" t="s">
        <v>9</v>
      </c>
      <c r="E5" s="3"/>
      <c r="F5" s="3" t="s">
        <v>13</v>
      </c>
      <c r="G5" s="4">
        <v>106837</v>
      </c>
    </row>
    <row r="6" spans="2:7">
      <c r="B6" s="13" t="s">
        <v>14</v>
      </c>
      <c r="C6" s="3" t="s">
        <v>15</v>
      </c>
      <c r="D6" s="3" t="s">
        <v>9</v>
      </c>
      <c r="E6" s="3" t="s">
        <v>16</v>
      </c>
      <c r="F6" s="3" t="s">
        <v>13</v>
      </c>
      <c r="G6" s="4">
        <v>101236</v>
      </c>
    </row>
    <row r="7" spans="2:7">
      <c r="B7" s="13" t="s">
        <v>17</v>
      </c>
      <c r="C7" s="3" t="s">
        <v>18</v>
      </c>
      <c r="D7" s="3" t="s">
        <v>9</v>
      </c>
      <c r="E7" s="3"/>
      <c r="F7" s="3" t="s">
        <v>19</v>
      </c>
      <c r="G7" s="4">
        <v>95507.81</v>
      </c>
    </row>
    <row r="8" spans="2:7">
      <c r="B8" s="13" t="s">
        <v>20</v>
      </c>
      <c r="C8" s="3" t="s">
        <v>21</v>
      </c>
      <c r="D8" s="3" t="s">
        <v>9</v>
      </c>
      <c r="E8" s="3"/>
      <c r="F8" s="3" t="s">
        <v>13</v>
      </c>
      <c r="G8" s="4">
        <v>87688.54</v>
      </c>
    </row>
    <row r="9" spans="2:7">
      <c r="B9" s="13" t="s">
        <v>22</v>
      </c>
      <c r="C9" s="3" t="s">
        <v>23</v>
      </c>
      <c r="D9" s="3" t="s">
        <v>9</v>
      </c>
      <c r="E9" s="3"/>
      <c r="F9" s="3" t="s">
        <v>13</v>
      </c>
      <c r="G9" s="4">
        <v>77018.350000000006</v>
      </c>
    </row>
    <row r="10" spans="2:7">
      <c r="B10" s="13" t="s">
        <v>24</v>
      </c>
      <c r="C10" s="3" t="s">
        <v>25</v>
      </c>
      <c r="D10" s="3" t="s">
        <v>9</v>
      </c>
      <c r="E10" s="3" t="s">
        <v>16</v>
      </c>
      <c r="F10" s="3" t="s">
        <v>13</v>
      </c>
      <c r="G10" s="4">
        <v>66783.02</v>
      </c>
    </row>
    <row r="11" spans="2:7">
      <c r="B11" s="13" t="s">
        <v>26</v>
      </c>
      <c r="C11" s="3" t="s">
        <v>27</v>
      </c>
      <c r="D11" s="3" t="s">
        <v>9</v>
      </c>
      <c r="E11" s="3" t="s">
        <v>16</v>
      </c>
      <c r="F11" s="3" t="s">
        <v>13</v>
      </c>
      <c r="G11" s="4">
        <v>60842.57</v>
      </c>
    </row>
    <row r="12" spans="2:7">
      <c r="B12" s="13" t="s">
        <v>28</v>
      </c>
      <c r="C12" s="3" t="s">
        <v>29</v>
      </c>
      <c r="D12" s="3" t="s">
        <v>9</v>
      </c>
      <c r="E12" s="3"/>
      <c r="F12" s="3" t="s">
        <v>13</v>
      </c>
      <c r="G12" s="4">
        <v>54574.8</v>
      </c>
    </row>
    <row r="13" spans="2:7">
      <c r="B13" s="13">
        <v>601211</v>
      </c>
      <c r="C13" s="3" t="s">
        <v>30</v>
      </c>
      <c r="D13" s="3" t="s">
        <v>9</v>
      </c>
      <c r="E13" s="3"/>
      <c r="F13" s="3" t="s">
        <v>13</v>
      </c>
      <c r="G13" s="4">
        <v>47721.22</v>
      </c>
    </row>
    <row r="14" spans="2:7">
      <c r="B14" s="13" t="s">
        <v>31</v>
      </c>
      <c r="C14" s="3" t="s">
        <v>32</v>
      </c>
      <c r="D14" s="3" t="s">
        <v>9</v>
      </c>
      <c r="E14" s="3"/>
      <c r="F14" s="3" t="s">
        <v>13</v>
      </c>
      <c r="G14" s="4">
        <v>43323.75</v>
      </c>
    </row>
    <row r="15" spans="2:7">
      <c r="B15" s="13" t="s">
        <v>33</v>
      </c>
      <c r="C15" s="3" t="s">
        <v>34</v>
      </c>
      <c r="D15" s="3" t="s">
        <v>9</v>
      </c>
      <c r="E15" s="3" t="s">
        <v>16</v>
      </c>
      <c r="F15" s="3" t="s">
        <v>19</v>
      </c>
      <c r="G15" s="4">
        <v>42847.96</v>
      </c>
    </row>
    <row r="16" spans="2:7">
      <c r="B16" s="13" t="s">
        <v>35</v>
      </c>
      <c r="C16" s="3" t="s">
        <v>36</v>
      </c>
      <c r="D16" s="3" t="s">
        <v>9</v>
      </c>
      <c r="E16" s="3"/>
      <c r="F16" s="3" t="s">
        <v>13</v>
      </c>
      <c r="G16" s="4">
        <v>39082.080000000002</v>
      </c>
    </row>
    <row r="17" spans="2:7">
      <c r="B17" s="13" t="s">
        <v>37</v>
      </c>
      <c r="C17" s="3" t="s">
        <v>38</v>
      </c>
      <c r="D17" s="3" t="s">
        <v>9</v>
      </c>
      <c r="E17" s="3" t="s">
        <v>39</v>
      </c>
      <c r="F17" s="3" t="s">
        <v>13</v>
      </c>
      <c r="G17" s="4">
        <v>38597.35</v>
      </c>
    </row>
    <row r="18" spans="2:7">
      <c r="B18" s="13" t="s">
        <v>40</v>
      </c>
      <c r="C18" s="3" t="s">
        <v>41</v>
      </c>
      <c r="D18" s="3" t="s">
        <v>9</v>
      </c>
      <c r="E18" s="3" t="s">
        <v>16</v>
      </c>
      <c r="F18" s="3" t="s">
        <v>13</v>
      </c>
      <c r="G18" s="4">
        <v>38480.03</v>
      </c>
    </row>
    <row r="19" spans="2:7">
      <c r="B19" s="13" t="s">
        <v>42</v>
      </c>
      <c r="C19" s="3" t="s">
        <v>43</v>
      </c>
      <c r="D19" s="3" t="s">
        <v>9</v>
      </c>
      <c r="E19" s="3"/>
      <c r="F19" s="3" t="s">
        <v>13</v>
      </c>
      <c r="G19" s="4">
        <v>33189.360000000001</v>
      </c>
    </row>
    <row r="20" spans="2:7">
      <c r="B20" s="13" t="s">
        <v>44</v>
      </c>
      <c r="C20" s="3" t="s">
        <v>45</v>
      </c>
      <c r="D20" s="3" t="s">
        <v>9</v>
      </c>
      <c r="E20" s="3" t="s">
        <v>16</v>
      </c>
      <c r="F20" s="3" t="s">
        <v>13</v>
      </c>
      <c r="G20" s="4">
        <v>32902.92</v>
      </c>
    </row>
    <row r="21" spans="2:7">
      <c r="B21" s="13" t="s">
        <v>46</v>
      </c>
      <c r="C21" s="3" t="s">
        <v>47</v>
      </c>
      <c r="D21" s="3" t="s">
        <v>9</v>
      </c>
      <c r="E21" s="3" t="s">
        <v>39</v>
      </c>
      <c r="F21" s="3" t="s">
        <v>13</v>
      </c>
      <c r="G21" s="4">
        <v>29138.77</v>
      </c>
    </row>
    <row r="22" spans="2:7">
      <c r="B22" s="13" t="s">
        <v>48</v>
      </c>
      <c r="C22" s="3" t="s">
        <v>49</v>
      </c>
      <c r="D22" s="3" t="s">
        <v>9</v>
      </c>
      <c r="E22" s="3" t="s">
        <v>16</v>
      </c>
      <c r="F22" s="3" t="s">
        <v>13</v>
      </c>
      <c r="G22" s="4">
        <v>26154.21</v>
      </c>
    </row>
    <row r="23" spans="2:7">
      <c r="B23" s="13" t="s">
        <v>50</v>
      </c>
      <c r="C23" s="3" t="s">
        <v>51</v>
      </c>
      <c r="D23" s="3" t="s">
        <v>9</v>
      </c>
      <c r="E23" s="3"/>
      <c r="F23" s="3" t="s">
        <v>13</v>
      </c>
      <c r="G23" s="4">
        <v>24174.97</v>
      </c>
    </row>
    <row r="24" spans="2:7">
      <c r="B24" s="13" t="s">
        <v>52</v>
      </c>
      <c r="C24" s="3" t="s">
        <v>53</v>
      </c>
      <c r="D24" s="3" t="s">
        <v>9</v>
      </c>
      <c r="E24" s="3"/>
      <c r="F24" s="3" t="s">
        <v>13</v>
      </c>
      <c r="G24" s="4">
        <v>23591</v>
      </c>
    </row>
    <row r="25" spans="2:7">
      <c r="B25" s="13" t="s">
        <v>54</v>
      </c>
      <c r="C25" s="3" t="s">
        <v>55</v>
      </c>
      <c r="D25" s="3" t="s">
        <v>9</v>
      </c>
      <c r="E25" s="3"/>
      <c r="F25" s="3" t="s">
        <v>13</v>
      </c>
      <c r="G25" s="4">
        <v>21828.21</v>
      </c>
    </row>
    <row r="26" spans="2:7">
      <c r="B26" s="13" t="s">
        <v>56</v>
      </c>
      <c r="C26" s="3" t="s">
        <v>57</v>
      </c>
      <c r="D26" s="3" t="s">
        <v>9</v>
      </c>
      <c r="E26" s="3" t="s">
        <v>16</v>
      </c>
      <c r="F26" s="3" t="s">
        <v>13</v>
      </c>
      <c r="G26" s="4">
        <v>21309.81</v>
      </c>
    </row>
    <row r="27" spans="2:7">
      <c r="B27" s="13" t="s">
        <v>58</v>
      </c>
      <c r="C27" s="3" t="s">
        <v>59</v>
      </c>
      <c r="D27" s="3" t="s">
        <v>9</v>
      </c>
      <c r="E27" s="3" t="s">
        <v>39</v>
      </c>
      <c r="F27" s="3" t="s">
        <v>13</v>
      </c>
      <c r="G27" s="4">
        <v>20535.78</v>
      </c>
    </row>
    <row r="28" spans="2:7">
      <c r="B28" s="13" t="s">
        <v>60</v>
      </c>
      <c r="C28" s="3" t="s">
        <v>61</v>
      </c>
      <c r="D28" s="3" t="s">
        <v>9</v>
      </c>
      <c r="E28" s="3" t="s">
        <v>39</v>
      </c>
      <c r="F28" s="3" t="s">
        <v>13</v>
      </c>
      <c r="G28" s="4">
        <v>18854.060000000001</v>
      </c>
    </row>
    <row r="29" spans="2:7">
      <c r="B29" s="13" t="s">
        <v>62</v>
      </c>
      <c r="C29" s="3" t="s">
        <v>63</v>
      </c>
      <c r="D29" s="3" t="s">
        <v>9</v>
      </c>
      <c r="E29" s="3" t="s">
        <v>16</v>
      </c>
      <c r="F29" s="3" t="s">
        <v>19</v>
      </c>
      <c r="G29" s="4">
        <v>18699.34</v>
      </c>
    </row>
    <row r="30" spans="2:7">
      <c r="B30" s="13" t="s">
        <v>64</v>
      </c>
      <c r="C30" s="3" t="s">
        <v>65</v>
      </c>
      <c r="D30" s="3" t="s">
        <v>9</v>
      </c>
      <c r="E30" s="3" t="s">
        <v>16</v>
      </c>
      <c r="F30" s="3" t="s">
        <v>13</v>
      </c>
      <c r="G30" s="4">
        <v>18690.62</v>
      </c>
    </row>
    <row r="31" spans="2:7">
      <c r="B31" s="13" t="s">
        <v>66</v>
      </c>
      <c r="C31" s="3" t="s">
        <v>67</v>
      </c>
      <c r="D31" s="3" t="s">
        <v>9</v>
      </c>
      <c r="E31" s="3"/>
      <c r="F31" s="3" t="s">
        <v>13</v>
      </c>
      <c r="G31" s="4">
        <v>17067.16</v>
      </c>
    </row>
    <row r="32" spans="2:7">
      <c r="B32" s="13" t="s">
        <v>68</v>
      </c>
      <c r="C32" s="3" t="s">
        <v>69</v>
      </c>
      <c r="D32" s="3" t="s">
        <v>9</v>
      </c>
      <c r="E32" s="3" t="s">
        <v>16</v>
      </c>
      <c r="F32" s="3" t="s">
        <v>13</v>
      </c>
      <c r="G32" s="4">
        <v>15923.87</v>
      </c>
    </row>
    <row r="33" spans="2:7">
      <c r="B33" s="13" t="s">
        <v>70</v>
      </c>
      <c r="C33" s="3" t="s">
        <v>71</v>
      </c>
      <c r="D33" s="3" t="s">
        <v>9</v>
      </c>
      <c r="E33" s="3" t="s">
        <v>16</v>
      </c>
      <c r="F33" s="3" t="s">
        <v>13</v>
      </c>
      <c r="G33" s="4">
        <v>15692.28</v>
      </c>
    </row>
    <row r="34" spans="2:7">
      <c r="B34" s="13" t="s">
        <v>72</v>
      </c>
      <c r="C34" s="3" t="s">
        <v>73</v>
      </c>
      <c r="D34" s="3" t="s">
        <v>9</v>
      </c>
      <c r="E34" s="3"/>
      <c r="F34" s="3" t="s">
        <v>13</v>
      </c>
      <c r="G34" s="4">
        <v>15663.28</v>
      </c>
    </row>
    <row r="35" spans="2:7">
      <c r="B35" s="13" t="s">
        <v>74</v>
      </c>
      <c r="C35" s="3" t="s">
        <v>75</v>
      </c>
      <c r="D35" s="3" t="s">
        <v>9</v>
      </c>
      <c r="E35" s="3" t="s">
        <v>39</v>
      </c>
      <c r="F35" s="3" t="s">
        <v>13</v>
      </c>
      <c r="G35" s="4">
        <v>15526.88</v>
      </c>
    </row>
    <row r="36" spans="2:7">
      <c r="B36" s="13" t="s">
        <v>76</v>
      </c>
      <c r="C36" s="3" t="s">
        <v>77</v>
      </c>
      <c r="D36" s="3" t="s">
        <v>9</v>
      </c>
      <c r="E36" s="3"/>
      <c r="F36" s="3" t="s">
        <v>13</v>
      </c>
      <c r="G36" s="4">
        <v>14802.76</v>
      </c>
    </row>
    <row r="37" spans="2:7">
      <c r="B37" s="13">
        <v>2020</v>
      </c>
      <c r="C37" s="3" t="s">
        <v>79</v>
      </c>
      <c r="D37" s="3" t="s">
        <v>9</v>
      </c>
      <c r="E37" s="3"/>
      <c r="F37" s="3" t="s">
        <v>13</v>
      </c>
      <c r="G37" s="4">
        <v>14799.55</v>
      </c>
    </row>
    <row r="38" spans="2:7">
      <c r="B38" s="13" t="s">
        <v>80</v>
      </c>
      <c r="C38" s="3" t="s">
        <v>81</v>
      </c>
      <c r="D38" s="3" t="s">
        <v>9</v>
      </c>
      <c r="E38" s="3"/>
      <c r="F38" s="3" t="s">
        <v>13</v>
      </c>
      <c r="G38" s="4">
        <v>14759.44</v>
      </c>
    </row>
    <row r="39" spans="2:7">
      <c r="B39" s="13">
        <v>1080</v>
      </c>
      <c r="C39" s="3" t="s">
        <v>83</v>
      </c>
      <c r="D39" s="3" t="s">
        <v>9</v>
      </c>
      <c r="E39" s="3"/>
      <c r="F39" s="3" t="s">
        <v>13</v>
      </c>
      <c r="G39" s="4">
        <v>13448.87</v>
      </c>
    </row>
    <row r="40" spans="2:7">
      <c r="B40" s="13" t="s">
        <v>84</v>
      </c>
      <c r="C40" s="3" t="s">
        <v>85</v>
      </c>
      <c r="D40" s="3" t="s">
        <v>9</v>
      </c>
      <c r="E40" s="3"/>
      <c r="F40" s="3" t="s">
        <v>13</v>
      </c>
      <c r="G40" s="4">
        <v>13252.85</v>
      </c>
    </row>
    <row r="41" spans="2:7">
      <c r="B41" s="13" t="s">
        <v>86</v>
      </c>
      <c r="C41" s="3" t="s">
        <v>87</v>
      </c>
      <c r="D41" s="3" t="s">
        <v>9</v>
      </c>
      <c r="E41" s="3" t="s">
        <v>16</v>
      </c>
      <c r="F41" s="3" t="s">
        <v>13</v>
      </c>
      <c r="G41" s="4">
        <v>12761.18</v>
      </c>
    </row>
    <row r="42" spans="2:7">
      <c r="B42" s="13" t="s">
        <v>88</v>
      </c>
      <c r="C42" s="3" t="s">
        <v>89</v>
      </c>
      <c r="D42" s="3" t="s">
        <v>9</v>
      </c>
      <c r="E42" s="3"/>
      <c r="F42" s="3" t="s">
        <v>13</v>
      </c>
      <c r="G42" s="4">
        <v>11689.76</v>
      </c>
    </row>
    <row r="43" spans="2:7">
      <c r="B43" s="13" t="s">
        <v>90</v>
      </c>
      <c r="C43" s="3" t="s">
        <v>91</v>
      </c>
      <c r="D43" s="3" t="s">
        <v>9</v>
      </c>
      <c r="E43" s="3"/>
      <c r="F43" s="3" t="s">
        <v>13</v>
      </c>
      <c r="G43" s="4">
        <v>10976.77</v>
      </c>
    </row>
    <row r="44" spans="2:7">
      <c r="B44" s="13" t="s">
        <v>92</v>
      </c>
      <c r="C44" s="3" t="s">
        <v>93</v>
      </c>
      <c r="D44" s="3" t="s">
        <v>9</v>
      </c>
      <c r="E44" s="3"/>
      <c r="F44" s="3" t="s">
        <v>13</v>
      </c>
      <c r="G44" s="4">
        <v>10959.07</v>
      </c>
    </row>
    <row r="45" spans="2:7">
      <c r="B45" s="13" t="s">
        <v>94</v>
      </c>
      <c r="C45" s="3" t="s">
        <v>95</v>
      </c>
      <c r="D45" s="3" t="s">
        <v>9</v>
      </c>
      <c r="E45" s="3"/>
      <c r="F45" s="3" t="s">
        <v>13</v>
      </c>
      <c r="G45" s="4">
        <v>10570.86</v>
      </c>
    </row>
    <row r="46" spans="2:7">
      <c r="B46" s="13" t="s">
        <v>96</v>
      </c>
      <c r="C46" s="3" t="s">
        <v>97</v>
      </c>
      <c r="D46" s="3" t="s">
        <v>9</v>
      </c>
      <c r="E46" s="3" t="s">
        <v>39</v>
      </c>
      <c r="F46" s="3" t="s">
        <v>13</v>
      </c>
      <c r="G46" s="4">
        <v>10555.95</v>
      </c>
    </row>
    <row r="47" spans="2:7">
      <c r="B47" s="13" t="s">
        <v>98</v>
      </c>
      <c r="C47" s="3" t="s">
        <v>99</v>
      </c>
      <c r="D47" s="3" t="s">
        <v>9</v>
      </c>
      <c r="E47" s="3" t="s">
        <v>39</v>
      </c>
      <c r="F47" s="3" t="s">
        <v>13</v>
      </c>
      <c r="G47" s="4">
        <v>10254.23</v>
      </c>
    </row>
    <row r="48" spans="2:7">
      <c r="B48" s="13" t="s">
        <v>100</v>
      </c>
      <c r="C48" s="3" t="s">
        <v>101</v>
      </c>
      <c r="D48" s="3" t="s">
        <v>9</v>
      </c>
      <c r="E48" s="3"/>
      <c r="F48" s="3" t="s">
        <v>19</v>
      </c>
      <c r="G48" s="4">
        <v>9621.49</v>
      </c>
    </row>
    <row r="49" spans="2:7">
      <c r="B49" s="13" t="s">
        <v>102</v>
      </c>
      <c r="C49" s="3" t="s">
        <v>103</v>
      </c>
      <c r="D49" s="3" t="s">
        <v>9</v>
      </c>
      <c r="E49" s="3"/>
      <c r="F49" s="3" t="s">
        <v>13</v>
      </c>
      <c r="G49" s="4">
        <v>9466.51</v>
      </c>
    </row>
    <row r="50" spans="2:7">
      <c r="B50" s="13" t="s">
        <v>104</v>
      </c>
      <c r="C50" s="3" t="s">
        <v>105</v>
      </c>
      <c r="D50" s="3" t="s">
        <v>9</v>
      </c>
      <c r="E50" s="3" t="s">
        <v>39</v>
      </c>
      <c r="F50" s="3" t="s">
        <v>13</v>
      </c>
      <c r="G50" s="4">
        <v>9433.31</v>
      </c>
    </row>
    <row r="51" spans="2:7">
      <c r="B51" s="13" t="s">
        <v>106</v>
      </c>
      <c r="C51" s="3" t="s">
        <v>107</v>
      </c>
      <c r="D51" s="3" t="s">
        <v>9</v>
      </c>
      <c r="E51" s="3" t="s">
        <v>16</v>
      </c>
      <c r="F51" s="3" t="s">
        <v>13</v>
      </c>
      <c r="G51" s="4">
        <v>9380.9699999999993</v>
      </c>
    </row>
    <row r="52" spans="2:7">
      <c r="B52" s="13" t="s">
        <v>108</v>
      </c>
      <c r="C52" s="3" t="s">
        <v>109</v>
      </c>
      <c r="D52" s="3" t="s">
        <v>9</v>
      </c>
      <c r="E52" s="3" t="s">
        <v>16</v>
      </c>
      <c r="F52" s="3" t="s">
        <v>13</v>
      </c>
      <c r="G52" s="4">
        <v>9288.52</v>
      </c>
    </row>
    <row r="53" spans="2:7">
      <c r="B53" s="13" t="s">
        <v>110</v>
      </c>
      <c r="C53" s="3" t="s">
        <v>111</v>
      </c>
      <c r="D53" s="3" t="s">
        <v>9</v>
      </c>
      <c r="E53" s="3" t="s">
        <v>16</v>
      </c>
      <c r="F53" s="3" t="s">
        <v>13</v>
      </c>
      <c r="G53" s="4">
        <v>9103.32</v>
      </c>
    </row>
    <row r="54" spans="2:7">
      <c r="B54" s="13" t="s">
        <v>112</v>
      </c>
      <c r="C54" s="3" t="s">
        <v>113</v>
      </c>
      <c r="D54" s="3" t="s">
        <v>9</v>
      </c>
      <c r="E54" s="3"/>
      <c r="F54" s="3" t="s">
        <v>13</v>
      </c>
      <c r="G54" s="4">
        <v>9091.42</v>
      </c>
    </row>
    <row r="55" spans="2:7">
      <c r="B55" s="13" t="s">
        <v>114</v>
      </c>
      <c r="C55" s="3" t="s">
        <v>115</v>
      </c>
      <c r="D55" s="3" t="s">
        <v>9</v>
      </c>
      <c r="E55" s="3"/>
      <c r="F55" s="3" t="s">
        <v>13</v>
      </c>
      <c r="G55" s="4">
        <v>8578.4699999999993</v>
      </c>
    </row>
    <row r="56" spans="2:7">
      <c r="B56" s="13" t="s">
        <v>116</v>
      </c>
      <c r="C56" s="3" t="s">
        <v>117</v>
      </c>
      <c r="D56" s="3" t="s">
        <v>9</v>
      </c>
      <c r="E56" s="3"/>
      <c r="F56" s="3" t="s">
        <v>13</v>
      </c>
      <c r="G56" s="4">
        <v>8511.94</v>
      </c>
    </row>
    <row r="57" spans="2:7">
      <c r="B57" s="13" t="s">
        <v>118</v>
      </c>
      <c r="C57" s="3" t="s">
        <v>119</v>
      </c>
      <c r="D57" s="3" t="s">
        <v>9</v>
      </c>
      <c r="E57" s="3" t="s">
        <v>16</v>
      </c>
      <c r="F57" s="3" t="s">
        <v>13</v>
      </c>
      <c r="G57" s="4">
        <v>8460.69</v>
      </c>
    </row>
    <row r="58" spans="2:7">
      <c r="B58" s="13" t="s">
        <v>120</v>
      </c>
      <c r="C58" s="3" t="s">
        <v>121</v>
      </c>
      <c r="D58" s="3" t="s">
        <v>9</v>
      </c>
      <c r="E58" s="3" t="s">
        <v>39</v>
      </c>
      <c r="F58" s="3" t="s">
        <v>13</v>
      </c>
      <c r="G58" s="4">
        <v>8444.61</v>
      </c>
    </row>
    <row r="59" spans="2:7">
      <c r="B59" s="13" t="s">
        <v>122</v>
      </c>
      <c r="C59" s="3" t="s">
        <v>123</v>
      </c>
      <c r="D59" s="3" t="s">
        <v>9</v>
      </c>
      <c r="E59" s="3" t="s">
        <v>39</v>
      </c>
      <c r="F59" s="3" t="s">
        <v>13</v>
      </c>
      <c r="G59" s="4">
        <v>8367.2000000000007</v>
      </c>
    </row>
    <row r="60" spans="2:7">
      <c r="B60" s="13" t="s">
        <v>124</v>
      </c>
      <c r="C60" s="3" t="s">
        <v>125</v>
      </c>
      <c r="D60" s="3" t="s">
        <v>9</v>
      </c>
      <c r="E60" s="3"/>
      <c r="F60" s="3" t="s">
        <v>13</v>
      </c>
      <c r="G60" s="4">
        <v>8355.8700000000008</v>
      </c>
    </row>
    <row r="61" spans="2:7">
      <c r="B61" s="13" t="s">
        <v>126</v>
      </c>
      <c r="C61" s="3" t="s">
        <v>127</v>
      </c>
      <c r="D61" s="3" t="s">
        <v>9</v>
      </c>
      <c r="E61" s="3" t="s">
        <v>16</v>
      </c>
      <c r="F61" s="3" t="s">
        <v>13</v>
      </c>
      <c r="G61" s="4">
        <v>8168.26</v>
      </c>
    </row>
    <row r="62" spans="2:7">
      <c r="B62" s="13" t="s">
        <v>128</v>
      </c>
      <c r="C62" s="3" t="s">
        <v>129</v>
      </c>
      <c r="D62" s="3" t="s">
        <v>9</v>
      </c>
      <c r="E62" s="3" t="s">
        <v>39</v>
      </c>
      <c r="F62" s="3" t="s">
        <v>13</v>
      </c>
      <c r="G62" s="4">
        <v>8128.62</v>
      </c>
    </row>
    <row r="63" spans="2:7">
      <c r="B63" s="13" t="s">
        <v>130</v>
      </c>
      <c r="C63" s="3" t="s">
        <v>131</v>
      </c>
      <c r="D63" s="3" t="s">
        <v>9</v>
      </c>
      <c r="E63" s="3" t="s">
        <v>16</v>
      </c>
      <c r="F63" s="3" t="s">
        <v>13</v>
      </c>
      <c r="G63" s="4">
        <v>8062.15</v>
      </c>
    </row>
    <row r="64" spans="2:7">
      <c r="B64" s="13">
        <v>3037</v>
      </c>
      <c r="C64" s="3" t="s">
        <v>132</v>
      </c>
      <c r="D64" s="3" t="s">
        <v>9</v>
      </c>
      <c r="E64" s="3"/>
      <c r="F64" s="3" t="s">
        <v>13</v>
      </c>
      <c r="G64" s="4">
        <v>7842.38</v>
      </c>
    </row>
    <row r="65" spans="2:7">
      <c r="B65" s="13" t="s">
        <v>133</v>
      </c>
      <c r="C65" s="3" t="s">
        <v>134</v>
      </c>
      <c r="D65" s="3" t="s">
        <v>9</v>
      </c>
      <c r="E65" s="3"/>
      <c r="F65" s="3" t="s">
        <v>13</v>
      </c>
      <c r="G65" s="4">
        <v>7828.29</v>
      </c>
    </row>
    <row r="66" spans="2:7">
      <c r="B66" s="13" t="s">
        <v>135</v>
      </c>
      <c r="C66" s="3" t="s">
        <v>136</v>
      </c>
      <c r="D66" s="3" t="s">
        <v>9</v>
      </c>
      <c r="E66" s="3"/>
      <c r="F66" s="3" t="s">
        <v>13</v>
      </c>
      <c r="G66" s="4">
        <v>7776.32</v>
      </c>
    </row>
    <row r="67" spans="2:7">
      <c r="B67" s="13" t="s">
        <v>137</v>
      </c>
      <c r="C67" s="3" t="s">
        <v>138</v>
      </c>
      <c r="D67" s="3" t="s">
        <v>9</v>
      </c>
      <c r="E67" s="3"/>
      <c r="F67" s="3" t="s">
        <v>13</v>
      </c>
      <c r="G67" s="4">
        <v>7772.25</v>
      </c>
    </row>
    <row r="68" spans="2:7">
      <c r="B68" s="13" t="s">
        <v>11</v>
      </c>
      <c r="C68" s="3" t="s">
        <v>139</v>
      </c>
      <c r="D68" s="3" t="s">
        <v>9</v>
      </c>
      <c r="E68" s="3"/>
      <c r="F68" s="3" t="s">
        <v>13</v>
      </c>
      <c r="G68" s="4">
        <v>7515.96</v>
      </c>
    </row>
    <row r="69" spans="2:7">
      <c r="B69" s="13" t="s">
        <v>140</v>
      </c>
      <c r="C69" s="3" t="s">
        <v>141</v>
      </c>
      <c r="D69" s="3" t="s">
        <v>9</v>
      </c>
      <c r="E69" s="3" t="s">
        <v>16</v>
      </c>
      <c r="F69" s="3" t="s">
        <v>13</v>
      </c>
      <c r="G69" s="4">
        <v>7362.8</v>
      </c>
    </row>
    <row r="70" spans="2:7">
      <c r="B70" s="13" t="s">
        <v>142</v>
      </c>
      <c r="C70" s="3" t="s">
        <v>143</v>
      </c>
      <c r="D70" s="3" t="s">
        <v>9</v>
      </c>
      <c r="E70" s="3" t="s">
        <v>39</v>
      </c>
      <c r="F70" s="3" t="s">
        <v>13</v>
      </c>
      <c r="G70" s="4">
        <v>7174.87</v>
      </c>
    </row>
    <row r="71" spans="2:7">
      <c r="B71" s="13" t="s">
        <v>144</v>
      </c>
      <c r="C71" s="3" t="s">
        <v>145</v>
      </c>
      <c r="D71" s="3" t="s">
        <v>9</v>
      </c>
      <c r="E71" s="3"/>
      <c r="F71" s="3" t="s">
        <v>13</v>
      </c>
      <c r="G71" s="4">
        <v>6816.35</v>
      </c>
    </row>
    <row r="72" spans="2:7">
      <c r="B72" s="13" t="s">
        <v>146</v>
      </c>
      <c r="C72" s="3" t="s">
        <v>147</v>
      </c>
      <c r="D72" s="3" t="s">
        <v>9</v>
      </c>
      <c r="E72" s="3" t="s">
        <v>16</v>
      </c>
      <c r="F72" s="3" t="s">
        <v>13</v>
      </c>
      <c r="G72" s="4">
        <v>6601.83</v>
      </c>
    </row>
    <row r="73" spans="2:7">
      <c r="B73" s="13" t="s">
        <v>148</v>
      </c>
      <c r="C73" s="3" t="s">
        <v>149</v>
      </c>
      <c r="D73" s="3" t="s">
        <v>9</v>
      </c>
      <c r="E73" s="3"/>
      <c r="F73" s="3" t="s">
        <v>13</v>
      </c>
      <c r="G73" s="4">
        <v>6594.54</v>
      </c>
    </row>
    <row r="74" spans="2:7">
      <c r="B74" s="13" t="s">
        <v>150</v>
      </c>
      <c r="C74" s="3" t="s">
        <v>151</v>
      </c>
      <c r="D74" s="3" t="s">
        <v>9</v>
      </c>
      <c r="E74" s="3"/>
      <c r="F74" s="3" t="s">
        <v>13</v>
      </c>
      <c r="G74" s="4">
        <v>6316.93</v>
      </c>
    </row>
    <row r="75" spans="2:7">
      <c r="B75" s="13" t="s">
        <v>152</v>
      </c>
      <c r="C75" s="3" t="s">
        <v>153</v>
      </c>
      <c r="D75" s="3" t="s">
        <v>9</v>
      </c>
      <c r="E75" s="3"/>
      <c r="F75" s="3" t="s">
        <v>13</v>
      </c>
      <c r="G75" s="4">
        <v>6247.99</v>
      </c>
    </row>
    <row r="76" spans="2:7">
      <c r="B76" s="13" t="s">
        <v>154</v>
      </c>
      <c r="C76" s="3" t="s">
        <v>155</v>
      </c>
      <c r="D76" s="3" t="s">
        <v>9</v>
      </c>
      <c r="E76" s="3"/>
      <c r="F76" s="3" t="s">
        <v>13</v>
      </c>
      <c r="G76" s="4">
        <v>6202.49</v>
      </c>
    </row>
    <row r="77" spans="2:7">
      <c r="B77" s="13" t="s">
        <v>156</v>
      </c>
      <c r="C77" s="3" t="s">
        <v>157</v>
      </c>
      <c r="D77" s="3" t="s">
        <v>9</v>
      </c>
      <c r="E77" s="3"/>
      <c r="F77" s="3" t="s">
        <v>13</v>
      </c>
      <c r="G77" s="4">
        <v>6180.54</v>
      </c>
    </row>
    <row r="78" spans="2:7">
      <c r="B78" s="13" t="s">
        <v>158</v>
      </c>
      <c r="C78" s="3" t="s">
        <v>159</v>
      </c>
      <c r="D78" s="3" t="s">
        <v>9</v>
      </c>
      <c r="E78" s="3" t="s">
        <v>39</v>
      </c>
      <c r="F78" s="3" t="s">
        <v>13</v>
      </c>
      <c r="G78" s="4">
        <v>6114.8</v>
      </c>
    </row>
    <row r="79" spans="2:7">
      <c r="B79" s="13" t="s">
        <v>160</v>
      </c>
      <c r="C79" s="3" t="s">
        <v>161</v>
      </c>
      <c r="D79" s="3" t="s">
        <v>9</v>
      </c>
      <c r="E79" s="3" t="s">
        <v>16</v>
      </c>
      <c r="F79" s="3" t="s">
        <v>13</v>
      </c>
      <c r="G79" s="4">
        <v>6025.62</v>
      </c>
    </row>
    <row r="80" spans="2:7">
      <c r="B80" s="13" t="s">
        <v>162</v>
      </c>
      <c r="C80" s="3" t="s">
        <v>163</v>
      </c>
      <c r="D80" s="3" t="s">
        <v>9</v>
      </c>
      <c r="E80" s="3"/>
      <c r="F80" s="3" t="s">
        <v>13</v>
      </c>
      <c r="G80" s="4">
        <v>5677.32</v>
      </c>
    </row>
    <row r="81" spans="2:7">
      <c r="B81" s="13">
        <v>5871</v>
      </c>
      <c r="C81" s="3" t="s">
        <v>165</v>
      </c>
      <c r="D81" s="3" t="s">
        <v>9</v>
      </c>
      <c r="E81" s="3"/>
      <c r="F81" s="3" t="s">
        <v>13</v>
      </c>
      <c r="G81" s="4">
        <v>5611.75</v>
      </c>
    </row>
    <row r="82" spans="2:7">
      <c r="B82" s="13" t="s">
        <v>166</v>
      </c>
      <c r="C82" s="3" t="s">
        <v>167</v>
      </c>
      <c r="D82" s="3" t="s">
        <v>9</v>
      </c>
      <c r="E82" s="3"/>
      <c r="F82" s="3" t="s">
        <v>13</v>
      </c>
      <c r="G82" s="4">
        <v>5446.42</v>
      </c>
    </row>
    <row r="83" spans="2:7">
      <c r="B83" s="13" t="s">
        <v>168</v>
      </c>
      <c r="C83" s="3" t="s">
        <v>169</v>
      </c>
      <c r="D83" s="3" t="s">
        <v>9</v>
      </c>
      <c r="E83" s="3" t="s">
        <v>16</v>
      </c>
      <c r="F83" s="3" t="s">
        <v>13</v>
      </c>
      <c r="G83" s="4">
        <v>5377.95</v>
      </c>
    </row>
    <row r="84" spans="2:7">
      <c r="B84" s="13" t="s">
        <v>170</v>
      </c>
      <c r="C84" s="3" t="s">
        <v>171</v>
      </c>
      <c r="D84" s="3" t="s">
        <v>9</v>
      </c>
      <c r="E84" s="3" t="s">
        <v>16</v>
      </c>
      <c r="F84" s="3" t="s">
        <v>13</v>
      </c>
      <c r="G84" s="4">
        <v>5224.66</v>
      </c>
    </row>
    <row r="85" spans="2:7">
      <c r="B85" s="13" t="s">
        <v>172</v>
      </c>
      <c r="C85" s="3" t="s">
        <v>173</v>
      </c>
      <c r="D85" s="3" t="s">
        <v>9</v>
      </c>
      <c r="E85" s="3"/>
      <c r="F85" s="3" t="s">
        <v>13</v>
      </c>
      <c r="G85" s="4">
        <v>5193.66</v>
      </c>
    </row>
    <row r="86" spans="2:7">
      <c r="B86" s="13" t="s">
        <v>174</v>
      </c>
      <c r="C86" s="3" t="s">
        <v>175</v>
      </c>
      <c r="D86" s="3" t="s">
        <v>9</v>
      </c>
      <c r="E86" s="3"/>
      <c r="F86" s="3" t="s">
        <v>13</v>
      </c>
      <c r="G86" s="4">
        <v>5193.21</v>
      </c>
    </row>
    <row r="87" spans="2:7">
      <c r="B87" s="13" t="s">
        <v>176</v>
      </c>
      <c r="C87" s="3" t="s">
        <v>177</v>
      </c>
      <c r="D87" s="3" t="s">
        <v>9</v>
      </c>
      <c r="E87" s="3"/>
      <c r="F87" s="3" t="s">
        <v>13</v>
      </c>
      <c r="G87" s="4">
        <v>5174.03</v>
      </c>
    </row>
    <row r="88" spans="2:7">
      <c r="B88" s="13" t="s">
        <v>178</v>
      </c>
      <c r="C88" s="3" t="s">
        <v>179</v>
      </c>
      <c r="D88" s="3" t="s">
        <v>9</v>
      </c>
      <c r="E88" s="3" t="s">
        <v>16</v>
      </c>
      <c r="F88" s="3" t="s">
        <v>13</v>
      </c>
      <c r="G88" s="4">
        <v>5146.05</v>
      </c>
    </row>
    <row r="89" spans="2:7">
      <c r="B89" s="13" t="s">
        <v>180</v>
      </c>
      <c r="C89" s="3" t="s">
        <v>181</v>
      </c>
      <c r="D89" s="3" t="s">
        <v>9</v>
      </c>
      <c r="E89" s="3" t="s">
        <v>16</v>
      </c>
      <c r="F89" s="3" t="s">
        <v>13</v>
      </c>
      <c r="G89" s="4">
        <v>4909.38</v>
      </c>
    </row>
    <row r="90" spans="2:7">
      <c r="B90" s="13" t="s">
        <v>182</v>
      </c>
      <c r="C90" s="3" t="s">
        <v>183</v>
      </c>
      <c r="D90" s="3" t="s">
        <v>9</v>
      </c>
      <c r="E90" s="3"/>
      <c r="F90" s="3" t="s">
        <v>13</v>
      </c>
      <c r="G90" s="4">
        <v>4873.03</v>
      </c>
    </row>
    <row r="91" spans="2:7">
      <c r="B91" s="13" t="s">
        <v>184</v>
      </c>
      <c r="C91" s="3" t="s">
        <v>185</v>
      </c>
      <c r="D91" s="3" t="s">
        <v>9</v>
      </c>
      <c r="E91" s="3" t="s">
        <v>39</v>
      </c>
      <c r="F91" s="3" t="s">
        <v>13</v>
      </c>
      <c r="G91" s="4">
        <v>4798.3500000000004</v>
      </c>
    </row>
    <row r="92" spans="2:7">
      <c r="B92" s="13" t="s">
        <v>186</v>
      </c>
      <c r="C92" s="3" t="s">
        <v>187</v>
      </c>
      <c r="D92" s="3" t="s">
        <v>9</v>
      </c>
      <c r="E92" s="3"/>
      <c r="F92" s="3" t="s">
        <v>13</v>
      </c>
      <c r="G92" s="4">
        <v>4791.28</v>
      </c>
    </row>
    <row r="93" spans="2:7">
      <c r="B93" s="13" t="s">
        <v>188</v>
      </c>
      <c r="C93" s="3" t="s">
        <v>189</v>
      </c>
      <c r="D93" s="3" t="s">
        <v>9</v>
      </c>
      <c r="E93" s="3" t="s">
        <v>16</v>
      </c>
      <c r="F93" s="3" t="s">
        <v>13</v>
      </c>
      <c r="G93" s="4">
        <v>4789.47</v>
      </c>
    </row>
    <row r="94" spans="2:7">
      <c r="B94" s="13" t="s">
        <v>190</v>
      </c>
      <c r="C94" s="3" t="s">
        <v>191</v>
      </c>
      <c r="D94" s="3" t="s">
        <v>9</v>
      </c>
      <c r="E94" s="3" t="s">
        <v>16</v>
      </c>
      <c r="F94" s="3" t="s">
        <v>13</v>
      </c>
      <c r="G94" s="4">
        <v>4760.9399999999996</v>
      </c>
    </row>
    <row r="95" spans="2:7">
      <c r="B95" s="13" t="s">
        <v>192</v>
      </c>
      <c r="C95" s="3" t="s">
        <v>193</v>
      </c>
      <c r="D95" s="3" t="s">
        <v>9</v>
      </c>
      <c r="E95" s="3"/>
      <c r="F95" s="3" t="s">
        <v>13</v>
      </c>
      <c r="G95" s="4">
        <v>4661.62</v>
      </c>
    </row>
    <row r="96" spans="2:7">
      <c r="B96" s="13" t="s">
        <v>194</v>
      </c>
      <c r="C96" s="3" t="s">
        <v>195</v>
      </c>
      <c r="D96" s="3" t="s">
        <v>9</v>
      </c>
      <c r="E96" s="3" t="s">
        <v>39</v>
      </c>
      <c r="F96" s="3" t="s">
        <v>13</v>
      </c>
      <c r="G96" s="4">
        <v>4632.25</v>
      </c>
    </row>
    <row r="97" spans="2:7">
      <c r="B97" s="13" t="s">
        <v>196</v>
      </c>
      <c r="C97" s="3" t="s">
        <v>197</v>
      </c>
      <c r="D97" s="3" t="s">
        <v>9</v>
      </c>
      <c r="E97" s="3" t="s">
        <v>16</v>
      </c>
      <c r="F97" s="3" t="s">
        <v>13</v>
      </c>
      <c r="G97" s="4">
        <v>4601.33</v>
      </c>
    </row>
    <row r="98" spans="2:7">
      <c r="B98" s="13" t="s">
        <v>198</v>
      </c>
      <c r="C98" s="3" t="s">
        <v>199</v>
      </c>
      <c r="D98" s="3" t="s">
        <v>9</v>
      </c>
      <c r="E98" s="3" t="s">
        <v>16</v>
      </c>
      <c r="F98" s="3" t="s">
        <v>13</v>
      </c>
      <c r="G98" s="4">
        <v>4484.01</v>
      </c>
    </row>
    <row r="99" spans="2:7">
      <c r="B99" s="13" t="s">
        <v>200</v>
      </c>
      <c r="C99" s="3" t="s">
        <v>201</v>
      </c>
      <c r="D99" s="3" t="s">
        <v>9</v>
      </c>
      <c r="E99" s="3" t="s">
        <v>39</v>
      </c>
      <c r="F99" s="3" t="s">
        <v>13</v>
      </c>
      <c r="G99" s="4">
        <v>4463.1099999999997</v>
      </c>
    </row>
    <row r="100" spans="2:7">
      <c r="B100" s="13" t="s">
        <v>202</v>
      </c>
      <c r="C100" s="3" t="s">
        <v>203</v>
      </c>
      <c r="D100" s="3" t="s">
        <v>9</v>
      </c>
      <c r="E100" s="3" t="s">
        <v>16</v>
      </c>
      <c r="F100" s="3" t="s">
        <v>13</v>
      </c>
      <c r="G100" s="4">
        <v>4414.88</v>
      </c>
    </row>
    <row r="101" spans="2:7">
      <c r="B101" s="13" t="s">
        <v>204</v>
      </c>
      <c r="C101" s="3" t="s">
        <v>205</v>
      </c>
      <c r="D101" s="3" t="s">
        <v>9</v>
      </c>
      <c r="E101" s="3"/>
      <c r="F101" s="3" t="s">
        <v>13</v>
      </c>
      <c r="G101" s="4">
        <v>4408.79</v>
      </c>
    </row>
    <row r="102" spans="2:7">
      <c r="B102" s="13" t="s">
        <v>206</v>
      </c>
      <c r="C102" s="3" t="s">
        <v>207</v>
      </c>
      <c r="D102" s="3" t="s">
        <v>9</v>
      </c>
      <c r="E102" s="3" t="s">
        <v>16</v>
      </c>
      <c r="F102" s="3" t="s">
        <v>13</v>
      </c>
      <c r="G102" s="4">
        <v>3998.39</v>
      </c>
    </row>
    <row r="103" spans="2:7">
      <c r="B103" s="13" t="s">
        <v>208</v>
      </c>
      <c r="C103" s="3" t="s">
        <v>209</v>
      </c>
      <c r="D103" s="3" t="s">
        <v>9</v>
      </c>
      <c r="E103" s="3" t="s">
        <v>16</v>
      </c>
      <c r="F103" s="3" t="s">
        <v>13</v>
      </c>
      <c r="G103" s="4">
        <v>3804.39</v>
      </c>
    </row>
    <row r="104" spans="2:7">
      <c r="B104" s="13" t="s">
        <v>210</v>
      </c>
      <c r="C104" s="3" t="s">
        <v>211</v>
      </c>
      <c r="D104" s="3" t="s">
        <v>9</v>
      </c>
      <c r="E104" s="3" t="s">
        <v>16</v>
      </c>
      <c r="F104" s="3" t="s">
        <v>13</v>
      </c>
      <c r="G104" s="4">
        <v>3795.75</v>
      </c>
    </row>
    <row r="105" spans="2:7">
      <c r="B105" s="13" t="s">
        <v>212</v>
      </c>
      <c r="C105" s="3" t="s">
        <v>213</v>
      </c>
      <c r="D105" s="3" t="s">
        <v>9</v>
      </c>
      <c r="E105" s="3" t="s">
        <v>16</v>
      </c>
      <c r="F105" s="3" t="s">
        <v>13</v>
      </c>
      <c r="G105" s="4">
        <v>3766.24</v>
      </c>
    </row>
    <row r="106" spans="2:7">
      <c r="B106" s="13" t="s">
        <v>214</v>
      </c>
      <c r="C106" s="3" t="s">
        <v>215</v>
      </c>
      <c r="D106" s="3" t="s">
        <v>9</v>
      </c>
      <c r="E106" s="3"/>
      <c r="F106" s="3" t="s">
        <v>13</v>
      </c>
      <c r="G106" s="4">
        <v>3647.6</v>
      </c>
    </row>
    <row r="107" spans="2:7">
      <c r="B107" s="13" t="s">
        <v>216</v>
      </c>
      <c r="C107" s="3" t="s">
        <v>217</v>
      </c>
      <c r="D107" s="3" t="s">
        <v>9</v>
      </c>
      <c r="E107" s="3" t="s">
        <v>16</v>
      </c>
      <c r="F107" s="3" t="s">
        <v>13</v>
      </c>
      <c r="G107" s="4">
        <v>3400.32</v>
      </c>
    </row>
    <row r="108" spans="2:7">
      <c r="B108" s="13" t="s">
        <v>218</v>
      </c>
      <c r="C108" s="3" t="s">
        <v>219</v>
      </c>
      <c r="D108" s="3" t="s">
        <v>9</v>
      </c>
      <c r="E108" s="3"/>
      <c r="F108" s="3" t="s">
        <v>13</v>
      </c>
      <c r="G108" s="4">
        <v>3366.9</v>
      </c>
    </row>
    <row r="109" spans="2:7">
      <c r="B109" s="13" t="s">
        <v>220</v>
      </c>
      <c r="C109" s="3" t="s">
        <v>221</v>
      </c>
      <c r="D109" s="3" t="s">
        <v>9</v>
      </c>
      <c r="E109" s="3"/>
      <c r="F109" s="3" t="s">
        <v>13</v>
      </c>
      <c r="G109" s="4">
        <v>3300.35</v>
      </c>
    </row>
    <row r="110" spans="2:7">
      <c r="B110" s="13" t="s">
        <v>222</v>
      </c>
      <c r="C110" s="3" t="s">
        <v>223</v>
      </c>
      <c r="D110" s="3" t="s">
        <v>9</v>
      </c>
      <c r="E110" s="3"/>
      <c r="F110" s="3" t="s">
        <v>13</v>
      </c>
      <c r="G110" s="4">
        <v>3238.33</v>
      </c>
    </row>
    <row r="111" spans="2:7">
      <c r="B111" s="13" t="s">
        <v>224</v>
      </c>
      <c r="C111" s="3" t="s">
        <v>225</v>
      </c>
      <c r="D111" s="3" t="s">
        <v>9</v>
      </c>
      <c r="E111" s="3"/>
      <c r="F111" s="3" t="s">
        <v>13</v>
      </c>
      <c r="G111" s="4">
        <v>3233.96</v>
      </c>
    </row>
    <row r="112" spans="2:7">
      <c r="B112" s="13" t="s">
        <v>226</v>
      </c>
      <c r="C112" s="3" t="s">
        <v>227</v>
      </c>
      <c r="D112" s="3" t="s">
        <v>9</v>
      </c>
      <c r="E112" s="3" t="s">
        <v>39</v>
      </c>
      <c r="F112" s="3" t="s">
        <v>13</v>
      </c>
      <c r="G112" s="4">
        <v>3192.23</v>
      </c>
    </row>
    <row r="113" spans="2:7">
      <c r="B113" s="13" t="s">
        <v>228</v>
      </c>
      <c r="C113" s="3" t="s">
        <v>229</v>
      </c>
      <c r="D113" s="3" t="s">
        <v>9</v>
      </c>
      <c r="E113" s="3"/>
      <c r="F113" s="3" t="s">
        <v>13</v>
      </c>
      <c r="G113" s="4">
        <v>3161.6</v>
      </c>
    </row>
    <row r="114" spans="2:7">
      <c r="B114" s="13" t="s">
        <v>230</v>
      </c>
      <c r="C114" s="3" t="s">
        <v>231</v>
      </c>
      <c r="D114" s="3" t="s">
        <v>9</v>
      </c>
      <c r="E114" s="3" t="s">
        <v>16</v>
      </c>
      <c r="F114" s="3" t="s">
        <v>13</v>
      </c>
      <c r="G114" s="4">
        <v>3104.7</v>
      </c>
    </row>
    <row r="115" spans="2:7">
      <c r="B115" s="13" t="s">
        <v>232</v>
      </c>
      <c r="C115" s="3" t="s">
        <v>233</v>
      </c>
      <c r="D115" s="3" t="s">
        <v>9</v>
      </c>
      <c r="E115" s="3" t="s">
        <v>39</v>
      </c>
      <c r="F115" s="3" t="s">
        <v>13</v>
      </c>
      <c r="G115" s="4">
        <v>3075.79</v>
      </c>
    </row>
    <row r="116" spans="2:7">
      <c r="B116" s="13" t="s">
        <v>234</v>
      </c>
      <c r="C116" s="3" t="s">
        <v>235</v>
      </c>
      <c r="D116" s="3" t="s">
        <v>9</v>
      </c>
      <c r="E116" s="3"/>
      <c r="F116" s="3" t="s">
        <v>13</v>
      </c>
      <c r="G116" s="4">
        <v>3072.63</v>
      </c>
    </row>
    <row r="117" spans="2:7">
      <c r="B117" s="13" t="s">
        <v>236</v>
      </c>
      <c r="C117" s="3" t="s">
        <v>237</v>
      </c>
      <c r="D117" s="3" t="s">
        <v>9</v>
      </c>
      <c r="E117" s="3"/>
      <c r="F117" s="3" t="s">
        <v>13</v>
      </c>
      <c r="G117" s="4">
        <v>3063.61</v>
      </c>
    </row>
    <row r="118" spans="2:7">
      <c r="B118" s="13" t="s">
        <v>238</v>
      </c>
      <c r="C118" s="3" t="s">
        <v>239</v>
      </c>
      <c r="D118" s="3" t="s">
        <v>9</v>
      </c>
      <c r="E118" s="3"/>
      <c r="F118" s="3" t="s">
        <v>13</v>
      </c>
      <c r="G118" s="4">
        <v>3051.81</v>
      </c>
    </row>
    <row r="119" spans="2:7">
      <c r="B119" s="13" t="s">
        <v>240</v>
      </c>
      <c r="C119" s="3" t="s">
        <v>241</v>
      </c>
      <c r="D119" s="3" t="s">
        <v>9</v>
      </c>
      <c r="E119" s="3"/>
      <c r="F119" s="3" t="s">
        <v>13</v>
      </c>
      <c r="G119" s="4">
        <v>2946.75</v>
      </c>
    </row>
    <row r="120" spans="2:7">
      <c r="B120" s="13" t="s">
        <v>242</v>
      </c>
      <c r="C120" s="3" t="s">
        <v>243</v>
      </c>
      <c r="D120" s="3" t="s">
        <v>9</v>
      </c>
      <c r="E120" s="3"/>
      <c r="F120" s="3" t="s">
        <v>13</v>
      </c>
      <c r="G120" s="4">
        <v>2886.44</v>
      </c>
    </row>
    <row r="121" spans="2:7">
      <c r="B121" s="13">
        <v>6409</v>
      </c>
      <c r="C121" s="3" t="s">
        <v>244</v>
      </c>
      <c r="D121" s="3" t="s">
        <v>9</v>
      </c>
      <c r="E121" s="3"/>
      <c r="F121" s="3" t="s">
        <v>13</v>
      </c>
      <c r="G121" s="4">
        <v>2879.96</v>
      </c>
    </row>
    <row r="122" spans="2:7">
      <c r="B122" s="13" t="s">
        <v>245</v>
      </c>
      <c r="C122" s="3" t="s">
        <v>246</v>
      </c>
      <c r="D122" s="3" t="s">
        <v>9</v>
      </c>
      <c r="E122" s="3"/>
      <c r="F122" s="3" t="s">
        <v>13</v>
      </c>
      <c r="G122" s="4">
        <v>2872.89</v>
      </c>
    </row>
    <row r="123" spans="2:7">
      <c r="B123" s="13" t="s">
        <v>247</v>
      </c>
      <c r="C123" s="3" t="s">
        <v>248</v>
      </c>
      <c r="D123" s="3" t="s">
        <v>9</v>
      </c>
      <c r="E123" s="3" t="s">
        <v>39</v>
      </c>
      <c r="F123" s="3" t="s">
        <v>13</v>
      </c>
      <c r="G123" s="4">
        <v>2867.82</v>
      </c>
    </row>
    <row r="124" spans="2:7">
      <c r="B124" s="13" t="s">
        <v>249</v>
      </c>
      <c r="C124" s="3" t="s">
        <v>250</v>
      </c>
      <c r="D124" s="3" t="s">
        <v>9</v>
      </c>
      <c r="E124" s="3" t="s">
        <v>16</v>
      </c>
      <c r="F124" s="3" t="s">
        <v>13</v>
      </c>
      <c r="G124" s="4">
        <v>2714.96</v>
      </c>
    </row>
    <row r="125" spans="2:7">
      <c r="B125" s="13" t="s">
        <v>251</v>
      </c>
      <c r="C125" s="3" t="s">
        <v>252</v>
      </c>
      <c r="D125" s="3" t="s">
        <v>9</v>
      </c>
      <c r="E125" s="3"/>
      <c r="F125" s="3" t="s">
        <v>13</v>
      </c>
      <c r="G125" s="4">
        <v>2700.24</v>
      </c>
    </row>
    <row r="126" spans="2:7">
      <c r="B126" s="13" t="s">
        <v>253</v>
      </c>
      <c r="C126" s="3" t="s">
        <v>254</v>
      </c>
      <c r="D126" s="3" t="s">
        <v>9</v>
      </c>
      <c r="E126" s="3" t="s">
        <v>16</v>
      </c>
      <c r="F126" s="3" t="s">
        <v>13</v>
      </c>
      <c r="G126" s="4">
        <v>2699.85</v>
      </c>
    </row>
    <row r="127" spans="2:7">
      <c r="B127" s="13" t="s">
        <v>255</v>
      </c>
      <c r="C127" s="3" t="s">
        <v>256</v>
      </c>
      <c r="D127" s="3" t="s">
        <v>9</v>
      </c>
      <c r="E127" s="3" t="s">
        <v>16</v>
      </c>
      <c r="F127" s="3" t="s">
        <v>13</v>
      </c>
      <c r="G127" s="4">
        <v>2558.48</v>
      </c>
    </row>
    <row r="128" spans="2:7">
      <c r="B128" s="13" t="s">
        <v>257</v>
      </c>
      <c r="C128" s="3" t="s">
        <v>258</v>
      </c>
      <c r="D128" s="3" t="s">
        <v>9</v>
      </c>
      <c r="E128" s="3"/>
      <c r="F128" s="3" t="s">
        <v>13</v>
      </c>
      <c r="G128" s="4">
        <v>2511.4299999999998</v>
      </c>
    </row>
    <row r="129" spans="2:7">
      <c r="B129" s="13" t="s">
        <v>259</v>
      </c>
      <c r="C129" s="3" t="s">
        <v>260</v>
      </c>
      <c r="D129" s="3" t="s">
        <v>9</v>
      </c>
      <c r="E129" s="3" t="s">
        <v>16</v>
      </c>
      <c r="F129" s="3" t="s">
        <v>13</v>
      </c>
      <c r="G129" s="4">
        <v>2492.34</v>
      </c>
    </row>
    <row r="130" spans="2:7">
      <c r="B130" s="13" t="s">
        <v>261</v>
      </c>
      <c r="C130" s="3" t="s">
        <v>262</v>
      </c>
      <c r="D130" s="3" t="s">
        <v>9</v>
      </c>
      <c r="E130" s="3"/>
      <c r="F130" s="3" t="s">
        <v>13</v>
      </c>
      <c r="G130" s="4">
        <v>2418.1799999999998</v>
      </c>
    </row>
    <row r="131" spans="2:7">
      <c r="B131" s="13" t="s">
        <v>263</v>
      </c>
      <c r="C131" s="3" t="s">
        <v>264</v>
      </c>
      <c r="D131" s="3" t="s">
        <v>9</v>
      </c>
      <c r="E131" s="3" t="s">
        <v>16</v>
      </c>
      <c r="F131" s="3" t="s">
        <v>13</v>
      </c>
      <c r="G131" s="4">
        <v>2412.62</v>
      </c>
    </row>
    <row r="132" spans="2:7">
      <c r="B132" s="13" t="s">
        <v>265</v>
      </c>
      <c r="C132" s="3" t="s">
        <v>266</v>
      </c>
      <c r="D132" s="3" t="s">
        <v>9</v>
      </c>
      <c r="E132" s="3"/>
      <c r="F132" s="3" t="s">
        <v>13</v>
      </c>
      <c r="G132" s="4">
        <v>2314.69</v>
      </c>
    </row>
    <row r="133" spans="2:7">
      <c r="B133" s="13" t="s">
        <v>267</v>
      </c>
      <c r="C133" s="3" t="s">
        <v>268</v>
      </c>
      <c r="D133" s="3" t="s">
        <v>9</v>
      </c>
      <c r="E133" s="3" t="s">
        <v>39</v>
      </c>
      <c r="F133" s="3" t="s">
        <v>13</v>
      </c>
      <c r="G133" s="4">
        <v>2268.7199999999998</v>
      </c>
    </row>
    <row r="134" spans="2:7">
      <c r="B134" s="13" t="s">
        <v>269</v>
      </c>
      <c r="C134" s="3" t="s">
        <v>270</v>
      </c>
      <c r="D134" s="3" t="s">
        <v>9</v>
      </c>
      <c r="E134" s="3"/>
      <c r="F134" s="3" t="s">
        <v>13</v>
      </c>
      <c r="G134" s="4">
        <v>2241.3200000000002</v>
      </c>
    </row>
    <row r="135" spans="2:7">
      <c r="B135" s="13" t="s">
        <v>271</v>
      </c>
      <c r="C135" s="3" t="s">
        <v>272</v>
      </c>
      <c r="D135" s="3" t="s">
        <v>9</v>
      </c>
      <c r="E135" s="3"/>
      <c r="F135" s="3" t="s">
        <v>13</v>
      </c>
      <c r="G135" s="4">
        <v>2225.23</v>
      </c>
    </row>
    <row r="136" spans="2:7">
      <c r="B136" s="13">
        <v>8358</v>
      </c>
      <c r="C136" s="3" t="s">
        <v>274</v>
      </c>
      <c r="D136" s="3" t="s">
        <v>9</v>
      </c>
      <c r="E136" s="3"/>
      <c r="F136" s="3" t="s">
        <v>13</v>
      </c>
      <c r="G136" s="4">
        <v>2206.7199999999998</v>
      </c>
    </row>
    <row r="137" spans="2:7">
      <c r="B137" s="13" t="s">
        <v>275</v>
      </c>
      <c r="C137" s="3" t="s">
        <v>276</v>
      </c>
      <c r="D137" s="3" t="s">
        <v>9</v>
      </c>
      <c r="E137" s="3" t="s">
        <v>39</v>
      </c>
      <c r="F137" s="3" t="s">
        <v>13</v>
      </c>
      <c r="G137" s="4">
        <v>2172.6799999999998</v>
      </c>
    </row>
    <row r="138" spans="2:7">
      <c r="B138" s="13" t="s">
        <v>277</v>
      </c>
      <c r="C138" s="3" t="s">
        <v>278</v>
      </c>
      <c r="D138" s="3" t="s">
        <v>9</v>
      </c>
      <c r="E138" s="3"/>
      <c r="F138" s="3" t="s">
        <v>13</v>
      </c>
      <c r="G138" s="4">
        <v>2153.39</v>
      </c>
    </row>
    <row r="139" spans="2:7">
      <c r="B139" s="13" t="s">
        <v>279</v>
      </c>
      <c r="C139" s="3" t="s">
        <v>280</v>
      </c>
      <c r="D139" s="3" t="s">
        <v>9</v>
      </c>
      <c r="E139" s="3" t="s">
        <v>39</v>
      </c>
      <c r="F139" s="3" t="s">
        <v>13</v>
      </c>
      <c r="G139" s="4">
        <v>2120.6999999999998</v>
      </c>
    </row>
    <row r="140" spans="2:7">
      <c r="B140" s="13" t="s">
        <v>281</v>
      </c>
      <c r="C140" s="3" t="s">
        <v>282</v>
      </c>
      <c r="D140" s="3" t="s">
        <v>9</v>
      </c>
      <c r="E140" s="3" t="s">
        <v>39</v>
      </c>
      <c r="F140" s="3" t="s">
        <v>13</v>
      </c>
      <c r="G140" s="4">
        <v>2106.9899999999998</v>
      </c>
    </row>
    <row r="141" spans="2:7">
      <c r="B141" s="13" t="s">
        <v>283</v>
      </c>
      <c r="C141" s="3" t="s">
        <v>284</v>
      </c>
      <c r="D141" s="3" t="s">
        <v>9</v>
      </c>
      <c r="E141" s="3"/>
      <c r="F141" s="3" t="s">
        <v>13</v>
      </c>
      <c r="G141" s="4">
        <v>2105.9</v>
      </c>
    </row>
    <row r="142" spans="2:7">
      <c r="B142" s="13" t="s">
        <v>285</v>
      </c>
      <c r="C142" s="3" t="s">
        <v>286</v>
      </c>
      <c r="D142" s="3" t="s">
        <v>9</v>
      </c>
      <c r="E142" s="3" t="s">
        <v>16</v>
      </c>
      <c r="F142" s="3" t="s">
        <v>13</v>
      </c>
      <c r="G142" s="4">
        <v>2085.1</v>
      </c>
    </row>
    <row r="143" spans="2:7">
      <c r="B143" s="13" t="s">
        <v>287</v>
      </c>
      <c r="C143" s="3" t="s">
        <v>288</v>
      </c>
      <c r="D143" s="3" t="s">
        <v>9</v>
      </c>
      <c r="E143" s="3" t="s">
        <v>16</v>
      </c>
      <c r="F143" s="3" t="s">
        <v>13</v>
      </c>
      <c r="G143" s="4">
        <v>2001.22</v>
      </c>
    </row>
    <row r="144" spans="2:7">
      <c r="B144" s="13" t="s">
        <v>289</v>
      </c>
      <c r="C144" s="3" t="s">
        <v>290</v>
      </c>
      <c r="D144" s="3" t="s">
        <v>9</v>
      </c>
      <c r="E144" s="3" t="s">
        <v>16</v>
      </c>
      <c r="F144" s="3" t="s">
        <v>13</v>
      </c>
      <c r="G144" s="4">
        <v>1999.12</v>
      </c>
    </row>
    <row r="145" spans="2:7">
      <c r="B145" s="13" t="s">
        <v>291</v>
      </c>
      <c r="C145" s="3" t="s">
        <v>292</v>
      </c>
      <c r="D145" s="3" t="s">
        <v>9</v>
      </c>
      <c r="E145" s="3"/>
      <c r="F145" s="3" t="s">
        <v>13</v>
      </c>
      <c r="G145" s="4">
        <v>1998.88</v>
      </c>
    </row>
    <row r="146" spans="2:7">
      <c r="B146" s="13" t="s">
        <v>293</v>
      </c>
      <c r="C146" s="3" t="s">
        <v>294</v>
      </c>
      <c r="D146" s="3" t="s">
        <v>9</v>
      </c>
      <c r="E146" s="3"/>
      <c r="F146" s="3" t="s">
        <v>13</v>
      </c>
      <c r="G146" s="4">
        <v>1951.47</v>
      </c>
    </row>
    <row r="147" spans="2:7">
      <c r="B147" s="13" t="s">
        <v>295</v>
      </c>
      <c r="C147" s="3" t="s">
        <v>296</v>
      </c>
      <c r="D147" s="3" t="s">
        <v>9</v>
      </c>
      <c r="E147" s="3"/>
      <c r="F147" s="3" t="s">
        <v>13</v>
      </c>
      <c r="G147" s="4">
        <v>1927.16</v>
      </c>
    </row>
    <row r="148" spans="2:7">
      <c r="B148" s="13" t="s">
        <v>297</v>
      </c>
      <c r="C148" s="3" t="s">
        <v>298</v>
      </c>
      <c r="D148" s="3" t="s">
        <v>9</v>
      </c>
      <c r="E148" s="3" t="s">
        <v>39</v>
      </c>
      <c r="F148" s="3" t="s">
        <v>13</v>
      </c>
      <c r="G148" s="4">
        <v>1820.62</v>
      </c>
    </row>
    <row r="149" spans="2:7">
      <c r="B149" s="13" t="s">
        <v>299</v>
      </c>
      <c r="C149" s="3" t="s">
        <v>300</v>
      </c>
      <c r="D149" s="3" t="s">
        <v>9</v>
      </c>
      <c r="E149" s="3"/>
      <c r="F149" s="3" t="s">
        <v>13</v>
      </c>
      <c r="G149" s="4">
        <v>1816.31</v>
      </c>
    </row>
    <row r="150" spans="2:7">
      <c r="B150" s="13" t="s">
        <v>301</v>
      </c>
      <c r="C150" s="3" t="s">
        <v>302</v>
      </c>
      <c r="D150" s="3" t="s">
        <v>9</v>
      </c>
      <c r="E150" s="3"/>
      <c r="F150" s="3" t="s">
        <v>13</v>
      </c>
      <c r="G150" s="4">
        <v>1810.71</v>
      </c>
    </row>
    <row r="151" spans="2:7">
      <c r="B151" s="13" t="s">
        <v>303</v>
      </c>
      <c r="C151" s="3" t="s">
        <v>304</v>
      </c>
      <c r="D151" s="3" t="s">
        <v>9</v>
      </c>
      <c r="E151" s="3"/>
      <c r="F151" s="3" t="s">
        <v>13</v>
      </c>
      <c r="G151" s="4">
        <v>1805.86</v>
      </c>
    </row>
    <row r="152" spans="2:7">
      <c r="B152" s="13" t="s">
        <v>305</v>
      </c>
      <c r="C152" s="3" t="s">
        <v>306</v>
      </c>
      <c r="D152" s="3" t="s">
        <v>9</v>
      </c>
      <c r="E152" s="3" t="s">
        <v>16</v>
      </c>
      <c r="F152" s="3" t="s">
        <v>13</v>
      </c>
      <c r="G152" s="4">
        <v>1803.81</v>
      </c>
    </row>
    <row r="153" spans="2:7">
      <c r="B153" s="13" t="s">
        <v>307</v>
      </c>
      <c r="C153" s="3" t="s">
        <v>308</v>
      </c>
      <c r="D153" s="3" t="s">
        <v>9</v>
      </c>
      <c r="E153" s="3"/>
      <c r="F153" s="3" t="s">
        <v>13</v>
      </c>
      <c r="G153" s="4">
        <v>1802.55</v>
      </c>
    </row>
    <row r="154" spans="2:7">
      <c r="B154" s="13" t="s">
        <v>309</v>
      </c>
      <c r="C154" s="3" t="s">
        <v>310</v>
      </c>
      <c r="D154" s="3" t="s">
        <v>9</v>
      </c>
      <c r="E154" s="3" t="s">
        <v>16</v>
      </c>
      <c r="F154" s="3" t="s">
        <v>13</v>
      </c>
      <c r="G154" s="4">
        <v>1770.75</v>
      </c>
    </row>
    <row r="155" spans="2:7">
      <c r="B155" s="13" t="s">
        <v>311</v>
      </c>
      <c r="C155" s="3" t="s">
        <v>312</v>
      </c>
      <c r="D155" s="3" t="s">
        <v>9</v>
      </c>
      <c r="E155" s="3"/>
      <c r="F155" s="3" t="s">
        <v>13</v>
      </c>
      <c r="G155" s="4">
        <v>1763.09</v>
      </c>
    </row>
    <row r="156" spans="2:7">
      <c r="B156" s="13" t="s">
        <v>313</v>
      </c>
      <c r="C156" s="3" t="s">
        <v>314</v>
      </c>
      <c r="D156" s="3" t="s">
        <v>9</v>
      </c>
      <c r="E156" s="3" t="s">
        <v>16</v>
      </c>
      <c r="F156" s="3" t="s">
        <v>13</v>
      </c>
      <c r="G156" s="4">
        <v>1761.5</v>
      </c>
    </row>
    <row r="157" spans="2:7">
      <c r="B157" s="13" t="s">
        <v>315</v>
      </c>
      <c r="C157" s="3" t="s">
        <v>316</v>
      </c>
      <c r="D157" s="3" t="s">
        <v>9</v>
      </c>
      <c r="E157" s="3"/>
      <c r="F157" s="3" t="s">
        <v>13</v>
      </c>
      <c r="G157" s="4">
        <v>1745.31</v>
      </c>
    </row>
    <row r="158" spans="2:7">
      <c r="B158" s="13" t="s">
        <v>317</v>
      </c>
      <c r="C158" s="3" t="s">
        <v>318</v>
      </c>
      <c r="D158" s="3" t="s">
        <v>9</v>
      </c>
      <c r="E158" s="3" t="s">
        <v>16</v>
      </c>
      <c r="F158" s="3" t="s">
        <v>13</v>
      </c>
      <c r="G158" s="4">
        <v>1738.87</v>
      </c>
    </row>
    <row r="159" spans="2:7">
      <c r="B159" s="13" t="s">
        <v>319</v>
      </c>
      <c r="C159" s="3" t="s">
        <v>320</v>
      </c>
      <c r="D159" s="3" t="s">
        <v>9</v>
      </c>
      <c r="E159" s="3"/>
      <c r="F159" s="3" t="s">
        <v>13</v>
      </c>
      <c r="G159" s="4">
        <v>1738.29</v>
      </c>
    </row>
    <row r="160" spans="2:7">
      <c r="B160" s="13" t="s">
        <v>321</v>
      </c>
      <c r="C160" s="3" t="s">
        <v>322</v>
      </c>
      <c r="D160" s="3" t="s">
        <v>9</v>
      </c>
      <c r="E160" s="3" t="s">
        <v>16</v>
      </c>
      <c r="F160" s="3" t="s">
        <v>13</v>
      </c>
      <c r="G160" s="4">
        <v>1736.94</v>
      </c>
    </row>
    <row r="161" spans="2:7">
      <c r="B161" s="13" t="s">
        <v>323</v>
      </c>
      <c r="C161" s="3" t="s">
        <v>324</v>
      </c>
      <c r="D161" s="3" t="s">
        <v>9</v>
      </c>
      <c r="E161" s="3" t="s">
        <v>16</v>
      </c>
      <c r="F161" s="3" t="s">
        <v>13</v>
      </c>
      <c r="G161" s="4">
        <v>1719.89</v>
      </c>
    </row>
    <row r="162" spans="2:7">
      <c r="B162" s="13" t="s">
        <v>325</v>
      </c>
      <c r="C162" s="3" t="s">
        <v>326</v>
      </c>
      <c r="D162" s="3" t="s">
        <v>9</v>
      </c>
      <c r="E162" s="3"/>
      <c r="F162" s="3" t="s">
        <v>13</v>
      </c>
      <c r="G162" s="4">
        <v>1651.97</v>
      </c>
    </row>
    <row r="163" spans="2:7">
      <c r="B163" s="13">
        <v>2637</v>
      </c>
      <c r="C163" s="3" t="s">
        <v>327</v>
      </c>
      <c r="D163" s="3" t="s">
        <v>9</v>
      </c>
      <c r="E163" s="3"/>
      <c r="F163" s="3" t="s">
        <v>13</v>
      </c>
      <c r="G163" s="4">
        <v>1630.4</v>
      </c>
    </row>
    <row r="164" spans="2:7">
      <c r="B164" s="13" t="s">
        <v>328</v>
      </c>
      <c r="C164" s="3" t="s">
        <v>329</v>
      </c>
      <c r="D164" s="3" t="s">
        <v>9</v>
      </c>
      <c r="E164" s="3"/>
      <c r="F164" s="3" t="s">
        <v>13</v>
      </c>
      <c r="G164" s="4">
        <v>1596.61</v>
      </c>
    </row>
    <row r="165" spans="2:7">
      <c r="B165" s="13" t="s">
        <v>330</v>
      </c>
      <c r="C165" s="3" t="s">
        <v>331</v>
      </c>
      <c r="D165" s="3" t="s">
        <v>9</v>
      </c>
      <c r="E165" s="3" t="s">
        <v>39</v>
      </c>
      <c r="F165" s="3" t="s">
        <v>13</v>
      </c>
      <c r="G165" s="4">
        <v>1543.32</v>
      </c>
    </row>
    <row r="166" spans="2:7">
      <c r="B166" s="13" t="s">
        <v>332</v>
      </c>
      <c r="C166" s="3" t="s">
        <v>333</v>
      </c>
      <c r="D166" s="3" t="s">
        <v>9</v>
      </c>
      <c r="E166" s="3"/>
      <c r="F166" s="3" t="s">
        <v>13</v>
      </c>
      <c r="G166" s="4">
        <v>1477.9</v>
      </c>
    </row>
    <row r="167" spans="2:7">
      <c r="B167" s="13" t="s">
        <v>334</v>
      </c>
      <c r="C167" s="3" t="s">
        <v>335</v>
      </c>
      <c r="D167" s="3" t="s">
        <v>9</v>
      </c>
      <c r="E167" s="3"/>
      <c r="F167" s="3" t="s">
        <v>13</v>
      </c>
      <c r="G167" s="4">
        <v>1469.77</v>
      </c>
    </row>
    <row r="168" spans="2:7">
      <c r="B168" s="13" t="s">
        <v>336</v>
      </c>
      <c r="C168" s="3" t="s">
        <v>337</v>
      </c>
      <c r="D168" s="3" t="s">
        <v>9</v>
      </c>
      <c r="E168" s="3"/>
      <c r="F168" s="3" t="s">
        <v>13</v>
      </c>
      <c r="G168" s="4">
        <v>1467.76</v>
      </c>
    </row>
    <row r="169" spans="2:7">
      <c r="B169" s="13" t="s">
        <v>338</v>
      </c>
      <c r="C169" s="3" t="s">
        <v>339</v>
      </c>
      <c r="D169" s="3" t="s">
        <v>9</v>
      </c>
      <c r="E169" s="3"/>
      <c r="F169" s="3" t="s">
        <v>13</v>
      </c>
      <c r="G169" s="4">
        <v>1464.84</v>
      </c>
    </row>
    <row r="170" spans="2:7">
      <c r="B170" s="13" t="s">
        <v>340</v>
      </c>
      <c r="C170" s="3" t="s">
        <v>341</v>
      </c>
      <c r="D170" s="3" t="s">
        <v>9</v>
      </c>
      <c r="E170" s="3" t="s">
        <v>39</v>
      </c>
      <c r="F170" s="3" t="s">
        <v>13</v>
      </c>
      <c r="G170" s="4">
        <v>1461.43</v>
      </c>
    </row>
    <row r="171" spans="2:7">
      <c r="B171" s="13" t="s">
        <v>342</v>
      </c>
      <c r="C171" s="3" t="s">
        <v>343</v>
      </c>
      <c r="D171" s="3" t="s">
        <v>9</v>
      </c>
      <c r="E171" s="3"/>
      <c r="F171" s="3" t="s">
        <v>13</v>
      </c>
      <c r="G171" s="4">
        <v>1439.75</v>
      </c>
    </row>
    <row r="172" spans="2:7">
      <c r="B172" s="13" t="s">
        <v>344</v>
      </c>
      <c r="C172" s="3" t="s">
        <v>345</v>
      </c>
      <c r="D172" s="3" t="s">
        <v>9</v>
      </c>
      <c r="E172" s="3"/>
      <c r="F172" s="3" t="s">
        <v>13</v>
      </c>
      <c r="G172" s="4">
        <v>1419.7</v>
      </c>
    </row>
    <row r="173" spans="2:7">
      <c r="B173" s="13" t="s">
        <v>346</v>
      </c>
      <c r="C173" s="3" t="s">
        <v>347</v>
      </c>
      <c r="D173" s="3" t="s">
        <v>9</v>
      </c>
      <c r="E173" s="3" t="s">
        <v>39</v>
      </c>
      <c r="F173" s="3" t="s">
        <v>13</v>
      </c>
      <c r="G173" s="4">
        <v>1392.7</v>
      </c>
    </row>
    <row r="174" spans="2:7">
      <c r="B174" s="13" t="s">
        <v>348</v>
      </c>
      <c r="C174" s="3" t="s">
        <v>349</v>
      </c>
      <c r="D174" s="3" t="s">
        <v>9</v>
      </c>
      <c r="E174" s="3"/>
      <c r="F174" s="3" t="s">
        <v>13</v>
      </c>
      <c r="G174" s="4">
        <v>1377.89</v>
      </c>
    </row>
    <row r="175" spans="2:7">
      <c r="B175" s="13" t="s">
        <v>350</v>
      </c>
      <c r="C175" s="3" t="s">
        <v>351</v>
      </c>
      <c r="D175" s="3" t="s">
        <v>9</v>
      </c>
      <c r="E175" s="3"/>
      <c r="F175" s="3" t="s">
        <v>13</v>
      </c>
      <c r="G175" s="4">
        <v>1373.33</v>
      </c>
    </row>
    <row r="176" spans="2:7">
      <c r="B176" s="13" t="s">
        <v>352</v>
      </c>
      <c r="C176" s="3" t="s">
        <v>353</v>
      </c>
      <c r="D176" s="3" t="s">
        <v>9</v>
      </c>
      <c r="E176" s="3" t="s">
        <v>39</v>
      </c>
      <c r="F176" s="3" t="s">
        <v>13</v>
      </c>
      <c r="G176" s="4">
        <v>1321.02</v>
      </c>
    </row>
    <row r="177" spans="2:7">
      <c r="B177" s="13" t="s">
        <v>354</v>
      </c>
      <c r="C177" s="3" t="s">
        <v>355</v>
      </c>
      <c r="D177" s="3" t="s">
        <v>9</v>
      </c>
      <c r="E177" s="3"/>
      <c r="F177" s="3" t="s">
        <v>13</v>
      </c>
      <c r="G177" s="4">
        <v>1320.21</v>
      </c>
    </row>
    <row r="178" spans="2:7">
      <c r="B178" s="13" t="s">
        <v>356</v>
      </c>
      <c r="C178" s="3" t="s">
        <v>357</v>
      </c>
      <c r="D178" s="3" t="s">
        <v>9</v>
      </c>
      <c r="E178" s="3"/>
      <c r="F178" s="3" t="s">
        <v>13</v>
      </c>
      <c r="G178" s="4">
        <v>1281.8900000000001</v>
      </c>
    </row>
    <row r="179" spans="2:7">
      <c r="B179" s="13" t="s">
        <v>358</v>
      </c>
      <c r="C179" s="3" t="s">
        <v>359</v>
      </c>
      <c r="D179" s="3" t="s">
        <v>9</v>
      </c>
      <c r="E179" s="3" t="s">
        <v>16</v>
      </c>
      <c r="F179" s="3" t="s">
        <v>13</v>
      </c>
      <c r="G179" s="4">
        <v>1262.24</v>
      </c>
    </row>
    <row r="180" spans="2:7">
      <c r="B180" s="13">
        <v>2855</v>
      </c>
      <c r="C180" s="3" t="s">
        <v>360</v>
      </c>
      <c r="D180" s="3" t="s">
        <v>9</v>
      </c>
      <c r="E180" s="3"/>
      <c r="F180" s="3" t="s">
        <v>13</v>
      </c>
      <c r="G180" s="4">
        <v>1249.1400000000001</v>
      </c>
    </row>
    <row r="181" spans="2:7">
      <c r="B181" s="13" t="s">
        <v>361</v>
      </c>
      <c r="C181" s="3" t="s">
        <v>362</v>
      </c>
      <c r="D181" s="3" t="s">
        <v>9</v>
      </c>
      <c r="E181" s="3"/>
      <c r="F181" s="3" t="s">
        <v>13</v>
      </c>
      <c r="G181" s="4">
        <v>1243.22</v>
      </c>
    </row>
    <row r="182" spans="2:7">
      <c r="B182" s="13" t="s">
        <v>363</v>
      </c>
      <c r="C182" s="3" t="s">
        <v>364</v>
      </c>
      <c r="D182" s="3" t="s">
        <v>9</v>
      </c>
      <c r="E182" s="3"/>
      <c r="F182" s="3" t="s">
        <v>13</v>
      </c>
      <c r="G182" s="4">
        <v>1228.76</v>
      </c>
    </row>
    <row r="183" spans="2:7">
      <c r="B183" s="13" t="s">
        <v>365</v>
      </c>
      <c r="C183" s="3" t="s">
        <v>366</v>
      </c>
      <c r="D183" s="3" t="s">
        <v>9</v>
      </c>
      <c r="E183" s="3"/>
      <c r="F183" s="3" t="s">
        <v>13</v>
      </c>
      <c r="G183" s="4">
        <v>1184.3599999999999</v>
      </c>
    </row>
    <row r="184" spans="2:7">
      <c r="B184" s="13" t="s">
        <v>367</v>
      </c>
      <c r="C184" s="3" t="s">
        <v>368</v>
      </c>
      <c r="D184" s="3" t="s">
        <v>9</v>
      </c>
      <c r="E184" s="3"/>
      <c r="F184" s="3" t="s">
        <v>13</v>
      </c>
      <c r="G184" s="4">
        <v>1182.73</v>
      </c>
    </row>
    <row r="185" spans="2:7">
      <c r="B185" s="13" t="s">
        <v>369</v>
      </c>
      <c r="C185" s="3" t="s">
        <v>370</v>
      </c>
      <c r="D185" s="3" t="s">
        <v>9</v>
      </c>
      <c r="E185" s="3"/>
      <c r="F185" s="3" t="s">
        <v>13</v>
      </c>
      <c r="G185" s="4">
        <v>1163.5899999999999</v>
      </c>
    </row>
    <row r="186" spans="2:7">
      <c r="B186" s="13" t="s">
        <v>371</v>
      </c>
      <c r="C186" s="3" t="s">
        <v>372</v>
      </c>
      <c r="D186" s="3" t="s">
        <v>9</v>
      </c>
      <c r="E186" s="3" t="s">
        <v>16</v>
      </c>
      <c r="F186" s="3" t="s">
        <v>13</v>
      </c>
      <c r="G186" s="4">
        <v>1154.05</v>
      </c>
    </row>
    <row r="187" spans="2:7">
      <c r="B187" s="13" t="s">
        <v>373</v>
      </c>
      <c r="C187" s="3" t="s">
        <v>374</v>
      </c>
      <c r="D187" s="3" t="s">
        <v>9</v>
      </c>
      <c r="E187" s="3"/>
      <c r="F187" s="3" t="s">
        <v>13</v>
      </c>
      <c r="G187" s="4">
        <v>1124.81</v>
      </c>
    </row>
    <row r="188" spans="2:7">
      <c r="B188" s="13" t="s">
        <v>375</v>
      </c>
      <c r="C188" s="3" t="s">
        <v>376</v>
      </c>
      <c r="D188" s="3" t="s">
        <v>9</v>
      </c>
      <c r="E188" s="3"/>
      <c r="F188" s="3" t="s">
        <v>13</v>
      </c>
      <c r="G188" s="4">
        <v>1119.97</v>
      </c>
    </row>
    <row r="189" spans="2:7">
      <c r="B189" s="13" t="s">
        <v>377</v>
      </c>
      <c r="C189" s="3" t="s">
        <v>378</v>
      </c>
      <c r="D189" s="3" t="s">
        <v>9</v>
      </c>
      <c r="E189" s="3"/>
      <c r="F189" s="3" t="s">
        <v>13</v>
      </c>
      <c r="G189" s="4">
        <v>1112.93</v>
      </c>
    </row>
    <row r="190" spans="2:7">
      <c r="B190" s="13" t="s">
        <v>379</v>
      </c>
      <c r="C190" s="3" t="s">
        <v>380</v>
      </c>
      <c r="D190" s="3" t="s">
        <v>9</v>
      </c>
      <c r="E190" s="3"/>
      <c r="F190" s="3" t="s">
        <v>13</v>
      </c>
      <c r="G190" s="4">
        <v>1090.6099999999999</v>
      </c>
    </row>
    <row r="191" spans="2:7">
      <c r="B191" s="13" t="s">
        <v>381</v>
      </c>
      <c r="C191" s="3" t="s">
        <v>382</v>
      </c>
      <c r="D191" s="3" t="s">
        <v>9</v>
      </c>
      <c r="E191" s="3" t="s">
        <v>16</v>
      </c>
      <c r="F191" s="3" t="s">
        <v>13</v>
      </c>
      <c r="G191" s="4">
        <v>1083.5899999999999</v>
      </c>
    </row>
    <row r="192" spans="2:7">
      <c r="B192" s="13" t="s">
        <v>383</v>
      </c>
      <c r="C192" s="3" t="s">
        <v>384</v>
      </c>
      <c r="D192" s="3" t="s">
        <v>9</v>
      </c>
      <c r="E192" s="3"/>
      <c r="F192" s="3" t="s">
        <v>13</v>
      </c>
      <c r="G192" s="4">
        <v>1078.5999999999999</v>
      </c>
    </row>
    <row r="193" spans="2:7">
      <c r="B193" s="13" t="s">
        <v>385</v>
      </c>
      <c r="C193" s="3" t="s">
        <v>386</v>
      </c>
      <c r="D193" s="3" t="s">
        <v>9</v>
      </c>
      <c r="E193" s="3" t="s">
        <v>16</v>
      </c>
      <c r="F193" s="3" t="s">
        <v>13</v>
      </c>
      <c r="G193" s="4">
        <v>1057.28</v>
      </c>
    </row>
    <row r="194" spans="2:7">
      <c r="B194" s="13" t="s">
        <v>387</v>
      </c>
      <c r="C194" s="3" t="s">
        <v>388</v>
      </c>
      <c r="D194" s="3" t="s">
        <v>9</v>
      </c>
      <c r="E194" s="3"/>
      <c r="F194" s="3" t="s">
        <v>13</v>
      </c>
      <c r="G194" s="4">
        <v>1049.83</v>
      </c>
    </row>
    <row r="195" spans="2:7">
      <c r="B195" s="13" t="s">
        <v>389</v>
      </c>
      <c r="C195" s="3" t="s">
        <v>390</v>
      </c>
      <c r="D195" s="3" t="s">
        <v>9</v>
      </c>
      <c r="E195" s="3"/>
      <c r="F195" s="3" t="s">
        <v>13</v>
      </c>
      <c r="G195" s="4">
        <v>1049.79</v>
      </c>
    </row>
    <row r="196" spans="2:7">
      <c r="B196" s="13" t="s">
        <v>391</v>
      </c>
      <c r="C196" s="3" t="s">
        <v>392</v>
      </c>
      <c r="D196" s="3" t="s">
        <v>9</v>
      </c>
      <c r="E196" s="3" t="s">
        <v>39</v>
      </c>
      <c r="F196" s="3" t="s">
        <v>13</v>
      </c>
      <c r="G196" s="4">
        <v>1048</v>
      </c>
    </row>
    <row r="197" spans="2:7">
      <c r="B197" s="13" t="s">
        <v>393</v>
      </c>
      <c r="C197" s="3" t="s">
        <v>394</v>
      </c>
      <c r="D197" s="3" t="s">
        <v>9</v>
      </c>
      <c r="E197" s="3"/>
      <c r="F197" s="3" t="s">
        <v>13</v>
      </c>
      <c r="G197" s="4">
        <v>1047.03</v>
      </c>
    </row>
    <row r="198" spans="2:7">
      <c r="B198" s="13" t="s">
        <v>395</v>
      </c>
      <c r="C198" s="3" t="s">
        <v>396</v>
      </c>
      <c r="D198" s="3" t="s">
        <v>9</v>
      </c>
      <c r="E198" s="3"/>
      <c r="F198" s="3" t="s">
        <v>13</v>
      </c>
      <c r="G198" s="4">
        <v>1046.04</v>
      </c>
    </row>
    <row r="199" spans="2:7">
      <c r="B199" s="13" t="s">
        <v>397</v>
      </c>
      <c r="C199" s="3" t="s">
        <v>398</v>
      </c>
      <c r="D199" s="3" t="s">
        <v>9</v>
      </c>
      <c r="E199" s="3"/>
      <c r="F199" s="3" t="s">
        <v>13</v>
      </c>
      <c r="G199" s="4">
        <v>1038.53</v>
      </c>
    </row>
    <row r="200" spans="2:7">
      <c r="B200" s="13" t="s">
        <v>399</v>
      </c>
      <c r="C200" s="3" t="s">
        <v>400</v>
      </c>
      <c r="D200" s="3" t="s">
        <v>9</v>
      </c>
      <c r="E200" s="3"/>
      <c r="F200" s="3" t="s">
        <v>13</v>
      </c>
      <c r="G200" s="4">
        <v>1032.57</v>
      </c>
    </row>
    <row r="201" spans="2:7">
      <c r="B201" s="13" t="s">
        <v>401</v>
      </c>
      <c r="C201" s="3" t="s">
        <v>402</v>
      </c>
      <c r="D201" s="3" t="s">
        <v>9</v>
      </c>
      <c r="E201" s="3" t="s">
        <v>16</v>
      </c>
      <c r="F201" s="3" t="s">
        <v>13</v>
      </c>
      <c r="G201" s="4">
        <v>1018.88</v>
      </c>
    </row>
    <row r="202" spans="2:7">
      <c r="B202" s="13" t="s">
        <v>403</v>
      </c>
      <c r="C202" s="3" t="s">
        <v>404</v>
      </c>
      <c r="D202" s="3" t="s">
        <v>9</v>
      </c>
      <c r="E202" s="3" t="s">
        <v>39</v>
      </c>
      <c r="F202" s="3" t="s">
        <v>13</v>
      </c>
      <c r="G202" s="4">
        <v>998.49</v>
      </c>
    </row>
    <row r="203" spans="2:7">
      <c r="B203" s="13" t="s">
        <v>405</v>
      </c>
      <c r="C203" s="3" t="s">
        <v>406</v>
      </c>
      <c r="D203" s="3" t="s">
        <v>9</v>
      </c>
      <c r="E203" s="3" t="s">
        <v>16</v>
      </c>
      <c r="F203" s="3" t="s">
        <v>13</v>
      </c>
      <c r="G203" s="4">
        <v>981.86</v>
      </c>
    </row>
    <row r="204" spans="2:7">
      <c r="B204" s="13" t="s">
        <v>407</v>
      </c>
      <c r="C204" s="3" t="s">
        <v>408</v>
      </c>
      <c r="D204" s="3" t="s">
        <v>9</v>
      </c>
      <c r="E204" s="3"/>
      <c r="F204" s="3" t="s">
        <v>13</v>
      </c>
      <c r="G204" s="4">
        <v>931.94</v>
      </c>
    </row>
    <row r="205" spans="2:7">
      <c r="B205" s="13" t="s">
        <v>409</v>
      </c>
      <c r="C205" s="3" t="s">
        <v>410</v>
      </c>
      <c r="D205" s="3" t="s">
        <v>9</v>
      </c>
      <c r="E205" s="3"/>
      <c r="F205" s="3" t="s">
        <v>13</v>
      </c>
      <c r="G205" s="4">
        <v>905.73</v>
      </c>
    </row>
    <row r="206" spans="2:7">
      <c r="B206" s="13" t="s">
        <v>411</v>
      </c>
      <c r="C206" s="3" t="s">
        <v>412</v>
      </c>
      <c r="D206" s="3" t="s">
        <v>9</v>
      </c>
      <c r="E206" s="3"/>
      <c r="F206" s="3" t="s">
        <v>13</v>
      </c>
      <c r="G206" s="4">
        <v>871.42</v>
      </c>
    </row>
    <row r="207" spans="2:7">
      <c r="B207" s="13" t="s">
        <v>413</v>
      </c>
      <c r="C207" s="3" t="s">
        <v>414</v>
      </c>
      <c r="D207" s="3" t="s">
        <v>9</v>
      </c>
      <c r="E207" s="3" t="s">
        <v>16</v>
      </c>
      <c r="F207" s="3" t="s">
        <v>13</v>
      </c>
      <c r="G207" s="4">
        <v>858.37</v>
      </c>
    </row>
    <row r="208" spans="2:7">
      <c r="B208" s="13" t="s">
        <v>415</v>
      </c>
      <c r="C208" s="3" t="s">
        <v>416</v>
      </c>
      <c r="D208" s="3" t="s">
        <v>9</v>
      </c>
      <c r="E208" s="3"/>
      <c r="F208" s="3" t="s">
        <v>13</v>
      </c>
      <c r="G208" s="4">
        <v>851.42</v>
      </c>
    </row>
    <row r="209" spans="2:7">
      <c r="B209" s="13" t="s">
        <v>417</v>
      </c>
      <c r="C209" s="3" t="s">
        <v>418</v>
      </c>
      <c r="D209" s="3" t="s">
        <v>9</v>
      </c>
      <c r="E209" s="3"/>
      <c r="F209" s="3" t="s">
        <v>13</v>
      </c>
      <c r="G209" s="4">
        <v>833.29</v>
      </c>
    </row>
    <row r="210" spans="2:7">
      <c r="B210" s="13" t="s">
        <v>419</v>
      </c>
      <c r="C210" s="3" t="s">
        <v>420</v>
      </c>
      <c r="D210" s="3" t="s">
        <v>9</v>
      </c>
      <c r="E210" s="3" t="s">
        <v>39</v>
      </c>
      <c r="F210" s="3" t="s">
        <v>13</v>
      </c>
      <c r="G210" s="4">
        <v>828.75</v>
      </c>
    </row>
    <row r="211" spans="2:7">
      <c r="B211" s="13" t="s">
        <v>421</v>
      </c>
      <c r="C211" s="3" t="s">
        <v>422</v>
      </c>
      <c r="D211" s="3" t="s">
        <v>9</v>
      </c>
      <c r="E211" s="3" t="s">
        <v>16</v>
      </c>
      <c r="F211" s="3" t="s">
        <v>13</v>
      </c>
      <c r="G211" s="4">
        <v>827.6</v>
      </c>
    </row>
    <row r="212" spans="2:7">
      <c r="B212" s="13">
        <v>3714</v>
      </c>
      <c r="C212" s="3" t="s">
        <v>423</v>
      </c>
      <c r="D212" s="3" t="s">
        <v>9</v>
      </c>
      <c r="E212" s="3"/>
      <c r="F212" s="3" t="s">
        <v>13</v>
      </c>
      <c r="G212" s="4">
        <v>825.83</v>
      </c>
    </row>
    <row r="213" spans="2:7">
      <c r="B213" s="13">
        <v>6116</v>
      </c>
      <c r="C213" s="3" t="s">
        <v>424</v>
      </c>
      <c r="D213" s="3" t="s">
        <v>9</v>
      </c>
      <c r="E213" s="3"/>
      <c r="F213" s="3" t="s">
        <v>13</v>
      </c>
      <c r="G213" s="4">
        <v>822.12</v>
      </c>
    </row>
    <row r="214" spans="2:7">
      <c r="B214" s="13" t="s">
        <v>425</v>
      </c>
      <c r="C214" s="3" t="s">
        <v>426</v>
      </c>
      <c r="D214" s="3" t="s">
        <v>9</v>
      </c>
      <c r="E214" s="3"/>
      <c r="F214" s="3" t="s">
        <v>13</v>
      </c>
      <c r="G214" s="4">
        <v>809.21</v>
      </c>
    </row>
    <row r="215" spans="2:7">
      <c r="B215" s="13" t="s">
        <v>427</v>
      </c>
      <c r="C215" s="3" t="s">
        <v>428</v>
      </c>
      <c r="D215" s="3" t="s">
        <v>9</v>
      </c>
      <c r="E215" s="3"/>
      <c r="F215" s="3" t="s">
        <v>13</v>
      </c>
      <c r="G215" s="4">
        <v>805.83</v>
      </c>
    </row>
    <row r="216" spans="2:7">
      <c r="B216" s="13" t="s">
        <v>429</v>
      </c>
      <c r="C216" s="3" t="s">
        <v>430</v>
      </c>
      <c r="D216" s="3" t="s">
        <v>9</v>
      </c>
      <c r="E216" s="3"/>
      <c r="F216" s="3" t="s">
        <v>13</v>
      </c>
      <c r="G216" s="4">
        <v>778.61</v>
      </c>
    </row>
    <row r="217" spans="2:7">
      <c r="B217" s="13" t="s">
        <v>431</v>
      </c>
      <c r="C217" s="3" t="s">
        <v>432</v>
      </c>
      <c r="D217" s="3" t="s">
        <v>9</v>
      </c>
      <c r="E217" s="3"/>
      <c r="F217" s="3" t="s">
        <v>13</v>
      </c>
      <c r="G217" s="4">
        <v>756.41</v>
      </c>
    </row>
    <row r="218" spans="2:7">
      <c r="B218" s="13" t="s">
        <v>433</v>
      </c>
      <c r="C218" s="3" t="s">
        <v>434</v>
      </c>
      <c r="D218" s="3" t="s">
        <v>9</v>
      </c>
      <c r="E218" s="3" t="s">
        <v>39</v>
      </c>
      <c r="F218" s="3" t="s">
        <v>13</v>
      </c>
      <c r="G218" s="4">
        <v>753.07</v>
      </c>
    </row>
    <row r="219" spans="2:7">
      <c r="B219" s="13" t="s">
        <v>435</v>
      </c>
      <c r="C219" s="3" t="s">
        <v>436</v>
      </c>
      <c r="D219" s="3" t="s">
        <v>9</v>
      </c>
      <c r="E219" s="3"/>
      <c r="F219" s="3" t="s">
        <v>13</v>
      </c>
      <c r="G219" s="4">
        <v>716.4</v>
      </c>
    </row>
    <row r="220" spans="2:7">
      <c r="B220" s="13" t="s">
        <v>437</v>
      </c>
      <c r="C220" s="3" t="s">
        <v>438</v>
      </c>
      <c r="D220" s="3" t="s">
        <v>9</v>
      </c>
      <c r="E220" s="3"/>
      <c r="F220" s="3" t="s">
        <v>13</v>
      </c>
      <c r="G220" s="4">
        <v>709.18</v>
      </c>
    </row>
    <row r="221" spans="2:7">
      <c r="B221" s="13" t="s">
        <v>439</v>
      </c>
      <c r="C221" s="3" t="s">
        <v>440</v>
      </c>
      <c r="D221" s="3" t="s">
        <v>9</v>
      </c>
      <c r="E221" s="3"/>
      <c r="F221" s="3" t="s">
        <v>13</v>
      </c>
      <c r="G221" s="4">
        <v>681.89</v>
      </c>
    </row>
    <row r="222" spans="2:7">
      <c r="B222" s="13">
        <v>315</v>
      </c>
      <c r="C222" s="3" t="s">
        <v>441</v>
      </c>
      <c r="D222" s="3" t="s">
        <v>9</v>
      </c>
      <c r="E222" s="3"/>
      <c r="F222" s="3" t="s">
        <v>13</v>
      </c>
      <c r="G222" s="4">
        <v>679.1</v>
      </c>
    </row>
    <row r="223" spans="2:7">
      <c r="B223" s="13" t="s">
        <v>442</v>
      </c>
      <c r="C223" s="3" t="s">
        <v>443</v>
      </c>
      <c r="D223" s="3" t="s">
        <v>9</v>
      </c>
      <c r="E223" s="3" t="s">
        <v>39</v>
      </c>
      <c r="F223" s="3" t="s">
        <v>13</v>
      </c>
      <c r="G223" s="4">
        <v>676.37</v>
      </c>
    </row>
    <row r="224" spans="2:7">
      <c r="B224" s="13" t="s">
        <v>444</v>
      </c>
      <c r="C224" s="3" t="s">
        <v>445</v>
      </c>
      <c r="D224" s="3" t="s">
        <v>9</v>
      </c>
      <c r="E224" s="3"/>
      <c r="F224" s="3" t="s">
        <v>13</v>
      </c>
      <c r="G224" s="4">
        <v>645.39</v>
      </c>
    </row>
    <row r="225" spans="2:7">
      <c r="B225" s="13">
        <v>9802</v>
      </c>
      <c r="C225" s="3" t="s">
        <v>446</v>
      </c>
      <c r="D225" s="3" t="s">
        <v>9</v>
      </c>
      <c r="E225" s="3"/>
      <c r="F225" s="3" t="s">
        <v>13</v>
      </c>
      <c r="G225" s="4">
        <v>639.86</v>
      </c>
    </row>
    <row r="226" spans="2:7">
      <c r="B226" s="13" t="s">
        <v>447</v>
      </c>
      <c r="C226" s="3" t="s">
        <v>448</v>
      </c>
      <c r="D226" s="3" t="s">
        <v>9</v>
      </c>
      <c r="E226" s="3" t="s">
        <v>16</v>
      </c>
      <c r="F226" s="3" t="s">
        <v>13</v>
      </c>
      <c r="G226" s="4">
        <v>614.38</v>
      </c>
    </row>
    <row r="227" spans="2:7">
      <c r="B227" s="13" t="s">
        <v>449</v>
      </c>
      <c r="C227" s="3" t="s">
        <v>450</v>
      </c>
      <c r="D227" s="3" t="s">
        <v>9</v>
      </c>
      <c r="E227" s="3"/>
      <c r="F227" s="3" t="s">
        <v>13</v>
      </c>
      <c r="G227" s="4">
        <v>613.16</v>
      </c>
    </row>
    <row r="228" spans="2:7">
      <c r="B228" s="13" t="s">
        <v>451</v>
      </c>
      <c r="C228" s="3" t="s">
        <v>452</v>
      </c>
      <c r="D228" s="3" t="s">
        <v>9</v>
      </c>
      <c r="E228" s="3"/>
      <c r="F228" s="3" t="s">
        <v>13</v>
      </c>
      <c r="G228" s="4">
        <v>612.26</v>
      </c>
    </row>
    <row r="229" spans="2:7">
      <c r="B229" s="13" t="s">
        <v>453</v>
      </c>
      <c r="C229" s="3" t="s">
        <v>454</v>
      </c>
      <c r="D229" s="3" t="s">
        <v>9</v>
      </c>
      <c r="E229" s="3"/>
      <c r="F229" s="3" t="s">
        <v>13</v>
      </c>
      <c r="G229" s="4">
        <v>606.86</v>
      </c>
    </row>
    <row r="230" spans="2:7">
      <c r="B230" s="13" t="s">
        <v>455</v>
      </c>
      <c r="C230" s="3" t="s">
        <v>456</v>
      </c>
      <c r="D230" s="3" t="s">
        <v>9</v>
      </c>
      <c r="E230" s="3"/>
      <c r="F230" s="3" t="s">
        <v>13</v>
      </c>
      <c r="G230" s="4">
        <v>599.04999999999995</v>
      </c>
    </row>
    <row r="231" spans="2:7">
      <c r="B231" s="13" t="s">
        <v>457</v>
      </c>
      <c r="C231" s="3" t="s">
        <v>458</v>
      </c>
      <c r="D231" s="3" t="s">
        <v>9</v>
      </c>
      <c r="E231" s="3" t="s">
        <v>16</v>
      </c>
      <c r="F231" s="3" t="s">
        <v>13</v>
      </c>
      <c r="G231" s="4">
        <v>596.08000000000004</v>
      </c>
    </row>
    <row r="232" spans="2:7">
      <c r="B232" s="13" t="s">
        <v>459</v>
      </c>
      <c r="C232" s="3" t="s">
        <v>460</v>
      </c>
      <c r="D232" s="3" t="s">
        <v>9</v>
      </c>
      <c r="E232" s="3"/>
      <c r="F232" s="3" t="s">
        <v>13</v>
      </c>
      <c r="G232" s="4">
        <v>594.79</v>
      </c>
    </row>
    <row r="233" spans="2:7">
      <c r="B233" s="13" t="s">
        <v>461</v>
      </c>
      <c r="C233" s="3" t="s">
        <v>462</v>
      </c>
      <c r="D233" s="3" t="s">
        <v>9</v>
      </c>
      <c r="E233" s="3"/>
      <c r="F233" s="3" t="s">
        <v>13</v>
      </c>
      <c r="G233" s="4">
        <v>584.17999999999995</v>
      </c>
    </row>
    <row r="234" spans="2:7">
      <c r="B234" s="13" t="s">
        <v>463</v>
      </c>
      <c r="C234" s="3" t="s">
        <v>464</v>
      </c>
      <c r="D234" s="3" t="s">
        <v>9</v>
      </c>
      <c r="E234" s="3"/>
      <c r="F234" s="3" t="s">
        <v>13</v>
      </c>
      <c r="G234" s="4">
        <v>562.84</v>
      </c>
    </row>
    <row r="235" spans="2:7">
      <c r="B235" s="13" t="s">
        <v>465</v>
      </c>
      <c r="C235" s="3" t="s">
        <v>466</v>
      </c>
      <c r="D235" s="3" t="s">
        <v>9</v>
      </c>
      <c r="E235" s="3"/>
      <c r="F235" s="3" t="s">
        <v>13</v>
      </c>
      <c r="G235" s="4">
        <v>549.54</v>
      </c>
    </row>
    <row r="236" spans="2:7">
      <c r="B236" s="13" t="s">
        <v>467</v>
      </c>
      <c r="C236" s="3" t="s">
        <v>468</v>
      </c>
      <c r="D236" s="3" t="s">
        <v>9</v>
      </c>
      <c r="E236" s="3"/>
      <c r="F236" s="3" t="s">
        <v>13</v>
      </c>
      <c r="G236" s="4">
        <v>547.78</v>
      </c>
    </row>
    <row r="237" spans="2:7">
      <c r="B237" s="13" t="s">
        <v>469</v>
      </c>
      <c r="C237" s="3" t="s">
        <v>470</v>
      </c>
      <c r="D237" s="3" t="s">
        <v>9</v>
      </c>
      <c r="E237" s="3" t="s">
        <v>39</v>
      </c>
      <c r="F237" s="3" t="s">
        <v>13</v>
      </c>
      <c r="G237" s="4">
        <v>545.41999999999996</v>
      </c>
    </row>
    <row r="238" spans="2:7">
      <c r="B238" s="13" t="s">
        <v>471</v>
      </c>
      <c r="C238" s="3" t="s">
        <v>472</v>
      </c>
      <c r="D238" s="3" t="s">
        <v>9</v>
      </c>
      <c r="E238" s="3"/>
      <c r="F238" s="3" t="s">
        <v>13</v>
      </c>
      <c r="G238" s="4">
        <v>527.86</v>
      </c>
    </row>
    <row r="239" spans="2:7">
      <c r="B239" s="13" t="s">
        <v>473</v>
      </c>
      <c r="C239" s="3" t="s">
        <v>474</v>
      </c>
      <c r="D239" s="3" t="s">
        <v>9</v>
      </c>
      <c r="E239" s="3"/>
      <c r="F239" s="3" t="s">
        <v>13</v>
      </c>
      <c r="G239" s="4">
        <v>526.29</v>
      </c>
    </row>
    <row r="240" spans="2:7">
      <c r="B240" s="13" t="s">
        <v>475</v>
      </c>
      <c r="C240" s="3" t="s">
        <v>476</v>
      </c>
      <c r="D240" s="3" t="s">
        <v>9</v>
      </c>
      <c r="E240" s="3" t="s">
        <v>16</v>
      </c>
      <c r="F240" s="3" t="s">
        <v>13</v>
      </c>
      <c r="G240" s="4">
        <v>508.78</v>
      </c>
    </row>
    <row r="241" spans="2:7">
      <c r="B241" s="13">
        <v>3592</v>
      </c>
      <c r="C241" s="3" t="s">
        <v>477</v>
      </c>
      <c r="D241" s="3" t="s">
        <v>9</v>
      </c>
      <c r="E241" s="3"/>
      <c r="F241" s="3" t="s">
        <v>13</v>
      </c>
      <c r="G241" s="4">
        <v>508.33</v>
      </c>
    </row>
    <row r="242" spans="2:7">
      <c r="B242" s="13" t="s">
        <v>478</v>
      </c>
      <c r="C242" s="3" t="s">
        <v>479</v>
      </c>
      <c r="D242" s="3" t="s">
        <v>9</v>
      </c>
      <c r="E242" s="3"/>
      <c r="F242" s="3" t="s">
        <v>13</v>
      </c>
      <c r="G242" s="4">
        <v>506.77</v>
      </c>
    </row>
    <row r="243" spans="2:7">
      <c r="B243" s="13" t="s">
        <v>480</v>
      </c>
      <c r="C243" s="3" t="s">
        <v>481</v>
      </c>
      <c r="D243" s="3" t="s">
        <v>9</v>
      </c>
      <c r="E243" s="3"/>
      <c r="F243" s="3" t="s">
        <v>13</v>
      </c>
      <c r="G243" s="4">
        <v>504.57</v>
      </c>
    </row>
    <row r="244" spans="2:7">
      <c r="B244" s="13" t="s">
        <v>482</v>
      </c>
      <c r="C244" s="3" t="s">
        <v>483</v>
      </c>
      <c r="D244" s="3" t="s">
        <v>9</v>
      </c>
      <c r="E244" s="3"/>
      <c r="F244" s="3" t="s">
        <v>13</v>
      </c>
      <c r="G244" s="4">
        <v>502.22</v>
      </c>
    </row>
  </sheetData>
  <autoFilter ref="B3:G244" xr:uid="{00000000-0009-0000-0000-000000000000}">
    <sortState xmlns:xlrd2="http://schemas.microsoft.com/office/spreadsheetml/2017/richdata2" ref="B4:G244">
      <sortCondition descending="1" ref="G3:G244"/>
    </sortState>
  </autoFilter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126"/>
  <sheetViews>
    <sheetView workbookViewId="0">
      <selection activeCell="E13" sqref="A13:E13"/>
    </sheetView>
  </sheetViews>
  <sheetFormatPr defaultRowHeight="16.5"/>
  <cols>
    <col min="1" max="1" width="3" customWidth="1"/>
    <col min="2" max="2" width="12" style="16" customWidth="1"/>
    <col min="3" max="3" width="14" customWidth="1"/>
    <col min="4" max="4" width="22" customWidth="1"/>
    <col min="5" max="6" width="12" customWidth="1"/>
    <col min="7" max="23" width="9" customWidth="1"/>
    <col min="24" max="27" width="10" customWidth="1"/>
  </cols>
  <sheetData>
    <row r="2" spans="2:27">
      <c r="B2" s="17" t="s">
        <v>1</v>
      </c>
      <c r="C2" s="17" t="s">
        <v>484</v>
      </c>
      <c r="D2" s="17" t="s">
        <v>485</v>
      </c>
      <c r="E2" s="17" t="s">
        <v>486</v>
      </c>
      <c r="F2" s="17" t="s">
        <v>487</v>
      </c>
      <c r="G2" s="17" t="s">
        <v>488</v>
      </c>
      <c r="H2" s="17" t="s">
        <v>489</v>
      </c>
      <c r="I2" s="17" t="s">
        <v>490</v>
      </c>
      <c r="J2" s="17" t="s">
        <v>491</v>
      </c>
      <c r="K2" s="17" t="s">
        <v>492</v>
      </c>
      <c r="L2" s="17" t="s">
        <v>493</v>
      </c>
      <c r="M2" s="17" t="s">
        <v>494</v>
      </c>
      <c r="N2" s="17" t="s">
        <v>495</v>
      </c>
      <c r="O2" s="17" t="s">
        <v>496</v>
      </c>
      <c r="P2" s="17" t="s">
        <v>497</v>
      </c>
      <c r="Q2" s="17" t="s">
        <v>498</v>
      </c>
      <c r="R2" s="17" t="s">
        <v>499</v>
      </c>
      <c r="S2" s="17" t="s">
        <v>500</v>
      </c>
      <c r="T2" s="17" t="s">
        <v>501</v>
      </c>
      <c r="U2" s="17" t="s">
        <v>502</v>
      </c>
      <c r="V2" s="17" t="s">
        <v>503</v>
      </c>
      <c r="W2" s="17" t="s">
        <v>504</v>
      </c>
      <c r="X2" s="17" t="s">
        <v>501</v>
      </c>
      <c r="Y2" s="17" t="s">
        <v>502</v>
      </c>
      <c r="Z2" s="17" t="s">
        <v>503</v>
      </c>
      <c r="AA2" s="17" t="s">
        <v>504</v>
      </c>
    </row>
    <row r="3" spans="2:27">
      <c r="B3" s="13" t="s">
        <v>251</v>
      </c>
      <c r="C3" s="3" t="s">
        <v>505</v>
      </c>
      <c r="D3" s="3" t="s">
        <v>506</v>
      </c>
      <c r="E3" s="3" t="s">
        <v>507</v>
      </c>
      <c r="F3" s="5">
        <v>150.9</v>
      </c>
      <c r="G3" s="4">
        <v>51.07</v>
      </c>
      <c r="H3" s="4">
        <v>8.43</v>
      </c>
      <c r="I3" s="4">
        <v>16.649999999999999</v>
      </c>
      <c r="J3" s="4">
        <v>15.8</v>
      </c>
      <c r="K3" s="4">
        <v>20.04</v>
      </c>
      <c r="L3" s="6">
        <v>24.21</v>
      </c>
      <c r="M3" s="4">
        <v>20.12</v>
      </c>
      <c r="N3" s="4">
        <v>17.190000000000001</v>
      </c>
      <c r="O3" s="6">
        <v>316.19</v>
      </c>
      <c r="P3" s="4">
        <v>7.41</v>
      </c>
      <c r="Q3" s="4">
        <v>11.77</v>
      </c>
      <c r="R3" s="4">
        <v>14.27</v>
      </c>
      <c r="S3" s="4">
        <v>30.07</v>
      </c>
      <c r="T3" s="4">
        <v>7.47</v>
      </c>
      <c r="U3" s="4">
        <v>8.4700000000000006</v>
      </c>
      <c r="V3" s="4">
        <v>9.6999999999999993</v>
      </c>
      <c r="W3" s="6">
        <v>114.11</v>
      </c>
      <c r="X3" s="7">
        <v>9.4458438287148283E-4</v>
      </c>
      <c r="Y3" s="8">
        <v>-5.1903114186851118E-2</v>
      </c>
      <c r="Z3" s="8">
        <v>-7.5812873258128688E-2</v>
      </c>
      <c r="AA3" s="9">
        <v>1.5085262968946329</v>
      </c>
    </row>
    <row r="4" spans="2:27">
      <c r="B4" s="13" t="s">
        <v>86</v>
      </c>
      <c r="C4" s="3" t="s">
        <v>505</v>
      </c>
      <c r="D4" s="3" t="s">
        <v>506</v>
      </c>
      <c r="E4" s="3" t="s">
        <v>507</v>
      </c>
      <c r="F4" s="5">
        <v>41.9</v>
      </c>
      <c r="G4" s="4">
        <v>12.89</v>
      </c>
      <c r="H4" s="4">
        <v>1.69</v>
      </c>
      <c r="I4" s="4">
        <v>73.75</v>
      </c>
      <c r="J4" s="4">
        <v>0.34</v>
      </c>
      <c r="K4" s="4">
        <v>1.87</v>
      </c>
      <c r="L4" s="4">
        <v>1.83</v>
      </c>
      <c r="M4" s="4">
        <v>1.64</v>
      </c>
      <c r="N4" s="6">
        <v>4.09</v>
      </c>
      <c r="O4" s="4">
        <v>1.75</v>
      </c>
      <c r="P4" s="6">
        <v>211.12</v>
      </c>
      <c r="Q4" s="4">
        <v>2.17</v>
      </c>
      <c r="R4" s="4">
        <v>2.73</v>
      </c>
      <c r="S4" s="4">
        <v>5.88</v>
      </c>
      <c r="T4" s="4">
        <v>116.63</v>
      </c>
      <c r="U4" s="6">
        <v>110.57</v>
      </c>
      <c r="V4" s="6">
        <v>120.7</v>
      </c>
      <c r="W4" s="6">
        <v>154.18</v>
      </c>
      <c r="X4" s="7">
        <v>-0.42582244254168539</v>
      </c>
      <c r="Y4" s="9">
        <v>0.85079664076603101</v>
      </c>
      <c r="Z4" s="9">
        <v>0.50027564564691906</v>
      </c>
      <c r="AA4" s="9">
        <v>0.41918706540788059</v>
      </c>
    </row>
    <row r="5" spans="2:27">
      <c r="B5" s="13" t="s">
        <v>168</v>
      </c>
      <c r="C5" s="3" t="s">
        <v>505</v>
      </c>
      <c r="D5" s="3" t="s">
        <v>508</v>
      </c>
      <c r="E5" s="3" t="s">
        <v>507</v>
      </c>
      <c r="F5" s="5">
        <v>27.1</v>
      </c>
      <c r="G5" s="4">
        <v>26.39</v>
      </c>
      <c r="H5" s="4">
        <v>57.68</v>
      </c>
      <c r="I5" s="4">
        <v>97.34</v>
      </c>
      <c r="J5" s="4">
        <v>195.46</v>
      </c>
      <c r="K5" s="6">
        <v>257.70999999999998</v>
      </c>
      <c r="L5" s="6">
        <v>149.43</v>
      </c>
      <c r="M5" s="4">
        <v>150.87</v>
      </c>
      <c r="N5" s="4">
        <v>137.81</v>
      </c>
      <c r="O5" s="4">
        <v>157.15</v>
      </c>
      <c r="P5" s="4">
        <v>172.74</v>
      </c>
      <c r="Q5" s="4">
        <v>200.58</v>
      </c>
      <c r="R5" s="4">
        <v>200.04</v>
      </c>
      <c r="S5" s="6">
        <v>234.47</v>
      </c>
      <c r="T5" s="4">
        <v>235.05</v>
      </c>
      <c r="U5" s="4">
        <v>259.43</v>
      </c>
      <c r="V5" s="6">
        <v>336.58</v>
      </c>
      <c r="W5" s="6">
        <v>522.73</v>
      </c>
      <c r="X5" s="7">
        <v>7.7132565019867982E-2</v>
      </c>
      <c r="Y5" s="8">
        <v>6.7632794722688239E-2</v>
      </c>
      <c r="Z5" s="9">
        <v>0.1469768242930494</v>
      </c>
      <c r="AA5" s="9">
        <v>0.27053203570054341</v>
      </c>
    </row>
    <row r="6" spans="2:27">
      <c r="B6" s="13" t="s">
        <v>397</v>
      </c>
      <c r="C6" s="3" t="s">
        <v>505</v>
      </c>
      <c r="D6" s="3" t="s">
        <v>509</v>
      </c>
      <c r="E6" s="3" t="s">
        <v>507</v>
      </c>
      <c r="F6" s="5">
        <v>22.1</v>
      </c>
      <c r="G6" s="4">
        <v>526.11</v>
      </c>
      <c r="H6" s="4">
        <v>365.58</v>
      </c>
      <c r="I6" s="4">
        <v>381.99</v>
      </c>
      <c r="J6" s="4">
        <v>392.55</v>
      </c>
      <c r="K6" s="4">
        <v>592.47</v>
      </c>
      <c r="L6" s="4">
        <v>473.56</v>
      </c>
      <c r="M6" s="4">
        <v>470.85</v>
      </c>
      <c r="N6" s="4">
        <v>477.89</v>
      </c>
      <c r="O6" s="4">
        <v>511.97</v>
      </c>
      <c r="P6" s="4">
        <v>461.44</v>
      </c>
      <c r="Q6" s="4">
        <v>492.57</v>
      </c>
      <c r="R6" s="4">
        <v>448.23</v>
      </c>
      <c r="S6" s="4">
        <v>499.79</v>
      </c>
      <c r="T6" s="4">
        <v>532.11</v>
      </c>
      <c r="U6" s="6">
        <v>692.21</v>
      </c>
      <c r="V6" s="6">
        <v>782.95</v>
      </c>
      <c r="W6" s="6">
        <v>1054</v>
      </c>
      <c r="X6" s="7">
        <v>3.7155039615568652E-2</v>
      </c>
      <c r="Y6" s="9">
        <v>0.1012013990976834</v>
      </c>
      <c r="Z6" s="9">
        <v>0.15408269423755019</v>
      </c>
      <c r="AA6" s="9">
        <v>0.22105972733002011</v>
      </c>
    </row>
    <row r="7" spans="2:27">
      <c r="B7" s="13" t="s">
        <v>413</v>
      </c>
      <c r="C7" s="3" t="s">
        <v>505</v>
      </c>
      <c r="D7" s="3" t="s">
        <v>506</v>
      </c>
      <c r="E7" s="3" t="s">
        <v>507</v>
      </c>
      <c r="F7" s="5">
        <v>18.3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8.19</v>
      </c>
      <c r="R7" s="6">
        <v>93.76</v>
      </c>
      <c r="S7" s="6">
        <v>29.21</v>
      </c>
      <c r="T7" s="6">
        <v>30.76</v>
      </c>
      <c r="U7" s="6">
        <v>33.909999999999997</v>
      </c>
      <c r="V7" s="4">
        <v>39.799999999999997</v>
      </c>
      <c r="W7" s="6">
        <v>53.72</v>
      </c>
      <c r="X7" s="10">
        <v>0.2345227203415676</v>
      </c>
      <c r="Y7" s="9">
        <v>0.15884387351778659</v>
      </c>
      <c r="Z7" s="8">
        <v>-0.28757194628011079</v>
      </c>
      <c r="AA7" s="9">
        <v>0.1833482944344702</v>
      </c>
    </row>
    <row r="8" spans="2:27">
      <c r="B8" s="13" t="s">
        <v>259</v>
      </c>
      <c r="C8" s="3" t="s">
        <v>505</v>
      </c>
      <c r="D8" s="3" t="s">
        <v>510</v>
      </c>
      <c r="E8" s="3" t="s">
        <v>507</v>
      </c>
      <c r="F8" s="5">
        <v>15.5</v>
      </c>
      <c r="G8" s="4">
        <v>45.95</v>
      </c>
      <c r="H8" s="4">
        <v>56.92</v>
      </c>
      <c r="I8" s="4">
        <v>86.71</v>
      </c>
      <c r="J8" s="4">
        <v>92.33</v>
      </c>
      <c r="K8" s="6">
        <v>84.05</v>
      </c>
      <c r="L8" s="4">
        <v>82.72</v>
      </c>
      <c r="M8" s="4">
        <v>77.2</v>
      </c>
      <c r="N8" s="4">
        <v>69.680000000000007</v>
      </c>
      <c r="O8" s="4">
        <v>63.35</v>
      </c>
      <c r="P8" s="4">
        <v>67.89</v>
      </c>
      <c r="Q8" s="4">
        <v>73.89</v>
      </c>
      <c r="R8" s="4">
        <v>75.02</v>
      </c>
      <c r="S8" s="6">
        <v>96.3</v>
      </c>
      <c r="T8" s="6">
        <v>126.33</v>
      </c>
      <c r="U8" s="6">
        <v>149.33000000000001</v>
      </c>
      <c r="V8" s="6">
        <v>166.84</v>
      </c>
      <c r="W8" s="6">
        <v>179.7</v>
      </c>
      <c r="X8" s="10">
        <v>0.18664963270520579</v>
      </c>
      <c r="Y8" s="9">
        <v>0.20304677827421019</v>
      </c>
      <c r="Z8" s="9">
        <v>0.2054230614345158</v>
      </c>
      <c r="AA8" s="9">
        <v>0.1547884187082407</v>
      </c>
    </row>
    <row r="9" spans="2:27">
      <c r="B9" s="13" t="s">
        <v>68</v>
      </c>
      <c r="C9" s="3" t="s">
        <v>505</v>
      </c>
      <c r="D9" s="3" t="s">
        <v>511</v>
      </c>
      <c r="E9" s="3" t="s">
        <v>507</v>
      </c>
      <c r="F9" s="5">
        <v>15.1</v>
      </c>
      <c r="G9" s="4">
        <v>66.05</v>
      </c>
      <c r="H9" s="4">
        <v>66.05</v>
      </c>
      <c r="I9" s="4">
        <v>52.45</v>
      </c>
      <c r="J9" s="4">
        <v>73.31</v>
      </c>
      <c r="K9" s="6">
        <v>100.63</v>
      </c>
      <c r="L9" s="6">
        <v>115.62</v>
      </c>
      <c r="M9" s="6">
        <v>132.41999999999999</v>
      </c>
      <c r="N9" s="6">
        <v>136.06</v>
      </c>
      <c r="O9" s="4">
        <v>147.72</v>
      </c>
      <c r="P9" s="4">
        <v>145.82</v>
      </c>
      <c r="Q9" s="4">
        <v>165.97</v>
      </c>
      <c r="R9" s="4">
        <v>180.93</v>
      </c>
      <c r="S9" s="4">
        <v>200.68</v>
      </c>
      <c r="T9" s="6">
        <v>255.74</v>
      </c>
      <c r="U9" s="6">
        <v>314.64</v>
      </c>
      <c r="V9" s="6">
        <v>334.21</v>
      </c>
      <c r="W9" s="6">
        <v>367.21</v>
      </c>
      <c r="X9" s="10">
        <v>0.15852321892125781</v>
      </c>
      <c r="Y9" s="9">
        <v>0.1850694617338047</v>
      </c>
      <c r="Z9" s="9">
        <v>0.1610100946438513</v>
      </c>
      <c r="AA9" s="9">
        <v>0.15066906728672641</v>
      </c>
    </row>
    <row r="10" spans="2:27">
      <c r="B10" s="13" t="s">
        <v>317</v>
      </c>
      <c r="C10" s="3" t="s">
        <v>505</v>
      </c>
      <c r="D10" s="3" t="s">
        <v>512</v>
      </c>
      <c r="E10" s="3" t="s">
        <v>507</v>
      </c>
      <c r="F10" s="5">
        <v>14.3</v>
      </c>
      <c r="G10" s="4">
        <v>39.44</v>
      </c>
      <c r="H10" s="4">
        <v>40.340000000000003</v>
      </c>
      <c r="I10" s="4">
        <v>42.1</v>
      </c>
      <c r="J10" s="4">
        <v>42.7</v>
      </c>
      <c r="K10" s="4">
        <v>46.98</v>
      </c>
      <c r="L10" s="4">
        <v>47.11</v>
      </c>
      <c r="M10" s="4">
        <v>47.67</v>
      </c>
      <c r="N10" s="4">
        <v>48.04</v>
      </c>
      <c r="O10" s="4">
        <v>49</v>
      </c>
      <c r="P10" s="4">
        <v>50.2</v>
      </c>
      <c r="Q10" s="4">
        <v>48.82</v>
      </c>
      <c r="R10" s="4">
        <v>50.68</v>
      </c>
      <c r="S10" s="4">
        <v>51.89</v>
      </c>
      <c r="T10" s="4">
        <v>51.29</v>
      </c>
      <c r="U10" s="4">
        <v>56.37</v>
      </c>
      <c r="V10" s="4">
        <v>67.44</v>
      </c>
      <c r="W10" s="6">
        <v>84.29</v>
      </c>
      <c r="X10" s="7">
        <v>5.4070142368172203E-3</v>
      </c>
      <c r="Y10" s="8">
        <v>3.7250838760607863E-2</v>
      </c>
      <c r="Z10" s="8">
        <v>7.9722209009180478E-2</v>
      </c>
      <c r="AA10" s="9">
        <v>0.14273756553152109</v>
      </c>
    </row>
    <row r="11" spans="2:27">
      <c r="B11" s="13" t="s">
        <v>232</v>
      </c>
      <c r="C11" s="3" t="s">
        <v>505</v>
      </c>
      <c r="D11" s="3" t="s">
        <v>513</v>
      </c>
      <c r="E11" s="3" t="s">
        <v>507</v>
      </c>
      <c r="F11" s="5">
        <v>13.3</v>
      </c>
      <c r="G11" s="4">
        <v>18.75</v>
      </c>
      <c r="H11" s="4">
        <v>32.19</v>
      </c>
      <c r="I11" s="4">
        <v>26.97</v>
      </c>
      <c r="J11" s="4">
        <v>99.14</v>
      </c>
      <c r="K11" s="6">
        <v>61.88</v>
      </c>
      <c r="L11" s="4">
        <v>48.35</v>
      </c>
      <c r="M11" s="6">
        <v>71.47</v>
      </c>
      <c r="N11" s="4">
        <v>67.05</v>
      </c>
      <c r="O11" s="4">
        <v>83.4</v>
      </c>
      <c r="P11" s="6">
        <v>79.86</v>
      </c>
      <c r="Q11" s="6">
        <v>108.63</v>
      </c>
      <c r="R11" s="6">
        <v>112.21</v>
      </c>
      <c r="S11" s="6">
        <v>122.54</v>
      </c>
      <c r="T11" s="6">
        <v>137.79</v>
      </c>
      <c r="U11" s="6">
        <v>156.80000000000001</v>
      </c>
      <c r="V11" s="6">
        <v>180.86</v>
      </c>
      <c r="W11" s="6">
        <v>202.13</v>
      </c>
      <c r="X11" s="10">
        <v>0.13687269634250071</v>
      </c>
      <c r="Y11" s="9">
        <v>0.10011014818047689</v>
      </c>
      <c r="Z11" s="9">
        <v>0.12968980239543579</v>
      </c>
      <c r="AA11" s="9">
        <v>0.13309587116841429</v>
      </c>
    </row>
    <row r="12" spans="2:27">
      <c r="B12" s="13" t="s">
        <v>14</v>
      </c>
      <c r="C12" s="3" t="s">
        <v>505</v>
      </c>
      <c r="D12" s="3" t="s">
        <v>514</v>
      </c>
      <c r="E12" s="3" t="s">
        <v>507</v>
      </c>
      <c r="F12" s="5">
        <v>10.3</v>
      </c>
      <c r="G12" s="4">
        <v>2130</v>
      </c>
      <c r="H12" s="4">
        <v>2248</v>
      </c>
      <c r="I12" s="4">
        <v>2597</v>
      </c>
      <c r="J12" s="4">
        <v>2690</v>
      </c>
      <c r="K12" s="4">
        <v>3002</v>
      </c>
      <c r="L12" s="4">
        <v>3186</v>
      </c>
      <c r="M12" s="4">
        <v>3585</v>
      </c>
      <c r="N12" s="4">
        <v>3927</v>
      </c>
      <c r="O12" s="6">
        <v>4409</v>
      </c>
      <c r="P12" s="4">
        <v>4333</v>
      </c>
      <c r="Q12" s="4">
        <v>5073</v>
      </c>
      <c r="R12" s="4">
        <v>5312</v>
      </c>
      <c r="S12" s="4">
        <v>6059</v>
      </c>
      <c r="T12" s="4">
        <v>5935</v>
      </c>
      <c r="U12" s="4">
        <v>6790</v>
      </c>
      <c r="V12" s="4">
        <v>7409</v>
      </c>
      <c r="W12" s="6">
        <v>8759</v>
      </c>
      <c r="X12" s="7">
        <v>7.710449054242674E-2</v>
      </c>
      <c r="Y12" s="8">
        <v>7.6723714196344828E-2</v>
      </c>
      <c r="Z12" s="8">
        <v>8.7026892430278835E-2</v>
      </c>
      <c r="AA12" s="9">
        <v>0.1030809758332378</v>
      </c>
    </row>
    <row r="13" spans="2:27">
      <c r="B13" s="13" t="s">
        <v>206</v>
      </c>
      <c r="C13" s="3" t="s">
        <v>505</v>
      </c>
      <c r="D13" s="3" t="s">
        <v>515</v>
      </c>
      <c r="E13" s="3" t="s">
        <v>507</v>
      </c>
      <c r="F13" s="5">
        <v>9.6</v>
      </c>
      <c r="G13" s="4">
        <v>557.02</v>
      </c>
      <c r="H13" s="4">
        <v>471.26</v>
      </c>
      <c r="I13" s="4">
        <v>624.59</v>
      </c>
      <c r="J13" s="4">
        <v>652.38</v>
      </c>
      <c r="K13" s="4">
        <v>534.49</v>
      </c>
      <c r="L13" s="4">
        <v>345.11</v>
      </c>
      <c r="M13" s="4">
        <v>202.25</v>
      </c>
      <c r="N13" s="4">
        <v>221.35</v>
      </c>
      <c r="O13" s="4">
        <v>257.11</v>
      </c>
      <c r="P13" s="4">
        <v>233.05</v>
      </c>
      <c r="Q13" s="4">
        <v>185.07</v>
      </c>
      <c r="R13" s="4">
        <v>211.42</v>
      </c>
      <c r="S13" s="4">
        <v>279.68</v>
      </c>
      <c r="T13" s="6">
        <v>338.14</v>
      </c>
      <c r="U13" s="6">
        <v>306.2</v>
      </c>
      <c r="V13" s="4">
        <v>307.64</v>
      </c>
      <c r="W13" s="4">
        <v>398.19</v>
      </c>
      <c r="X13" s="10">
        <v>0.1155825872726073</v>
      </c>
      <c r="Y13" s="9">
        <v>0.1194210842838976</v>
      </c>
      <c r="Z13" s="8">
        <v>8.4742478686676392E-2</v>
      </c>
      <c r="AA13" s="8">
        <v>9.6219735966094788E-2</v>
      </c>
    </row>
    <row r="14" spans="2:27">
      <c r="B14" s="13" t="s">
        <v>330</v>
      </c>
      <c r="C14" s="3" t="s">
        <v>505</v>
      </c>
      <c r="D14" s="3" t="s">
        <v>516</v>
      </c>
      <c r="E14" s="3" t="s">
        <v>507</v>
      </c>
      <c r="F14" s="5">
        <v>9.5</v>
      </c>
      <c r="G14" s="4">
        <v>48.05</v>
      </c>
      <c r="H14" s="4">
        <v>67.98</v>
      </c>
      <c r="I14" s="4">
        <v>73.489999999999995</v>
      </c>
      <c r="J14" s="4">
        <v>90.82</v>
      </c>
      <c r="K14" s="6">
        <v>94.65</v>
      </c>
      <c r="L14" s="6">
        <v>105.09</v>
      </c>
      <c r="M14" s="6">
        <v>119.21</v>
      </c>
      <c r="N14" s="6">
        <v>134.21</v>
      </c>
      <c r="O14" s="4">
        <v>130.44</v>
      </c>
      <c r="P14" s="4">
        <v>90.81</v>
      </c>
      <c r="Q14" s="4">
        <v>99.25</v>
      </c>
      <c r="R14" s="4">
        <v>102.17</v>
      </c>
      <c r="S14" s="4">
        <v>106.99</v>
      </c>
      <c r="T14" s="4">
        <v>80.36</v>
      </c>
      <c r="U14" s="4">
        <v>110.84</v>
      </c>
      <c r="V14" s="4">
        <v>135.80000000000001</v>
      </c>
      <c r="W14" s="4">
        <v>148.33000000000001</v>
      </c>
      <c r="X14" s="7">
        <v>-2.6176043284404701E-2</v>
      </c>
      <c r="Y14" s="8">
        <v>2.9811971088304249E-2</v>
      </c>
      <c r="Z14" s="8">
        <v>8.3999400539514379E-2</v>
      </c>
      <c r="AA14" s="8">
        <v>9.5255651051867618E-2</v>
      </c>
    </row>
    <row r="15" spans="2:27">
      <c r="B15" s="13" t="s">
        <v>405</v>
      </c>
      <c r="C15" s="3" t="s">
        <v>505</v>
      </c>
      <c r="D15" s="3" t="s">
        <v>517</v>
      </c>
      <c r="E15" s="3" t="s">
        <v>507</v>
      </c>
      <c r="F15" s="5">
        <v>9.4</v>
      </c>
      <c r="G15" s="4">
        <v>1.04</v>
      </c>
      <c r="H15" s="4">
        <v>2.2000000000000002</v>
      </c>
      <c r="I15" s="4">
        <v>2.58</v>
      </c>
      <c r="J15" s="4">
        <v>2.81</v>
      </c>
      <c r="K15" s="6">
        <v>4.2</v>
      </c>
      <c r="L15" s="6">
        <v>3.79</v>
      </c>
      <c r="M15" s="6">
        <v>4.91</v>
      </c>
      <c r="N15" s="6">
        <v>6.37</v>
      </c>
      <c r="O15" s="4">
        <v>2.35</v>
      </c>
      <c r="P15" s="6">
        <v>5.95</v>
      </c>
      <c r="Q15" s="4">
        <v>5.08</v>
      </c>
      <c r="R15" s="4">
        <v>4.6500000000000004</v>
      </c>
      <c r="S15" s="6">
        <v>4.46</v>
      </c>
      <c r="T15" s="4">
        <v>6.02</v>
      </c>
      <c r="U15" s="4">
        <v>6.49</v>
      </c>
      <c r="V15" s="4">
        <v>3.73</v>
      </c>
      <c r="W15" s="4">
        <v>6.41</v>
      </c>
      <c r="X15" s="7">
        <v>3.475670307845125E-3</v>
      </c>
      <c r="Y15" s="8">
        <v>6.9767441860465018E-2</v>
      </c>
      <c r="Z15" s="8">
        <v>-4.2553191489361757E-2</v>
      </c>
      <c r="AA15" s="8">
        <v>9.4202898550724612E-2</v>
      </c>
    </row>
    <row r="16" spans="2:27">
      <c r="B16" s="13" t="s">
        <v>44</v>
      </c>
      <c r="C16" s="3" t="s">
        <v>505</v>
      </c>
      <c r="D16" s="3" t="s">
        <v>518</v>
      </c>
      <c r="E16" s="3" t="s">
        <v>507</v>
      </c>
      <c r="F16" s="5">
        <v>8.6999999999999993</v>
      </c>
      <c r="G16" s="4">
        <v>217.58</v>
      </c>
      <c r="H16" s="4">
        <v>256.43</v>
      </c>
      <c r="I16" s="4">
        <v>285.61</v>
      </c>
      <c r="J16" s="4">
        <v>311.75</v>
      </c>
      <c r="K16" s="6">
        <v>336.14</v>
      </c>
      <c r="L16" s="4">
        <v>343.04</v>
      </c>
      <c r="M16" s="4">
        <v>374.61</v>
      </c>
      <c r="N16" s="4">
        <v>413.28</v>
      </c>
      <c r="O16" s="4">
        <v>430.38</v>
      </c>
      <c r="P16" s="4">
        <v>459.87</v>
      </c>
      <c r="Q16" s="4">
        <v>503.24</v>
      </c>
      <c r="R16" s="4">
        <v>544.27</v>
      </c>
      <c r="S16" s="4">
        <v>575.15</v>
      </c>
      <c r="T16" s="4">
        <v>603.63</v>
      </c>
      <c r="U16" s="4">
        <v>668.54</v>
      </c>
      <c r="V16" s="4">
        <v>710.64</v>
      </c>
      <c r="W16" s="4">
        <v>796.72</v>
      </c>
      <c r="X16" s="7">
        <v>6.9031418514979404E-2</v>
      </c>
      <c r="Y16" s="8">
        <v>7.4249087046162066E-2</v>
      </c>
      <c r="Z16" s="8">
        <v>6.9564599283321815E-2</v>
      </c>
      <c r="AA16" s="8">
        <v>8.6619806408231526E-2</v>
      </c>
    </row>
    <row r="17" spans="2:27">
      <c r="B17" s="13" t="s">
        <v>142</v>
      </c>
      <c r="C17" s="3" t="s">
        <v>505</v>
      </c>
      <c r="D17" s="3" t="s">
        <v>519</v>
      </c>
      <c r="E17" s="3" t="s">
        <v>507</v>
      </c>
      <c r="F17" s="5">
        <v>8.5</v>
      </c>
      <c r="G17" s="4">
        <v>0</v>
      </c>
      <c r="H17" s="4">
        <v>0</v>
      </c>
      <c r="I17" s="4">
        <v>0</v>
      </c>
      <c r="J17" s="4">
        <v>0</v>
      </c>
      <c r="K17" s="4">
        <v>3.04</v>
      </c>
      <c r="L17" s="6">
        <v>21.9</v>
      </c>
      <c r="M17" s="6">
        <v>31.22</v>
      </c>
      <c r="N17" s="6">
        <v>30.3</v>
      </c>
      <c r="O17" s="6">
        <v>43.42</v>
      </c>
      <c r="P17" s="6">
        <v>48.14</v>
      </c>
      <c r="Q17" s="4">
        <v>36.81</v>
      </c>
      <c r="R17" s="4">
        <v>24.1</v>
      </c>
      <c r="S17" s="4">
        <v>42.22</v>
      </c>
      <c r="T17" s="4">
        <v>48.96</v>
      </c>
      <c r="U17" s="4">
        <v>43.57</v>
      </c>
      <c r="V17" s="6">
        <v>71.709999999999994</v>
      </c>
      <c r="W17" s="4">
        <v>59.71</v>
      </c>
      <c r="X17" s="7">
        <v>5.4207708071658534E-3</v>
      </c>
      <c r="Y17" s="8">
        <v>4.4447366690775203E-2</v>
      </c>
      <c r="Z17" s="9">
        <v>0.29971671388101973</v>
      </c>
      <c r="AA17" s="8">
        <v>8.4713746004068557E-2</v>
      </c>
    </row>
    <row r="18" spans="2:27">
      <c r="B18" s="13" t="s">
        <v>275</v>
      </c>
      <c r="C18" s="3" t="s">
        <v>505</v>
      </c>
      <c r="D18" s="3" t="s">
        <v>520</v>
      </c>
      <c r="E18" s="3" t="s">
        <v>507</v>
      </c>
      <c r="F18" s="5">
        <v>7.8</v>
      </c>
      <c r="G18" s="4">
        <v>93.59</v>
      </c>
      <c r="H18" s="4">
        <v>92.44</v>
      </c>
      <c r="I18" s="4">
        <v>105.38</v>
      </c>
      <c r="J18" s="4">
        <v>108.41</v>
      </c>
      <c r="K18" s="4">
        <v>116.4</v>
      </c>
      <c r="L18" s="4">
        <v>112.56</v>
      </c>
      <c r="M18" s="4">
        <v>129.18</v>
      </c>
      <c r="N18" s="4">
        <v>149.38999999999999</v>
      </c>
      <c r="O18" s="4">
        <v>153.71</v>
      </c>
      <c r="P18" s="4">
        <v>126.33</v>
      </c>
      <c r="Q18" s="4">
        <v>137.52000000000001</v>
      </c>
      <c r="R18" s="4">
        <v>135.51</v>
      </c>
      <c r="S18" s="4">
        <v>158.57</v>
      </c>
      <c r="T18" s="4">
        <v>176.7</v>
      </c>
      <c r="U18" s="4">
        <v>185.39</v>
      </c>
      <c r="V18" s="4">
        <v>197.6</v>
      </c>
      <c r="W18" s="4">
        <v>214.69</v>
      </c>
      <c r="X18" s="7">
        <v>9.0280142670227548E-2</v>
      </c>
      <c r="Y18" s="8">
        <v>7.8694722998520428E-2</v>
      </c>
      <c r="Z18" s="8">
        <v>9.4624868555404973E-2</v>
      </c>
      <c r="AA18" s="8">
        <v>7.8133266505165277E-2</v>
      </c>
    </row>
    <row r="19" spans="2:27">
      <c r="B19" s="13" t="s">
        <v>58</v>
      </c>
      <c r="C19" s="3" t="s">
        <v>505</v>
      </c>
      <c r="D19" s="3" t="s">
        <v>521</v>
      </c>
      <c r="E19" s="3" t="s">
        <v>507</v>
      </c>
      <c r="F19" s="5">
        <v>7.6</v>
      </c>
      <c r="G19" s="3"/>
      <c r="H19" s="4">
        <v>751.35</v>
      </c>
      <c r="I19" s="4">
        <v>693.5</v>
      </c>
      <c r="J19" s="4">
        <v>847.4</v>
      </c>
      <c r="K19" s="4">
        <v>1199</v>
      </c>
      <c r="L19" s="4">
        <v>1050</v>
      </c>
      <c r="M19" s="4">
        <v>869.5</v>
      </c>
      <c r="N19" s="4">
        <v>1153</v>
      </c>
      <c r="O19" s="4">
        <v>1328</v>
      </c>
      <c r="P19" s="4">
        <v>1193</v>
      </c>
      <c r="Q19" s="4">
        <v>1001</v>
      </c>
      <c r="R19" s="4">
        <v>1354</v>
      </c>
      <c r="S19" s="4">
        <v>1636</v>
      </c>
      <c r="T19" s="4">
        <v>1473</v>
      </c>
      <c r="U19" s="4">
        <v>1236</v>
      </c>
      <c r="V19" s="4">
        <v>1756</v>
      </c>
      <c r="W19" s="4">
        <v>2101</v>
      </c>
      <c r="X19" s="7">
        <v>5.4012345679012252E-2</v>
      </c>
      <c r="Y19" s="8">
        <v>4.3008784773060027E-2</v>
      </c>
      <c r="Z19" s="8">
        <v>7.0538690998420694E-2</v>
      </c>
      <c r="AA19" s="8">
        <v>7.62170136043272E-2</v>
      </c>
    </row>
    <row r="20" spans="2:27">
      <c r="B20" s="13" t="s">
        <v>180</v>
      </c>
      <c r="C20" s="3" t="s">
        <v>505</v>
      </c>
      <c r="D20" s="3" t="s">
        <v>522</v>
      </c>
      <c r="E20" s="3" t="s">
        <v>507</v>
      </c>
      <c r="F20" s="5">
        <v>7.2</v>
      </c>
      <c r="G20" s="3"/>
      <c r="H20" s="3"/>
      <c r="I20" s="3"/>
      <c r="J20" s="3"/>
      <c r="K20" s="3"/>
      <c r="L20" s="4">
        <v>750.63</v>
      </c>
      <c r="M20" s="4">
        <v>746.93</v>
      </c>
      <c r="N20" s="4">
        <v>717.41</v>
      </c>
      <c r="O20" s="4">
        <v>635.72</v>
      </c>
      <c r="P20" s="4">
        <v>625.69000000000005</v>
      </c>
      <c r="Q20" s="4">
        <v>703.37</v>
      </c>
      <c r="R20" s="4">
        <v>760.99</v>
      </c>
      <c r="S20" s="4">
        <v>759.64</v>
      </c>
      <c r="T20" s="4">
        <v>826.63</v>
      </c>
      <c r="U20" s="4">
        <v>921.47</v>
      </c>
      <c r="V20" s="4">
        <v>986.82</v>
      </c>
      <c r="W20" s="4">
        <v>1011</v>
      </c>
      <c r="X20" s="7">
        <v>7.0512932985693277E-2</v>
      </c>
      <c r="Y20" s="8">
        <v>7.1493429226094252E-2</v>
      </c>
      <c r="Z20" s="8">
        <v>6.9087994419851029E-2</v>
      </c>
      <c r="AA20" s="8">
        <v>7.1928940982555867E-2</v>
      </c>
    </row>
    <row r="21" spans="2:27">
      <c r="B21" s="13" t="s">
        <v>198</v>
      </c>
      <c r="C21" s="3" t="s">
        <v>505</v>
      </c>
      <c r="D21" s="3" t="s">
        <v>523</v>
      </c>
      <c r="E21" s="3" t="s">
        <v>507</v>
      </c>
      <c r="F21" s="5">
        <v>6.9</v>
      </c>
      <c r="G21" s="4">
        <v>9.67</v>
      </c>
      <c r="H21" s="4">
        <v>15.88</v>
      </c>
      <c r="I21" s="4">
        <v>20.52</v>
      </c>
      <c r="J21" s="4">
        <v>25.68</v>
      </c>
      <c r="K21" s="6">
        <v>31.38</v>
      </c>
      <c r="L21" s="6">
        <v>41.55</v>
      </c>
      <c r="M21" s="6">
        <v>52.47</v>
      </c>
      <c r="N21" s="6">
        <v>66.430000000000007</v>
      </c>
      <c r="O21" s="6">
        <v>81.17</v>
      </c>
      <c r="P21" s="6">
        <v>96.85</v>
      </c>
      <c r="Q21" s="6">
        <v>114.31</v>
      </c>
      <c r="R21" s="6">
        <v>108.76</v>
      </c>
      <c r="S21" s="6">
        <v>121.62</v>
      </c>
      <c r="T21" s="6">
        <v>143.54</v>
      </c>
      <c r="U21" s="4">
        <v>157.37</v>
      </c>
      <c r="V21" s="4">
        <v>143.82</v>
      </c>
      <c r="W21" s="4">
        <v>160.76</v>
      </c>
      <c r="X21" s="10">
        <v>0.1057435339946551</v>
      </c>
      <c r="Y21" s="8">
        <v>8.8196137066546498E-2</v>
      </c>
      <c r="Z21" s="8">
        <v>6.5990325434320374E-2</v>
      </c>
      <c r="AA21" s="8">
        <v>6.9109208086872043E-2</v>
      </c>
    </row>
    <row r="22" spans="2:27">
      <c r="B22" s="13" t="s">
        <v>305</v>
      </c>
      <c r="C22" s="3" t="s">
        <v>505</v>
      </c>
      <c r="D22" s="3" t="s">
        <v>524</v>
      </c>
      <c r="E22" s="3" t="s">
        <v>507</v>
      </c>
      <c r="F22" s="5">
        <v>6.9</v>
      </c>
      <c r="G22" s="4">
        <v>51.39</v>
      </c>
      <c r="H22" s="4">
        <v>64.55</v>
      </c>
      <c r="I22" s="4">
        <v>56.54</v>
      </c>
      <c r="J22" s="4">
        <v>95.23</v>
      </c>
      <c r="K22" s="4">
        <v>73.05</v>
      </c>
      <c r="L22" s="6">
        <v>94.36</v>
      </c>
      <c r="M22" s="4">
        <v>84.87</v>
      </c>
      <c r="N22" s="4">
        <v>123.32</v>
      </c>
      <c r="O22" s="4">
        <v>100.55</v>
      </c>
      <c r="P22" s="4">
        <v>114.1</v>
      </c>
      <c r="Q22" s="4">
        <v>103.68</v>
      </c>
      <c r="R22" s="4">
        <v>156.82</v>
      </c>
      <c r="S22" s="4">
        <v>117.55</v>
      </c>
      <c r="T22" s="4">
        <v>133.44999999999999</v>
      </c>
      <c r="U22" s="4">
        <v>131.88999999999999</v>
      </c>
      <c r="V22" s="4">
        <v>200.14</v>
      </c>
      <c r="W22" s="4">
        <v>157.54</v>
      </c>
      <c r="X22" s="7">
        <v>3.9317281316671782E-2</v>
      </c>
      <c r="Y22" s="8">
        <v>5.5151515151514952E-2</v>
      </c>
      <c r="Z22" s="8">
        <v>8.0265327675974163E-2</v>
      </c>
      <c r="AA22" s="8">
        <v>6.858995248958033E-2</v>
      </c>
    </row>
    <row r="23" spans="2:27">
      <c r="B23" s="13" t="s">
        <v>247</v>
      </c>
      <c r="C23" s="3" t="s">
        <v>505</v>
      </c>
      <c r="D23" s="3" t="s">
        <v>525</v>
      </c>
      <c r="E23" s="3" t="s">
        <v>507</v>
      </c>
      <c r="F23" s="5">
        <v>6.8</v>
      </c>
      <c r="G23" s="4">
        <v>67.099999999999994</v>
      </c>
      <c r="H23" s="4">
        <v>83.67</v>
      </c>
      <c r="I23" s="4">
        <v>95.62</v>
      </c>
      <c r="J23" s="4">
        <v>103.57</v>
      </c>
      <c r="K23" s="4">
        <v>98.06</v>
      </c>
      <c r="L23" s="4">
        <v>105.33</v>
      </c>
      <c r="M23" s="4">
        <v>111.01</v>
      </c>
      <c r="N23" s="4">
        <v>118.93</v>
      </c>
      <c r="O23" s="4">
        <v>128.15</v>
      </c>
      <c r="P23" s="4">
        <v>122.69</v>
      </c>
      <c r="Q23" s="4">
        <v>132.6</v>
      </c>
      <c r="R23" s="4">
        <v>141.69999999999999</v>
      </c>
      <c r="S23" s="4">
        <v>148.55000000000001</v>
      </c>
      <c r="T23" s="4">
        <v>150.97</v>
      </c>
      <c r="U23" s="4">
        <v>162.55000000000001</v>
      </c>
      <c r="V23" s="4">
        <v>180.72</v>
      </c>
      <c r="W23" s="4">
        <v>192.4</v>
      </c>
      <c r="X23" s="7">
        <v>5.1838545294570437E-2</v>
      </c>
      <c r="Y23" s="8">
        <v>5.2194067826147661E-2</v>
      </c>
      <c r="Z23" s="8">
        <v>6.4627258724348602E-2</v>
      </c>
      <c r="AA23" s="8">
        <v>6.821823612688438E-2</v>
      </c>
    </row>
    <row r="24" spans="2:27">
      <c r="B24" s="13" t="s">
        <v>196</v>
      </c>
      <c r="C24" s="3" t="s">
        <v>505</v>
      </c>
      <c r="D24" s="3" t="s">
        <v>524</v>
      </c>
      <c r="E24" s="3" t="s">
        <v>507</v>
      </c>
      <c r="F24" s="5">
        <v>6.5</v>
      </c>
      <c r="G24" s="4">
        <v>134.85</v>
      </c>
      <c r="H24" s="4">
        <v>126.27</v>
      </c>
      <c r="I24" s="4">
        <v>137.30000000000001</v>
      </c>
      <c r="J24" s="4">
        <v>152.25</v>
      </c>
      <c r="K24" s="4">
        <v>175.14</v>
      </c>
      <c r="L24" s="4">
        <v>157.6</v>
      </c>
      <c r="M24" s="4">
        <v>171.82</v>
      </c>
      <c r="N24" s="4">
        <v>188.98</v>
      </c>
      <c r="O24" s="4">
        <v>210.32</v>
      </c>
      <c r="P24" s="4">
        <v>194.95</v>
      </c>
      <c r="Q24" s="4">
        <v>227.84</v>
      </c>
      <c r="R24" s="4">
        <v>268.3</v>
      </c>
      <c r="S24" s="6">
        <v>314.67</v>
      </c>
      <c r="T24" s="4">
        <v>264.42</v>
      </c>
      <c r="U24" s="4">
        <v>308.44</v>
      </c>
      <c r="V24" s="4">
        <v>337.17</v>
      </c>
      <c r="W24" s="4">
        <v>394.64</v>
      </c>
      <c r="X24" s="7">
        <v>6.90721444479796E-2</v>
      </c>
      <c r="Y24" s="8">
        <v>7.4960706081489414E-2</v>
      </c>
      <c r="Z24" s="8">
        <v>5.9584887050863948E-2</v>
      </c>
      <c r="AA24" s="8">
        <v>6.529762390789573E-2</v>
      </c>
    </row>
    <row r="25" spans="2:27">
      <c r="B25" s="13" t="s">
        <v>56</v>
      </c>
      <c r="C25" s="3" t="s">
        <v>505</v>
      </c>
      <c r="D25" s="3" t="s">
        <v>526</v>
      </c>
      <c r="E25" s="3" t="s">
        <v>507</v>
      </c>
      <c r="F25" s="5">
        <v>6.2</v>
      </c>
      <c r="G25" s="4">
        <v>506.79</v>
      </c>
      <c r="H25" s="4">
        <v>515.83000000000004</v>
      </c>
      <c r="I25" s="4">
        <v>536.30999999999995</v>
      </c>
      <c r="J25" s="4">
        <v>556.91999999999996</v>
      </c>
      <c r="K25" s="4">
        <v>573.35</v>
      </c>
      <c r="L25" s="4">
        <v>584.4</v>
      </c>
      <c r="M25" s="4">
        <v>605.9</v>
      </c>
      <c r="N25" s="4">
        <v>624.70000000000005</v>
      </c>
      <c r="O25" s="4">
        <v>640.1</v>
      </c>
      <c r="P25" s="4">
        <v>656.4</v>
      </c>
      <c r="Q25" s="4">
        <v>677.8</v>
      </c>
      <c r="R25" s="4">
        <v>692.6</v>
      </c>
      <c r="S25" s="4">
        <v>709.4</v>
      </c>
      <c r="T25" s="4">
        <v>732.2</v>
      </c>
      <c r="U25" s="4">
        <v>781.3</v>
      </c>
      <c r="V25" s="4">
        <v>833.6</v>
      </c>
      <c r="W25" s="4">
        <v>900</v>
      </c>
      <c r="X25" s="7">
        <v>2.7702653314816139E-2</v>
      </c>
      <c r="Y25" s="8">
        <v>3.680654338549072E-2</v>
      </c>
      <c r="Z25" s="8">
        <v>4.8362202023666701E-2</v>
      </c>
      <c r="AA25" s="8">
        <v>6.2358907246850892E-2</v>
      </c>
    </row>
    <row r="26" spans="2:27">
      <c r="B26" s="13" t="s">
        <v>289</v>
      </c>
      <c r="C26" s="3" t="s">
        <v>505</v>
      </c>
      <c r="D26" s="3" t="s">
        <v>524</v>
      </c>
      <c r="E26" s="3" t="s">
        <v>507</v>
      </c>
      <c r="F26" s="5">
        <v>6.2</v>
      </c>
      <c r="G26" s="4">
        <v>155.41</v>
      </c>
      <c r="H26" s="4">
        <v>166.1</v>
      </c>
      <c r="I26" s="4">
        <v>186.68</v>
      </c>
      <c r="J26" s="4">
        <v>191.62</v>
      </c>
      <c r="K26" s="4">
        <v>203.81</v>
      </c>
      <c r="L26" s="4">
        <v>217.34</v>
      </c>
      <c r="M26" s="4">
        <v>231.12</v>
      </c>
      <c r="N26" s="4">
        <v>108.89</v>
      </c>
      <c r="O26" s="4">
        <v>118.82</v>
      </c>
      <c r="P26" s="4">
        <v>117.97</v>
      </c>
      <c r="Q26" s="4">
        <v>125.27</v>
      </c>
      <c r="R26" s="4">
        <v>127.97</v>
      </c>
      <c r="S26" s="4">
        <v>135.79</v>
      </c>
      <c r="T26" s="4">
        <v>139.07</v>
      </c>
      <c r="U26" s="4">
        <v>150.38999999999999</v>
      </c>
      <c r="V26" s="4">
        <v>163.31</v>
      </c>
      <c r="W26" s="4">
        <v>172.11</v>
      </c>
      <c r="X26" s="7">
        <v>4.1617357001972437E-2</v>
      </c>
      <c r="Y26" s="8">
        <v>4.7566748721832967E-2</v>
      </c>
      <c r="Z26" s="8">
        <v>6.388055384837843E-2</v>
      </c>
      <c r="AA26" s="8">
        <v>6.170993611526443E-2</v>
      </c>
    </row>
    <row r="27" spans="2:27">
      <c r="B27" s="13" t="s">
        <v>126</v>
      </c>
      <c r="C27" s="3" t="s">
        <v>505</v>
      </c>
      <c r="D27" s="3" t="s">
        <v>523</v>
      </c>
      <c r="E27" s="3" t="s">
        <v>507</v>
      </c>
      <c r="F27" s="5">
        <v>6.1</v>
      </c>
      <c r="G27" s="4">
        <v>250.02</v>
      </c>
      <c r="H27" s="4">
        <v>230.55</v>
      </c>
      <c r="I27" s="4">
        <v>263.64999999999998</v>
      </c>
      <c r="J27" s="4">
        <v>254.15</v>
      </c>
      <c r="K27" s="4">
        <v>274.5</v>
      </c>
      <c r="L27" s="4">
        <v>276.69</v>
      </c>
      <c r="M27" s="4">
        <v>291.62</v>
      </c>
      <c r="N27" s="6">
        <v>383.64</v>
      </c>
      <c r="O27" s="6">
        <v>616.53</v>
      </c>
      <c r="P27" s="6">
        <v>606.66999999999996</v>
      </c>
      <c r="Q27" s="6">
        <v>629.69000000000005</v>
      </c>
      <c r="R27" s="6">
        <v>625.71</v>
      </c>
      <c r="S27" s="4">
        <v>657.29</v>
      </c>
      <c r="T27" s="4">
        <v>598.12</v>
      </c>
      <c r="U27" s="4">
        <v>745.34</v>
      </c>
      <c r="V27" s="4">
        <v>769.05</v>
      </c>
      <c r="W27" s="4">
        <v>826.42</v>
      </c>
      <c r="X27" s="7">
        <v>-3.3937190397561601E-3</v>
      </c>
      <c r="Y27" s="8">
        <v>4.6060832958288327E-2</v>
      </c>
      <c r="Z27" s="8">
        <v>5.4575359990253203E-2</v>
      </c>
      <c r="AA27" s="8">
        <v>6.1062170553830557E-2</v>
      </c>
    </row>
    <row r="28" spans="2:27">
      <c r="B28" s="13" t="s">
        <v>401</v>
      </c>
      <c r="C28" s="3" t="s">
        <v>505</v>
      </c>
      <c r="D28" s="3" t="s">
        <v>527</v>
      </c>
      <c r="E28" s="3" t="s">
        <v>507</v>
      </c>
      <c r="F28" s="5">
        <v>6.1</v>
      </c>
      <c r="G28" s="4">
        <v>79.22</v>
      </c>
      <c r="H28" s="4">
        <v>79.42</v>
      </c>
      <c r="I28" s="4">
        <v>80.63</v>
      </c>
      <c r="J28" s="4">
        <v>79.36</v>
      </c>
      <c r="K28" s="4">
        <v>82.38</v>
      </c>
      <c r="L28" s="4">
        <v>77.260000000000005</v>
      </c>
      <c r="M28" s="4">
        <v>70.3</v>
      </c>
      <c r="N28" s="4">
        <v>67.19</v>
      </c>
      <c r="O28" s="4">
        <v>65.569999999999993</v>
      </c>
      <c r="P28" s="4">
        <v>72.05</v>
      </c>
      <c r="Q28" s="4">
        <v>92.27</v>
      </c>
      <c r="R28" s="4">
        <v>82.88</v>
      </c>
      <c r="S28" s="4">
        <v>86.58</v>
      </c>
      <c r="T28" s="4">
        <v>84.69</v>
      </c>
      <c r="U28" s="4">
        <v>86.68</v>
      </c>
      <c r="V28" s="4">
        <v>100.06</v>
      </c>
      <c r="W28" s="4">
        <v>108.39</v>
      </c>
      <c r="X28" s="7">
        <v>3.7869255198034628E-2</v>
      </c>
      <c r="Y28" s="8">
        <v>-1.6136481727382909E-2</v>
      </c>
      <c r="Z28" s="8">
        <v>5.0406360942405248E-2</v>
      </c>
      <c r="AA28" s="8">
        <v>6.0920086031116538E-2</v>
      </c>
    </row>
    <row r="29" spans="2:27">
      <c r="B29" s="13" t="s">
        <v>110</v>
      </c>
      <c r="C29" s="3" t="s">
        <v>505</v>
      </c>
      <c r="D29" s="3" t="s">
        <v>515</v>
      </c>
      <c r="E29" s="3" t="s">
        <v>507</v>
      </c>
      <c r="F29" s="5">
        <v>5.7</v>
      </c>
      <c r="G29" s="4">
        <v>2251</v>
      </c>
      <c r="H29" s="4">
        <v>1120</v>
      </c>
      <c r="I29" s="4">
        <v>1465</v>
      </c>
      <c r="J29" s="4">
        <v>1568</v>
      </c>
      <c r="K29" s="4">
        <v>1182</v>
      </c>
      <c r="L29" s="4">
        <v>818.39</v>
      </c>
      <c r="M29" s="4">
        <v>513.24</v>
      </c>
      <c r="N29" s="4">
        <v>571.33000000000004</v>
      </c>
      <c r="O29" s="4">
        <v>650.75</v>
      </c>
      <c r="P29" s="4">
        <v>602.17999999999995</v>
      </c>
      <c r="Q29" s="4">
        <v>503.53</v>
      </c>
      <c r="R29" s="4">
        <v>564.71</v>
      </c>
      <c r="S29" s="4">
        <v>746.67</v>
      </c>
      <c r="T29" s="6">
        <v>851.25</v>
      </c>
      <c r="U29" s="4">
        <v>694.79</v>
      </c>
      <c r="V29" s="4">
        <v>655.52</v>
      </c>
      <c r="W29" s="4">
        <v>913.95</v>
      </c>
      <c r="X29" s="10">
        <v>0.1030453975648402</v>
      </c>
      <c r="Y29" s="8">
        <v>7.1736129864674369E-2</v>
      </c>
      <c r="Z29" s="8">
        <v>3.1780417299521968E-2</v>
      </c>
      <c r="AA29" s="8">
        <v>5.6739128222696333E-2</v>
      </c>
    </row>
    <row r="30" spans="2:27">
      <c r="B30" s="13" t="s">
        <v>255</v>
      </c>
      <c r="C30" s="3" t="s">
        <v>505</v>
      </c>
      <c r="D30" s="3" t="s">
        <v>513</v>
      </c>
      <c r="E30" s="3" t="s">
        <v>507</v>
      </c>
      <c r="F30" s="5">
        <v>5.5</v>
      </c>
      <c r="G30" s="4">
        <v>159.05000000000001</v>
      </c>
      <c r="H30" s="4">
        <v>152.51</v>
      </c>
      <c r="I30" s="4">
        <v>170.05</v>
      </c>
      <c r="J30" s="4">
        <v>177.35</v>
      </c>
      <c r="K30" s="4">
        <v>167.33</v>
      </c>
      <c r="L30" s="4">
        <v>153.76</v>
      </c>
      <c r="M30" s="4">
        <v>135.56</v>
      </c>
      <c r="N30" s="4">
        <v>153.88</v>
      </c>
      <c r="O30" s="4">
        <v>164.31</v>
      </c>
      <c r="P30" s="4">
        <v>143.63999999999999</v>
      </c>
      <c r="Q30" s="4">
        <v>168.33</v>
      </c>
      <c r="R30" s="4">
        <v>175.69</v>
      </c>
      <c r="S30" s="4">
        <v>174.16</v>
      </c>
      <c r="T30" s="4">
        <v>149.82</v>
      </c>
      <c r="U30" s="4">
        <v>165.45</v>
      </c>
      <c r="V30" s="4">
        <v>192.1</v>
      </c>
      <c r="W30" s="4">
        <v>211.57</v>
      </c>
      <c r="X30" s="7">
        <v>9.337886434378051E-3</v>
      </c>
      <c r="Y30" s="8">
        <v>-4.3113772455090071E-3</v>
      </c>
      <c r="Z30" s="8">
        <v>2.4672239595862289E-2</v>
      </c>
      <c r="AA30" s="8">
        <v>5.4891200680821102E-2</v>
      </c>
    </row>
    <row r="31" spans="2:27">
      <c r="B31" s="13" t="s">
        <v>391</v>
      </c>
      <c r="C31" s="3" t="s">
        <v>505</v>
      </c>
      <c r="D31" s="3" t="s">
        <v>506</v>
      </c>
      <c r="E31" s="3" t="s">
        <v>507</v>
      </c>
      <c r="F31" s="5">
        <v>5.2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0.24</v>
      </c>
      <c r="N31" s="6">
        <v>0.47</v>
      </c>
      <c r="O31" s="6">
        <v>0.48</v>
      </c>
      <c r="P31" s="6">
        <v>0.72</v>
      </c>
      <c r="Q31" s="6">
        <v>31.11</v>
      </c>
      <c r="R31" s="6">
        <v>58.56</v>
      </c>
      <c r="S31" s="6">
        <v>73.69</v>
      </c>
      <c r="T31" s="6">
        <v>49.32</v>
      </c>
      <c r="U31" s="6">
        <v>59.95</v>
      </c>
      <c r="V31" s="4">
        <v>67.459999999999994</v>
      </c>
      <c r="W31" s="4">
        <v>86.77</v>
      </c>
      <c r="X31" s="10">
        <v>0.29619697708434911</v>
      </c>
      <c r="Y31" s="9">
        <v>0.13560278352454391</v>
      </c>
      <c r="Z31" s="8">
        <v>3.684995031467353E-2</v>
      </c>
      <c r="AA31" s="8">
        <v>5.2232249820301828E-2</v>
      </c>
    </row>
    <row r="32" spans="2:27">
      <c r="B32" s="13" t="s">
        <v>279</v>
      </c>
      <c r="C32" s="3" t="s">
        <v>505</v>
      </c>
      <c r="D32" s="3" t="s">
        <v>506</v>
      </c>
      <c r="E32" s="3" t="s">
        <v>507</v>
      </c>
      <c r="F32" s="5">
        <v>5.0999999999999996</v>
      </c>
      <c r="G32" s="4">
        <v>91.21</v>
      </c>
      <c r="H32" s="4">
        <v>85.31</v>
      </c>
      <c r="I32" s="4">
        <v>107.03</v>
      </c>
      <c r="J32" s="4">
        <v>117.21</v>
      </c>
      <c r="K32" s="4">
        <v>128.31</v>
      </c>
      <c r="L32" s="4">
        <v>119.13</v>
      </c>
      <c r="M32" s="4">
        <v>134.22</v>
      </c>
      <c r="N32" s="4">
        <v>160.27000000000001</v>
      </c>
      <c r="O32" s="4">
        <v>168.41</v>
      </c>
      <c r="P32" s="4">
        <v>154.62</v>
      </c>
      <c r="Q32" s="4">
        <v>172.81</v>
      </c>
      <c r="R32" s="4">
        <v>186.04</v>
      </c>
      <c r="S32" s="4">
        <v>201.27</v>
      </c>
      <c r="T32" s="4">
        <v>184.73</v>
      </c>
      <c r="U32" s="4">
        <v>200.49</v>
      </c>
      <c r="V32" s="4">
        <v>239.46</v>
      </c>
      <c r="W32" s="4">
        <v>243.78</v>
      </c>
      <c r="X32" s="7">
        <v>4.2127207096286812E-2</v>
      </c>
      <c r="Y32" s="8">
        <v>3.7161844666711241E-2</v>
      </c>
      <c r="Z32" s="8">
        <v>6.9149418145573627E-2</v>
      </c>
      <c r="AA32" s="8">
        <v>5.1468006537926048E-2</v>
      </c>
    </row>
    <row r="33" spans="2:27">
      <c r="B33" s="13" t="s">
        <v>17</v>
      </c>
      <c r="C33" s="3" t="s">
        <v>505</v>
      </c>
      <c r="D33" s="3" t="s">
        <v>528</v>
      </c>
      <c r="E33" s="3" t="s">
        <v>529</v>
      </c>
      <c r="F33" s="5">
        <v>5.0999999999999996</v>
      </c>
      <c r="G33" s="4">
        <v>7827</v>
      </c>
      <c r="H33" s="4">
        <v>7723</v>
      </c>
      <c r="I33" s="4">
        <v>7387</v>
      </c>
      <c r="J33" s="4">
        <v>6864</v>
      </c>
      <c r="K33" s="4">
        <v>7324</v>
      </c>
      <c r="L33" s="4">
        <v>7204</v>
      </c>
      <c r="M33" s="4">
        <v>7248</v>
      </c>
      <c r="N33" s="4">
        <v>7383</v>
      </c>
      <c r="O33" s="4">
        <v>7471</v>
      </c>
      <c r="P33" s="4">
        <v>7340</v>
      </c>
      <c r="Q33" s="4">
        <v>7312</v>
      </c>
      <c r="R33" s="4">
        <v>7360</v>
      </c>
      <c r="S33" s="4">
        <v>6848</v>
      </c>
      <c r="T33" s="4">
        <v>9044</v>
      </c>
      <c r="U33" s="4">
        <v>8445</v>
      </c>
      <c r="V33" s="4">
        <v>7304</v>
      </c>
      <c r="W33" s="4">
        <v>8459</v>
      </c>
      <c r="X33" s="7">
        <v>5.9043659043658943E-2</v>
      </c>
      <c r="Y33" s="8">
        <v>3.7069755267635118E-2</v>
      </c>
      <c r="Z33" s="8">
        <v>-1.766728712496501E-3</v>
      </c>
      <c r="AA33" s="8">
        <v>5.0914952119085921E-2</v>
      </c>
    </row>
    <row r="34" spans="2:27">
      <c r="B34" s="13" t="s">
        <v>230</v>
      </c>
      <c r="C34" s="3" t="s">
        <v>505</v>
      </c>
      <c r="D34" s="3" t="s">
        <v>523</v>
      </c>
      <c r="E34" s="3" t="s">
        <v>507</v>
      </c>
      <c r="F34" s="5">
        <v>5</v>
      </c>
      <c r="G34" s="4">
        <v>73.959999999999994</v>
      </c>
      <c r="H34" s="4">
        <v>70.930000000000007</v>
      </c>
      <c r="I34" s="4">
        <v>84.15</v>
      </c>
      <c r="J34" s="4">
        <v>89.84</v>
      </c>
      <c r="K34" s="6">
        <v>105.94</v>
      </c>
      <c r="L34" s="6">
        <v>109.11</v>
      </c>
      <c r="M34" s="4">
        <v>116.92</v>
      </c>
      <c r="N34" s="4">
        <v>118.26</v>
      </c>
      <c r="O34" s="4">
        <v>137.97</v>
      </c>
      <c r="P34" s="4">
        <v>138.47999999999999</v>
      </c>
      <c r="Q34" s="4">
        <v>145.57</v>
      </c>
      <c r="R34" s="4">
        <v>150.72</v>
      </c>
      <c r="S34" s="4">
        <v>176.79</v>
      </c>
      <c r="T34" s="4">
        <v>169.18</v>
      </c>
      <c r="U34" s="4">
        <v>185.54</v>
      </c>
      <c r="V34" s="4">
        <v>196.5</v>
      </c>
      <c r="W34" s="4">
        <v>212.93</v>
      </c>
      <c r="X34" s="7">
        <v>5.0199489829289012E-2</v>
      </c>
      <c r="Y34" s="8">
        <v>6.2233363435368887E-2</v>
      </c>
      <c r="Z34" s="8">
        <v>6.7103469504419255E-2</v>
      </c>
      <c r="AA34" s="8">
        <v>4.9642175244845488E-2</v>
      </c>
    </row>
    <row r="35" spans="2:27">
      <c r="B35" s="13" t="s">
        <v>106</v>
      </c>
      <c r="C35" s="3" t="s">
        <v>505</v>
      </c>
      <c r="D35" s="3" t="s">
        <v>530</v>
      </c>
      <c r="E35" s="3" t="s">
        <v>507</v>
      </c>
      <c r="F35" s="5">
        <v>4.8</v>
      </c>
      <c r="G35" s="4">
        <v>350</v>
      </c>
      <c r="H35" s="4">
        <v>307.10000000000002</v>
      </c>
      <c r="I35" s="4">
        <v>354</v>
      </c>
      <c r="J35" s="4">
        <v>370.5</v>
      </c>
      <c r="K35" s="4">
        <v>429.3</v>
      </c>
      <c r="L35" s="4">
        <v>399.8</v>
      </c>
      <c r="M35" s="4">
        <v>423.3</v>
      </c>
      <c r="N35" s="4">
        <v>448.7</v>
      </c>
      <c r="O35" s="4">
        <v>469.4</v>
      </c>
      <c r="P35" s="4">
        <v>465.2</v>
      </c>
      <c r="Q35" s="4">
        <v>501.3</v>
      </c>
      <c r="R35" s="4">
        <v>483.7</v>
      </c>
      <c r="S35" s="4">
        <v>533.70000000000005</v>
      </c>
      <c r="T35" s="4">
        <v>482.6</v>
      </c>
      <c r="U35" s="4">
        <v>552.4</v>
      </c>
      <c r="V35" s="4">
        <v>592.79999999999995</v>
      </c>
      <c r="W35" s="4">
        <v>637.29999999999995</v>
      </c>
      <c r="X35" s="7">
        <v>8.7706033570240649E-3</v>
      </c>
      <c r="Y35" s="8">
        <v>2.553340328786291E-2</v>
      </c>
      <c r="Z35" s="8">
        <v>5.3157279282790793E-2</v>
      </c>
      <c r="AA35" s="8">
        <v>4.7929678464029513E-2</v>
      </c>
    </row>
    <row r="36" spans="2:27">
      <c r="B36" s="13" t="s">
        <v>403</v>
      </c>
      <c r="C36" s="3" t="s">
        <v>505</v>
      </c>
      <c r="D36" s="3" t="s">
        <v>531</v>
      </c>
      <c r="E36" s="3" t="s">
        <v>507</v>
      </c>
      <c r="F36" s="5">
        <v>4.5</v>
      </c>
      <c r="G36" s="4">
        <v>162.62</v>
      </c>
      <c r="H36" s="4">
        <v>173.11</v>
      </c>
      <c r="I36" s="4">
        <v>184.45</v>
      </c>
      <c r="J36" s="4">
        <v>186.85</v>
      </c>
      <c r="K36" s="4">
        <v>185.75</v>
      </c>
      <c r="L36" s="4">
        <v>211.41</v>
      </c>
      <c r="M36" s="4">
        <v>216.3</v>
      </c>
      <c r="N36" s="4">
        <v>219.21</v>
      </c>
      <c r="O36" s="4">
        <v>244.63</v>
      </c>
      <c r="P36" s="4">
        <v>242.45</v>
      </c>
      <c r="Q36" s="4">
        <v>258.56</v>
      </c>
      <c r="R36" s="4">
        <v>251.61</v>
      </c>
      <c r="S36" s="4">
        <v>263.29000000000002</v>
      </c>
      <c r="T36" s="4">
        <v>282.24</v>
      </c>
      <c r="U36" s="4">
        <v>307.89</v>
      </c>
      <c r="V36" s="4">
        <v>316.02</v>
      </c>
      <c r="W36" s="4">
        <v>316.35000000000002</v>
      </c>
      <c r="X36" s="7">
        <v>3.9166855331673078E-2</v>
      </c>
      <c r="Y36" s="8">
        <v>4.6727289949796358E-2</v>
      </c>
      <c r="Z36" s="8">
        <v>5.8288010280263869E-2</v>
      </c>
      <c r="AA36" s="8">
        <v>4.5372143932138398E-2</v>
      </c>
    </row>
    <row r="37" spans="2:27">
      <c r="B37" s="13" t="s">
        <v>194</v>
      </c>
      <c r="C37" s="3" t="s">
        <v>505</v>
      </c>
      <c r="D37" s="3" t="s">
        <v>524</v>
      </c>
      <c r="E37" s="3" t="s">
        <v>507</v>
      </c>
      <c r="F37" s="5">
        <v>4.3</v>
      </c>
      <c r="G37" s="4">
        <v>119.66</v>
      </c>
      <c r="H37" s="4">
        <v>127.33</v>
      </c>
      <c r="I37" s="4">
        <v>133.88</v>
      </c>
      <c r="J37" s="4">
        <v>152.12</v>
      </c>
      <c r="K37" s="4">
        <v>163</v>
      </c>
      <c r="L37" s="4">
        <v>165.13</v>
      </c>
      <c r="M37" s="4">
        <v>169.81</v>
      </c>
      <c r="N37" s="4">
        <v>177.06</v>
      </c>
      <c r="O37" s="4">
        <v>180.87</v>
      </c>
      <c r="P37" s="4">
        <v>184.73</v>
      </c>
      <c r="Q37" s="4">
        <v>192.48</v>
      </c>
      <c r="R37" s="4">
        <v>198.48</v>
      </c>
      <c r="S37" s="4">
        <v>204.93</v>
      </c>
      <c r="T37" s="4">
        <v>210.7</v>
      </c>
      <c r="U37" s="4">
        <v>218.7</v>
      </c>
      <c r="V37" s="4">
        <v>229.63</v>
      </c>
      <c r="W37" s="4">
        <v>242.39</v>
      </c>
      <c r="X37" s="7">
        <v>3.3268427660064992E-2</v>
      </c>
      <c r="Y37" s="8">
        <v>3.250722176074583E-2</v>
      </c>
      <c r="Z37" s="8">
        <v>3.7403489391337967E-2</v>
      </c>
      <c r="AA37" s="8">
        <v>4.3358488818926677E-2</v>
      </c>
    </row>
    <row r="38" spans="2:27">
      <c r="B38" s="13" t="s">
        <v>122</v>
      </c>
      <c r="C38" s="3" t="s">
        <v>505</v>
      </c>
      <c r="D38" s="3" t="s">
        <v>532</v>
      </c>
      <c r="E38" s="3" t="s">
        <v>507</v>
      </c>
      <c r="F38" s="5">
        <v>4.3</v>
      </c>
      <c r="G38" s="4">
        <v>186.52</v>
      </c>
      <c r="H38" s="4">
        <v>206.4</v>
      </c>
      <c r="I38" s="4">
        <v>207.63</v>
      </c>
      <c r="J38" s="4">
        <v>200.74</v>
      </c>
      <c r="K38" s="4">
        <v>186.76</v>
      </c>
      <c r="L38" s="4">
        <v>165.38</v>
      </c>
      <c r="M38" s="4">
        <v>159.16999999999999</v>
      </c>
      <c r="N38" s="4">
        <v>141.19</v>
      </c>
      <c r="O38" s="4">
        <v>166.62</v>
      </c>
      <c r="P38" s="4">
        <v>153.18</v>
      </c>
      <c r="Q38" s="4">
        <v>158.84</v>
      </c>
      <c r="R38" s="4">
        <v>154.87</v>
      </c>
      <c r="S38" s="4">
        <v>167.55</v>
      </c>
      <c r="T38" s="4">
        <v>169.17</v>
      </c>
      <c r="U38" s="4">
        <v>182.37</v>
      </c>
      <c r="V38" s="4">
        <v>188.81</v>
      </c>
      <c r="W38" s="4">
        <v>197.91</v>
      </c>
      <c r="X38" s="7">
        <v>2.520332891999244E-2</v>
      </c>
      <c r="Y38" s="8">
        <v>3.6176068139538442E-2</v>
      </c>
      <c r="Z38" s="8">
        <v>5.0359071755000213E-2</v>
      </c>
      <c r="AA38" s="8">
        <v>4.2887413476479841E-2</v>
      </c>
    </row>
    <row r="39" spans="2:27">
      <c r="B39" s="13" t="s">
        <v>140</v>
      </c>
      <c r="C39" s="3" t="s">
        <v>505</v>
      </c>
      <c r="D39" s="3" t="s">
        <v>531</v>
      </c>
      <c r="E39" s="3" t="s">
        <v>507</v>
      </c>
      <c r="F39" s="5">
        <v>4.2</v>
      </c>
      <c r="G39" s="4">
        <v>117.17</v>
      </c>
      <c r="H39" s="4">
        <v>159.01</v>
      </c>
      <c r="I39" s="4">
        <v>135.91999999999999</v>
      </c>
      <c r="J39" s="4">
        <v>139.26</v>
      </c>
      <c r="K39" s="4">
        <v>129.94</v>
      </c>
      <c r="L39" s="4">
        <v>203.08</v>
      </c>
      <c r="M39" s="4">
        <v>172.89</v>
      </c>
      <c r="N39" s="4">
        <v>175.55</v>
      </c>
      <c r="O39" s="4">
        <v>177.17</v>
      </c>
      <c r="P39" s="4">
        <v>259.01</v>
      </c>
      <c r="Q39" s="4">
        <v>233.5</v>
      </c>
      <c r="R39" s="4">
        <v>243.82</v>
      </c>
      <c r="S39" s="4">
        <v>227.4</v>
      </c>
      <c r="T39" s="4">
        <v>331.83</v>
      </c>
      <c r="U39" s="4">
        <v>280.62</v>
      </c>
      <c r="V39" s="4">
        <v>292.24</v>
      </c>
      <c r="W39" s="4">
        <v>274.99</v>
      </c>
      <c r="X39" s="7">
        <v>7.5560582320774339E-2</v>
      </c>
      <c r="Y39" s="8">
        <v>4.5458492113260363E-2</v>
      </c>
      <c r="Z39" s="8">
        <v>4.4681498980316807E-2</v>
      </c>
      <c r="AA39" s="8">
        <v>4.2037293854729103E-2</v>
      </c>
    </row>
    <row r="40" spans="2:27">
      <c r="B40" s="13" t="s">
        <v>52</v>
      </c>
      <c r="C40" s="3" t="s">
        <v>505</v>
      </c>
      <c r="D40" s="3" t="s">
        <v>523</v>
      </c>
      <c r="E40" s="3" t="s">
        <v>507</v>
      </c>
      <c r="F40" s="5">
        <v>3.8</v>
      </c>
      <c r="G40" s="4">
        <v>25.23</v>
      </c>
      <c r="H40" s="4">
        <v>22.44</v>
      </c>
      <c r="I40" s="4">
        <v>25.59</v>
      </c>
      <c r="J40" s="4">
        <v>26.43</v>
      </c>
      <c r="K40" s="4">
        <v>31.95</v>
      </c>
      <c r="L40" s="4">
        <v>32.71</v>
      </c>
      <c r="M40" s="4">
        <v>33.31</v>
      </c>
      <c r="N40" s="4">
        <v>34.01</v>
      </c>
      <c r="O40" s="4">
        <v>38.86</v>
      </c>
      <c r="P40" s="4">
        <v>37.869999999999997</v>
      </c>
      <c r="Q40" s="4">
        <v>39.97</v>
      </c>
      <c r="R40" s="4">
        <v>40.340000000000003</v>
      </c>
      <c r="S40" s="4">
        <v>49</v>
      </c>
      <c r="T40" s="4">
        <v>47.29</v>
      </c>
      <c r="U40" s="4">
        <v>48.63</v>
      </c>
      <c r="V40" s="4">
        <v>48.66</v>
      </c>
      <c r="W40" s="4">
        <v>56.35</v>
      </c>
      <c r="X40" s="7">
        <v>5.6346452924990853E-2</v>
      </c>
      <c r="Y40" s="8">
        <v>4.9037372593431439E-2</v>
      </c>
      <c r="Z40" s="8">
        <v>4.4909856418007037E-2</v>
      </c>
      <c r="AA40" s="8">
        <v>3.7968798429590001E-2</v>
      </c>
    </row>
    <row r="41" spans="2:27">
      <c r="B41" s="13" t="s">
        <v>249</v>
      </c>
      <c r="C41" s="3" t="s">
        <v>505</v>
      </c>
      <c r="D41" s="3" t="s">
        <v>518</v>
      </c>
      <c r="E41" s="3" t="s">
        <v>507</v>
      </c>
      <c r="F41" s="5">
        <v>3.8</v>
      </c>
      <c r="G41" s="4">
        <v>116.05</v>
      </c>
      <c r="H41" s="4">
        <v>116.18</v>
      </c>
      <c r="I41" s="4">
        <v>129.13</v>
      </c>
      <c r="J41" s="4">
        <v>131.44</v>
      </c>
      <c r="K41" s="4">
        <v>158.15</v>
      </c>
      <c r="L41" s="4">
        <v>156.54</v>
      </c>
      <c r="M41" s="4">
        <v>174.45</v>
      </c>
      <c r="N41" s="4">
        <v>162.91999999999999</v>
      </c>
      <c r="O41" s="4">
        <v>195.29</v>
      </c>
      <c r="P41" s="4">
        <v>185.07</v>
      </c>
      <c r="Q41" s="4">
        <v>198.11</v>
      </c>
      <c r="R41" s="4">
        <v>203.7</v>
      </c>
      <c r="S41" s="4">
        <v>208.54</v>
      </c>
      <c r="T41" s="4">
        <v>205.94</v>
      </c>
      <c r="U41" s="4">
        <v>204.68</v>
      </c>
      <c r="V41" s="4">
        <v>211.45</v>
      </c>
      <c r="W41" s="4">
        <v>240.07</v>
      </c>
      <c r="X41" s="7">
        <v>2.623771089487326E-2</v>
      </c>
      <c r="Y41" s="8">
        <v>8.0486101753054484E-3</v>
      </c>
      <c r="Z41" s="8">
        <v>9.4183700751038213E-3</v>
      </c>
      <c r="AA41" s="8">
        <v>3.7960053454690001E-2</v>
      </c>
    </row>
    <row r="42" spans="2:27">
      <c r="B42" s="13" t="s">
        <v>202</v>
      </c>
      <c r="C42" s="3" t="s">
        <v>505</v>
      </c>
      <c r="D42" s="3" t="s">
        <v>510</v>
      </c>
      <c r="E42" s="3" t="s">
        <v>507</v>
      </c>
      <c r="F42" s="5">
        <v>3.5</v>
      </c>
      <c r="G42" s="4">
        <v>195.25</v>
      </c>
      <c r="H42" s="4">
        <v>197.2</v>
      </c>
      <c r="I42" s="4">
        <v>215.83</v>
      </c>
      <c r="J42" s="4">
        <v>213.67</v>
      </c>
      <c r="K42" s="4">
        <v>218.87</v>
      </c>
      <c r="L42" s="4">
        <v>229.83</v>
      </c>
      <c r="M42" s="4">
        <v>247.54</v>
      </c>
      <c r="N42" s="4">
        <v>253.37</v>
      </c>
      <c r="O42" s="4">
        <v>259.58999999999997</v>
      </c>
      <c r="P42" s="4">
        <v>268.49</v>
      </c>
      <c r="Q42" s="4">
        <v>270.52999999999997</v>
      </c>
      <c r="R42" s="4">
        <v>292.16000000000003</v>
      </c>
      <c r="S42" s="4">
        <v>326.42</v>
      </c>
      <c r="T42" s="4">
        <v>347.16</v>
      </c>
      <c r="U42" s="4">
        <v>383.15</v>
      </c>
      <c r="V42" s="4">
        <v>382.43</v>
      </c>
      <c r="W42" s="4">
        <v>377.07</v>
      </c>
      <c r="X42" s="7">
        <v>6.7959571527298035E-2</v>
      </c>
      <c r="Y42" s="8">
        <v>9.109660511053419E-2</v>
      </c>
      <c r="Z42" s="8">
        <v>6.692169116829394E-2</v>
      </c>
      <c r="AA42" s="8">
        <v>3.5194141026710042E-2</v>
      </c>
    </row>
    <row r="43" spans="2:27">
      <c r="B43" s="13" t="s">
        <v>33</v>
      </c>
      <c r="C43" s="3" t="s">
        <v>505</v>
      </c>
      <c r="D43" s="3" t="s">
        <v>533</v>
      </c>
      <c r="E43" s="3" t="s">
        <v>534</v>
      </c>
      <c r="F43" s="5">
        <v>3.5</v>
      </c>
      <c r="G43" s="4">
        <v>1376</v>
      </c>
      <c r="H43" s="4">
        <v>1435</v>
      </c>
      <c r="I43" s="4">
        <v>1536</v>
      </c>
      <c r="J43" s="4">
        <v>1599</v>
      </c>
      <c r="K43" s="4">
        <v>1646</v>
      </c>
      <c r="L43" s="4">
        <v>1684</v>
      </c>
      <c r="M43" s="4">
        <v>1787</v>
      </c>
      <c r="N43" s="4">
        <v>1866</v>
      </c>
      <c r="O43" s="4">
        <v>1922</v>
      </c>
      <c r="P43" s="4">
        <v>1990</v>
      </c>
      <c r="Q43" s="4">
        <v>2085</v>
      </c>
      <c r="R43" s="4">
        <v>2160</v>
      </c>
      <c r="S43" s="4">
        <v>2211</v>
      </c>
      <c r="T43" s="4">
        <v>2240</v>
      </c>
      <c r="U43" s="4">
        <v>2348</v>
      </c>
      <c r="V43" s="4">
        <v>2432</v>
      </c>
      <c r="W43" s="4">
        <v>2532</v>
      </c>
      <c r="X43" s="7">
        <v>2.95998105612123E-2</v>
      </c>
      <c r="Y43" s="8">
        <v>3.0243790248390079E-2</v>
      </c>
      <c r="Z43" s="8">
        <v>3.036053130929783E-2</v>
      </c>
      <c r="AA43" s="8">
        <v>3.4774130646733743E-2</v>
      </c>
    </row>
    <row r="44" spans="2:27">
      <c r="B44" s="13" t="s">
        <v>48</v>
      </c>
      <c r="C44" s="3" t="s">
        <v>505</v>
      </c>
      <c r="D44" s="3" t="s">
        <v>516</v>
      </c>
      <c r="E44" s="3" t="s">
        <v>507</v>
      </c>
      <c r="F44" s="5">
        <v>3.3</v>
      </c>
      <c r="G44" s="4">
        <v>907.32</v>
      </c>
      <c r="H44" s="4">
        <v>367.04</v>
      </c>
      <c r="I44" s="4">
        <v>620.96</v>
      </c>
      <c r="J44" s="4">
        <v>628.92999999999995</v>
      </c>
      <c r="K44" s="4">
        <v>1002</v>
      </c>
      <c r="L44" s="4">
        <v>548.29</v>
      </c>
      <c r="M44" s="4">
        <v>810.67</v>
      </c>
      <c r="N44" s="4">
        <v>801.09</v>
      </c>
      <c r="O44" s="4">
        <v>1159</v>
      </c>
      <c r="P44" s="4">
        <v>794.11</v>
      </c>
      <c r="Q44" s="4">
        <v>1010</v>
      </c>
      <c r="R44" s="4">
        <v>887.67</v>
      </c>
      <c r="S44" s="4">
        <v>1514</v>
      </c>
      <c r="T44" s="4">
        <v>844.57</v>
      </c>
      <c r="U44" s="4">
        <v>1097</v>
      </c>
      <c r="V44" s="6">
        <v>1595</v>
      </c>
      <c r="W44" s="4">
        <v>1683</v>
      </c>
      <c r="X44" s="7">
        <v>1.1997774491295349E-2</v>
      </c>
      <c r="Y44" s="8">
        <v>2.0440576659210841E-2</v>
      </c>
      <c r="Z44" s="9">
        <v>0.16285768228327241</v>
      </c>
      <c r="AA44" s="8">
        <v>3.3461569684213772E-2</v>
      </c>
    </row>
    <row r="45" spans="2:27">
      <c r="B45" s="13" t="s">
        <v>174</v>
      </c>
      <c r="C45" s="3" t="s">
        <v>505</v>
      </c>
      <c r="D45" s="3" t="s">
        <v>535</v>
      </c>
      <c r="E45" s="3" t="s">
        <v>507</v>
      </c>
      <c r="F45" s="5">
        <v>3.3</v>
      </c>
      <c r="G45" s="4">
        <v>1049</v>
      </c>
      <c r="H45" s="4">
        <v>805.46</v>
      </c>
      <c r="I45" s="4">
        <v>785.63</v>
      </c>
      <c r="J45" s="4">
        <v>900.29</v>
      </c>
      <c r="K45" s="4">
        <v>1152</v>
      </c>
      <c r="L45" s="4">
        <v>1107</v>
      </c>
      <c r="M45" s="4">
        <v>1083</v>
      </c>
      <c r="N45" s="4">
        <v>1065</v>
      </c>
      <c r="O45" s="4">
        <v>1375</v>
      </c>
      <c r="P45" s="4">
        <v>1274</v>
      </c>
      <c r="Q45" s="4">
        <v>1310</v>
      </c>
      <c r="R45" s="4">
        <v>1530</v>
      </c>
      <c r="S45" s="4">
        <v>1346</v>
      </c>
      <c r="T45" s="4">
        <v>1394</v>
      </c>
      <c r="U45" s="4">
        <v>1475</v>
      </c>
      <c r="V45" s="4">
        <v>1585</v>
      </c>
      <c r="W45" s="4">
        <v>1536</v>
      </c>
      <c r="X45" s="7">
        <v>2.19780219780219E-2</v>
      </c>
      <c r="Y45" s="8">
        <v>2.956989247311825E-2</v>
      </c>
      <c r="Z45" s="8">
        <v>9.5735422106180135E-3</v>
      </c>
      <c r="AA45" s="8">
        <v>3.2758620689655071E-2</v>
      </c>
    </row>
    <row r="46" spans="2:27">
      <c r="B46" s="13" t="s">
        <v>371</v>
      </c>
      <c r="C46" s="3" t="s">
        <v>505</v>
      </c>
      <c r="D46" s="3" t="s">
        <v>525</v>
      </c>
      <c r="E46" s="3" t="s">
        <v>507</v>
      </c>
      <c r="F46" s="5">
        <v>3.2</v>
      </c>
      <c r="G46" s="4">
        <v>262</v>
      </c>
      <c r="H46" s="4">
        <v>288.60000000000002</v>
      </c>
      <c r="I46" s="4">
        <v>318.5</v>
      </c>
      <c r="J46" s="4">
        <v>298.5</v>
      </c>
      <c r="K46" s="4">
        <v>260.5</v>
      </c>
      <c r="L46" s="4">
        <v>273.8</v>
      </c>
      <c r="M46" s="4">
        <v>325.8</v>
      </c>
      <c r="N46" s="4">
        <v>354.6</v>
      </c>
      <c r="O46" s="4">
        <v>320.10000000000002</v>
      </c>
      <c r="P46" s="4">
        <v>323.39999999999998</v>
      </c>
      <c r="Q46" s="4">
        <v>347.8</v>
      </c>
      <c r="R46" s="4">
        <v>342.4</v>
      </c>
      <c r="S46" s="4">
        <v>302.3</v>
      </c>
      <c r="T46" s="4">
        <v>321</v>
      </c>
      <c r="U46" s="4">
        <v>358.9</v>
      </c>
      <c r="V46" s="4">
        <v>353.6</v>
      </c>
      <c r="W46" s="4">
        <v>345.6</v>
      </c>
      <c r="X46" s="7">
        <v>-1.823846796869089E-3</v>
      </c>
      <c r="Y46" s="8">
        <v>8.4507042253521014E-3</v>
      </c>
      <c r="Z46" s="8">
        <v>8.4553827570588158E-3</v>
      </c>
      <c r="AA46" s="8">
        <v>3.2415032190447723E-2</v>
      </c>
    </row>
    <row r="47" spans="2:27">
      <c r="B47" s="13" t="s">
        <v>393</v>
      </c>
      <c r="C47" s="3" t="s">
        <v>505</v>
      </c>
      <c r="D47" s="3" t="s">
        <v>519</v>
      </c>
      <c r="E47" s="3" t="s">
        <v>536</v>
      </c>
      <c r="F47" s="5">
        <v>3.2</v>
      </c>
      <c r="G47" s="4">
        <v>888.72</v>
      </c>
      <c r="H47" s="4">
        <v>471.09</v>
      </c>
      <c r="I47" s="4">
        <v>418.61</v>
      </c>
      <c r="J47" s="4">
        <v>489.52</v>
      </c>
      <c r="K47" s="4">
        <v>456.48</v>
      </c>
      <c r="L47" s="4">
        <v>444.75</v>
      </c>
      <c r="M47" s="4">
        <v>415.83</v>
      </c>
      <c r="N47" s="4">
        <v>466.99</v>
      </c>
      <c r="O47" s="4">
        <v>511.11</v>
      </c>
      <c r="P47" s="4">
        <v>520.38</v>
      </c>
      <c r="Q47" s="4">
        <v>513.54</v>
      </c>
      <c r="R47" s="4">
        <v>574.96</v>
      </c>
      <c r="S47" s="4">
        <v>634.42999999999995</v>
      </c>
      <c r="T47" s="4">
        <v>666.35</v>
      </c>
      <c r="U47" s="4">
        <v>605.28</v>
      </c>
      <c r="V47" s="4">
        <v>659.45</v>
      </c>
      <c r="W47" s="4">
        <v>717.07</v>
      </c>
      <c r="X47" s="7">
        <v>6.5069027463881435E-2</v>
      </c>
      <c r="Y47" s="8">
        <v>3.8396504386258627E-2</v>
      </c>
      <c r="Z47" s="8">
        <v>3.4054542083498118E-2</v>
      </c>
      <c r="AA47" s="8">
        <v>3.2211918877727903E-2</v>
      </c>
    </row>
    <row r="48" spans="2:27">
      <c r="B48" s="13" t="s">
        <v>46</v>
      </c>
      <c r="C48" s="3" t="s">
        <v>505</v>
      </c>
      <c r="D48" s="3" t="s">
        <v>537</v>
      </c>
      <c r="E48" s="3" t="s">
        <v>507</v>
      </c>
      <c r="F48" s="5">
        <v>3.1</v>
      </c>
      <c r="G48" s="4">
        <v>7046</v>
      </c>
      <c r="H48" s="4">
        <v>7896</v>
      </c>
      <c r="I48" s="4">
        <v>7282</v>
      </c>
      <c r="J48" s="4">
        <v>8510</v>
      </c>
      <c r="K48" s="4">
        <v>7855</v>
      </c>
      <c r="L48" s="4">
        <v>7722</v>
      </c>
      <c r="M48" s="4">
        <v>6348</v>
      </c>
      <c r="N48" s="4">
        <v>7946</v>
      </c>
      <c r="O48" s="4">
        <v>6807</v>
      </c>
      <c r="P48" s="4">
        <v>7429</v>
      </c>
      <c r="Q48" s="4">
        <v>6659</v>
      </c>
      <c r="R48" s="4">
        <v>7223</v>
      </c>
      <c r="S48" s="4">
        <v>6819</v>
      </c>
      <c r="T48" s="4">
        <v>8585</v>
      </c>
      <c r="U48" s="4">
        <v>6740</v>
      </c>
      <c r="V48" s="4">
        <v>7635</v>
      </c>
      <c r="W48" s="4">
        <v>7753</v>
      </c>
      <c r="X48" s="7">
        <v>4.1094916459296187E-2</v>
      </c>
      <c r="Y48" s="8">
        <v>2.7658266748618039E-3</v>
      </c>
      <c r="Z48" s="8">
        <v>1.402935267477101E-2</v>
      </c>
      <c r="AA48" s="8">
        <v>3.136438429765942E-2</v>
      </c>
    </row>
    <row r="49" spans="2:27">
      <c r="B49" s="13" t="s">
        <v>188</v>
      </c>
      <c r="C49" s="3" t="s">
        <v>505</v>
      </c>
      <c r="D49" s="3" t="s">
        <v>533</v>
      </c>
      <c r="E49" s="3" t="s">
        <v>507</v>
      </c>
      <c r="F49" s="5">
        <v>3.1</v>
      </c>
      <c r="G49" s="4">
        <v>187.08</v>
      </c>
      <c r="H49" s="4">
        <v>186.82</v>
      </c>
      <c r="I49" s="4">
        <v>192.79</v>
      </c>
      <c r="J49" s="4">
        <v>198.73</v>
      </c>
      <c r="K49" s="4">
        <v>204.11</v>
      </c>
      <c r="L49" s="4">
        <v>204.92</v>
      </c>
      <c r="M49" s="4">
        <v>211.71</v>
      </c>
      <c r="N49" s="4">
        <v>221.15</v>
      </c>
      <c r="O49" s="4">
        <v>228.6</v>
      </c>
      <c r="P49" s="4">
        <v>227.24</v>
      </c>
      <c r="Q49" s="4">
        <v>232.62</v>
      </c>
      <c r="R49" s="4">
        <v>238.48</v>
      </c>
      <c r="S49" s="4">
        <v>246.46</v>
      </c>
      <c r="T49" s="4">
        <v>251.57</v>
      </c>
      <c r="U49" s="4">
        <v>260.45</v>
      </c>
      <c r="V49" s="4">
        <v>267.12</v>
      </c>
      <c r="W49" s="4">
        <v>277.87</v>
      </c>
      <c r="X49" s="7">
        <v>2.5751481795089019E-2</v>
      </c>
      <c r="Y49" s="8">
        <v>2.871647766553509E-2</v>
      </c>
      <c r="Z49" s="8">
        <v>2.8727331086502831E-2</v>
      </c>
      <c r="AA49" s="8">
        <v>3.0625975039001659E-2</v>
      </c>
    </row>
    <row r="50" spans="2:27">
      <c r="B50" s="13" t="s">
        <v>146</v>
      </c>
      <c r="C50" s="3" t="s">
        <v>505</v>
      </c>
      <c r="D50" s="3" t="s">
        <v>538</v>
      </c>
      <c r="E50" s="3" t="s">
        <v>507</v>
      </c>
      <c r="F50" s="5">
        <v>3</v>
      </c>
      <c r="G50" s="4">
        <v>295.49</v>
      </c>
      <c r="H50" s="4">
        <v>329.21</v>
      </c>
      <c r="I50" s="4">
        <v>346.78</v>
      </c>
      <c r="J50" s="4">
        <v>361.35</v>
      </c>
      <c r="K50" s="4">
        <v>374.7</v>
      </c>
      <c r="L50" s="4">
        <v>400.64</v>
      </c>
      <c r="M50" s="4">
        <v>405</v>
      </c>
      <c r="N50" s="4">
        <v>410.97</v>
      </c>
      <c r="O50" s="4">
        <v>414.06</v>
      </c>
      <c r="P50" s="4">
        <v>436.51</v>
      </c>
      <c r="Q50" s="4">
        <v>448.37</v>
      </c>
      <c r="R50" s="4">
        <v>472.07</v>
      </c>
      <c r="S50" s="4">
        <v>481.43</v>
      </c>
      <c r="T50" s="4">
        <v>501.02</v>
      </c>
      <c r="U50" s="4">
        <v>514.46</v>
      </c>
      <c r="V50" s="4">
        <v>529.59</v>
      </c>
      <c r="W50" s="4">
        <v>542.62</v>
      </c>
      <c r="X50" s="7">
        <v>3.5090677661854253E-2</v>
      </c>
      <c r="Y50" s="8">
        <v>3.4731382265921873E-2</v>
      </c>
      <c r="Z50" s="8">
        <v>2.9213095105079741E-2</v>
      </c>
      <c r="AA50" s="8">
        <v>3.0194917345176538E-2</v>
      </c>
    </row>
    <row r="51" spans="2:27">
      <c r="B51" s="13" t="s">
        <v>325</v>
      </c>
      <c r="C51" s="3" t="s">
        <v>505</v>
      </c>
      <c r="D51" s="3" t="s">
        <v>539</v>
      </c>
      <c r="E51" s="3" t="s">
        <v>507</v>
      </c>
      <c r="F51" s="5">
        <v>3</v>
      </c>
      <c r="G51" s="4">
        <v>239.92</v>
      </c>
      <c r="H51" s="4">
        <v>244.17</v>
      </c>
      <c r="I51" s="4">
        <v>261.37</v>
      </c>
      <c r="J51" s="4">
        <v>260.56</v>
      </c>
      <c r="K51" s="4">
        <v>268.79000000000002</v>
      </c>
      <c r="L51" s="4">
        <v>269.10000000000002</v>
      </c>
      <c r="M51" s="4">
        <v>274.12</v>
      </c>
      <c r="N51" s="4">
        <v>281.11</v>
      </c>
      <c r="O51" s="4">
        <v>323.58</v>
      </c>
      <c r="P51" s="4">
        <v>313.33</v>
      </c>
      <c r="Q51" s="4">
        <v>331.99</v>
      </c>
      <c r="R51" s="4">
        <v>298.39</v>
      </c>
      <c r="S51" s="4">
        <v>286.91000000000003</v>
      </c>
      <c r="T51" s="4">
        <v>288.77</v>
      </c>
      <c r="U51" s="4">
        <v>311.39999999999998</v>
      </c>
      <c r="V51" s="4">
        <v>261.43</v>
      </c>
      <c r="W51" s="4">
        <v>321.20999999999998</v>
      </c>
      <c r="X51" s="7">
        <v>-1.9957419837155269E-2</v>
      </c>
      <c r="Y51" s="8">
        <v>-1.707211913171813E-2</v>
      </c>
      <c r="Z51" s="8">
        <v>-3.1177507655191668E-2</v>
      </c>
      <c r="AA51" s="8">
        <v>2.9864781325369402E-2</v>
      </c>
    </row>
    <row r="52" spans="2:27">
      <c r="B52" s="13" t="s">
        <v>120</v>
      </c>
      <c r="C52" s="3" t="s">
        <v>505</v>
      </c>
      <c r="D52" s="3" t="s">
        <v>521</v>
      </c>
      <c r="E52" s="3" t="s">
        <v>507</v>
      </c>
      <c r="F52" s="5">
        <v>2.9</v>
      </c>
      <c r="G52" s="4">
        <v>169.77</v>
      </c>
      <c r="H52" s="4">
        <v>172.71</v>
      </c>
      <c r="I52" s="4">
        <v>209.86</v>
      </c>
      <c r="J52" s="4">
        <v>229.81</v>
      </c>
      <c r="K52" s="6">
        <v>266.32</v>
      </c>
      <c r="L52" s="4">
        <v>205.42</v>
      </c>
      <c r="M52" s="4">
        <v>268.47000000000003</v>
      </c>
      <c r="N52" s="4">
        <v>259.97000000000003</v>
      </c>
      <c r="O52" s="4">
        <v>267.45</v>
      </c>
      <c r="P52" s="4">
        <v>228.23</v>
      </c>
      <c r="Q52" s="4">
        <v>280.83</v>
      </c>
      <c r="R52" s="4">
        <v>272.7</v>
      </c>
      <c r="S52" s="4">
        <v>320.97000000000003</v>
      </c>
      <c r="T52" s="4">
        <v>254.72</v>
      </c>
      <c r="U52" s="4">
        <v>318.10000000000002</v>
      </c>
      <c r="V52" s="4">
        <v>308.92</v>
      </c>
      <c r="W52" s="4">
        <v>355.42</v>
      </c>
      <c r="X52" s="7">
        <v>2.402219945045481E-2</v>
      </c>
      <c r="Y52" s="8">
        <v>3.3005083154743931E-2</v>
      </c>
      <c r="Z52" s="8">
        <v>3.1050416205882669E-2</v>
      </c>
      <c r="AA52" s="8">
        <v>2.8643646431808278E-2</v>
      </c>
    </row>
    <row r="53" spans="2:27">
      <c r="B53" s="13" t="s">
        <v>158</v>
      </c>
      <c r="C53" s="3" t="s">
        <v>505</v>
      </c>
      <c r="D53" s="3" t="s">
        <v>521</v>
      </c>
      <c r="E53" s="3" t="s">
        <v>507</v>
      </c>
      <c r="F53" s="5">
        <v>2.8</v>
      </c>
      <c r="G53" s="4">
        <v>360.53</v>
      </c>
      <c r="H53" s="4">
        <v>392.25</v>
      </c>
      <c r="I53" s="4">
        <v>461.27</v>
      </c>
      <c r="J53" s="4">
        <v>496.38</v>
      </c>
      <c r="K53" s="4">
        <v>472.66</v>
      </c>
      <c r="L53" s="4">
        <v>510.85</v>
      </c>
      <c r="M53" s="4">
        <v>561.73</v>
      </c>
      <c r="N53" s="4">
        <v>585.17999999999995</v>
      </c>
      <c r="O53" s="4">
        <v>558.83000000000004</v>
      </c>
      <c r="P53" s="4">
        <v>596.72</v>
      </c>
      <c r="Q53" s="4">
        <v>667.76</v>
      </c>
      <c r="R53" s="4">
        <v>693.23</v>
      </c>
      <c r="S53" s="4">
        <v>663.28</v>
      </c>
      <c r="T53" s="4">
        <v>706.04</v>
      </c>
      <c r="U53" s="4">
        <v>761.47</v>
      </c>
      <c r="V53" s="4">
        <v>782.65</v>
      </c>
      <c r="W53" s="4">
        <v>745.1</v>
      </c>
      <c r="X53" s="7">
        <v>4.1709430406067893E-2</v>
      </c>
      <c r="Y53" s="8">
        <v>3.4322109943559553E-2</v>
      </c>
      <c r="Z53" s="8">
        <v>3.1664081699138043E-2</v>
      </c>
      <c r="AA53" s="8">
        <v>2.8083639958262459E-2</v>
      </c>
    </row>
    <row r="54" spans="2:27">
      <c r="B54" s="13" t="s">
        <v>208</v>
      </c>
      <c r="C54" s="3" t="s">
        <v>505</v>
      </c>
      <c r="D54" s="3" t="s">
        <v>540</v>
      </c>
      <c r="E54" s="3" t="s">
        <v>507</v>
      </c>
      <c r="F54" s="5">
        <v>2.8</v>
      </c>
      <c r="G54" s="4">
        <v>114.24</v>
      </c>
      <c r="H54" s="4">
        <v>111.38</v>
      </c>
      <c r="I54" s="4">
        <v>108.07</v>
      </c>
      <c r="J54" s="4">
        <v>113.5</v>
      </c>
      <c r="K54" s="4">
        <v>118.26</v>
      </c>
      <c r="L54" s="4">
        <v>110.88</v>
      </c>
      <c r="M54" s="4">
        <v>112.35</v>
      </c>
      <c r="N54" s="4">
        <v>119.74</v>
      </c>
      <c r="O54" s="4">
        <v>129.69</v>
      </c>
      <c r="P54" s="4">
        <v>125.89</v>
      </c>
      <c r="Q54" s="4">
        <v>131.93</v>
      </c>
      <c r="R54" s="4">
        <v>135.31</v>
      </c>
      <c r="S54" s="4">
        <v>144.22</v>
      </c>
      <c r="T54" s="4">
        <v>137.76</v>
      </c>
      <c r="U54" s="4">
        <v>143.72999999999999</v>
      </c>
      <c r="V54" s="4">
        <v>149.43</v>
      </c>
      <c r="W54" s="4">
        <v>160.30000000000001</v>
      </c>
      <c r="X54" s="7">
        <v>2.2089885549455571E-2</v>
      </c>
      <c r="Y54" s="8">
        <v>2.1485015112341129E-2</v>
      </c>
      <c r="Z54" s="8">
        <v>2.5168443192756129E-2</v>
      </c>
      <c r="AA54" s="8">
        <v>2.7958410126230241E-2</v>
      </c>
    </row>
    <row r="55" spans="2:27">
      <c r="B55" s="13" t="s">
        <v>11</v>
      </c>
      <c r="C55" s="3" t="s">
        <v>505</v>
      </c>
      <c r="D55" s="3" t="s">
        <v>537</v>
      </c>
      <c r="E55" s="3" t="s">
        <v>507</v>
      </c>
      <c r="F55" s="5">
        <v>2.8</v>
      </c>
      <c r="G55" s="4">
        <v>5532</v>
      </c>
      <c r="H55" s="4">
        <v>5591</v>
      </c>
      <c r="I55" s="4">
        <v>5465</v>
      </c>
      <c r="J55" s="4">
        <v>6051</v>
      </c>
      <c r="K55" s="4">
        <v>7333</v>
      </c>
      <c r="L55" s="4">
        <v>7565</v>
      </c>
      <c r="M55" s="4">
        <v>5446</v>
      </c>
      <c r="N55" s="4">
        <v>6111</v>
      </c>
      <c r="O55" s="4">
        <v>5796</v>
      </c>
      <c r="P55" s="4">
        <v>6161</v>
      </c>
      <c r="Q55" s="4">
        <v>5475</v>
      </c>
      <c r="R55" s="4">
        <v>6550</v>
      </c>
      <c r="S55" s="4">
        <v>5382</v>
      </c>
      <c r="T55" s="4">
        <v>6788</v>
      </c>
      <c r="U55" s="4">
        <v>6101</v>
      </c>
      <c r="V55" s="4">
        <v>6570</v>
      </c>
      <c r="W55" s="4">
        <v>6074</v>
      </c>
      <c r="X55" s="7">
        <v>2.660386965376782E-2</v>
      </c>
      <c r="Y55" s="8">
        <v>2.5873114279809869E-2</v>
      </c>
      <c r="Z55" s="8">
        <v>8.0576930824705073E-4</v>
      </c>
      <c r="AA55" s="8">
        <v>2.785717161144885E-2</v>
      </c>
    </row>
    <row r="56" spans="2:27">
      <c r="B56" s="13" t="s">
        <v>11</v>
      </c>
      <c r="C56" s="3" t="s">
        <v>505</v>
      </c>
      <c r="D56" s="3" t="s">
        <v>537</v>
      </c>
      <c r="E56" s="3" t="s">
        <v>507</v>
      </c>
      <c r="F56" s="5">
        <v>2.8</v>
      </c>
      <c r="G56" s="4">
        <v>5532</v>
      </c>
      <c r="H56" s="4">
        <v>5591</v>
      </c>
      <c r="I56" s="4">
        <v>5465</v>
      </c>
      <c r="J56" s="4">
        <v>6051</v>
      </c>
      <c r="K56" s="4">
        <v>7333</v>
      </c>
      <c r="L56" s="4">
        <v>7565</v>
      </c>
      <c r="M56" s="4">
        <v>5446</v>
      </c>
      <c r="N56" s="4">
        <v>6111</v>
      </c>
      <c r="O56" s="4">
        <v>5796</v>
      </c>
      <c r="P56" s="4">
        <v>6161</v>
      </c>
      <c r="Q56" s="4">
        <v>5475</v>
      </c>
      <c r="R56" s="4">
        <v>6550</v>
      </c>
      <c r="S56" s="4">
        <v>5382</v>
      </c>
      <c r="T56" s="4">
        <v>6788</v>
      </c>
      <c r="U56" s="4">
        <v>6101</v>
      </c>
      <c r="V56" s="4">
        <v>6570</v>
      </c>
      <c r="W56" s="4">
        <v>6074</v>
      </c>
      <c r="X56" s="7">
        <v>2.660386965376782E-2</v>
      </c>
      <c r="Y56" s="8">
        <v>2.5873114279809869E-2</v>
      </c>
      <c r="Z56" s="8">
        <v>8.0576930824705073E-4</v>
      </c>
      <c r="AA56" s="8">
        <v>2.785717161144885E-2</v>
      </c>
    </row>
    <row r="57" spans="2:27">
      <c r="B57" s="13" t="s">
        <v>98</v>
      </c>
      <c r="C57" s="3" t="s">
        <v>505</v>
      </c>
      <c r="D57" s="3" t="s">
        <v>513</v>
      </c>
      <c r="E57" s="3" t="s">
        <v>507</v>
      </c>
      <c r="F57" s="5">
        <v>2.7</v>
      </c>
      <c r="G57" s="4">
        <v>1112</v>
      </c>
      <c r="H57" s="4">
        <v>1226</v>
      </c>
      <c r="I57" s="4">
        <v>1175</v>
      </c>
      <c r="J57" s="4">
        <v>1026</v>
      </c>
      <c r="K57" s="4">
        <v>985</v>
      </c>
      <c r="L57" s="4">
        <v>1257</v>
      </c>
      <c r="M57" s="4">
        <v>1057</v>
      </c>
      <c r="N57" s="4">
        <v>1068</v>
      </c>
      <c r="O57" s="4">
        <v>1035</v>
      </c>
      <c r="P57" s="4">
        <v>1205</v>
      </c>
      <c r="Q57" s="4">
        <v>1184</v>
      </c>
      <c r="R57" s="4">
        <v>1030</v>
      </c>
      <c r="S57" s="4">
        <v>1020</v>
      </c>
      <c r="T57" s="4">
        <v>1193</v>
      </c>
      <c r="U57" s="4">
        <v>1241</v>
      </c>
      <c r="V57" s="4">
        <v>1137</v>
      </c>
      <c r="W57" s="4">
        <v>1144</v>
      </c>
      <c r="X57" s="7">
        <v>-2.7033115566569288E-3</v>
      </c>
      <c r="Y57" s="8">
        <v>1.287553648068673E-2</v>
      </c>
      <c r="Z57" s="8">
        <v>2.3862622658340719E-2</v>
      </c>
      <c r="AA57" s="8">
        <v>2.700936615116523E-2</v>
      </c>
    </row>
    <row r="58" spans="2:27">
      <c r="B58" s="13" t="s">
        <v>263</v>
      </c>
      <c r="C58" s="3" t="s">
        <v>505</v>
      </c>
      <c r="D58" s="3" t="s">
        <v>541</v>
      </c>
      <c r="E58" s="3" t="s">
        <v>507</v>
      </c>
      <c r="F58" s="5">
        <v>2.7</v>
      </c>
      <c r="G58" s="4">
        <v>248.29</v>
      </c>
      <c r="H58" s="4">
        <v>260.05</v>
      </c>
      <c r="I58" s="4">
        <v>273.33</v>
      </c>
      <c r="J58" s="4">
        <v>285.37</v>
      </c>
      <c r="K58" s="4">
        <v>313.70999999999998</v>
      </c>
      <c r="L58" s="4">
        <v>317.89999999999998</v>
      </c>
      <c r="M58" s="4">
        <v>346.76</v>
      </c>
      <c r="N58" s="4">
        <v>358.18</v>
      </c>
      <c r="O58" s="4">
        <v>339.23</v>
      </c>
      <c r="P58" s="4">
        <v>355.96</v>
      </c>
      <c r="Q58" s="4">
        <v>371.65</v>
      </c>
      <c r="R58" s="4">
        <v>370.05</v>
      </c>
      <c r="S58" s="4">
        <v>424.14</v>
      </c>
      <c r="T58" s="4">
        <v>395.69</v>
      </c>
      <c r="U58" s="4">
        <v>402.51</v>
      </c>
      <c r="V58" s="4">
        <v>432.36</v>
      </c>
      <c r="W58" s="4">
        <v>468.59</v>
      </c>
      <c r="X58" s="7">
        <v>2.6107241424628839E-2</v>
      </c>
      <c r="Y58" s="8">
        <v>1.9762668664706991E-2</v>
      </c>
      <c r="Z58" s="8">
        <v>3.9129861403299548E-2</v>
      </c>
      <c r="AA58" s="8">
        <v>2.68628754457001E-2</v>
      </c>
    </row>
    <row r="59" spans="2:27">
      <c r="B59" s="13" t="s">
        <v>37</v>
      </c>
      <c r="C59" s="3" t="s">
        <v>505</v>
      </c>
      <c r="D59" s="3" t="s">
        <v>542</v>
      </c>
      <c r="E59" s="3" t="s">
        <v>507</v>
      </c>
      <c r="F59" s="5">
        <v>2.7</v>
      </c>
      <c r="G59" s="4">
        <v>3391</v>
      </c>
      <c r="H59" s="4">
        <v>3078</v>
      </c>
      <c r="I59" s="4">
        <v>3554</v>
      </c>
      <c r="J59" s="4">
        <v>3622</v>
      </c>
      <c r="K59" s="4">
        <v>3803</v>
      </c>
      <c r="L59" s="4">
        <v>3353</v>
      </c>
      <c r="M59" s="4">
        <v>3789</v>
      </c>
      <c r="N59" s="4">
        <v>3805</v>
      </c>
      <c r="O59" s="4">
        <v>3867</v>
      </c>
      <c r="P59" s="4">
        <v>3468</v>
      </c>
      <c r="Q59" s="4">
        <v>3922</v>
      </c>
      <c r="R59" s="4">
        <v>3891</v>
      </c>
      <c r="S59" s="4">
        <v>4070</v>
      </c>
      <c r="T59" s="4">
        <v>3635</v>
      </c>
      <c r="U59" s="4">
        <v>4163</v>
      </c>
      <c r="V59" s="4">
        <v>4306</v>
      </c>
      <c r="W59" s="4">
        <v>4499</v>
      </c>
      <c r="X59" s="7">
        <v>1.087877011269622E-2</v>
      </c>
      <c r="Y59" s="8">
        <v>1.5530351849465159E-2</v>
      </c>
      <c r="Z59" s="8">
        <v>2.6334158258772829E-2</v>
      </c>
      <c r="AA59" s="8">
        <v>2.6524050945962548E-2</v>
      </c>
    </row>
    <row r="60" spans="2:27">
      <c r="B60" s="13" t="s">
        <v>118</v>
      </c>
      <c r="C60" s="3" t="s">
        <v>505</v>
      </c>
      <c r="D60" s="3" t="s">
        <v>506</v>
      </c>
      <c r="E60" s="3" t="s">
        <v>507</v>
      </c>
      <c r="F60" s="5">
        <v>2.6</v>
      </c>
      <c r="G60" s="4">
        <v>896.73</v>
      </c>
      <c r="H60" s="4">
        <v>813.72</v>
      </c>
      <c r="I60" s="4">
        <v>932.88</v>
      </c>
      <c r="J60" s="4">
        <v>940.65</v>
      </c>
      <c r="K60" s="4">
        <v>972.12</v>
      </c>
      <c r="L60" s="4">
        <v>892.81</v>
      </c>
      <c r="M60" s="4">
        <v>957.32</v>
      </c>
      <c r="N60" s="4">
        <v>972.14</v>
      </c>
      <c r="O60" s="4">
        <v>1012</v>
      </c>
      <c r="P60" s="4">
        <v>901.98</v>
      </c>
      <c r="Q60" s="4">
        <v>1024</v>
      </c>
      <c r="R60" s="4">
        <v>1055</v>
      </c>
      <c r="S60" s="4">
        <v>1088</v>
      </c>
      <c r="T60" s="4">
        <v>897.84</v>
      </c>
      <c r="U60" s="4">
        <v>1046</v>
      </c>
      <c r="V60" s="4">
        <v>1126</v>
      </c>
      <c r="W60" s="4">
        <v>1198</v>
      </c>
      <c r="X60" s="7">
        <v>-1.0174540056721031E-3</v>
      </c>
      <c r="Y60" s="8">
        <v>5.4122671495064889E-3</v>
      </c>
      <c r="Z60" s="8">
        <v>1.7372835736167769E-2</v>
      </c>
      <c r="AA60" s="8">
        <v>2.6456044484636228E-2</v>
      </c>
    </row>
    <row r="61" spans="2:27">
      <c r="B61" s="13" t="s">
        <v>26</v>
      </c>
      <c r="C61" s="3" t="s">
        <v>505</v>
      </c>
      <c r="D61" s="3" t="s">
        <v>540</v>
      </c>
      <c r="E61" s="3" t="s">
        <v>507</v>
      </c>
      <c r="F61" s="5">
        <v>2.6</v>
      </c>
      <c r="G61" s="4">
        <v>686.13</v>
      </c>
      <c r="H61" s="4">
        <v>808.3</v>
      </c>
      <c r="I61" s="4">
        <v>803.79</v>
      </c>
      <c r="J61" s="4">
        <v>836.61</v>
      </c>
      <c r="K61" s="4">
        <v>888.54</v>
      </c>
      <c r="L61" s="4">
        <v>944.4</v>
      </c>
      <c r="M61" s="4">
        <v>1020</v>
      </c>
      <c r="N61" s="4">
        <v>1039</v>
      </c>
      <c r="O61" s="4">
        <v>1078</v>
      </c>
      <c r="P61" s="4">
        <v>1259</v>
      </c>
      <c r="Q61" s="4">
        <v>1341</v>
      </c>
      <c r="R61" s="4">
        <v>1336</v>
      </c>
      <c r="S61" s="4">
        <v>1343</v>
      </c>
      <c r="T61" s="4">
        <v>1385</v>
      </c>
      <c r="U61" s="4">
        <v>1414</v>
      </c>
      <c r="V61" s="4">
        <v>1474</v>
      </c>
      <c r="W61" s="4">
        <v>1491</v>
      </c>
      <c r="X61" s="7">
        <v>2.3868156847887789E-2</v>
      </c>
      <c r="Y61" s="8">
        <v>1.3506012950971419E-2</v>
      </c>
      <c r="Z61" s="8">
        <v>2.5191675794085319E-2</v>
      </c>
      <c r="AA61" s="8">
        <v>2.635327635327633E-2</v>
      </c>
    </row>
    <row r="62" spans="2:27">
      <c r="B62" s="13" t="s">
        <v>170</v>
      </c>
      <c r="C62" s="3" t="s">
        <v>505</v>
      </c>
      <c r="D62" s="3" t="s">
        <v>532</v>
      </c>
      <c r="E62" s="3" t="s">
        <v>507</v>
      </c>
      <c r="F62" s="5">
        <v>2.6</v>
      </c>
      <c r="G62" s="4">
        <v>278.49</v>
      </c>
      <c r="H62" s="4">
        <v>275.42</v>
      </c>
      <c r="I62" s="4">
        <v>294.98</v>
      </c>
      <c r="J62" s="4">
        <v>287.18</v>
      </c>
      <c r="K62" s="4">
        <v>293.42</v>
      </c>
      <c r="L62" s="4">
        <v>297.57</v>
      </c>
      <c r="M62" s="4">
        <v>320.06</v>
      </c>
      <c r="N62" s="4">
        <v>315.23</v>
      </c>
      <c r="O62" s="4">
        <v>324.52</v>
      </c>
      <c r="P62" s="4">
        <v>323.51</v>
      </c>
      <c r="Q62" s="4">
        <v>338</v>
      </c>
      <c r="R62" s="4">
        <v>339.85</v>
      </c>
      <c r="S62" s="4">
        <v>355.16</v>
      </c>
      <c r="T62" s="4">
        <v>355.35</v>
      </c>
      <c r="U62" s="4">
        <v>382.46</v>
      </c>
      <c r="V62" s="4">
        <v>384.16</v>
      </c>
      <c r="W62" s="4">
        <v>393.94</v>
      </c>
      <c r="X62" s="7">
        <v>2.347182496387834E-2</v>
      </c>
      <c r="Y62" s="8">
        <v>3.2023394508629011E-2</v>
      </c>
      <c r="Z62" s="8">
        <v>3.0925028963861401E-2</v>
      </c>
      <c r="AA62" s="8">
        <v>2.6253613426035601E-2</v>
      </c>
    </row>
    <row r="63" spans="2:27">
      <c r="B63" s="13" t="s">
        <v>285</v>
      </c>
      <c r="C63" s="3" t="s">
        <v>505</v>
      </c>
      <c r="D63" s="3" t="s">
        <v>514</v>
      </c>
      <c r="E63" s="3" t="s">
        <v>507</v>
      </c>
      <c r="F63" s="5">
        <v>2.6</v>
      </c>
      <c r="G63" s="4">
        <v>239.81</v>
      </c>
      <c r="H63" s="4">
        <v>283.5</v>
      </c>
      <c r="I63" s="4">
        <v>290.05</v>
      </c>
      <c r="J63" s="4">
        <v>268.70999999999998</v>
      </c>
      <c r="K63" s="4">
        <v>259.14999999999998</v>
      </c>
      <c r="L63" s="4">
        <v>279.61</v>
      </c>
      <c r="M63" s="4">
        <v>273.73</v>
      </c>
      <c r="N63" s="4">
        <v>257.60000000000002</v>
      </c>
      <c r="O63" s="4">
        <v>257.77999999999997</v>
      </c>
      <c r="P63" s="4">
        <v>270.58</v>
      </c>
      <c r="Q63" s="4">
        <v>282.45999999999998</v>
      </c>
      <c r="R63" s="4">
        <v>283.14999999999998</v>
      </c>
      <c r="S63" s="4">
        <v>293.73</v>
      </c>
      <c r="T63" s="4">
        <v>296.70999999999998</v>
      </c>
      <c r="U63" s="4">
        <v>308.97000000000003</v>
      </c>
      <c r="V63" s="4">
        <v>295.63</v>
      </c>
      <c r="W63" s="4">
        <v>324.37</v>
      </c>
      <c r="X63" s="7">
        <v>2.3125531011044979E-2</v>
      </c>
      <c r="Y63" s="8">
        <v>2.2931534103196149E-2</v>
      </c>
      <c r="Z63" s="8">
        <v>1.05533757272358E-2</v>
      </c>
      <c r="AA63" s="8">
        <v>2.563930914446377E-2</v>
      </c>
    </row>
    <row r="64" spans="2:27">
      <c r="B64" s="13" t="s">
        <v>242</v>
      </c>
      <c r="C64" s="3" t="s">
        <v>505</v>
      </c>
      <c r="D64" s="3" t="s">
        <v>543</v>
      </c>
      <c r="E64" s="3" t="s">
        <v>507</v>
      </c>
      <c r="F64" s="5">
        <v>2.5</v>
      </c>
      <c r="G64" s="4">
        <v>148.57</v>
      </c>
      <c r="H64" s="4">
        <v>208.94</v>
      </c>
      <c r="I64" s="4">
        <v>152.35</v>
      </c>
      <c r="J64" s="4">
        <v>163.4</v>
      </c>
      <c r="K64" s="4">
        <v>175.13</v>
      </c>
      <c r="L64" s="4">
        <v>217.25</v>
      </c>
      <c r="M64" s="4">
        <v>148</v>
      </c>
      <c r="N64" s="4">
        <v>160.53</v>
      </c>
      <c r="O64" s="4">
        <v>148.15</v>
      </c>
      <c r="P64" s="4">
        <v>191.34</v>
      </c>
      <c r="Q64" s="4">
        <v>145.71</v>
      </c>
      <c r="R64" s="4">
        <v>168.48</v>
      </c>
      <c r="S64" s="4">
        <v>171.42</v>
      </c>
      <c r="T64" s="4">
        <v>218.97</v>
      </c>
      <c r="U64" s="4">
        <v>159.44999999999999</v>
      </c>
      <c r="V64" s="4">
        <v>175.68</v>
      </c>
      <c r="W64" s="4">
        <v>189.55</v>
      </c>
      <c r="X64" s="7">
        <v>4.0815422113893003E-2</v>
      </c>
      <c r="Y64" s="8">
        <v>1.9500979306821039E-2</v>
      </c>
      <c r="Z64" s="8">
        <v>1.0023387905111919E-2</v>
      </c>
      <c r="AA64" s="8">
        <v>2.4988973425956521E-2</v>
      </c>
    </row>
    <row r="65" spans="2:27">
      <c r="B65" s="13" t="s">
        <v>104</v>
      </c>
      <c r="C65" s="3" t="s">
        <v>505</v>
      </c>
      <c r="D65" s="3" t="s">
        <v>518</v>
      </c>
      <c r="E65" s="3" t="s">
        <v>507</v>
      </c>
      <c r="F65" s="5">
        <v>2.2000000000000002</v>
      </c>
      <c r="G65" s="4">
        <v>820</v>
      </c>
      <c r="H65" s="4">
        <v>612</v>
      </c>
      <c r="I65" s="4">
        <v>627</v>
      </c>
      <c r="J65" s="4">
        <v>634</v>
      </c>
      <c r="K65" s="4">
        <v>820</v>
      </c>
      <c r="L65" s="4">
        <v>569</v>
      </c>
      <c r="M65" s="4">
        <v>628</v>
      </c>
      <c r="N65" s="4">
        <v>703</v>
      </c>
      <c r="O65" s="4">
        <v>926</v>
      </c>
      <c r="P65" s="4">
        <v>688</v>
      </c>
      <c r="Q65" s="4">
        <v>753</v>
      </c>
      <c r="R65" s="4">
        <v>812</v>
      </c>
      <c r="S65" s="4">
        <v>981</v>
      </c>
      <c r="T65" s="4">
        <v>799</v>
      </c>
      <c r="U65" s="4">
        <v>829</v>
      </c>
      <c r="V65" s="4">
        <v>960</v>
      </c>
      <c r="W65" s="4">
        <v>1060</v>
      </c>
      <c r="X65" s="7">
        <v>3.4322820037105739E-2</v>
      </c>
      <c r="Y65" s="8">
        <v>2.2720478325859439E-2</v>
      </c>
      <c r="Z65" s="8">
        <v>4.3262204033908118E-2</v>
      </c>
      <c r="AA65" s="8">
        <v>2.2135051835247891E-2</v>
      </c>
    </row>
    <row r="66" spans="2:27">
      <c r="B66" s="13" t="s">
        <v>377</v>
      </c>
      <c r="C66" s="3" t="s">
        <v>505</v>
      </c>
      <c r="D66" s="3" t="s">
        <v>544</v>
      </c>
      <c r="E66" s="3" t="s">
        <v>507</v>
      </c>
      <c r="F66" s="5">
        <v>2.2000000000000002</v>
      </c>
      <c r="G66" s="4">
        <v>36585</v>
      </c>
      <c r="H66" s="4">
        <v>38095</v>
      </c>
      <c r="I66" s="4">
        <v>38632</v>
      </c>
      <c r="J66" s="4">
        <v>39939</v>
      </c>
      <c r="K66" s="4">
        <v>39933</v>
      </c>
      <c r="L66" s="4">
        <v>42172</v>
      </c>
      <c r="M66" s="4">
        <v>43672</v>
      </c>
      <c r="N66" s="4">
        <v>42849</v>
      </c>
      <c r="O66" s="4">
        <v>42647</v>
      </c>
      <c r="P66" s="4">
        <v>42577</v>
      </c>
      <c r="Q66" s="4">
        <v>43646</v>
      </c>
      <c r="R66" s="4">
        <v>45145</v>
      </c>
      <c r="S66" s="4">
        <v>45442</v>
      </c>
      <c r="T66" s="4">
        <v>48891</v>
      </c>
      <c r="U66" s="4">
        <v>49776</v>
      </c>
      <c r="V66" s="4">
        <v>50711</v>
      </c>
      <c r="W66" s="4">
        <v>49748</v>
      </c>
      <c r="X66" s="7">
        <v>3.5710649850121623E-2</v>
      </c>
      <c r="Y66" s="8">
        <v>3.3474585526746869E-2</v>
      </c>
      <c r="Z66" s="8">
        <v>2.941021061642024E-2</v>
      </c>
      <c r="AA66" s="8">
        <v>2.2102453546863691E-2</v>
      </c>
    </row>
    <row r="67" spans="2:27">
      <c r="B67" s="13" t="s">
        <v>200</v>
      </c>
      <c r="C67" s="3" t="s">
        <v>505</v>
      </c>
      <c r="D67" s="3" t="s">
        <v>545</v>
      </c>
      <c r="E67" s="3" t="s">
        <v>507</v>
      </c>
      <c r="F67" s="5">
        <v>2.2000000000000002</v>
      </c>
      <c r="G67" s="4">
        <v>927.19</v>
      </c>
      <c r="H67" s="4">
        <v>915.78</v>
      </c>
      <c r="I67" s="4">
        <v>980.82</v>
      </c>
      <c r="J67" s="4">
        <v>1021</v>
      </c>
      <c r="K67" s="4">
        <v>1027</v>
      </c>
      <c r="L67" s="4">
        <v>1016</v>
      </c>
      <c r="M67" s="4">
        <v>1069</v>
      </c>
      <c r="N67" s="4">
        <v>1093</v>
      </c>
      <c r="O67" s="4">
        <v>1124</v>
      </c>
      <c r="P67" s="4">
        <v>1146</v>
      </c>
      <c r="Q67" s="4">
        <v>1227</v>
      </c>
      <c r="R67" s="4">
        <v>1279</v>
      </c>
      <c r="S67" s="4">
        <v>1346</v>
      </c>
      <c r="T67" s="4">
        <v>1333</v>
      </c>
      <c r="U67" s="4">
        <v>1416</v>
      </c>
      <c r="V67" s="4">
        <v>1435</v>
      </c>
      <c r="W67" s="4">
        <v>1465</v>
      </c>
      <c r="X67" s="7">
        <v>3.7414965986394488E-2</v>
      </c>
      <c r="Y67" s="8">
        <v>3.6451301832208349E-2</v>
      </c>
      <c r="Z67" s="8">
        <v>2.9028656494231479E-2</v>
      </c>
      <c r="AA67" s="8">
        <v>2.1518987341772041E-2</v>
      </c>
    </row>
    <row r="68" spans="2:27">
      <c r="B68" s="13" t="s">
        <v>358</v>
      </c>
      <c r="C68" s="3" t="s">
        <v>505</v>
      </c>
      <c r="D68" s="3" t="s">
        <v>512</v>
      </c>
      <c r="E68" s="3" t="s">
        <v>507</v>
      </c>
      <c r="F68" s="5">
        <v>2.1</v>
      </c>
      <c r="G68" s="4">
        <v>43.61</v>
      </c>
      <c r="H68" s="4">
        <v>44.28</v>
      </c>
      <c r="I68" s="4">
        <v>44.92</v>
      </c>
      <c r="J68" s="4">
        <v>46.88</v>
      </c>
      <c r="K68" s="4">
        <v>43.91</v>
      </c>
      <c r="L68" s="4">
        <v>49.64</v>
      </c>
      <c r="M68" s="4">
        <v>44.97</v>
      </c>
      <c r="N68" s="4">
        <v>48.54</v>
      </c>
      <c r="O68" s="4">
        <v>45.91</v>
      </c>
      <c r="P68" s="4">
        <v>50.64</v>
      </c>
      <c r="Q68" s="4">
        <v>43.55</v>
      </c>
      <c r="R68" s="4">
        <v>46.12</v>
      </c>
      <c r="S68" s="4">
        <v>46.55</v>
      </c>
      <c r="T68" s="4">
        <v>48.26</v>
      </c>
      <c r="U68" s="4">
        <v>48.73</v>
      </c>
      <c r="V68" s="4">
        <v>49.85</v>
      </c>
      <c r="W68" s="4">
        <v>50.7</v>
      </c>
      <c r="X68" s="7">
        <v>-1.2736808305683359E-2</v>
      </c>
      <c r="Y68" s="8">
        <v>2.807892454466621E-2</v>
      </c>
      <c r="Z68" s="8">
        <v>1.9666772118527739E-2</v>
      </c>
      <c r="AA68" s="8">
        <v>2.1459227467811148E-2</v>
      </c>
    </row>
    <row r="69" spans="2:27">
      <c r="B69" s="13" t="s">
        <v>40</v>
      </c>
      <c r="C69" s="3" t="s">
        <v>505</v>
      </c>
      <c r="D69" s="3" t="s">
        <v>532</v>
      </c>
      <c r="E69" s="3" t="s">
        <v>507</v>
      </c>
      <c r="F69" s="5">
        <v>2.1</v>
      </c>
      <c r="G69" s="4">
        <v>2149</v>
      </c>
      <c r="H69" s="4">
        <v>2189</v>
      </c>
      <c r="I69" s="4">
        <v>2217</v>
      </c>
      <c r="J69" s="4">
        <v>2140</v>
      </c>
      <c r="K69" s="4">
        <v>2171</v>
      </c>
      <c r="L69" s="4">
        <v>2352</v>
      </c>
      <c r="M69" s="4">
        <v>2422</v>
      </c>
      <c r="N69" s="4">
        <v>2329</v>
      </c>
      <c r="O69" s="4">
        <v>2352</v>
      </c>
      <c r="P69" s="4">
        <v>2459</v>
      </c>
      <c r="Q69" s="4">
        <v>2496</v>
      </c>
      <c r="R69" s="4">
        <v>2454</v>
      </c>
      <c r="S69" s="4">
        <v>2502</v>
      </c>
      <c r="T69" s="4">
        <v>2473</v>
      </c>
      <c r="U69" s="4">
        <v>2596</v>
      </c>
      <c r="V69" s="4">
        <v>2614</v>
      </c>
      <c r="W69" s="4">
        <v>2718</v>
      </c>
      <c r="X69" s="7">
        <v>1.412571889819469E-3</v>
      </c>
      <c r="Y69" s="8">
        <v>1.007556675062982E-2</v>
      </c>
      <c r="Z69" s="8">
        <v>1.596009975062351E-2</v>
      </c>
      <c r="AA69" s="8">
        <v>2.1207658321060311E-2</v>
      </c>
    </row>
    <row r="70" spans="2:27">
      <c r="B70" s="13" t="s">
        <v>313</v>
      </c>
      <c r="C70" s="3" t="s">
        <v>505</v>
      </c>
      <c r="D70" s="3" t="s">
        <v>526</v>
      </c>
      <c r="E70" s="3" t="s">
        <v>507</v>
      </c>
      <c r="F70" s="5">
        <v>2</v>
      </c>
      <c r="G70" s="4">
        <v>1077</v>
      </c>
      <c r="H70" s="4">
        <v>1011</v>
      </c>
      <c r="I70" s="4">
        <v>1415</v>
      </c>
      <c r="J70" s="4">
        <v>1239</v>
      </c>
      <c r="K70" s="4">
        <v>933.4</v>
      </c>
      <c r="L70" s="4">
        <v>848.45</v>
      </c>
      <c r="M70" s="4">
        <v>1231</v>
      </c>
      <c r="N70" s="4">
        <v>1213</v>
      </c>
      <c r="O70" s="4">
        <v>0</v>
      </c>
      <c r="P70" s="4">
        <v>943.05</v>
      </c>
      <c r="Q70" s="4">
        <v>1295</v>
      </c>
      <c r="R70" s="4">
        <v>1231</v>
      </c>
      <c r="S70" s="6">
        <v>1098</v>
      </c>
      <c r="T70" s="4">
        <v>954.91</v>
      </c>
      <c r="U70" s="4">
        <v>1309</v>
      </c>
      <c r="V70" s="4">
        <v>1317</v>
      </c>
      <c r="W70" s="4">
        <v>1192</v>
      </c>
      <c r="X70" s="7">
        <v>2.596862307178593E-3</v>
      </c>
      <c r="Y70" s="8">
        <v>3.0574962163485431E-3</v>
      </c>
      <c r="Z70" s="8">
        <v>1.87245123462032E-2</v>
      </c>
      <c r="AA70" s="8">
        <v>2.00901492014165E-2</v>
      </c>
    </row>
    <row r="71" spans="2:27">
      <c r="B71" s="13" t="s">
        <v>128</v>
      </c>
      <c r="C71" s="3" t="s">
        <v>505</v>
      </c>
      <c r="D71" s="3" t="s">
        <v>546</v>
      </c>
      <c r="E71" s="3" t="s">
        <v>507</v>
      </c>
      <c r="F71" s="5">
        <v>1.9</v>
      </c>
      <c r="G71" s="4">
        <v>3331</v>
      </c>
      <c r="H71" s="4">
        <v>3179</v>
      </c>
      <c r="I71" s="4">
        <v>3030</v>
      </c>
      <c r="J71" s="4">
        <v>3067</v>
      </c>
      <c r="K71" s="4">
        <v>3371</v>
      </c>
      <c r="L71" s="4">
        <v>3060</v>
      </c>
      <c r="M71" s="4">
        <v>3100</v>
      </c>
      <c r="N71" s="4">
        <v>3162</v>
      </c>
      <c r="O71" s="4">
        <v>3017</v>
      </c>
      <c r="P71" s="4">
        <v>3172</v>
      </c>
      <c r="Q71" s="4">
        <v>3136</v>
      </c>
      <c r="R71" s="4">
        <v>3174</v>
      </c>
      <c r="S71" s="4">
        <v>3191</v>
      </c>
      <c r="T71" s="4">
        <v>3168</v>
      </c>
      <c r="U71" s="4">
        <v>3240</v>
      </c>
      <c r="V71" s="4">
        <v>3339</v>
      </c>
      <c r="W71" s="4">
        <v>3437</v>
      </c>
      <c r="X71" s="7">
        <v>-3.1563165785530872E-4</v>
      </c>
      <c r="Y71" s="8">
        <v>8.2090141289763441E-3</v>
      </c>
      <c r="Z71" s="8">
        <v>1.2917873639708871E-2</v>
      </c>
      <c r="AA71" s="8">
        <v>1.9013757922399229E-2</v>
      </c>
    </row>
    <row r="72" spans="2:27">
      <c r="B72" s="13" t="s">
        <v>20</v>
      </c>
      <c r="C72" s="3" t="s">
        <v>505</v>
      </c>
      <c r="D72" s="3" t="s">
        <v>547</v>
      </c>
      <c r="E72" s="3" t="s">
        <v>507</v>
      </c>
      <c r="F72" s="5">
        <v>1.8</v>
      </c>
      <c r="G72" s="4">
        <v>2445</v>
      </c>
      <c r="H72" s="4">
        <v>2660</v>
      </c>
      <c r="I72" s="4">
        <v>2674</v>
      </c>
      <c r="J72" s="4">
        <v>2672</v>
      </c>
      <c r="K72" s="4">
        <v>2705</v>
      </c>
      <c r="L72" s="4">
        <v>2767</v>
      </c>
      <c r="M72" s="4">
        <v>0</v>
      </c>
      <c r="N72" s="4">
        <v>2521</v>
      </c>
      <c r="O72" s="4">
        <v>0</v>
      </c>
      <c r="P72" s="4">
        <v>2513</v>
      </c>
      <c r="Q72" s="6">
        <v>2545</v>
      </c>
      <c r="R72" s="4">
        <v>2522</v>
      </c>
      <c r="S72" s="6">
        <v>2548</v>
      </c>
      <c r="T72" s="4">
        <v>2563</v>
      </c>
      <c r="U72" s="4">
        <v>2627</v>
      </c>
      <c r="V72" s="4">
        <v>2717</v>
      </c>
      <c r="W72" s="4">
        <v>2738</v>
      </c>
      <c r="X72" s="7">
        <v>4.936808846761398E-3</v>
      </c>
      <c r="Y72" s="8">
        <v>8.0565926508153751E-3</v>
      </c>
      <c r="Z72" s="8">
        <v>1.900584795321647E-2</v>
      </c>
      <c r="AA72" s="8">
        <v>1.8173122907699572E-2</v>
      </c>
    </row>
    <row r="73" spans="2:27">
      <c r="B73" s="13" t="s">
        <v>62</v>
      </c>
      <c r="C73" s="3" t="s">
        <v>505</v>
      </c>
      <c r="D73" s="3" t="s">
        <v>548</v>
      </c>
      <c r="E73" s="3" t="s">
        <v>529</v>
      </c>
      <c r="F73" s="5">
        <v>1.7</v>
      </c>
      <c r="G73" s="4">
        <v>17028</v>
      </c>
      <c r="H73" s="4">
        <v>16460</v>
      </c>
      <c r="I73" s="4">
        <v>14648</v>
      </c>
      <c r="J73" s="4">
        <v>14774</v>
      </c>
      <c r="K73" s="4">
        <v>13798</v>
      </c>
      <c r="L73" s="4">
        <v>12907</v>
      </c>
      <c r="M73" s="4">
        <v>13196</v>
      </c>
      <c r="N73" s="4">
        <v>13817</v>
      </c>
      <c r="O73" s="4">
        <v>13185</v>
      </c>
      <c r="P73" s="4">
        <v>12800</v>
      </c>
      <c r="Q73" s="4">
        <v>13519</v>
      </c>
      <c r="R73" s="4">
        <v>14055</v>
      </c>
      <c r="S73" s="4">
        <v>13504</v>
      </c>
      <c r="T73" s="4">
        <v>13220</v>
      </c>
      <c r="U73" s="4">
        <v>13932</v>
      </c>
      <c r="V73" s="4">
        <v>14639</v>
      </c>
      <c r="W73" s="4">
        <v>14438</v>
      </c>
      <c r="X73" s="7">
        <v>7.7953895838747123E-3</v>
      </c>
      <c r="Y73" s="8">
        <v>7.6061733397179143E-3</v>
      </c>
      <c r="Z73" s="8">
        <v>1.067427025643841E-2</v>
      </c>
      <c r="AA73" s="8">
        <v>1.6891219820960309E-2</v>
      </c>
    </row>
    <row r="74" spans="2:27">
      <c r="B74" s="13" t="s">
        <v>253</v>
      </c>
      <c r="C74" s="3" t="s">
        <v>505</v>
      </c>
      <c r="D74" s="3" t="s">
        <v>549</v>
      </c>
      <c r="E74" s="3" t="s">
        <v>507</v>
      </c>
      <c r="F74" s="5">
        <v>1.7</v>
      </c>
      <c r="G74" s="4">
        <v>210.72</v>
      </c>
      <c r="H74" s="4">
        <v>250.68</v>
      </c>
      <c r="I74" s="4">
        <v>244.73</v>
      </c>
      <c r="J74" s="4">
        <v>280.45999999999998</v>
      </c>
      <c r="K74" s="6">
        <v>310.79000000000002</v>
      </c>
      <c r="L74" s="4">
        <v>311.72000000000003</v>
      </c>
      <c r="M74" s="4">
        <v>309.24</v>
      </c>
      <c r="N74" s="4">
        <v>367.97</v>
      </c>
      <c r="O74" s="4">
        <v>328.74</v>
      </c>
      <c r="P74" s="4">
        <v>323.95999999999998</v>
      </c>
      <c r="Q74" s="4">
        <v>342.23</v>
      </c>
      <c r="R74" s="4">
        <v>424.63</v>
      </c>
      <c r="S74" s="4">
        <v>361.5</v>
      </c>
      <c r="T74" s="4">
        <v>338.82</v>
      </c>
      <c r="U74" s="4">
        <v>333.94</v>
      </c>
      <c r="V74" s="4">
        <v>429.58</v>
      </c>
      <c r="W74" s="4">
        <v>386.18</v>
      </c>
      <c r="X74" s="7">
        <v>1.0231904814365979E-2</v>
      </c>
      <c r="Y74" s="8">
        <v>-5.6502951239794097E-3</v>
      </c>
      <c r="Z74" s="8">
        <v>3.3929905613172551E-3</v>
      </c>
      <c r="AA74" s="8">
        <v>1.685976609465523E-2</v>
      </c>
    </row>
    <row r="75" spans="2:27">
      <c r="B75" s="13" t="s">
        <v>64</v>
      </c>
      <c r="C75" s="3" t="s">
        <v>505</v>
      </c>
      <c r="D75" s="3" t="s">
        <v>524</v>
      </c>
      <c r="E75" s="3" t="s">
        <v>507</v>
      </c>
      <c r="F75" s="5">
        <v>1.7</v>
      </c>
      <c r="G75" s="4">
        <v>1019</v>
      </c>
      <c r="H75" s="4">
        <v>1003</v>
      </c>
      <c r="I75" s="4">
        <v>1016</v>
      </c>
      <c r="J75" s="4">
        <v>1033</v>
      </c>
      <c r="K75" s="4">
        <v>1040</v>
      </c>
      <c r="L75" s="4">
        <v>1036</v>
      </c>
      <c r="M75" s="4">
        <v>1048</v>
      </c>
      <c r="N75" s="4">
        <v>1070</v>
      </c>
      <c r="O75" s="4">
        <v>1100</v>
      </c>
      <c r="P75" s="4">
        <v>1109</v>
      </c>
      <c r="Q75" s="4">
        <v>1125</v>
      </c>
      <c r="R75" s="4">
        <v>1148</v>
      </c>
      <c r="S75" s="4">
        <v>1193</v>
      </c>
      <c r="T75" s="4">
        <v>1194</v>
      </c>
      <c r="U75" s="4">
        <v>1218</v>
      </c>
      <c r="V75" s="4">
        <v>1265</v>
      </c>
      <c r="W75" s="4">
        <v>1274</v>
      </c>
      <c r="X75" s="7">
        <v>1.8579234972677661E-2</v>
      </c>
      <c r="Y75" s="8">
        <v>1.9957081545064481E-2</v>
      </c>
      <c r="Z75" s="8">
        <v>2.461603197980233E-2</v>
      </c>
      <c r="AA75" s="8">
        <v>1.6632443531827471E-2</v>
      </c>
    </row>
    <row r="76" spans="2:27">
      <c r="B76" s="13" t="s">
        <v>92</v>
      </c>
      <c r="C76" s="3" t="s">
        <v>505</v>
      </c>
      <c r="D76" s="3" t="s">
        <v>550</v>
      </c>
      <c r="E76" s="3" t="s">
        <v>507</v>
      </c>
      <c r="F76" s="5">
        <v>1.3</v>
      </c>
      <c r="G76" s="4">
        <v>3841</v>
      </c>
      <c r="H76" s="4">
        <v>3922</v>
      </c>
      <c r="I76" s="4">
        <v>5373</v>
      </c>
      <c r="J76" s="4">
        <v>5349</v>
      </c>
      <c r="K76" s="4">
        <v>4481</v>
      </c>
      <c r="L76" s="4">
        <v>3604</v>
      </c>
      <c r="M76" s="4">
        <v>3394</v>
      </c>
      <c r="N76" s="4">
        <v>3548</v>
      </c>
      <c r="O76" s="4">
        <v>3150</v>
      </c>
      <c r="P76" s="4">
        <v>2679</v>
      </c>
      <c r="Q76" s="4">
        <v>2817</v>
      </c>
      <c r="R76" s="4">
        <v>2811</v>
      </c>
      <c r="S76" s="4">
        <v>2816</v>
      </c>
      <c r="T76" s="4">
        <v>2621</v>
      </c>
      <c r="U76" s="4">
        <v>3006</v>
      </c>
      <c r="V76" s="4">
        <v>3452</v>
      </c>
      <c r="W76" s="4">
        <v>2974</v>
      </c>
      <c r="X76" s="7">
        <v>-5.2144205699901081E-3</v>
      </c>
      <c r="Y76" s="8">
        <v>1.7080885675553551E-2</v>
      </c>
      <c r="Z76" s="8">
        <v>5.6957526212902072E-2</v>
      </c>
      <c r="AA76" s="8">
        <v>1.328289197141652E-2</v>
      </c>
    </row>
    <row r="77" spans="2:27">
      <c r="B77" s="13" t="s">
        <v>116</v>
      </c>
      <c r="C77" s="3" t="s">
        <v>505</v>
      </c>
      <c r="D77" s="3" t="s">
        <v>530</v>
      </c>
      <c r="E77" s="3" t="s">
        <v>507</v>
      </c>
      <c r="F77" s="5">
        <v>1.3</v>
      </c>
      <c r="G77" s="4">
        <v>282.5</v>
      </c>
      <c r="H77" s="4">
        <v>282.60000000000002</v>
      </c>
      <c r="I77" s="4">
        <v>321</v>
      </c>
      <c r="J77" s="4">
        <v>325</v>
      </c>
      <c r="K77" s="4">
        <v>304.5</v>
      </c>
      <c r="L77" s="4">
        <v>310.2</v>
      </c>
      <c r="M77" s="4">
        <v>325.39999999999998</v>
      </c>
      <c r="N77" s="4">
        <v>347.3</v>
      </c>
      <c r="O77" s="4">
        <v>312.3</v>
      </c>
      <c r="P77" s="4">
        <v>326.3</v>
      </c>
      <c r="Q77" s="4">
        <v>365.1</v>
      </c>
      <c r="R77" s="4">
        <v>386.6</v>
      </c>
      <c r="S77" s="4">
        <v>367.7</v>
      </c>
      <c r="T77" s="4">
        <v>382.7</v>
      </c>
      <c r="U77" s="4">
        <v>424.6</v>
      </c>
      <c r="V77" s="4">
        <v>425.2</v>
      </c>
      <c r="W77" s="4">
        <v>388.3</v>
      </c>
      <c r="X77" s="7">
        <v>3.9012243203984109E-2</v>
      </c>
      <c r="Y77" s="8">
        <v>3.9611210971306932E-2</v>
      </c>
      <c r="Z77" s="8">
        <v>2.4718237704918211E-2</v>
      </c>
      <c r="AA77" s="8">
        <v>1.2873390826146689E-2</v>
      </c>
    </row>
    <row r="78" spans="2:27">
      <c r="B78" s="13" t="s">
        <v>184</v>
      </c>
      <c r="C78" s="3" t="s">
        <v>505</v>
      </c>
      <c r="D78" s="3" t="s">
        <v>527</v>
      </c>
      <c r="E78" s="3" t="s">
        <v>507</v>
      </c>
      <c r="F78" s="5">
        <v>1.2</v>
      </c>
      <c r="G78" s="4">
        <v>241.25</v>
      </c>
      <c r="H78" s="4">
        <v>236.75</v>
      </c>
      <c r="I78" s="4">
        <v>266.64</v>
      </c>
      <c r="J78" s="4">
        <v>248.7</v>
      </c>
      <c r="K78" s="4">
        <v>251.59</v>
      </c>
      <c r="L78" s="4">
        <v>220.59</v>
      </c>
      <c r="M78" s="4">
        <v>255.28</v>
      </c>
      <c r="N78" s="4">
        <v>263.18</v>
      </c>
      <c r="O78" s="4">
        <v>310.24</v>
      </c>
      <c r="P78" s="4">
        <v>248.18</v>
      </c>
      <c r="Q78" s="4">
        <v>276.58999999999997</v>
      </c>
      <c r="R78" s="4">
        <v>285.47000000000003</v>
      </c>
      <c r="S78" s="4">
        <v>290.2</v>
      </c>
      <c r="T78" s="4">
        <v>254.52</v>
      </c>
      <c r="U78" s="4">
        <v>294.33999999999997</v>
      </c>
      <c r="V78" s="4">
        <v>311.31</v>
      </c>
      <c r="W78" s="4">
        <v>303.44</v>
      </c>
      <c r="X78" s="7">
        <v>5.7613318309039929E-3</v>
      </c>
      <c r="Y78" s="8">
        <v>1.6037514230470281E-2</v>
      </c>
      <c r="Z78" s="8">
        <v>2.2978488790872609E-2</v>
      </c>
      <c r="AA78" s="8">
        <v>1.150934047306529E-2</v>
      </c>
    </row>
    <row r="79" spans="2:27">
      <c r="B79" s="13" t="s">
        <v>297</v>
      </c>
      <c r="C79" s="3" t="s">
        <v>505</v>
      </c>
      <c r="D79" s="3" t="s">
        <v>551</v>
      </c>
      <c r="E79" s="3" t="s">
        <v>507</v>
      </c>
      <c r="F79" s="5">
        <v>1</v>
      </c>
      <c r="G79" s="4">
        <v>339.65</v>
      </c>
      <c r="H79" s="4">
        <v>288</v>
      </c>
      <c r="I79" s="4">
        <v>346.61</v>
      </c>
      <c r="J79" s="4">
        <v>327.76</v>
      </c>
      <c r="K79" s="4">
        <v>335.56</v>
      </c>
      <c r="L79" s="4">
        <v>295.79000000000002</v>
      </c>
      <c r="M79" s="4">
        <v>329.58</v>
      </c>
      <c r="N79" s="4">
        <v>311.01</v>
      </c>
      <c r="O79" s="4">
        <v>325.12</v>
      </c>
      <c r="P79" s="4">
        <v>289.74</v>
      </c>
      <c r="Q79" s="4">
        <v>346.64</v>
      </c>
      <c r="R79" s="4">
        <v>344.27</v>
      </c>
      <c r="S79" s="4">
        <v>335.01</v>
      </c>
      <c r="T79" s="4">
        <v>297.41000000000003</v>
      </c>
      <c r="U79" s="4">
        <v>375.52</v>
      </c>
      <c r="V79" s="4">
        <v>364.53</v>
      </c>
      <c r="W79" s="4">
        <v>349.39</v>
      </c>
      <c r="X79" s="7">
        <v>5.8297736497272554E-3</v>
      </c>
      <c r="Y79" s="8">
        <v>2.1823732553482689E-2</v>
      </c>
      <c r="Z79" s="8">
        <v>1.498287987812552E-2</v>
      </c>
      <c r="AA79" s="8">
        <v>1.0477460345216899E-2</v>
      </c>
    </row>
    <row r="80" spans="2:27">
      <c r="B80" s="13" t="s">
        <v>130</v>
      </c>
      <c r="C80" s="3" t="s">
        <v>505</v>
      </c>
      <c r="D80" s="3" t="s">
        <v>506</v>
      </c>
      <c r="E80" s="3" t="s">
        <v>507</v>
      </c>
      <c r="F80" s="5">
        <v>1</v>
      </c>
      <c r="G80" s="4">
        <v>55.6</v>
      </c>
      <c r="H80" s="4">
        <v>1.1499999999999999</v>
      </c>
      <c r="I80" s="4">
        <v>88.97</v>
      </c>
      <c r="J80" s="4">
        <v>2.52</v>
      </c>
      <c r="K80" s="4">
        <v>1.96</v>
      </c>
      <c r="L80" s="4">
        <v>4.6100000000000003</v>
      </c>
      <c r="M80" s="4">
        <v>0.87</v>
      </c>
      <c r="N80" s="4">
        <v>0.38</v>
      </c>
      <c r="O80" s="4">
        <v>1.67</v>
      </c>
      <c r="P80" s="4">
        <v>0.84</v>
      </c>
      <c r="Q80" s="4">
        <v>0.25</v>
      </c>
      <c r="R80" s="4">
        <v>0.46</v>
      </c>
      <c r="S80" s="6">
        <v>16.93</v>
      </c>
      <c r="T80" s="4">
        <v>1.58</v>
      </c>
      <c r="U80" s="6">
        <v>66.77</v>
      </c>
      <c r="V80" s="4">
        <v>1.94</v>
      </c>
      <c r="W80" s="4">
        <v>17.760000000000002</v>
      </c>
      <c r="X80" s="7">
        <v>4.0043290043289881E-2</v>
      </c>
      <c r="Y80" s="9">
        <v>3.4609781477627468</v>
      </c>
      <c r="Z80" s="8">
        <v>1.7261488220200679E-2</v>
      </c>
      <c r="AA80" s="8">
        <v>9.5161660169684748E-3</v>
      </c>
    </row>
    <row r="81" spans="2:27">
      <c r="B81" s="13" t="s">
        <v>228</v>
      </c>
      <c r="C81" s="3" t="s">
        <v>505</v>
      </c>
      <c r="D81" s="3" t="s">
        <v>552</v>
      </c>
      <c r="E81" s="3" t="s">
        <v>507</v>
      </c>
      <c r="F81" s="5">
        <v>0.6</v>
      </c>
      <c r="G81" s="4">
        <v>1049</v>
      </c>
      <c r="H81" s="4">
        <v>1051</v>
      </c>
      <c r="I81" s="4">
        <v>1021</v>
      </c>
      <c r="J81" s="4">
        <v>1060</v>
      </c>
      <c r="K81" s="4">
        <v>1091</v>
      </c>
      <c r="L81" s="4">
        <v>1061</v>
      </c>
      <c r="M81" s="4">
        <v>0</v>
      </c>
      <c r="N81" s="4">
        <v>601</v>
      </c>
      <c r="O81" s="4">
        <v>679</v>
      </c>
      <c r="P81" s="4">
        <v>661</v>
      </c>
      <c r="Q81" s="6">
        <v>613</v>
      </c>
      <c r="R81" s="4">
        <v>587</v>
      </c>
      <c r="S81" s="4">
        <v>652</v>
      </c>
      <c r="T81" s="4">
        <v>583</v>
      </c>
      <c r="U81" s="4">
        <v>630</v>
      </c>
      <c r="V81" s="4">
        <v>629</v>
      </c>
      <c r="W81" s="4">
        <v>668</v>
      </c>
      <c r="X81" s="7">
        <v>-3.1038599283724651E-2</v>
      </c>
      <c r="Y81" s="8">
        <v>6.9815195071869507E-3</v>
      </c>
      <c r="Z81" s="8">
        <v>1.71288743882545E-2</v>
      </c>
      <c r="AA81" s="8">
        <v>6.4153969526865584E-3</v>
      </c>
    </row>
    <row r="82" spans="2:27">
      <c r="B82" s="13" t="s">
        <v>66</v>
      </c>
      <c r="C82" s="3" t="s">
        <v>505</v>
      </c>
      <c r="D82" s="3" t="s">
        <v>542</v>
      </c>
      <c r="E82" s="3" t="s">
        <v>507</v>
      </c>
      <c r="F82" s="5">
        <v>0.6</v>
      </c>
      <c r="G82" s="4">
        <v>53713</v>
      </c>
      <c r="H82" s="4">
        <v>51324</v>
      </c>
      <c r="I82" s="4">
        <v>57624</v>
      </c>
      <c r="J82" s="4">
        <v>57093</v>
      </c>
      <c r="K82" s="4">
        <v>60698</v>
      </c>
      <c r="L82" s="4">
        <v>57213</v>
      </c>
      <c r="M82" s="4">
        <v>61311</v>
      </c>
      <c r="N82" s="4">
        <v>62853</v>
      </c>
      <c r="O82" s="4">
        <v>63712</v>
      </c>
      <c r="P82" s="4">
        <v>64229</v>
      </c>
      <c r="Q82" s="4">
        <v>70043</v>
      </c>
      <c r="R82" s="4">
        <v>69601</v>
      </c>
      <c r="S82" s="4">
        <v>75920</v>
      </c>
      <c r="T82" s="4">
        <v>69786</v>
      </c>
      <c r="U82" s="4">
        <v>72315</v>
      </c>
      <c r="V82" s="4">
        <v>71884</v>
      </c>
      <c r="W82" s="4">
        <v>77750</v>
      </c>
      <c r="X82" s="7">
        <v>1.9861111607509811E-2</v>
      </c>
      <c r="Y82" s="8">
        <v>7.9621517434729228E-3</v>
      </c>
      <c r="Z82" s="8">
        <v>7.9375013037945585E-3</v>
      </c>
      <c r="AA82" s="8">
        <v>6.3124126869147368E-3</v>
      </c>
    </row>
    <row r="83" spans="2:27">
      <c r="B83" s="13" t="s">
        <v>190</v>
      </c>
      <c r="C83" s="3" t="s">
        <v>505</v>
      </c>
      <c r="D83" s="3" t="s">
        <v>525</v>
      </c>
      <c r="E83" s="3" t="s">
        <v>507</v>
      </c>
      <c r="F83" s="5">
        <v>0.5</v>
      </c>
      <c r="G83" s="4">
        <v>1454</v>
      </c>
      <c r="H83" s="4">
        <v>1506</v>
      </c>
      <c r="I83" s="4">
        <v>1686</v>
      </c>
      <c r="J83" s="4">
        <v>1618</v>
      </c>
      <c r="K83" s="4">
        <v>1560</v>
      </c>
      <c r="L83" s="4">
        <v>1549</v>
      </c>
      <c r="M83" s="4">
        <v>1602</v>
      </c>
      <c r="N83" s="4">
        <v>1554</v>
      </c>
      <c r="O83" s="4">
        <v>1537</v>
      </c>
      <c r="P83" s="4">
        <v>1486</v>
      </c>
      <c r="Q83" s="4">
        <v>1589</v>
      </c>
      <c r="R83" s="4">
        <v>1828</v>
      </c>
      <c r="S83" s="4">
        <v>1858</v>
      </c>
      <c r="T83" s="4">
        <v>1770</v>
      </c>
      <c r="U83" s="4">
        <v>1943</v>
      </c>
      <c r="V83" s="4">
        <v>1864</v>
      </c>
      <c r="W83" s="4">
        <v>1895</v>
      </c>
      <c r="X83" s="7">
        <v>4.2005620470344729E-2</v>
      </c>
      <c r="Y83" s="8">
        <v>5.0248403122782108E-2</v>
      </c>
      <c r="Z83" s="8">
        <v>4.8655223678875092E-3</v>
      </c>
      <c r="AA83" s="8">
        <v>4.976462676529847E-3</v>
      </c>
    </row>
    <row r="84" spans="2:27">
      <c r="B84" s="13" t="s">
        <v>346</v>
      </c>
      <c r="C84" s="3" t="s">
        <v>505</v>
      </c>
      <c r="D84" s="3" t="s">
        <v>553</v>
      </c>
      <c r="E84" s="3" t="s">
        <v>507</v>
      </c>
      <c r="F84" s="5">
        <v>0.3</v>
      </c>
      <c r="G84" s="4">
        <v>203.58</v>
      </c>
      <c r="H84" s="4">
        <v>210.35</v>
      </c>
      <c r="I84" s="4">
        <v>283.45</v>
      </c>
      <c r="J84" s="4">
        <v>240.67</v>
      </c>
      <c r="K84" s="4">
        <v>263.14</v>
      </c>
      <c r="L84" s="4">
        <v>268.97000000000003</v>
      </c>
      <c r="M84" s="4">
        <v>271.07</v>
      </c>
      <c r="N84" s="4">
        <v>232.02</v>
      </c>
      <c r="O84" s="4">
        <v>253.38</v>
      </c>
      <c r="P84" s="4">
        <v>267.49</v>
      </c>
      <c r="Q84" s="4">
        <v>272.89999999999998</v>
      </c>
      <c r="R84" s="4">
        <v>236.81</v>
      </c>
      <c r="S84" s="4">
        <v>261.85000000000002</v>
      </c>
      <c r="T84" s="4">
        <v>288.93</v>
      </c>
      <c r="U84" s="4">
        <v>287.58</v>
      </c>
      <c r="V84" s="4">
        <v>236.42</v>
      </c>
      <c r="W84" s="4">
        <v>265.58</v>
      </c>
      <c r="X84" s="7">
        <v>2.0634233193782769E-2</v>
      </c>
      <c r="Y84" s="8">
        <v>1.3842657639393069E-2</v>
      </c>
      <c r="Z84" s="8">
        <v>-3.6273333519354361E-4</v>
      </c>
      <c r="AA84" s="8">
        <v>3.470477679152983E-3</v>
      </c>
    </row>
    <row r="85" spans="2:27">
      <c r="B85" s="13" t="s">
        <v>50</v>
      </c>
      <c r="C85" s="3" t="s">
        <v>505</v>
      </c>
      <c r="D85" s="3" t="s">
        <v>554</v>
      </c>
      <c r="E85" s="3" t="s">
        <v>507</v>
      </c>
      <c r="F85" s="5">
        <v>0.1</v>
      </c>
      <c r="G85" s="4">
        <v>476.9</v>
      </c>
      <c r="H85" s="4">
        <v>519.1</v>
      </c>
      <c r="I85" s="4">
        <v>557</v>
      </c>
      <c r="J85" s="4">
        <v>541.9</v>
      </c>
      <c r="K85" s="4">
        <v>507.6</v>
      </c>
      <c r="L85" s="4">
        <v>546.1</v>
      </c>
      <c r="M85" s="4">
        <v>551.5</v>
      </c>
      <c r="N85" s="4">
        <v>547.79999999999995</v>
      </c>
      <c r="O85" s="4">
        <v>524.5</v>
      </c>
      <c r="P85" s="4">
        <v>534.5</v>
      </c>
      <c r="Q85" s="4">
        <v>541.20000000000005</v>
      </c>
      <c r="R85" s="4">
        <v>524.70000000000005</v>
      </c>
      <c r="S85" s="4">
        <v>518.1</v>
      </c>
      <c r="T85" s="4">
        <v>491.8</v>
      </c>
      <c r="U85" s="4">
        <v>528.9</v>
      </c>
      <c r="V85" s="4">
        <v>532.4</v>
      </c>
      <c r="W85" s="4">
        <v>519.5</v>
      </c>
      <c r="X85" s="7">
        <v>-2.015577059240015E-2</v>
      </c>
      <c r="Y85" s="8">
        <v>-5.9254263416514963E-3</v>
      </c>
      <c r="Z85" s="8">
        <v>3.7315241095225988E-3</v>
      </c>
      <c r="AA85" s="8">
        <v>6.7593665507925671E-4</v>
      </c>
    </row>
    <row r="86" spans="2:27">
      <c r="B86" s="13" t="s">
        <v>340</v>
      </c>
      <c r="C86" s="3" t="s">
        <v>505</v>
      </c>
      <c r="D86" s="3" t="s">
        <v>555</v>
      </c>
      <c r="E86" s="3" t="s">
        <v>507</v>
      </c>
      <c r="F86" s="5">
        <v>-0.1</v>
      </c>
      <c r="G86" s="4">
        <v>462.08</v>
      </c>
      <c r="H86" s="4">
        <v>452.8</v>
      </c>
      <c r="I86" s="4">
        <v>481.05</v>
      </c>
      <c r="J86" s="4">
        <v>486.91</v>
      </c>
      <c r="K86" s="4">
        <v>468.3</v>
      </c>
      <c r="L86" s="4">
        <v>560.71</v>
      </c>
      <c r="M86" s="4">
        <v>609.02</v>
      </c>
      <c r="N86" s="4">
        <v>596.97</v>
      </c>
      <c r="O86" s="4">
        <v>599.33000000000004</v>
      </c>
      <c r="P86" s="4">
        <v>600.32000000000005</v>
      </c>
      <c r="Q86" s="4">
        <v>609.99</v>
      </c>
      <c r="R86" s="4">
        <v>573.63</v>
      </c>
      <c r="S86" s="4">
        <v>558.71</v>
      </c>
      <c r="T86" s="4">
        <v>548.28</v>
      </c>
      <c r="U86" s="4">
        <v>562.25</v>
      </c>
      <c r="V86" s="4">
        <v>574.82000000000005</v>
      </c>
      <c r="W86" s="4">
        <v>556.38</v>
      </c>
      <c r="X86" s="7">
        <v>-2.2214159178707841E-2</v>
      </c>
      <c r="Y86" s="8">
        <v>-2.0841609876845139E-2</v>
      </c>
      <c r="Z86" s="8">
        <v>5.3057020692248713E-4</v>
      </c>
      <c r="AA86" s="8">
        <v>-1.038296658734561E-3</v>
      </c>
    </row>
    <row r="87" spans="2:27">
      <c r="B87" s="13" t="s">
        <v>309</v>
      </c>
      <c r="C87" s="3" t="s">
        <v>505</v>
      </c>
      <c r="D87" s="3" t="s">
        <v>556</v>
      </c>
      <c r="E87" s="3" t="s">
        <v>507</v>
      </c>
      <c r="F87" s="5">
        <v>-0.3</v>
      </c>
      <c r="G87" s="4">
        <v>1294</v>
      </c>
      <c r="H87" s="4">
        <v>1350</v>
      </c>
      <c r="I87" s="4">
        <v>2106</v>
      </c>
      <c r="J87" s="4">
        <v>2056</v>
      </c>
      <c r="K87" s="4">
        <v>1809</v>
      </c>
      <c r="L87" s="4">
        <v>1685</v>
      </c>
      <c r="M87" s="4">
        <v>1784</v>
      </c>
      <c r="N87" s="4">
        <v>2579</v>
      </c>
      <c r="O87" s="4">
        <v>2184</v>
      </c>
      <c r="P87" s="4">
        <v>1981</v>
      </c>
      <c r="Q87" s="4">
        <v>2017</v>
      </c>
      <c r="R87" s="4">
        <v>2144</v>
      </c>
      <c r="S87" s="4">
        <v>1832</v>
      </c>
      <c r="T87" s="4">
        <v>1745</v>
      </c>
      <c r="U87" s="4">
        <v>1893</v>
      </c>
      <c r="V87" s="4">
        <v>2013</v>
      </c>
      <c r="W87" s="4">
        <v>1813</v>
      </c>
      <c r="X87" s="7">
        <v>-2.9596187609731591E-2</v>
      </c>
      <c r="Y87" s="8">
        <v>-1.602481261307831E-2</v>
      </c>
      <c r="Z87" s="8">
        <v>-1.720514841082221E-2</v>
      </c>
      <c r="AA87" s="8">
        <v>-2.5390886008285212E-3</v>
      </c>
    </row>
    <row r="88" spans="2:27">
      <c r="B88" s="13" t="s">
        <v>265</v>
      </c>
      <c r="C88" s="3" t="s">
        <v>505</v>
      </c>
      <c r="D88" s="3" t="s">
        <v>524</v>
      </c>
      <c r="E88" s="3" t="s">
        <v>536</v>
      </c>
      <c r="F88" s="5">
        <v>-0.3</v>
      </c>
      <c r="G88" s="4">
        <v>184</v>
      </c>
      <c r="H88" s="4">
        <v>185</v>
      </c>
      <c r="I88" s="4">
        <v>168</v>
      </c>
      <c r="J88" s="4">
        <v>168</v>
      </c>
      <c r="K88" s="4">
        <v>169</v>
      </c>
      <c r="L88" s="4">
        <v>151</v>
      </c>
      <c r="M88" s="6">
        <v>373</v>
      </c>
      <c r="N88" s="4">
        <v>0</v>
      </c>
      <c r="O88" s="4">
        <v>152</v>
      </c>
      <c r="P88" s="4">
        <v>0</v>
      </c>
      <c r="Q88" s="4">
        <v>123.4</v>
      </c>
      <c r="R88" s="6">
        <v>126.2</v>
      </c>
      <c r="S88" s="4">
        <v>143.6</v>
      </c>
      <c r="T88" s="6">
        <v>141.69999999999999</v>
      </c>
      <c r="U88" s="4">
        <v>121.7</v>
      </c>
      <c r="V88" s="4">
        <v>129.6</v>
      </c>
      <c r="W88" s="4">
        <v>141.80000000000001</v>
      </c>
      <c r="X88" s="10">
        <v>0.36037639877924721</v>
      </c>
      <c r="Y88" s="8">
        <v>-3.178164142830342E-3</v>
      </c>
      <c r="Z88" s="8">
        <v>6.3765941485371957E-3</v>
      </c>
      <c r="AA88" s="8">
        <v>-3.3544539694373432E-3</v>
      </c>
    </row>
    <row r="89" spans="2:27">
      <c r="B89" s="13" t="s">
        <v>210</v>
      </c>
      <c r="C89" s="3" t="s">
        <v>505</v>
      </c>
      <c r="D89" s="3" t="s">
        <v>530</v>
      </c>
      <c r="E89" s="3" t="s">
        <v>507</v>
      </c>
      <c r="F89" s="5">
        <v>-0.6</v>
      </c>
      <c r="G89" s="4">
        <v>303.95999999999998</v>
      </c>
      <c r="H89" s="4">
        <v>339.23</v>
      </c>
      <c r="I89" s="4">
        <v>386.25</v>
      </c>
      <c r="J89" s="4">
        <v>188.47</v>
      </c>
      <c r="K89" s="4">
        <v>192.09</v>
      </c>
      <c r="L89" s="4">
        <v>238.72</v>
      </c>
      <c r="M89" s="4">
        <v>356.54</v>
      </c>
      <c r="N89" s="6">
        <v>303.83999999999997</v>
      </c>
      <c r="O89" s="4">
        <v>195.75</v>
      </c>
      <c r="P89" s="6">
        <v>373.64</v>
      </c>
      <c r="Q89" s="4">
        <v>376.47</v>
      </c>
      <c r="R89" s="4">
        <v>233.72</v>
      </c>
      <c r="S89" s="4">
        <v>167.63</v>
      </c>
      <c r="T89" s="4">
        <v>339.99</v>
      </c>
      <c r="U89" s="4">
        <v>387.8</v>
      </c>
      <c r="V89" s="4">
        <v>285.35000000000002</v>
      </c>
      <c r="W89" s="4">
        <v>161.13</v>
      </c>
      <c r="X89" s="7">
        <v>-2.922376808573468E-2</v>
      </c>
      <c r="Y89" s="8">
        <v>1.013589071488008E-2</v>
      </c>
      <c r="Z89" s="8">
        <v>4.5725065093788153E-2</v>
      </c>
      <c r="AA89" s="8">
        <v>-5.5048824072427838E-3</v>
      </c>
    </row>
    <row r="90" spans="2:27">
      <c r="B90" s="13" t="s">
        <v>261</v>
      </c>
      <c r="C90" s="3" t="s">
        <v>505</v>
      </c>
      <c r="D90" s="3" t="s">
        <v>557</v>
      </c>
      <c r="E90" s="3" t="s">
        <v>507</v>
      </c>
      <c r="F90" s="5">
        <v>-0.8</v>
      </c>
      <c r="G90" s="4">
        <v>348.09</v>
      </c>
      <c r="H90" s="4">
        <v>430.11</v>
      </c>
      <c r="I90" s="4">
        <v>616.24</v>
      </c>
      <c r="J90" s="4">
        <v>596.45000000000005</v>
      </c>
      <c r="K90" s="4">
        <v>447.53</v>
      </c>
      <c r="L90" s="4">
        <v>410</v>
      </c>
      <c r="M90" s="4">
        <v>603.29999999999995</v>
      </c>
      <c r="N90" s="4">
        <v>601.6</v>
      </c>
      <c r="O90" s="4">
        <v>393.72</v>
      </c>
      <c r="P90" s="4">
        <v>426.05</v>
      </c>
      <c r="Q90" s="4">
        <v>579.1</v>
      </c>
      <c r="R90" s="4">
        <v>605.48</v>
      </c>
      <c r="S90" s="4">
        <v>402.3</v>
      </c>
      <c r="T90" s="4">
        <v>453.87</v>
      </c>
      <c r="U90" s="4">
        <v>587.95000000000005</v>
      </c>
      <c r="V90" s="4">
        <v>537.49</v>
      </c>
      <c r="W90" s="4">
        <v>385.68</v>
      </c>
      <c r="X90" s="7">
        <v>1.382064950097606E-2</v>
      </c>
      <c r="Y90" s="8">
        <v>4.3366409408305273E-3</v>
      </c>
      <c r="Z90" s="8">
        <v>-3.3172326307572053E-2</v>
      </c>
      <c r="AA90" s="8">
        <v>-8.3871195643946406E-3</v>
      </c>
    </row>
    <row r="91" spans="2:27">
      <c r="B91" s="13" t="s">
        <v>60</v>
      </c>
      <c r="C91" s="3" t="s">
        <v>505</v>
      </c>
      <c r="D91" s="3" t="s">
        <v>558</v>
      </c>
      <c r="E91" s="3" t="s">
        <v>507</v>
      </c>
      <c r="F91" s="5">
        <v>-0.9</v>
      </c>
      <c r="G91" s="4">
        <v>5396</v>
      </c>
      <c r="H91" s="4">
        <v>4664</v>
      </c>
      <c r="I91" s="4">
        <v>4603</v>
      </c>
      <c r="J91" s="4">
        <v>4362</v>
      </c>
      <c r="K91" s="4">
        <v>3442</v>
      </c>
      <c r="L91" s="4">
        <v>2593</v>
      </c>
      <c r="M91" s="4">
        <v>2240</v>
      </c>
      <c r="N91" s="4">
        <v>2190</v>
      </c>
      <c r="O91" s="4">
        <v>2278</v>
      </c>
      <c r="P91" s="4">
        <v>2207</v>
      </c>
      <c r="Q91" s="4">
        <v>2439</v>
      </c>
      <c r="R91" s="4">
        <v>3000</v>
      </c>
      <c r="S91" s="4">
        <v>2955</v>
      </c>
      <c r="T91" s="4">
        <v>2666</v>
      </c>
      <c r="U91" s="4">
        <v>2652</v>
      </c>
      <c r="V91" s="4">
        <v>2895</v>
      </c>
      <c r="W91" s="4">
        <v>2856</v>
      </c>
      <c r="X91" s="7">
        <v>4.3297802094142128E-2</v>
      </c>
      <c r="Y91" s="8">
        <v>1.925858951175408E-2</v>
      </c>
      <c r="Z91" s="8">
        <v>-9.3142907832874933E-3</v>
      </c>
      <c r="AA91" s="8">
        <v>-8.8646131805157902E-3</v>
      </c>
    </row>
    <row r="92" spans="2:27">
      <c r="B92" s="13" t="s">
        <v>7</v>
      </c>
      <c r="C92" s="3" t="s">
        <v>505</v>
      </c>
      <c r="D92" s="3" t="s">
        <v>559</v>
      </c>
      <c r="E92" s="3" t="s">
        <v>534</v>
      </c>
      <c r="F92" s="5">
        <v>-0.9</v>
      </c>
      <c r="G92" s="4">
        <v>35719</v>
      </c>
      <c r="H92" s="4">
        <v>38908</v>
      </c>
      <c r="I92" s="4">
        <v>43792</v>
      </c>
      <c r="J92" s="4">
        <v>38872</v>
      </c>
      <c r="K92" s="4">
        <v>35831</v>
      </c>
      <c r="L92" s="4">
        <v>37257</v>
      </c>
      <c r="M92" s="4">
        <v>42916</v>
      </c>
      <c r="N92" s="4">
        <v>37710</v>
      </c>
      <c r="O92" s="4">
        <v>34786</v>
      </c>
      <c r="P92" s="4">
        <v>36418</v>
      </c>
      <c r="Q92" s="4">
        <v>43175</v>
      </c>
      <c r="R92" s="4">
        <v>40217</v>
      </c>
      <c r="S92" s="4">
        <v>39704</v>
      </c>
      <c r="T92" s="4">
        <v>39856</v>
      </c>
      <c r="U92" s="4">
        <v>45277</v>
      </c>
      <c r="V92" s="4">
        <v>41352</v>
      </c>
      <c r="W92" s="4">
        <v>38198</v>
      </c>
      <c r="X92" s="7">
        <v>2.155296713768062E-2</v>
      </c>
      <c r="Y92" s="8">
        <v>1.289950414846097E-2</v>
      </c>
      <c r="Z92" s="8">
        <v>6.8765373756467518E-3</v>
      </c>
      <c r="AA92" s="8">
        <v>-9.0619716106360437E-3</v>
      </c>
    </row>
    <row r="93" spans="2:27">
      <c r="B93" s="13" t="s">
        <v>100</v>
      </c>
      <c r="C93" s="3" t="s">
        <v>505</v>
      </c>
      <c r="D93" s="3" t="s">
        <v>560</v>
      </c>
      <c r="E93" s="3" t="s">
        <v>534</v>
      </c>
      <c r="F93" s="5">
        <v>-1</v>
      </c>
      <c r="G93" s="4">
        <v>2153</v>
      </c>
      <c r="H93" s="4">
        <v>1643</v>
      </c>
      <c r="I93" s="4">
        <v>1618</v>
      </c>
      <c r="J93" s="4">
        <v>1573</v>
      </c>
      <c r="K93" s="4">
        <v>2162</v>
      </c>
      <c r="L93" s="4">
        <v>1614</v>
      </c>
      <c r="M93" s="4">
        <v>1597</v>
      </c>
      <c r="N93" s="4">
        <v>1504</v>
      </c>
      <c r="O93" s="4">
        <v>2159</v>
      </c>
      <c r="P93" s="4">
        <v>1573</v>
      </c>
      <c r="Q93" s="4">
        <v>1515</v>
      </c>
      <c r="R93" s="4">
        <v>1451</v>
      </c>
      <c r="S93" s="4">
        <v>2052</v>
      </c>
      <c r="T93" s="4">
        <v>1547</v>
      </c>
      <c r="U93" s="4">
        <v>1536</v>
      </c>
      <c r="V93" s="4">
        <v>1491</v>
      </c>
      <c r="W93" s="4">
        <v>1989</v>
      </c>
      <c r="X93" s="7">
        <v>-3.9447731755424256E-3</v>
      </c>
      <c r="Y93" s="8">
        <v>3.1987814166032358E-3</v>
      </c>
      <c r="Z93" s="8">
        <v>6.0734892195566381E-3</v>
      </c>
      <c r="AA93" s="8">
        <v>-9.5079987926350862E-3</v>
      </c>
    </row>
    <row r="94" spans="2:27">
      <c r="B94" s="13" t="s">
        <v>24</v>
      </c>
      <c r="C94" s="3" t="s">
        <v>505</v>
      </c>
      <c r="D94" s="3" t="s">
        <v>515</v>
      </c>
      <c r="E94" s="3" t="s">
        <v>507</v>
      </c>
      <c r="F94" s="5">
        <v>-1.1000000000000001</v>
      </c>
      <c r="G94" s="4">
        <v>5937</v>
      </c>
      <c r="H94" s="4">
        <v>6778</v>
      </c>
      <c r="I94" s="4">
        <v>8687</v>
      </c>
      <c r="J94" s="4">
        <v>7632</v>
      </c>
      <c r="K94" s="4">
        <v>6513</v>
      </c>
      <c r="L94" s="4">
        <v>5599</v>
      </c>
      <c r="M94" s="4">
        <v>5481</v>
      </c>
      <c r="N94" s="4">
        <v>6134</v>
      </c>
      <c r="O94" s="4">
        <v>6059</v>
      </c>
      <c r="P94" s="4">
        <v>5860</v>
      </c>
      <c r="Q94" s="4">
        <v>6052</v>
      </c>
      <c r="R94" s="4">
        <v>5893</v>
      </c>
      <c r="S94" s="4">
        <v>5893</v>
      </c>
      <c r="T94" s="4">
        <v>5861</v>
      </c>
      <c r="U94" s="4">
        <v>5371</v>
      </c>
      <c r="V94" s="4">
        <v>5749</v>
      </c>
      <c r="W94" s="4">
        <v>5651</v>
      </c>
      <c r="X94" s="7">
        <v>4.2197653810527307E-5</v>
      </c>
      <c r="Y94" s="8">
        <v>-2.8735389678889441E-2</v>
      </c>
      <c r="Z94" s="8">
        <v>-6.2559735858892518E-3</v>
      </c>
      <c r="AA94" s="8">
        <v>-1.0579697473113599E-2</v>
      </c>
    </row>
    <row r="95" spans="2:27">
      <c r="B95" s="13" t="s">
        <v>212</v>
      </c>
      <c r="C95" s="3" t="s">
        <v>505</v>
      </c>
      <c r="D95" s="3" t="s">
        <v>561</v>
      </c>
      <c r="E95" s="3" t="s">
        <v>507</v>
      </c>
      <c r="F95" s="5">
        <v>-1.1000000000000001</v>
      </c>
      <c r="G95" s="4">
        <v>1267</v>
      </c>
      <c r="H95" s="4">
        <v>1166</v>
      </c>
      <c r="I95" s="4">
        <v>1261</v>
      </c>
      <c r="J95" s="4">
        <v>1115</v>
      </c>
      <c r="K95" s="4">
        <v>801.6</v>
      </c>
      <c r="L95" s="4">
        <v>704.8</v>
      </c>
      <c r="M95" s="4">
        <v>773.4</v>
      </c>
      <c r="N95" s="4">
        <v>827.5</v>
      </c>
      <c r="O95" s="4">
        <v>788.9</v>
      </c>
      <c r="P95" s="4">
        <v>722.1</v>
      </c>
      <c r="Q95" s="4">
        <v>847.4</v>
      </c>
      <c r="R95" s="4">
        <v>962</v>
      </c>
      <c r="S95" s="4">
        <v>890.3</v>
      </c>
      <c r="T95" s="4">
        <v>782</v>
      </c>
      <c r="U95" s="4">
        <v>830.5</v>
      </c>
      <c r="V95" s="4">
        <v>880.1</v>
      </c>
      <c r="W95" s="4">
        <v>851.9</v>
      </c>
      <c r="X95" s="7">
        <v>1.7505406511192811E-2</v>
      </c>
      <c r="Y95" s="8">
        <v>-4.8539506562884638E-3</v>
      </c>
      <c r="Z95" s="8">
        <v>-2.3637728007388611E-2</v>
      </c>
      <c r="AA95" s="8">
        <v>-1.135120754382335E-2</v>
      </c>
    </row>
    <row r="96" spans="2:27">
      <c r="B96" s="13" t="s">
        <v>226</v>
      </c>
      <c r="C96" s="3" t="s">
        <v>505</v>
      </c>
      <c r="D96" s="3" t="s">
        <v>506</v>
      </c>
      <c r="E96" s="3" t="s">
        <v>507</v>
      </c>
      <c r="F96" s="5">
        <v>-1.2</v>
      </c>
      <c r="G96" s="4">
        <v>60.29</v>
      </c>
      <c r="H96" s="4">
        <v>14.38</v>
      </c>
      <c r="I96" s="4">
        <v>16.32</v>
      </c>
      <c r="J96" s="4">
        <v>22.06</v>
      </c>
      <c r="K96" s="4">
        <v>22.66</v>
      </c>
      <c r="L96" s="6">
        <v>44.85</v>
      </c>
      <c r="M96" s="6">
        <v>94.97</v>
      </c>
      <c r="N96" s="6">
        <v>110.4</v>
      </c>
      <c r="O96" s="6">
        <v>146.38</v>
      </c>
      <c r="P96" s="6">
        <v>172.33</v>
      </c>
      <c r="Q96" s="6">
        <v>199.69</v>
      </c>
      <c r="R96" s="6">
        <v>196.83</v>
      </c>
      <c r="S96" s="4">
        <v>212.53</v>
      </c>
      <c r="T96" s="4">
        <v>166.8</v>
      </c>
      <c r="U96" s="4">
        <v>178.49</v>
      </c>
      <c r="V96" s="6">
        <v>458.58</v>
      </c>
      <c r="W96" s="4">
        <v>199.91</v>
      </c>
      <c r="X96" s="7">
        <v>-7.0772223502009179E-3</v>
      </c>
      <c r="Y96" s="8">
        <v>-2.7324869497969861E-2</v>
      </c>
      <c r="Z96" s="9">
        <v>0.34684953289604442</v>
      </c>
      <c r="AA96" s="8">
        <v>-1.241637150728059E-2</v>
      </c>
    </row>
    <row r="97" spans="2:27">
      <c r="B97" s="13" t="s">
        <v>178</v>
      </c>
      <c r="C97" s="3" t="s">
        <v>505</v>
      </c>
      <c r="D97" s="3" t="s">
        <v>515</v>
      </c>
      <c r="E97" s="3" t="s">
        <v>507</v>
      </c>
      <c r="F97" s="5">
        <v>-1.7</v>
      </c>
      <c r="G97" s="4">
        <v>522.13</v>
      </c>
      <c r="H97" s="4">
        <v>614.46</v>
      </c>
      <c r="I97" s="4">
        <v>904.16</v>
      </c>
      <c r="J97" s="4">
        <v>795.79</v>
      </c>
      <c r="K97" s="4">
        <v>659.28</v>
      </c>
      <c r="L97" s="4">
        <v>523.57000000000005</v>
      </c>
      <c r="M97" s="4">
        <v>603.69000000000005</v>
      </c>
      <c r="N97" s="4">
        <v>716.99</v>
      </c>
      <c r="O97" s="4">
        <v>773.27</v>
      </c>
      <c r="P97" s="4">
        <v>731.34</v>
      </c>
      <c r="Q97" s="4">
        <v>795.1</v>
      </c>
      <c r="R97" s="4">
        <v>799.94</v>
      </c>
      <c r="S97" s="4">
        <v>908.98</v>
      </c>
      <c r="T97" s="4">
        <v>933.97</v>
      </c>
      <c r="U97" s="4">
        <v>861.18</v>
      </c>
      <c r="V97" s="4">
        <v>852.52</v>
      </c>
      <c r="W97" s="4">
        <v>847.99</v>
      </c>
      <c r="X97" s="7">
        <v>6.2629815538301825E-2</v>
      </c>
      <c r="Y97" s="8">
        <v>1.9220532927670009E-2</v>
      </c>
      <c r="Z97" s="8">
        <v>1.500540799698635E-2</v>
      </c>
      <c r="AA97" s="8">
        <v>-1.714815908228251E-2</v>
      </c>
    </row>
    <row r="98" spans="2:27">
      <c r="B98" s="13" t="s">
        <v>267</v>
      </c>
      <c r="C98" s="3" t="s">
        <v>505</v>
      </c>
      <c r="D98" s="3" t="s">
        <v>538</v>
      </c>
      <c r="E98" s="3" t="s">
        <v>507</v>
      </c>
      <c r="F98" s="5">
        <v>-1.8</v>
      </c>
      <c r="G98" s="4">
        <v>560.70000000000005</v>
      </c>
      <c r="H98" s="4">
        <v>662.2</v>
      </c>
      <c r="I98" s="4">
        <v>686.6</v>
      </c>
      <c r="J98" s="4">
        <v>635.70000000000005</v>
      </c>
      <c r="K98" s="4">
        <v>675.3</v>
      </c>
      <c r="L98" s="4">
        <v>629.1</v>
      </c>
      <c r="M98" s="4">
        <v>668.8</v>
      </c>
      <c r="N98" s="4">
        <v>647.20000000000005</v>
      </c>
      <c r="O98" s="4">
        <v>683.7</v>
      </c>
      <c r="P98" s="4">
        <v>621.20000000000005</v>
      </c>
      <c r="Q98" s="4">
        <v>650.29999999999995</v>
      </c>
      <c r="R98" s="4">
        <v>622.20000000000005</v>
      </c>
      <c r="S98" s="4">
        <v>663</v>
      </c>
      <c r="T98" s="4">
        <v>593.70000000000005</v>
      </c>
      <c r="U98" s="4">
        <v>621.4</v>
      </c>
      <c r="V98" s="4">
        <v>623.1</v>
      </c>
      <c r="W98" s="4">
        <v>617</v>
      </c>
      <c r="X98" s="7">
        <v>-1.075605272421476E-2</v>
      </c>
      <c r="Y98" s="8">
        <v>-1.142653803574234E-2</v>
      </c>
      <c r="Z98" s="8">
        <v>3.5995680518330348E-4</v>
      </c>
      <c r="AA98" s="8">
        <v>-1.8391172237326111E-2</v>
      </c>
    </row>
    <row r="99" spans="2:27">
      <c r="B99" s="13" t="s">
        <v>96</v>
      </c>
      <c r="C99" s="3" t="s">
        <v>505</v>
      </c>
      <c r="D99" s="3" t="s">
        <v>554</v>
      </c>
      <c r="E99" s="3" t="s">
        <v>507</v>
      </c>
      <c r="F99" s="5">
        <v>-2.7</v>
      </c>
      <c r="G99" s="4">
        <v>3507</v>
      </c>
      <c r="H99" s="4">
        <v>4056</v>
      </c>
      <c r="I99" s="4">
        <v>4483</v>
      </c>
      <c r="J99" s="4">
        <v>3956</v>
      </c>
      <c r="K99" s="4">
        <v>3299</v>
      </c>
      <c r="L99" s="4">
        <v>3356</v>
      </c>
      <c r="M99" s="4">
        <v>3251</v>
      </c>
      <c r="N99" s="4">
        <v>3115</v>
      </c>
      <c r="O99" s="4">
        <v>2826</v>
      </c>
      <c r="P99" s="4">
        <v>2975</v>
      </c>
      <c r="Q99" s="4">
        <v>3207</v>
      </c>
      <c r="R99" s="4">
        <v>3117</v>
      </c>
      <c r="S99" s="4">
        <v>2843</v>
      </c>
      <c r="T99" s="4">
        <v>2846</v>
      </c>
      <c r="U99" s="4">
        <v>2953</v>
      </c>
      <c r="V99" s="4">
        <v>2838</v>
      </c>
      <c r="W99" s="4">
        <v>2533</v>
      </c>
      <c r="X99" s="7">
        <v>-1.062427936089605E-2</v>
      </c>
      <c r="Y99" s="8">
        <v>-2.1143760925663831E-2</v>
      </c>
      <c r="Z99" s="8">
        <v>-2.3726507356067739E-2</v>
      </c>
      <c r="AA99" s="8">
        <v>-2.7003484320557439E-2</v>
      </c>
    </row>
    <row r="100" spans="2:27">
      <c r="B100" s="13" t="s">
        <v>293</v>
      </c>
      <c r="C100" s="3" t="s">
        <v>505</v>
      </c>
      <c r="D100" s="3" t="s">
        <v>515</v>
      </c>
      <c r="E100" s="3" t="s">
        <v>507</v>
      </c>
      <c r="F100" s="5">
        <v>-5</v>
      </c>
      <c r="G100" s="4">
        <v>382.13</v>
      </c>
      <c r="H100" s="4">
        <v>412.72</v>
      </c>
      <c r="I100" s="4">
        <v>518.22</v>
      </c>
      <c r="J100" s="4">
        <v>376.17</v>
      </c>
      <c r="K100" s="4">
        <v>341.38</v>
      </c>
      <c r="L100" s="4">
        <v>321.98</v>
      </c>
      <c r="M100" s="4">
        <v>366.6</v>
      </c>
      <c r="N100" s="4">
        <v>382.54</v>
      </c>
      <c r="O100" s="4">
        <v>384.32</v>
      </c>
      <c r="P100" s="4">
        <v>429.39</v>
      </c>
      <c r="Q100" s="6">
        <v>548.69000000000005</v>
      </c>
      <c r="R100" s="4">
        <v>509.06</v>
      </c>
      <c r="S100" s="4">
        <v>485.05</v>
      </c>
      <c r="T100" s="4">
        <v>512.95000000000005</v>
      </c>
      <c r="U100" s="4">
        <v>424.59</v>
      </c>
      <c r="V100" s="4">
        <v>449.97</v>
      </c>
      <c r="W100" s="4">
        <v>392.24</v>
      </c>
      <c r="X100" s="7">
        <v>4.2369142932475963E-2</v>
      </c>
      <c r="Y100" s="8">
        <v>-6.0367262556244583E-2</v>
      </c>
      <c r="Z100" s="8">
        <v>-3.059042787254429E-2</v>
      </c>
      <c r="AA100" s="8">
        <v>-4.9563164865211277E-2</v>
      </c>
    </row>
    <row r="101" spans="2:27">
      <c r="B101" s="13" t="s">
        <v>70</v>
      </c>
      <c r="C101" s="3" t="s">
        <v>505</v>
      </c>
      <c r="D101" s="3" t="s">
        <v>562</v>
      </c>
      <c r="E101" s="3" t="s">
        <v>507</v>
      </c>
      <c r="F101" s="5">
        <v>-8.6</v>
      </c>
      <c r="G101" s="4">
        <v>535</v>
      </c>
      <c r="H101" s="4">
        <v>541.4</v>
      </c>
      <c r="I101" s="4">
        <v>806.6</v>
      </c>
      <c r="J101" s="4">
        <v>923.8</v>
      </c>
      <c r="K101" s="4">
        <v>665.6</v>
      </c>
      <c r="L101" s="4">
        <v>641.5</v>
      </c>
      <c r="M101" s="4">
        <v>852.9</v>
      </c>
      <c r="N101" s="4">
        <v>958.7</v>
      </c>
      <c r="O101" s="4">
        <v>711.6</v>
      </c>
      <c r="P101" s="4">
        <v>468.6</v>
      </c>
      <c r="Q101" s="4">
        <v>588.9</v>
      </c>
      <c r="R101" s="4">
        <v>675.9</v>
      </c>
      <c r="S101" s="4">
        <v>731.7</v>
      </c>
      <c r="T101" s="4">
        <v>471.5</v>
      </c>
      <c r="U101" s="4">
        <v>612.70000000000005</v>
      </c>
      <c r="V101" s="4">
        <v>695.7</v>
      </c>
      <c r="W101" s="4">
        <v>515.20000000000005</v>
      </c>
      <c r="X101" s="7">
        <v>1.176422863169879E-3</v>
      </c>
      <c r="Y101" s="8">
        <v>9.6434359805510628E-3</v>
      </c>
      <c r="Z101" s="8">
        <v>7.946063086925248E-3</v>
      </c>
      <c r="AA101" s="8">
        <v>-8.6200031852205705E-2</v>
      </c>
    </row>
    <row r="102" spans="2:27">
      <c r="B102" s="13" t="s">
        <v>321</v>
      </c>
      <c r="C102" s="3" t="s">
        <v>505</v>
      </c>
      <c r="D102" s="3" t="s">
        <v>563</v>
      </c>
      <c r="E102" s="3" t="s">
        <v>507</v>
      </c>
      <c r="F102" s="5">
        <v>-18.899999999999999</v>
      </c>
      <c r="G102" s="4">
        <v>7.34</v>
      </c>
      <c r="H102" s="4">
        <v>6.74</v>
      </c>
      <c r="I102" s="4">
        <v>8.61</v>
      </c>
      <c r="J102" s="4">
        <v>10.24</v>
      </c>
      <c r="K102" s="6">
        <v>12.35</v>
      </c>
      <c r="L102" s="6">
        <v>13.36</v>
      </c>
      <c r="M102" s="6">
        <v>18.059999999999999</v>
      </c>
      <c r="N102" s="6">
        <v>21.98</v>
      </c>
      <c r="O102" s="6">
        <v>26.06</v>
      </c>
      <c r="P102" s="6">
        <v>23.18</v>
      </c>
      <c r="Q102" s="4">
        <v>20.47</v>
      </c>
      <c r="R102" s="4">
        <v>21.68</v>
      </c>
      <c r="S102" s="4">
        <v>17.98</v>
      </c>
      <c r="T102" s="4">
        <v>14.02</v>
      </c>
      <c r="U102" s="4">
        <v>14.49</v>
      </c>
      <c r="V102" s="4">
        <v>10.11</v>
      </c>
      <c r="W102" s="4">
        <v>7.3</v>
      </c>
      <c r="X102" s="7">
        <v>-0.10995078622014159</v>
      </c>
      <c r="Y102" s="8">
        <v>-8.0647336480107912E-2</v>
      </c>
      <c r="Z102" s="8">
        <v>-0.16972275194367031</v>
      </c>
      <c r="AA102" s="8">
        <v>-0.18869257950530041</v>
      </c>
    </row>
    <row r="103" spans="2:27">
      <c r="B103" s="13" t="s">
        <v>164</v>
      </c>
      <c r="C103" s="3" t="s">
        <v>564</v>
      </c>
      <c r="D103" s="3" t="s">
        <v>565</v>
      </c>
      <c r="E103" s="3" t="s">
        <v>507</v>
      </c>
      <c r="F103" s="5">
        <v>2.9</v>
      </c>
      <c r="G103" s="3"/>
      <c r="H103" s="3"/>
      <c r="I103" s="3"/>
      <c r="J103" s="3"/>
      <c r="K103" s="3"/>
      <c r="L103" s="3"/>
      <c r="M103" s="3"/>
      <c r="N103" s="3"/>
      <c r="O103" s="4">
        <v>5589</v>
      </c>
      <c r="P103" s="4">
        <v>5444</v>
      </c>
      <c r="Q103" s="4">
        <v>5303</v>
      </c>
      <c r="R103" s="4">
        <v>5664</v>
      </c>
      <c r="S103" s="4">
        <v>6302</v>
      </c>
      <c r="T103" s="4">
        <v>6454</v>
      </c>
      <c r="U103" s="4">
        <v>5772</v>
      </c>
      <c r="V103" s="4">
        <v>6525</v>
      </c>
      <c r="W103" s="4">
        <v>7028</v>
      </c>
      <c r="X103" s="7">
        <v>4.4467925857438528E-2</v>
      </c>
      <c r="Y103" s="8">
        <v>1.9769843611684879E-2</v>
      </c>
      <c r="Z103" s="8">
        <v>3.5590277777777679E-2</v>
      </c>
      <c r="AA103" s="8">
        <v>2.8978565441264429E-2</v>
      </c>
    </row>
    <row r="104" spans="2:27">
      <c r="B104" s="13" t="s">
        <v>273</v>
      </c>
      <c r="C104" s="3" t="s">
        <v>564</v>
      </c>
      <c r="D104" s="3" t="s">
        <v>565</v>
      </c>
      <c r="E104" s="3" t="s">
        <v>536</v>
      </c>
      <c r="F104" s="5">
        <v>-1.5</v>
      </c>
      <c r="G104" s="4">
        <v>6785</v>
      </c>
      <c r="H104" s="4">
        <v>12520</v>
      </c>
      <c r="I104" s="4">
        <v>18252</v>
      </c>
      <c r="J104" s="4">
        <v>31357</v>
      </c>
      <c r="K104" s="6">
        <v>18797</v>
      </c>
      <c r="L104" s="4">
        <v>303</v>
      </c>
      <c r="M104" s="4">
        <v>18566</v>
      </c>
      <c r="N104" s="4">
        <v>21119</v>
      </c>
      <c r="O104" s="4">
        <v>20289</v>
      </c>
      <c r="P104" s="6">
        <v>13182</v>
      </c>
      <c r="Q104" s="4">
        <v>22543</v>
      </c>
      <c r="R104" s="4">
        <v>16773</v>
      </c>
      <c r="S104" s="4">
        <v>26788</v>
      </c>
      <c r="T104" s="4">
        <v>12622</v>
      </c>
      <c r="U104" s="4">
        <v>24463</v>
      </c>
      <c r="V104" s="4">
        <v>21561</v>
      </c>
      <c r="W104" s="4">
        <v>25518</v>
      </c>
      <c r="X104" s="7">
        <v>-7.0630376106752824E-3</v>
      </c>
      <c r="Y104" s="8">
        <v>2.438838503162866E-2</v>
      </c>
      <c r="Z104" s="8">
        <v>5.937058254594163E-2</v>
      </c>
      <c r="AA104" s="8">
        <v>-1.486527611957766E-2</v>
      </c>
    </row>
    <row r="105" spans="2:27">
      <c r="B105" s="13" t="s">
        <v>281</v>
      </c>
      <c r="C105" s="3" t="s">
        <v>566</v>
      </c>
      <c r="D105" s="3" t="s">
        <v>523</v>
      </c>
      <c r="E105" s="3" t="s">
        <v>507</v>
      </c>
      <c r="F105" s="5">
        <v>10.5</v>
      </c>
      <c r="G105" s="4">
        <v>35.31</v>
      </c>
      <c r="H105" s="4">
        <v>38.450000000000003</v>
      </c>
      <c r="I105" s="4">
        <v>41.19</v>
      </c>
      <c r="J105" s="4">
        <v>38.25</v>
      </c>
      <c r="K105" s="4">
        <v>43.81</v>
      </c>
      <c r="L105" s="4">
        <v>46.52</v>
      </c>
      <c r="M105" s="4">
        <v>48.56</v>
      </c>
      <c r="N105" s="4">
        <v>38.51</v>
      </c>
      <c r="O105" s="4">
        <v>31.56</v>
      </c>
      <c r="P105" s="4">
        <v>37.17</v>
      </c>
      <c r="Q105" s="4">
        <v>44.12</v>
      </c>
      <c r="R105" s="4">
        <v>40.229999999999997</v>
      </c>
      <c r="S105" s="4">
        <v>44.51</v>
      </c>
      <c r="T105" s="4">
        <v>41.38</v>
      </c>
      <c r="U105" s="4">
        <v>51.3</v>
      </c>
      <c r="V105" s="4">
        <v>53.78</v>
      </c>
      <c r="W105" s="6">
        <v>64.62</v>
      </c>
      <c r="X105" s="7">
        <v>2.5356863217490751E-2</v>
      </c>
      <c r="Y105" s="8">
        <v>4.2175751879699019E-2</v>
      </c>
      <c r="Z105" s="8">
        <v>7.6372449554728883E-2</v>
      </c>
      <c r="AA105" s="9">
        <v>0.105304498088705</v>
      </c>
    </row>
    <row r="106" spans="2:27">
      <c r="B106" s="13" t="s">
        <v>338</v>
      </c>
      <c r="C106" s="3" t="s">
        <v>566</v>
      </c>
      <c r="D106" s="3" t="s">
        <v>523</v>
      </c>
      <c r="E106" s="3" t="s">
        <v>507</v>
      </c>
      <c r="F106" s="5">
        <v>4.9000000000000004</v>
      </c>
      <c r="G106" s="4">
        <v>31.54</v>
      </c>
      <c r="H106" s="4">
        <v>31.01</v>
      </c>
      <c r="I106" s="4">
        <v>34.450000000000003</v>
      </c>
      <c r="J106" s="4">
        <v>36.96</v>
      </c>
      <c r="K106" s="4">
        <v>36.159999999999997</v>
      </c>
      <c r="L106" s="4">
        <v>36.659999999999997</v>
      </c>
      <c r="M106" s="4">
        <v>38.159999999999997</v>
      </c>
      <c r="N106" s="4">
        <v>41.27</v>
      </c>
      <c r="O106" s="4">
        <v>42.92</v>
      </c>
      <c r="P106" s="4">
        <v>41.38</v>
      </c>
      <c r="Q106" s="4">
        <v>47.91</v>
      </c>
      <c r="R106" s="4">
        <v>48.64</v>
      </c>
      <c r="S106" s="4">
        <v>49.41</v>
      </c>
      <c r="T106" s="4">
        <v>48.56</v>
      </c>
      <c r="U106" s="4">
        <v>56.66</v>
      </c>
      <c r="V106" s="4">
        <v>60.08</v>
      </c>
      <c r="W106" s="4">
        <v>59.9</v>
      </c>
      <c r="X106" s="7">
        <v>3.8326038219280267E-2</v>
      </c>
      <c r="Y106" s="8">
        <v>4.4982521077524103E-2</v>
      </c>
      <c r="Z106" s="8">
        <v>5.6279824863482153E-2</v>
      </c>
      <c r="AA106" s="8">
        <v>4.8856597270737323E-2</v>
      </c>
    </row>
    <row r="107" spans="2:27">
      <c r="B107" s="13" t="s">
        <v>216</v>
      </c>
      <c r="C107" s="3" t="s">
        <v>566</v>
      </c>
      <c r="D107" s="3" t="s">
        <v>538</v>
      </c>
      <c r="E107" s="3" t="s">
        <v>507</v>
      </c>
      <c r="F107" s="5">
        <v>3.9</v>
      </c>
      <c r="G107" s="4">
        <v>169.98</v>
      </c>
      <c r="H107" s="4">
        <v>170.39</v>
      </c>
      <c r="I107" s="4">
        <v>187.49</v>
      </c>
      <c r="J107" s="4">
        <v>197.66</v>
      </c>
      <c r="K107" s="4">
        <v>186.07</v>
      </c>
      <c r="L107" s="4">
        <v>191.9</v>
      </c>
      <c r="M107" s="4">
        <v>204.46</v>
      </c>
      <c r="N107" s="4">
        <v>209.93</v>
      </c>
      <c r="O107" s="4">
        <v>211.01</v>
      </c>
      <c r="P107" s="4">
        <v>209.73</v>
      </c>
      <c r="Q107" s="4">
        <v>222.43</v>
      </c>
      <c r="R107" s="4">
        <v>225.55</v>
      </c>
      <c r="S107" s="4">
        <v>221.5</v>
      </c>
      <c r="T107" s="4">
        <v>223.25</v>
      </c>
      <c r="U107" s="4">
        <v>236.03</v>
      </c>
      <c r="V107" s="4">
        <v>261.94</v>
      </c>
      <c r="W107" s="4">
        <v>257.86</v>
      </c>
      <c r="X107" s="7">
        <v>1.5377441111907199E-2</v>
      </c>
      <c r="Y107" s="8">
        <v>1.5234169345714751E-2</v>
      </c>
      <c r="Z107" s="8">
        <v>4.0150938399920573E-2</v>
      </c>
      <c r="AA107" s="8">
        <v>3.8569246435845139E-2</v>
      </c>
    </row>
    <row r="108" spans="2:27">
      <c r="B108" s="13" t="s">
        <v>108</v>
      </c>
      <c r="C108" s="3" t="s">
        <v>566</v>
      </c>
      <c r="D108" s="3" t="s">
        <v>506</v>
      </c>
      <c r="E108" s="3" t="s">
        <v>507</v>
      </c>
      <c r="F108" s="5">
        <v>2.7</v>
      </c>
      <c r="G108" s="4">
        <v>98.82</v>
      </c>
      <c r="H108" s="4">
        <v>93.69</v>
      </c>
      <c r="I108" s="4">
        <v>103.39</v>
      </c>
      <c r="J108" s="4">
        <v>101.73</v>
      </c>
      <c r="K108" s="4">
        <v>103.06</v>
      </c>
      <c r="L108" s="4">
        <v>105.65</v>
      </c>
      <c r="M108" s="4">
        <v>117.72</v>
      </c>
      <c r="N108" s="4">
        <v>123.6</v>
      </c>
      <c r="O108" s="4">
        <v>135.41</v>
      </c>
      <c r="P108" s="4">
        <v>146.81</v>
      </c>
      <c r="Q108" s="4">
        <v>163.80000000000001</v>
      </c>
      <c r="R108" s="6">
        <v>182.55</v>
      </c>
      <c r="S108" s="4">
        <v>181.89</v>
      </c>
      <c r="T108" s="4">
        <v>157.21</v>
      </c>
      <c r="U108" s="4">
        <v>194.43</v>
      </c>
      <c r="V108" s="4">
        <v>207.64</v>
      </c>
      <c r="W108" s="4">
        <v>202.13</v>
      </c>
      <c r="X108" s="7">
        <v>1.540626620250363E-2</v>
      </c>
      <c r="Y108" s="8">
        <v>4.4685972718651927E-2</v>
      </c>
      <c r="Z108" s="8">
        <v>3.5037984582727999E-2</v>
      </c>
      <c r="AA108" s="8">
        <v>2.7308174912638039E-2</v>
      </c>
    </row>
    <row r="109" spans="2:27">
      <c r="B109" s="13" t="s">
        <v>323</v>
      </c>
      <c r="C109" s="3" t="s">
        <v>566</v>
      </c>
      <c r="D109" s="3" t="s">
        <v>523</v>
      </c>
      <c r="E109" s="3" t="s">
        <v>507</v>
      </c>
      <c r="F109" s="5">
        <v>0.8</v>
      </c>
      <c r="G109" s="4">
        <v>56.34</v>
      </c>
      <c r="H109" s="4">
        <v>71.239999999999995</v>
      </c>
      <c r="I109" s="4">
        <v>94.34</v>
      </c>
      <c r="J109" s="4">
        <v>96.97</v>
      </c>
      <c r="K109" s="6">
        <v>91.24</v>
      </c>
      <c r="L109" s="4">
        <v>97.75</v>
      </c>
      <c r="M109" s="4">
        <v>100.04</v>
      </c>
      <c r="N109" s="4">
        <v>100.78</v>
      </c>
      <c r="O109" s="4">
        <v>101.5</v>
      </c>
      <c r="P109" s="4">
        <v>105.01</v>
      </c>
      <c r="Q109" s="4">
        <v>110.18</v>
      </c>
      <c r="R109" s="6">
        <v>145.16999999999999</v>
      </c>
      <c r="S109" s="4">
        <v>144.07</v>
      </c>
      <c r="T109" s="4">
        <v>148.15</v>
      </c>
      <c r="U109" s="4">
        <v>151.18</v>
      </c>
      <c r="V109" s="4">
        <v>154.56</v>
      </c>
      <c r="W109" s="4">
        <v>148.91999999999999</v>
      </c>
      <c r="X109" s="7">
        <v>8.5522272664195098E-2</v>
      </c>
      <c r="Y109" s="8">
        <v>7.4876271526927995E-2</v>
      </c>
      <c r="Z109" s="8">
        <v>1.5953922218258091E-2</v>
      </c>
      <c r="AA109" s="8">
        <v>8.1109104287910849E-3</v>
      </c>
    </row>
    <row r="110" spans="2:27">
      <c r="B110" s="13" t="s">
        <v>348</v>
      </c>
      <c r="C110" s="3" t="s">
        <v>566</v>
      </c>
      <c r="D110" s="3" t="s">
        <v>523</v>
      </c>
      <c r="E110" s="3" t="s">
        <v>507</v>
      </c>
      <c r="F110" s="5">
        <v>-0.3</v>
      </c>
      <c r="G110" s="4">
        <v>712.7</v>
      </c>
      <c r="H110" s="4">
        <v>706.2</v>
      </c>
      <c r="I110" s="4">
        <v>727.61</v>
      </c>
      <c r="J110" s="4">
        <v>756.5</v>
      </c>
      <c r="K110" s="4">
        <v>780.28</v>
      </c>
      <c r="L110" s="4">
        <v>744.63</v>
      </c>
      <c r="M110" s="4">
        <v>793.29</v>
      </c>
      <c r="N110" s="4">
        <v>804.03</v>
      </c>
      <c r="O110" s="4">
        <v>858.23</v>
      </c>
      <c r="P110" s="4">
        <v>792.5</v>
      </c>
      <c r="Q110" s="4">
        <v>805.98</v>
      </c>
      <c r="R110" s="4">
        <v>805.86</v>
      </c>
      <c r="S110" s="4">
        <v>856.65</v>
      </c>
      <c r="T110" s="4">
        <v>777.88</v>
      </c>
      <c r="U110" s="4">
        <v>800.37</v>
      </c>
      <c r="V110" s="4">
        <v>820.31</v>
      </c>
      <c r="W110" s="4">
        <v>846.29</v>
      </c>
      <c r="X110" s="7">
        <v>-4.4833010834133269E-3</v>
      </c>
      <c r="Y110" s="8">
        <v>-1.7280839830332571E-3</v>
      </c>
      <c r="Z110" s="8">
        <v>4.4588306446635686E-3</v>
      </c>
      <c r="AA110" s="8">
        <v>-3.182590370513716E-3</v>
      </c>
    </row>
    <row r="111" spans="2:27">
      <c r="B111" s="13" t="s">
        <v>385</v>
      </c>
      <c r="C111" s="3" t="s">
        <v>566</v>
      </c>
      <c r="D111" s="3" t="s">
        <v>567</v>
      </c>
      <c r="E111" s="3" t="s">
        <v>507</v>
      </c>
      <c r="F111" s="5">
        <v>-1.7</v>
      </c>
      <c r="G111" s="4">
        <v>106.32</v>
      </c>
      <c r="H111" s="4">
        <v>89.8</v>
      </c>
      <c r="I111" s="4">
        <v>100.66</v>
      </c>
      <c r="J111" s="4">
        <v>102.6</v>
      </c>
      <c r="K111" s="4">
        <v>104.82</v>
      </c>
      <c r="L111" s="4">
        <v>118.1</v>
      </c>
      <c r="M111" s="4">
        <v>133.13</v>
      </c>
      <c r="N111" s="4">
        <v>101.3</v>
      </c>
      <c r="O111" s="4">
        <v>150.15</v>
      </c>
      <c r="P111" s="4">
        <v>130.1</v>
      </c>
      <c r="Q111" s="4">
        <v>135.66999999999999</v>
      </c>
      <c r="R111" s="4">
        <v>138.1</v>
      </c>
      <c r="S111" s="4">
        <v>135.21</v>
      </c>
      <c r="T111" s="4">
        <v>129</v>
      </c>
      <c r="U111" s="4">
        <v>132.9</v>
      </c>
      <c r="V111" s="4">
        <v>128.6</v>
      </c>
      <c r="W111" s="4">
        <v>126.4</v>
      </c>
      <c r="X111" s="7">
        <v>-2.0405134673887599E-3</v>
      </c>
      <c r="Y111" s="8">
        <v>-5.1488902933194414E-3</v>
      </c>
      <c r="Z111" s="8">
        <v>-1.7750042039573199E-2</v>
      </c>
      <c r="AA111" s="8">
        <v>-1.6758288790397868E-2</v>
      </c>
    </row>
    <row r="112" spans="2:27">
      <c r="B112" s="13" t="s">
        <v>287</v>
      </c>
      <c r="C112" s="3" t="s">
        <v>505</v>
      </c>
      <c r="D112" s="3" t="s">
        <v>523</v>
      </c>
      <c r="E112" s="3" t="s">
        <v>568</v>
      </c>
      <c r="F112" s="5">
        <v>9.1</v>
      </c>
      <c r="G112" s="4">
        <v>8.67</v>
      </c>
      <c r="H112" s="4">
        <v>10.14</v>
      </c>
      <c r="I112" s="4">
        <v>14.2</v>
      </c>
      <c r="J112" s="4">
        <v>16.690000000000001</v>
      </c>
      <c r="K112" s="6">
        <v>20.350000000000001</v>
      </c>
      <c r="L112" s="6">
        <v>23.78</v>
      </c>
      <c r="M112" s="6">
        <v>24.4</v>
      </c>
      <c r="N112" s="6">
        <v>33.1</v>
      </c>
      <c r="O112" s="6">
        <v>35.1</v>
      </c>
      <c r="P112" s="6">
        <v>43.58</v>
      </c>
      <c r="Q112" s="6">
        <v>44.54</v>
      </c>
      <c r="R112" s="6">
        <v>53.35</v>
      </c>
      <c r="S112" s="6">
        <v>58.37</v>
      </c>
      <c r="T112" s="6">
        <v>68.239999999999995</v>
      </c>
      <c r="U112" s="6">
        <v>69.16</v>
      </c>
      <c r="V112" s="6">
        <v>79.180000000000007</v>
      </c>
      <c r="W112" s="4">
        <v>83.33</v>
      </c>
      <c r="X112" s="10">
        <v>0.1233987189751802</v>
      </c>
      <c r="Y112" s="9">
        <v>0.10966592427616929</v>
      </c>
      <c r="Z112" s="9">
        <v>0.1036849710982659</v>
      </c>
      <c r="AA112" s="8">
        <v>9.078014184397154E-2</v>
      </c>
    </row>
    <row r="113" spans="2:27">
      <c r="B113" s="13" t="s">
        <v>381</v>
      </c>
      <c r="C113" s="3" t="s">
        <v>505</v>
      </c>
      <c r="D113" s="3" t="s">
        <v>506</v>
      </c>
      <c r="E113" s="3" t="s">
        <v>568</v>
      </c>
      <c r="F113" s="5">
        <v>7.5</v>
      </c>
      <c r="G113" s="4">
        <v>5.51</v>
      </c>
      <c r="H113" s="4">
        <v>139.33000000000001</v>
      </c>
      <c r="I113" s="4">
        <v>316.58</v>
      </c>
      <c r="J113" s="4">
        <v>45.92</v>
      </c>
      <c r="K113" s="6">
        <v>101.38</v>
      </c>
      <c r="L113" s="4">
        <v>21.55</v>
      </c>
      <c r="M113" s="4">
        <v>12.19</v>
      </c>
      <c r="N113" s="4">
        <v>10.06</v>
      </c>
      <c r="O113" s="4">
        <v>6.6</v>
      </c>
      <c r="P113" s="4">
        <v>9.18</v>
      </c>
      <c r="Q113" s="4">
        <v>9.9499999999999993</v>
      </c>
      <c r="R113" s="4">
        <v>7.32</v>
      </c>
      <c r="S113" s="4">
        <v>6.51</v>
      </c>
      <c r="T113" s="4">
        <v>5.05</v>
      </c>
      <c r="U113" s="4">
        <v>4.24</v>
      </c>
      <c r="V113" s="6">
        <v>17.079999999999998</v>
      </c>
      <c r="W113" s="4">
        <v>8.9600000000000009</v>
      </c>
      <c r="X113" s="7">
        <v>-0.1253033980582525</v>
      </c>
      <c r="Y113" s="8">
        <v>-0.1980575789108566</v>
      </c>
      <c r="Z113" s="9">
        <v>0.42214532871972299</v>
      </c>
      <c r="AA113" s="8">
        <v>7.451338199513402E-2</v>
      </c>
    </row>
    <row r="114" spans="2:27">
      <c r="B114" s="13" t="s">
        <v>352</v>
      </c>
      <c r="C114" s="3" t="s">
        <v>505</v>
      </c>
      <c r="D114" s="3" t="s">
        <v>508</v>
      </c>
      <c r="E114" s="3" t="s">
        <v>569</v>
      </c>
      <c r="F114" s="5">
        <v>4.7</v>
      </c>
      <c r="G114" s="3"/>
      <c r="H114" s="3"/>
      <c r="I114" s="3"/>
      <c r="J114" s="3"/>
      <c r="K114" s="3"/>
      <c r="L114" s="3"/>
      <c r="M114" s="3"/>
      <c r="N114" s="4">
        <v>12629</v>
      </c>
      <c r="O114" s="4">
        <v>8637</v>
      </c>
      <c r="P114" s="4">
        <v>8569</v>
      </c>
      <c r="Q114" s="4">
        <v>7462</v>
      </c>
      <c r="R114" s="4">
        <v>9171</v>
      </c>
      <c r="S114" s="4">
        <v>8875</v>
      </c>
      <c r="T114" s="4">
        <v>10306</v>
      </c>
      <c r="U114" s="4">
        <v>8827</v>
      </c>
      <c r="V114" s="6">
        <v>13806</v>
      </c>
      <c r="W114" s="4">
        <v>10856</v>
      </c>
      <c r="X114" s="7">
        <v>5.0972796901135757E-2</v>
      </c>
      <c r="Y114" s="8">
        <v>3.8113586865471623E-2</v>
      </c>
      <c r="Z114" s="9">
        <v>0.1246671508109416</v>
      </c>
      <c r="AA114" s="8">
        <v>4.7376476778112631E-2</v>
      </c>
    </row>
    <row r="115" spans="2:27">
      <c r="B115" s="13" t="s">
        <v>90</v>
      </c>
      <c r="C115" s="3" t="s">
        <v>505</v>
      </c>
      <c r="D115" s="3" t="s">
        <v>523</v>
      </c>
      <c r="E115" s="3" t="s">
        <v>568</v>
      </c>
      <c r="F115" s="5">
        <v>4.2</v>
      </c>
      <c r="G115" s="4">
        <v>190.12</v>
      </c>
      <c r="H115" s="4">
        <v>204.01</v>
      </c>
      <c r="I115" s="4">
        <v>203.9</v>
      </c>
      <c r="J115" s="4">
        <v>208.34</v>
      </c>
      <c r="K115" s="4">
        <v>213.68</v>
      </c>
      <c r="L115" s="4">
        <v>221.22</v>
      </c>
      <c r="M115" s="4">
        <v>241.4</v>
      </c>
      <c r="N115" s="4">
        <v>261.5</v>
      </c>
      <c r="O115" s="4">
        <v>270.95</v>
      </c>
      <c r="P115" s="4">
        <v>284.68</v>
      </c>
      <c r="Q115" s="4">
        <v>278.66000000000003</v>
      </c>
      <c r="R115" s="4">
        <v>299.39999999999998</v>
      </c>
      <c r="S115" s="4">
        <v>301.04000000000002</v>
      </c>
      <c r="T115" s="4">
        <v>315.52</v>
      </c>
      <c r="U115" s="4">
        <v>324.14</v>
      </c>
      <c r="V115" s="4">
        <v>339.46</v>
      </c>
      <c r="W115" s="4">
        <v>354.69</v>
      </c>
      <c r="X115" s="7">
        <v>2.649985392428111E-2</v>
      </c>
      <c r="Y115" s="8">
        <v>3.8070683564648267E-2</v>
      </c>
      <c r="Z115" s="8">
        <v>3.2303846463994867E-2</v>
      </c>
      <c r="AA115" s="8">
        <v>4.1908823897012892E-2</v>
      </c>
    </row>
    <row r="116" spans="2:27">
      <c r="B116" s="13" t="s">
        <v>54</v>
      </c>
      <c r="C116" s="3" t="s">
        <v>505</v>
      </c>
      <c r="D116" s="3" t="s">
        <v>570</v>
      </c>
      <c r="E116" s="3" t="s">
        <v>571</v>
      </c>
      <c r="F116" s="5">
        <v>1.4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4">
        <v>43949</v>
      </c>
      <c r="S116" s="4">
        <v>39277</v>
      </c>
      <c r="T116" s="4">
        <v>40776</v>
      </c>
      <c r="U116" s="4">
        <v>41455</v>
      </c>
      <c r="V116" s="4">
        <v>42135</v>
      </c>
      <c r="W116" s="4">
        <v>41620</v>
      </c>
      <c r="X116" s="11"/>
      <c r="Y116" s="3"/>
      <c r="Z116" s="8">
        <v>-1.096357361731448E-2</v>
      </c>
      <c r="AA116" s="8">
        <v>1.431775266891955E-2</v>
      </c>
    </row>
    <row r="117" spans="2:27">
      <c r="B117" s="13" t="s">
        <v>186</v>
      </c>
      <c r="C117" s="3" t="s">
        <v>505</v>
      </c>
      <c r="D117" s="3" t="s">
        <v>572</v>
      </c>
      <c r="E117" s="3" t="s">
        <v>569</v>
      </c>
      <c r="F117" s="5">
        <v>1.2</v>
      </c>
      <c r="G117" s="3"/>
      <c r="H117" s="3"/>
      <c r="I117" s="3"/>
      <c r="J117" s="3"/>
      <c r="K117" s="3"/>
      <c r="L117" s="3"/>
      <c r="M117" s="3"/>
      <c r="N117" s="4">
        <v>29.34</v>
      </c>
      <c r="O117" s="4">
        <v>28.22</v>
      </c>
      <c r="P117" s="4">
        <v>37.94</v>
      </c>
      <c r="Q117" s="4">
        <v>28.73</v>
      </c>
      <c r="R117" s="6">
        <v>47.81</v>
      </c>
      <c r="S117" s="4">
        <v>40.89</v>
      </c>
      <c r="T117" s="4">
        <v>50.48</v>
      </c>
      <c r="U117" s="6">
        <v>45.63</v>
      </c>
      <c r="V117" s="4">
        <v>50.23</v>
      </c>
      <c r="W117" s="4">
        <v>43.06</v>
      </c>
      <c r="X117" s="7">
        <v>8.0710561884533627E-2</v>
      </c>
      <c r="Y117" s="9">
        <v>0.1006491572866417</v>
      </c>
      <c r="Z117" s="8">
        <v>1.3094529516801011E-2</v>
      </c>
      <c r="AA117" s="8">
        <v>1.1590022966404989E-2</v>
      </c>
    </row>
    <row r="118" spans="2:27">
      <c r="B118" s="13" t="s">
        <v>303</v>
      </c>
      <c r="C118" s="3" t="s">
        <v>505</v>
      </c>
      <c r="D118" s="3" t="s">
        <v>573</v>
      </c>
      <c r="E118" s="3" t="s">
        <v>568</v>
      </c>
      <c r="F118" s="5">
        <v>1.1000000000000001</v>
      </c>
      <c r="G118" s="4">
        <v>1063</v>
      </c>
      <c r="H118" s="4">
        <v>1107</v>
      </c>
      <c r="I118" s="4">
        <v>1104</v>
      </c>
      <c r="J118" s="4">
        <v>1135</v>
      </c>
      <c r="K118" s="4">
        <v>1151</v>
      </c>
      <c r="L118" s="4">
        <v>1306</v>
      </c>
      <c r="M118" s="4">
        <v>1145</v>
      </c>
      <c r="N118" s="4">
        <v>1179</v>
      </c>
      <c r="O118" s="4">
        <v>1160</v>
      </c>
      <c r="P118" s="4">
        <v>1231</v>
      </c>
      <c r="Q118" s="4">
        <v>1182</v>
      </c>
      <c r="R118" s="4">
        <v>1186</v>
      </c>
      <c r="S118" s="4">
        <v>1190</v>
      </c>
      <c r="T118" s="4">
        <v>1245</v>
      </c>
      <c r="U118" s="4">
        <v>1201</v>
      </c>
      <c r="V118" s="4">
        <v>1219</v>
      </c>
      <c r="W118" s="4">
        <v>1242</v>
      </c>
      <c r="X118" s="7">
        <v>2.9233660471914562E-3</v>
      </c>
      <c r="Y118" s="8">
        <v>3.9558609202581252E-3</v>
      </c>
      <c r="Z118" s="8">
        <v>6.8436333471588728E-3</v>
      </c>
      <c r="AA118" s="8">
        <v>1.0710607621009279E-2</v>
      </c>
    </row>
    <row r="119" spans="2:27">
      <c r="B119" s="13" t="s">
        <v>135</v>
      </c>
      <c r="C119" s="3" t="s">
        <v>505</v>
      </c>
      <c r="D119" s="3" t="s">
        <v>549</v>
      </c>
      <c r="E119" s="3" t="s">
        <v>574</v>
      </c>
      <c r="F119" s="5"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4">
        <v>2.4700000000000002</v>
      </c>
      <c r="U119" s="4">
        <v>3.83</v>
      </c>
      <c r="V119" s="4">
        <v>4.16</v>
      </c>
      <c r="W119" s="4">
        <v>3.17</v>
      </c>
      <c r="X119" s="11"/>
      <c r="Y119" s="3"/>
      <c r="Z119" s="3"/>
      <c r="AA119" s="3"/>
    </row>
    <row r="120" spans="2:27">
      <c r="B120" s="13" t="s">
        <v>367</v>
      </c>
      <c r="C120" s="3" t="s">
        <v>505</v>
      </c>
      <c r="D120" s="3" t="s">
        <v>575</v>
      </c>
      <c r="E120" s="3" t="s">
        <v>568</v>
      </c>
      <c r="F120" s="5">
        <v>0</v>
      </c>
      <c r="G120" s="4">
        <v>890.59</v>
      </c>
      <c r="H120" s="4">
        <v>1062</v>
      </c>
      <c r="I120" s="4">
        <v>781.28</v>
      </c>
      <c r="J120" s="4">
        <v>700.7</v>
      </c>
      <c r="K120" s="4">
        <v>818.62</v>
      </c>
      <c r="L120" s="4">
        <v>912.13</v>
      </c>
      <c r="M120" s="4">
        <v>695.88</v>
      </c>
      <c r="N120" s="4">
        <v>600.20000000000005</v>
      </c>
      <c r="O120" s="4">
        <v>791.65</v>
      </c>
      <c r="P120" s="4">
        <v>857.86</v>
      </c>
      <c r="Q120" s="4">
        <v>661.49</v>
      </c>
      <c r="R120" s="4">
        <v>564.42999999999995</v>
      </c>
      <c r="S120" s="4">
        <v>758.46</v>
      </c>
      <c r="T120" s="4">
        <v>859.71</v>
      </c>
      <c r="U120" s="4">
        <v>629.83000000000004</v>
      </c>
      <c r="V120" s="4">
        <v>585.30999999999995</v>
      </c>
      <c r="W120" s="4">
        <v>757.84</v>
      </c>
      <c r="X120" s="7">
        <v>6.5089506867832547E-4</v>
      </c>
      <c r="Y120" s="8">
        <v>-1.113185588360421E-2</v>
      </c>
      <c r="Z120" s="8">
        <v>7.4241847797098526E-3</v>
      </c>
      <c r="AA120" s="8">
        <v>-2.1882533150263669E-4</v>
      </c>
    </row>
    <row r="121" spans="2:27">
      <c r="B121" s="13" t="s">
        <v>156</v>
      </c>
      <c r="C121" s="3" t="s">
        <v>505</v>
      </c>
      <c r="D121" s="3" t="s">
        <v>576</v>
      </c>
      <c r="E121" s="3" t="s">
        <v>568</v>
      </c>
      <c r="F121" s="5">
        <v>-0.4</v>
      </c>
      <c r="G121" s="4">
        <v>50.06</v>
      </c>
      <c r="H121" s="4">
        <v>73.28</v>
      </c>
      <c r="I121" s="4">
        <v>74.88</v>
      </c>
      <c r="J121" s="4">
        <v>84.95</v>
      </c>
      <c r="K121" s="6">
        <v>87.35</v>
      </c>
      <c r="L121" s="4">
        <v>80.91</v>
      </c>
      <c r="M121" s="4">
        <v>79.87</v>
      </c>
      <c r="N121" s="4">
        <v>64.28</v>
      </c>
      <c r="O121" s="4">
        <v>73.11</v>
      </c>
      <c r="P121" s="4">
        <v>76.400000000000006</v>
      </c>
      <c r="Q121" s="4">
        <v>70.8</v>
      </c>
      <c r="R121" s="4">
        <v>57.25</v>
      </c>
      <c r="S121" s="4">
        <v>52.22</v>
      </c>
      <c r="T121" s="4">
        <v>64.760000000000005</v>
      </c>
      <c r="U121" s="4">
        <v>55.68</v>
      </c>
      <c r="V121" s="4">
        <v>46.85</v>
      </c>
      <c r="W121" s="4">
        <v>51.42</v>
      </c>
      <c r="X121" s="7">
        <v>-4.5350060388826163E-2</v>
      </c>
      <c r="Y121" s="8">
        <v>-6.1706729788189252E-2</v>
      </c>
      <c r="Z121" s="8">
        <v>-4.523509199251885E-2</v>
      </c>
      <c r="AA121" s="8">
        <v>-3.644480889253288E-3</v>
      </c>
    </row>
    <row r="122" spans="2:27">
      <c r="B122" s="13" t="s">
        <v>356</v>
      </c>
      <c r="C122" s="3" t="s">
        <v>505</v>
      </c>
      <c r="D122" s="3" t="s">
        <v>561</v>
      </c>
      <c r="E122" s="3" t="s">
        <v>568</v>
      </c>
      <c r="F122" s="5">
        <v>-11.5</v>
      </c>
      <c r="G122" s="4">
        <v>3136</v>
      </c>
      <c r="H122" s="4">
        <v>3466</v>
      </c>
      <c r="I122" s="4">
        <v>3716</v>
      </c>
      <c r="J122" s="4">
        <v>3429</v>
      </c>
      <c r="K122" s="4">
        <v>3228</v>
      </c>
      <c r="L122" s="4">
        <v>2189</v>
      </c>
      <c r="M122" s="4">
        <v>1374</v>
      </c>
      <c r="N122" s="4">
        <v>1310</v>
      </c>
      <c r="O122" s="4">
        <v>1273</v>
      </c>
      <c r="P122" s="4">
        <v>1205</v>
      </c>
      <c r="Q122" s="4">
        <v>1562</v>
      </c>
      <c r="R122" s="6">
        <v>1933</v>
      </c>
      <c r="S122" s="6">
        <v>2765</v>
      </c>
      <c r="T122" s="6">
        <v>2168</v>
      </c>
      <c r="U122" s="4">
        <v>2007</v>
      </c>
      <c r="V122" s="4">
        <v>1636</v>
      </c>
      <c r="W122" s="4">
        <v>1777</v>
      </c>
      <c r="X122" s="10">
        <v>0.12900200937709319</v>
      </c>
      <c r="Y122" s="8">
        <v>5.2800189843379197E-2</v>
      </c>
      <c r="Z122" s="8">
        <v>-3.3472331793080179E-2</v>
      </c>
      <c r="AA122" s="8">
        <v>-0.1152052238805971</v>
      </c>
    </row>
    <row r="123" spans="2:27">
      <c r="B123" s="13" t="s">
        <v>35</v>
      </c>
      <c r="C123" s="3" t="s">
        <v>566</v>
      </c>
      <c r="D123" s="3" t="s">
        <v>577</v>
      </c>
      <c r="E123" s="3" t="s">
        <v>568</v>
      </c>
      <c r="F123" s="5">
        <v>10.4</v>
      </c>
      <c r="G123" s="4">
        <v>1.9</v>
      </c>
      <c r="H123" s="4">
        <v>2.3199999999999998</v>
      </c>
      <c r="I123" s="4">
        <v>2.2000000000000002</v>
      </c>
      <c r="J123" s="4">
        <v>2.08</v>
      </c>
      <c r="K123" s="6">
        <v>2.79</v>
      </c>
      <c r="L123" s="4">
        <v>2.57</v>
      </c>
      <c r="M123" s="4">
        <v>2.81</v>
      </c>
      <c r="N123" s="4">
        <v>2.6</v>
      </c>
      <c r="O123" s="4">
        <v>2.38</v>
      </c>
      <c r="P123" s="6">
        <v>3.96</v>
      </c>
      <c r="Q123" s="4">
        <v>3.33</v>
      </c>
      <c r="R123" s="4">
        <v>3.75</v>
      </c>
      <c r="S123" s="6">
        <v>3.73</v>
      </c>
      <c r="T123" s="6">
        <v>5.52</v>
      </c>
      <c r="U123" s="6">
        <v>11.64</v>
      </c>
      <c r="V123" s="6">
        <v>9.09</v>
      </c>
      <c r="W123" s="6">
        <v>6.86</v>
      </c>
      <c r="X123" s="10">
        <v>0.10561949898442791</v>
      </c>
      <c r="Y123" s="9">
        <v>0.50887936313533388</v>
      </c>
      <c r="Z123" s="9">
        <v>0.21672077922077931</v>
      </c>
      <c r="AA123" s="9">
        <v>0.1044029352901934</v>
      </c>
    </row>
    <row r="124" spans="2:27">
      <c r="B124" s="13" t="s">
        <v>234</v>
      </c>
      <c r="C124" s="3" t="s">
        <v>566</v>
      </c>
      <c r="D124" s="3" t="s">
        <v>578</v>
      </c>
      <c r="E124" s="3" t="s">
        <v>568</v>
      </c>
      <c r="F124" s="5">
        <v>6.8</v>
      </c>
      <c r="G124" s="4">
        <v>5.33</v>
      </c>
      <c r="H124" s="4">
        <v>6.05</v>
      </c>
      <c r="I124" s="4">
        <v>6.26</v>
      </c>
      <c r="J124" s="4">
        <v>7.04</v>
      </c>
      <c r="K124" s="4">
        <v>4.7699999999999996</v>
      </c>
      <c r="L124" s="4">
        <v>6.73</v>
      </c>
      <c r="M124" s="4">
        <v>7.1</v>
      </c>
      <c r="N124" s="4">
        <v>5.53</v>
      </c>
      <c r="O124" s="4">
        <v>4.46</v>
      </c>
      <c r="P124" s="4">
        <v>5.42</v>
      </c>
      <c r="Q124" s="4">
        <v>7.82</v>
      </c>
      <c r="R124" s="6">
        <v>7.94</v>
      </c>
      <c r="S124" s="4">
        <v>6.79</v>
      </c>
      <c r="T124" s="4">
        <v>6.28</v>
      </c>
      <c r="U124" s="4">
        <v>7.91</v>
      </c>
      <c r="V124" s="4">
        <v>7.19</v>
      </c>
      <c r="W124" s="4">
        <v>8.6999999999999993</v>
      </c>
      <c r="X124" s="7">
        <v>3.074722917411532E-2</v>
      </c>
      <c r="Y124" s="8">
        <v>3.1217481789802548E-3</v>
      </c>
      <c r="Z124" s="8">
        <v>-2.5933609958506239E-2</v>
      </c>
      <c r="AA124" s="8">
        <v>6.780262690805805E-2</v>
      </c>
    </row>
    <row r="125" spans="2:27">
      <c r="B125" s="13" t="s">
        <v>78</v>
      </c>
      <c r="C125" s="3" t="s">
        <v>579</v>
      </c>
      <c r="D125" s="3" t="s">
        <v>565</v>
      </c>
      <c r="E125" s="3" t="s">
        <v>580</v>
      </c>
      <c r="F125" s="5">
        <v>6.7</v>
      </c>
      <c r="G125" s="3"/>
      <c r="H125" s="3"/>
      <c r="I125" s="3"/>
      <c r="J125" s="3"/>
      <c r="K125" s="3"/>
      <c r="L125" s="3"/>
      <c r="M125" s="3"/>
      <c r="N125" s="4">
        <v>20843</v>
      </c>
      <c r="O125" s="4">
        <v>22812</v>
      </c>
      <c r="P125" s="4">
        <v>26516</v>
      </c>
      <c r="Q125" s="4">
        <v>25965</v>
      </c>
      <c r="R125" s="4">
        <v>27686</v>
      </c>
      <c r="S125" s="4">
        <v>29645</v>
      </c>
      <c r="T125" s="4">
        <v>32711</v>
      </c>
      <c r="U125" s="4">
        <v>33735</v>
      </c>
      <c r="V125" s="4">
        <v>37091</v>
      </c>
      <c r="W125" s="4">
        <v>38544</v>
      </c>
      <c r="X125" s="7">
        <v>5.6414599497322637E-2</v>
      </c>
      <c r="Y125" s="8">
        <v>6.6978716801572302E-2</v>
      </c>
      <c r="Z125" s="8">
        <v>7.598342179888018E-2</v>
      </c>
      <c r="AA125" s="8">
        <v>6.6818338814554457E-2</v>
      </c>
    </row>
    <row r="126" spans="2:27">
      <c r="B126" s="13" t="s">
        <v>82</v>
      </c>
      <c r="C126" s="3" t="s">
        <v>579</v>
      </c>
      <c r="D126" s="3" t="s">
        <v>565</v>
      </c>
      <c r="E126" s="3" t="s">
        <v>580</v>
      </c>
      <c r="F126" s="5">
        <v>4.5</v>
      </c>
      <c r="G126" s="3"/>
      <c r="H126" s="3"/>
      <c r="I126" s="3"/>
      <c r="J126" s="3"/>
      <c r="K126" s="3"/>
      <c r="L126" s="3"/>
      <c r="M126" s="3"/>
      <c r="N126" s="4">
        <v>627.15</v>
      </c>
      <c r="O126" s="4">
        <v>502.82</v>
      </c>
      <c r="P126" s="4">
        <v>1024</v>
      </c>
      <c r="Q126" s="4">
        <v>443.28</v>
      </c>
      <c r="R126" s="4">
        <v>603.61</v>
      </c>
      <c r="S126" s="4">
        <v>322.27</v>
      </c>
      <c r="T126" s="4">
        <v>269.62</v>
      </c>
      <c r="U126" s="4">
        <v>333.6</v>
      </c>
      <c r="V126" s="4">
        <v>236.47</v>
      </c>
      <c r="W126" s="4">
        <v>374.83</v>
      </c>
      <c r="X126" s="7">
        <v>-0.31522338665195798</v>
      </c>
      <c r="Y126" s="8">
        <v>-6.6927836561344489E-2</v>
      </c>
      <c r="Z126" s="8">
        <v>-0.24010202079654699</v>
      </c>
      <c r="AA126" s="8">
        <v>4.5233915108953797E-2</v>
      </c>
    </row>
  </sheetData>
  <autoFilter ref="B2:AA126" xr:uid="{00000000-0009-0000-0000-00000100000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27"/>
  <sheetViews>
    <sheetView workbookViewId="0">
      <selection activeCell="F18" sqref="F18"/>
    </sheetView>
  </sheetViews>
  <sheetFormatPr defaultRowHeight="16.5"/>
  <cols>
    <col min="1" max="1" width="3" customWidth="1"/>
    <col min="2" max="2" width="12" customWidth="1"/>
    <col min="3" max="3" width="14" customWidth="1"/>
    <col min="4" max="4" width="34" bestFit="1" customWidth="1"/>
    <col min="5" max="6" width="12" customWidth="1"/>
    <col min="7" max="23" width="9" customWidth="1"/>
    <col min="24" max="27" width="10" customWidth="1"/>
  </cols>
  <sheetData>
    <row r="2" spans="2:27">
      <c r="B2" s="17" t="s">
        <v>1</v>
      </c>
      <c r="C2" s="17" t="s">
        <v>484</v>
      </c>
      <c r="D2" s="17" t="s">
        <v>485</v>
      </c>
      <c r="E2" s="17" t="s">
        <v>486</v>
      </c>
      <c r="F2" s="17" t="s">
        <v>487</v>
      </c>
      <c r="G2" s="17" t="s">
        <v>488</v>
      </c>
      <c r="H2" s="17" t="s">
        <v>489</v>
      </c>
      <c r="I2" s="17" t="s">
        <v>490</v>
      </c>
      <c r="J2" s="17" t="s">
        <v>491</v>
      </c>
      <c r="K2" s="17" t="s">
        <v>492</v>
      </c>
      <c r="L2" s="17" t="s">
        <v>493</v>
      </c>
      <c r="M2" s="17" t="s">
        <v>494</v>
      </c>
      <c r="N2" s="17" t="s">
        <v>495</v>
      </c>
      <c r="O2" s="17" t="s">
        <v>496</v>
      </c>
      <c r="P2" s="17" t="s">
        <v>497</v>
      </c>
      <c r="Q2" s="17" t="s">
        <v>498</v>
      </c>
      <c r="R2" s="17" t="s">
        <v>499</v>
      </c>
      <c r="S2" s="17" t="s">
        <v>500</v>
      </c>
      <c r="T2" s="17" t="s">
        <v>501</v>
      </c>
      <c r="U2" s="17" t="s">
        <v>502</v>
      </c>
      <c r="V2" s="17" t="s">
        <v>503</v>
      </c>
      <c r="W2" s="17" t="s">
        <v>504</v>
      </c>
      <c r="X2" s="17" t="s">
        <v>501</v>
      </c>
      <c r="Y2" s="17" t="s">
        <v>502</v>
      </c>
      <c r="Z2" s="17" t="s">
        <v>503</v>
      </c>
      <c r="AA2" s="17" t="s">
        <v>504</v>
      </c>
    </row>
    <row r="3" spans="2:27">
      <c r="B3" s="3" t="s">
        <v>142</v>
      </c>
      <c r="C3" s="3" t="s">
        <v>505</v>
      </c>
      <c r="D3" s="3" t="s">
        <v>519</v>
      </c>
      <c r="E3" s="3" t="s">
        <v>507</v>
      </c>
      <c r="F3" s="5">
        <v>306.5</v>
      </c>
      <c r="G3" s="18">
        <v>-75.77</v>
      </c>
      <c r="H3" s="18">
        <v>-17.399999999999999</v>
      </c>
      <c r="I3" s="18">
        <v>-17.25</v>
      </c>
      <c r="J3" s="18">
        <v>-18.079999999999998</v>
      </c>
      <c r="K3" s="18">
        <v>-21.66</v>
      </c>
      <c r="L3" s="18">
        <v>-11.06</v>
      </c>
      <c r="M3" s="18">
        <v>-19.53</v>
      </c>
      <c r="N3" s="18">
        <v>-24.67</v>
      </c>
      <c r="O3" s="18">
        <v>-1.46</v>
      </c>
      <c r="P3" s="18">
        <v>37.520000000000003</v>
      </c>
      <c r="Q3" s="19">
        <v>-38.68</v>
      </c>
      <c r="R3" s="19">
        <v>-45.17</v>
      </c>
      <c r="S3" s="18">
        <v>5.53</v>
      </c>
      <c r="T3" s="19">
        <v>-40.64</v>
      </c>
      <c r="U3" s="18">
        <v>-29.44</v>
      </c>
      <c r="V3" s="18">
        <v>-27.2</v>
      </c>
      <c r="W3" s="19">
        <v>-275.7</v>
      </c>
      <c r="X3" s="10">
        <v>1.915686274509804</v>
      </c>
      <c r="Y3" s="8">
        <v>-7.7673167451244196E-2</v>
      </c>
      <c r="Z3" s="8">
        <v>-0.16378053226394459</v>
      </c>
      <c r="AA3" s="9">
        <v>3.0651771117166211</v>
      </c>
    </row>
    <row r="4" spans="2:27">
      <c r="B4" s="3" t="s">
        <v>196</v>
      </c>
      <c r="C4" s="3" t="s">
        <v>505</v>
      </c>
      <c r="D4" s="3" t="s">
        <v>524</v>
      </c>
      <c r="E4" s="3" t="s">
        <v>507</v>
      </c>
      <c r="F4" s="5">
        <v>272.60000000000002</v>
      </c>
      <c r="G4" s="18">
        <v>-60.46</v>
      </c>
      <c r="H4" s="18">
        <v>-67.72</v>
      </c>
      <c r="I4" s="18">
        <v>-77.09</v>
      </c>
      <c r="J4" s="18">
        <v>-66.17</v>
      </c>
      <c r="K4" s="18">
        <v>-47.71</v>
      </c>
      <c r="L4" s="18">
        <v>-52.24</v>
      </c>
      <c r="M4" s="18">
        <v>-43.37</v>
      </c>
      <c r="N4" s="18">
        <v>-37.17</v>
      </c>
      <c r="O4" s="18">
        <v>-31.86</v>
      </c>
      <c r="P4" s="18">
        <v>-35.869999999999997</v>
      </c>
      <c r="Q4" s="18">
        <v>-26.58</v>
      </c>
      <c r="R4" s="18">
        <v>-7.8</v>
      </c>
      <c r="S4" s="18">
        <v>10.57</v>
      </c>
      <c r="T4" s="18">
        <v>-12.96</v>
      </c>
      <c r="U4" s="18">
        <v>-5.1100000000000003</v>
      </c>
      <c r="V4" s="18">
        <v>15.23</v>
      </c>
      <c r="W4" s="19">
        <v>31.64</v>
      </c>
      <c r="X4" s="7">
        <v>-0.3838806970509383</v>
      </c>
      <c r="Y4" s="8">
        <v>-0.5838999184117486</v>
      </c>
      <c r="Z4" s="8">
        <v>-1.5052287581699351</v>
      </c>
      <c r="AA4" s="9">
        <v>2.725743855109962</v>
      </c>
    </row>
    <row r="5" spans="2:27">
      <c r="B5" s="3" t="s">
        <v>44</v>
      </c>
      <c r="C5" s="3" t="s">
        <v>505</v>
      </c>
      <c r="D5" s="3" t="s">
        <v>518</v>
      </c>
      <c r="E5" s="3" t="s">
        <v>507</v>
      </c>
      <c r="F5" s="5">
        <v>214.5</v>
      </c>
      <c r="G5" s="18">
        <v>-27.07</v>
      </c>
      <c r="H5" s="18">
        <v>17.190000000000001</v>
      </c>
      <c r="I5" s="18">
        <v>21.41</v>
      </c>
      <c r="J5" s="18">
        <v>31.32</v>
      </c>
      <c r="K5" s="19">
        <v>22.54</v>
      </c>
      <c r="L5" s="18">
        <v>16.61</v>
      </c>
      <c r="M5" s="19">
        <v>40.26</v>
      </c>
      <c r="N5" s="19">
        <v>57.42</v>
      </c>
      <c r="O5" s="19">
        <v>48.65</v>
      </c>
      <c r="P5" s="18">
        <v>16.46</v>
      </c>
      <c r="Q5" s="18">
        <v>33.76</v>
      </c>
      <c r="R5" s="18">
        <v>24.08</v>
      </c>
      <c r="S5" s="18">
        <v>-9.5500000000000007</v>
      </c>
      <c r="T5" s="18">
        <v>-7.89</v>
      </c>
      <c r="U5" s="18">
        <v>0.16</v>
      </c>
      <c r="V5" s="18">
        <v>-1.63</v>
      </c>
      <c r="W5" s="19">
        <v>-50.12</v>
      </c>
      <c r="X5" s="7">
        <v>-0.37606177606177599</v>
      </c>
      <c r="Y5" s="8">
        <v>-0.83168316831683176</v>
      </c>
      <c r="Z5" s="8">
        <v>-3.7808823529411768</v>
      </c>
      <c r="AA5" s="9">
        <v>2.1454257006874671</v>
      </c>
    </row>
    <row r="6" spans="2:27">
      <c r="B6" s="3" t="s">
        <v>232</v>
      </c>
      <c r="C6" s="3" t="s">
        <v>505</v>
      </c>
      <c r="D6" s="3" t="s">
        <v>513</v>
      </c>
      <c r="E6" s="3" t="s">
        <v>507</v>
      </c>
      <c r="F6" s="5">
        <v>102.4</v>
      </c>
      <c r="G6" s="18">
        <v>-36.130000000000003</v>
      </c>
      <c r="H6" s="18">
        <v>-23.32</v>
      </c>
      <c r="I6" s="18">
        <v>-19.37</v>
      </c>
      <c r="J6" s="18">
        <v>46.41</v>
      </c>
      <c r="K6" s="18">
        <v>6.05</v>
      </c>
      <c r="L6" s="19">
        <v>-11.2</v>
      </c>
      <c r="M6" s="19">
        <v>-3.15</v>
      </c>
      <c r="N6" s="18">
        <v>-10.93</v>
      </c>
      <c r="O6" s="19">
        <v>0.08</v>
      </c>
      <c r="P6" s="19">
        <v>-16.54</v>
      </c>
      <c r="Q6" s="18">
        <v>-0.12</v>
      </c>
      <c r="R6" s="18">
        <v>-9.66</v>
      </c>
      <c r="S6" s="19">
        <v>-19.3</v>
      </c>
      <c r="T6" s="18">
        <v>13.27</v>
      </c>
      <c r="U6" s="18">
        <v>20.16</v>
      </c>
      <c r="V6" s="19">
        <v>24.02</v>
      </c>
      <c r="W6" s="19">
        <v>19.77</v>
      </c>
      <c r="X6" s="7">
        <v>-0.65344147303814115</v>
      </c>
      <c r="Y6" s="8">
        <v>-1.282732447817837</v>
      </c>
      <c r="Z6" s="9">
        <v>7.5346756152125298</v>
      </c>
      <c r="AA6" s="9">
        <v>1.024115334207077</v>
      </c>
    </row>
    <row r="7" spans="2:27">
      <c r="B7" s="3" t="s">
        <v>126</v>
      </c>
      <c r="C7" s="3" t="s">
        <v>505</v>
      </c>
      <c r="D7" s="3" t="s">
        <v>523</v>
      </c>
      <c r="E7" s="3" t="s">
        <v>507</v>
      </c>
      <c r="F7" s="5">
        <v>77.8</v>
      </c>
      <c r="G7" s="18">
        <v>26.09</v>
      </c>
      <c r="H7" s="18">
        <v>48.71</v>
      </c>
      <c r="I7" s="18">
        <v>66.67</v>
      </c>
      <c r="J7" s="18">
        <v>59.05</v>
      </c>
      <c r="K7" s="19">
        <v>61.82</v>
      </c>
      <c r="L7" s="18">
        <v>57.76</v>
      </c>
      <c r="M7" s="18">
        <v>69.180000000000007</v>
      </c>
      <c r="N7" s="18">
        <v>48.95</v>
      </c>
      <c r="O7" s="18">
        <v>78.55</v>
      </c>
      <c r="P7" s="19">
        <v>88.05</v>
      </c>
      <c r="Q7" s="18">
        <v>62.87</v>
      </c>
      <c r="R7" s="18">
        <v>50.53</v>
      </c>
      <c r="S7" s="18">
        <v>-96.48</v>
      </c>
      <c r="T7" s="18">
        <v>98.26</v>
      </c>
      <c r="U7" s="19">
        <v>129.16999999999999</v>
      </c>
      <c r="V7" s="19">
        <v>170.82</v>
      </c>
      <c r="W7" s="19">
        <v>138.41</v>
      </c>
      <c r="X7" s="7">
        <v>9.7265885491092829E-2</v>
      </c>
      <c r="Y7" s="9">
        <v>0.57562076749435653</v>
      </c>
      <c r="Z7" s="9">
        <v>0.66282785981926384</v>
      </c>
      <c r="AA7" s="9">
        <v>0.77837425854127318</v>
      </c>
    </row>
    <row r="8" spans="2:27">
      <c r="B8" s="3" t="s">
        <v>313</v>
      </c>
      <c r="C8" s="3" t="s">
        <v>505</v>
      </c>
      <c r="D8" s="3" t="s">
        <v>526</v>
      </c>
      <c r="E8" s="3" t="s">
        <v>507</v>
      </c>
      <c r="F8" s="5">
        <v>44.8</v>
      </c>
      <c r="G8" s="18">
        <v>1.54</v>
      </c>
      <c r="H8" s="18">
        <v>4.4400000000000004</v>
      </c>
      <c r="I8" s="18">
        <v>11.65</v>
      </c>
      <c r="J8" s="18">
        <v>0.03</v>
      </c>
      <c r="K8" s="18">
        <v>-10.71</v>
      </c>
      <c r="L8" s="18">
        <v>0</v>
      </c>
      <c r="M8" s="19">
        <v>12.84</v>
      </c>
      <c r="N8" s="19">
        <v>3.71</v>
      </c>
      <c r="O8" s="19">
        <v>0</v>
      </c>
      <c r="P8" s="18">
        <v>-2.17</v>
      </c>
      <c r="Q8" s="19">
        <v>18.54</v>
      </c>
      <c r="R8" s="19">
        <v>9.67</v>
      </c>
      <c r="S8" s="18">
        <v>-6.09</v>
      </c>
      <c r="T8" s="18">
        <v>-10.38</v>
      </c>
      <c r="U8" s="18">
        <v>-2.38</v>
      </c>
      <c r="V8" s="19">
        <v>4.0199999999999996</v>
      </c>
      <c r="W8" s="19">
        <v>-12.73</v>
      </c>
      <c r="X8" s="7">
        <v>-0.41152882205513791</v>
      </c>
      <c r="Y8" s="8">
        <v>-1.7819420783645661</v>
      </c>
      <c r="Z8" s="9">
        <v>0.61546840958605697</v>
      </c>
      <c r="AA8" s="9">
        <v>0.44774106540795677</v>
      </c>
    </row>
    <row r="9" spans="2:27">
      <c r="B9" s="3" t="s">
        <v>249</v>
      </c>
      <c r="C9" s="3" t="s">
        <v>505</v>
      </c>
      <c r="D9" s="3" t="s">
        <v>518</v>
      </c>
      <c r="E9" s="3" t="s">
        <v>507</v>
      </c>
      <c r="F9" s="5">
        <v>44.5</v>
      </c>
      <c r="G9" s="18">
        <v>-12.7</v>
      </c>
      <c r="H9" s="18">
        <v>-10.71</v>
      </c>
      <c r="I9" s="18">
        <v>-8.94</v>
      </c>
      <c r="J9" s="18">
        <v>-20.059999999999999</v>
      </c>
      <c r="K9" s="18">
        <v>-3.18</v>
      </c>
      <c r="L9" s="18">
        <v>-2.88</v>
      </c>
      <c r="M9" s="18">
        <v>1.88</v>
      </c>
      <c r="N9" s="18">
        <v>-14.99</v>
      </c>
      <c r="O9" s="18">
        <v>6.67</v>
      </c>
      <c r="P9" s="18">
        <v>1.67</v>
      </c>
      <c r="Q9" s="18">
        <v>7.55</v>
      </c>
      <c r="R9" s="19">
        <v>8.3699999999999992</v>
      </c>
      <c r="S9" s="18">
        <v>8.9499999999999993</v>
      </c>
      <c r="T9" s="19">
        <v>19.37</v>
      </c>
      <c r="U9" s="18">
        <v>8.26</v>
      </c>
      <c r="V9" s="19">
        <v>23.06</v>
      </c>
      <c r="W9" s="19">
        <v>35.46</v>
      </c>
      <c r="X9" s="10">
        <v>0.6669178598342127</v>
      </c>
      <c r="Y9" s="8">
        <v>1.6048824593128511E-2</v>
      </c>
      <c r="Z9" s="9">
        <v>0.32680756395995553</v>
      </c>
      <c r="AA9" s="9">
        <v>0.44450033534540578</v>
      </c>
    </row>
    <row r="10" spans="2:27">
      <c r="B10" s="3" t="s">
        <v>188</v>
      </c>
      <c r="C10" s="3" t="s">
        <v>505</v>
      </c>
      <c r="D10" s="3" t="s">
        <v>533</v>
      </c>
      <c r="E10" s="3" t="s">
        <v>507</v>
      </c>
      <c r="F10" s="5">
        <v>39.9</v>
      </c>
      <c r="G10" s="18">
        <v>2.96</v>
      </c>
      <c r="H10" s="18">
        <v>13.76</v>
      </c>
      <c r="I10" s="18">
        <v>12.52</v>
      </c>
      <c r="J10" s="18">
        <v>17.16</v>
      </c>
      <c r="K10" s="19">
        <v>9.64</v>
      </c>
      <c r="L10" s="18">
        <v>13.33</v>
      </c>
      <c r="M10" s="18">
        <v>9.56</v>
      </c>
      <c r="N10" s="18">
        <v>16.57</v>
      </c>
      <c r="O10" s="19">
        <v>19.36</v>
      </c>
      <c r="P10" s="18">
        <v>7.8</v>
      </c>
      <c r="Q10" s="19">
        <v>22.51</v>
      </c>
      <c r="R10" s="19">
        <v>28.69</v>
      </c>
      <c r="S10" s="18">
        <v>21.11</v>
      </c>
      <c r="T10" s="18">
        <v>-3.2</v>
      </c>
      <c r="U10" s="18">
        <v>24.57</v>
      </c>
      <c r="V10" s="18">
        <v>30.17</v>
      </c>
      <c r="W10" s="19">
        <v>50.1</v>
      </c>
      <c r="X10" s="7">
        <v>-0.13731119710398201</v>
      </c>
      <c r="Y10" s="8">
        <v>2.980755317609618E-2</v>
      </c>
      <c r="Z10" s="8">
        <v>2.0795278909653051E-2</v>
      </c>
      <c r="AA10" s="9">
        <v>0.3990364762560219</v>
      </c>
    </row>
    <row r="11" spans="2:27">
      <c r="B11" s="3" t="s">
        <v>118</v>
      </c>
      <c r="C11" s="3" t="s">
        <v>505</v>
      </c>
      <c r="D11" s="3" t="s">
        <v>506</v>
      </c>
      <c r="E11" s="3" t="s">
        <v>507</v>
      </c>
      <c r="F11" s="5">
        <v>38.4</v>
      </c>
      <c r="G11" s="18">
        <v>352.83</v>
      </c>
      <c r="H11" s="18">
        <v>161.09</v>
      </c>
      <c r="I11" s="18">
        <v>160.99</v>
      </c>
      <c r="J11" s="18">
        <v>148.1</v>
      </c>
      <c r="K11" s="18">
        <v>266.70999999999998</v>
      </c>
      <c r="L11" s="18">
        <v>187.51</v>
      </c>
      <c r="M11" s="18">
        <v>157.63999999999999</v>
      </c>
      <c r="N11" s="18">
        <v>172.39</v>
      </c>
      <c r="O11" s="18">
        <v>234.55</v>
      </c>
      <c r="P11" s="18">
        <v>105.15</v>
      </c>
      <c r="Q11" s="18">
        <v>199.44</v>
      </c>
      <c r="R11" s="19">
        <v>260.20999999999998</v>
      </c>
      <c r="S11" s="18">
        <v>93.55</v>
      </c>
      <c r="T11" s="18">
        <v>-26.01</v>
      </c>
      <c r="U11" s="18">
        <v>218.97</v>
      </c>
      <c r="V11" s="18">
        <v>251.51</v>
      </c>
      <c r="W11" s="19">
        <v>300.04000000000002</v>
      </c>
      <c r="X11" s="7">
        <v>-0.19922533606744139</v>
      </c>
      <c r="Y11" s="8">
        <v>3.7045467478518328E-2</v>
      </c>
      <c r="Z11" s="8">
        <v>-1.5913081650570701E-2</v>
      </c>
      <c r="AA11" s="9">
        <v>0.38379614140738272</v>
      </c>
    </row>
    <row r="12" spans="2:27">
      <c r="B12" s="3" t="s">
        <v>309</v>
      </c>
      <c r="C12" s="3" t="s">
        <v>505</v>
      </c>
      <c r="D12" s="3" t="s">
        <v>556</v>
      </c>
      <c r="E12" s="3" t="s">
        <v>507</v>
      </c>
      <c r="F12" s="5">
        <v>36.4</v>
      </c>
      <c r="G12" s="18">
        <v>25.88</v>
      </c>
      <c r="H12" s="18">
        <v>-121.03</v>
      </c>
      <c r="I12" s="18">
        <v>174.04</v>
      </c>
      <c r="J12" s="18">
        <v>283.99</v>
      </c>
      <c r="K12" s="19">
        <v>105.46</v>
      </c>
      <c r="L12" s="19">
        <v>266.67</v>
      </c>
      <c r="M12" s="18">
        <v>53.28</v>
      </c>
      <c r="N12" s="18">
        <v>197.61</v>
      </c>
      <c r="O12" s="19">
        <v>168.42</v>
      </c>
      <c r="P12" s="18">
        <v>16.82</v>
      </c>
      <c r="Q12" s="18">
        <v>44.81</v>
      </c>
      <c r="R12" s="18">
        <v>33.4</v>
      </c>
      <c r="S12" s="18">
        <v>-45.46</v>
      </c>
      <c r="T12" s="18">
        <v>-23.29</v>
      </c>
      <c r="U12" s="19">
        <v>88.23</v>
      </c>
      <c r="V12" s="19">
        <v>354.16</v>
      </c>
      <c r="W12" s="19">
        <v>90.5</v>
      </c>
      <c r="X12" s="7">
        <v>-0.80915876538228759</v>
      </c>
      <c r="Y12" s="9">
        <v>4.589852008456659</v>
      </c>
      <c r="Z12" s="9">
        <v>6.0658093797276864</v>
      </c>
      <c r="AA12" s="9">
        <v>0.36387967027084889</v>
      </c>
    </row>
    <row r="13" spans="2:27">
      <c r="B13" s="3" t="s">
        <v>206</v>
      </c>
      <c r="C13" s="3" t="s">
        <v>505</v>
      </c>
      <c r="D13" s="3" t="s">
        <v>515</v>
      </c>
      <c r="E13" s="3" t="s">
        <v>507</v>
      </c>
      <c r="F13" s="5">
        <v>33.6</v>
      </c>
      <c r="G13" s="18">
        <v>581.1</v>
      </c>
      <c r="H13" s="18">
        <v>-492.8</v>
      </c>
      <c r="I13" s="18">
        <v>275.10000000000002</v>
      </c>
      <c r="J13" s="18">
        <v>-3.87</v>
      </c>
      <c r="K13" s="19">
        <v>764.7</v>
      </c>
      <c r="L13" s="19">
        <v>524.46</v>
      </c>
      <c r="M13" s="18">
        <v>105.48</v>
      </c>
      <c r="N13" s="18">
        <v>67.180000000000007</v>
      </c>
      <c r="O13" s="18">
        <v>282.49</v>
      </c>
      <c r="P13" s="18">
        <v>81.77</v>
      </c>
      <c r="Q13" s="18">
        <v>-18.12</v>
      </c>
      <c r="R13" s="18">
        <v>45.07</v>
      </c>
      <c r="S13" s="18">
        <v>27.74</v>
      </c>
      <c r="T13" s="18">
        <v>12.01</v>
      </c>
      <c r="U13" s="19">
        <v>250.77</v>
      </c>
      <c r="V13" s="19">
        <v>158.99</v>
      </c>
      <c r="W13" s="19">
        <v>178.65</v>
      </c>
      <c r="X13" s="7">
        <v>-0.51121207679906189</v>
      </c>
      <c r="Y13" s="9">
        <v>4.0313343328335831</v>
      </c>
      <c r="Z13" s="9">
        <v>0.3394618433207186</v>
      </c>
      <c r="AA13" s="9">
        <v>0.33572111855131159</v>
      </c>
    </row>
    <row r="14" spans="2:27">
      <c r="B14" s="3" t="s">
        <v>174</v>
      </c>
      <c r="C14" s="3" t="s">
        <v>505</v>
      </c>
      <c r="D14" s="3" t="s">
        <v>535</v>
      </c>
      <c r="E14" s="3" t="s">
        <v>507</v>
      </c>
      <c r="F14" s="5">
        <v>26.7</v>
      </c>
      <c r="G14" s="18">
        <v>39.130000000000003</v>
      </c>
      <c r="H14" s="18">
        <v>-248.85</v>
      </c>
      <c r="I14" s="18">
        <v>-267.07</v>
      </c>
      <c r="J14" s="18">
        <v>-124.63</v>
      </c>
      <c r="K14" s="18">
        <v>-12.93</v>
      </c>
      <c r="L14" s="18">
        <v>-57.15</v>
      </c>
      <c r="M14" s="18">
        <v>-55.66</v>
      </c>
      <c r="N14" s="18">
        <v>-9.31</v>
      </c>
      <c r="O14" s="18">
        <v>245.72</v>
      </c>
      <c r="P14" s="19">
        <v>96.99</v>
      </c>
      <c r="Q14" s="19">
        <v>88.3</v>
      </c>
      <c r="R14" s="19">
        <v>294.77999999999997</v>
      </c>
      <c r="S14" s="18">
        <v>110.83</v>
      </c>
      <c r="T14" s="18">
        <v>-135.11000000000001</v>
      </c>
      <c r="U14" s="19">
        <v>211.24</v>
      </c>
      <c r="V14" s="19">
        <v>357.5</v>
      </c>
      <c r="W14" s="19">
        <v>255.94</v>
      </c>
      <c r="X14" s="7">
        <v>-0.39279065831782028</v>
      </c>
      <c r="Y14" s="9">
        <v>0.34264214046822739</v>
      </c>
      <c r="Z14" s="9">
        <v>0.13019471083987219</v>
      </c>
      <c r="AA14" s="9">
        <v>0.26652095654409852</v>
      </c>
    </row>
    <row r="15" spans="2:27">
      <c r="B15" s="3" t="s">
        <v>305</v>
      </c>
      <c r="C15" s="3" t="s">
        <v>505</v>
      </c>
      <c r="D15" s="3" t="s">
        <v>524</v>
      </c>
      <c r="E15" s="3" t="s">
        <v>507</v>
      </c>
      <c r="F15" s="5">
        <v>25.2</v>
      </c>
      <c r="G15" s="18">
        <v>-9.64</v>
      </c>
      <c r="H15" s="18">
        <v>-6.57</v>
      </c>
      <c r="I15" s="18">
        <v>-18.079999999999998</v>
      </c>
      <c r="J15" s="18">
        <v>5.0999999999999996</v>
      </c>
      <c r="K15" s="18">
        <v>-12.07</v>
      </c>
      <c r="L15" s="18">
        <v>-5.86</v>
      </c>
      <c r="M15" s="18">
        <v>-16.21</v>
      </c>
      <c r="N15" s="18">
        <v>11.99</v>
      </c>
      <c r="O15" s="18">
        <v>-9.73</v>
      </c>
      <c r="P15" s="18">
        <v>-6.44</v>
      </c>
      <c r="Q15" s="18">
        <v>-16.190000000000001</v>
      </c>
      <c r="R15" s="18">
        <v>21.17</v>
      </c>
      <c r="S15" s="18">
        <v>-5.79</v>
      </c>
      <c r="T15" s="18">
        <v>-0.98</v>
      </c>
      <c r="U15" s="18">
        <v>-8.4499999999999993</v>
      </c>
      <c r="V15" s="19">
        <v>31.55</v>
      </c>
      <c r="W15" s="19">
        <v>-1.67</v>
      </c>
      <c r="X15" s="7">
        <v>-0.75310344827586206</v>
      </c>
      <c r="Y15" s="8">
        <v>-4.324022346368718</v>
      </c>
      <c r="Z15" s="9">
        <v>1.74453781512605</v>
      </c>
      <c r="AA15" s="9">
        <v>0.25229638701775881</v>
      </c>
    </row>
    <row r="16" spans="2:27">
      <c r="B16" s="3" t="s">
        <v>110</v>
      </c>
      <c r="C16" s="3" t="s">
        <v>505</v>
      </c>
      <c r="D16" s="3" t="s">
        <v>515</v>
      </c>
      <c r="E16" s="3" t="s">
        <v>507</v>
      </c>
      <c r="F16" s="5">
        <v>19.100000000000001</v>
      </c>
      <c r="G16" s="18">
        <v>975.85</v>
      </c>
      <c r="H16" s="18">
        <v>-453.84</v>
      </c>
      <c r="I16" s="18">
        <v>641.70000000000005</v>
      </c>
      <c r="J16" s="18">
        <v>482.73</v>
      </c>
      <c r="K16" s="18">
        <v>1047</v>
      </c>
      <c r="L16" s="19">
        <v>651.63</v>
      </c>
      <c r="M16" s="18">
        <v>124.59</v>
      </c>
      <c r="N16" s="18">
        <v>107.7</v>
      </c>
      <c r="O16" s="18">
        <v>449.52</v>
      </c>
      <c r="P16" s="18">
        <v>153.75</v>
      </c>
      <c r="Q16" s="18">
        <v>42.02</v>
      </c>
      <c r="R16" s="18">
        <v>100.59</v>
      </c>
      <c r="S16" s="18">
        <v>109.97</v>
      </c>
      <c r="T16" s="18">
        <v>148.72</v>
      </c>
      <c r="U16" s="19">
        <v>333.01</v>
      </c>
      <c r="V16" s="19">
        <v>216.64</v>
      </c>
      <c r="W16" s="19">
        <v>263.95999999999998</v>
      </c>
      <c r="X16" s="7">
        <v>-1.2379100730932961E-2</v>
      </c>
      <c r="Y16" s="9">
        <v>0.72511836531273355</v>
      </c>
      <c r="Z16" s="9">
        <v>0.1676320617082436</v>
      </c>
      <c r="AA16" s="9">
        <v>0.19050152163693501</v>
      </c>
    </row>
    <row r="17" spans="2:27">
      <c r="B17" s="3" t="s">
        <v>33</v>
      </c>
      <c r="C17" s="3" t="s">
        <v>505</v>
      </c>
      <c r="D17" s="3" t="s">
        <v>533</v>
      </c>
      <c r="E17" s="3" t="s">
        <v>534</v>
      </c>
      <c r="F17" s="5">
        <v>16.5</v>
      </c>
      <c r="G17" s="18">
        <v>-100.96</v>
      </c>
      <c r="H17" s="18">
        <v>-72.84</v>
      </c>
      <c r="I17" s="18">
        <v>-34.08</v>
      </c>
      <c r="J17" s="18">
        <v>-26.32</v>
      </c>
      <c r="K17" s="18">
        <v>-88.76</v>
      </c>
      <c r="L17" s="18">
        <v>-20</v>
      </c>
      <c r="M17" s="18">
        <v>36</v>
      </c>
      <c r="N17" s="18">
        <v>88</v>
      </c>
      <c r="O17" s="19">
        <v>79</v>
      </c>
      <c r="P17" s="19">
        <v>72</v>
      </c>
      <c r="Q17" s="19">
        <v>112</v>
      </c>
      <c r="R17" s="19">
        <v>165</v>
      </c>
      <c r="S17" s="19">
        <v>159</v>
      </c>
      <c r="T17" s="19">
        <v>205</v>
      </c>
      <c r="U17" s="19">
        <v>249</v>
      </c>
      <c r="V17" s="19">
        <v>264</v>
      </c>
      <c r="W17" s="19">
        <v>304</v>
      </c>
      <c r="X17" s="10">
        <v>0.26181102362204722</v>
      </c>
      <c r="Y17" s="9">
        <v>0.2137285491419656</v>
      </c>
      <c r="Z17" s="9">
        <v>0.1272493573264781</v>
      </c>
      <c r="AA17" s="9">
        <v>0.16533637400228041</v>
      </c>
    </row>
    <row r="18" spans="2:27">
      <c r="B18" s="3" t="s">
        <v>259</v>
      </c>
      <c r="C18" s="3" t="s">
        <v>505</v>
      </c>
      <c r="D18" s="3" t="s">
        <v>510</v>
      </c>
      <c r="E18" s="3" t="s">
        <v>507</v>
      </c>
      <c r="F18" s="5">
        <v>16.5</v>
      </c>
      <c r="G18" s="18">
        <v>4.7300000000000004</v>
      </c>
      <c r="H18" s="18">
        <v>7.41</v>
      </c>
      <c r="I18" s="18">
        <v>10.32</v>
      </c>
      <c r="J18" s="18">
        <v>14.97</v>
      </c>
      <c r="K18" s="19">
        <v>12.48</v>
      </c>
      <c r="L18" s="19">
        <v>14.88</v>
      </c>
      <c r="M18" s="19">
        <v>15.78</v>
      </c>
      <c r="N18" s="18">
        <v>11.42</v>
      </c>
      <c r="O18" s="18">
        <v>8.64</v>
      </c>
      <c r="P18" s="18">
        <v>9.9600000000000009</v>
      </c>
      <c r="Q18" s="18">
        <v>9.3699999999999992</v>
      </c>
      <c r="R18" s="18">
        <v>5.27</v>
      </c>
      <c r="S18" s="19">
        <v>20.5</v>
      </c>
      <c r="T18" s="19">
        <v>22.06</v>
      </c>
      <c r="U18" s="19">
        <v>36.869999999999997</v>
      </c>
      <c r="V18" s="19">
        <v>38.11</v>
      </c>
      <c r="W18" s="19">
        <v>39.85</v>
      </c>
      <c r="X18" s="10">
        <v>0.26829268292682912</v>
      </c>
      <c r="Y18" s="9">
        <v>0.48076923076923062</v>
      </c>
      <c r="Z18" s="9">
        <v>0.38772136953955139</v>
      </c>
      <c r="AA18" s="9">
        <v>0.164624808575804</v>
      </c>
    </row>
    <row r="19" spans="2:27">
      <c r="B19" s="3" t="s">
        <v>17</v>
      </c>
      <c r="C19" s="3" t="s">
        <v>505</v>
      </c>
      <c r="D19" s="3" t="s">
        <v>528</v>
      </c>
      <c r="E19" s="3" t="s">
        <v>529</v>
      </c>
      <c r="F19" s="5">
        <v>13.8</v>
      </c>
      <c r="G19" s="18">
        <v>3604</v>
      </c>
      <c r="H19" s="18">
        <v>3564</v>
      </c>
      <c r="I19" s="18">
        <v>3196</v>
      </c>
      <c r="J19" s="18">
        <v>2568</v>
      </c>
      <c r="K19" s="18">
        <v>2863</v>
      </c>
      <c r="L19" s="18">
        <v>2630</v>
      </c>
      <c r="M19" s="18">
        <v>2689</v>
      </c>
      <c r="N19" s="18">
        <v>1489</v>
      </c>
      <c r="O19" s="18">
        <v>2732</v>
      </c>
      <c r="P19" s="18">
        <v>2629</v>
      </c>
      <c r="Q19" s="18">
        <v>2363</v>
      </c>
      <c r="R19" s="18">
        <v>2200</v>
      </c>
      <c r="S19" s="18">
        <v>1719</v>
      </c>
      <c r="T19" s="18">
        <v>2572</v>
      </c>
      <c r="U19" s="19">
        <v>3356</v>
      </c>
      <c r="V19" s="18">
        <v>2862</v>
      </c>
      <c r="W19" s="19">
        <v>3171</v>
      </c>
      <c r="X19" s="7">
        <v>-6.3965884861407751E-3</v>
      </c>
      <c r="Y19" s="9">
        <v>0.1121526993449289</v>
      </c>
      <c r="Z19" s="8">
        <v>6.7228597542398738E-2</v>
      </c>
      <c r="AA19" s="9">
        <v>0.1381672851841278</v>
      </c>
    </row>
    <row r="20" spans="2:27">
      <c r="B20" s="3" t="s">
        <v>160</v>
      </c>
      <c r="C20" s="3" t="s">
        <v>505</v>
      </c>
      <c r="D20" s="3" t="s">
        <v>506</v>
      </c>
      <c r="E20" s="3" t="s">
        <v>507</v>
      </c>
      <c r="F20" s="5">
        <v>13.8</v>
      </c>
      <c r="G20" s="18">
        <v>-29.85</v>
      </c>
      <c r="H20" s="18">
        <v>-39.22</v>
      </c>
      <c r="I20" s="18">
        <v>-47.89</v>
      </c>
      <c r="J20" s="18">
        <v>-58.58</v>
      </c>
      <c r="K20" s="19">
        <v>-86.57</v>
      </c>
      <c r="L20" s="19">
        <v>-71.19</v>
      </c>
      <c r="M20" s="19">
        <v>-87.15</v>
      </c>
      <c r="N20" s="19">
        <v>-113.03</v>
      </c>
      <c r="O20" s="19">
        <v>-196.68</v>
      </c>
      <c r="P20" s="18">
        <v>-114.47</v>
      </c>
      <c r="Q20" s="19">
        <v>-152.97999999999999</v>
      </c>
      <c r="R20" s="18">
        <v>-139.91999999999999</v>
      </c>
      <c r="S20" s="18">
        <v>-162.16999999999999</v>
      </c>
      <c r="T20" s="19">
        <v>-180.79</v>
      </c>
      <c r="U20" s="19">
        <v>-226.22</v>
      </c>
      <c r="V20" s="19">
        <v>-242.38</v>
      </c>
      <c r="W20" s="19">
        <v>-274.27999999999997</v>
      </c>
      <c r="X20" s="10">
        <v>0.11644485023001019</v>
      </c>
      <c r="Y20" s="9">
        <v>0.115182587361998</v>
      </c>
      <c r="Z20" s="9">
        <v>0.14449301932026509</v>
      </c>
      <c r="AA20" s="9">
        <v>0.13814135738577549</v>
      </c>
    </row>
    <row r="21" spans="2:27">
      <c r="B21" s="3" t="s">
        <v>198</v>
      </c>
      <c r="C21" s="3" t="s">
        <v>505</v>
      </c>
      <c r="D21" s="3" t="s">
        <v>523</v>
      </c>
      <c r="E21" s="3" t="s">
        <v>507</v>
      </c>
      <c r="F21" s="5">
        <v>13.2</v>
      </c>
      <c r="G21" s="18">
        <v>-11.33</v>
      </c>
      <c r="H21" s="18">
        <v>-9.3699999999999992</v>
      </c>
      <c r="I21" s="18">
        <v>-9.75</v>
      </c>
      <c r="J21" s="18">
        <v>-5.54</v>
      </c>
      <c r="K21" s="18">
        <v>-6.78</v>
      </c>
      <c r="L21" s="18">
        <v>-2.09</v>
      </c>
      <c r="M21" s="18">
        <v>-0.91</v>
      </c>
      <c r="N21" s="18">
        <v>-1.1200000000000001</v>
      </c>
      <c r="O21" s="18">
        <v>4.5999999999999996</v>
      </c>
      <c r="P21" s="19">
        <v>12.42</v>
      </c>
      <c r="Q21" s="19">
        <v>12.51</v>
      </c>
      <c r="R21" s="19">
        <v>3.92</v>
      </c>
      <c r="S21" s="19">
        <v>8.64</v>
      </c>
      <c r="T21" s="19">
        <v>27.44</v>
      </c>
      <c r="U21" s="19">
        <v>36.57</v>
      </c>
      <c r="V21" s="19">
        <v>23.3</v>
      </c>
      <c r="W21" s="19">
        <v>21.27</v>
      </c>
      <c r="X21" s="10">
        <v>0.40064017071218999</v>
      </c>
      <c r="Y21" s="9">
        <v>0.45819843839268709</v>
      </c>
      <c r="Z21" s="9">
        <v>0.25310173697270472</v>
      </c>
      <c r="AA21" s="9">
        <v>0.1316310578426263</v>
      </c>
    </row>
    <row r="22" spans="2:27">
      <c r="B22" s="3" t="s">
        <v>403</v>
      </c>
      <c r="C22" s="3" t="s">
        <v>505</v>
      </c>
      <c r="D22" s="3" t="s">
        <v>531</v>
      </c>
      <c r="E22" s="3" t="s">
        <v>507</v>
      </c>
      <c r="F22" s="5">
        <v>11.2</v>
      </c>
      <c r="G22" s="18">
        <v>2.75</v>
      </c>
      <c r="H22" s="18">
        <v>8.61</v>
      </c>
      <c r="I22" s="18">
        <v>5.6</v>
      </c>
      <c r="J22" s="18">
        <v>4.38</v>
      </c>
      <c r="K22" s="18">
        <v>2.36</v>
      </c>
      <c r="L22" s="19">
        <v>16.05</v>
      </c>
      <c r="M22" s="19">
        <v>13.64</v>
      </c>
      <c r="N22" s="19">
        <v>8.68</v>
      </c>
      <c r="O22" s="19">
        <v>9.2100000000000009</v>
      </c>
      <c r="P22" s="18">
        <v>13.49</v>
      </c>
      <c r="Q22" s="18">
        <v>17.489999999999998</v>
      </c>
      <c r="R22" s="18">
        <v>7.39</v>
      </c>
      <c r="S22" s="18">
        <v>3.66</v>
      </c>
      <c r="T22" s="18">
        <v>3.23</v>
      </c>
      <c r="U22" s="18">
        <v>9.16</v>
      </c>
      <c r="V22" s="19">
        <v>11.37</v>
      </c>
      <c r="W22" s="19">
        <v>6.74</v>
      </c>
      <c r="X22" s="7">
        <v>-0.24411134903640261</v>
      </c>
      <c r="Y22" s="8">
        <v>-0.26219704123386828</v>
      </c>
      <c r="Z22" s="9">
        <v>0.16979522184300319</v>
      </c>
      <c r="AA22" s="9">
        <v>0.1123267687819112</v>
      </c>
    </row>
    <row r="23" spans="2:27">
      <c r="B23" s="3" t="s">
        <v>358</v>
      </c>
      <c r="C23" s="3" t="s">
        <v>505</v>
      </c>
      <c r="D23" s="3" t="s">
        <v>512</v>
      </c>
      <c r="E23" s="3" t="s">
        <v>507</v>
      </c>
      <c r="F23" s="5">
        <v>11.2</v>
      </c>
      <c r="G23" s="18">
        <v>15.35</v>
      </c>
      <c r="H23" s="18">
        <v>16.79</v>
      </c>
      <c r="I23" s="18">
        <v>16.350000000000001</v>
      </c>
      <c r="J23" s="18">
        <v>18.89</v>
      </c>
      <c r="K23" s="18">
        <v>15.07</v>
      </c>
      <c r="L23" s="18">
        <v>20.14</v>
      </c>
      <c r="M23" s="18">
        <v>16.329999999999998</v>
      </c>
      <c r="N23" s="18">
        <v>20.61</v>
      </c>
      <c r="O23" s="18">
        <v>14.73</v>
      </c>
      <c r="P23" s="18">
        <v>18.010000000000002</v>
      </c>
      <c r="Q23" s="18">
        <v>14.68</v>
      </c>
      <c r="R23" s="18">
        <v>17.63</v>
      </c>
      <c r="S23" s="18">
        <v>10.35</v>
      </c>
      <c r="T23" s="18">
        <v>18.3</v>
      </c>
      <c r="U23" s="18">
        <v>19.420000000000002</v>
      </c>
      <c r="V23" s="18">
        <v>19.989999999999998</v>
      </c>
      <c r="W23" s="19">
        <v>17.989999999999998</v>
      </c>
      <c r="X23" s="7">
        <v>4.7799571452118439E-3</v>
      </c>
      <c r="Y23" s="8">
        <v>7.7755905511811108E-2</v>
      </c>
      <c r="Z23" s="8">
        <v>3.5920852359208499E-2</v>
      </c>
      <c r="AA23" s="9">
        <v>0.1122538936232735</v>
      </c>
    </row>
    <row r="24" spans="2:27">
      <c r="B24" s="3" t="s">
        <v>168</v>
      </c>
      <c r="C24" s="3" t="s">
        <v>505</v>
      </c>
      <c r="D24" s="3" t="s">
        <v>508</v>
      </c>
      <c r="E24" s="3" t="s">
        <v>507</v>
      </c>
      <c r="F24" s="5">
        <v>10.5</v>
      </c>
      <c r="G24" s="18">
        <v>-485.68</v>
      </c>
      <c r="H24" s="18">
        <v>-597.53</v>
      </c>
      <c r="I24" s="18">
        <v>-559.20000000000005</v>
      </c>
      <c r="J24" s="18">
        <v>-687.52</v>
      </c>
      <c r="K24" s="19">
        <v>-749.74</v>
      </c>
      <c r="L24" s="18">
        <v>-749.67</v>
      </c>
      <c r="M24" s="19">
        <v>-836.15</v>
      </c>
      <c r="N24" s="18">
        <v>-752.36</v>
      </c>
      <c r="O24" s="18">
        <v>-736.87</v>
      </c>
      <c r="P24" s="18">
        <v>-729.92</v>
      </c>
      <c r="Q24" s="18">
        <v>-767.19</v>
      </c>
      <c r="R24" s="18">
        <v>-770.46</v>
      </c>
      <c r="S24" s="18">
        <v>-732.95</v>
      </c>
      <c r="T24" s="18">
        <v>-691.93</v>
      </c>
      <c r="U24" s="18">
        <v>-803.05</v>
      </c>
      <c r="V24" s="18">
        <v>-942.02</v>
      </c>
      <c r="W24" s="19">
        <v>-1065</v>
      </c>
      <c r="X24" s="7">
        <v>-1.2661138735952321E-2</v>
      </c>
      <c r="Y24" s="8">
        <v>1.210451877280549E-2</v>
      </c>
      <c r="Z24" s="8">
        <v>5.7217373323683603E-2</v>
      </c>
      <c r="AA24" s="9">
        <v>0.1047492862663451</v>
      </c>
    </row>
    <row r="25" spans="2:27">
      <c r="B25" s="3" t="s">
        <v>202</v>
      </c>
      <c r="C25" s="3" t="s">
        <v>505</v>
      </c>
      <c r="D25" s="3" t="s">
        <v>510</v>
      </c>
      <c r="E25" s="3" t="s">
        <v>507</v>
      </c>
      <c r="F25" s="5">
        <v>10.4</v>
      </c>
      <c r="G25" s="18">
        <v>33.36</v>
      </c>
      <c r="H25" s="18">
        <v>33.25</v>
      </c>
      <c r="I25" s="18">
        <v>36.72</v>
      </c>
      <c r="J25" s="18">
        <v>35.69</v>
      </c>
      <c r="K25" s="18">
        <v>38.99</v>
      </c>
      <c r="L25" s="19">
        <v>49.84</v>
      </c>
      <c r="M25" s="19">
        <v>66.31</v>
      </c>
      <c r="N25" s="19">
        <v>70.69</v>
      </c>
      <c r="O25" s="19">
        <v>71.599999999999994</v>
      </c>
      <c r="P25" s="19">
        <v>81.25</v>
      </c>
      <c r="Q25" s="18">
        <v>81.069999999999993</v>
      </c>
      <c r="R25" s="18">
        <v>95.52</v>
      </c>
      <c r="S25" s="19">
        <v>108.94</v>
      </c>
      <c r="T25" s="19">
        <v>127.28</v>
      </c>
      <c r="U25" s="19">
        <v>137.72999999999999</v>
      </c>
      <c r="V25" s="19">
        <v>147.80000000000001</v>
      </c>
      <c r="W25" s="19">
        <v>163.04</v>
      </c>
      <c r="X25" s="10">
        <v>0.12549757347728899</v>
      </c>
      <c r="Y25" s="9">
        <v>0.13725442697609069</v>
      </c>
      <c r="Z25" s="9">
        <v>0.1113596182929688</v>
      </c>
      <c r="AA25" s="9">
        <v>0.1036895064686152</v>
      </c>
    </row>
    <row r="26" spans="2:27">
      <c r="B26" s="3" t="s">
        <v>66</v>
      </c>
      <c r="C26" s="3" t="s">
        <v>505</v>
      </c>
      <c r="D26" s="3" t="s">
        <v>542</v>
      </c>
      <c r="E26" s="3" t="s">
        <v>507</v>
      </c>
      <c r="F26" s="5">
        <v>10.3</v>
      </c>
      <c r="G26" s="18">
        <v>7634</v>
      </c>
      <c r="H26" s="18">
        <v>6659</v>
      </c>
      <c r="I26" s="18">
        <v>7528</v>
      </c>
      <c r="J26" s="18">
        <v>7198</v>
      </c>
      <c r="K26" s="18">
        <v>8589</v>
      </c>
      <c r="L26" s="18">
        <v>7523</v>
      </c>
      <c r="M26" s="18">
        <v>8284</v>
      </c>
      <c r="N26" s="18">
        <v>8240</v>
      </c>
      <c r="O26" s="18">
        <v>8885</v>
      </c>
      <c r="P26" s="18">
        <v>8681</v>
      </c>
      <c r="Q26" s="18">
        <v>9623</v>
      </c>
      <c r="R26" s="18">
        <v>9500</v>
      </c>
      <c r="S26" s="18">
        <v>9654</v>
      </c>
      <c r="T26" s="18">
        <v>9116</v>
      </c>
      <c r="U26" s="18">
        <v>9512</v>
      </c>
      <c r="V26" s="18">
        <v>10014</v>
      </c>
      <c r="W26" s="19">
        <v>13606</v>
      </c>
      <c r="X26" s="7">
        <v>1.161300656735542E-2</v>
      </c>
      <c r="Y26" s="8">
        <v>-2.9293009262924001E-3</v>
      </c>
      <c r="Z26" s="8">
        <v>1.3604361865438669E-2</v>
      </c>
      <c r="AA26" s="9">
        <v>0.103196156256528</v>
      </c>
    </row>
    <row r="27" spans="2:27">
      <c r="B27" s="3" t="s">
        <v>170</v>
      </c>
      <c r="C27" s="3" t="s">
        <v>505</v>
      </c>
      <c r="D27" s="3" t="s">
        <v>532</v>
      </c>
      <c r="E27" s="3" t="s">
        <v>507</v>
      </c>
      <c r="F27" s="5">
        <v>10.199999999999999</v>
      </c>
      <c r="G27" s="18">
        <v>50.27</v>
      </c>
      <c r="H27" s="18">
        <v>19.510000000000002</v>
      </c>
      <c r="I27" s="18">
        <v>31.11</v>
      </c>
      <c r="J27" s="18">
        <v>19.57</v>
      </c>
      <c r="K27" s="18">
        <v>31.87</v>
      </c>
      <c r="L27" s="18">
        <v>26.9</v>
      </c>
      <c r="M27" s="18">
        <v>31.73</v>
      </c>
      <c r="N27" s="19">
        <v>35.700000000000003</v>
      </c>
      <c r="O27" s="18">
        <v>35.840000000000003</v>
      </c>
      <c r="P27" s="18">
        <v>35.81</v>
      </c>
      <c r="Q27" s="19">
        <v>46.25</v>
      </c>
      <c r="R27" s="18">
        <v>37.36</v>
      </c>
      <c r="S27" s="18">
        <v>36.72</v>
      </c>
      <c r="T27" s="18">
        <v>42.06</v>
      </c>
      <c r="U27" s="18">
        <v>47.02</v>
      </c>
      <c r="V27" s="18">
        <v>42.64</v>
      </c>
      <c r="W27" s="19">
        <v>53.98</v>
      </c>
      <c r="X27" s="7">
        <v>4.0028179838606397E-2</v>
      </c>
      <c r="Y27" s="8">
        <v>4.7416712851777731E-3</v>
      </c>
      <c r="Z27" s="8">
        <v>3.2360872762932091E-2</v>
      </c>
      <c r="AA27" s="9">
        <v>0.1024697221562574</v>
      </c>
    </row>
    <row r="28" spans="2:27">
      <c r="B28" s="3" t="s">
        <v>285</v>
      </c>
      <c r="C28" s="3" t="s">
        <v>505</v>
      </c>
      <c r="D28" s="3" t="s">
        <v>514</v>
      </c>
      <c r="E28" s="3" t="s">
        <v>507</v>
      </c>
      <c r="F28" s="5">
        <v>9.6</v>
      </c>
      <c r="G28" s="18">
        <v>31.94</v>
      </c>
      <c r="H28" s="18">
        <v>28.45</v>
      </c>
      <c r="I28" s="18">
        <v>19.28</v>
      </c>
      <c r="J28" s="18">
        <v>14.94</v>
      </c>
      <c r="K28" s="18">
        <v>11.27</v>
      </c>
      <c r="L28" s="18">
        <v>12.26</v>
      </c>
      <c r="M28" s="18">
        <v>7.41</v>
      </c>
      <c r="N28" s="18">
        <v>6.96</v>
      </c>
      <c r="O28" s="18">
        <v>5.59</v>
      </c>
      <c r="P28" s="18">
        <v>9.33</v>
      </c>
      <c r="Q28" s="19">
        <v>17.21</v>
      </c>
      <c r="R28" s="19">
        <v>14.42</v>
      </c>
      <c r="S28" s="19">
        <v>13.87</v>
      </c>
      <c r="T28" s="18">
        <v>14.69</v>
      </c>
      <c r="U28" s="18">
        <v>19.21</v>
      </c>
      <c r="V28" s="19">
        <v>21.98</v>
      </c>
      <c r="W28" s="18">
        <v>20.58</v>
      </c>
      <c r="X28" s="7">
        <v>9.7756702535108486E-2</v>
      </c>
      <c r="Y28" s="8">
        <v>3.3228110981890602E-2</v>
      </c>
      <c r="Z28" s="9">
        <v>0.1215629522431259</v>
      </c>
      <c r="AA28" s="8">
        <v>9.6200716845878054E-2</v>
      </c>
    </row>
    <row r="29" spans="2:27">
      <c r="B29" s="3" t="s">
        <v>180</v>
      </c>
      <c r="C29" s="3" t="s">
        <v>505</v>
      </c>
      <c r="D29" s="3" t="s">
        <v>522</v>
      </c>
      <c r="E29" s="3" t="s">
        <v>507</v>
      </c>
      <c r="F29" s="5">
        <v>9.5</v>
      </c>
      <c r="G29" s="18"/>
      <c r="H29" s="18"/>
      <c r="I29" s="18"/>
      <c r="J29" s="18"/>
      <c r="K29" s="18"/>
      <c r="L29" s="18">
        <v>44.76</v>
      </c>
      <c r="M29" s="18">
        <v>54.31</v>
      </c>
      <c r="N29" s="18">
        <v>50.09</v>
      </c>
      <c r="O29" s="18">
        <v>50.92</v>
      </c>
      <c r="P29" s="18">
        <v>38.880000000000003</v>
      </c>
      <c r="Q29" s="18">
        <v>51.31</v>
      </c>
      <c r="R29" s="18">
        <v>53.71</v>
      </c>
      <c r="S29" s="18">
        <v>46.01</v>
      </c>
      <c r="T29" s="18">
        <v>50.98</v>
      </c>
      <c r="U29" s="19">
        <v>72.510000000000005</v>
      </c>
      <c r="V29" s="18">
        <v>72.38</v>
      </c>
      <c r="W29" s="18">
        <v>68.88</v>
      </c>
      <c r="X29" s="7">
        <v>6.3714391027328787E-2</v>
      </c>
      <c r="Y29" s="9">
        <v>0.1049452997376368</v>
      </c>
      <c r="Z29" s="8">
        <v>8.3643205949554211E-2</v>
      </c>
      <c r="AA29" s="8">
        <v>9.4551017033239537E-2</v>
      </c>
    </row>
    <row r="30" spans="2:27">
      <c r="B30" s="3" t="s">
        <v>58</v>
      </c>
      <c r="C30" s="3" t="s">
        <v>505</v>
      </c>
      <c r="D30" s="3" t="s">
        <v>521</v>
      </c>
      <c r="E30" s="3" t="s">
        <v>507</v>
      </c>
      <c r="F30" s="5">
        <v>9.4</v>
      </c>
      <c r="G30" s="18"/>
      <c r="H30" s="18">
        <v>21.25</v>
      </c>
      <c r="I30" s="18">
        <v>-9.8000000000000007</v>
      </c>
      <c r="J30" s="18">
        <v>67.599999999999994</v>
      </c>
      <c r="K30" s="18">
        <v>142.1</v>
      </c>
      <c r="L30" s="19">
        <v>133.19999999999999</v>
      </c>
      <c r="M30" s="18">
        <v>12.2</v>
      </c>
      <c r="N30" s="18">
        <v>101.8</v>
      </c>
      <c r="O30" s="18">
        <v>57.1</v>
      </c>
      <c r="P30" s="18">
        <v>110.2</v>
      </c>
      <c r="Q30" s="18">
        <v>-7.6</v>
      </c>
      <c r="R30" s="19">
        <v>176.7</v>
      </c>
      <c r="S30" s="19">
        <v>192.3</v>
      </c>
      <c r="T30" s="19">
        <v>214.4</v>
      </c>
      <c r="U30" s="18">
        <v>46.2</v>
      </c>
      <c r="V30" s="18">
        <v>226</v>
      </c>
      <c r="W30" s="18">
        <v>256.39999999999998</v>
      </c>
      <c r="X30" s="10">
        <v>0.22094995759117891</v>
      </c>
      <c r="Y30" s="8">
        <v>9.3435220562695598E-2</v>
      </c>
      <c r="Z30" s="8">
        <v>7.8303684879288404E-2</v>
      </c>
      <c r="AA30" s="8">
        <v>9.4417439976432593E-2</v>
      </c>
    </row>
    <row r="31" spans="2:27">
      <c r="B31" s="3" t="s">
        <v>275</v>
      </c>
      <c r="C31" s="3" t="s">
        <v>505</v>
      </c>
      <c r="D31" s="3" t="s">
        <v>520</v>
      </c>
      <c r="E31" s="3" t="s">
        <v>507</v>
      </c>
      <c r="F31" s="5">
        <v>8.6999999999999993</v>
      </c>
      <c r="G31" s="18">
        <v>5.65</v>
      </c>
      <c r="H31" s="18">
        <v>3.93</v>
      </c>
      <c r="I31" s="18">
        <v>7.34</v>
      </c>
      <c r="J31" s="18">
        <v>5.33</v>
      </c>
      <c r="K31" s="19">
        <v>8.6199999999999992</v>
      </c>
      <c r="L31" s="18">
        <v>5.85</v>
      </c>
      <c r="M31" s="18">
        <v>8.99</v>
      </c>
      <c r="N31" s="19">
        <v>10.61</v>
      </c>
      <c r="O31" s="19">
        <v>14.45</v>
      </c>
      <c r="P31" s="18">
        <v>7.82</v>
      </c>
      <c r="Q31" s="18">
        <v>9.68</v>
      </c>
      <c r="R31" s="18">
        <v>8.34</v>
      </c>
      <c r="S31" s="18">
        <v>13.51</v>
      </c>
      <c r="T31" s="18">
        <v>5.52</v>
      </c>
      <c r="U31" s="19">
        <v>18.09</v>
      </c>
      <c r="V31" s="18">
        <v>10.45</v>
      </c>
      <c r="W31" s="18">
        <v>17.66</v>
      </c>
      <c r="X31" s="7">
        <v>-5.8449809402795538E-2</v>
      </c>
      <c r="Y31" s="9">
        <v>0.22699055330634299</v>
      </c>
      <c r="Z31" s="8">
        <v>4.6414430268367779E-2</v>
      </c>
      <c r="AA31" s="8">
        <v>8.723985705276438E-2</v>
      </c>
    </row>
    <row r="32" spans="2:27">
      <c r="B32" s="3" t="s">
        <v>106</v>
      </c>
      <c r="C32" s="3" t="s">
        <v>505</v>
      </c>
      <c r="D32" s="3" t="s">
        <v>530</v>
      </c>
      <c r="E32" s="3" t="s">
        <v>507</v>
      </c>
      <c r="F32" s="5">
        <v>8.6999999999999993</v>
      </c>
      <c r="G32" s="18">
        <v>27.4</v>
      </c>
      <c r="H32" s="18">
        <v>11.4</v>
      </c>
      <c r="I32" s="18">
        <v>29.7</v>
      </c>
      <c r="J32" s="18">
        <v>35.4</v>
      </c>
      <c r="K32" s="19">
        <v>68</v>
      </c>
      <c r="L32" s="19">
        <v>49.6</v>
      </c>
      <c r="M32" s="19">
        <v>56.5</v>
      </c>
      <c r="N32" s="19">
        <v>60</v>
      </c>
      <c r="O32" s="18">
        <v>66.7</v>
      </c>
      <c r="P32" s="18">
        <v>65.7</v>
      </c>
      <c r="Q32" s="18">
        <v>76.2</v>
      </c>
      <c r="R32" s="18">
        <v>80.099999999999994</v>
      </c>
      <c r="S32" s="18">
        <v>72</v>
      </c>
      <c r="T32" s="18">
        <v>72.400000000000006</v>
      </c>
      <c r="U32" s="18">
        <v>94.2</v>
      </c>
      <c r="V32" s="18">
        <v>104.6</v>
      </c>
      <c r="W32" s="18">
        <v>101.7</v>
      </c>
      <c r="X32" s="7">
        <v>2.2789115646258521E-2</v>
      </c>
      <c r="Y32" s="8">
        <v>5.9860325906218932E-2</v>
      </c>
      <c r="Z32" s="8">
        <v>7.6874803890806476E-2</v>
      </c>
      <c r="AA32" s="8">
        <v>8.6538461538461453E-2</v>
      </c>
    </row>
    <row r="33" spans="2:27">
      <c r="B33" s="3" t="s">
        <v>158</v>
      </c>
      <c r="C33" s="3" t="s">
        <v>505</v>
      </c>
      <c r="D33" s="3" t="s">
        <v>521</v>
      </c>
      <c r="E33" s="3" t="s">
        <v>507</v>
      </c>
      <c r="F33" s="5">
        <v>7.7</v>
      </c>
      <c r="G33" s="18">
        <v>-336.96</v>
      </c>
      <c r="H33" s="18">
        <v>-39.29</v>
      </c>
      <c r="I33" s="18">
        <v>-0.4</v>
      </c>
      <c r="J33" s="18">
        <v>7.15</v>
      </c>
      <c r="K33" s="18">
        <v>47.72</v>
      </c>
      <c r="L33" s="19">
        <v>60.65</v>
      </c>
      <c r="M33" s="19">
        <v>59.9</v>
      </c>
      <c r="N33" s="19">
        <v>65.02</v>
      </c>
      <c r="O33" s="18">
        <v>63.23</v>
      </c>
      <c r="P33" s="18">
        <v>72.06</v>
      </c>
      <c r="Q33" s="19">
        <v>92.9</v>
      </c>
      <c r="R33" s="19">
        <v>98</v>
      </c>
      <c r="S33" s="18">
        <v>94.6</v>
      </c>
      <c r="T33" s="18">
        <v>107.67</v>
      </c>
      <c r="U33" s="18">
        <v>120.95</v>
      </c>
      <c r="V33" s="18">
        <v>127.91</v>
      </c>
      <c r="W33" s="18">
        <v>129.53</v>
      </c>
      <c r="X33" s="7">
        <v>9.9591676921355843E-2</v>
      </c>
      <c r="Y33" s="8">
        <v>7.1343184881857757E-2</v>
      </c>
      <c r="Z33" s="8">
        <v>7.1008024310336593E-2</v>
      </c>
      <c r="AA33" s="8">
        <v>7.7427792432336551E-2</v>
      </c>
    </row>
    <row r="34" spans="2:27">
      <c r="B34" s="3" t="s">
        <v>330</v>
      </c>
      <c r="C34" s="3" t="s">
        <v>505</v>
      </c>
      <c r="D34" s="3" t="s">
        <v>516</v>
      </c>
      <c r="E34" s="3" t="s">
        <v>507</v>
      </c>
      <c r="F34" s="5">
        <v>7</v>
      </c>
      <c r="G34" s="18">
        <v>3.33</v>
      </c>
      <c r="H34" s="18">
        <v>10.01</v>
      </c>
      <c r="I34" s="18">
        <v>12.98</v>
      </c>
      <c r="J34" s="18">
        <v>19.989999999999998</v>
      </c>
      <c r="K34" s="19">
        <v>23.34</v>
      </c>
      <c r="L34" s="19">
        <v>26.1</v>
      </c>
      <c r="M34" s="19">
        <v>31.64</v>
      </c>
      <c r="N34" s="18">
        <v>-9.9700000000000006</v>
      </c>
      <c r="O34" s="19">
        <v>32.53</v>
      </c>
      <c r="P34" s="18">
        <v>11.58</v>
      </c>
      <c r="Q34" s="18">
        <v>18.579999999999998</v>
      </c>
      <c r="R34" s="19">
        <v>6.8</v>
      </c>
      <c r="S34" s="18">
        <v>19.28</v>
      </c>
      <c r="T34" s="18">
        <v>4.3099999999999996</v>
      </c>
      <c r="U34" s="18">
        <v>16</v>
      </c>
      <c r="V34" s="19">
        <v>25.5</v>
      </c>
      <c r="W34" s="18">
        <v>23.84</v>
      </c>
      <c r="X34" s="7">
        <v>-0.129267425320057</v>
      </c>
      <c r="Y34" s="8">
        <v>-5.2685317541351862E-2</v>
      </c>
      <c r="Z34" s="9">
        <v>0.4031041172666523</v>
      </c>
      <c r="AA34" s="8">
        <v>7.0056844369334792E-2</v>
      </c>
    </row>
    <row r="35" spans="2:27">
      <c r="B35" s="3" t="s">
        <v>68</v>
      </c>
      <c r="C35" s="3" t="s">
        <v>505</v>
      </c>
      <c r="D35" s="3" t="s">
        <v>511</v>
      </c>
      <c r="E35" s="3" t="s">
        <v>507</v>
      </c>
      <c r="F35" s="5">
        <v>6.9</v>
      </c>
      <c r="G35" s="18">
        <v>-62.15</v>
      </c>
      <c r="H35" s="18">
        <v>-62.15</v>
      </c>
      <c r="I35" s="18">
        <v>-64.61</v>
      </c>
      <c r="J35" s="18">
        <v>-49.56</v>
      </c>
      <c r="K35" s="18">
        <v>-58.44</v>
      </c>
      <c r="L35" s="18">
        <v>-46.5</v>
      </c>
      <c r="M35" s="18">
        <v>-45.14</v>
      </c>
      <c r="N35" s="18">
        <v>-44.79</v>
      </c>
      <c r="O35" s="18">
        <v>-52.3</v>
      </c>
      <c r="P35" s="18">
        <v>-53.27</v>
      </c>
      <c r="Q35" s="19">
        <v>-533.49</v>
      </c>
      <c r="R35" s="18">
        <v>-53.62</v>
      </c>
      <c r="S35" s="18">
        <v>-50.87</v>
      </c>
      <c r="T35" s="18">
        <v>-68.88</v>
      </c>
      <c r="U35" s="18">
        <v>-59.78</v>
      </c>
      <c r="V35" s="18">
        <v>-60.44</v>
      </c>
      <c r="W35" s="18">
        <v>-67.489999999999995</v>
      </c>
      <c r="X35" s="7">
        <v>2.2582278481012571E-2</v>
      </c>
      <c r="Y35" s="8">
        <v>-0.67016099369040549</v>
      </c>
      <c r="Z35" s="8">
        <v>2.9251554793051859E-2</v>
      </c>
      <c r="AA35" s="8">
        <v>6.9258657332166518E-2</v>
      </c>
    </row>
    <row r="36" spans="2:27">
      <c r="B36" s="3" t="s">
        <v>130</v>
      </c>
      <c r="C36" s="3" t="s">
        <v>505</v>
      </c>
      <c r="D36" s="3" t="s">
        <v>506</v>
      </c>
      <c r="E36" s="3" t="s">
        <v>507</v>
      </c>
      <c r="F36" s="5">
        <v>6.9</v>
      </c>
      <c r="G36" s="18">
        <v>-21.7</v>
      </c>
      <c r="H36" s="18">
        <v>-77.86</v>
      </c>
      <c r="I36" s="18">
        <v>-10.87</v>
      </c>
      <c r="J36" s="18">
        <v>-108.44</v>
      </c>
      <c r="K36" s="19">
        <v>-127.03</v>
      </c>
      <c r="L36" s="19">
        <v>-124.47</v>
      </c>
      <c r="M36" s="19">
        <v>-122.05</v>
      </c>
      <c r="N36" s="18">
        <v>-122.27</v>
      </c>
      <c r="O36" s="18">
        <v>-127.42</v>
      </c>
      <c r="P36" s="18">
        <v>-126.24</v>
      </c>
      <c r="Q36" s="18">
        <v>-130.16999999999999</v>
      </c>
      <c r="R36" s="18">
        <v>-140.80000000000001</v>
      </c>
      <c r="S36" s="18">
        <v>-139.04</v>
      </c>
      <c r="T36" s="18">
        <v>-155.63</v>
      </c>
      <c r="U36" s="18">
        <v>-111.51</v>
      </c>
      <c r="V36" s="18">
        <v>-166.76</v>
      </c>
      <c r="W36" s="18">
        <v>-178.37</v>
      </c>
      <c r="X36" s="7">
        <v>5.4806526806526763E-2</v>
      </c>
      <c r="Y36" s="8">
        <v>-3.2989180397425821E-2</v>
      </c>
      <c r="Z36" s="8">
        <v>4.7460601850158879E-2</v>
      </c>
      <c r="AA36" s="8">
        <v>6.8645931511153169E-2</v>
      </c>
    </row>
    <row r="37" spans="2:27">
      <c r="B37" s="3" t="s">
        <v>48</v>
      </c>
      <c r="C37" s="3" t="s">
        <v>505</v>
      </c>
      <c r="D37" s="3" t="s">
        <v>516</v>
      </c>
      <c r="E37" s="3" t="s">
        <v>507</v>
      </c>
      <c r="F37" s="5">
        <v>6.1</v>
      </c>
      <c r="G37" s="18">
        <v>173.46</v>
      </c>
      <c r="H37" s="18">
        <v>-59.71</v>
      </c>
      <c r="I37" s="18">
        <v>-42.75</v>
      </c>
      <c r="J37" s="18">
        <v>-74.34</v>
      </c>
      <c r="K37" s="19">
        <v>-46.15</v>
      </c>
      <c r="L37" s="18">
        <v>18.02</v>
      </c>
      <c r="M37" s="18">
        <v>203.97</v>
      </c>
      <c r="N37" s="19">
        <v>272.75</v>
      </c>
      <c r="O37" s="19">
        <v>391.23</v>
      </c>
      <c r="P37" s="19">
        <v>242.03</v>
      </c>
      <c r="Q37" s="19">
        <v>372.94</v>
      </c>
      <c r="R37" s="18">
        <v>322</v>
      </c>
      <c r="S37" s="18">
        <v>456.77</v>
      </c>
      <c r="T37" s="18">
        <v>221.24</v>
      </c>
      <c r="U37" s="18">
        <v>361.61</v>
      </c>
      <c r="V37" s="19">
        <v>466.1</v>
      </c>
      <c r="W37" s="18">
        <v>547.91999999999996</v>
      </c>
      <c r="X37" s="7">
        <v>-1.49166989538938E-2</v>
      </c>
      <c r="Y37" s="8">
        <v>-8.2523034342111279E-3</v>
      </c>
      <c r="Z37" s="9">
        <v>0.10582982036104061</v>
      </c>
      <c r="AA37" s="8">
        <v>6.053582339345942E-2</v>
      </c>
    </row>
    <row r="38" spans="2:27">
      <c r="B38" s="3" t="s">
        <v>371</v>
      </c>
      <c r="C38" s="3" t="s">
        <v>505</v>
      </c>
      <c r="D38" s="3" t="s">
        <v>525</v>
      </c>
      <c r="E38" s="3" t="s">
        <v>507</v>
      </c>
      <c r="F38" s="5">
        <v>5.5</v>
      </c>
      <c r="G38" s="18">
        <v>26.1</v>
      </c>
      <c r="H38" s="18">
        <v>29.5</v>
      </c>
      <c r="I38" s="18">
        <v>30.5</v>
      </c>
      <c r="J38" s="18">
        <v>27.5</v>
      </c>
      <c r="K38" s="18">
        <v>17.7</v>
      </c>
      <c r="L38" s="18">
        <v>17.8</v>
      </c>
      <c r="M38" s="18">
        <v>29.1</v>
      </c>
      <c r="N38" s="18">
        <v>28.2</v>
      </c>
      <c r="O38" s="18">
        <v>21.4</v>
      </c>
      <c r="P38" s="18">
        <v>17.399999999999999</v>
      </c>
      <c r="Q38" s="18">
        <v>26.4</v>
      </c>
      <c r="R38" s="18">
        <v>22.2</v>
      </c>
      <c r="S38" s="18">
        <v>14.5</v>
      </c>
      <c r="T38" s="18">
        <v>18.2</v>
      </c>
      <c r="U38" s="18">
        <v>33.5</v>
      </c>
      <c r="V38" s="18">
        <v>26.3</v>
      </c>
      <c r="W38" s="18">
        <v>19.600000000000001</v>
      </c>
      <c r="X38" s="7">
        <v>9.9378881987577383E-3</v>
      </c>
      <c r="Y38" s="8">
        <v>8.7330873308733237E-2</v>
      </c>
      <c r="Z38" s="8">
        <v>4.6380090497737392E-2</v>
      </c>
      <c r="AA38" s="8">
        <v>5.5135135135135023E-2</v>
      </c>
    </row>
    <row r="39" spans="2:27">
      <c r="B39" s="3" t="s">
        <v>116</v>
      </c>
      <c r="C39" s="3" t="s">
        <v>505</v>
      </c>
      <c r="D39" s="3" t="s">
        <v>530</v>
      </c>
      <c r="E39" s="3" t="s">
        <v>507</v>
      </c>
      <c r="F39" s="5">
        <v>5.5</v>
      </c>
      <c r="G39" s="18">
        <v>47.9</v>
      </c>
      <c r="H39" s="18">
        <v>48.4</v>
      </c>
      <c r="I39" s="18">
        <v>59.7</v>
      </c>
      <c r="J39" s="18">
        <v>61.5</v>
      </c>
      <c r="K39" s="18">
        <v>55.7</v>
      </c>
      <c r="L39" s="18">
        <v>55.2</v>
      </c>
      <c r="M39" s="18">
        <v>64.900000000000006</v>
      </c>
      <c r="N39" s="18">
        <v>79.599999999999994</v>
      </c>
      <c r="O39" s="18">
        <v>54.4</v>
      </c>
      <c r="P39" s="18">
        <v>61.2</v>
      </c>
      <c r="Q39" s="18">
        <v>72.900000000000006</v>
      </c>
      <c r="R39" s="18">
        <v>88.7</v>
      </c>
      <c r="S39" s="18">
        <v>50.5</v>
      </c>
      <c r="T39" s="18">
        <v>71.900000000000006</v>
      </c>
      <c r="U39" s="18">
        <v>91.5</v>
      </c>
      <c r="V39" s="18">
        <v>89</v>
      </c>
      <c r="W39" s="18">
        <v>67.099999999999994</v>
      </c>
      <c r="X39" s="7">
        <v>3.9151115989754848E-2</v>
      </c>
      <c r="Y39" s="8">
        <v>6.5492957746478897E-2</v>
      </c>
      <c r="Z39" s="8">
        <v>9.9140779907447296E-4</v>
      </c>
      <c r="AA39" s="8">
        <v>5.4803565533179333E-2</v>
      </c>
    </row>
    <row r="40" spans="2:27">
      <c r="B40" s="3" t="s">
        <v>393</v>
      </c>
      <c r="C40" s="3" t="s">
        <v>505</v>
      </c>
      <c r="D40" s="3" t="s">
        <v>519</v>
      </c>
      <c r="E40" s="3" t="s">
        <v>536</v>
      </c>
      <c r="F40" s="5">
        <v>5.4</v>
      </c>
      <c r="G40" s="18">
        <v>249.17</v>
      </c>
      <c r="H40" s="18">
        <v>102.72</v>
      </c>
      <c r="I40" s="18">
        <v>77.53</v>
      </c>
      <c r="J40" s="18">
        <v>89.58</v>
      </c>
      <c r="K40" s="18">
        <v>84.74</v>
      </c>
      <c r="L40" s="18">
        <v>89.99</v>
      </c>
      <c r="M40" s="18">
        <v>73.22</v>
      </c>
      <c r="N40" s="18">
        <v>100.84</v>
      </c>
      <c r="O40" s="18">
        <v>106.21</v>
      </c>
      <c r="P40" s="18">
        <v>111.84</v>
      </c>
      <c r="Q40" s="18">
        <v>110.11</v>
      </c>
      <c r="R40" s="18">
        <v>135.30000000000001</v>
      </c>
      <c r="S40" s="18">
        <v>145.9</v>
      </c>
      <c r="T40" s="18">
        <v>158.88999999999999</v>
      </c>
      <c r="U40" s="18">
        <v>127.36</v>
      </c>
      <c r="V40" s="18">
        <v>168.98</v>
      </c>
      <c r="W40" s="18">
        <v>178.3</v>
      </c>
      <c r="X40" s="7">
        <v>9.3510881446884575E-2</v>
      </c>
      <c r="Y40" s="8">
        <v>3.1352235550708762E-2</v>
      </c>
      <c r="Z40" s="8">
        <v>5.9353246982112973E-2</v>
      </c>
      <c r="AA40" s="8">
        <v>5.3898491174953822E-2</v>
      </c>
    </row>
    <row r="41" spans="2:27">
      <c r="B41" s="3" t="s">
        <v>346</v>
      </c>
      <c r="C41" s="3" t="s">
        <v>505</v>
      </c>
      <c r="D41" s="3" t="s">
        <v>553</v>
      </c>
      <c r="E41" s="3" t="s">
        <v>507</v>
      </c>
      <c r="F41" s="5">
        <v>5.4</v>
      </c>
      <c r="G41" s="18">
        <v>15.88</v>
      </c>
      <c r="H41" s="18">
        <v>19.02</v>
      </c>
      <c r="I41" s="18">
        <v>50.72</v>
      </c>
      <c r="J41" s="18">
        <v>13.59</v>
      </c>
      <c r="K41" s="19">
        <v>26.85</v>
      </c>
      <c r="L41" s="19">
        <v>33.76</v>
      </c>
      <c r="M41" s="18">
        <v>35</v>
      </c>
      <c r="N41" s="18">
        <v>7.77</v>
      </c>
      <c r="O41" s="18">
        <v>20.87</v>
      </c>
      <c r="P41" s="18">
        <v>27.43</v>
      </c>
      <c r="Q41" s="18">
        <v>30.67</v>
      </c>
      <c r="R41" s="18">
        <v>8.09</v>
      </c>
      <c r="S41" s="18">
        <v>20.76</v>
      </c>
      <c r="T41" s="19">
        <v>36.26</v>
      </c>
      <c r="U41" s="19">
        <v>40.5</v>
      </c>
      <c r="V41" s="18">
        <v>5.14</v>
      </c>
      <c r="W41" s="18">
        <v>26.28</v>
      </c>
      <c r="X41" s="10">
        <v>0.10155261644623351</v>
      </c>
      <c r="Y41" s="9">
        <v>0.1026310294424724</v>
      </c>
      <c r="Z41" s="8">
        <v>-2.7932960893854771E-2</v>
      </c>
      <c r="AA41" s="8">
        <v>5.3769725306838101E-2</v>
      </c>
    </row>
    <row r="42" spans="2:27">
      <c r="B42" s="3" t="s">
        <v>64</v>
      </c>
      <c r="C42" s="3" t="s">
        <v>505</v>
      </c>
      <c r="D42" s="3" t="s">
        <v>524</v>
      </c>
      <c r="E42" s="3" t="s">
        <v>507</v>
      </c>
      <c r="F42" s="5">
        <v>5.0999999999999996</v>
      </c>
      <c r="G42" s="18">
        <v>74</v>
      </c>
      <c r="H42" s="18">
        <v>117.3</v>
      </c>
      <c r="I42" s="18">
        <v>144.80000000000001</v>
      </c>
      <c r="J42" s="18">
        <v>143.80000000000001</v>
      </c>
      <c r="K42" s="19">
        <v>143.69999999999999</v>
      </c>
      <c r="L42" s="18">
        <v>102.3</v>
      </c>
      <c r="M42" s="18">
        <v>141.30000000000001</v>
      </c>
      <c r="N42" s="18">
        <v>175.5</v>
      </c>
      <c r="O42" s="19">
        <v>206</v>
      </c>
      <c r="P42" s="19">
        <v>193.7</v>
      </c>
      <c r="Q42" s="19">
        <v>214.2</v>
      </c>
      <c r="R42" s="18">
        <v>254.2</v>
      </c>
      <c r="S42" s="18">
        <v>265.3</v>
      </c>
      <c r="T42" s="18">
        <v>250.9</v>
      </c>
      <c r="U42" s="18">
        <v>266.3</v>
      </c>
      <c r="V42" s="18">
        <v>302.2</v>
      </c>
      <c r="W42" s="18">
        <v>320.2</v>
      </c>
      <c r="X42" s="7">
        <v>6.1677808928186417E-2</v>
      </c>
      <c r="Y42" s="8">
        <v>5.2914889295145207E-2</v>
      </c>
      <c r="Z42" s="8">
        <v>4.6300762033375083E-2</v>
      </c>
      <c r="AA42" s="8">
        <v>5.0613072739005949E-2</v>
      </c>
    </row>
    <row r="43" spans="2:27">
      <c r="B43" s="3" t="s">
        <v>297</v>
      </c>
      <c r="C43" s="3" t="s">
        <v>505</v>
      </c>
      <c r="D43" s="3" t="s">
        <v>551</v>
      </c>
      <c r="E43" s="3" t="s">
        <v>507</v>
      </c>
      <c r="F43" s="5">
        <v>4.9000000000000004</v>
      </c>
      <c r="G43" s="18">
        <v>39.01</v>
      </c>
      <c r="H43" s="18">
        <v>28.77</v>
      </c>
      <c r="I43" s="18">
        <v>36.14</v>
      </c>
      <c r="J43" s="18">
        <v>29.43</v>
      </c>
      <c r="K43" s="18">
        <v>28.21</v>
      </c>
      <c r="L43" s="18">
        <v>9.1</v>
      </c>
      <c r="M43" s="18">
        <v>25.99</v>
      </c>
      <c r="N43" s="18">
        <v>30.57</v>
      </c>
      <c r="O43" s="18">
        <v>34.9</v>
      </c>
      <c r="P43" s="19">
        <v>23.8</v>
      </c>
      <c r="Q43" s="18">
        <v>37.299999999999997</v>
      </c>
      <c r="R43" s="18">
        <v>41.52</v>
      </c>
      <c r="S43" s="18">
        <v>30.63</v>
      </c>
      <c r="T43" s="18">
        <v>17.68</v>
      </c>
      <c r="U43" s="19">
        <v>53.34</v>
      </c>
      <c r="V43" s="18">
        <v>52.85</v>
      </c>
      <c r="W43" s="18">
        <v>38.26</v>
      </c>
      <c r="X43" s="7">
        <v>-4.5928705440900552E-2</v>
      </c>
      <c r="Y43" s="9">
        <v>0.12617006214111551</v>
      </c>
      <c r="Z43" s="8">
        <v>7.9136690647481966E-2</v>
      </c>
      <c r="AA43" s="8">
        <v>4.9385113268608283E-2</v>
      </c>
    </row>
    <row r="44" spans="2:27">
      <c r="B44" s="3" t="s">
        <v>128</v>
      </c>
      <c r="C44" s="3" t="s">
        <v>505</v>
      </c>
      <c r="D44" s="3" t="s">
        <v>546</v>
      </c>
      <c r="E44" s="3" t="s">
        <v>507</v>
      </c>
      <c r="F44" s="5">
        <v>4.3</v>
      </c>
      <c r="G44" s="18">
        <v>205</v>
      </c>
      <c r="H44" s="18">
        <v>244</v>
      </c>
      <c r="I44" s="18">
        <v>220</v>
      </c>
      <c r="J44" s="18">
        <v>221</v>
      </c>
      <c r="K44" s="18">
        <v>187</v>
      </c>
      <c r="L44" s="18">
        <v>212</v>
      </c>
      <c r="M44" s="18">
        <v>225</v>
      </c>
      <c r="N44" s="18">
        <v>217</v>
      </c>
      <c r="O44" s="18">
        <v>75</v>
      </c>
      <c r="P44" s="18">
        <v>167</v>
      </c>
      <c r="Q44" s="18">
        <v>191</v>
      </c>
      <c r="R44" s="18">
        <v>198</v>
      </c>
      <c r="S44" s="19">
        <v>155</v>
      </c>
      <c r="T44" s="18">
        <v>182</v>
      </c>
      <c r="U44" s="18">
        <v>175</v>
      </c>
      <c r="V44" s="18">
        <v>205</v>
      </c>
      <c r="W44" s="18">
        <v>186</v>
      </c>
      <c r="X44" s="7">
        <v>2.1097046413502071E-2</v>
      </c>
      <c r="Y44" s="8">
        <v>-2.2038567493112948E-2</v>
      </c>
      <c r="Z44" s="8">
        <v>9.8591549295774517E-3</v>
      </c>
      <c r="AA44" s="8">
        <v>4.323570432357049E-2</v>
      </c>
    </row>
    <row r="45" spans="2:27">
      <c r="B45" s="3" t="s">
        <v>26</v>
      </c>
      <c r="C45" s="3" t="s">
        <v>505</v>
      </c>
      <c r="D45" s="3" t="s">
        <v>540</v>
      </c>
      <c r="E45" s="3" t="s">
        <v>507</v>
      </c>
      <c r="F45" s="5">
        <v>4.0999999999999996</v>
      </c>
      <c r="G45" s="18">
        <v>278.67</v>
      </c>
      <c r="H45" s="18">
        <v>319.49</v>
      </c>
      <c r="I45" s="18">
        <v>308.04000000000002</v>
      </c>
      <c r="J45" s="18">
        <v>330.78</v>
      </c>
      <c r="K45" s="18">
        <v>343.75</v>
      </c>
      <c r="L45" s="18">
        <v>389.36</v>
      </c>
      <c r="M45" s="18">
        <v>415.81</v>
      </c>
      <c r="N45" s="18">
        <v>437.03</v>
      </c>
      <c r="O45" s="18">
        <v>482.67</v>
      </c>
      <c r="P45" s="18">
        <v>547.54</v>
      </c>
      <c r="Q45" s="18">
        <v>581.73</v>
      </c>
      <c r="R45" s="18">
        <v>535.26</v>
      </c>
      <c r="S45" s="18">
        <v>590.55999999999995</v>
      </c>
      <c r="T45" s="18">
        <v>625.20000000000005</v>
      </c>
      <c r="U45" s="18">
        <v>607.71</v>
      </c>
      <c r="V45" s="18">
        <v>655.97</v>
      </c>
      <c r="W45" s="18">
        <v>692.91</v>
      </c>
      <c r="X45" s="7">
        <v>3.4437649938583233E-2</v>
      </c>
      <c r="Y45" s="8">
        <v>1.113706998178121E-2</v>
      </c>
      <c r="Z45" s="8">
        <v>5.1175844628253309E-2</v>
      </c>
      <c r="AA45" s="8">
        <v>4.1279482463782102E-2</v>
      </c>
    </row>
    <row r="46" spans="2:27">
      <c r="B46" s="3" t="s">
        <v>120</v>
      </c>
      <c r="C46" s="3" t="s">
        <v>505</v>
      </c>
      <c r="D46" s="3" t="s">
        <v>521</v>
      </c>
      <c r="E46" s="3" t="s">
        <v>507</v>
      </c>
      <c r="F46" s="5">
        <v>4.0999999999999996</v>
      </c>
      <c r="G46" s="18">
        <v>46.65</v>
      </c>
      <c r="H46" s="18">
        <v>50.07</v>
      </c>
      <c r="I46" s="18">
        <v>55.36</v>
      </c>
      <c r="J46" s="18">
        <v>60.85</v>
      </c>
      <c r="K46" s="19">
        <v>70.44</v>
      </c>
      <c r="L46" s="18">
        <v>55.46</v>
      </c>
      <c r="M46" s="19">
        <v>81.28</v>
      </c>
      <c r="N46" s="18">
        <v>72.349999999999994</v>
      </c>
      <c r="O46" s="18">
        <v>74.09</v>
      </c>
      <c r="P46" s="18">
        <v>65.819999999999993</v>
      </c>
      <c r="Q46" s="18">
        <v>87.38</v>
      </c>
      <c r="R46" s="18">
        <v>81.25</v>
      </c>
      <c r="S46" s="18">
        <v>90.89</v>
      </c>
      <c r="T46" s="18">
        <v>77.97</v>
      </c>
      <c r="U46" s="18">
        <v>102.4</v>
      </c>
      <c r="V46" s="18">
        <v>100.63</v>
      </c>
      <c r="W46" s="18">
        <v>106.01</v>
      </c>
      <c r="X46" s="7">
        <v>3.734554619782382E-2</v>
      </c>
      <c r="Y46" s="8">
        <v>4.4505022371033258E-2</v>
      </c>
      <c r="Z46" s="8">
        <v>5.4977163768403781E-2</v>
      </c>
      <c r="AA46" s="8">
        <v>4.0657183575788507E-2</v>
      </c>
    </row>
    <row r="47" spans="2:27">
      <c r="B47" s="3" t="s">
        <v>37</v>
      </c>
      <c r="C47" s="3" t="s">
        <v>505</v>
      </c>
      <c r="D47" s="3" t="s">
        <v>542</v>
      </c>
      <c r="E47" s="3" t="s">
        <v>507</v>
      </c>
      <c r="F47" s="5">
        <v>3.2</v>
      </c>
      <c r="G47" s="18">
        <v>781</v>
      </c>
      <c r="H47" s="18">
        <v>674</v>
      </c>
      <c r="I47" s="18">
        <v>604</v>
      </c>
      <c r="J47" s="18">
        <v>746</v>
      </c>
      <c r="K47" s="18">
        <v>850</v>
      </c>
      <c r="L47" s="18">
        <v>576</v>
      </c>
      <c r="M47" s="18">
        <v>769</v>
      </c>
      <c r="N47" s="18">
        <v>898</v>
      </c>
      <c r="O47" s="18">
        <v>970</v>
      </c>
      <c r="P47" s="18">
        <v>765</v>
      </c>
      <c r="Q47" s="18">
        <v>861</v>
      </c>
      <c r="R47" s="18">
        <v>902</v>
      </c>
      <c r="S47" s="18">
        <v>868</v>
      </c>
      <c r="T47" s="18">
        <v>801</v>
      </c>
      <c r="U47" s="18">
        <v>898</v>
      </c>
      <c r="V47" s="18">
        <v>995</v>
      </c>
      <c r="W47" s="18">
        <v>981</v>
      </c>
      <c r="X47" s="7">
        <v>1.0600706713780991E-2</v>
      </c>
      <c r="Y47" s="8">
        <v>1.0780885780885759E-2</v>
      </c>
      <c r="Z47" s="8">
        <v>2.680887863937742E-2</v>
      </c>
      <c r="AA47" s="8">
        <v>3.1723750701852849E-2</v>
      </c>
    </row>
    <row r="48" spans="2:27">
      <c r="B48" s="3" t="s">
        <v>208</v>
      </c>
      <c r="C48" s="3" t="s">
        <v>505</v>
      </c>
      <c r="D48" s="3" t="s">
        <v>540</v>
      </c>
      <c r="E48" s="3" t="s">
        <v>507</v>
      </c>
      <c r="F48" s="5">
        <v>3.1</v>
      </c>
      <c r="G48" s="18">
        <v>32.43</v>
      </c>
      <c r="H48" s="18">
        <v>32.909999999999997</v>
      </c>
      <c r="I48" s="18">
        <v>29.82</v>
      </c>
      <c r="J48" s="18">
        <v>37.06</v>
      </c>
      <c r="K48" s="18">
        <v>26.49</v>
      </c>
      <c r="L48" s="18">
        <v>33.6</v>
      </c>
      <c r="M48" s="18">
        <v>34.94</v>
      </c>
      <c r="N48" s="18">
        <v>38.67</v>
      </c>
      <c r="O48" s="18">
        <v>34.07</v>
      </c>
      <c r="P48" s="18">
        <v>38.630000000000003</v>
      </c>
      <c r="Q48" s="18">
        <v>41.4</v>
      </c>
      <c r="R48" s="18">
        <v>41.48</v>
      </c>
      <c r="S48" s="18">
        <v>41.97</v>
      </c>
      <c r="T48" s="18">
        <v>39.799999999999997</v>
      </c>
      <c r="U48" s="18">
        <v>47.76</v>
      </c>
      <c r="V48" s="18">
        <v>49.9</v>
      </c>
      <c r="W48" s="18">
        <v>47.56</v>
      </c>
      <c r="X48" s="7">
        <v>7.1568387570344338E-3</v>
      </c>
      <c r="Y48" s="8">
        <v>3.8627391436380387E-2</v>
      </c>
      <c r="Z48" s="8">
        <v>4.9236886731770069E-2</v>
      </c>
      <c r="AA48" s="8">
        <v>3.115421055564838E-2</v>
      </c>
    </row>
    <row r="49" spans="2:27">
      <c r="B49" s="3" t="s">
        <v>194</v>
      </c>
      <c r="C49" s="3" t="s">
        <v>505</v>
      </c>
      <c r="D49" s="3" t="s">
        <v>524</v>
      </c>
      <c r="E49" s="3" t="s">
        <v>507</v>
      </c>
      <c r="F49" s="5">
        <v>3</v>
      </c>
      <c r="G49" s="18">
        <v>-9.9499999999999993</v>
      </c>
      <c r="H49" s="18">
        <v>-13.58</v>
      </c>
      <c r="I49" s="18">
        <v>-7.95</v>
      </c>
      <c r="J49" s="18">
        <v>7.2</v>
      </c>
      <c r="K49" s="18">
        <v>4.99</v>
      </c>
      <c r="L49" s="18">
        <v>-4.59</v>
      </c>
      <c r="M49" s="18">
        <v>5.91</v>
      </c>
      <c r="N49" s="19">
        <v>43.61</v>
      </c>
      <c r="O49" s="19">
        <v>21.2</v>
      </c>
      <c r="P49" s="19">
        <v>19.690000000000001</v>
      </c>
      <c r="Q49" s="19">
        <v>26.04</v>
      </c>
      <c r="R49" s="18">
        <v>27.8</v>
      </c>
      <c r="S49" s="19">
        <v>34.22</v>
      </c>
      <c r="T49" s="19">
        <v>37.64</v>
      </c>
      <c r="U49" s="18">
        <v>35.619999999999997</v>
      </c>
      <c r="V49" s="19">
        <v>44.93</v>
      </c>
      <c r="W49" s="18">
        <v>38.799999999999997</v>
      </c>
      <c r="X49" s="10">
        <v>0.16658932714617181</v>
      </c>
      <c r="Y49" s="8">
        <v>7.6213206046141568E-2</v>
      </c>
      <c r="Z49" s="9">
        <v>0.1266262566528682</v>
      </c>
      <c r="AA49" s="8">
        <v>3.0050521619316321E-2</v>
      </c>
    </row>
    <row r="50" spans="2:27">
      <c r="B50" s="3" t="s">
        <v>146</v>
      </c>
      <c r="C50" s="3" t="s">
        <v>505</v>
      </c>
      <c r="D50" s="3" t="s">
        <v>538</v>
      </c>
      <c r="E50" s="3" t="s">
        <v>507</v>
      </c>
      <c r="F50" s="5">
        <v>2.2999999999999998</v>
      </c>
      <c r="G50" s="18">
        <v>36.61</v>
      </c>
      <c r="H50" s="18">
        <v>43.73</v>
      </c>
      <c r="I50" s="18">
        <v>46.84</v>
      </c>
      <c r="J50" s="18">
        <v>49.88</v>
      </c>
      <c r="K50" s="18">
        <v>50.77</v>
      </c>
      <c r="L50" s="18">
        <v>59.34</v>
      </c>
      <c r="M50" s="18">
        <v>64.83</v>
      </c>
      <c r="N50" s="18">
        <v>60.12</v>
      </c>
      <c r="O50" s="18">
        <v>54.16</v>
      </c>
      <c r="P50" s="18">
        <v>61.6</v>
      </c>
      <c r="Q50" s="18">
        <v>61.52</v>
      </c>
      <c r="R50" s="18">
        <v>69.48</v>
      </c>
      <c r="S50" s="18">
        <v>71.02</v>
      </c>
      <c r="T50" s="18">
        <v>78.36</v>
      </c>
      <c r="U50" s="18">
        <v>81.09</v>
      </c>
      <c r="V50" s="18">
        <v>76.13</v>
      </c>
      <c r="W50" s="18">
        <v>78.17</v>
      </c>
      <c r="X50" s="7">
        <v>6.3576359911994507E-2</v>
      </c>
      <c r="Y50" s="8">
        <v>6.9798131107782213E-2</v>
      </c>
      <c r="Z50" s="8">
        <v>2.2170361726954631E-2</v>
      </c>
      <c r="AA50" s="8">
        <v>2.3320287018917089E-2</v>
      </c>
    </row>
    <row r="51" spans="2:27">
      <c r="B51" s="3" t="s">
        <v>405</v>
      </c>
      <c r="C51" s="3" t="s">
        <v>505</v>
      </c>
      <c r="D51" s="3" t="s">
        <v>517</v>
      </c>
      <c r="E51" s="3" t="s">
        <v>507</v>
      </c>
      <c r="F51" s="5">
        <v>2.2999999999999998</v>
      </c>
      <c r="G51" s="18">
        <v>-7.72</v>
      </c>
      <c r="H51" s="18">
        <v>-11.31</v>
      </c>
      <c r="I51" s="18">
        <v>-14.7</v>
      </c>
      <c r="J51" s="18">
        <v>-15.6</v>
      </c>
      <c r="K51" s="19">
        <v>-17.510000000000002</v>
      </c>
      <c r="L51" s="19">
        <v>-21.32</v>
      </c>
      <c r="M51" s="19">
        <v>-22.17</v>
      </c>
      <c r="N51" s="18">
        <v>-21.5</v>
      </c>
      <c r="O51" s="18">
        <v>-25.63</v>
      </c>
      <c r="P51" s="18">
        <v>-25.78</v>
      </c>
      <c r="Q51" s="18">
        <v>-26.94</v>
      </c>
      <c r="R51" s="18">
        <v>-27.59</v>
      </c>
      <c r="S51" s="18">
        <v>-25.02</v>
      </c>
      <c r="T51" s="18">
        <v>-24.03</v>
      </c>
      <c r="U51" s="18">
        <v>-25.87</v>
      </c>
      <c r="V51" s="18">
        <v>-23.67</v>
      </c>
      <c r="W51" s="18">
        <v>-27.26</v>
      </c>
      <c r="X51" s="7">
        <v>-1.6614449824361551E-2</v>
      </c>
      <c r="Y51" s="8">
        <v>-1.033017957134574E-2</v>
      </c>
      <c r="Z51" s="8">
        <v>-3.8240171690566822E-2</v>
      </c>
      <c r="AA51" s="8">
        <v>2.272035703418207E-2</v>
      </c>
    </row>
    <row r="52" spans="2:27">
      <c r="B52" s="3" t="s">
        <v>14</v>
      </c>
      <c r="C52" s="3" t="s">
        <v>505</v>
      </c>
      <c r="D52" s="3" t="s">
        <v>514</v>
      </c>
      <c r="E52" s="3" t="s">
        <v>507</v>
      </c>
      <c r="F52" s="5">
        <v>2.2000000000000002</v>
      </c>
      <c r="G52" s="18">
        <v>25</v>
      </c>
      <c r="H52" s="18">
        <v>141</v>
      </c>
      <c r="I52" s="18">
        <v>250</v>
      </c>
      <c r="J52" s="18">
        <v>296</v>
      </c>
      <c r="K52" s="19">
        <v>350</v>
      </c>
      <c r="L52" s="19">
        <v>418</v>
      </c>
      <c r="M52" s="19">
        <v>669</v>
      </c>
      <c r="N52" s="19">
        <v>785</v>
      </c>
      <c r="O52" s="18">
        <v>335</v>
      </c>
      <c r="P52" s="18">
        <v>512</v>
      </c>
      <c r="Q52" s="18">
        <v>726</v>
      </c>
      <c r="R52" s="18">
        <v>557</v>
      </c>
      <c r="S52" s="19">
        <v>820</v>
      </c>
      <c r="T52" s="19">
        <v>775</v>
      </c>
      <c r="U52" s="18">
        <v>825</v>
      </c>
      <c r="V52" s="18">
        <v>724</v>
      </c>
      <c r="W52" s="18">
        <v>889</v>
      </c>
      <c r="X52" s="10">
        <v>0.10057361376673039</v>
      </c>
      <c r="Y52" s="8">
        <v>3.439888811674785E-2</v>
      </c>
      <c r="Z52" s="8">
        <v>5.6096741686261442E-2</v>
      </c>
      <c r="AA52" s="8">
        <v>2.1946564885496182E-2</v>
      </c>
    </row>
    <row r="53" spans="2:27">
      <c r="B53" s="3" t="s">
        <v>98</v>
      </c>
      <c r="C53" s="3" t="s">
        <v>505</v>
      </c>
      <c r="D53" s="3" t="s">
        <v>513</v>
      </c>
      <c r="E53" s="3" t="s">
        <v>507</v>
      </c>
      <c r="F53" s="5">
        <v>2</v>
      </c>
      <c r="G53" s="18">
        <v>108</v>
      </c>
      <c r="H53" s="18">
        <v>176</v>
      </c>
      <c r="I53" s="18">
        <v>133</v>
      </c>
      <c r="J53" s="18">
        <v>50</v>
      </c>
      <c r="K53" s="18">
        <v>31</v>
      </c>
      <c r="L53" s="19">
        <v>221</v>
      </c>
      <c r="M53" s="18">
        <v>53</v>
      </c>
      <c r="N53" s="18">
        <v>42</v>
      </c>
      <c r="O53" s="18">
        <v>15</v>
      </c>
      <c r="P53" s="18">
        <v>133</v>
      </c>
      <c r="Q53" s="19">
        <v>115</v>
      </c>
      <c r="R53" s="18">
        <v>-5</v>
      </c>
      <c r="S53" s="18">
        <v>14</v>
      </c>
      <c r="T53" s="18">
        <v>121</v>
      </c>
      <c r="U53" s="18">
        <v>85</v>
      </c>
      <c r="V53" s="19">
        <v>27</v>
      </c>
      <c r="W53" s="18">
        <v>19</v>
      </c>
      <c r="X53" s="7">
        <v>-4.6692607003891003E-2</v>
      </c>
      <c r="Y53" s="8">
        <v>-0.1224489795918368</v>
      </c>
      <c r="Z53" s="9">
        <v>0.14883720930232561</v>
      </c>
      <c r="AA53" s="8">
        <v>2.0242914979757168E-2</v>
      </c>
    </row>
    <row r="54" spans="2:27">
      <c r="B54" s="3" t="s">
        <v>242</v>
      </c>
      <c r="C54" s="3" t="s">
        <v>505</v>
      </c>
      <c r="D54" s="3" t="s">
        <v>543</v>
      </c>
      <c r="E54" s="3" t="s">
        <v>507</v>
      </c>
      <c r="F54" s="5">
        <v>1.8</v>
      </c>
      <c r="G54" s="18">
        <v>21.41</v>
      </c>
      <c r="H54" s="18">
        <v>46.58</v>
      </c>
      <c r="I54" s="18">
        <v>30.45</v>
      </c>
      <c r="J54" s="18">
        <v>47.34</v>
      </c>
      <c r="K54" s="18">
        <v>32.79</v>
      </c>
      <c r="L54" s="18">
        <v>41.51</v>
      </c>
      <c r="M54" s="18">
        <v>39.74</v>
      </c>
      <c r="N54" s="18">
        <v>45.2</v>
      </c>
      <c r="O54" s="18">
        <v>25.58</v>
      </c>
      <c r="P54" s="18">
        <v>43.51</v>
      </c>
      <c r="Q54" s="18">
        <v>32.299999999999997</v>
      </c>
      <c r="R54" s="18">
        <v>49.86</v>
      </c>
      <c r="S54" s="18">
        <v>20.59</v>
      </c>
      <c r="T54" s="18">
        <v>55.93</v>
      </c>
      <c r="U54" s="18">
        <v>37.11</v>
      </c>
      <c r="V54" s="18">
        <v>54.05</v>
      </c>
      <c r="W54" s="18">
        <v>23.56</v>
      </c>
      <c r="X54" s="7">
        <v>8.4917270613975138E-2</v>
      </c>
      <c r="Y54" s="8">
        <v>3.0312578774892799E-2</v>
      </c>
      <c r="Z54" s="8">
        <v>2.5628478806043239E-2</v>
      </c>
      <c r="AA54" s="8">
        <v>1.771230916030531E-2</v>
      </c>
    </row>
    <row r="55" spans="2:27">
      <c r="B55" s="3" t="s">
        <v>122</v>
      </c>
      <c r="C55" s="3" t="s">
        <v>505</v>
      </c>
      <c r="D55" s="3" t="s">
        <v>532</v>
      </c>
      <c r="E55" s="3" t="s">
        <v>507</v>
      </c>
      <c r="F55" s="5">
        <v>1.7</v>
      </c>
      <c r="G55" s="18">
        <v>55.96</v>
      </c>
      <c r="H55" s="18">
        <v>57.59</v>
      </c>
      <c r="I55" s="18">
        <v>56.28</v>
      </c>
      <c r="J55" s="18">
        <v>50.36</v>
      </c>
      <c r="K55" s="18">
        <v>31.71</v>
      </c>
      <c r="L55" s="18">
        <v>15.09</v>
      </c>
      <c r="M55" s="18">
        <v>21.07</v>
      </c>
      <c r="N55" s="18">
        <v>-5.59</v>
      </c>
      <c r="O55" s="18">
        <v>18.760000000000002</v>
      </c>
      <c r="P55" s="18">
        <v>5.17</v>
      </c>
      <c r="Q55" s="18">
        <v>6.44</v>
      </c>
      <c r="R55" s="18">
        <v>-4.68</v>
      </c>
      <c r="S55" s="19">
        <v>30.71</v>
      </c>
      <c r="T55" s="19">
        <v>9.4499999999999993</v>
      </c>
      <c r="U55" s="18">
        <v>9.6199999999999992</v>
      </c>
      <c r="V55" s="19">
        <v>12.68</v>
      </c>
      <c r="W55" s="18">
        <v>31.79</v>
      </c>
      <c r="X55" s="10">
        <v>0.1137088204038257</v>
      </c>
      <c r="Y55" s="8">
        <v>7.5858778625954137E-2</v>
      </c>
      <c r="Z55" s="9">
        <v>0.38492239467849232</v>
      </c>
      <c r="AA55" s="8">
        <v>1.7291066282420831E-2</v>
      </c>
    </row>
    <row r="56" spans="2:27">
      <c r="B56" s="3" t="s">
        <v>184</v>
      </c>
      <c r="C56" s="3" t="s">
        <v>505</v>
      </c>
      <c r="D56" s="3" t="s">
        <v>527</v>
      </c>
      <c r="E56" s="3" t="s">
        <v>507</v>
      </c>
      <c r="F56" s="5">
        <v>1.7</v>
      </c>
      <c r="G56" s="18">
        <v>80.040000000000006</v>
      </c>
      <c r="H56" s="18">
        <v>73.349999999999994</v>
      </c>
      <c r="I56" s="18">
        <v>90.9</v>
      </c>
      <c r="J56" s="18">
        <v>79.38</v>
      </c>
      <c r="K56" s="18">
        <v>84.32</v>
      </c>
      <c r="L56" s="18">
        <v>48.63</v>
      </c>
      <c r="M56" s="18">
        <v>76.09</v>
      </c>
      <c r="N56" s="18">
        <v>85.71</v>
      </c>
      <c r="O56" s="19">
        <v>116.61</v>
      </c>
      <c r="P56" s="18">
        <v>60.83</v>
      </c>
      <c r="Q56" s="18">
        <v>85.91</v>
      </c>
      <c r="R56" s="18">
        <v>92.63</v>
      </c>
      <c r="S56" s="18">
        <v>98.76</v>
      </c>
      <c r="T56" s="18">
        <v>70.86</v>
      </c>
      <c r="U56" s="18">
        <v>104.01</v>
      </c>
      <c r="V56" s="18">
        <v>126.28</v>
      </c>
      <c r="W56" s="18">
        <v>105.38</v>
      </c>
      <c r="X56" s="7">
        <v>2.9663147310206028E-2</v>
      </c>
      <c r="Y56" s="8">
        <v>5.1987591911764719E-2</v>
      </c>
      <c r="Z56" s="8">
        <v>9.1874624583629272E-2</v>
      </c>
      <c r="AA56" s="8">
        <v>1.6553724588032281E-2</v>
      </c>
    </row>
    <row r="57" spans="2:27">
      <c r="B57" s="3" t="s">
        <v>317</v>
      </c>
      <c r="C57" s="3" t="s">
        <v>505</v>
      </c>
      <c r="D57" s="3" t="s">
        <v>512</v>
      </c>
      <c r="E57" s="3" t="s">
        <v>507</v>
      </c>
      <c r="F57" s="5">
        <v>1.6</v>
      </c>
      <c r="G57" s="18">
        <v>19.41</v>
      </c>
      <c r="H57" s="18">
        <v>20.72</v>
      </c>
      <c r="I57" s="18">
        <v>21.44</v>
      </c>
      <c r="J57" s="18">
        <v>21.82</v>
      </c>
      <c r="K57" s="19">
        <v>27.9</v>
      </c>
      <c r="L57" s="18">
        <v>26.46</v>
      </c>
      <c r="M57" s="18">
        <v>28.74</v>
      </c>
      <c r="N57" s="18">
        <v>28.8</v>
      </c>
      <c r="O57" s="18">
        <v>26.04</v>
      </c>
      <c r="P57" s="18">
        <v>30.94</v>
      </c>
      <c r="Q57" s="18">
        <v>29.73</v>
      </c>
      <c r="R57" s="18">
        <v>31.14</v>
      </c>
      <c r="S57" s="18">
        <v>32.35</v>
      </c>
      <c r="T57" s="18">
        <v>28.56</v>
      </c>
      <c r="U57" s="18">
        <v>21.05</v>
      </c>
      <c r="V57" s="18">
        <v>30.86</v>
      </c>
      <c r="W57" s="18">
        <v>34.19</v>
      </c>
      <c r="X57" s="7">
        <v>-1.9168814432989682E-2</v>
      </c>
      <c r="Y57" s="8">
        <v>-7.1276071604532865E-2</v>
      </c>
      <c r="Z57" s="8">
        <v>-2.4756852343059692E-3</v>
      </c>
      <c r="AA57" s="8">
        <v>1.630916504165936E-2</v>
      </c>
    </row>
    <row r="58" spans="2:27">
      <c r="B58" s="3" t="s">
        <v>200</v>
      </c>
      <c r="C58" s="3" t="s">
        <v>505</v>
      </c>
      <c r="D58" s="3" t="s">
        <v>545</v>
      </c>
      <c r="E58" s="3" t="s">
        <v>507</v>
      </c>
      <c r="F58" s="5">
        <v>1.3</v>
      </c>
      <c r="G58" s="18">
        <v>60.77</v>
      </c>
      <c r="H58" s="18">
        <v>52.25</v>
      </c>
      <c r="I58" s="18">
        <v>59.08</v>
      </c>
      <c r="J58" s="18">
        <v>60.72</v>
      </c>
      <c r="K58" s="18">
        <v>68.19</v>
      </c>
      <c r="L58" s="18">
        <v>66.63</v>
      </c>
      <c r="M58" s="18">
        <v>82.37</v>
      </c>
      <c r="N58" s="18">
        <v>81.05</v>
      </c>
      <c r="O58" s="18">
        <v>84.56</v>
      </c>
      <c r="P58" s="18">
        <v>69.03</v>
      </c>
      <c r="Q58" s="18">
        <v>80.680000000000007</v>
      </c>
      <c r="R58" s="18">
        <v>85.09</v>
      </c>
      <c r="S58" s="18">
        <v>87.04</v>
      </c>
      <c r="T58" s="18">
        <v>79.19</v>
      </c>
      <c r="U58" s="18">
        <v>82.71</v>
      </c>
      <c r="V58" s="18">
        <v>84.51</v>
      </c>
      <c r="W58" s="18">
        <v>91.5</v>
      </c>
      <c r="X58" s="7">
        <v>3.1568481232910672E-2</v>
      </c>
      <c r="Y58" s="8">
        <v>6.1144578313252476E-3</v>
      </c>
      <c r="Z58" s="8">
        <v>-1.736370984642077E-3</v>
      </c>
      <c r="AA58" s="8">
        <v>1.337531863847641E-2</v>
      </c>
    </row>
    <row r="59" spans="2:27">
      <c r="B59" s="3" t="s">
        <v>104</v>
      </c>
      <c r="C59" s="3" t="s">
        <v>505</v>
      </c>
      <c r="D59" s="3" t="s">
        <v>518</v>
      </c>
      <c r="E59" s="3" t="s">
        <v>507</v>
      </c>
      <c r="F59" s="5">
        <v>0.6</v>
      </c>
      <c r="G59" s="18">
        <v>93</v>
      </c>
      <c r="H59" s="18">
        <v>56</v>
      </c>
      <c r="I59" s="18">
        <v>42</v>
      </c>
      <c r="J59" s="18">
        <v>376</v>
      </c>
      <c r="K59" s="18">
        <v>-264</v>
      </c>
      <c r="L59" s="18">
        <v>25</v>
      </c>
      <c r="M59" s="18">
        <v>50</v>
      </c>
      <c r="N59" s="18">
        <v>61</v>
      </c>
      <c r="O59" s="18">
        <v>106</v>
      </c>
      <c r="P59" s="18">
        <v>47</v>
      </c>
      <c r="Q59" s="18">
        <v>56</v>
      </c>
      <c r="R59" s="18">
        <v>75</v>
      </c>
      <c r="S59" s="18">
        <v>123</v>
      </c>
      <c r="T59" s="18">
        <v>59</v>
      </c>
      <c r="U59" s="18">
        <v>70</v>
      </c>
      <c r="V59" s="18">
        <v>94</v>
      </c>
      <c r="W59" s="18">
        <v>125</v>
      </c>
      <c r="X59" s="7">
        <v>3.9867109634551527E-2</v>
      </c>
      <c r="Y59" s="8">
        <v>4.4728434504792247E-2</v>
      </c>
      <c r="Z59" s="8">
        <v>5.8103975535168217E-2</v>
      </c>
      <c r="AA59" s="8">
        <v>5.7803468208093012E-3</v>
      </c>
    </row>
    <row r="60" spans="2:27">
      <c r="B60" s="3" t="s">
        <v>20</v>
      </c>
      <c r="C60" s="3" t="s">
        <v>505</v>
      </c>
      <c r="D60" s="3" t="s">
        <v>547</v>
      </c>
      <c r="E60" s="3" t="s">
        <v>507</v>
      </c>
      <c r="F60" s="5">
        <v>-0.2</v>
      </c>
      <c r="G60" s="18">
        <v>928.7</v>
      </c>
      <c r="H60" s="18">
        <v>745</v>
      </c>
      <c r="I60" s="18">
        <v>804.9</v>
      </c>
      <c r="J60" s="18">
        <v>695.9</v>
      </c>
      <c r="K60" s="18">
        <v>901.3</v>
      </c>
      <c r="L60" s="18">
        <v>885.4</v>
      </c>
      <c r="M60" s="18">
        <v>0</v>
      </c>
      <c r="N60" s="18">
        <v>922.8</v>
      </c>
      <c r="O60" s="18">
        <v>0</v>
      </c>
      <c r="P60" s="19">
        <v>1141</v>
      </c>
      <c r="Q60" s="19">
        <v>1160</v>
      </c>
      <c r="R60" s="18">
        <v>1143</v>
      </c>
      <c r="S60" s="19">
        <v>1172</v>
      </c>
      <c r="T60" s="18">
        <v>1201</v>
      </c>
      <c r="U60" s="18">
        <v>1199</v>
      </c>
      <c r="V60" s="18">
        <v>1236</v>
      </c>
      <c r="W60" s="18">
        <v>1161</v>
      </c>
      <c r="X60" s="7">
        <v>1.2998266897746861E-2</v>
      </c>
      <c r="Y60" s="8">
        <v>8.3404619332763108E-3</v>
      </c>
      <c r="Z60" s="8">
        <v>1.972428419936367E-2</v>
      </c>
      <c r="AA60" s="8">
        <v>-2.2878535773710458E-3</v>
      </c>
    </row>
    <row r="61" spans="2:27">
      <c r="B61" s="3" t="s">
        <v>92</v>
      </c>
      <c r="C61" s="3" t="s">
        <v>505</v>
      </c>
      <c r="D61" s="3" t="s">
        <v>550</v>
      </c>
      <c r="E61" s="3" t="s">
        <v>507</v>
      </c>
      <c r="F61" s="5">
        <v>-0.9</v>
      </c>
      <c r="G61" s="18">
        <v>1018</v>
      </c>
      <c r="H61" s="18">
        <v>1156</v>
      </c>
      <c r="I61" s="18">
        <v>1674</v>
      </c>
      <c r="J61" s="18">
        <v>1155</v>
      </c>
      <c r="K61" s="18">
        <v>700.6</v>
      </c>
      <c r="L61" s="18">
        <v>488.6</v>
      </c>
      <c r="M61" s="18">
        <v>369.2</v>
      </c>
      <c r="N61" s="18">
        <v>145.80000000000001</v>
      </c>
      <c r="O61" s="18">
        <v>278.5</v>
      </c>
      <c r="P61" s="18">
        <v>172.9</v>
      </c>
      <c r="Q61" s="18">
        <v>233.3</v>
      </c>
      <c r="R61" s="18">
        <v>115.4</v>
      </c>
      <c r="S61" s="18">
        <v>99.9</v>
      </c>
      <c r="T61" s="19">
        <v>338.5</v>
      </c>
      <c r="U61" s="18">
        <v>288.39999999999998</v>
      </c>
      <c r="V61" s="19">
        <v>412.8</v>
      </c>
      <c r="W61" s="18">
        <v>90</v>
      </c>
      <c r="X61" s="10">
        <v>0.26645213193885747</v>
      </c>
      <c r="Y61" s="8">
        <v>7.0003811459789178E-2</v>
      </c>
      <c r="Z61" s="9">
        <v>0.35312277368795991</v>
      </c>
      <c r="AA61" s="8">
        <v>-8.6872586872586144E-3</v>
      </c>
    </row>
    <row r="62" spans="2:27">
      <c r="B62" s="3" t="s">
        <v>228</v>
      </c>
      <c r="C62" s="3" t="s">
        <v>505</v>
      </c>
      <c r="D62" s="3" t="s">
        <v>552</v>
      </c>
      <c r="E62" s="3" t="s">
        <v>507</v>
      </c>
      <c r="F62" s="5">
        <v>-1.2</v>
      </c>
      <c r="G62" s="18">
        <v>192</v>
      </c>
      <c r="H62" s="18">
        <v>251</v>
      </c>
      <c r="I62" s="18">
        <v>230</v>
      </c>
      <c r="J62" s="18">
        <v>214</v>
      </c>
      <c r="K62" s="18">
        <v>251</v>
      </c>
      <c r="L62" s="18">
        <v>257</v>
      </c>
      <c r="M62" s="18">
        <v>0</v>
      </c>
      <c r="N62" s="18">
        <v>163</v>
      </c>
      <c r="O62" s="18">
        <v>210</v>
      </c>
      <c r="P62" s="18">
        <v>218</v>
      </c>
      <c r="Q62" s="19">
        <v>179</v>
      </c>
      <c r="R62" s="18">
        <v>150</v>
      </c>
      <c r="S62" s="18">
        <v>184</v>
      </c>
      <c r="T62" s="18">
        <v>138</v>
      </c>
      <c r="U62" s="18">
        <v>159</v>
      </c>
      <c r="V62" s="18">
        <v>183</v>
      </c>
      <c r="W62" s="18">
        <v>176</v>
      </c>
      <c r="X62" s="7">
        <v>-0.1094391244870041</v>
      </c>
      <c r="Y62" s="8">
        <v>-3.0721966205837229E-2</v>
      </c>
      <c r="Z62" s="8">
        <v>5.229793977813002E-2</v>
      </c>
      <c r="AA62" s="8">
        <v>-1.204819277108438E-2</v>
      </c>
    </row>
    <row r="63" spans="2:27">
      <c r="B63" s="3" t="s">
        <v>140</v>
      </c>
      <c r="C63" s="3" t="s">
        <v>505</v>
      </c>
      <c r="D63" s="3" t="s">
        <v>531</v>
      </c>
      <c r="E63" s="3" t="s">
        <v>507</v>
      </c>
      <c r="F63" s="5">
        <v>-2.2999999999999998</v>
      </c>
      <c r="G63" s="18">
        <v>-21</v>
      </c>
      <c r="H63" s="18">
        <v>-15.18</v>
      </c>
      <c r="I63" s="18">
        <v>-4.1100000000000003</v>
      </c>
      <c r="J63" s="18">
        <v>-6.33</v>
      </c>
      <c r="K63" s="18">
        <v>-8.4700000000000006</v>
      </c>
      <c r="L63" s="18">
        <v>2.68</v>
      </c>
      <c r="M63" s="18">
        <v>9.11</v>
      </c>
      <c r="N63" s="18">
        <v>5.08</v>
      </c>
      <c r="O63" s="19">
        <v>1.06</v>
      </c>
      <c r="P63" s="19">
        <v>10.83</v>
      </c>
      <c r="Q63" s="19">
        <v>17.04</v>
      </c>
      <c r="R63" s="19">
        <v>15.67</v>
      </c>
      <c r="S63" s="18">
        <v>5.21</v>
      </c>
      <c r="T63" s="19">
        <v>17.38</v>
      </c>
      <c r="U63" s="18">
        <v>20.72</v>
      </c>
      <c r="V63" s="18">
        <v>18.3</v>
      </c>
      <c r="W63" s="18">
        <v>3.82</v>
      </c>
      <c r="X63" s="10">
        <v>0.1343589743589744</v>
      </c>
      <c r="Y63" s="8">
        <v>6.654611211573247E-2</v>
      </c>
      <c r="Z63" s="8">
        <v>4.459138691081721E-2</v>
      </c>
      <c r="AA63" s="8">
        <v>-2.2561272520694731E-2</v>
      </c>
    </row>
    <row r="64" spans="2:27">
      <c r="B64" s="3" t="s">
        <v>50</v>
      </c>
      <c r="C64" s="3" t="s">
        <v>505</v>
      </c>
      <c r="D64" s="3" t="s">
        <v>554</v>
      </c>
      <c r="E64" s="3" t="s">
        <v>507</v>
      </c>
      <c r="F64" s="5">
        <v>-2.6</v>
      </c>
      <c r="G64" s="18">
        <v>54.7</v>
      </c>
      <c r="H64" s="18">
        <v>67.8</v>
      </c>
      <c r="I64" s="18">
        <v>73.5</v>
      </c>
      <c r="J64" s="18">
        <v>67.2</v>
      </c>
      <c r="K64" s="18">
        <v>44</v>
      </c>
      <c r="L64" s="18">
        <v>63.1</v>
      </c>
      <c r="M64" s="18">
        <v>70.599999999999994</v>
      </c>
      <c r="N64" s="18">
        <v>77</v>
      </c>
      <c r="O64" s="18">
        <v>69.2</v>
      </c>
      <c r="P64" s="18">
        <v>77.3</v>
      </c>
      <c r="Q64" s="18">
        <v>84.8</v>
      </c>
      <c r="R64" s="18">
        <v>79.2</v>
      </c>
      <c r="S64" s="18">
        <v>74.2</v>
      </c>
      <c r="T64" s="18">
        <v>63.2</v>
      </c>
      <c r="U64" s="18">
        <v>79</v>
      </c>
      <c r="V64" s="18">
        <v>78.400000000000006</v>
      </c>
      <c r="W64" s="18">
        <v>66.5</v>
      </c>
      <c r="X64" s="7">
        <v>-4.4690966719492908E-2</v>
      </c>
      <c r="Y64" s="8">
        <v>-1.9243530192435191E-2</v>
      </c>
      <c r="Z64" s="8">
        <v>-2.706359945872872E-3</v>
      </c>
      <c r="AA64" s="8">
        <v>-2.6119402985074539E-2</v>
      </c>
    </row>
    <row r="65" spans="2:27">
      <c r="B65" s="3" t="s">
        <v>190</v>
      </c>
      <c r="C65" s="3" t="s">
        <v>505</v>
      </c>
      <c r="D65" s="3" t="s">
        <v>525</v>
      </c>
      <c r="E65" s="3" t="s">
        <v>507</v>
      </c>
      <c r="F65" s="5">
        <v>-2.7</v>
      </c>
      <c r="G65" s="18">
        <v>151</v>
      </c>
      <c r="H65" s="18">
        <v>172</v>
      </c>
      <c r="I65" s="18">
        <v>186</v>
      </c>
      <c r="J65" s="18">
        <v>155</v>
      </c>
      <c r="K65" s="18">
        <v>172</v>
      </c>
      <c r="L65" s="18">
        <v>140</v>
      </c>
      <c r="M65" s="18">
        <v>155</v>
      </c>
      <c r="N65" s="18">
        <v>147</v>
      </c>
      <c r="O65" s="18">
        <v>138</v>
      </c>
      <c r="P65" s="18">
        <v>135</v>
      </c>
      <c r="Q65" s="18">
        <v>133</v>
      </c>
      <c r="R65" s="18">
        <v>155</v>
      </c>
      <c r="S65" s="18">
        <v>179</v>
      </c>
      <c r="T65" s="18">
        <v>140</v>
      </c>
      <c r="U65" s="18">
        <v>179</v>
      </c>
      <c r="V65" s="18">
        <v>157</v>
      </c>
      <c r="W65" s="18">
        <v>161</v>
      </c>
      <c r="X65" s="7">
        <v>8.3056478405316714E-3</v>
      </c>
      <c r="Y65" s="8">
        <v>7.5782537067545341E-2</v>
      </c>
      <c r="Z65" s="8">
        <v>3.0627871362940429E-3</v>
      </c>
      <c r="AA65" s="8">
        <v>-2.7480916030534371E-2</v>
      </c>
    </row>
    <row r="66" spans="2:27">
      <c r="B66" s="3" t="s">
        <v>40</v>
      </c>
      <c r="C66" s="3" t="s">
        <v>505</v>
      </c>
      <c r="D66" s="3" t="s">
        <v>532</v>
      </c>
      <c r="E66" s="3" t="s">
        <v>507</v>
      </c>
      <c r="F66" s="5">
        <v>-2.8</v>
      </c>
      <c r="G66" s="18">
        <v>105</v>
      </c>
      <c r="H66" s="18">
        <v>275</v>
      </c>
      <c r="I66" s="18">
        <v>252</v>
      </c>
      <c r="J66" s="18">
        <v>205</v>
      </c>
      <c r="K66" s="18">
        <v>184</v>
      </c>
      <c r="L66" s="18">
        <v>272</v>
      </c>
      <c r="M66" s="18">
        <v>275</v>
      </c>
      <c r="N66" s="18">
        <v>239</v>
      </c>
      <c r="O66" s="19">
        <v>299</v>
      </c>
      <c r="P66" s="18">
        <v>368</v>
      </c>
      <c r="Q66" s="18">
        <v>327</v>
      </c>
      <c r="R66" s="18">
        <v>332</v>
      </c>
      <c r="S66" s="18">
        <v>386</v>
      </c>
      <c r="T66" s="18">
        <v>329</v>
      </c>
      <c r="U66" s="18">
        <v>290</v>
      </c>
      <c r="V66" s="18">
        <v>336</v>
      </c>
      <c r="W66" s="18">
        <v>348</v>
      </c>
      <c r="X66" s="7">
        <v>-2.760084925690021E-2</v>
      </c>
      <c r="Y66" s="8">
        <v>-2.6928675400291091E-2</v>
      </c>
      <c r="Z66" s="8">
        <v>2.9917726252803871E-3</v>
      </c>
      <c r="AA66" s="8">
        <v>-2.8337061894108891E-2</v>
      </c>
    </row>
    <row r="67" spans="2:27">
      <c r="B67" s="3" t="s">
        <v>7</v>
      </c>
      <c r="C67" s="3" t="s">
        <v>505</v>
      </c>
      <c r="D67" s="3" t="s">
        <v>559</v>
      </c>
      <c r="E67" s="3" t="s">
        <v>534</v>
      </c>
      <c r="F67" s="5">
        <v>-3</v>
      </c>
      <c r="G67" s="18">
        <v>4825</v>
      </c>
      <c r="H67" s="18">
        <v>5929</v>
      </c>
      <c r="I67" s="18">
        <v>7210</v>
      </c>
      <c r="J67" s="18">
        <v>6148</v>
      </c>
      <c r="K67" s="18">
        <v>4752</v>
      </c>
      <c r="L67" s="18">
        <v>5551</v>
      </c>
      <c r="M67" s="18">
        <v>6589</v>
      </c>
      <c r="N67" s="18">
        <v>5406</v>
      </c>
      <c r="O67" s="18">
        <v>4143</v>
      </c>
      <c r="P67" s="18">
        <v>5079</v>
      </c>
      <c r="Q67" s="18">
        <v>6534</v>
      </c>
      <c r="R67" s="18">
        <v>5418</v>
      </c>
      <c r="S67" s="18">
        <v>4495</v>
      </c>
      <c r="T67" s="18">
        <v>5133</v>
      </c>
      <c r="U67" s="18">
        <v>6555</v>
      </c>
      <c r="V67" s="18">
        <v>5353</v>
      </c>
      <c r="W67" s="18">
        <v>3849</v>
      </c>
      <c r="X67" s="7">
        <v>2.5085942581064562E-3</v>
      </c>
      <c r="Y67" s="8">
        <v>9.7312326227982915E-4</v>
      </c>
      <c r="Z67" s="8">
        <v>-3.009119948150563E-3</v>
      </c>
      <c r="AA67" s="8">
        <v>-2.9996285289747401E-2</v>
      </c>
    </row>
    <row r="68" spans="2:27">
      <c r="B68" s="3" t="s">
        <v>391</v>
      </c>
      <c r="C68" s="3" t="s">
        <v>505</v>
      </c>
      <c r="D68" s="3" t="s">
        <v>506</v>
      </c>
      <c r="E68" s="3" t="s">
        <v>507</v>
      </c>
      <c r="F68" s="5">
        <v>-3.2</v>
      </c>
      <c r="G68" s="18">
        <v>-99.47</v>
      </c>
      <c r="H68" s="18">
        <v>-91.71</v>
      </c>
      <c r="I68" s="18">
        <v>-99.73</v>
      </c>
      <c r="J68" s="18">
        <v>-100.4</v>
      </c>
      <c r="K68" s="18">
        <v>-107.04</v>
      </c>
      <c r="L68" s="18">
        <v>-110.86</v>
      </c>
      <c r="M68" s="18">
        <v>-110.09</v>
      </c>
      <c r="N68" s="18">
        <v>-118.36</v>
      </c>
      <c r="O68" s="18">
        <v>-121.26</v>
      </c>
      <c r="P68" s="18">
        <v>-117.72</v>
      </c>
      <c r="Q68" s="18">
        <v>-101.91</v>
      </c>
      <c r="R68" s="18">
        <v>-89.07</v>
      </c>
      <c r="S68" s="18">
        <v>-86.58</v>
      </c>
      <c r="T68" s="18">
        <v>-121.22</v>
      </c>
      <c r="U68" s="18">
        <v>-113.77</v>
      </c>
      <c r="V68" s="18">
        <v>-89.76</v>
      </c>
      <c r="W68" s="18">
        <v>-73.459999999999994</v>
      </c>
      <c r="X68" s="7">
        <v>8.854482898198679E-3</v>
      </c>
      <c r="Y68" s="8">
        <v>2.9740709162947129E-2</v>
      </c>
      <c r="Z68" s="8">
        <v>1.680303915838621E-3</v>
      </c>
      <c r="AA68" s="8">
        <v>-3.189653076605159E-2</v>
      </c>
    </row>
    <row r="69" spans="2:27">
      <c r="B69" s="3" t="s">
        <v>263</v>
      </c>
      <c r="C69" s="3" t="s">
        <v>505</v>
      </c>
      <c r="D69" s="3" t="s">
        <v>541</v>
      </c>
      <c r="E69" s="3" t="s">
        <v>507</v>
      </c>
      <c r="F69" s="5">
        <v>-3.7</v>
      </c>
      <c r="G69" s="18">
        <v>21.18</v>
      </c>
      <c r="H69" s="18">
        <v>17.510000000000002</v>
      </c>
      <c r="I69" s="18">
        <v>31.07</v>
      </c>
      <c r="J69" s="18">
        <v>30.63</v>
      </c>
      <c r="K69" s="18">
        <v>30.5</v>
      </c>
      <c r="L69" s="18">
        <v>20.72</v>
      </c>
      <c r="M69" s="18">
        <v>41.82</v>
      </c>
      <c r="N69" s="19">
        <v>43.94</v>
      </c>
      <c r="O69" s="18">
        <v>34.43</v>
      </c>
      <c r="P69" s="18">
        <v>23.77</v>
      </c>
      <c r="Q69" s="18">
        <v>46.16</v>
      </c>
      <c r="R69" s="18">
        <v>45.58</v>
      </c>
      <c r="S69" s="19">
        <v>61.13</v>
      </c>
      <c r="T69" s="18">
        <v>34.07</v>
      </c>
      <c r="U69" s="18">
        <v>46.14</v>
      </c>
      <c r="V69" s="18">
        <v>53.52</v>
      </c>
      <c r="W69" s="18">
        <v>53.97</v>
      </c>
      <c r="X69" s="7">
        <v>5.8310688405797118E-2</v>
      </c>
      <c r="Y69" s="8">
        <v>-1.069861987802456E-4</v>
      </c>
      <c r="Z69" s="8">
        <v>4.2478065482559391E-2</v>
      </c>
      <c r="AA69" s="8">
        <v>-3.6744329262034407E-2</v>
      </c>
    </row>
    <row r="70" spans="2:27">
      <c r="B70" s="3" t="s">
        <v>261</v>
      </c>
      <c r="C70" s="3" t="s">
        <v>505</v>
      </c>
      <c r="D70" s="3" t="s">
        <v>557</v>
      </c>
      <c r="E70" s="3" t="s">
        <v>507</v>
      </c>
      <c r="F70" s="5">
        <v>-3.8</v>
      </c>
      <c r="G70" s="18">
        <v>-74.569999999999993</v>
      </c>
      <c r="H70" s="18">
        <v>2.64</v>
      </c>
      <c r="I70" s="18">
        <v>72.040000000000006</v>
      </c>
      <c r="J70" s="18">
        <v>66.650000000000006</v>
      </c>
      <c r="K70" s="19">
        <v>-15.28</v>
      </c>
      <c r="L70" s="18">
        <v>-13.46</v>
      </c>
      <c r="M70" s="18">
        <v>79.900000000000006</v>
      </c>
      <c r="N70" s="19">
        <v>79.83</v>
      </c>
      <c r="O70" s="18">
        <v>-24.45</v>
      </c>
      <c r="P70" s="19">
        <v>15.69</v>
      </c>
      <c r="Q70" s="18">
        <v>74.209999999999994</v>
      </c>
      <c r="R70" s="18">
        <v>88.44</v>
      </c>
      <c r="S70" s="18">
        <v>-26.54</v>
      </c>
      <c r="T70" s="19">
        <v>33.78</v>
      </c>
      <c r="U70" s="18">
        <v>87.05</v>
      </c>
      <c r="V70" s="18">
        <v>63.47</v>
      </c>
      <c r="W70" s="18">
        <v>-32.46</v>
      </c>
      <c r="X70" s="10">
        <v>0.1191699604743084</v>
      </c>
      <c r="Y70" s="8">
        <v>7.5578315380540273E-2</v>
      </c>
      <c r="Z70" s="8">
        <v>-0.13664970174574509</v>
      </c>
      <c r="AA70" s="8">
        <v>-3.7525354969573987E-2</v>
      </c>
    </row>
    <row r="71" spans="2:27">
      <c r="B71" s="3" t="s">
        <v>100</v>
      </c>
      <c r="C71" s="3" t="s">
        <v>505</v>
      </c>
      <c r="D71" s="3" t="s">
        <v>560</v>
      </c>
      <c r="E71" s="3" t="s">
        <v>534</v>
      </c>
      <c r="F71" s="5">
        <v>-3.8</v>
      </c>
      <c r="G71" s="18">
        <v>400.16</v>
      </c>
      <c r="H71" s="18">
        <v>327.35000000000002</v>
      </c>
      <c r="I71" s="18">
        <v>220.17</v>
      </c>
      <c r="J71" s="18">
        <v>249.68</v>
      </c>
      <c r="K71" s="18">
        <v>321.75</v>
      </c>
      <c r="L71" s="18">
        <v>261.45</v>
      </c>
      <c r="M71" s="18">
        <v>171.56</v>
      </c>
      <c r="N71" s="18">
        <v>193.54</v>
      </c>
      <c r="O71" s="18">
        <v>279.42</v>
      </c>
      <c r="P71" s="18">
        <v>231.01</v>
      </c>
      <c r="Q71" s="18">
        <v>93.17</v>
      </c>
      <c r="R71" s="18">
        <v>157.86000000000001</v>
      </c>
      <c r="S71" s="18">
        <v>233.5</v>
      </c>
      <c r="T71" s="18">
        <v>213.47</v>
      </c>
      <c r="U71" s="18">
        <v>88.29</v>
      </c>
      <c r="V71" s="18">
        <v>165.16</v>
      </c>
      <c r="W71" s="18">
        <v>206.7</v>
      </c>
      <c r="X71" s="7">
        <v>-2.4512955250579949E-2</v>
      </c>
      <c r="Y71" s="8">
        <v>-6.9914040114613663E-3</v>
      </c>
      <c r="Z71" s="8">
        <v>1.053208679593709E-2</v>
      </c>
      <c r="AA71" s="8">
        <v>-3.8262756631735173E-2</v>
      </c>
    </row>
    <row r="72" spans="2:27">
      <c r="B72" s="3" t="s">
        <v>24</v>
      </c>
      <c r="C72" s="3" t="s">
        <v>505</v>
      </c>
      <c r="D72" s="3" t="s">
        <v>515</v>
      </c>
      <c r="E72" s="3" t="s">
        <v>507</v>
      </c>
      <c r="F72" s="5">
        <v>-3.9</v>
      </c>
      <c r="G72" s="18">
        <v>2588</v>
      </c>
      <c r="H72" s="18">
        <v>521</v>
      </c>
      <c r="I72" s="18">
        <v>2830</v>
      </c>
      <c r="J72" s="18">
        <v>3685</v>
      </c>
      <c r="K72" s="18">
        <v>2887</v>
      </c>
      <c r="L72" s="19">
        <v>2503</v>
      </c>
      <c r="M72" s="18">
        <v>1980</v>
      </c>
      <c r="N72" s="18">
        <v>2523</v>
      </c>
      <c r="O72" s="18">
        <v>2535</v>
      </c>
      <c r="P72" s="18">
        <v>2245</v>
      </c>
      <c r="Q72" s="18">
        <v>2141</v>
      </c>
      <c r="R72" s="18">
        <v>2096</v>
      </c>
      <c r="S72" s="18">
        <v>1991</v>
      </c>
      <c r="T72" s="18">
        <v>1860</v>
      </c>
      <c r="U72" s="18">
        <v>1762</v>
      </c>
      <c r="V72" s="18">
        <v>1910</v>
      </c>
      <c r="W72" s="18">
        <v>1696</v>
      </c>
      <c r="X72" s="7">
        <v>-4.5438451551988668E-2</v>
      </c>
      <c r="Y72" s="8">
        <v>-4.6859545004945602E-2</v>
      </c>
      <c r="Z72" s="8">
        <v>-2.4127643014658199E-2</v>
      </c>
      <c r="AA72" s="8">
        <v>-3.9213079888342439E-2</v>
      </c>
    </row>
    <row r="73" spans="2:27">
      <c r="B73" s="3" t="s">
        <v>253</v>
      </c>
      <c r="C73" s="3" t="s">
        <v>505</v>
      </c>
      <c r="D73" s="3" t="s">
        <v>549</v>
      </c>
      <c r="E73" s="3" t="s">
        <v>507</v>
      </c>
      <c r="F73" s="5">
        <v>-4.4000000000000004</v>
      </c>
      <c r="G73" s="18">
        <v>-12.2</v>
      </c>
      <c r="H73" s="18">
        <v>61.22</v>
      </c>
      <c r="I73" s="18">
        <v>45.4</v>
      </c>
      <c r="J73" s="18">
        <v>64.48</v>
      </c>
      <c r="K73" s="19">
        <v>30.96</v>
      </c>
      <c r="L73" s="19">
        <v>90.28</v>
      </c>
      <c r="M73" s="18">
        <v>55.02</v>
      </c>
      <c r="N73" s="18">
        <v>87.2</v>
      </c>
      <c r="O73" s="18">
        <v>18.88</v>
      </c>
      <c r="P73" s="18">
        <v>67.97</v>
      </c>
      <c r="Q73" s="18">
        <v>64.83</v>
      </c>
      <c r="R73" s="18">
        <v>105.99</v>
      </c>
      <c r="S73" s="18">
        <v>40.01</v>
      </c>
      <c r="T73" s="18">
        <v>75.08</v>
      </c>
      <c r="U73" s="18">
        <v>59.18</v>
      </c>
      <c r="V73" s="18">
        <v>108.56</v>
      </c>
      <c r="W73" s="18">
        <v>27.51</v>
      </c>
      <c r="X73" s="7">
        <v>2.5502152080344231E-2</v>
      </c>
      <c r="Y73" s="8">
        <v>-1.9761463397572569E-2</v>
      </c>
      <c r="Z73" s="8">
        <v>9.1700563762220355E-3</v>
      </c>
      <c r="AA73" s="8">
        <v>-4.4196160237598543E-2</v>
      </c>
    </row>
    <row r="74" spans="2:27">
      <c r="B74" s="3" t="s">
        <v>210</v>
      </c>
      <c r="C74" s="3" t="s">
        <v>505</v>
      </c>
      <c r="D74" s="3" t="s">
        <v>530</v>
      </c>
      <c r="E74" s="3" t="s">
        <v>507</v>
      </c>
      <c r="F74" s="5">
        <v>-4.4000000000000004</v>
      </c>
      <c r="G74" s="18">
        <v>81.44</v>
      </c>
      <c r="H74" s="18">
        <v>94.95</v>
      </c>
      <c r="I74" s="18">
        <v>117.81</v>
      </c>
      <c r="J74" s="18">
        <v>19.350000000000001</v>
      </c>
      <c r="K74" s="18">
        <v>30.05</v>
      </c>
      <c r="L74" s="18">
        <v>56.95</v>
      </c>
      <c r="M74" s="18">
        <v>104.77</v>
      </c>
      <c r="N74" s="19">
        <v>86.36</v>
      </c>
      <c r="O74" s="18">
        <v>28.13</v>
      </c>
      <c r="P74" s="19">
        <v>119.01</v>
      </c>
      <c r="Q74" s="18">
        <v>116.9</v>
      </c>
      <c r="R74" s="18">
        <v>54.3</v>
      </c>
      <c r="S74" s="18">
        <v>15.46</v>
      </c>
      <c r="T74" s="18">
        <v>81.66</v>
      </c>
      <c r="U74" s="18">
        <v>102.4</v>
      </c>
      <c r="V74" s="18">
        <v>70.400000000000006</v>
      </c>
      <c r="W74" s="18">
        <v>3.5</v>
      </c>
      <c r="X74" s="7">
        <v>-0.12219059770340571</v>
      </c>
      <c r="Y74" s="8">
        <v>-5.4039952295766303E-2</v>
      </c>
      <c r="Z74" s="8">
        <v>6.3430777716492193E-2</v>
      </c>
      <c r="AA74" s="8">
        <v>-4.4309425014819159E-2</v>
      </c>
    </row>
    <row r="75" spans="2:27">
      <c r="B75" s="3" t="s">
        <v>60</v>
      </c>
      <c r="C75" s="3" t="s">
        <v>505</v>
      </c>
      <c r="D75" s="3" t="s">
        <v>558</v>
      </c>
      <c r="E75" s="3" t="s">
        <v>507</v>
      </c>
      <c r="F75" s="5">
        <v>-4.5999999999999996</v>
      </c>
      <c r="G75" s="18">
        <v>623.53</v>
      </c>
      <c r="H75" s="18">
        <v>523.76</v>
      </c>
      <c r="I75" s="18">
        <v>531.98</v>
      </c>
      <c r="J75" s="18">
        <v>508.92</v>
      </c>
      <c r="K75" s="18">
        <v>324.70999999999998</v>
      </c>
      <c r="L75" s="18">
        <v>275.97000000000003</v>
      </c>
      <c r="M75" s="18">
        <v>248.5</v>
      </c>
      <c r="N75" s="18">
        <v>216.07</v>
      </c>
      <c r="O75" s="18">
        <v>199.4</v>
      </c>
      <c r="P75" s="18">
        <v>214.78</v>
      </c>
      <c r="Q75" s="18">
        <v>223.92</v>
      </c>
      <c r="R75" s="19">
        <v>301.52</v>
      </c>
      <c r="S75" s="19">
        <v>301.10000000000002</v>
      </c>
      <c r="T75" s="18">
        <v>265.86</v>
      </c>
      <c r="U75" s="18">
        <v>247.74</v>
      </c>
      <c r="V75" s="18">
        <v>288.04000000000002</v>
      </c>
      <c r="W75" s="18">
        <v>250.91</v>
      </c>
      <c r="X75" s="7">
        <v>4.9053124879960157E-2</v>
      </c>
      <c r="Y75" s="8">
        <v>2.180519956060056E-2</v>
      </c>
      <c r="Z75" s="8">
        <v>-1.2076472379996759E-2</v>
      </c>
      <c r="AA75" s="8">
        <v>-4.5513901735676598E-2</v>
      </c>
    </row>
    <row r="76" spans="2:27">
      <c r="B76" s="3" t="s">
        <v>62</v>
      </c>
      <c r="C76" s="3" t="s">
        <v>505</v>
      </c>
      <c r="D76" s="3" t="s">
        <v>548</v>
      </c>
      <c r="E76" s="3" t="s">
        <v>529</v>
      </c>
      <c r="F76" s="5">
        <v>-4.5999999999999996</v>
      </c>
      <c r="G76" s="18">
        <v>1482</v>
      </c>
      <c r="H76" s="18">
        <v>1339</v>
      </c>
      <c r="I76" s="18">
        <v>1357</v>
      </c>
      <c r="J76" s="18">
        <v>940</v>
      </c>
      <c r="K76" s="18">
        <v>980</v>
      </c>
      <c r="L76" s="18">
        <v>1034</v>
      </c>
      <c r="M76" s="18">
        <v>1089</v>
      </c>
      <c r="N76" s="18">
        <v>1236</v>
      </c>
      <c r="O76" s="18">
        <v>1028</v>
      </c>
      <c r="P76" s="18">
        <v>1049</v>
      </c>
      <c r="Q76" s="18">
        <v>1012</v>
      </c>
      <c r="R76" s="18">
        <v>1126</v>
      </c>
      <c r="S76" s="18">
        <v>926</v>
      </c>
      <c r="T76" s="18">
        <v>799</v>
      </c>
      <c r="U76" s="18">
        <v>837</v>
      </c>
      <c r="V76" s="18">
        <v>1089</v>
      </c>
      <c r="W76" s="18">
        <v>757</v>
      </c>
      <c r="X76" s="7">
        <v>-6.0782883539995169E-2</v>
      </c>
      <c r="Y76" s="8">
        <v>-4.5301579083613763E-2</v>
      </c>
      <c r="Z76" s="8">
        <v>-1.0032537960954491E-2</v>
      </c>
      <c r="AA76" s="8">
        <v>-4.6288688030676539E-2</v>
      </c>
    </row>
    <row r="77" spans="2:27">
      <c r="B77" s="3" t="s">
        <v>212</v>
      </c>
      <c r="C77" s="3" t="s">
        <v>505</v>
      </c>
      <c r="D77" s="3" t="s">
        <v>561</v>
      </c>
      <c r="E77" s="3" t="s">
        <v>507</v>
      </c>
      <c r="F77" s="5">
        <v>-4.9000000000000004</v>
      </c>
      <c r="G77" s="18">
        <v>456</v>
      </c>
      <c r="H77" s="18">
        <v>400.8</v>
      </c>
      <c r="I77" s="18">
        <v>470.6</v>
      </c>
      <c r="J77" s="18">
        <v>314.7</v>
      </c>
      <c r="K77" s="18">
        <v>94</v>
      </c>
      <c r="L77" s="18">
        <v>42.6</v>
      </c>
      <c r="M77" s="18">
        <v>100.1</v>
      </c>
      <c r="N77" s="18">
        <v>132.30000000000001</v>
      </c>
      <c r="O77" s="18">
        <v>73.099999999999994</v>
      </c>
      <c r="P77" s="18">
        <v>38.6</v>
      </c>
      <c r="Q77" s="18">
        <v>125.5</v>
      </c>
      <c r="R77" s="19">
        <v>236.3</v>
      </c>
      <c r="S77" s="19">
        <v>159.1</v>
      </c>
      <c r="T77" s="18">
        <v>78.099999999999994</v>
      </c>
      <c r="U77" s="18">
        <v>108.4</v>
      </c>
      <c r="V77" s="18">
        <v>157.4</v>
      </c>
      <c r="W77" s="18">
        <v>134.4</v>
      </c>
      <c r="X77" s="7">
        <v>7.0598748882931162E-2</v>
      </c>
      <c r="Y77" s="8">
        <v>-2.8547579298831449E-2</v>
      </c>
      <c r="Z77" s="8">
        <v>-0.13559030761299179</v>
      </c>
      <c r="AA77" s="8">
        <v>-4.9105367793240477E-2</v>
      </c>
    </row>
    <row r="78" spans="2:27">
      <c r="B78" s="3" t="s">
        <v>70</v>
      </c>
      <c r="C78" s="3" t="s">
        <v>505</v>
      </c>
      <c r="D78" s="3" t="s">
        <v>562</v>
      </c>
      <c r="E78" s="3" t="s">
        <v>507</v>
      </c>
      <c r="F78" s="5">
        <v>-5.5</v>
      </c>
      <c r="G78" s="18">
        <v>65.099999999999994</v>
      </c>
      <c r="H78" s="18">
        <v>73.400000000000006</v>
      </c>
      <c r="I78" s="18">
        <v>179.2</v>
      </c>
      <c r="J78" s="18">
        <v>260.39999999999998</v>
      </c>
      <c r="K78" s="18">
        <v>81</v>
      </c>
      <c r="L78" s="18">
        <v>81.599999999999994</v>
      </c>
      <c r="M78" s="18">
        <v>174.9</v>
      </c>
      <c r="N78" s="18">
        <v>271.8</v>
      </c>
      <c r="O78" s="18">
        <v>78.5</v>
      </c>
      <c r="P78" s="18">
        <v>68.2</v>
      </c>
      <c r="Q78" s="18">
        <v>138.5</v>
      </c>
      <c r="R78" s="18">
        <v>184.8</v>
      </c>
      <c r="S78" s="18">
        <v>104.3</v>
      </c>
      <c r="T78" s="18">
        <v>66.5</v>
      </c>
      <c r="U78" s="18">
        <v>141.80000000000001</v>
      </c>
      <c r="V78" s="18">
        <v>212.2</v>
      </c>
      <c r="W78" s="18">
        <v>75.3</v>
      </c>
      <c r="X78" s="7">
        <v>-3.4288019362646032E-3</v>
      </c>
      <c r="Y78" s="8">
        <v>6.6788099574985882E-3</v>
      </c>
      <c r="Z78" s="8">
        <v>5.5086449537595339E-2</v>
      </c>
      <c r="AA78" s="8">
        <v>-5.5259146341463339E-2</v>
      </c>
    </row>
    <row r="79" spans="2:27">
      <c r="B79" s="3" t="s">
        <v>377</v>
      </c>
      <c r="C79" s="3" t="s">
        <v>505</v>
      </c>
      <c r="D79" s="3" t="s">
        <v>544</v>
      </c>
      <c r="E79" s="3" t="s">
        <v>507</v>
      </c>
      <c r="F79" s="5">
        <v>-5.6</v>
      </c>
      <c r="G79" s="18">
        <v>1829</v>
      </c>
      <c r="H79" s="18">
        <v>2507</v>
      </c>
      <c r="I79" s="18">
        <v>2330</v>
      </c>
      <c r="J79" s="18">
        <v>2340</v>
      </c>
      <c r="K79" s="18">
        <v>1317</v>
      </c>
      <c r="L79" s="18">
        <v>2870</v>
      </c>
      <c r="M79" s="18">
        <v>2702</v>
      </c>
      <c r="N79" s="18">
        <v>1913</v>
      </c>
      <c r="O79" s="19">
        <v>2404</v>
      </c>
      <c r="P79" s="18">
        <v>3204</v>
      </c>
      <c r="Q79" s="18">
        <v>3026</v>
      </c>
      <c r="R79" s="18">
        <v>2378</v>
      </c>
      <c r="S79" s="18">
        <v>1255</v>
      </c>
      <c r="T79" s="18">
        <v>3141</v>
      </c>
      <c r="U79" s="18">
        <v>2633</v>
      </c>
      <c r="V79" s="18">
        <v>1757</v>
      </c>
      <c r="W79" s="18">
        <v>766</v>
      </c>
      <c r="X79" s="7">
        <v>-6.3875088715400494E-3</v>
      </c>
      <c r="Y79" s="8">
        <v>-4.0102040816326512E-2</v>
      </c>
      <c r="Z79" s="8">
        <v>-6.6014669926650393E-2</v>
      </c>
      <c r="AA79" s="8">
        <v>-5.5656726610516682E-2</v>
      </c>
    </row>
    <row r="80" spans="2:27">
      <c r="B80" s="3" t="s">
        <v>247</v>
      </c>
      <c r="C80" s="3" t="s">
        <v>505</v>
      </c>
      <c r="D80" s="3" t="s">
        <v>525</v>
      </c>
      <c r="E80" s="3" t="s">
        <v>507</v>
      </c>
      <c r="F80" s="5">
        <v>-5.6</v>
      </c>
      <c r="G80" s="18">
        <v>-16.88</v>
      </c>
      <c r="H80" s="18">
        <v>-18.95</v>
      </c>
      <c r="I80" s="18">
        <v>-15.48</v>
      </c>
      <c r="J80" s="18">
        <v>-14.87</v>
      </c>
      <c r="K80" s="19">
        <v>-24.59</v>
      </c>
      <c r="L80" s="18">
        <v>-19.760000000000002</v>
      </c>
      <c r="M80" s="18">
        <v>-18.54</v>
      </c>
      <c r="N80" s="18">
        <v>-13.05</v>
      </c>
      <c r="O80" s="18">
        <v>-20.53</v>
      </c>
      <c r="P80" s="18">
        <v>-17.86</v>
      </c>
      <c r="Q80" s="18">
        <v>-15.29</v>
      </c>
      <c r="R80" s="18">
        <v>-11.48</v>
      </c>
      <c r="S80" s="18">
        <v>-11.4</v>
      </c>
      <c r="T80" s="18">
        <v>-13.93</v>
      </c>
      <c r="U80" s="18">
        <v>-10.199999999999999</v>
      </c>
      <c r="V80" s="18">
        <v>-11.1</v>
      </c>
      <c r="W80" s="18">
        <v>-8.7799999999999994</v>
      </c>
      <c r="X80" s="7">
        <v>-7.014099589505618E-2</v>
      </c>
      <c r="Y80" s="8">
        <v>-9.7696737044145943E-2</v>
      </c>
      <c r="Z80" s="8">
        <v>-8.0833865135078176E-3</v>
      </c>
      <c r="AA80" s="8">
        <v>-5.6187004074630058E-2</v>
      </c>
    </row>
    <row r="81" spans="2:27">
      <c r="B81" s="3" t="s">
        <v>11</v>
      </c>
      <c r="C81" s="3" t="s">
        <v>505</v>
      </c>
      <c r="D81" s="3" t="s">
        <v>537</v>
      </c>
      <c r="E81" s="3" t="s">
        <v>507</v>
      </c>
      <c r="F81" s="5">
        <v>-7.2</v>
      </c>
      <c r="G81" s="18">
        <v>-660</v>
      </c>
      <c r="H81" s="18">
        <v>437</v>
      </c>
      <c r="I81" s="18">
        <v>338</v>
      </c>
      <c r="J81" s="18">
        <v>-33</v>
      </c>
      <c r="K81" s="19">
        <v>-88</v>
      </c>
      <c r="L81" s="18">
        <v>42</v>
      </c>
      <c r="M81" s="19">
        <v>719</v>
      </c>
      <c r="N81" s="19">
        <v>1085</v>
      </c>
      <c r="O81" s="18">
        <v>-142</v>
      </c>
      <c r="P81" s="19">
        <v>811</v>
      </c>
      <c r="Q81" s="19">
        <v>1096</v>
      </c>
      <c r="R81" s="19">
        <v>1462</v>
      </c>
      <c r="S81" s="19">
        <v>887</v>
      </c>
      <c r="T81" s="18">
        <v>438</v>
      </c>
      <c r="U81" s="18">
        <v>939</v>
      </c>
      <c r="V81" s="18">
        <v>1073</v>
      </c>
      <c r="W81" s="18">
        <v>646</v>
      </c>
      <c r="X81" s="7">
        <v>-8.7640977443608992E-2</v>
      </c>
      <c r="Y81" s="8">
        <v>-4.0432655163533338E-2</v>
      </c>
      <c r="Z81" s="8">
        <v>-0.1044015029522276</v>
      </c>
      <c r="AA81" s="8">
        <v>-7.2220557386874384E-2</v>
      </c>
    </row>
    <row r="82" spans="2:27">
      <c r="B82" s="3" t="s">
        <v>11</v>
      </c>
      <c r="C82" s="3" t="s">
        <v>505</v>
      </c>
      <c r="D82" s="3" t="s">
        <v>537</v>
      </c>
      <c r="E82" s="3" t="s">
        <v>507</v>
      </c>
      <c r="F82" s="5">
        <v>-7.2</v>
      </c>
      <c r="G82" s="18">
        <v>-660</v>
      </c>
      <c r="H82" s="18">
        <v>437</v>
      </c>
      <c r="I82" s="18">
        <v>338</v>
      </c>
      <c r="J82" s="18">
        <v>-33</v>
      </c>
      <c r="K82" s="19">
        <v>-88</v>
      </c>
      <c r="L82" s="18">
        <v>42</v>
      </c>
      <c r="M82" s="19">
        <v>719</v>
      </c>
      <c r="N82" s="19">
        <v>1085</v>
      </c>
      <c r="O82" s="18">
        <v>-142</v>
      </c>
      <c r="P82" s="19">
        <v>811</v>
      </c>
      <c r="Q82" s="19">
        <v>1096</v>
      </c>
      <c r="R82" s="19">
        <v>1462</v>
      </c>
      <c r="S82" s="19">
        <v>887</v>
      </c>
      <c r="T82" s="18">
        <v>438</v>
      </c>
      <c r="U82" s="18">
        <v>939</v>
      </c>
      <c r="V82" s="18">
        <v>1073</v>
      </c>
      <c r="W82" s="18">
        <v>646</v>
      </c>
      <c r="X82" s="7">
        <v>-8.7640977443608992E-2</v>
      </c>
      <c r="Y82" s="8">
        <v>-4.0432655163533338E-2</v>
      </c>
      <c r="Z82" s="8">
        <v>-0.1044015029522276</v>
      </c>
      <c r="AA82" s="8">
        <v>-7.2220557386874384E-2</v>
      </c>
    </row>
    <row r="83" spans="2:27">
      <c r="B83" s="3" t="s">
        <v>279</v>
      </c>
      <c r="C83" s="3" t="s">
        <v>505</v>
      </c>
      <c r="D83" s="3" t="s">
        <v>506</v>
      </c>
      <c r="E83" s="3" t="s">
        <v>507</v>
      </c>
      <c r="F83" s="5">
        <v>-7.6</v>
      </c>
      <c r="G83" s="18">
        <v>28.63</v>
      </c>
      <c r="H83" s="18">
        <v>27.56</v>
      </c>
      <c r="I83" s="18">
        <v>33.119999999999997</v>
      </c>
      <c r="J83" s="18">
        <v>11.9</v>
      </c>
      <c r="K83" s="19">
        <v>47.61</v>
      </c>
      <c r="L83" s="19">
        <v>40.42</v>
      </c>
      <c r="M83" s="19">
        <v>46.9</v>
      </c>
      <c r="N83" s="19">
        <v>64.510000000000005</v>
      </c>
      <c r="O83" s="18">
        <v>40.200000000000003</v>
      </c>
      <c r="P83" s="18">
        <v>52.03</v>
      </c>
      <c r="Q83" s="18">
        <v>21.36</v>
      </c>
      <c r="R83" s="18">
        <v>61.71</v>
      </c>
      <c r="S83" s="18">
        <v>55.73</v>
      </c>
      <c r="T83" s="18">
        <v>56.25</v>
      </c>
      <c r="U83" s="19">
        <v>48.18</v>
      </c>
      <c r="V83" s="18">
        <v>65.489999999999995</v>
      </c>
      <c r="W83" s="18">
        <v>38.56</v>
      </c>
      <c r="X83" s="7">
        <v>2.2113923387308221E-2</v>
      </c>
      <c r="Y83" s="9">
        <v>0.13750320430658799</v>
      </c>
      <c r="Z83" s="8">
        <v>1.7037003650786309E-2</v>
      </c>
      <c r="AA83" s="8">
        <v>-7.6091291823620621E-2</v>
      </c>
    </row>
    <row r="84" spans="2:27">
      <c r="B84" s="3" t="s">
        <v>178</v>
      </c>
      <c r="C84" s="3" t="s">
        <v>505</v>
      </c>
      <c r="D84" s="3" t="s">
        <v>515</v>
      </c>
      <c r="E84" s="3" t="s">
        <v>507</v>
      </c>
      <c r="F84" s="5">
        <v>-8.6999999999999993</v>
      </c>
      <c r="G84" s="18">
        <v>325.12</v>
      </c>
      <c r="H84" s="18">
        <v>309.31</v>
      </c>
      <c r="I84" s="18">
        <v>594.99</v>
      </c>
      <c r="J84" s="18">
        <v>483.27</v>
      </c>
      <c r="K84" s="18">
        <v>371.7</v>
      </c>
      <c r="L84" s="18">
        <v>251.43</v>
      </c>
      <c r="M84" s="18">
        <v>252.27</v>
      </c>
      <c r="N84" s="18">
        <v>340.01</v>
      </c>
      <c r="O84" s="18">
        <v>365.61</v>
      </c>
      <c r="P84" s="18">
        <v>318.95</v>
      </c>
      <c r="Q84" s="18">
        <v>363.62</v>
      </c>
      <c r="R84" s="18">
        <v>392.06</v>
      </c>
      <c r="S84" s="18">
        <v>360.07</v>
      </c>
      <c r="T84" s="18">
        <v>389.15</v>
      </c>
      <c r="U84" s="18">
        <v>288.66000000000003</v>
      </c>
      <c r="V84" s="18">
        <v>305.98</v>
      </c>
      <c r="W84" s="18">
        <v>242.75</v>
      </c>
      <c r="X84" s="7">
        <v>4.8930089914267727E-2</v>
      </c>
      <c r="Y84" s="8">
        <v>-4.9810618645757199E-2</v>
      </c>
      <c r="Z84" s="8">
        <v>-6.0198329999860078E-2</v>
      </c>
      <c r="AA84" s="8">
        <v>-8.7300760495885088E-2</v>
      </c>
    </row>
    <row r="85" spans="2:27">
      <c r="B85" s="3" t="s">
        <v>321</v>
      </c>
      <c r="C85" s="3" t="s">
        <v>505</v>
      </c>
      <c r="D85" s="3" t="s">
        <v>563</v>
      </c>
      <c r="E85" s="3" t="s">
        <v>507</v>
      </c>
      <c r="F85" s="5">
        <v>-9.6</v>
      </c>
      <c r="G85" s="18">
        <v>-35.909999999999997</v>
      </c>
      <c r="H85" s="18">
        <v>-34.99</v>
      </c>
      <c r="I85" s="18">
        <v>-20.010000000000002</v>
      </c>
      <c r="J85" s="18">
        <v>-37.43</v>
      </c>
      <c r="K85" s="18">
        <v>-25.3</v>
      </c>
      <c r="L85" s="18">
        <v>-35.47</v>
      </c>
      <c r="M85" s="18">
        <v>-27.23</v>
      </c>
      <c r="N85" s="18">
        <v>-28.65</v>
      </c>
      <c r="O85" s="18">
        <v>-26.79</v>
      </c>
      <c r="P85" s="18">
        <v>-31.58</v>
      </c>
      <c r="Q85" s="18">
        <v>-31.14</v>
      </c>
      <c r="R85" s="18">
        <v>-28.97</v>
      </c>
      <c r="S85" s="18">
        <v>-34.049999999999997</v>
      </c>
      <c r="T85" s="18">
        <v>-23.84</v>
      </c>
      <c r="U85" s="18">
        <v>-21.65</v>
      </c>
      <c r="V85" s="18">
        <v>-16.91</v>
      </c>
      <c r="W85" s="18">
        <v>-24.81</v>
      </c>
      <c r="X85" s="7">
        <v>-6.1555590901860913E-2</v>
      </c>
      <c r="Y85" s="8">
        <v>-8.0423728813559414E-2</v>
      </c>
      <c r="Z85" s="8">
        <v>-0.11114183024606029</v>
      </c>
      <c r="AA85" s="8">
        <v>-9.5800933125971932E-2</v>
      </c>
    </row>
    <row r="86" spans="2:27">
      <c r="B86" s="3" t="s">
        <v>325</v>
      </c>
      <c r="C86" s="3" t="s">
        <v>505</v>
      </c>
      <c r="D86" s="3" t="s">
        <v>539</v>
      </c>
      <c r="E86" s="3" t="s">
        <v>507</v>
      </c>
      <c r="F86" s="5">
        <v>-9.8000000000000007</v>
      </c>
      <c r="G86" s="18">
        <v>42.67</v>
      </c>
      <c r="H86" s="18">
        <v>39.14</v>
      </c>
      <c r="I86" s="18">
        <v>50.82</v>
      </c>
      <c r="J86" s="18">
        <v>53.82</v>
      </c>
      <c r="K86" s="18">
        <v>38.409999999999997</v>
      </c>
      <c r="L86" s="18">
        <v>40.69</v>
      </c>
      <c r="M86" s="18">
        <v>45.75</v>
      </c>
      <c r="N86" s="18">
        <v>40.17</v>
      </c>
      <c r="O86" s="18">
        <v>41.64</v>
      </c>
      <c r="P86" s="18">
        <v>40.520000000000003</v>
      </c>
      <c r="Q86" s="18">
        <v>44.34</v>
      </c>
      <c r="R86" s="18">
        <v>26.78</v>
      </c>
      <c r="S86" s="18">
        <v>31.07</v>
      </c>
      <c r="T86" s="18">
        <v>29.96</v>
      </c>
      <c r="U86" s="18">
        <v>26.95</v>
      </c>
      <c r="V86" s="18">
        <v>-114.32</v>
      </c>
      <c r="W86" s="18">
        <v>33.659999999999997</v>
      </c>
      <c r="X86" s="7">
        <v>-7.3996216102585666E-2</v>
      </c>
      <c r="Y86" s="8">
        <v>-0.13159288687097989</v>
      </c>
      <c r="Z86" s="8">
        <v>-1.2295224817009409</v>
      </c>
      <c r="AA86" s="8">
        <v>-9.832953682611989E-2</v>
      </c>
    </row>
    <row r="87" spans="2:27">
      <c r="B87" s="3" t="s">
        <v>52</v>
      </c>
      <c r="C87" s="3" t="s">
        <v>505</v>
      </c>
      <c r="D87" s="3" t="s">
        <v>523</v>
      </c>
      <c r="E87" s="3" t="s">
        <v>507</v>
      </c>
      <c r="F87" s="5">
        <v>-12</v>
      </c>
      <c r="G87" s="18">
        <v>-13.93</v>
      </c>
      <c r="H87" s="18">
        <v>-16.87</v>
      </c>
      <c r="I87" s="18">
        <v>-17.88</v>
      </c>
      <c r="J87" s="18">
        <v>-13.57</v>
      </c>
      <c r="K87" s="18">
        <v>-11.29</v>
      </c>
      <c r="L87" s="18">
        <v>-11.29</v>
      </c>
      <c r="M87" s="18">
        <v>-11.96</v>
      </c>
      <c r="N87" s="18">
        <v>-11.17</v>
      </c>
      <c r="O87" s="18">
        <v>-12.51</v>
      </c>
      <c r="P87" s="18">
        <v>-12.04</v>
      </c>
      <c r="Q87" s="18">
        <v>-10.08</v>
      </c>
      <c r="R87" s="18">
        <v>-7.63</v>
      </c>
      <c r="S87" s="18">
        <v>-5.49</v>
      </c>
      <c r="T87" s="18">
        <v>-7.48</v>
      </c>
      <c r="U87" s="18">
        <v>-7</v>
      </c>
      <c r="V87" s="18">
        <v>-5.38</v>
      </c>
      <c r="W87" s="18">
        <v>-2.46</v>
      </c>
      <c r="X87" s="7">
        <v>-0.12939841089670831</v>
      </c>
      <c r="Y87" s="8">
        <v>-0.1003911342894394</v>
      </c>
      <c r="Z87" s="8">
        <v>-8.1521739130434812E-2</v>
      </c>
      <c r="AA87" s="8">
        <v>-0.11952662721893489</v>
      </c>
    </row>
    <row r="88" spans="2:27">
      <c r="B88" s="3" t="s">
        <v>265</v>
      </c>
      <c r="C88" s="3" t="s">
        <v>505</v>
      </c>
      <c r="D88" s="3" t="s">
        <v>524</v>
      </c>
      <c r="E88" s="3" t="s">
        <v>536</v>
      </c>
      <c r="F88" s="5">
        <v>-13.8</v>
      </c>
      <c r="G88" s="18">
        <v>-62</v>
      </c>
      <c r="H88" s="18">
        <v>-35</v>
      </c>
      <c r="I88" s="18">
        <v>-57</v>
      </c>
      <c r="J88" s="18">
        <v>-56</v>
      </c>
      <c r="K88" s="18">
        <v>-58</v>
      </c>
      <c r="L88" s="18">
        <v>-46</v>
      </c>
      <c r="M88" s="18">
        <v>16</v>
      </c>
      <c r="N88" s="18">
        <v>0</v>
      </c>
      <c r="O88" s="18">
        <v>23</v>
      </c>
      <c r="P88" s="18">
        <v>0</v>
      </c>
      <c r="Q88" s="18">
        <v>-2.1</v>
      </c>
      <c r="R88" s="19">
        <v>3.7</v>
      </c>
      <c r="S88" s="19">
        <v>26.6</v>
      </c>
      <c r="T88" s="19">
        <v>11.1</v>
      </c>
      <c r="U88" s="19">
        <v>5</v>
      </c>
      <c r="V88" s="19">
        <v>15.4</v>
      </c>
      <c r="W88" s="18">
        <v>18.600000000000001</v>
      </c>
      <c r="X88" s="10">
        <v>0.3936170212765957</v>
      </c>
      <c r="Y88" s="9">
        <v>0.18066157760814239</v>
      </c>
      <c r="Z88" s="9">
        <v>0.25215517241379309</v>
      </c>
      <c r="AA88" s="8">
        <v>-0.1376936316695353</v>
      </c>
    </row>
    <row r="89" spans="2:27">
      <c r="B89" s="3" t="s">
        <v>56</v>
      </c>
      <c r="C89" s="3" t="s">
        <v>505</v>
      </c>
      <c r="D89" s="3" t="s">
        <v>526</v>
      </c>
      <c r="E89" s="3" t="s">
        <v>507</v>
      </c>
      <c r="F89" s="5">
        <v>-14.2</v>
      </c>
      <c r="G89" s="18">
        <v>140.38999999999999</v>
      </c>
      <c r="H89" s="18">
        <v>128.28</v>
      </c>
      <c r="I89" s="18">
        <v>110.18</v>
      </c>
      <c r="J89" s="18">
        <v>101.63</v>
      </c>
      <c r="K89" s="18">
        <v>127.21</v>
      </c>
      <c r="L89" s="18">
        <v>72.2</v>
      </c>
      <c r="M89" s="18">
        <v>79.099999999999994</v>
      </c>
      <c r="N89" s="18">
        <v>61.6</v>
      </c>
      <c r="O89" s="18">
        <v>69.3</v>
      </c>
      <c r="P89" s="18">
        <v>-42.8</v>
      </c>
      <c r="Q89" s="18">
        <v>-16.100000000000001</v>
      </c>
      <c r="R89" s="18">
        <v>23.7</v>
      </c>
      <c r="S89" s="18">
        <v>40</v>
      </c>
      <c r="T89" s="19">
        <v>-25.2</v>
      </c>
      <c r="U89" s="18">
        <v>-27.2</v>
      </c>
      <c r="V89" s="18">
        <v>-51.1</v>
      </c>
      <c r="W89" s="18">
        <v>49</v>
      </c>
      <c r="X89" s="10">
        <v>3.6666666666666661</v>
      </c>
      <c r="Y89" s="8">
        <v>-0.49553571428571419</v>
      </c>
      <c r="Z89" s="8">
        <v>-6.6194690265486722</v>
      </c>
      <c r="AA89" s="8">
        <v>-0.1417322834645669</v>
      </c>
    </row>
    <row r="90" spans="2:27">
      <c r="B90" s="3" t="s">
        <v>86</v>
      </c>
      <c r="C90" s="3" t="s">
        <v>505</v>
      </c>
      <c r="D90" s="3" t="s">
        <v>506</v>
      </c>
      <c r="E90" s="3" t="s">
        <v>507</v>
      </c>
      <c r="F90" s="5">
        <v>-15.6</v>
      </c>
      <c r="G90" s="18">
        <v>-165.61</v>
      </c>
      <c r="H90" s="18">
        <v>-151.02000000000001</v>
      </c>
      <c r="I90" s="18">
        <v>-71.78</v>
      </c>
      <c r="J90" s="18">
        <v>-124.1</v>
      </c>
      <c r="K90" s="18">
        <v>-121.54</v>
      </c>
      <c r="L90" s="18">
        <v>-122.79</v>
      </c>
      <c r="M90" s="19">
        <v>-142.57</v>
      </c>
      <c r="N90" s="18">
        <v>-157.41999999999999</v>
      </c>
      <c r="O90" s="19">
        <v>-176.66</v>
      </c>
      <c r="P90" s="18">
        <v>3.74</v>
      </c>
      <c r="Q90" s="18">
        <v>-172.65</v>
      </c>
      <c r="R90" s="18">
        <v>-187.13</v>
      </c>
      <c r="S90" s="18">
        <v>-221.33</v>
      </c>
      <c r="T90" s="19">
        <v>-103.8</v>
      </c>
      <c r="U90" s="18">
        <v>-133.47</v>
      </c>
      <c r="V90" s="18">
        <v>-136.36000000000001</v>
      </c>
      <c r="W90" s="18">
        <v>-128.43</v>
      </c>
      <c r="X90" s="10">
        <v>0.18625837850944801</v>
      </c>
      <c r="Y90" s="8">
        <v>-5.7204596224321391E-2</v>
      </c>
      <c r="Z90" s="8">
        <v>-7.8624192774069623E-2</v>
      </c>
      <c r="AA90" s="8">
        <v>-0.15614495092107039</v>
      </c>
    </row>
    <row r="91" spans="2:27">
      <c r="B91" s="3" t="s">
        <v>251</v>
      </c>
      <c r="C91" s="3" t="s">
        <v>505</v>
      </c>
      <c r="D91" s="3" t="s">
        <v>506</v>
      </c>
      <c r="E91" s="3" t="s">
        <v>507</v>
      </c>
      <c r="F91" s="5">
        <v>-17.7</v>
      </c>
      <c r="G91" s="18">
        <v>91.47</v>
      </c>
      <c r="H91" s="18">
        <v>-76.23</v>
      </c>
      <c r="I91" s="18">
        <v>-81.97</v>
      </c>
      <c r="J91" s="18">
        <v>-91.3</v>
      </c>
      <c r="K91" s="19">
        <v>-88.99</v>
      </c>
      <c r="L91" s="18">
        <v>-98.93</v>
      </c>
      <c r="M91" s="18">
        <v>-102.15</v>
      </c>
      <c r="N91" s="18">
        <v>-108.27</v>
      </c>
      <c r="O91" s="18">
        <v>132.86000000000001</v>
      </c>
      <c r="P91" s="18">
        <v>-104.13</v>
      </c>
      <c r="Q91" s="18">
        <v>-104.9</v>
      </c>
      <c r="R91" s="18">
        <v>-106.5</v>
      </c>
      <c r="S91" s="19">
        <v>-100.04</v>
      </c>
      <c r="T91" s="18">
        <v>-119.29</v>
      </c>
      <c r="U91" s="18">
        <v>-120.15</v>
      </c>
      <c r="V91" s="18">
        <v>-126.81</v>
      </c>
      <c r="W91" s="18">
        <v>-17.45</v>
      </c>
      <c r="X91" s="7">
        <v>3.6480015400534249E-2</v>
      </c>
      <c r="Y91" s="8">
        <v>3.5405010099134097E-2</v>
      </c>
      <c r="Z91" s="8">
        <v>4.5540158751513633E-2</v>
      </c>
      <c r="AA91" s="8">
        <v>-0.17712153380943199</v>
      </c>
    </row>
    <row r="92" spans="2:27">
      <c r="B92" s="3" t="s">
        <v>255</v>
      </c>
      <c r="C92" s="3" t="s">
        <v>505</v>
      </c>
      <c r="D92" s="3" t="s">
        <v>513</v>
      </c>
      <c r="E92" s="3" t="s">
        <v>507</v>
      </c>
      <c r="F92" s="5">
        <v>-17.8</v>
      </c>
      <c r="G92" s="18">
        <v>7.22</v>
      </c>
      <c r="H92" s="18">
        <v>2.63</v>
      </c>
      <c r="I92" s="18">
        <v>12.09</v>
      </c>
      <c r="J92" s="18">
        <v>-1.04</v>
      </c>
      <c r="K92" s="19">
        <v>31.93</v>
      </c>
      <c r="L92" s="18">
        <v>3.53</v>
      </c>
      <c r="M92" s="18">
        <v>-16.8</v>
      </c>
      <c r="N92" s="19">
        <v>7.68</v>
      </c>
      <c r="O92" s="18">
        <v>18.989999999999998</v>
      </c>
      <c r="P92" s="18">
        <v>-4.25</v>
      </c>
      <c r="Q92" s="19">
        <v>18.21</v>
      </c>
      <c r="R92" s="19">
        <v>28.33</v>
      </c>
      <c r="S92" s="18">
        <v>19.559999999999999</v>
      </c>
      <c r="T92" s="18">
        <v>-7</v>
      </c>
      <c r="U92" s="18">
        <v>11.14</v>
      </c>
      <c r="V92" s="18">
        <v>8.48</v>
      </c>
      <c r="W92" s="18">
        <v>13.82</v>
      </c>
      <c r="X92" s="7">
        <v>-4.4462409054163321E-2</v>
      </c>
      <c r="Y92" s="8">
        <v>-0.1196277495769881</v>
      </c>
      <c r="Z92" s="8">
        <v>-0.38151066692292912</v>
      </c>
      <c r="AA92" s="8">
        <v>-0.17837165941578609</v>
      </c>
    </row>
    <row r="93" spans="2:27">
      <c r="B93" s="3" t="s">
        <v>230</v>
      </c>
      <c r="C93" s="3" t="s">
        <v>505</v>
      </c>
      <c r="D93" s="3" t="s">
        <v>523</v>
      </c>
      <c r="E93" s="3" t="s">
        <v>507</v>
      </c>
      <c r="F93" s="5">
        <v>-21.3</v>
      </c>
      <c r="G93" s="18">
        <v>-32.409999999999997</v>
      </c>
      <c r="H93" s="18">
        <v>-32.21</v>
      </c>
      <c r="I93" s="18">
        <v>-29.97</v>
      </c>
      <c r="J93" s="18">
        <v>-31.32</v>
      </c>
      <c r="K93" s="18">
        <v>-27.61</v>
      </c>
      <c r="L93" s="18">
        <v>-36.979999999999997</v>
      </c>
      <c r="M93" s="18">
        <v>-41.02</v>
      </c>
      <c r="N93" s="18">
        <v>-35.24</v>
      </c>
      <c r="O93" s="18">
        <v>-35.04</v>
      </c>
      <c r="P93" s="18">
        <v>-38.130000000000003</v>
      </c>
      <c r="Q93" s="18">
        <v>-33.08</v>
      </c>
      <c r="R93" s="18">
        <v>-30.68</v>
      </c>
      <c r="S93" s="18">
        <v>-21.03</v>
      </c>
      <c r="T93" s="18">
        <v>-31.71</v>
      </c>
      <c r="U93" s="18">
        <v>-11.49</v>
      </c>
      <c r="V93" s="18">
        <v>-9.41</v>
      </c>
      <c r="W93" s="18">
        <v>-5.36</v>
      </c>
      <c r="X93" s="7">
        <v>-5.2229092092417877E-2</v>
      </c>
      <c r="Y93" s="8">
        <v>-0.18532188841201719</v>
      </c>
      <c r="Z93" s="8">
        <v>-0.22410704878305759</v>
      </c>
      <c r="AA93" s="8">
        <v>-0.2127919608908202</v>
      </c>
    </row>
    <row r="94" spans="2:27">
      <c r="B94" s="3" t="s">
        <v>413</v>
      </c>
      <c r="C94" s="3" t="s">
        <v>505</v>
      </c>
      <c r="D94" s="3" t="s">
        <v>506</v>
      </c>
      <c r="E94" s="3" t="s">
        <v>507</v>
      </c>
      <c r="F94" s="5">
        <v>-22.9</v>
      </c>
      <c r="G94" s="18">
        <v>-21.98</v>
      </c>
      <c r="H94" s="18">
        <v>-27.75</v>
      </c>
      <c r="I94" s="18">
        <v>-36.72</v>
      </c>
      <c r="J94" s="18">
        <v>-39.700000000000003</v>
      </c>
      <c r="K94" s="19">
        <v>-42.74</v>
      </c>
      <c r="L94" s="19">
        <v>-45.86</v>
      </c>
      <c r="M94" s="18">
        <v>-49.25</v>
      </c>
      <c r="N94" s="18">
        <v>-51.44</v>
      </c>
      <c r="O94" s="18">
        <v>-59.52</v>
      </c>
      <c r="P94" s="18">
        <v>-61.77</v>
      </c>
      <c r="Q94" s="19">
        <v>-114.81</v>
      </c>
      <c r="R94" s="18">
        <v>29.64</v>
      </c>
      <c r="S94" s="18">
        <v>-65.33</v>
      </c>
      <c r="T94" s="18">
        <v>-41.07</v>
      </c>
      <c r="U94" s="18">
        <v>-34.97</v>
      </c>
      <c r="V94" s="19">
        <v>-24.25</v>
      </c>
      <c r="W94" s="18">
        <v>-27.46</v>
      </c>
      <c r="X94" s="7">
        <v>-9.7517312856268079E-2</v>
      </c>
      <c r="Y94" s="8">
        <v>-0.41676671712689878</v>
      </c>
      <c r="Z94" s="9">
        <v>0.4823234583370628</v>
      </c>
      <c r="AA94" s="8">
        <v>-0.22865595942519021</v>
      </c>
    </row>
    <row r="95" spans="2:27">
      <c r="B95" s="3" t="s">
        <v>46</v>
      </c>
      <c r="C95" s="3" t="s">
        <v>505</v>
      </c>
      <c r="D95" s="3" t="s">
        <v>537</v>
      </c>
      <c r="E95" s="3" t="s">
        <v>507</v>
      </c>
      <c r="F95" s="5">
        <v>-25.2</v>
      </c>
      <c r="G95" s="18">
        <v>-459</v>
      </c>
      <c r="H95" s="18">
        <v>2436</v>
      </c>
      <c r="I95" s="18">
        <v>887</v>
      </c>
      <c r="J95" s="18">
        <v>185</v>
      </c>
      <c r="K95" s="18">
        <v>-1365</v>
      </c>
      <c r="L95" s="18">
        <v>-1672</v>
      </c>
      <c r="M95" s="19">
        <v>549</v>
      </c>
      <c r="N95" s="18">
        <v>579</v>
      </c>
      <c r="O95" s="18">
        <v>-512</v>
      </c>
      <c r="P95" s="18">
        <v>885</v>
      </c>
      <c r="Q95" s="19">
        <v>1426</v>
      </c>
      <c r="R95" s="18">
        <v>-1013</v>
      </c>
      <c r="S95" s="19">
        <v>984</v>
      </c>
      <c r="T95" s="19">
        <v>1149</v>
      </c>
      <c r="U95" s="18">
        <v>43</v>
      </c>
      <c r="V95" s="19">
        <v>422</v>
      </c>
      <c r="W95" s="18">
        <v>330</v>
      </c>
      <c r="X95" s="10">
        <v>0.11568799298860651</v>
      </c>
      <c r="Y95" s="8">
        <v>-0.54320502749410848</v>
      </c>
      <c r="Z95" s="9">
        <v>1.233877901977644</v>
      </c>
      <c r="AA95" s="8">
        <v>-0.25173210161662818</v>
      </c>
    </row>
    <row r="96" spans="2:27">
      <c r="B96" s="3" t="s">
        <v>226</v>
      </c>
      <c r="C96" s="3" t="s">
        <v>505</v>
      </c>
      <c r="D96" s="3" t="s">
        <v>506</v>
      </c>
      <c r="E96" s="3" t="s">
        <v>507</v>
      </c>
      <c r="F96" s="5">
        <v>-31.1</v>
      </c>
      <c r="G96" s="18">
        <v>-89.4</v>
      </c>
      <c r="H96" s="18">
        <v>-129</v>
      </c>
      <c r="I96" s="18">
        <v>-148.62</v>
      </c>
      <c r="J96" s="18">
        <v>-152.94</v>
      </c>
      <c r="K96" s="19">
        <v>-164.05</v>
      </c>
      <c r="L96" s="18">
        <v>-175.08</v>
      </c>
      <c r="M96" s="18">
        <v>-120.44</v>
      </c>
      <c r="N96" s="18">
        <v>-137.08000000000001</v>
      </c>
      <c r="O96" s="18">
        <v>-84.52</v>
      </c>
      <c r="P96" s="18">
        <v>-62.09</v>
      </c>
      <c r="Q96" s="18">
        <v>-29.44</v>
      </c>
      <c r="R96" s="18">
        <v>-47.28</v>
      </c>
      <c r="S96" s="18">
        <v>-26.16</v>
      </c>
      <c r="T96" s="19">
        <v>-83.33</v>
      </c>
      <c r="U96" s="18">
        <v>-33.29</v>
      </c>
      <c r="V96" s="18">
        <v>223.18</v>
      </c>
      <c r="W96" s="18">
        <v>-51.14</v>
      </c>
      <c r="X96" s="10">
        <v>0.12875068194217129</v>
      </c>
      <c r="Y96" s="8">
        <v>2.0675581332903589E-2</v>
      </c>
      <c r="Z96" s="8">
        <v>-1.423024308113227</v>
      </c>
      <c r="AA96" s="8">
        <v>-0.31069651741293519</v>
      </c>
    </row>
    <row r="97" spans="2:27">
      <c r="B97" s="3" t="s">
        <v>397</v>
      </c>
      <c r="C97" s="3" t="s">
        <v>505</v>
      </c>
      <c r="D97" s="3" t="s">
        <v>509</v>
      </c>
      <c r="E97" s="3" t="s">
        <v>507</v>
      </c>
      <c r="F97" s="5">
        <v>-32.700000000000003</v>
      </c>
      <c r="G97" s="18">
        <v>219.98</v>
      </c>
      <c r="H97" s="18">
        <v>137.09</v>
      </c>
      <c r="I97" s="18">
        <v>106.52</v>
      </c>
      <c r="J97" s="18">
        <v>54.48</v>
      </c>
      <c r="K97" s="18">
        <v>225.05</v>
      </c>
      <c r="L97" s="18">
        <v>171.18</v>
      </c>
      <c r="M97" s="19">
        <v>167.13</v>
      </c>
      <c r="N97" s="19">
        <v>155.91</v>
      </c>
      <c r="O97" s="18">
        <v>-45.07</v>
      </c>
      <c r="P97" s="18">
        <v>155.18</v>
      </c>
      <c r="Q97" s="18">
        <v>189.75</v>
      </c>
      <c r="R97" s="18">
        <v>79.5</v>
      </c>
      <c r="S97" s="19">
        <v>965.99</v>
      </c>
      <c r="T97" s="18">
        <v>157.55000000000001</v>
      </c>
      <c r="U97" s="18">
        <v>296.16000000000003</v>
      </c>
      <c r="V97" s="19">
        <v>248.63</v>
      </c>
      <c r="W97" s="18">
        <v>420.08</v>
      </c>
      <c r="X97" s="7">
        <v>1.7045209361199461E-3</v>
      </c>
      <c r="Y97" s="8">
        <v>7.6400605977929192E-2</v>
      </c>
      <c r="Z97" s="9">
        <v>0.1128135005336179</v>
      </c>
      <c r="AA97" s="8">
        <v>-0.32721943500386608</v>
      </c>
    </row>
    <row r="98" spans="2:27">
      <c r="B98" s="3" t="s">
        <v>401</v>
      </c>
      <c r="C98" s="3" t="s">
        <v>505</v>
      </c>
      <c r="D98" s="3" t="s">
        <v>527</v>
      </c>
      <c r="E98" s="3" t="s">
        <v>507</v>
      </c>
      <c r="F98" s="5">
        <v>-35.6</v>
      </c>
      <c r="G98" s="18">
        <v>-14.5</v>
      </c>
      <c r="H98" s="18">
        <v>-19.05</v>
      </c>
      <c r="I98" s="18">
        <v>-21.72</v>
      </c>
      <c r="J98" s="18">
        <v>-17.34</v>
      </c>
      <c r="K98" s="18">
        <v>-19.12</v>
      </c>
      <c r="L98" s="18">
        <v>-24.32</v>
      </c>
      <c r="M98" s="18">
        <v>-26.48</v>
      </c>
      <c r="N98" s="19">
        <v>-28.48</v>
      </c>
      <c r="O98" s="18">
        <v>-24.86</v>
      </c>
      <c r="P98" s="18">
        <v>-22.57</v>
      </c>
      <c r="Q98" s="18">
        <v>-7.33</v>
      </c>
      <c r="R98" s="18">
        <v>-13.72</v>
      </c>
      <c r="S98" s="18">
        <v>-19.89</v>
      </c>
      <c r="T98" s="18">
        <v>-8.01</v>
      </c>
      <c r="U98" s="18">
        <v>-10.77</v>
      </c>
      <c r="V98" s="18">
        <v>-0.25</v>
      </c>
      <c r="W98" s="18">
        <v>-6.04</v>
      </c>
      <c r="X98" s="7">
        <v>-0.22925523539600071</v>
      </c>
      <c r="Y98" s="8">
        <v>7.0275791624106132E-2</v>
      </c>
      <c r="Z98" s="8">
        <v>-0.2571101355220462</v>
      </c>
      <c r="AA98" s="8">
        <v>-0.35585817060637198</v>
      </c>
    </row>
    <row r="99" spans="2:27">
      <c r="B99" s="3" t="s">
        <v>267</v>
      </c>
      <c r="C99" s="3" t="s">
        <v>505</v>
      </c>
      <c r="D99" s="3" t="s">
        <v>538</v>
      </c>
      <c r="E99" s="3" t="s">
        <v>507</v>
      </c>
      <c r="F99" s="5">
        <v>-42.8</v>
      </c>
      <c r="G99" s="18">
        <v>35.6</v>
      </c>
      <c r="H99" s="18">
        <v>36.200000000000003</v>
      </c>
      <c r="I99" s="18">
        <v>81.900000000000006</v>
      </c>
      <c r="J99" s="18">
        <v>69.400000000000006</v>
      </c>
      <c r="K99" s="19">
        <v>78.8</v>
      </c>
      <c r="L99" s="18">
        <v>36.9</v>
      </c>
      <c r="M99" s="18">
        <v>71.5</v>
      </c>
      <c r="N99" s="18">
        <v>80.599999999999994</v>
      </c>
      <c r="O99" s="18">
        <v>86.1</v>
      </c>
      <c r="P99" s="18">
        <v>30.5</v>
      </c>
      <c r="Q99" s="18">
        <v>70</v>
      </c>
      <c r="R99" s="18">
        <v>77.099999999999994</v>
      </c>
      <c r="S99" s="18">
        <v>102.7</v>
      </c>
      <c r="T99" s="18">
        <v>24.6</v>
      </c>
      <c r="U99" s="18">
        <v>57</v>
      </c>
      <c r="V99" s="18">
        <v>44.7</v>
      </c>
      <c r="W99" s="18">
        <v>4.5999999999999996</v>
      </c>
      <c r="X99" s="7">
        <v>-2.104887620406715E-2</v>
      </c>
      <c r="Y99" s="8">
        <v>-4.7376093294460693E-2</v>
      </c>
      <c r="Z99" s="8">
        <v>-0.1239479724560061</v>
      </c>
      <c r="AA99" s="8">
        <v>-0.42838427947598251</v>
      </c>
    </row>
    <row r="100" spans="2:27">
      <c r="B100" s="3" t="s">
        <v>289</v>
      </c>
      <c r="C100" s="3" t="s">
        <v>505</v>
      </c>
      <c r="D100" s="3" t="s">
        <v>524</v>
      </c>
      <c r="E100" s="3" t="s">
        <v>507</v>
      </c>
      <c r="F100" s="5">
        <v>-44.4</v>
      </c>
      <c r="G100" s="18">
        <v>-37.729999999999997</v>
      </c>
      <c r="H100" s="18">
        <v>-49.27</v>
      </c>
      <c r="I100" s="18">
        <v>-46.72</v>
      </c>
      <c r="J100" s="18">
        <v>-59.5</v>
      </c>
      <c r="K100" s="18">
        <v>-54.32</v>
      </c>
      <c r="L100" s="19">
        <v>-87.43</v>
      </c>
      <c r="M100" s="18">
        <v>-69.42</v>
      </c>
      <c r="N100" s="18">
        <v>-69.83</v>
      </c>
      <c r="O100" s="18">
        <v>-56.34</v>
      </c>
      <c r="P100" s="18">
        <v>-49.85</v>
      </c>
      <c r="Q100" s="18">
        <v>105.04</v>
      </c>
      <c r="R100" s="18">
        <v>-42.23</v>
      </c>
      <c r="S100" s="18">
        <v>-37.43</v>
      </c>
      <c r="T100" s="18">
        <v>-16.18</v>
      </c>
      <c r="U100" s="18">
        <v>-7.25</v>
      </c>
      <c r="V100" s="18">
        <v>-4.82</v>
      </c>
      <c r="W100" s="18">
        <v>-8.2899999999999991</v>
      </c>
      <c r="X100" s="7">
        <v>-1.375970576215775</v>
      </c>
      <c r="Y100" s="8">
        <v>-12.20543478260868</v>
      </c>
      <c r="Z100" s="8">
        <v>-0.36288679794354439</v>
      </c>
      <c r="AA100" s="8">
        <v>-0.44366626065773451</v>
      </c>
    </row>
    <row r="101" spans="2:27">
      <c r="B101" s="3" t="s">
        <v>340</v>
      </c>
      <c r="C101" s="3" t="s">
        <v>505</v>
      </c>
      <c r="D101" s="3" t="s">
        <v>555</v>
      </c>
      <c r="E101" s="3" t="s">
        <v>507</v>
      </c>
      <c r="F101" s="5">
        <v>-49.4</v>
      </c>
      <c r="G101" s="18">
        <v>24.17</v>
      </c>
      <c r="H101" s="18">
        <v>8.68</v>
      </c>
      <c r="I101" s="18">
        <v>11.11</v>
      </c>
      <c r="J101" s="18">
        <v>32.82</v>
      </c>
      <c r="K101" s="18">
        <v>22.31</v>
      </c>
      <c r="L101" s="19">
        <v>20.6</v>
      </c>
      <c r="M101" s="19">
        <v>40.82</v>
      </c>
      <c r="N101" s="18">
        <v>25.79</v>
      </c>
      <c r="O101" s="18">
        <v>-16.63</v>
      </c>
      <c r="P101" s="19">
        <v>29.89</v>
      </c>
      <c r="Q101" s="18">
        <v>34.21</v>
      </c>
      <c r="R101" s="18">
        <v>24.55</v>
      </c>
      <c r="S101" s="18">
        <v>-28.68</v>
      </c>
      <c r="T101" s="18">
        <v>29.91</v>
      </c>
      <c r="U101" s="18">
        <v>-2.78</v>
      </c>
      <c r="V101" s="18">
        <v>20.98</v>
      </c>
      <c r="W101" s="18">
        <v>-38.28</v>
      </c>
      <c r="X101" s="7">
        <v>3.335000833750712E-4</v>
      </c>
      <c r="Y101" s="8">
        <v>-0.61660276712785467</v>
      </c>
      <c r="Z101" s="8">
        <v>-0.15521739130434789</v>
      </c>
      <c r="AA101" s="8">
        <v>-0.49408131755018009</v>
      </c>
    </row>
    <row r="102" spans="2:27">
      <c r="B102" s="3" t="s">
        <v>293</v>
      </c>
      <c r="C102" s="3" t="s">
        <v>505</v>
      </c>
      <c r="D102" s="3" t="s">
        <v>515</v>
      </c>
      <c r="E102" s="3" t="s">
        <v>507</v>
      </c>
      <c r="F102" s="5">
        <v>-623</v>
      </c>
      <c r="G102" s="18">
        <v>155.62</v>
      </c>
      <c r="H102" s="18">
        <v>-63.7</v>
      </c>
      <c r="I102" s="18">
        <v>211.89</v>
      </c>
      <c r="J102" s="18">
        <v>278.17</v>
      </c>
      <c r="K102" s="18">
        <v>78.12</v>
      </c>
      <c r="L102" s="19">
        <v>102.73</v>
      </c>
      <c r="M102" s="18">
        <v>67.56</v>
      </c>
      <c r="N102" s="18">
        <v>37.44</v>
      </c>
      <c r="O102" s="19">
        <v>108.16</v>
      </c>
      <c r="P102" s="18">
        <v>-72.3</v>
      </c>
      <c r="Q102" s="18">
        <v>61.15</v>
      </c>
      <c r="R102" s="19">
        <v>139.06</v>
      </c>
      <c r="S102" s="18">
        <v>-26.83</v>
      </c>
      <c r="T102" s="19">
        <v>27.44</v>
      </c>
      <c r="U102" s="18">
        <v>37.22</v>
      </c>
      <c r="V102" s="18">
        <v>-7.83</v>
      </c>
      <c r="W102" s="18">
        <v>-213.73</v>
      </c>
      <c r="X102" s="10">
        <v>0.98674317372378284</v>
      </c>
      <c r="Y102" s="8">
        <v>-0.1191614381037744</v>
      </c>
      <c r="Z102" s="8">
        <v>-0.83040307535756686</v>
      </c>
      <c r="AA102" s="8">
        <v>-6.23</v>
      </c>
    </row>
    <row r="103" spans="2:27">
      <c r="B103" s="3" t="s">
        <v>96</v>
      </c>
      <c r="C103" s="3" t="s">
        <v>505</v>
      </c>
      <c r="D103" s="3" t="s">
        <v>554</v>
      </c>
      <c r="E103" s="3" t="s">
        <v>507</v>
      </c>
      <c r="F103" s="5">
        <v>-739.4</v>
      </c>
      <c r="G103" s="18">
        <v>911</v>
      </c>
      <c r="H103" s="18">
        <v>1043</v>
      </c>
      <c r="I103" s="18">
        <v>1182</v>
      </c>
      <c r="J103" s="18">
        <v>532</v>
      </c>
      <c r="K103" s="18">
        <v>290</v>
      </c>
      <c r="L103" s="18">
        <v>539</v>
      </c>
      <c r="M103" s="18">
        <v>399</v>
      </c>
      <c r="N103" s="18">
        <v>349</v>
      </c>
      <c r="O103" s="18">
        <v>-55</v>
      </c>
      <c r="P103" s="18">
        <v>227</v>
      </c>
      <c r="Q103" s="18">
        <v>410</v>
      </c>
      <c r="R103" s="18">
        <v>255</v>
      </c>
      <c r="S103" s="19">
        <v>74</v>
      </c>
      <c r="T103" s="18">
        <v>-25</v>
      </c>
      <c r="U103" s="18">
        <v>6</v>
      </c>
      <c r="V103" s="18">
        <v>-22</v>
      </c>
      <c r="W103" s="18">
        <v>-170</v>
      </c>
      <c r="X103" s="7">
        <v>-0.26086956521739141</v>
      </c>
      <c r="Y103" s="8">
        <v>-0.56582633053221287</v>
      </c>
      <c r="Z103" s="8">
        <v>-0.8935483870967742</v>
      </c>
      <c r="AA103" s="8">
        <v>-7.3939393939393936</v>
      </c>
    </row>
    <row r="104" spans="2:27">
      <c r="B104" s="3" t="s">
        <v>273</v>
      </c>
      <c r="C104" s="3" t="s">
        <v>564</v>
      </c>
      <c r="D104" s="3" t="s">
        <v>565</v>
      </c>
      <c r="E104" s="3" t="s">
        <v>536</v>
      </c>
      <c r="F104" s="5">
        <v>2.9</v>
      </c>
      <c r="G104" s="18">
        <v>-7679</v>
      </c>
      <c r="H104" s="18">
        <v>-3515</v>
      </c>
      <c r="I104" s="18">
        <v>4294</v>
      </c>
      <c r="J104" s="18">
        <v>13771</v>
      </c>
      <c r="K104" s="19">
        <v>4807</v>
      </c>
      <c r="L104" s="18">
        <v>-10838</v>
      </c>
      <c r="M104" s="18">
        <v>4348</v>
      </c>
      <c r="N104" s="18">
        <v>7822</v>
      </c>
      <c r="O104" s="18">
        <v>4750</v>
      </c>
      <c r="P104" s="19">
        <v>2560</v>
      </c>
      <c r="Q104" s="19">
        <v>8192</v>
      </c>
      <c r="R104" s="18">
        <v>4988</v>
      </c>
      <c r="S104" s="19">
        <v>8886</v>
      </c>
      <c r="T104" s="18">
        <v>2650</v>
      </c>
      <c r="U104" s="18">
        <v>6611</v>
      </c>
      <c r="V104" s="19">
        <v>9915</v>
      </c>
      <c r="W104" s="18">
        <v>9707</v>
      </c>
      <c r="X104" s="7">
        <v>3.6546739218712432E-3</v>
      </c>
      <c r="Y104" s="8">
        <v>-6.3966661272050529E-2</v>
      </c>
      <c r="Z104" s="9">
        <v>0.2129673654635833</v>
      </c>
      <c r="AA104" s="8">
        <v>2.9256645998146921E-2</v>
      </c>
    </row>
    <row r="105" spans="2:27">
      <c r="B105" s="3" t="s">
        <v>164</v>
      </c>
      <c r="C105" s="3" t="s">
        <v>564</v>
      </c>
      <c r="D105" s="3" t="s">
        <v>565</v>
      </c>
      <c r="E105" s="3" t="s">
        <v>507</v>
      </c>
      <c r="F105" s="5">
        <v>-123.3</v>
      </c>
      <c r="G105" s="18"/>
      <c r="H105" s="18"/>
      <c r="I105" s="18"/>
      <c r="J105" s="18"/>
      <c r="K105" s="18"/>
      <c r="L105" s="18"/>
      <c r="M105" s="18"/>
      <c r="N105" s="18"/>
      <c r="O105" s="18">
        <v>460</v>
      </c>
      <c r="P105" s="18">
        <v>292</v>
      </c>
      <c r="Q105" s="18">
        <v>-204</v>
      </c>
      <c r="R105" s="18">
        <v>132</v>
      </c>
      <c r="S105" s="18">
        <v>236</v>
      </c>
      <c r="T105" s="18">
        <v>164</v>
      </c>
      <c r="U105" s="18">
        <v>-595</v>
      </c>
      <c r="V105" s="19">
        <v>-140</v>
      </c>
      <c r="W105" s="18">
        <v>649</v>
      </c>
      <c r="X105" s="7">
        <v>-0.2807017543859649</v>
      </c>
      <c r="Y105" s="8">
        <v>-1.1920731707317069</v>
      </c>
      <c r="Z105" s="9">
        <v>4.3174603174603172</v>
      </c>
      <c r="AA105" s="8">
        <v>-1.2328358208955219</v>
      </c>
    </row>
    <row r="106" spans="2:27">
      <c r="B106" s="3" t="s">
        <v>323</v>
      </c>
      <c r="C106" s="3" t="s">
        <v>566</v>
      </c>
      <c r="D106" s="3" t="s">
        <v>523</v>
      </c>
      <c r="E106" s="3" t="s">
        <v>507</v>
      </c>
      <c r="F106" s="5">
        <v>-2.6</v>
      </c>
      <c r="G106" s="18">
        <v>4.9400000000000004</v>
      </c>
      <c r="H106" s="18">
        <v>7.12</v>
      </c>
      <c r="I106" s="18">
        <v>12.25</v>
      </c>
      <c r="J106" s="18">
        <v>13.7</v>
      </c>
      <c r="K106" s="19">
        <v>11.39</v>
      </c>
      <c r="L106" s="19">
        <v>15.7</v>
      </c>
      <c r="M106" s="18">
        <v>17.350000000000001</v>
      </c>
      <c r="N106" s="18">
        <v>15.28</v>
      </c>
      <c r="O106" s="18">
        <v>13.01</v>
      </c>
      <c r="P106" s="18">
        <v>16.170000000000002</v>
      </c>
      <c r="Q106" s="18">
        <v>19.13</v>
      </c>
      <c r="R106" s="19">
        <v>25.73</v>
      </c>
      <c r="S106" s="19">
        <v>23.44</v>
      </c>
      <c r="T106" s="18">
        <v>23.43</v>
      </c>
      <c r="U106" s="18">
        <v>24.86</v>
      </c>
      <c r="V106" s="18">
        <v>23.68</v>
      </c>
      <c r="W106" s="18">
        <v>21</v>
      </c>
      <c r="X106" s="7">
        <v>8.5947673730318419E-2</v>
      </c>
      <c r="Y106" s="8">
        <v>6.2465932628365861E-2</v>
      </c>
      <c r="Z106" s="8">
        <v>-2.1034270469936441E-2</v>
      </c>
      <c r="AA106" s="8">
        <v>-2.5573839220207509E-2</v>
      </c>
    </row>
    <row r="107" spans="2:27">
      <c r="B107" s="3" t="s">
        <v>385</v>
      </c>
      <c r="C107" s="3" t="s">
        <v>566</v>
      </c>
      <c r="D107" s="3" t="s">
        <v>567</v>
      </c>
      <c r="E107" s="3" t="s">
        <v>507</v>
      </c>
      <c r="F107" s="5">
        <v>-3.8</v>
      </c>
      <c r="G107" s="18">
        <v>8.65</v>
      </c>
      <c r="H107" s="18">
        <v>23.6</v>
      </c>
      <c r="I107" s="18">
        <v>28.1</v>
      </c>
      <c r="J107" s="18">
        <v>30.3</v>
      </c>
      <c r="K107" s="18">
        <v>13.52</v>
      </c>
      <c r="L107" s="19">
        <v>35.1</v>
      </c>
      <c r="M107" s="19">
        <v>44.34</v>
      </c>
      <c r="N107" s="18">
        <v>18.8</v>
      </c>
      <c r="O107" s="19">
        <v>53.41</v>
      </c>
      <c r="P107" s="18">
        <v>43.8</v>
      </c>
      <c r="Q107" s="18">
        <v>34.33</v>
      </c>
      <c r="R107" s="18">
        <v>28.7</v>
      </c>
      <c r="S107" s="18">
        <v>38.549999999999997</v>
      </c>
      <c r="T107" s="18">
        <v>21.5</v>
      </c>
      <c r="U107" s="18">
        <v>24.6</v>
      </c>
      <c r="V107" s="18">
        <v>39.200000000000003</v>
      </c>
      <c r="W107" s="18">
        <v>33.799999999999997</v>
      </c>
      <c r="X107" s="7">
        <v>-0.15339111294538449</v>
      </c>
      <c r="Y107" s="8">
        <v>-7.9054273643158979E-2</v>
      </c>
      <c r="Z107" s="8">
        <v>9.2633436259373703E-2</v>
      </c>
      <c r="AA107" s="8">
        <v>-3.835284618490109E-2</v>
      </c>
    </row>
    <row r="108" spans="2:27">
      <c r="B108" s="3" t="s">
        <v>216</v>
      </c>
      <c r="C108" s="3" t="s">
        <v>566</v>
      </c>
      <c r="D108" s="3" t="s">
        <v>538</v>
      </c>
      <c r="E108" s="3" t="s">
        <v>507</v>
      </c>
      <c r="F108" s="5">
        <v>-4.3</v>
      </c>
      <c r="G108" s="18">
        <v>49.84</v>
      </c>
      <c r="H108" s="18">
        <v>32.01</v>
      </c>
      <c r="I108" s="18">
        <v>45.16</v>
      </c>
      <c r="J108" s="18">
        <v>45.5</v>
      </c>
      <c r="K108" s="18">
        <v>42.74</v>
      </c>
      <c r="L108" s="19">
        <v>50.1</v>
      </c>
      <c r="M108" s="18">
        <v>56.21</v>
      </c>
      <c r="N108" s="18">
        <v>59.17</v>
      </c>
      <c r="O108" s="18">
        <v>27.63</v>
      </c>
      <c r="P108" s="18">
        <v>54.35</v>
      </c>
      <c r="Q108" s="18">
        <v>61.17</v>
      </c>
      <c r="R108" s="18">
        <v>63.89</v>
      </c>
      <c r="S108" s="19">
        <v>53.69</v>
      </c>
      <c r="T108" s="18">
        <v>57.39</v>
      </c>
      <c r="U108" s="18">
        <v>63.19</v>
      </c>
      <c r="V108" s="18">
        <v>74.81</v>
      </c>
      <c r="W108" s="18">
        <v>43.03</v>
      </c>
      <c r="X108" s="7">
        <v>1.3041613041613109E-2</v>
      </c>
      <c r="Y108" s="8">
        <v>8.554247480308419E-3</v>
      </c>
      <c r="Z108" s="8">
        <v>4.5851528384279527E-2</v>
      </c>
      <c r="AA108" s="8">
        <v>-4.2797494780793199E-2</v>
      </c>
    </row>
    <row r="109" spans="2:27">
      <c r="B109" s="3" t="s">
        <v>348</v>
      </c>
      <c r="C109" s="3" t="s">
        <v>566</v>
      </c>
      <c r="D109" s="3" t="s">
        <v>523</v>
      </c>
      <c r="E109" s="3" t="s">
        <v>507</v>
      </c>
      <c r="F109" s="5">
        <v>-19.8</v>
      </c>
      <c r="G109" s="18">
        <v>74.38</v>
      </c>
      <c r="H109" s="18">
        <v>54.75</v>
      </c>
      <c r="I109" s="18">
        <v>64.08</v>
      </c>
      <c r="J109" s="18">
        <v>62.65</v>
      </c>
      <c r="K109" s="18">
        <v>34.700000000000003</v>
      </c>
      <c r="L109" s="18">
        <v>34.28</v>
      </c>
      <c r="M109" s="18">
        <v>67.66</v>
      </c>
      <c r="N109" s="18">
        <v>58.13</v>
      </c>
      <c r="O109" s="19">
        <v>102.22</v>
      </c>
      <c r="P109" s="18">
        <v>60.36</v>
      </c>
      <c r="Q109" s="18">
        <v>68</v>
      </c>
      <c r="R109" s="18">
        <v>71.790000000000006</v>
      </c>
      <c r="S109" s="18">
        <v>105.47</v>
      </c>
      <c r="T109" s="18">
        <v>28.27</v>
      </c>
      <c r="U109" s="18">
        <v>56.83</v>
      </c>
      <c r="V109" s="18">
        <v>67.13</v>
      </c>
      <c r="W109" s="18">
        <v>54.34</v>
      </c>
      <c r="X109" s="7">
        <v>-0.1049996727962829</v>
      </c>
      <c r="Y109" s="8">
        <v>-4.083647131941659E-2</v>
      </c>
      <c r="Z109" s="8">
        <v>-1.7761853941149711E-2</v>
      </c>
      <c r="AA109" s="8">
        <v>-0.1984090027163368</v>
      </c>
    </row>
    <row r="110" spans="2:27">
      <c r="B110" s="3" t="s">
        <v>281</v>
      </c>
      <c r="C110" s="3" t="s">
        <v>566</v>
      </c>
      <c r="D110" s="3" t="s">
        <v>523</v>
      </c>
      <c r="E110" s="3" t="s">
        <v>507</v>
      </c>
      <c r="F110" s="5">
        <v>-27.4</v>
      </c>
      <c r="G110" s="18">
        <v>-9.3699999999999992</v>
      </c>
      <c r="H110" s="18">
        <v>-5.58</v>
      </c>
      <c r="I110" s="18">
        <v>-10.41</v>
      </c>
      <c r="J110" s="18">
        <v>-10.52</v>
      </c>
      <c r="K110" s="19">
        <v>-13.16</v>
      </c>
      <c r="L110" s="18">
        <v>-8.16</v>
      </c>
      <c r="M110" s="18">
        <v>-13.71</v>
      </c>
      <c r="N110" s="19">
        <v>-21.04</v>
      </c>
      <c r="O110" s="19">
        <v>-22.12</v>
      </c>
      <c r="P110" s="18">
        <v>-8.83</v>
      </c>
      <c r="Q110" s="18">
        <v>-9.34</v>
      </c>
      <c r="R110" s="18">
        <v>-13.14</v>
      </c>
      <c r="S110" s="18">
        <v>-18.670000000000002</v>
      </c>
      <c r="T110" s="19">
        <v>-16.95</v>
      </c>
      <c r="U110" s="18">
        <v>-14.11</v>
      </c>
      <c r="V110" s="18">
        <v>-4.03</v>
      </c>
      <c r="W110" s="18">
        <v>-3.93</v>
      </c>
      <c r="X110" s="10">
        <v>0.1624649859943976</v>
      </c>
      <c r="Y110" s="8">
        <v>8.2099827882960552E-2</v>
      </c>
      <c r="Z110" s="8">
        <v>-0.14490217909972969</v>
      </c>
      <c r="AA110" s="8">
        <v>-0.27418154761904773</v>
      </c>
    </row>
    <row r="111" spans="2:27">
      <c r="B111" s="3" t="s">
        <v>108</v>
      </c>
      <c r="C111" s="3" t="s">
        <v>566</v>
      </c>
      <c r="D111" s="3" t="s">
        <v>506</v>
      </c>
      <c r="E111" s="3" t="s">
        <v>507</v>
      </c>
      <c r="F111" s="5">
        <v>-31.7</v>
      </c>
      <c r="G111" s="18">
        <v>36.659999999999997</v>
      </c>
      <c r="H111" s="18">
        <v>26.77</v>
      </c>
      <c r="I111" s="18">
        <v>31.43</v>
      </c>
      <c r="J111" s="18">
        <v>31.93</v>
      </c>
      <c r="K111" s="18">
        <v>22.5</v>
      </c>
      <c r="L111" s="18">
        <v>14.85</v>
      </c>
      <c r="M111" s="18">
        <v>29.58</v>
      </c>
      <c r="N111" s="18">
        <v>31.18</v>
      </c>
      <c r="O111" s="18">
        <v>31.67</v>
      </c>
      <c r="P111" s="19">
        <v>30</v>
      </c>
      <c r="Q111" s="18">
        <v>35.590000000000003</v>
      </c>
      <c r="R111" s="19">
        <v>46.6</v>
      </c>
      <c r="S111" s="18">
        <v>25.26</v>
      </c>
      <c r="T111" s="18">
        <v>3.42</v>
      </c>
      <c r="U111" s="18">
        <v>26.68</v>
      </c>
      <c r="V111" s="18">
        <v>10.220000000000001</v>
      </c>
      <c r="W111" s="18">
        <v>4.49</v>
      </c>
      <c r="X111" s="7">
        <v>-0.19337941069479811</v>
      </c>
      <c r="Y111" s="8">
        <v>-8.0364390727879487E-2</v>
      </c>
      <c r="Z111" s="8">
        <v>-0.35680659081992949</v>
      </c>
      <c r="AA111" s="8">
        <v>-0.31671241232082947</v>
      </c>
    </row>
    <row r="112" spans="2:27">
      <c r="B112" s="3" t="s">
        <v>338</v>
      </c>
      <c r="C112" s="3" t="s">
        <v>566</v>
      </c>
      <c r="D112" s="3" t="s">
        <v>523</v>
      </c>
      <c r="E112" s="3" t="s">
        <v>507</v>
      </c>
      <c r="F112" s="5">
        <v>-299.2</v>
      </c>
      <c r="G112" s="18">
        <v>-5.35</v>
      </c>
      <c r="H112" s="18">
        <v>-11.32</v>
      </c>
      <c r="I112" s="18">
        <v>-7.92</v>
      </c>
      <c r="J112" s="18">
        <v>-4.8600000000000003</v>
      </c>
      <c r="K112" s="18">
        <v>-5.61</v>
      </c>
      <c r="L112" s="18">
        <v>-7.34</v>
      </c>
      <c r="M112" s="18">
        <v>-6.9</v>
      </c>
      <c r="N112" s="18">
        <v>-4.03</v>
      </c>
      <c r="O112" s="18">
        <v>-3.19</v>
      </c>
      <c r="P112" s="18">
        <v>-4.5599999999999996</v>
      </c>
      <c r="Q112" s="18">
        <v>-0.43</v>
      </c>
      <c r="R112" s="18">
        <v>-0.32</v>
      </c>
      <c r="S112" s="18">
        <v>2.02</v>
      </c>
      <c r="T112" s="18">
        <v>-1.66</v>
      </c>
      <c r="U112" s="18">
        <v>1.67</v>
      </c>
      <c r="V112" s="19">
        <v>1.91</v>
      </c>
      <c r="W112" s="18">
        <v>-9.77</v>
      </c>
      <c r="X112" s="7">
        <v>-0.88145896656534961</v>
      </c>
      <c r="Y112" s="8">
        <v>-5.3846153846153859</v>
      </c>
      <c r="Z112" s="9">
        <v>1.304093567251462</v>
      </c>
      <c r="AA112" s="8">
        <v>-2.9923857868020298</v>
      </c>
    </row>
    <row r="113" spans="2:27">
      <c r="B113" s="3" t="s">
        <v>352</v>
      </c>
      <c r="C113" s="3" t="s">
        <v>505</v>
      </c>
      <c r="D113" s="3" t="s">
        <v>508</v>
      </c>
      <c r="E113" s="3" t="s">
        <v>569</v>
      </c>
      <c r="F113" s="5">
        <v>42.6</v>
      </c>
      <c r="G113" s="18"/>
      <c r="H113" s="18"/>
      <c r="I113" s="18"/>
      <c r="J113" s="18"/>
      <c r="K113" s="18"/>
      <c r="L113" s="18"/>
      <c r="M113" s="18"/>
      <c r="N113" s="18">
        <v>499.77</v>
      </c>
      <c r="O113" s="18">
        <v>18.989999999999998</v>
      </c>
      <c r="P113" s="18">
        <v>288.04000000000002</v>
      </c>
      <c r="Q113" s="18">
        <v>104.1</v>
      </c>
      <c r="R113" s="18">
        <v>387.69</v>
      </c>
      <c r="S113" s="18">
        <v>-8.67</v>
      </c>
      <c r="T113" s="19">
        <v>436.89</v>
      </c>
      <c r="U113" s="18">
        <v>71.040000000000006</v>
      </c>
      <c r="V113" s="19">
        <v>621.72</v>
      </c>
      <c r="W113" s="19">
        <v>469.17</v>
      </c>
      <c r="X113" s="10">
        <v>0.19302090357383681</v>
      </c>
      <c r="Y113" s="8">
        <v>-3.5934392017478063E-2</v>
      </c>
      <c r="Z113" s="9">
        <v>0.26385929308303718</v>
      </c>
      <c r="AA113" s="9">
        <v>0.42626987100572711</v>
      </c>
    </row>
    <row r="114" spans="2:27" hidden="1">
      <c r="B114" s="3" t="s">
        <v>54</v>
      </c>
      <c r="C114" s="3" t="s">
        <v>505</v>
      </c>
      <c r="D114" s="3" t="s">
        <v>570</v>
      </c>
      <c r="E114" s="3" t="s">
        <v>571</v>
      </c>
      <c r="F114" s="5">
        <v>17.7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>
        <v>4656</v>
      </c>
      <c r="S114" s="18">
        <v>2299</v>
      </c>
      <c r="T114" s="18">
        <v>3319</v>
      </c>
      <c r="U114" s="18">
        <v>2350</v>
      </c>
      <c r="V114" s="18">
        <v>4578</v>
      </c>
      <c r="W114" s="19">
        <v>4518</v>
      </c>
      <c r="X114" s="11"/>
      <c r="Y114" s="3"/>
      <c r="Z114" s="8">
        <v>-6.1787072243345556E-3</v>
      </c>
      <c r="AA114" s="9">
        <v>0.1768691216323928</v>
      </c>
    </row>
    <row r="115" spans="2:27" hidden="1">
      <c r="B115" s="3" t="s">
        <v>90</v>
      </c>
      <c r="C115" s="3" t="s">
        <v>505</v>
      </c>
      <c r="D115" s="3" t="s">
        <v>523</v>
      </c>
      <c r="E115" s="3" t="s">
        <v>568</v>
      </c>
      <c r="F115" s="5">
        <v>7</v>
      </c>
      <c r="G115" s="18">
        <v>8.7799999999999994</v>
      </c>
      <c r="H115" s="18">
        <v>0.74</v>
      </c>
      <c r="I115" s="18">
        <v>-4.05</v>
      </c>
      <c r="J115" s="18">
        <v>-0.14000000000000001</v>
      </c>
      <c r="K115" s="18">
        <v>5.43</v>
      </c>
      <c r="L115" s="19">
        <v>4.83</v>
      </c>
      <c r="M115" s="19">
        <v>8.01</v>
      </c>
      <c r="N115" s="19">
        <v>17.89</v>
      </c>
      <c r="O115" s="19">
        <v>30.84</v>
      </c>
      <c r="P115" s="19">
        <v>35.03</v>
      </c>
      <c r="Q115" s="18">
        <v>16.7</v>
      </c>
      <c r="R115" s="19">
        <v>29.38</v>
      </c>
      <c r="S115" s="18">
        <v>35.36</v>
      </c>
      <c r="T115" s="19">
        <v>76.14</v>
      </c>
      <c r="U115" s="19">
        <v>40.35</v>
      </c>
      <c r="V115" s="18">
        <v>40.83</v>
      </c>
      <c r="W115" s="18">
        <v>48.84</v>
      </c>
      <c r="X115" s="10">
        <v>0.35296642912337939</v>
      </c>
      <c r="Y115" s="9">
        <v>0.15008249777890589</v>
      </c>
      <c r="Z115" s="8">
        <v>6.3179385311482816E-2</v>
      </c>
      <c r="AA115" s="8">
        <v>6.9960556362881343E-2</v>
      </c>
    </row>
    <row r="116" spans="2:27" hidden="1">
      <c r="B116" s="3" t="s">
        <v>287</v>
      </c>
      <c r="C116" s="3" t="s">
        <v>505</v>
      </c>
      <c r="D116" s="3" t="s">
        <v>523</v>
      </c>
      <c r="E116" s="3" t="s">
        <v>568</v>
      </c>
      <c r="F116" s="5">
        <v>0.8</v>
      </c>
      <c r="G116" s="18">
        <v>-12.8</v>
      </c>
      <c r="H116" s="18">
        <v>-16.829999999999998</v>
      </c>
      <c r="I116" s="18">
        <v>-15.7</v>
      </c>
      <c r="J116" s="18">
        <v>-17.88</v>
      </c>
      <c r="K116" s="19">
        <v>-22.11</v>
      </c>
      <c r="L116" s="19">
        <v>-25.04</v>
      </c>
      <c r="M116" s="19">
        <v>-28.38</v>
      </c>
      <c r="N116" s="18">
        <v>-25.63</v>
      </c>
      <c r="O116" s="18">
        <v>-25.61</v>
      </c>
      <c r="P116" s="18">
        <v>-29.56</v>
      </c>
      <c r="Q116" s="18">
        <v>-27.65</v>
      </c>
      <c r="R116" s="18">
        <v>-26.83</v>
      </c>
      <c r="S116" s="18">
        <v>-22.43</v>
      </c>
      <c r="T116" s="18">
        <v>-19.71</v>
      </c>
      <c r="U116" s="18">
        <v>-27.44</v>
      </c>
      <c r="V116" s="18">
        <v>-22.19</v>
      </c>
      <c r="W116" s="18">
        <v>-23.19</v>
      </c>
      <c r="X116" s="7">
        <v>-9.2514323283554023E-2</v>
      </c>
      <c r="Y116" s="8">
        <v>-2.1734630511281989E-3</v>
      </c>
      <c r="Z116" s="8">
        <v>-4.8127787573903007E-2</v>
      </c>
      <c r="AA116" s="8">
        <v>8.2815734989647449E-3</v>
      </c>
    </row>
    <row r="117" spans="2:27" hidden="1">
      <c r="B117" s="3" t="s">
        <v>135</v>
      </c>
      <c r="C117" s="3" t="s">
        <v>505</v>
      </c>
      <c r="D117" s="3" t="s">
        <v>549</v>
      </c>
      <c r="E117" s="3" t="s">
        <v>574</v>
      </c>
      <c r="F117" s="5">
        <v>0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>
        <v>0.4</v>
      </c>
      <c r="U117" s="18">
        <v>0.27</v>
      </c>
      <c r="V117" s="18">
        <v>0.46</v>
      </c>
      <c r="W117" s="18">
        <v>-0.48</v>
      </c>
      <c r="X117" s="11"/>
      <c r="Y117" s="3"/>
      <c r="Z117" s="3"/>
      <c r="AA117" s="3"/>
    </row>
    <row r="118" spans="2:27" hidden="1">
      <c r="B118" s="3" t="s">
        <v>156</v>
      </c>
      <c r="C118" s="3" t="s">
        <v>505</v>
      </c>
      <c r="D118" s="3" t="s">
        <v>576</v>
      </c>
      <c r="E118" s="3" t="s">
        <v>568</v>
      </c>
      <c r="F118" s="5">
        <v>-0.3</v>
      </c>
      <c r="G118" s="18">
        <v>32.409999999999997</v>
      </c>
      <c r="H118" s="18">
        <v>54.58</v>
      </c>
      <c r="I118" s="18">
        <v>58.45</v>
      </c>
      <c r="J118" s="18">
        <v>63.99</v>
      </c>
      <c r="K118" s="19">
        <v>67.27</v>
      </c>
      <c r="L118" s="18">
        <v>54.65</v>
      </c>
      <c r="M118" s="18">
        <v>62.78</v>
      </c>
      <c r="N118" s="18">
        <v>46.84</v>
      </c>
      <c r="O118" s="18">
        <v>54.43</v>
      </c>
      <c r="P118" s="18">
        <v>52.14</v>
      </c>
      <c r="Q118" s="18">
        <v>54.09</v>
      </c>
      <c r="R118" s="18">
        <v>42.13</v>
      </c>
      <c r="S118" s="18">
        <v>34.68</v>
      </c>
      <c r="T118" s="18">
        <v>45.33</v>
      </c>
      <c r="U118" s="18">
        <v>38.06</v>
      </c>
      <c r="V118" s="18">
        <v>33.340000000000003</v>
      </c>
      <c r="W118" s="18">
        <v>34.17</v>
      </c>
      <c r="X118" s="7">
        <v>-3.7204982517482499E-2</v>
      </c>
      <c r="Y118" s="8">
        <v>-9.0960676388810224E-2</v>
      </c>
      <c r="Z118" s="8">
        <v>-5.4868913857677892E-2</v>
      </c>
      <c r="AA118" s="8">
        <v>-3.3683376263126119E-3</v>
      </c>
    </row>
    <row r="119" spans="2:27">
      <c r="B119" s="3" t="s">
        <v>186</v>
      </c>
      <c r="C119" s="3" t="s">
        <v>505</v>
      </c>
      <c r="D119" s="3" t="s">
        <v>572</v>
      </c>
      <c r="E119" s="3" t="s">
        <v>569</v>
      </c>
      <c r="F119" s="5">
        <v>-2</v>
      </c>
      <c r="G119" s="18"/>
      <c r="H119" s="18"/>
      <c r="I119" s="18"/>
      <c r="J119" s="18"/>
      <c r="K119" s="18"/>
      <c r="L119" s="18"/>
      <c r="M119" s="18"/>
      <c r="N119" s="18">
        <v>19.91</v>
      </c>
      <c r="O119" s="18">
        <v>17.100000000000001</v>
      </c>
      <c r="P119" s="18">
        <v>26.38</v>
      </c>
      <c r="Q119" s="18">
        <v>17.399999999999999</v>
      </c>
      <c r="R119" s="19">
        <v>38.049999999999997</v>
      </c>
      <c r="S119" s="19">
        <v>31.31</v>
      </c>
      <c r="T119" s="19">
        <v>40.68</v>
      </c>
      <c r="U119" s="19">
        <v>34.270000000000003</v>
      </c>
      <c r="V119" s="18">
        <v>37.380000000000003</v>
      </c>
      <c r="W119" s="18">
        <v>28.4</v>
      </c>
      <c r="X119" s="10">
        <v>0.12639208060809631</v>
      </c>
      <c r="Y119" s="9">
        <v>0.13237602008788449</v>
      </c>
      <c r="Z119" s="8">
        <v>-4.6427828979279662E-3</v>
      </c>
      <c r="AA119" s="8">
        <v>-2.0258980785296529E-2</v>
      </c>
    </row>
    <row r="120" spans="2:27" hidden="1">
      <c r="B120" s="3" t="s">
        <v>303</v>
      </c>
      <c r="C120" s="3" t="s">
        <v>505</v>
      </c>
      <c r="D120" s="3" t="s">
        <v>573</v>
      </c>
      <c r="E120" s="3" t="s">
        <v>568</v>
      </c>
      <c r="F120" s="5">
        <v>-5.7</v>
      </c>
      <c r="G120" s="18">
        <v>38.97</v>
      </c>
      <c r="H120" s="18">
        <v>30.35</v>
      </c>
      <c r="I120" s="18">
        <v>41.41</v>
      </c>
      <c r="J120" s="18">
        <v>48.41</v>
      </c>
      <c r="K120" s="18">
        <v>33.659999999999997</v>
      </c>
      <c r="L120" s="18">
        <v>33.58</v>
      </c>
      <c r="M120" s="18">
        <v>32.619999999999997</v>
      </c>
      <c r="N120" s="18">
        <v>45.62</v>
      </c>
      <c r="O120" s="18">
        <v>29.67</v>
      </c>
      <c r="P120" s="18">
        <v>29.27</v>
      </c>
      <c r="Q120" s="18">
        <v>27.36</v>
      </c>
      <c r="R120" s="18">
        <v>32.49</v>
      </c>
      <c r="S120" s="18">
        <v>29.56</v>
      </c>
      <c r="T120" s="19">
        <v>42.31</v>
      </c>
      <c r="U120" s="18">
        <v>23.04</v>
      </c>
      <c r="V120" s="18">
        <v>31.94</v>
      </c>
      <c r="W120" s="18">
        <v>22.38</v>
      </c>
      <c r="X120" s="10">
        <v>0.109875294910684</v>
      </c>
      <c r="Y120" s="8">
        <v>-3.2796841785605817E-2</v>
      </c>
      <c r="Z120" s="8">
        <v>-4.3171114599687144E-3</v>
      </c>
      <c r="AA120" s="8">
        <v>-5.6602286164761477E-2</v>
      </c>
    </row>
    <row r="121" spans="2:27" hidden="1">
      <c r="B121" s="3" t="s">
        <v>381</v>
      </c>
      <c r="C121" s="3" t="s">
        <v>505</v>
      </c>
      <c r="D121" s="3" t="s">
        <v>506</v>
      </c>
      <c r="E121" s="3" t="s">
        <v>568</v>
      </c>
      <c r="F121" s="5">
        <v>-7</v>
      </c>
      <c r="G121" s="18">
        <v>-28.1</v>
      </c>
      <c r="H121" s="18">
        <v>81.55</v>
      </c>
      <c r="I121" s="18">
        <v>224.95</v>
      </c>
      <c r="J121" s="18">
        <v>-8.4</v>
      </c>
      <c r="K121" s="19">
        <v>37.74</v>
      </c>
      <c r="L121" s="18">
        <v>-29.38</v>
      </c>
      <c r="M121" s="18">
        <v>-64.87</v>
      </c>
      <c r="N121" s="19">
        <v>-51.39</v>
      </c>
      <c r="O121" s="19">
        <v>-54.89</v>
      </c>
      <c r="P121" s="19">
        <v>-66.05</v>
      </c>
      <c r="Q121" s="18">
        <v>-54.89</v>
      </c>
      <c r="R121" s="19">
        <v>-93.45</v>
      </c>
      <c r="S121" s="19">
        <v>-93.66</v>
      </c>
      <c r="T121" s="18">
        <v>-40.76</v>
      </c>
      <c r="U121" s="18">
        <v>-62.66</v>
      </c>
      <c r="V121" s="18">
        <v>-49.59</v>
      </c>
      <c r="W121" s="18">
        <v>-76.28</v>
      </c>
      <c r="X121" s="7">
        <v>-8.2097062165232937E-2</v>
      </c>
      <c r="Y121" s="8">
        <v>2.747913424812554E-2</v>
      </c>
      <c r="Z121" s="8">
        <v>-0.15096547688706841</v>
      </c>
      <c r="AA121" s="8">
        <v>-7.0458507317468722E-2</v>
      </c>
    </row>
    <row r="122" spans="2:27" hidden="1">
      <c r="B122" s="3" t="s">
        <v>367</v>
      </c>
      <c r="C122" s="3" t="s">
        <v>505</v>
      </c>
      <c r="D122" s="3" t="s">
        <v>575</v>
      </c>
      <c r="E122" s="3" t="s">
        <v>568</v>
      </c>
      <c r="F122" s="5">
        <v>-22.3</v>
      </c>
      <c r="G122" s="18">
        <v>123.93</v>
      </c>
      <c r="H122" s="18">
        <v>142.74</v>
      </c>
      <c r="I122" s="18">
        <v>102.62</v>
      </c>
      <c r="J122" s="18">
        <v>75.42</v>
      </c>
      <c r="K122" s="18">
        <v>91.58</v>
      </c>
      <c r="L122" s="18">
        <v>120.11</v>
      </c>
      <c r="M122" s="18">
        <v>58.75</v>
      </c>
      <c r="N122" s="18">
        <v>37.56</v>
      </c>
      <c r="O122" s="18">
        <v>96.33</v>
      </c>
      <c r="P122" s="18">
        <v>135.99</v>
      </c>
      <c r="Q122" s="18">
        <v>55.04</v>
      </c>
      <c r="R122" s="18">
        <v>39.450000000000003</v>
      </c>
      <c r="S122" s="18">
        <v>76.09</v>
      </c>
      <c r="T122" s="18">
        <v>114.03</v>
      </c>
      <c r="U122" s="18">
        <v>26.1</v>
      </c>
      <c r="V122" s="18">
        <v>4.04</v>
      </c>
      <c r="W122" s="18">
        <v>26.93</v>
      </c>
      <c r="X122" s="7">
        <v>-7.1631275075839107E-2</v>
      </c>
      <c r="Y122" s="8">
        <v>-0.10168300481360459</v>
      </c>
      <c r="Z122" s="8">
        <v>-0.13849884616888949</v>
      </c>
      <c r="AA122" s="8">
        <v>-0.22319077453918101</v>
      </c>
    </row>
    <row r="123" spans="2:27" hidden="1">
      <c r="B123" s="3" t="s">
        <v>356</v>
      </c>
      <c r="C123" s="3" t="s">
        <v>505</v>
      </c>
      <c r="D123" s="3" t="s">
        <v>561</v>
      </c>
      <c r="E123" s="3" t="s">
        <v>568</v>
      </c>
      <c r="F123" s="5">
        <v>-39.4</v>
      </c>
      <c r="G123" s="18">
        <v>1858</v>
      </c>
      <c r="H123" s="18">
        <v>2107</v>
      </c>
      <c r="I123" s="18">
        <v>2241</v>
      </c>
      <c r="J123" s="18">
        <v>1765</v>
      </c>
      <c r="K123" s="18">
        <v>1544</v>
      </c>
      <c r="L123" s="18">
        <v>544.6</v>
      </c>
      <c r="M123" s="18">
        <v>-13.5</v>
      </c>
      <c r="N123" s="18">
        <v>-165.3</v>
      </c>
      <c r="O123" s="18">
        <v>-238.5</v>
      </c>
      <c r="P123" s="18">
        <v>-33.4</v>
      </c>
      <c r="Q123" s="18">
        <v>168.7</v>
      </c>
      <c r="R123" s="18">
        <v>470.2</v>
      </c>
      <c r="S123" s="19">
        <v>1236</v>
      </c>
      <c r="T123" s="19">
        <v>615.29999999999995</v>
      </c>
      <c r="U123" s="19">
        <v>466.7</v>
      </c>
      <c r="V123" s="18">
        <v>151.69999999999999</v>
      </c>
      <c r="W123" s="18">
        <v>263.5</v>
      </c>
      <c r="X123" s="10">
        <v>0.35226717349986408</v>
      </c>
      <c r="Y123" s="9">
        <v>0.1196691028833026</v>
      </c>
      <c r="Z123" s="8">
        <v>-0.1142314037730435</v>
      </c>
      <c r="AA123" s="8">
        <v>-0.39377252297849941</v>
      </c>
    </row>
    <row r="124" spans="2:27" hidden="1">
      <c r="B124" s="3" t="s">
        <v>35</v>
      </c>
      <c r="C124" s="3" t="s">
        <v>566</v>
      </c>
      <c r="D124" s="3" t="s">
        <v>577</v>
      </c>
      <c r="E124" s="3" t="s">
        <v>568</v>
      </c>
      <c r="F124" s="5">
        <v>17.5</v>
      </c>
      <c r="G124" s="18">
        <v>0.3</v>
      </c>
      <c r="H124" s="18">
        <v>-0.38</v>
      </c>
      <c r="I124" s="18">
        <v>-0.17</v>
      </c>
      <c r="J124" s="18">
        <v>0.04</v>
      </c>
      <c r="K124" s="18">
        <v>0.51</v>
      </c>
      <c r="L124" s="19">
        <v>-4.26</v>
      </c>
      <c r="M124" s="19">
        <v>-1.03</v>
      </c>
      <c r="N124" s="19">
        <v>-0.82</v>
      </c>
      <c r="O124" s="19">
        <v>-0.52</v>
      </c>
      <c r="P124" s="18">
        <v>-0.82</v>
      </c>
      <c r="Q124" s="18">
        <v>-0.21</v>
      </c>
      <c r="R124" s="18">
        <v>-0.14000000000000001</v>
      </c>
      <c r="S124" s="18">
        <v>0.46</v>
      </c>
      <c r="T124" s="18">
        <v>0.61</v>
      </c>
      <c r="U124" s="19">
        <v>3.91</v>
      </c>
      <c r="V124" s="19">
        <v>2.67</v>
      </c>
      <c r="W124" s="19">
        <v>1.8</v>
      </c>
      <c r="X124" s="7">
        <v>-2.0140845070422539</v>
      </c>
      <c r="Y124" s="9">
        <v>5.7222222222222223</v>
      </c>
      <c r="Z124" s="9">
        <v>0.58057851239669422</v>
      </c>
      <c r="AA124" s="9">
        <v>0.1751633986928105</v>
      </c>
    </row>
    <row r="125" spans="2:27" hidden="1">
      <c r="B125" s="3" t="s">
        <v>78</v>
      </c>
      <c r="C125" s="3" t="s">
        <v>579</v>
      </c>
      <c r="D125" s="3" t="s">
        <v>565</v>
      </c>
      <c r="E125" s="3" t="s">
        <v>580</v>
      </c>
      <c r="F125" s="5">
        <v>7.9</v>
      </c>
      <c r="G125" s="18"/>
      <c r="H125" s="18"/>
      <c r="I125" s="18"/>
      <c r="J125" s="18"/>
      <c r="K125" s="18"/>
      <c r="L125" s="18"/>
      <c r="M125" s="18"/>
      <c r="N125" s="18">
        <v>5539</v>
      </c>
      <c r="O125" s="18">
        <v>5905</v>
      </c>
      <c r="P125" s="18">
        <v>5091</v>
      </c>
      <c r="Q125" s="18">
        <v>5792</v>
      </c>
      <c r="R125" s="18">
        <v>5409</v>
      </c>
      <c r="S125" s="18">
        <v>7623</v>
      </c>
      <c r="T125" s="19">
        <v>7708</v>
      </c>
      <c r="U125" s="19">
        <v>8660</v>
      </c>
      <c r="V125" s="18">
        <v>7931</v>
      </c>
      <c r="W125" s="18">
        <v>10131</v>
      </c>
      <c r="X125" s="10">
        <v>0.1094292285176668</v>
      </c>
      <c r="Y125" s="9">
        <v>0.10809588421528731</v>
      </c>
      <c r="Z125" s="8">
        <v>8.5782312925170023E-2</v>
      </c>
      <c r="AA125" s="8">
        <v>7.8566505858028934E-2</v>
      </c>
    </row>
    <row r="126" spans="2:27" hidden="1">
      <c r="B126" s="3" t="s">
        <v>234</v>
      </c>
      <c r="C126" s="3" t="s">
        <v>566</v>
      </c>
      <c r="D126" s="3" t="s">
        <v>578</v>
      </c>
      <c r="E126" s="3" t="s">
        <v>568</v>
      </c>
      <c r="F126" s="5">
        <v>5</v>
      </c>
      <c r="G126" s="18">
        <v>-2.76</v>
      </c>
      <c r="H126" s="18">
        <v>1.91</v>
      </c>
      <c r="I126" s="18">
        <v>-0.63</v>
      </c>
      <c r="J126" s="18">
        <v>-0.71</v>
      </c>
      <c r="K126" s="19">
        <v>-4.49</v>
      </c>
      <c r="L126" s="19">
        <v>-1.58</v>
      </c>
      <c r="M126" s="18">
        <v>-0.93</v>
      </c>
      <c r="N126" s="19">
        <v>-1.88</v>
      </c>
      <c r="O126" s="18">
        <v>-0.74</v>
      </c>
      <c r="P126" s="19">
        <v>-2.3199999999999998</v>
      </c>
      <c r="Q126" s="18">
        <v>-1.26</v>
      </c>
      <c r="R126" s="18">
        <v>-0.87</v>
      </c>
      <c r="S126" s="19">
        <v>-2.15</v>
      </c>
      <c r="T126" s="18">
        <v>-2.64</v>
      </c>
      <c r="U126" s="19">
        <v>-3.51</v>
      </c>
      <c r="V126" s="19">
        <v>-11.81</v>
      </c>
      <c r="W126" s="18">
        <v>-3.15</v>
      </c>
      <c r="X126" s="7">
        <v>4.8484848484848582E-2</v>
      </c>
      <c r="Y126" s="9">
        <v>0.32514450867052019</v>
      </c>
      <c r="Z126" s="9">
        <v>1.1930207197382769</v>
      </c>
      <c r="AA126" s="8">
        <v>4.9726504226752948E-2</v>
      </c>
    </row>
    <row r="127" spans="2:27" hidden="1">
      <c r="B127" s="3" t="s">
        <v>82</v>
      </c>
      <c r="C127" s="3" t="s">
        <v>579</v>
      </c>
      <c r="D127" s="3" t="s">
        <v>565</v>
      </c>
      <c r="E127" s="3" t="s">
        <v>580</v>
      </c>
      <c r="F127" s="5">
        <v>-25</v>
      </c>
      <c r="G127" s="18"/>
      <c r="H127" s="18"/>
      <c r="I127" s="18"/>
      <c r="J127" s="18"/>
      <c r="K127" s="18"/>
      <c r="L127" s="18"/>
      <c r="M127" s="18"/>
      <c r="N127" s="18">
        <v>-92.53</v>
      </c>
      <c r="O127" s="18">
        <v>-56.77</v>
      </c>
      <c r="P127" s="18">
        <v>-33</v>
      </c>
      <c r="Q127" s="18">
        <v>-44.04</v>
      </c>
      <c r="R127" s="18">
        <v>-18.329999999999998</v>
      </c>
      <c r="S127" s="18">
        <v>-49.03</v>
      </c>
      <c r="T127" s="18">
        <v>-40.76</v>
      </c>
      <c r="U127" s="18">
        <v>-21.5</v>
      </c>
      <c r="V127" s="18">
        <v>-29.36</v>
      </c>
      <c r="W127" s="18">
        <v>-13.92</v>
      </c>
      <c r="X127" s="7">
        <v>5.3739612188365538E-2</v>
      </c>
      <c r="Y127" s="8">
        <v>-0.14813354363827549</v>
      </c>
      <c r="Z127" s="8">
        <v>8.5094892763462493E-2</v>
      </c>
      <c r="AA127" s="8">
        <v>-0.24962673302524011</v>
      </c>
    </row>
  </sheetData>
  <autoFilter ref="B2:AA127" xr:uid="{00000000-0009-0000-0000-000002000000}">
    <filterColumn colId="3">
      <filters>
        <filter val="Dec'25"/>
        <filter val="Dec'26"/>
        <filter val="H2 2025"/>
        <filter val="Mar'26"/>
        <filter val="Sep'26"/>
      </filters>
    </filterColumn>
  </autoFilter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14"/>
  <sheetViews>
    <sheetView tabSelected="1" workbookViewId="0">
      <selection activeCell="B4" sqref="B4"/>
    </sheetView>
  </sheetViews>
  <sheetFormatPr defaultRowHeight="16.5"/>
  <cols>
    <col min="1" max="1" width="3" customWidth="1"/>
    <col min="2" max="2" width="17.375" bestFit="1" customWidth="1"/>
    <col min="3" max="19" width="8" customWidth="1"/>
  </cols>
  <sheetData>
    <row r="2" spans="2:19">
      <c r="B2" s="12" t="s">
        <v>581</v>
      </c>
    </row>
    <row r="4" spans="2:19">
      <c r="B4" s="13" t="s">
        <v>590</v>
      </c>
      <c r="C4" s="12">
        <v>6</v>
      </c>
      <c r="D4" s="12">
        <v>7</v>
      </c>
      <c r="E4" s="12">
        <v>8</v>
      </c>
      <c r="F4" s="12">
        <v>9</v>
      </c>
      <c r="G4" s="12">
        <v>10</v>
      </c>
      <c r="H4" s="12">
        <v>11</v>
      </c>
      <c r="I4" s="12">
        <v>12</v>
      </c>
      <c r="J4" s="12">
        <v>13</v>
      </c>
      <c r="K4" s="12">
        <v>14</v>
      </c>
      <c r="L4" s="12">
        <v>15</v>
      </c>
      <c r="M4" s="12">
        <v>16</v>
      </c>
      <c r="N4" s="12">
        <v>17</v>
      </c>
      <c r="O4" s="12">
        <v>18</v>
      </c>
      <c r="P4" s="12">
        <v>19</v>
      </c>
      <c r="Q4" s="12">
        <v>20</v>
      </c>
      <c r="R4" s="12">
        <v>21</v>
      </c>
      <c r="S4" s="12">
        <v>22</v>
      </c>
    </row>
    <row r="5" spans="2:19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2:19" ht="18" customHeight="1">
      <c r="C6" s="21" t="s">
        <v>488</v>
      </c>
      <c r="D6" s="21" t="s">
        <v>489</v>
      </c>
      <c r="E6" s="21" t="s">
        <v>490</v>
      </c>
      <c r="F6" s="21" t="s">
        <v>491</v>
      </c>
      <c r="G6" s="21" t="s">
        <v>492</v>
      </c>
      <c r="H6" s="21" t="s">
        <v>493</v>
      </c>
      <c r="I6" s="21" t="s">
        <v>494</v>
      </c>
      <c r="J6" s="21" t="s">
        <v>495</v>
      </c>
      <c r="K6" s="21" t="s">
        <v>496</v>
      </c>
      <c r="L6" s="21" t="s">
        <v>497</v>
      </c>
      <c r="M6" s="21" t="s">
        <v>498</v>
      </c>
      <c r="N6" s="21" t="s">
        <v>499</v>
      </c>
      <c r="O6" s="21" t="s">
        <v>500</v>
      </c>
      <c r="P6" s="21" t="s">
        <v>501</v>
      </c>
      <c r="Q6" s="21" t="s">
        <v>502</v>
      </c>
      <c r="R6" s="21" t="s">
        <v>503</v>
      </c>
      <c r="S6" s="21" t="s">
        <v>504</v>
      </c>
    </row>
    <row r="7" spans="2:19">
      <c r="B7" s="13" t="s">
        <v>582</v>
      </c>
      <c r="C7" s="14">
        <f>IFERROR(VLOOKUP($B$4,Revenue!$B$2:$X$500,C$4,FALSE),"-")</f>
        <v>134.85</v>
      </c>
      <c r="D7" s="14">
        <f>IFERROR(VLOOKUP($B$4,Revenue!$B$2:$X$500,D$4,FALSE),"-")</f>
        <v>126.27</v>
      </c>
      <c r="E7" s="14">
        <f>IFERROR(VLOOKUP($B$4,Revenue!$B$2:$X$500,E$4,FALSE),"-")</f>
        <v>137.30000000000001</v>
      </c>
      <c r="F7" s="14">
        <f>IFERROR(VLOOKUP($B$4,Revenue!$B$2:$X$500,F$4,FALSE),"-")</f>
        <v>152.25</v>
      </c>
      <c r="G7" s="14">
        <f>IFERROR(VLOOKUP($B$4,Revenue!$B$2:$X$500,G$4,FALSE),"-")</f>
        <v>175.14</v>
      </c>
      <c r="H7" s="14">
        <f>IFERROR(VLOOKUP($B$4,Revenue!$B$2:$X$500,H$4,FALSE),"-")</f>
        <v>157.6</v>
      </c>
      <c r="I7" s="14">
        <f>IFERROR(VLOOKUP($B$4,Revenue!$B$2:$X$500,I$4,FALSE),"-")</f>
        <v>171.82</v>
      </c>
      <c r="J7" s="14">
        <f>IFERROR(VLOOKUP($B$4,Revenue!$B$2:$X$500,J$4,FALSE),"-")</f>
        <v>188.98</v>
      </c>
      <c r="K7" s="14">
        <f>IFERROR(VLOOKUP($B$4,Revenue!$B$2:$X$500,K$4,FALSE),"-")</f>
        <v>210.32</v>
      </c>
      <c r="L7" s="14">
        <f>IFERROR(VLOOKUP($B$4,Revenue!$B$2:$X$500,L$4,FALSE),"-")</f>
        <v>194.95</v>
      </c>
      <c r="M7" s="14">
        <f>IFERROR(VLOOKUP($B$4,Revenue!$B$2:$X$500,M$4,FALSE),"-")</f>
        <v>227.84</v>
      </c>
      <c r="N7" s="14">
        <f>IFERROR(VLOOKUP($B$4,Revenue!$B$2:$X$500,N$4,FALSE),"-")</f>
        <v>268.3</v>
      </c>
      <c r="O7" s="14">
        <f>IFERROR(VLOOKUP($B$4,Revenue!$B$2:$X$500,O$4,FALSE),"-")</f>
        <v>314.67</v>
      </c>
      <c r="P7" s="14">
        <f>IFERROR(VLOOKUP($B$4,Revenue!$B$2:$X$500,P$4,FALSE),"-")</f>
        <v>264.42</v>
      </c>
      <c r="Q7" s="14">
        <f>IFERROR(VLOOKUP($B$4,Revenue!$B$2:$X$500,Q$4,FALSE),"-")</f>
        <v>308.44</v>
      </c>
      <c r="R7" s="14">
        <f>IFERROR(VLOOKUP($B$4,Revenue!$B$2:$X$500,R$4,FALSE),"-")</f>
        <v>337.17</v>
      </c>
      <c r="S7" s="14">
        <f>IFERROR(VLOOKUP($B$4,Revenue!$B$2:$X$500,S$4,FALSE),"-")</f>
        <v>394.64</v>
      </c>
    </row>
    <row r="8" spans="2:19">
      <c r="B8" s="13" t="s">
        <v>583</v>
      </c>
      <c r="C8" s="14">
        <f>IFERROR(VLOOKUP($B$4,'Operating Income'!$B$2:$X$500,C$4,FALSE),"-")</f>
        <v>-60.46</v>
      </c>
      <c r="D8" s="14">
        <f>IFERROR(VLOOKUP($B$4,'Operating Income'!$B$2:$X$500,D$4,FALSE),"-")</f>
        <v>-67.72</v>
      </c>
      <c r="E8" s="14">
        <f>IFERROR(VLOOKUP($B$4,'Operating Income'!$B$2:$X$500,E$4,FALSE),"-")</f>
        <v>-77.09</v>
      </c>
      <c r="F8" s="14">
        <f>IFERROR(VLOOKUP($B$4,'Operating Income'!$B$2:$X$500,F$4,FALSE),"-")</f>
        <v>-66.17</v>
      </c>
      <c r="G8" s="14">
        <f>IFERROR(VLOOKUP($B$4,'Operating Income'!$B$2:$X$500,G$4,FALSE),"-")</f>
        <v>-47.71</v>
      </c>
      <c r="H8" s="14">
        <f>IFERROR(VLOOKUP($B$4,'Operating Income'!$B$2:$X$500,H$4,FALSE),"-")</f>
        <v>-52.24</v>
      </c>
      <c r="I8" s="14">
        <f>IFERROR(VLOOKUP($B$4,'Operating Income'!$B$2:$X$500,I$4,FALSE),"-")</f>
        <v>-43.37</v>
      </c>
      <c r="J8" s="14">
        <f>IFERROR(VLOOKUP($B$4,'Operating Income'!$B$2:$X$500,J$4,FALSE),"-")</f>
        <v>-37.17</v>
      </c>
      <c r="K8" s="14">
        <f>IFERROR(VLOOKUP($B$4,'Operating Income'!$B$2:$X$500,K$4,FALSE),"-")</f>
        <v>-31.86</v>
      </c>
      <c r="L8" s="14">
        <f>IFERROR(VLOOKUP($B$4,'Operating Income'!$B$2:$X$500,L$4,FALSE),"-")</f>
        <v>-35.869999999999997</v>
      </c>
      <c r="M8" s="14">
        <f>IFERROR(VLOOKUP($B$4,'Operating Income'!$B$2:$X$500,M$4,FALSE),"-")</f>
        <v>-26.58</v>
      </c>
      <c r="N8" s="14">
        <f>IFERROR(VLOOKUP($B$4,'Operating Income'!$B$2:$X$500,N$4,FALSE),"-")</f>
        <v>-7.8</v>
      </c>
      <c r="O8" s="14">
        <f>IFERROR(VLOOKUP($B$4,'Operating Income'!$B$2:$X$500,O$4,FALSE),"-")</f>
        <v>10.57</v>
      </c>
      <c r="P8" s="14">
        <f>IFERROR(VLOOKUP($B$4,'Operating Income'!$B$2:$X$500,P$4,FALSE),"-")</f>
        <v>-12.96</v>
      </c>
      <c r="Q8" s="14">
        <f>IFERROR(VLOOKUP($B$4,'Operating Income'!$B$2:$X$500,Q$4,FALSE),"-")</f>
        <v>-5.1100000000000003</v>
      </c>
      <c r="R8" s="14">
        <f>IFERROR(VLOOKUP($B$4,'Operating Income'!$B$2:$X$500,R$4,FALSE),"-")</f>
        <v>15.23</v>
      </c>
      <c r="S8" s="14">
        <f>IFERROR(VLOOKUP($B$4,'Operating Income'!$B$2:$X$500,S$4,FALSE),"-")</f>
        <v>31.64</v>
      </c>
    </row>
    <row r="9" spans="2:19">
      <c r="B9" s="13" t="s">
        <v>584</v>
      </c>
      <c r="C9" s="14">
        <f>IFERROR(AVERAGE(C8:C8),"-")</f>
        <v>-60.46</v>
      </c>
      <c r="D9" s="14">
        <f>IFERROR(AVERAGE(C8:D8),"-")</f>
        <v>-64.09</v>
      </c>
      <c r="E9" s="14">
        <f>IFERROR(AVERAGE(C8:E8),"-")</f>
        <v>-68.423333333333332</v>
      </c>
      <c r="F9" s="14">
        <f t="shared" ref="F9:S9" si="0">IFERROR(AVERAGE(C8:F8),"-")</f>
        <v>-67.86</v>
      </c>
      <c r="G9" s="14">
        <f t="shared" si="0"/>
        <v>-64.672499999999999</v>
      </c>
      <c r="H9" s="14">
        <f t="shared" si="0"/>
        <v>-60.802500000000002</v>
      </c>
      <c r="I9" s="14">
        <f t="shared" si="0"/>
        <v>-52.372500000000002</v>
      </c>
      <c r="J9" s="14">
        <f t="shared" si="0"/>
        <v>-45.122500000000002</v>
      </c>
      <c r="K9" s="14">
        <f t="shared" si="0"/>
        <v>-41.16</v>
      </c>
      <c r="L9" s="14">
        <f t="shared" si="0"/>
        <v>-37.067499999999995</v>
      </c>
      <c r="M9" s="14">
        <f t="shared" si="0"/>
        <v>-32.870000000000005</v>
      </c>
      <c r="N9" s="14">
        <f t="shared" si="0"/>
        <v>-25.527499999999996</v>
      </c>
      <c r="O9" s="14">
        <f t="shared" si="0"/>
        <v>-14.92</v>
      </c>
      <c r="P9" s="14">
        <f t="shared" si="0"/>
        <v>-9.192499999999999</v>
      </c>
      <c r="Q9" s="14">
        <f t="shared" si="0"/>
        <v>-3.8250000000000002</v>
      </c>
      <c r="R9" s="14">
        <f t="shared" si="0"/>
        <v>1.9324999999999999</v>
      </c>
      <c r="S9" s="14">
        <f t="shared" si="0"/>
        <v>7.2</v>
      </c>
    </row>
    <row r="10" spans="2:19">
      <c r="B10" s="13" t="s">
        <v>585</v>
      </c>
      <c r="C10" s="14">
        <f>IFERROR(SUM(C8:C8),"-")</f>
        <v>-60.46</v>
      </c>
      <c r="D10" s="14">
        <f>IFERROR(SUM(C8:D8),"-")</f>
        <v>-128.18</v>
      </c>
      <c r="E10" s="14">
        <f>IFERROR(SUM(C8:E8),"-")</f>
        <v>-205.27</v>
      </c>
      <c r="F10" s="14">
        <f t="shared" ref="F10:S10" si="1">IFERROR(SUM(C8:F8),"-")</f>
        <v>-271.44</v>
      </c>
      <c r="G10" s="14">
        <f t="shared" si="1"/>
        <v>-258.69</v>
      </c>
      <c r="H10" s="14">
        <f t="shared" si="1"/>
        <v>-243.21</v>
      </c>
      <c r="I10" s="14">
        <f t="shared" si="1"/>
        <v>-209.49</v>
      </c>
      <c r="J10" s="14">
        <f t="shared" si="1"/>
        <v>-180.49</v>
      </c>
      <c r="K10" s="14">
        <f t="shared" si="1"/>
        <v>-164.64</v>
      </c>
      <c r="L10" s="14">
        <f t="shared" si="1"/>
        <v>-148.26999999999998</v>
      </c>
      <c r="M10" s="14">
        <f t="shared" si="1"/>
        <v>-131.48000000000002</v>
      </c>
      <c r="N10" s="14">
        <f t="shared" si="1"/>
        <v>-102.10999999999999</v>
      </c>
      <c r="O10" s="14">
        <f t="shared" si="1"/>
        <v>-59.68</v>
      </c>
      <c r="P10" s="14">
        <f t="shared" si="1"/>
        <v>-36.769999999999996</v>
      </c>
      <c r="Q10" s="14">
        <f t="shared" si="1"/>
        <v>-15.3</v>
      </c>
      <c r="R10" s="14">
        <f t="shared" si="1"/>
        <v>7.7299999999999995</v>
      </c>
      <c r="S10" s="14">
        <f t="shared" si="1"/>
        <v>28.8</v>
      </c>
    </row>
    <row r="11" spans="2:19">
      <c r="B11" s="13" t="s">
        <v>586</v>
      </c>
      <c r="C11" s="22"/>
      <c r="D11" s="23">
        <f t="shared" ref="D11:S11" si="2">IFERROR(D9/C9-1,"-")</f>
        <v>6.0039695666556536E-2</v>
      </c>
      <c r="E11" s="23">
        <f t="shared" si="2"/>
        <v>6.761325219743064E-2</v>
      </c>
      <c r="F11" s="23">
        <f t="shared" si="2"/>
        <v>-8.2330588980367159E-3</v>
      </c>
      <c r="G11" s="23">
        <f t="shared" si="2"/>
        <v>-4.6971706454465023E-2</v>
      </c>
      <c r="H11" s="23">
        <f t="shared" si="2"/>
        <v>-5.9839962889945419E-2</v>
      </c>
      <c r="I11" s="23">
        <f t="shared" si="2"/>
        <v>-0.13864561490070304</v>
      </c>
      <c r="J11" s="23">
        <f t="shared" si="2"/>
        <v>-0.13843142870781422</v>
      </c>
      <c r="K11" s="23">
        <f t="shared" si="2"/>
        <v>-8.7816499529059899E-2</v>
      </c>
      <c r="L11" s="23">
        <f t="shared" si="2"/>
        <v>-9.9429057337220628E-2</v>
      </c>
      <c r="M11" s="23">
        <f t="shared" si="2"/>
        <v>-0.11323936062588502</v>
      </c>
      <c r="N11" s="23">
        <f t="shared" si="2"/>
        <v>-0.22337998174627338</v>
      </c>
      <c r="O11" s="23">
        <f t="shared" si="2"/>
        <v>-0.41553226912153551</v>
      </c>
      <c r="P11" s="23">
        <f t="shared" si="2"/>
        <v>-0.38388069705093841</v>
      </c>
      <c r="Q11" s="23">
        <f t="shared" si="2"/>
        <v>-0.5838999184117486</v>
      </c>
      <c r="R11" s="23">
        <f t="shared" si="2"/>
        <v>-1.5052287581699346</v>
      </c>
      <c r="S11" s="23">
        <f t="shared" si="2"/>
        <v>2.7257438551099615</v>
      </c>
    </row>
    <row r="12" spans="2:19">
      <c r="B12" s="13" t="s">
        <v>587</v>
      </c>
      <c r="C12" s="15">
        <f t="shared" ref="C12:S12" si="3">IFERROR(C8/C7,"-")</f>
        <v>-0.44835001853911755</v>
      </c>
      <c r="D12" s="15">
        <f t="shared" si="3"/>
        <v>-0.53631107943296108</v>
      </c>
      <c r="E12" s="15">
        <f t="shared" si="3"/>
        <v>-0.56147123088128181</v>
      </c>
      <c r="F12" s="15">
        <f t="shared" si="3"/>
        <v>-0.43461412151067325</v>
      </c>
      <c r="G12" s="15">
        <f t="shared" si="3"/>
        <v>-0.27241064291424005</v>
      </c>
      <c r="H12" s="15">
        <f t="shared" si="3"/>
        <v>-0.33147208121827415</v>
      </c>
      <c r="I12" s="15">
        <f t="shared" si="3"/>
        <v>-0.2524153183564195</v>
      </c>
      <c r="J12" s="15">
        <f t="shared" si="3"/>
        <v>-0.19668748015663035</v>
      </c>
      <c r="K12" s="15">
        <f t="shared" si="3"/>
        <v>-0.15148345378470901</v>
      </c>
      <c r="L12" s="15">
        <f t="shared" si="3"/>
        <v>-0.18399589638368813</v>
      </c>
      <c r="M12" s="15">
        <f t="shared" si="3"/>
        <v>-0.11666081460674156</v>
      </c>
      <c r="N12" s="15">
        <f t="shared" si="3"/>
        <v>-2.907193440178904E-2</v>
      </c>
      <c r="O12" s="15">
        <f t="shared" si="3"/>
        <v>3.3590745860743003E-2</v>
      </c>
      <c r="P12" s="15">
        <f t="shared" si="3"/>
        <v>-4.9012933968686181E-2</v>
      </c>
      <c r="Q12" s="15">
        <f t="shared" si="3"/>
        <v>-1.6567241602904941E-2</v>
      </c>
      <c r="R12" s="15">
        <f t="shared" si="3"/>
        <v>4.5170092238336741E-2</v>
      </c>
      <c r="S12" s="15">
        <f t="shared" si="3"/>
        <v>8.0174336103790794E-2</v>
      </c>
    </row>
    <row r="13" spans="2:19">
      <c r="B13" s="13" t="s">
        <v>588</v>
      </c>
      <c r="G13" s="15">
        <f t="shared" ref="G13:S13" si="4">IFERROR(G8/C8-1,"-")</f>
        <v>-0.21088322858087993</v>
      </c>
      <c r="H13" s="15">
        <f t="shared" si="4"/>
        <v>-0.22858830478440628</v>
      </c>
      <c r="I13" s="15">
        <f t="shared" si="4"/>
        <v>-0.43741081852380337</v>
      </c>
      <c r="J13" s="15">
        <f t="shared" si="4"/>
        <v>-0.43826507480731447</v>
      </c>
      <c r="K13" s="15">
        <f t="shared" si="4"/>
        <v>-0.33221546845525052</v>
      </c>
      <c r="L13" s="15">
        <f t="shared" si="4"/>
        <v>-0.31336140888208275</v>
      </c>
      <c r="M13" s="15">
        <f t="shared" si="4"/>
        <v>-0.38713396356928753</v>
      </c>
      <c r="N13" s="15">
        <f t="shared" si="4"/>
        <v>-0.7901533494753834</v>
      </c>
      <c r="O13" s="15">
        <f t="shared" si="4"/>
        <v>-1.3317639673571877</v>
      </c>
      <c r="P13" s="15">
        <f t="shared" si="4"/>
        <v>-0.63869528854195701</v>
      </c>
      <c r="Q13" s="15">
        <f t="shared" si="4"/>
        <v>-0.8077501881113619</v>
      </c>
      <c r="R13" s="15">
        <f t="shared" si="4"/>
        <v>-2.9525641025641027</v>
      </c>
      <c r="S13" s="15">
        <f t="shared" si="4"/>
        <v>1.9933774834437088</v>
      </c>
    </row>
    <row r="14" spans="2:19">
      <c r="B14" s="13" t="s">
        <v>589</v>
      </c>
      <c r="G14" s="15">
        <f t="shared" ref="G14:S14" si="5">IFERROR(G7/C7-1,"-")</f>
        <v>0.29877641824249168</v>
      </c>
      <c r="H14" s="15">
        <f t="shared" si="5"/>
        <v>0.248119109843985</v>
      </c>
      <c r="I14" s="15">
        <f t="shared" si="5"/>
        <v>0.25142024763292037</v>
      </c>
      <c r="J14" s="15">
        <f t="shared" si="5"/>
        <v>0.2412479474548439</v>
      </c>
      <c r="K14" s="15">
        <f t="shared" si="5"/>
        <v>0.20086787712686993</v>
      </c>
      <c r="L14" s="15">
        <f t="shared" si="5"/>
        <v>0.23699238578680193</v>
      </c>
      <c r="M14" s="15">
        <f t="shared" si="5"/>
        <v>0.32603887789547215</v>
      </c>
      <c r="N14" s="15">
        <f t="shared" si="5"/>
        <v>0.41972695523335823</v>
      </c>
      <c r="O14" s="15">
        <f t="shared" si="5"/>
        <v>0.49614872575123625</v>
      </c>
      <c r="P14" s="15">
        <f t="shared" si="5"/>
        <v>0.35634778148243162</v>
      </c>
      <c r="Q14" s="15">
        <f t="shared" si="5"/>
        <v>0.35375702247190999</v>
      </c>
      <c r="R14" s="15">
        <f t="shared" si="5"/>
        <v>0.25669027208348871</v>
      </c>
      <c r="S14" s="15">
        <f t="shared" si="5"/>
        <v>0.2541392569993961</v>
      </c>
    </row>
  </sheetData>
  <phoneticPr fontId="7" type="noConversion"/>
  <conditionalFormatting sqref="D11:S11">
    <cfRule type="cellIs" dxfId="0" priority="1" operator="greaterThanOrEqual">
      <formula>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2026-02-25T08:19:35Z</dcterms:created>
  <dcterms:modified xsi:type="dcterms:W3CDTF">2026-02-25T08:28:14Z</dcterms:modified>
</cp:coreProperties>
</file>