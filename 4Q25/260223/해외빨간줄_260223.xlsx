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63924cf84bb7f716/바탕 화면/툴 개발/finchat 키인/"/>
    </mc:Choice>
  </mc:AlternateContent>
  <xr:revisionPtr revIDLastSave="209" documentId="11_8E5976F446BD4995689C87211F1EDEC05F804F43" xr6:coauthVersionLast="47" xr6:coauthVersionMax="47" xr10:uidLastSave="{70CF2AD2-8A41-43DB-AB6D-5BA145495D34}"/>
  <bookViews>
    <workbookView xWindow="28680" yWindow="465" windowWidth="29040" windowHeight="15720" activeTab="2" xr2:uid="{00000000-000D-0000-FFFF-FFFF00000000}"/>
  </bookViews>
  <sheets>
    <sheet name="기업리스트" sheetId="1" r:id="rId1"/>
    <sheet name="Revenue" sheetId="2" r:id="rId2"/>
    <sheet name="Operating Income" sheetId="3" r:id="rId3"/>
    <sheet name="빨간줄" sheetId="4" r:id="rId4"/>
  </sheets>
  <definedNames>
    <definedName name="_xlnm._FilterDatabase" localSheetId="2" hidden="1">'Operating Income'!$B$2:$AA$86</definedName>
    <definedName name="_xlnm._FilterDatabase" localSheetId="1" hidden="1">Revenue!$B$2:$AA$85</definedName>
    <definedName name="_xlnm._FilterDatabase" localSheetId="0" hidden="1">기업리스트!$B$3:$G$204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8" i="4" l="1"/>
  <c r="E8" i="4"/>
  <c r="F8" i="4"/>
  <c r="G8" i="4"/>
  <c r="H8" i="4"/>
  <c r="I8" i="4"/>
  <c r="J8" i="4"/>
  <c r="K8" i="4"/>
  <c r="L8" i="4"/>
  <c r="M8" i="4"/>
  <c r="N8" i="4"/>
  <c r="O8" i="4"/>
  <c r="P8" i="4"/>
  <c r="Q8" i="4"/>
  <c r="R8" i="4"/>
  <c r="S8" i="4"/>
  <c r="C8" i="4"/>
  <c r="C9" i="4" s="1"/>
  <c r="D7" i="4"/>
  <c r="E7" i="4"/>
  <c r="F7" i="4"/>
  <c r="G7" i="4"/>
  <c r="H7" i="4"/>
  <c r="I7" i="4"/>
  <c r="J7" i="4"/>
  <c r="K7" i="4"/>
  <c r="L7" i="4"/>
  <c r="M7" i="4"/>
  <c r="N7" i="4"/>
  <c r="O7" i="4"/>
  <c r="P7" i="4"/>
  <c r="Q7" i="4"/>
  <c r="R7" i="4"/>
  <c r="S7" i="4"/>
  <c r="C7" i="4"/>
  <c r="R14" i="4" l="1"/>
  <c r="S10" i="4"/>
  <c r="Q10" i="4"/>
  <c r="M12" i="4"/>
  <c r="Q14" i="4"/>
  <c r="I10" i="4"/>
  <c r="O14" i="4"/>
  <c r="N14" i="4"/>
  <c r="N9" i="4"/>
  <c r="M9" i="4"/>
  <c r="M14" i="4"/>
  <c r="P14" i="4"/>
  <c r="R10" i="4"/>
  <c r="S13" i="4"/>
  <c r="R13" i="4"/>
  <c r="L14" i="4"/>
  <c r="O9" i="4"/>
  <c r="G14" i="4"/>
  <c r="S14" i="4"/>
  <c r="H14" i="4"/>
  <c r="I14" i="4"/>
  <c r="G10" i="4"/>
  <c r="J14" i="4"/>
  <c r="H10" i="4"/>
  <c r="Q13" i="4"/>
  <c r="K14" i="4"/>
  <c r="J10" i="4"/>
  <c r="H13" i="4"/>
  <c r="D9" i="4"/>
  <c r="D11" i="4" s="1"/>
  <c r="L9" i="4"/>
  <c r="P9" i="4"/>
  <c r="P11" i="4" s="1"/>
  <c r="K10" i="4"/>
  <c r="N12" i="4"/>
  <c r="I13" i="4"/>
  <c r="E9" i="4"/>
  <c r="Q9" i="4"/>
  <c r="L10" i="4"/>
  <c r="C12" i="4"/>
  <c r="O12" i="4"/>
  <c r="J13" i="4"/>
  <c r="F9" i="4"/>
  <c r="R9" i="4"/>
  <c r="M10" i="4"/>
  <c r="D12" i="4"/>
  <c r="P12" i="4"/>
  <c r="K13" i="4"/>
  <c r="G9" i="4"/>
  <c r="S9" i="4"/>
  <c r="N10" i="4"/>
  <c r="E12" i="4"/>
  <c r="Q12" i="4"/>
  <c r="L13" i="4"/>
  <c r="H9" i="4"/>
  <c r="C10" i="4"/>
  <c r="O10" i="4"/>
  <c r="F12" i="4"/>
  <c r="R12" i="4"/>
  <c r="M13" i="4"/>
  <c r="I9" i="4"/>
  <c r="D10" i="4"/>
  <c r="P10" i="4"/>
  <c r="G12" i="4"/>
  <c r="S12" i="4"/>
  <c r="N13" i="4"/>
  <c r="J9" i="4"/>
  <c r="E10" i="4"/>
  <c r="H12" i="4"/>
  <c r="C13" i="4"/>
  <c r="O13" i="4"/>
  <c r="K9" i="4"/>
  <c r="F10" i="4"/>
  <c r="I12" i="4"/>
  <c r="D13" i="4"/>
  <c r="P13" i="4"/>
  <c r="J12" i="4"/>
  <c r="E13" i="4"/>
  <c r="K12" i="4"/>
  <c r="F13" i="4"/>
  <c r="L12" i="4"/>
  <c r="G13" i="4"/>
  <c r="N11" i="4" l="1"/>
  <c r="O11" i="4"/>
  <c r="M11" i="4"/>
  <c r="Q11" i="4"/>
  <c r="S11" i="4"/>
  <c r="I11" i="4"/>
  <c r="K11" i="4"/>
  <c r="G11" i="4"/>
  <c r="E11" i="4"/>
  <c r="R11" i="4"/>
  <c r="L11" i="4"/>
  <c r="J11" i="4"/>
  <c r="H11" i="4"/>
  <c r="F11" i="4"/>
  <c r="D84" i="2" l="1"/>
  <c r="D81" i="2"/>
  <c r="D80" i="2"/>
  <c r="D78" i="2"/>
  <c r="D77" i="2"/>
  <c r="D76" i="2"/>
  <c r="D75" i="2"/>
  <c r="D74" i="2"/>
  <c r="D70" i="3"/>
  <c r="D69" i="3"/>
  <c r="D68" i="3"/>
  <c r="D67" i="3"/>
  <c r="D66" i="3"/>
  <c r="D65" i="3"/>
  <c r="D64" i="3"/>
  <c r="D63" i="3"/>
  <c r="F70" i="3"/>
  <c r="AA70" i="3"/>
</calcChain>
</file>

<file path=xl/sharedStrings.xml><?xml version="1.0" encoding="utf-8"?>
<sst xmlns="http://schemas.openxmlformats.org/spreadsheetml/2006/main" count="1537" uniqueCount="484">
  <si>
    <t>실적 기업 정보</t>
  </si>
  <si>
    <t>Ticker</t>
  </si>
  <si>
    <t>Company</t>
  </si>
  <si>
    <t>Date</t>
  </si>
  <si>
    <t>Time</t>
  </si>
  <si>
    <t>Quarter Ending</t>
  </si>
  <si>
    <t>Market Cap (mil$)</t>
  </si>
  <si>
    <t>1211</t>
  </si>
  <si>
    <t>Saudi Arabian Mining Company (Maaden)</t>
  </si>
  <si>
    <t>23-Feb-26</t>
  </si>
  <si>
    <t>Dec-25</t>
  </si>
  <si>
    <t>D</t>
  </si>
  <si>
    <t>Dominion Energy, Inc.</t>
  </si>
  <si>
    <t>Pre Market</t>
  </si>
  <si>
    <t>OKE</t>
  </si>
  <si>
    <t>ONEOK, Inc.</t>
  </si>
  <si>
    <t>After Hours</t>
  </si>
  <si>
    <t>FANG</t>
  </si>
  <si>
    <t>Diamondback Energy, Inc.</t>
  </si>
  <si>
    <t>Guotai Haitong Securities Co., Ltd.</t>
  </si>
  <si>
    <t>ROSN</t>
  </si>
  <si>
    <t>Public Joint Stock Company Rosneft Oil Company</t>
  </si>
  <si>
    <t>KEYS</t>
  </si>
  <si>
    <t>Keysight Technologies, Inc.</t>
  </si>
  <si>
    <t>Jan-26</t>
  </si>
  <si>
    <t>BBRI</t>
  </si>
  <si>
    <t>PT Bank Rakyat Indonesia (Persero) Tbk</t>
  </si>
  <si>
    <t>GMKN</t>
  </si>
  <si>
    <t>Public Joint Stock Company Mining and Metallurgical Company Norilsk Nickel</t>
  </si>
  <si>
    <t>WDS</t>
  </si>
  <si>
    <t>Woodside Energy Group Ltd</t>
  </si>
  <si>
    <t>SIBN</t>
  </si>
  <si>
    <t>Public Joint Stock Company Gazprom Neft</t>
  </si>
  <si>
    <t>VIVT3</t>
  </si>
  <si>
    <t>Telefônica Brasil S.A.</t>
  </si>
  <si>
    <t>2502</t>
  </si>
  <si>
    <t>Asahi Group Holdings, Ltd.</t>
  </si>
  <si>
    <t>BWXT</t>
  </si>
  <si>
    <t>BWX Technologies, Inc.</t>
  </si>
  <si>
    <t>KTOS</t>
  </si>
  <si>
    <t>Kratos Defense &amp; Security Solutions, Inc.</t>
  </si>
  <si>
    <t>SMMT</t>
  </si>
  <si>
    <t>Summit Therapeutics Inc.</t>
  </si>
  <si>
    <t>TS Financial Holding Co., Ltd.</t>
  </si>
  <si>
    <t>ERIE</t>
  </si>
  <si>
    <t>Erie Indemnity Company</t>
  </si>
  <si>
    <t>DPZ</t>
  </si>
  <si>
    <t>Domino's Pizza, Inc.</t>
  </si>
  <si>
    <t>EMA</t>
  </si>
  <si>
    <t>Emera Incorporated</t>
  </si>
  <si>
    <t>CIBEST</t>
  </si>
  <si>
    <t>Grupo Cibest S.A.</t>
  </si>
  <si>
    <t>1080</t>
  </si>
  <si>
    <t>Arab National Bank</t>
  </si>
  <si>
    <t>CPALL</t>
  </si>
  <si>
    <t>CP ALL Public Company Limited</t>
  </si>
  <si>
    <t>BDO</t>
  </si>
  <si>
    <t>BDO Unibank, Inc.</t>
  </si>
  <si>
    <t>BEAN</t>
  </si>
  <si>
    <t>BELIMO Holding AG</t>
  </si>
  <si>
    <t>PMETAL</t>
  </si>
  <si>
    <t>Press Metal Aluminium Holdings Berhad</t>
  </si>
  <si>
    <t>THAI</t>
  </si>
  <si>
    <t>Thai Airways International Public Company Limited</t>
  </si>
  <si>
    <t>GAP B</t>
  </si>
  <si>
    <t>Grupo Aeroportuario del Pacífico, S.A.B. de C.V.</t>
  </si>
  <si>
    <t>BMRN</t>
  </si>
  <si>
    <t>BioMarin Pharmaceutical Inc.</t>
  </si>
  <si>
    <t>MER</t>
  </si>
  <si>
    <t>Manila Electric Company</t>
  </si>
  <si>
    <t>OVV</t>
  </si>
  <si>
    <t>Ovintiv Inc.</t>
  </si>
  <si>
    <t>WCP</t>
  </si>
  <si>
    <t>Whitecap Resources Inc.</t>
  </si>
  <si>
    <t>HIMS</t>
  </si>
  <si>
    <t>Hims &amp; Hers Health, Inc.</t>
  </si>
  <si>
    <t>YTLPOWR</t>
  </si>
  <si>
    <t>YTL Power International Berhad</t>
  </si>
  <si>
    <t>AXSM</t>
  </si>
  <si>
    <t>Axsome Therapeutics, Inc.</t>
  </si>
  <si>
    <t>SUNWAY</t>
  </si>
  <si>
    <t>Sunway Berhad</t>
  </si>
  <si>
    <t>Formosa Plastics Corporation</t>
  </si>
  <si>
    <t>CHMF</t>
  </si>
  <si>
    <t>Public Joint Stock Company Severstal</t>
  </si>
  <si>
    <t>PCHEM</t>
  </si>
  <si>
    <t>PETRONAS Chemicals Group Berhad</t>
  </si>
  <si>
    <t>VFS</t>
  </si>
  <si>
    <t>VinFast Auto Ltd.</t>
  </si>
  <si>
    <t>JBTM</t>
  </si>
  <si>
    <t>JBT Marel Corporation</t>
  </si>
  <si>
    <t>CPN</t>
  </si>
  <si>
    <t>Central Pattana Public Company Limited</t>
  </si>
  <si>
    <t>GGBR4</t>
  </si>
  <si>
    <t>Gerdau S.A.</t>
  </si>
  <si>
    <t>YTL</t>
  </si>
  <si>
    <t>YTL Corporation Berhad</t>
  </si>
  <si>
    <t>PRIM</t>
  </si>
  <si>
    <t>Primoris Services Corporation</t>
  </si>
  <si>
    <t>FIBRAPL 14</t>
  </si>
  <si>
    <t>FIBRA Prologis</t>
  </si>
  <si>
    <t>IOICORP</t>
  </si>
  <si>
    <t>IOI Corporation Berhad</t>
  </si>
  <si>
    <t>VNOM</t>
  </si>
  <si>
    <t>Viper Energy, Inc.</t>
  </si>
  <si>
    <t>PINFRA *</t>
  </si>
  <si>
    <t>Promotora y Operadora de Infraestructura, S. A. B. de C. V.</t>
  </si>
  <si>
    <t>G07</t>
  </si>
  <si>
    <t>Great Eastern Holdings Limited</t>
  </si>
  <si>
    <t>SGHC</t>
  </si>
  <si>
    <t>Super Group (SGHC) Limited</t>
  </si>
  <si>
    <t>RHP</t>
  </si>
  <si>
    <t>Ryman Hospitality Properties, Inc.</t>
  </si>
  <si>
    <t>Chailease Holding Company Limited</t>
  </si>
  <si>
    <t>UFPI</t>
  </si>
  <si>
    <t>UFP Industries, Inc.</t>
  </si>
  <si>
    <t>WT Microelectronics Co., Ltd.</t>
  </si>
  <si>
    <t>OMA B</t>
  </si>
  <si>
    <t>Grupo Aeroportuario del Centro Norte, S.A.B. de C.V.</t>
  </si>
  <si>
    <t>DJT</t>
  </si>
  <si>
    <t>Trump Media &amp; Technology Group Corp.</t>
  </si>
  <si>
    <t>MTELEKOM</t>
  </si>
  <si>
    <t>Magyar Telekom Távközlési Nyilvánosan Müködö Részvénytársaság</t>
  </si>
  <si>
    <t>TKWY</t>
  </si>
  <si>
    <t>Just Eat Takeaway.com N.V.</t>
  </si>
  <si>
    <t>WGS</t>
  </si>
  <si>
    <t>GeneDx Holdings Corp.</t>
  </si>
  <si>
    <t>PAY</t>
  </si>
  <si>
    <t>Paymentus Holdings, Inc.</t>
  </si>
  <si>
    <t>UTDPLT</t>
  </si>
  <si>
    <t>United Plantations Berhad</t>
  </si>
  <si>
    <t>Macronix International Co., Ltd.</t>
  </si>
  <si>
    <t>ALLN</t>
  </si>
  <si>
    <t>Allreal Holding AG</t>
  </si>
  <si>
    <t>SOL</t>
  </si>
  <si>
    <t>Sasol Limited</t>
  </si>
  <si>
    <t>CWEN.A</t>
  </si>
  <si>
    <t>Clearway Energy, Inc.</t>
  </si>
  <si>
    <t>WGX</t>
  </si>
  <si>
    <t>Westgold Resources Limited</t>
  </si>
  <si>
    <t>BHW</t>
  </si>
  <si>
    <t>Bank Handlowy w Warszawie S.A.</t>
  </si>
  <si>
    <t>GNW</t>
  </si>
  <si>
    <t>Genworth Financial, Inc.</t>
  </si>
  <si>
    <t>MRDIY</t>
  </si>
  <si>
    <t>Mr D.I.Y. Group (M) Berhad</t>
  </si>
  <si>
    <t>COFB</t>
  </si>
  <si>
    <t>Cofinimmo SA</t>
  </si>
  <si>
    <t>PHP</t>
  </si>
  <si>
    <t>Primary Health Properties Plc</t>
  </si>
  <si>
    <t>FR</t>
  </si>
  <si>
    <t>Valeo SE</t>
  </si>
  <si>
    <t>8963</t>
  </si>
  <si>
    <t>Invincible Investment Corporation</t>
  </si>
  <si>
    <t>TARS</t>
  </si>
  <si>
    <t>Tarsus Pharmaceuticals, Inc.</t>
  </si>
  <si>
    <t>Acter Group Corporation Limited</t>
  </si>
  <si>
    <t>FRPT</t>
  </si>
  <si>
    <t>Freshpet, Inc.</t>
  </si>
  <si>
    <t>BSM</t>
  </si>
  <si>
    <t>Black Stone Minerals, L.P.</t>
  </si>
  <si>
    <t>ALM</t>
  </si>
  <si>
    <t>Almirall, S.A.</t>
  </si>
  <si>
    <t>CGAS5</t>
  </si>
  <si>
    <t>Companhia de Gás de São Paulo - COMGÁS</t>
  </si>
  <si>
    <t>KPJ</t>
  </si>
  <si>
    <t>KPJ Healthcare Berhad</t>
  </si>
  <si>
    <t>APLE</t>
  </si>
  <si>
    <t>Apple Hospitality REIT, Inc.</t>
  </si>
  <si>
    <t>BCC</t>
  </si>
  <si>
    <t>Boise Cascade Company</t>
  </si>
  <si>
    <t>INCO</t>
  </si>
  <si>
    <t>PT Vale Indonesia Tbk</t>
  </si>
  <si>
    <t>EXENS</t>
  </si>
  <si>
    <t>Exosens</t>
  </si>
  <si>
    <t>DANHOS 13</t>
  </si>
  <si>
    <t>Fibra Danhos</t>
  </si>
  <si>
    <t>WIN Semiconductors Corp.</t>
  </si>
  <si>
    <t>KWR</t>
  </si>
  <si>
    <t>Quaker Chemical Corporation</t>
  </si>
  <si>
    <t>INARI</t>
  </si>
  <si>
    <t>Inari Amertron Berhad</t>
  </si>
  <si>
    <t>Co-Tech Development Corporation</t>
  </si>
  <si>
    <t>MCEMENT</t>
  </si>
  <si>
    <t>Malayan Cement Berhad</t>
  </si>
  <si>
    <t>ADUS</t>
  </si>
  <si>
    <t>Addus HomeCare Corporation</t>
  </si>
  <si>
    <t>King's Town Bank Co., Ltd.</t>
  </si>
  <si>
    <t>GOAU4</t>
  </si>
  <si>
    <t>Metalurgica Gerdau S.A.</t>
  </si>
  <si>
    <t>RSG</t>
  </si>
  <si>
    <t>Resolute Mining Limited</t>
  </si>
  <si>
    <t>SKWD</t>
  </si>
  <si>
    <t>Skyward Specialty Insurance Group, Inc.</t>
  </si>
  <si>
    <t>NIC</t>
  </si>
  <si>
    <t>Nickel Industries Limited</t>
  </si>
  <si>
    <t>Saudi Kayan Petrochemical Company</t>
  </si>
  <si>
    <t>Arriyadh Development Co.</t>
  </si>
  <si>
    <t>WPK</t>
  </si>
  <si>
    <t>Winpak Ltd.</t>
  </si>
  <si>
    <t>VVX</t>
  </si>
  <si>
    <t>V2X, Inc.</t>
  </si>
  <si>
    <t>Abdullah Al-Othaim Markets Company</t>
  </si>
  <si>
    <t>RLIA</t>
  </si>
  <si>
    <t>Realia Business, S.A.</t>
  </si>
  <si>
    <t>MWC</t>
  </si>
  <si>
    <t>Manila Water Company, Inc.</t>
  </si>
  <si>
    <t>ACVA</t>
  </si>
  <si>
    <t>ACV Auctions Inc.</t>
  </si>
  <si>
    <t>OLO</t>
  </si>
  <si>
    <t>Olo Inc.</t>
  </si>
  <si>
    <t>INVX</t>
  </si>
  <si>
    <t>Innovex International, Inc.</t>
  </si>
  <si>
    <t>Kinik Company</t>
  </si>
  <si>
    <t>PLYA</t>
  </si>
  <si>
    <t>Playa Hotels &amp; Resorts N.V.</t>
  </si>
  <si>
    <t>Wisdom Marine Lines Co., Limited (Cayman)</t>
  </si>
  <si>
    <t>WHA</t>
  </si>
  <si>
    <t>WHA Corporation Public Company Limited</t>
  </si>
  <si>
    <t>GNP *</t>
  </si>
  <si>
    <t>Grupo Nacional Provincial, S.A.B.</t>
  </si>
  <si>
    <t>The National Agricultural Development Company</t>
  </si>
  <si>
    <t>AAV</t>
  </si>
  <si>
    <t>Advantage Energy Ltd.</t>
  </si>
  <si>
    <t>SMR</t>
  </si>
  <si>
    <t>Stanmore Resources Limited</t>
  </si>
  <si>
    <t>AHCS</t>
  </si>
  <si>
    <t>Aamal Company Q.P.S.C.</t>
  </si>
  <si>
    <t>ADEA</t>
  </si>
  <si>
    <t>Adeia Inc.</t>
  </si>
  <si>
    <t>TNC</t>
  </si>
  <si>
    <t>Tennant Company</t>
  </si>
  <si>
    <t>LDA</t>
  </si>
  <si>
    <t>Línea Directa Aseguradora, S.A., Compañía de Seguros y Reaseguros</t>
  </si>
  <si>
    <t>IIPR</t>
  </si>
  <si>
    <t>Innovative Industrial Properties, Inc.</t>
  </si>
  <si>
    <t>POYA International Co., Ltd.</t>
  </si>
  <si>
    <t>ZD</t>
  </si>
  <si>
    <t>Ziff Davis, Inc.</t>
  </si>
  <si>
    <t>GASMSIA</t>
  </si>
  <si>
    <t>Gas Malaysia Berhad</t>
  </si>
  <si>
    <t>MONY</t>
  </si>
  <si>
    <t>MONY Group plc</t>
  </si>
  <si>
    <t>CPNREIT</t>
  </si>
  <si>
    <t>CPN Retail Growth Leasehold REIT</t>
  </si>
  <si>
    <t>AESI</t>
  </si>
  <si>
    <t>Atlas Energy Solutions Inc.</t>
  </si>
  <si>
    <t>PRA</t>
  </si>
  <si>
    <t>ProAssurance Corporation</t>
  </si>
  <si>
    <t>EOS</t>
  </si>
  <si>
    <t>Electro Optic Systems Holdings Limited</t>
  </si>
  <si>
    <t>Daou Technology Inc.</t>
  </si>
  <si>
    <t>UCTT</t>
  </si>
  <si>
    <t>Ultra Clean Holdings, Inc.</t>
  </si>
  <si>
    <t>SLYG</t>
  </si>
  <si>
    <t>Shelly Group SE</t>
  </si>
  <si>
    <t>GEMI</t>
  </si>
  <si>
    <t>Gemini Space Station, Inc.</t>
  </si>
  <si>
    <t>DHC</t>
  </si>
  <si>
    <t>Diversified Healthcare Trust</t>
  </si>
  <si>
    <t>GREATEC</t>
  </si>
  <si>
    <t>Greatech Technology Berhad</t>
  </si>
  <si>
    <t>SOLG</t>
  </si>
  <si>
    <t>SolGold Plc</t>
  </si>
  <si>
    <t>IMD</t>
  </si>
  <si>
    <t>Imdex Limited</t>
  </si>
  <si>
    <t>ATX</t>
  </si>
  <si>
    <t>ATEX Resources Inc.</t>
  </si>
  <si>
    <t>NGI</t>
  </si>
  <si>
    <t>Navigator Global Investments Limited</t>
  </si>
  <si>
    <t>SCL</t>
  </si>
  <si>
    <t>Stepan Company</t>
  </si>
  <si>
    <t>WHART</t>
  </si>
  <si>
    <t>WHA Premium Growth Freehold And Leasehold Real Estate Investment Trust</t>
  </si>
  <si>
    <t>AP4</t>
  </si>
  <si>
    <t>Riverstone Holdings Limited</t>
  </si>
  <si>
    <t>Oneness Biotech Co., Ltd.</t>
  </si>
  <si>
    <t>SNL</t>
  </si>
  <si>
    <t>Supply Network Limited</t>
  </si>
  <si>
    <t>VIR</t>
  </si>
  <si>
    <t>Vir Biotechnology, Inc.</t>
  </si>
  <si>
    <t>HLX</t>
  </si>
  <si>
    <t>Helix Energy Solutions Group, Inc.</t>
  </si>
  <si>
    <t>COR</t>
  </si>
  <si>
    <t>Corticeira Amorim, S.G.P.S., S.A.</t>
  </si>
  <si>
    <t>MEGA</t>
  </si>
  <si>
    <t>Mega Lifesciences Public Company Limited</t>
  </si>
  <si>
    <t>MALAKOF</t>
  </si>
  <si>
    <t>Malakoff Corporation Berhad</t>
  </si>
  <si>
    <t>DEA</t>
  </si>
  <si>
    <t>Easterly Government Properties, Inc.</t>
  </si>
  <si>
    <t>EVER</t>
  </si>
  <si>
    <t>EverQuote, Inc.</t>
  </si>
  <si>
    <t>GNP</t>
  </si>
  <si>
    <t>GenusPlus Group Ltd</t>
  </si>
  <si>
    <t>SIDO</t>
  </si>
  <si>
    <t>PT Industri Jamu dan Farmasi Sido Muncul Tbk</t>
  </si>
  <si>
    <t>ADN</t>
  </si>
  <si>
    <t>First Sponsor Group Limited</t>
  </si>
  <si>
    <t>SOKM</t>
  </si>
  <si>
    <t>Sok Marketler Ticaret A.S.</t>
  </si>
  <si>
    <t>LINC</t>
  </si>
  <si>
    <t>Lincoln Educational Services Corporation</t>
  </si>
  <si>
    <t>PLOW</t>
  </si>
  <si>
    <t>Douglas Dynamics, Inc.</t>
  </si>
  <si>
    <t>Chief Telecom Inc.</t>
  </si>
  <si>
    <t>ENNOSTAR Inc.</t>
  </si>
  <si>
    <t>HannStar Display Corporation</t>
  </si>
  <si>
    <t>LFG</t>
  </si>
  <si>
    <t>Liberty Financial Group Limited</t>
  </si>
  <si>
    <t>AUTO</t>
  </si>
  <si>
    <t>PT Astra Otoparts Tbk</t>
  </si>
  <si>
    <t>FWRD</t>
  </si>
  <si>
    <t>Forward Air Corporation</t>
  </si>
  <si>
    <t>VAMO3</t>
  </si>
  <si>
    <t>Vamos Locação de Caminhões, Máquinas e Equipamentos S.A.</t>
  </si>
  <si>
    <t>CNNE</t>
  </si>
  <si>
    <t>Cannae Holdings, Inc.</t>
  </si>
  <si>
    <t>Saudi Ceramic Company</t>
  </si>
  <si>
    <t>Chung Hung Steel Corporation</t>
  </si>
  <si>
    <t>MAX</t>
  </si>
  <si>
    <t>MediaAlpha, Inc.</t>
  </si>
  <si>
    <t>TAKAFUL</t>
  </si>
  <si>
    <t>Syarikat Takaful Malaysia Keluarga Berhad</t>
  </si>
  <si>
    <t>SI-BONE, Inc.</t>
  </si>
  <si>
    <t>China Bills Finance Corporation</t>
  </si>
  <si>
    <t>RPGH.F</t>
  </si>
  <si>
    <t>RPMGlobal Holdings Limited</t>
  </si>
  <si>
    <t>OCI</t>
  </si>
  <si>
    <t>OCI N.V.</t>
  </si>
  <si>
    <t>KOSSAN</t>
  </si>
  <si>
    <t>Kossan Rubber Industries Bhd</t>
  </si>
  <si>
    <t>HOV</t>
  </si>
  <si>
    <t>Hovnanian Enterprises, Inc.</t>
  </si>
  <si>
    <t>PENTA</t>
  </si>
  <si>
    <t>Pentamaster Corporation Berhad</t>
  </si>
  <si>
    <t>Lungyen Life Service Corporation</t>
  </si>
  <si>
    <t>ITE Tech. Inc</t>
  </si>
  <si>
    <t>BFIN</t>
  </si>
  <si>
    <t>PT BFI Finance Indonesia Tbk</t>
  </si>
  <si>
    <t>Fulgent Sun International (Holding) Co., Ltd.</t>
  </si>
  <si>
    <t>EA</t>
  </si>
  <si>
    <t>Energy Absolute Public Company Limited</t>
  </si>
  <si>
    <t>HSTM</t>
  </si>
  <si>
    <t>HealthStream, Inc.</t>
  </si>
  <si>
    <t>2402</t>
  </si>
  <si>
    <t>Ichia Technologies, Inc.</t>
  </si>
  <si>
    <t>MI</t>
  </si>
  <si>
    <t>Mi Technovation Berhad</t>
  </si>
  <si>
    <t>P52</t>
  </si>
  <si>
    <t>Pan-United Corporation Ltd</t>
  </si>
  <si>
    <t>CKP</t>
  </si>
  <si>
    <t>CK Power Public Company Limited</t>
  </si>
  <si>
    <t>CIN</t>
  </si>
  <si>
    <t>Carlton Investments Ltd.</t>
  </si>
  <si>
    <t>HSTR</t>
  </si>
  <si>
    <t>Heliostar Metals Ltd.</t>
  </si>
  <si>
    <t>VASTB</t>
  </si>
  <si>
    <t>Vastned</t>
  </si>
  <si>
    <t>Fitipower Integrated Technology Inc.</t>
  </si>
  <si>
    <t>SOAG</t>
  </si>
  <si>
    <t>SpareBank 1 Østfold Akershus</t>
  </si>
  <si>
    <t>MYGN</t>
  </si>
  <si>
    <t>Myriad Genetics, Inc.</t>
  </si>
  <si>
    <t>CHG</t>
  </si>
  <si>
    <t>Chularat Hospital Public Company Limited</t>
  </si>
  <si>
    <t>M</t>
  </si>
  <si>
    <t>MK Restaurant Group Public Company Limited</t>
  </si>
  <si>
    <t>CCL</t>
  </si>
  <si>
    <t>Cuscal Limited</t>
  </si>
  <si>
    <t>29Metals Limited</t>
  </si>
  <si>
    <t>CPHN</t>
  </si>
  <si>
    <t>CPH Group AG</t>
  </si>
  <si>
    <t>DLADY</t>
  </si>
  <si>
    <t>Dutch Lady Milk Industries Berhad</t>
  </si>
  <si>
    <t>TPK Holding Co., Ltd.</t>
  </si>
  <si>
    <t>THG</t>
  </si>
  <si>
    <t>Thonburi Healthcare Group Public Company Limited</t>
  </si>
  <si>
    <t>KONYA</t>
  </si>
  <si>
    <t>Konya Çimento Sanayii Anonim Sirketi</t>
  </si>
  <si>
    <t>WHAUP</t>
  </si>
  <si>
    <t>WHA Utilities and Power Public Company Limited</t>
  </si>
  <si>
    <t>Country</t>
  </si>
  <si>
    <t>Industry</t>
  </si>
  <si>
    <t>Latest_Date</t>
  </si>
  <si>
    <t>Growth_Rate</t>
  </si>
  <si>
    <t>4Q21</t>
  </si>
  <si>
    <t>1Q22</t>
  </si>
  <si>
    <t>2Q22</t>
  </si>
  <si>
    <t>3Q22</t>
  </si>
  <si>
    <t>4Q22</t>
  </si>
  <si>
    <t>1Q23</t>
  </si>
  <si>
    <t>2Q23</t>
  </si>
  <si>
    <t>3Q23</t>
  </si>
  <si>
    <t>4Q23</t>
  </si>
  <si>
    <t>1Q24</t>
  </si>
  <si>
    <t>2Q24</t>
  </si>
  <si>
    <t>3Q24</t>
  </si>
  <si>
    <t>4Q24</t>
  </si>
  <si>
    <t>1Q25</t>
  </si>
  <si>
    <t>2Q25</t>
  </si>
  <si>
    <t>3Q25</t>
  </si>
  <si>
    <t>4Q25</t>
  </si>
  <si>
    <t>United States</t>
  </si>
  <si>
    <t>Biotechnology</t>
  </si>
  <si>
    <t>Dec'25</t>
  </si>
  <si>
    <t>Oil &amp; Gas Midstream</t>
  </si>
  <si>
    <t>Software - Application</t>
  </si>
  <si>
    <t>Specialty Industrial Machinery</t>
  </si>
  <si>
    <t>Internet Content &amp; Information</t>
  </si>
  <si>
    <t>Auto Parts</t>
  </si>
  <si>
    <t>Software - Infrastructure</t>
  </si>
  <si>
    <t>Diagnostics &amp; Research</t>
  </si>
  <si>
    <t>Drug Manufacturers - Specialty &amp; Generic</t>
  </si>
  <si>
    <t>Insurance - Property &amp; Casualty</t>
  </si>
  <si>
    <t>Medical Care Facilities</t>
  </si>
  <si>
    <t>Scientific &amp; Technical Instruments</t>
  </si>
  <si>
    <t>Mar'26</t>
  </si>
  <si>
    <t>Aerospace &amp; Defense</t>
  </si>
  <si>
    <t>Education &amp; Training Services</t>
  </si>
  <si>
    <t>Utilities - Regulated Electric</t>
  </si>
  <si>
    <t>Oil &amp; Gas E&amp;P</t>
  </si>
  <si>
    <t>Medical Devices</t>
  </si>
  <si>
    <t>REIT - Hotel &amp; Motel</t>
  </si>
  <si>
    <t>Auto &amp; Truck Dealerships</t>
  </si>
  <si>
    <t>Banks - Regional</t>
  </si>
  <si>
    <t>Oil &amp; Gas Equipment &amp; Services</t>
  </si>
  <si>
    <t>REIT - Office</t>
  </si>
  <si>
    <t>Packaged Foods</t>
  </si>
  <si>
    <t>Restaurants</t>
  </si>
  <si>
    <t>REIT - Industrial</t>
  </si>
  <si>
    <t>Health Information Services</t>
  </si>
  <si>
    <t>Engineering &amp; Construction</t>
  </si>
  <si>
    <t>Medical Distribution</t>
  </si>
  <si>
    <t>Specialty Chemicals</t>
  </si>
  <si>
    <t>Insurance Brokers</t>
  </si>
  <si>
    <t>Waste Management</t>
  </si>
  <si>
    <t>Electronic Gaming &amp; Multimedia</t>
  </si>
  <si>
    <t>Sep'26</t>
  </si>
  <si>
    <t>Insurance - Life</t>
  </si>
  <si>
    <t>Advertising Agencies</t>
  </si>
  <si>
    <t>Lumber &amp; Wood Production</t>
  </si>
  <si>
    <t>Semiconductor Equipment &amp; Materials</t>
  </si>
  <si>
    <t>Japan</t>
  </si>
  <si>
    <t>N/A</t>
  </si>
  <si>
    <t>Sep'25</t>
  </si>
  <si>
    <t>Capital Markets</t>
  </si>
  <si>
    <t>Auto Manufacturers</t>
  </si>
  <si>
    <t>Gambling</t>
  </si>
  <si>
    <t>Jun'25</t>
  </si>
  <si>
    <t>REIT - Healthcare Facilities</t>
  </si>
  <si>
    <t>H1 2025</t>
  </si>
  <si>
    <t>Mar'25</t>
  </si>
  <si>
    <t>Asset Management</t>
  </si>
  <si>
    <t>Internet Retail</t>
  </si>
  <si>
    <t>Unknown</t>
  </si>
  <si>
    <t>Other Industrial Metals &amp; Mining</t>
  </si>
  <si>
    <t>Hong Kong</t>
  </si>
  <si>
    <t>H1 2026</t>
  </si>
  <si>
    <t>TTM</t>
  </si>
  <si>
    <t>opm</t>
  </si>
  <si>
    <t>29M</t>
    <phoneticPr fontId="6" type="noConversion"/>
  </si>
  <si>
    <t>A023590</t>
    <phoneticPr fontId="6" type="noConversion"/>
  </si>
  <si>
    <t>ADEA</t>
    <phoneticPr fontId="6" type="noConversion"/>
  </si>
  <si>
    <t>(단위: mil $)</t>
    <phoneticPr fontId="6" type="noConversion"/>
  </si>
  <si>
    <t>4Q21</t>
    <phoneticPr fontId="12" type="noConversion"/>
  </si>
  <si>
    <t>1Q22</t>
    <phoneticPr fontId="12" type="noConversion"/>
  </si>
  <si>
    <t>2Q22</t>
    <phoneticPr fontId="12" type="noConversion"/>
  </si>
  <si>
    <t>3Q22</t>
    <phoneticPr fontId="12" type="noConversion"/>
  </si>
  <si>
    <t>4Q22</t>
    <phoneticPr fontId="12" type="noConversion"/>
  </si>
  <si>
    <t>2Q23</t>
    <phoneticPr fontId="12" type="noConversion"/>
  </si>
  <si>
    <t>3Q23</t>
    <phoneticPr fontId="12" type="noConversion"/>
  </si>
  <si>
    <t>4Q23</t>
    <phoneticPr fontId="12" type="noConversion"/>
  </si>
  <si>
    <t>1Q26</t>
    <phoneticPr fontId="12" type="noConversion"/>
  </si>
  <si>
    <t>2Q26</t>
    <phoneticPr fontId="12" type="noConversion"/>
  </si>
  <si>
    <t>3Q26</t>
    <phoneticPr fontId="12" type="noConversion"/>
  </si>
  <si>
    <t>4Q26</t>
    <phoneticPr fontId="12" type="noConversion"/>
  </si>
  <si>
    <t>Revenue</t>
    <phoneticPr fontId="12" type="noConversion"/>
  </si>
  <si>
    <t>OP</t>
    <phoneticPr fontId="12" type="noConversion"/>
  </si>
  <si>
    <t>Trailing 4Q OP avg.</t>
    <phoneticPr fontId="12" type="noConversion"/>
  </si>
  <si>
    <t>Trailing 4Q OP sum.</t>
    <phoneticPr fontId="12" type="noConversion"/>
  </si>
  <si>
    <t>Trailing OP Delta</t>
    <phoneticPr fontId="12" type="noConversion"/>
  </si>
  <si>
    <t>op yoy</t>
    <phoneticPr fontId="12" type="noConversion"/>
  </si>
  <si>
    <t>rv yoy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</si>
</sst>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&quot;%&quot;"/>
    <numFmt numFmtId="177" formatCode="0.0%"/>
    <numFmt numFmtId="178" formatCode="#,##0_);[Red]\(#,##0\)"/>
  </numFmts>
  <fonts count="13" x14ac:knownFonts="1">
    <font>
      <sz val="11"/>
      <color theme="1"/>
      <name val="맑은 고딕"/>
      <family val="2"/>
      <scheme val="minor"/>
    </font>
    <font>
      <b/>
      <sz val="14"/>
      <name val="Pretendard"/>
      <family val="3"/>
      <charset val="129"/>
    </font>
    <font>
      <b/>
      <sz val="10"/>
      <name val="Pretendard"/>
      <family val="3"/>
      <charset val="129"/>
    </font>
    <font>
      <sz val="10"/>
      <name val="Pretendard"/>
      <family val="3"/>
      <charset val="129"/>
    </font>
    <font>
      <sz val="11"/>
      <color theme="1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b/>
      <sz val="11"/>
      <color theme="1"/>
      <name val="Pretendard"/>
      <family val="3"/>
      <charset val="129"/>
    </font>
    <font>
      <sz val="11"/>
      <color theme="1"/>
      <name val="Pretendard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color theme="0"/>
      <name val="Pretendard"/>
      <family val="3"/>
      <charset val="129"/>
    </font>
    <font>
      <b/>
      <sz val="11"/>
      <color theme="0"/>
      <name val="Pretendard"/>
      <family val="3"/>
      <charset val="129"/>
    </font>
    <font>
      <sz val="8"/>
      <name val="맑은 고딕"/>
      <family val="2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DDDDDD"/>
        <bgColor rgb="FFDDDDDD"/>
      </patternFill>
    </fill>
    <fill>
      <patternFill patternType="solid">
        <fgColor rgb="FFFFCCCC"/>
        <bgColor rgb="FFFFCCCC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-0.499984740745262"/>
        <bgColor indexed="64"/>
      </patternFill>
    </fill>
  </fills>
  <borders count="7">
    <border>
      <left/>
      <right/>
      <top/>
      <bottom/>
      <diagonal/>
    </border>
    <border>
      <left style="dotted">
        <color rgb="FF000000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dotted">
        <color rgb="FF000000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9" fontId="4" fillId="0" borderId="0" applyFont="0" applyFill="0" applyBorder="0" applyAlignment="0" applyProtection="0">
      <alignment vertical="center"/>
    </xf>
  </cellStyleXfs>
  <cellXfs count="59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/>
    </xf>
    <xf numFmtId="0" fontId="3" fillId="0" borderId="0" xfId="0" applyFont="1"/>
    <xf numFmtId="3" fontId="3" fillId="0" borderId="0" xfId="0" applyNumberFormat="1" applyFont="1"/>
    <xf numFmtId="176" fontId="3" fillId="0" borderId="0" xfId="0" applyNumberFormat="1" applyFont="1"/>
    <xf numFmtId="3" fontId="3" fillId="3" borderId="0" xfId="0" applyNumberFormat="1" applyFont="1" applyFill="1"/>
    <xf numFmtId="177" fontId="3" fillId="0" borderId="1" xfId="0" applyNumberFormat="1" applyFont="1" applyBorder="1"/>
    <xf numFmtId="177" fontId="3" fillId="0" borderId="0" xfId="0" applyNumberFormat="1" applyFont="1"/>
    <xf numFmtId="177" fontId="3" fillId="3" borderId="0" xfId="0" applyNumberFormat="1" applyFont="1" applyFill="1"/>
    <xf numFmtId="177" fontId="3" fillId="3" borderId="1" xfId="0" applyNumberFormat="1" applyFont="1" applyFill="1" applyBorder="1"/>
    <xf numFmtId="0" fontId="3" fillId="0" borderId="1" xfId="0" applyFont="1" applyBorder="1"/>
    <xf numFmtId="0" fontId="2" fillId="0" borderId="0" xfId="0" applyFont="1"/>
    <xf numFmtId="0" fontId="5" fillId="0" borderId="0" xfId="0" applyFont="1"/>
    <xf numFmtId="176" fontId="2" fillId="4" borderId="0" xfId="0" applyNumberFormat="1" applyFont="1" applyFill="1"/>
    <xf numFmtId="0" fontId="2" fillId="2" borderId="2" xfId="0" applyFont="1" applyFill="1" applyBorder="1" applyAlignment="1">
      <alignment horizontal="center"/>
    </xf>
    <xf numFmtId="178" fontId="3" fillId="0" borderId="0" xfId="0" applyNumberFormat="1" applyFont="1"/>
    <xf numFmtId="178" fontId="3" fillId="3" borderId="0" xfId="0" applyNumberFormat="1" applyFont="1" applyFill="1"/>
    <xf numFmtId="178" fontId="0" fillId="0" borderId="0" xfId="0" applyNumberFormat="1"/>
    <xf numFmtId="0" fontId="3" fillId="0" borderId="3" xfId="0" applyFont="1" applyBorder="1"/>
    <xf numFmtId="176" fontId="3" fillId="0" borderId="3" xfId="0" applyNumberFormat="1" applyFont="1" applyBorder="1"/>
    <xf numFmtId="177" fontId="3" fillId="0" borderId="4" xfId="0" applyNumberFormat="1" applyFont="1" applyBorder="1"/>
    <xf numFmtId="177" fontId="3" fillId="0" borderId="3" xfId="0" applyNumberFormat="1" applyFont="1" applyBorder="1"/>
    <xf numFmtId="177" fontId="3" fillId="3" borderId="3" xfId="0" applyNumberFormat="1" applyFont="1" applyFill="1" applyBorder="1"/>
    <xf numFmtId="0" fontId="3" fillId="0" borderId="0" xfId="0" applyFont="1" applyBorder="1"/>
    <xf numFmtId="176" fontId="3" fillId="0" borderId="0" xfId="0" applyNumberFormat="1" applyFont="1" applyBorder="1"/>
    <xf numFmtId="177" fontId="3" fillId="0" borderId="0" xfId="0" applyNumberFormat="1" applyFont="1" applyBorder="1"/>
    <xf numFmtId="177" fontId="3" fillId="3" borderId="0" xfId="0" applyNumberFormat="1" applyFont="1" applyFill="1" applyBorder="1"/>
    <xf numFmtId="178" fontId="3" fillId="0" borderId="3" xfId="0" applyNumberFormat="1" applyFont="1" applyBorder="1"/>
    <xf numFmtId="178" fontId="3" fillId="3" borderId="3" xfId="0" applyNumberFormat="1" applyFont="1" applyFill="1" applyBorder="1"/>
    <xf numFmtId="178" fontId="3" fillId="0" borderId="0" xfId="0" applyNumberFormat="1" applyFont="1" applyBorder="1"/>
    <xf numFmtId="178" fontId="3" fillId="3" borderId="0" xfId="0" applyNumberFormat="1" applyFont="1" applyFill="1" applyBorder="1"/>
    <xf numFmtId="178" fontId="3" fillId="0" borderId="0" xfId="0" applyNumberFormat="1" applyFont="1" applyFill="1"/>
    <xf numFmtId="178" fontId="0" fillId="0" borderId="0" xfId="0" applyNumberFormat="1" applyFill="1"/>
    <xf numFmtId="0" fontId="2" fillId="0" borderId="3" xfId="0" applyFont="1" applyBorder="1"/>
    <xf numFmtId="0" fontId="2" fillId="0" borderId="0" xfId="0" applyFont="1" applyBorder="1"/>
    <xf numFmtId="0" fontId="7" fillId="0" borderId="0" xfId="0" applyFont="1"/>
    <xf numFmtId="0" fontId="8" fillId="0" borderId="0" xfId="0" applyFont="1"/>
    <xf numFmtId="0" fontId="7" fillId="0" borderId="0" xfId="0" quotePrefix="1" applyFont="1" applyAlignment="1">
      <alignment vertical="center"/>
    </xf>
    <xf numFmtId="0" fontId="9" fillId="0" borderId="0" xfId="0" applyFont="1"/>
    <xf numFmtId="0" fontId="8" fillId="0" borderId="0" xfId="0" applyFont="1" applyAlignment="1">
      <alignment vertical="center"/>
    </xf>
    <xf numFmtId="0" fontId="10" fillId="5" borderId="5" xfId="0" applyFont="1" applyFill="1" applyBorder="1" applyAlignment="1">
      <alignment vertical="center"/>
    </xf>
    <xf numFmtId="0" fontId="11" fillId="5" borderId="0" xfId="0" applyFont="1" applyFill="1" applyAlignment="1">
      <alignment horizontal="right" vertical="center"/>
    </xf>
    <xf numFmtId="0" fontId="11" fillId="5" borderId="5" xfId="0" applyFont="1" applyFill="1" applyBorder="1" applyAlignment="1">
      <alignment horizontal="right" vertical="center"/>
    </xf>
    <xf numFmtId="0" fontId="8" fillId="0" borderId="5" xfId="0" applyFont="1" applyBorder="1" applyAlignment="1">
      <alignment vertical="center"/>
    </xf>
    <xf numFmtId="178" fontId="8" fillId="0" borderId="0" xfId="0" applyNumberFormat="1" applyFont="1" applyAlignment="1">
      <alignment vertical="center"/>
    </xf>
    <xf numFmtId="178" fontId="8" fillId="0" borderId="5" xfId="0" applyNumberFormat="1" applyFont="1" applyBorder="1" applyAlignment="1">
      <alignment vertical="center"/>
    </xf>
    <xf numFmtId="177" fontId="8" fillId="0" borderId="0" xfId="1" applyNumberFormat="1" applyFont="1" applyFill="1">
      <alignment vertical="center"/>
    </xf>
    <xf numFmtId="177" fontId="8" fillId="0" borderId="0" xfId="1" applyNumberFormat="1" applyFont="1" applyFill="1" applyBorder="1">
      <alignment vertical="center"/>
    </xf>
    <xf numFmtId="177" fontId="8" fillId="0" borderId="5" xfId="1" applyNumberFormat="1" applyFont="1" applyFill="1" applyBorder="1">
      <alignment vertical="center"/>
    </xf>
    <xf numFmtId="9" fontId="8" fillId="0" borderId="0" xfId="1" applyFont="1" applyFill="1">
      <alignment vertical="center"/>
    </xf>
    <xf numFmtId="9" fontId="8" fillId="0" borderId="0" xfId="1" applyFont="1" applyAlignment="1">
      <alignment horizontal="right" vertical="center"/>
    </xf>
    <xf numFmtId="9" fontId="8" fillId="0" borderId="5" xfId="1" applyFont="1" applyBorder="1" applyAlignment="1">
      <alignment horizontal="right" vertical="center"/>
    </xf>
    <xf numFmtId="9" fontId="8" fillId="0" borderId="0" xfId="1" applyFont="1">
      <alignment vertical="center"/>
    </xf>
    <xf numFmtId="9" fontId="8" fillId="0" borderId="0" xfId="1" applyFont="1" applyBorder="1">
      <alignment vertical="center"/>
    </xf>
    <xf numFmtId="9" fontId="8" fillId="0" borderId="5" xfId="1" applyFont="1" applyBorder="1">
      <alignment vertical="center"/>
    </xf>
    <xf numFmtId="178" fontId="8" fillId="0" borderId="6" xfId="0" applyNumberFormat="1" applyFont="1" applyBorder="1" applyAlignment="1">
      <alignment vertical="center"/>
    </xf>
    <xf numFmtId="178" fontId="8" fillId="0" borderId="0" xfId="0" applyNumberFormat="1" applyFont="1" applyBorder="1" applyAlignment="1">
      <alignment vertical="center"/>
    </xf>
    <xf numFmtId="177" fontId="3" fillId="0" borderId="0" xfId="0" applyNumberFormat="1" applyFont="1" applyFill="1"/>
  </cellXfs>
  <cellStyles count="2">
    <cellStyle name="백분율" xfId="1" builtinId="5"/>
    <cellStyle name="표준" xfId="0" builtinId="0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FFC7CE"/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G204"/>
  <sheetViews>
    <sheetView workbookViewId="0">
      <selection activeCell="D18" sqref="D18"/>
    </sheetView>
  </sheetViews>
  <sheetFormatPr defaultRowHeight="16.5" x14ac:dyDescent="0.3"/>
  <cols>
    <col min="1" max="1" width="3" customWidth="1"/>
    <col min="2" max="2" width="12" style="13" customWidth="1"/>
    <col min="3" max="3" width="45" customWidth="1"/>
    <col min="4" max="5" width="12" customWidth="1"/>
    <col min="6" max="6" width="14" customWidth="1"/>
    <col min="7" max="7" width="16" customWidth="1"/>
  </cols>
  <sheetData>
    <row r="2" spans="2:7" ht="18.75" x14ac:dyDescent="0.3">
      <c r="B2" s="1" t="s">
        <v>0</v>
      </c>
    </row>
    <row r="3" spans="2:7" x14ac:dyDescent="0.3"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2" t="s">
        <v>6</v>
      </c>
    </row>
    <row r="4" spans="2:7" x14ac:dyDescent="0.3">
      <c r="B4" s="12">
        <v>1211</v>
      </c>
      <c r="C4" s="3" t="s">
        <v>8</v>
      </c>
      <c r="D4" s="3" t="s">
        <v>9</v>
      </c>
      <c r="E4" s="3"/>
      <c r="F4" s="3" t="s">
        <v>10</v>
      </c>
      <c r="G4" s="4">
        <v>73240.08</v>
      </c>
    </row>
    <row r="5" spans="2:7" x14ac:dyDescent="0.3">
      <c r="B5" s="12" t="s">
        <v>11</v>
      </c>
      <c r="C5" s="3" t="s">
        <v>12</v>
      </c>
      <c r="D5" s="3" t="s">
        <v>9</v>
      </c>
      <c r="E5" s="3" t="s">
        <v>13</v>
      </c>
      <c r="F5" s="3" t="s">
        <v>10</v>
      </c>
      <c r="G5" s="4">
        <v>56324.12</v>
      </c>
    </row>
    <row r="6" spans="2:7" x14ac:dyDescent="0.3">
      <c r="B6" s="12" t="s">
        <v>14</v>
      </c>
      <c r="C6" s="3" t="s">
        <v>15</v>
      </c>
      <c r="D6" s="3" t="s">
        <v>9</v>
      </c>
      <c r="E6" s="3" t="s">
        <v>16</v>
      </c>
      <c r="F6" s="3" t="s">
        <v>10</v>
      </c>
      <c r="G6" s="4">
        <v>54950.79</v>
      </c>
    </row>
    <row r="7" spans="2:7" x14ac:dyDescent="0.3">
      <c r="B7" s="12" t="s">
        <v>17</v>
      </c>
      <c r="C7" s="3" t="s">
        <v>18</v>
      </c>
      <c r="D7" s="3" t="s">
        <v>9</v>
      </c>
      <c r="E7" s="3" t="s">
        <v>16</v>
      </c>
      <c r="F7" s="3" t="s">
        <v>10</v>
      </c>
      <c r="G7" s="4">
        <v>50408.44</v>
      </c>
    </row>
    <row r="8" spans="2:7" x14ac:dyDescent="0.3">
      <c r="B8" s="12">
        <v>601211</v>
      </c>
      <c r="C8" s="3" t="s">
        <v>19</v>
      </c>
      <c r="D8" s="3" t="s">
        <v>9</v>
      </c>
      <c r="E8" s="3"/>
      <c r="F8" s="3" t="s">
        <v>10</v>
      </c>
      <c r="G8" s="4">
        <v>47721.22</v>
      </c>
    </row>
    <row r="9" spans="2:7" x14ac:dyDescent="0.3">
      <c r="B9" s="12" t="s">
        <v>20</v>
      </c>
      <c r="C9" s="3" t="s">
        <v>21</v>
      </c>
      <c r="D9" s="3" t="s">
        <v>9</v>
      </c>
      <c r="E9" s="3"/>
      <c r="F9" s="3" t="s">
        <v>10</v>
      </c>
      <c r="G9" s="4">
        <v>43323.75</v>
      </c>
    </row>
    <row r="10" spans="2:7" x14ac:dyDescent="0.3">
      <c r="B10" s="12" t="s">
        <v>22</v>
      </c>
      <c r="C10" s="3" t="s">
        <v>23</v>
      </c>
      <c r="D10" s="3" t="s">
        <v>9</v>
      </c>
      <c r="E10" s="3"/>
      <c r="F10" s="3" t="s">
        <v>24</v>
      </c>
      <c r="G10" s="4">
        <v>39612.03</v>
      </c>
    </row>
    <row r="11" spans="2:7" x14ac:dyDescent="0.3">
      <c r="B11" s="12" t="s">
        <v>25</v>
      </c>
      <c r="C11" s="3" t="s">
        <v>26</v>
      </c>
      <c r="D11" s="3" t="s">
        <v>9</v>
      </c>
      <c r="E11" s="3"/>
      <c r="F11" s="3" t="s">
        <v>10</v>
      </c>
      <c r="G11" s="4">
        <v>33713.879999999997</v>
      </c>
    </row>
    <row r="12" spans="2:7" x14ac:dyDescent="0.3">
      <c r="B12" s="12" t="s">
        <v>27</v>
      </c>
      <c r="C12" s="3" t="s">
        <v>28</v>
      </c>
      <c r="D12" s="3" t="s">
        <v>9</v>
      </c>
      <c r="E12" s="3"/>
      <c r="F12" s="3" t="s">
        <v>10</v>
      </c>
      <c r="G12" s="4">
        <v>33189.360000000001</v>
      </c>
    </row>
    <row r="13" spans="2:7" x14ac:dyDescent="0.3">
      <c r="B13" s="12" t="s">
        <v>29</v>
      </c>
      <c r="C13" s="3" t="s">
        <v>30</v>
      </c>
      <c r="D13" s="3" t="s">
        <v>9</v>
      </c>
      <c r="E13" s="3"/>
      <c r="F13" s="3" t="s">
        <v>10</v>
      </c>
      <c r="G13" s="4">
        <v>30156.79</v>
      </c>
    </row>
    <row r="14" spans="2:7" x14ac:dyDescent="0.3">
      <c r="B14" s="12" t="s">
        <v>31</v>
      </c>
      <c r="C14" s="3" t="s">
        <v>32</v>
      </c>
      <c r="D14" s="3" t="s">
        <v>9</v>
      </c>
      <c r="E14" s="3"/>
      <c r="F14" s="3" t="s">
        <v>10</v>
      </c>
      <c r="G14" s="4">
        <v>23591</v>
      </c>
    </row>
    <row r="15" spans="2:7" x14ac:dyDescent="0.3">
      <c r="B15" s="12" t="s">
        <v>33</v>
      </c>
      <c r="C15" s="3" t="s">
        <v>34</v>
      </c>
      <c r="D15" s="3" t="s">
        <v>9</v>
      </c>
      <c r="E15" s="3"/>
      <c r="F15" s="3" t="s">
        <v>10</v>
      </c>
      <c r="G15" s="4">
        <v>20082.27</v>
      </c>
    </row>
    <row r="16" spans="2:7" x14ac:dyDescent="0.3">
      <c r="B16" s="12">
        <v>2502</v>
      </c>
      <c r="C16" s="3" t="s">
        <v>36</v>
      </c>
      <c r="D16" s="3" t="s">
        <v>9</v>
      </c>
      <c r="E16" s="3"/>
      <c r="F16" s="3" t="s">
        <v>10</v>
      </c>
      <c r="G16" s="4">
        <v>17430.95</v>
      </c>
    </row>
    <row r="17" spans="2:7" x14ac:dyDescent="0.3">
      <c r="B17" s="12" t="s">
        <v>37</v>
      </c>
      <c r="C17" s="3" t="s">
        <v>38</v>
      </c>
      <c r="D17" s="3" t="s">
        <v>9</v>
      </c>
      <c r="E17" s="3" t="s">
        <v>16</v>
      </c>
      <c r="F17" s="3" t="s">
        <v>10</v>
      </c>
      <c r="G17" s="4">
        <v>17058.66</v>
      </c>
    </row>
    <row r="18" spans="2:7" x14ac:dyDescent="0.3">
      <c r="B18" s="12" t="s">
        <v>39</v>
      </c>
      <c r="C18" s="3" t="s">
        <v>40</v>
      </c>
      <c r="D18" s="3" t="s">
        <v>9</v>
      </c>
      <c r="E18" s="3"/>
      <c r="F18" s="3" t="s">
        <v>10</v>
      </c>
      <c r="G18" s="4">
        <v>16236.34</v>
      </c>
    </row>
    <row r="19" spans="2:7" x14ac:dyDescent="0.3">
      <c r="B19" s="12" t="s">
        <v>41</v>
      </c>
      <c r="C19" s="3" t="s">
        <v>42</v>
      </c>
      <c r="D19" s="3" t="s">
        <v>9</v>
      </c>
      <c r="E19" s="3"/>
      <c r="F19" s="3" t="s">
        <v>10</v>
      </c>
      <c r="G19" s="4">
        <v>15919.2</v>
      </c>
    </row>
    <row r="20" spans="2:7" x14ac:dyDescent="0.3">
      <c r="B20" s="12">
        <v>2887</v>
      </c>
      <c r="C20" s="3" t="s">
        <v>43</v>
      </c>
      <c r="D20" s="3" t="s">
        <v>9</v>
      </c>
      <c r="E20" s="3"/>
      <c r="F20" s="3" t="s">
        <v>10</v>
      </c>
      <c r="G20" s="4">
        <v>14923.53</v>
      </c>
    </row>
    <row r="21" spans="2:7" x14ac:dyDescent="0.3">
      <c r="B21" s="12" t="s">
        <v>44</v>
      </c>
      <c r="C21" s="3" t="s">
        <v>45</v>
      </c>
      <c r="D21" s="3" t="s">
        <v>9</v>
      </c>
      <c r="E21" s="3" t="s">
        <v>16</v>
      </c>
      <c r="F21" s="3" t="s">
        <v>10</v>
      </c>
      <c r="G21" s="4">
        <v>14789.67</v>
      </c>
    </row>
    <row r="22" spans="2:7" x14ac:dyDescent="0.3">
      <c r="B22" s="12" t="s">
        <v>46</v>
      </c>
      <c r="C22" s="3" t="s">
        <v>47</v>
      </c>
      <c r="D22" s="3" t="s">
        <v>9</v>
      </c>
      <c r="E22" s="3"/>
      <c r="F22" s="3" t="s">
        <v>10</v>
      </c>
      <c r="G22" s="4">
        <v>14486.34</v>
      </c>
    </row>
    <row r="23" spans="2:7" x14ac:dyDescent="0.3">
      <c r="B23" s="12" t="s">
        <v>48</v>
      </c>
      <c r="C23" s="3" t="s">
        <v>49</v>
      </c>
      <c r="D23" s="3" t="s">
        <v>9</v>
      </c>
      <c r="E23" s="3"/>
      <c r="F23" s="3" t="s">
        <v>10</v>
      </c>
      <c r="G23" s="4">
        <v>14332.28</v>
      </c>
    </row>
    <row r="24" spans="2:7" x14ac:dyDescent="0.3">
      <c r="B24" s="12" t="s">
        <v>50</v>
      </c>
      <c r="C24" s="3" t="s">
        <v>51</v>
      </c>
      <c r="D24" s="3" t="s">
        <v>9</v>
      </c>
      <c r="E24" s="3" t="s">
        <v>16</v>
      </c>
      <c r="F24" s="3" t="s">
        <v>10</v>
      </c>
      <c r="G24" s="4">
        <v>13765.64</v>
      </c>
    </row>
    <row r="25" spans="2:7" x14ac:dyDescent="0.3">
      <c r="B25" s="12">
        <v>1080</v>
      </c>
      <c r="C25" s="3" t="s">
        <v>53</v>
      </c>
      <c r="D25" s="3" t="s">
        <v>9</v>
      </c>
      <c r="E25" s="3"/>
      <c r="F25" s="3" t="s">
        <v>10</v>
      </c>
      <c r="G25" s="4">
        <v>13448.87</v>
      </c>
    </row>
    <row r="26" spans="2:7" x14ac:dyDescent="0.3">
      <c r="B26" s="12" t="s">
        <v>54</v>
      </c>
      <c r="C26" s="3" t="s">
        <v>55</v>
      </c>
      <c r="D26" s="3" t="s">
        <v>9</v>
      </c>
      <c r="E26" s="3"/>
      <c r="F26" s="3" t="s">
        <v>10</v>
      </c>
      <c r="G26" s="4">
        <v>13252.85</v>
      </c>
    </row>
    <row r="27" spans="2:7" x14ac:dyDescent="0.3">
      <c r="B27" s="12" t="s">
        <v>56</v>
      </c>
      <c r="C27" s="3" t="s">
        <v>57</v>
      </c>
      <c r="D27" s="3" t="s">
        <v>9</v>
      </c>
      <c r="E27" s="3"/>
      <c r="F27" s="3" t="s">
        <v>10</v>
      </c>
      <c r="G27" s="4">
        <v>12700.65</v>
      </c>
    </row>
    <row r="28" spans="2:7" x14ac:dyDescent="0.3">
      <c r="B28" s="12" t="s">
        <v>58</v>
      </c>
      <c r="C28" s="3" t="s">
        <v>59</v>
      </c>
      <c r="D28" s="3" t="s">
        <v>9</v>
      </c>
      <c r="E28" s="3"/>
      <c r="F28" s="3" t="s">
        <v>10</v>
      </c>
      <c r="G28" s="4">
        <v>12514.91</v>
      </c>
    </row>
    <row r="29" spans="2:7" x14ac:dyDescent="0.3">
      <c r="B29" s="12" t="s">
        <v>60</v>
      </c>
      <c r="C29" s="3" t="s">
        <v>61</v>
      </c>
      <c r="D29" s="3" t="s">
        <v>9</v>
      </c>
      <c r="E29" s="3"/>
      <c r="F29" s="3" t="s">
        <v>10</v>
      </c>
      <c r="G29" s="4">
        <v>11689.76</v>
      </c>
    </row>
    <row r="30" spans="2:7" x14ac:dyDescent="0.3">
      <c r="B30" s="12" t="s">
        <v>62</v>
      </c>
      <c r="C30" s="3" t="s">
        <v>63</v>
      </c>
      <c r="D30" s="3" t="s">
        <v>9</v>
      </c>
      <c r="E30" s="3"/>
      <c r="F30" s="3" t="s">
        <v>10</v>
      </c>
      <c r="G30" s="4">
        <v>11645.28</v>
      </c>
    </row>
    <row r="31" spans="2:7" x14ac:dyDescent="0.3">
      <c r="B31" s="12" t="s">
        <v>64</v>
      </c>
      <c r="C31" s="3" t="s">
        <v>65</v>
      </c>
      <c r="D31" s="3" t="s">
        <v>9</v>
      </c>
      <c r="E31" s="3"/>
      <c r="F31" s="3" t="s">
        <v>10</v>
      </c>
      <c r="G31" s="4">
        <v>11607.11</v>
      </c>
    </row>
    <row r="32" spans="2:7" x14ac:dyDescent="0.3">
      <c r="B32" s="12" t="s">
        <v>66</v>
      </c>
      <c r="C32" s="3" t="s">
        <v>67</v>
      </c>
      <c r="D32" s="3" t="s">
        <v>9</v>
      </c>
      <c r="E32" s="3" t="s">
        <v>16</v>
      </c>
      <c r="F32" s="3" t="s">
        <v>10</v>
      </c>
      <c r="G32" s="4">
        <v>10643.37</v>
      </c>
    </row>
    <row r="33" spans="2:7" x14ac:dyDescent="0.3">
      <c r="B33" s="12" t="s">
        <v>68</v>
      </c>
      <c r="C33" s="3" t="s">
        <v>69</v>
      </c>
      <c r="D33" s="3" t="s">
        <v>9</v>
      </c>
      <c r="E33" s="3"/>
      <c r="F33" s="3" t="s">
        <v>10</v>
      </c>
      <c r="G33" s="4">
        <v>10619.37</v>
      </c>
    </row>
    <row r="34" spans="2:7" x14ac:dyDescent="0.3">
      <c r="B34" s="12" t="s">
        <v>70</v>
      </c>
      <c r="C34" s="3" t="s">
        <v>71</v>
      </c>
      <c r="D34" s="3" t="s">
        <v>9</v>
      </c>
      <c r="E34" s="3" t="s">
        <v>16</v>
      </c>
      <c r="F34" s="3" t="s">
        <v>10</v>
      </c>
      <c r="G34" s="4">
        <v>10312.34</v>
      </c>
    </row>
    <row r="35" spans="2:7" x14ac:dyDescent="0.3">
      <c r="B35" s="12" t="s">
        <v>72</v>
      </c>
      <c r="C35" s="3" t="s">
        <v>73</v>
      </c>
      <c r="D35" s="3" t="s">
        <v>9</v>
      </c>
      <c r="E35" s="3"/>
      <c r="F35" s="3" t="s">
        <v>10</v>
      </c>
      <c r="G35" s="4">
        <v>9267.0400000000009</v>
      </c>
    </row>
    <row r="36" spans="2:7" x14ac:dyDescent="0.3">
      <c r="B36" s="12" t="s">
        <v>74</v>
      </c>
      <c r="C36" s="3" t="s">
        <v>75</v>
      </c>
      <c r="D36" s="3" t="s">
        <v>9</v>
      </c>
      <c r="E36" s="3" t="s">
        <v>16</v>
      </c>
      <c r="F36" s="3" t="s">
        <v>10</v>
      </c>
      <c r="G36" s="4">
        <v>8882.85</v>
      </c>
    </row>
    <row r="37" spans="2:7" x14ac:dyDescent="0.3">
      <c r="B37" s="12" t="s">
        <v>76</v>
      </c>
      <c r="C37" s="3" t="s">
        <v>77</v>
      </c>
      <c r="D37" s="3" t="s">
        <v>9</v>
      </c>
      <c r="E37" s="3"/>
      <c r="F37" s="3" t="s">
        <v>10</v>
      </c>
      <c r="G37" s="4">
        <v>8825.35</v>
      </c>
    </row>
    <row r="38" spans="2:7" x14ac:dyDescent="0.3">
      <c r="B38" s="12" t="s">
        <v>78</v>
      </c>
      <c r="C38" s="3" t="s">
        <v>79</v>
      </c>
      <c r="D38" s="3" t="s">
        <v>9</v>
      </c>
      <c r="E38" s="3" t="s">
        <v>13</v>
      </c>
      <c r="F38" s="3" t="s">
        <v>10</v>
      </c>
      <c r="G38" s="4">
        <v>8645.26</v>
      </c>
    </row>
    <row r="39" spans="2:7" x14ac:dyDescent="0.3">
      <c r="B39" s="12" t="s">
        <v>80</v>
      </c>
      <c r="C39" s="3" t="s">
        <v>81</v>
      </c>
      <c r="D39" s="3" t="s">
        <v>9</v>
      </c>
      <c r="E39" s="3"/>
      <c r="F39" s="3" t="s">
        <v>10</v>
      </c>
      <c r="G39" s="4">
        <v>8565.7900000000009</v>
      </c>
    </row>
    <row r="40" spans="2:7" x14ac:dyDescent="0.3">
      <c r="B40" s="12">
        <v>1301</v>
      </c>
      <c r="C40" s="3" t="s">
        <v>82</v>
      </c>
      <c r="D40" s="3" t="s">
        <v>9</v>
      </c>
      <c r="E40" s="3"/>
      <c r="F40" s="3" t="s">
        <v>10</v>
      </c>
      <c r="G40" s="4">
        <v>8464.0499999999993</v>
      </c>
    </row>
    <row r="41" spans="2:7" x14ac:dyDescent="0.3">
      <c r="B41" s="12" t="s">
        <v>83</v>
      </c>
      <c r="C41" s="3" t="s">
        <v>84</v>
      </c>
      <c r="D41" s="3" t="s">
        <v>9</v>
      </c>
      <c r="E41" s="3"/>
      <c r="F41" s="3" t="s">
        <v>10</v>
      </c>
      <c r="G41" s="4">
        <v>8355.8700000000008</v>
      </c>
    </row>
    <row r="42" spans="2:7" x14ac:dyDescent="0.3">
      <c r="B42" s="12" t="s">
        <v>85</v>
      </c>
      <c r="C42" s="3" t="s">
        <v>86</v>
      </c>
      <c r="D42" s="3" t="s">
        <v>9</v>
      </c>
      <c r="E42" s="3"/>
      <c r="F42" s="3" t="s">
        <v>10</v>
      </c>
      <c r="G42" s="4">
        <v>8136.88</v>
      </c>
    </row>
    <row r="43" spans="2:7" x14ac:dyDescent="0.3">
      <c r="B43" s="12" t="s">
        <v>87</v>
      </c>
      <c r="C43" s="3" t="s">
        <v>88</v>
      </c>
      <c r="D43" s="3" t="s">
        <v>9</v>
      </c>
      <c r="E43" s="3"/>
      <c r="F43" s="3" t="s">
        <v>10</v>
      </c>
      <c r="G43" s="4">
        <v>8115.68</v>
      </c>
    </row>
    <row r="44" spans="2:7" x14ac:dyDescent="0.3">
      <c r="B44" s="12" t="s">
        <v>89</v>
      </c>
      <c r="C44" s="3" t="s">
        <v>90</v>
      </c>
      <c r="D44" s="3" t="s">
        <v>9</v>
      </c>
      <c r="E44" s="3" t="s">
        <v>16</v>
      </c>
      <c r="F44" s="3" t="s">
        <v>10</v>
      </c>
      <c r="G44" s="4">
        <v>7944.86</v>
      </c>
    </row>
    <row r="45" spans="2:7" x14ac:dyDescent="0.3">
      <c r="B45" s="12" t="s">
        <v>91</v>
      </c>
      <c r="C45" s="3" t="s">
        <v>92</v>
      </c>
      <c r="D45" s="3" t="s">
        <v>9</v>
      </c>
      <c r="E45" s="3"/>
      <c r="F45" s="3" t="s">
        <v>10</v>
      </c>
      <c r="G45" s="4">
        <v>7182.3</v>
      </c>
    </row>
    <row r="46" spans="2:7" x14ac:dyDescent="0.3">
      <c r="B46" s="12" t="s">
        <v>93</v>
      </c>
      <c r="C46" s="3" t="s">
        <v>94</v>
      </c>
      <c r="D46" s="3" t="s">
        <v>9</v>
      </c>
      <c r="E46" s="3" t="s">
        <v>16</v>
      </c>
      <c r="F46" s="3" t="s">
        <v>10</v>
      </c>
      <c r="G46" s="4">
        <v>7176.87</v>
      </c>
    </row>
    <row r="47" spans="2:7" x14ac:dyDescent="0.3">
      <c r="B47" s="12" t="s">
        <v>95</v>
      </c>
      <c r="C47" s="3" t="s">
        <v>96</v>
      </c>
      <c r="D47" s="3" t="s">
        <v>9</v>
      </c>
      <c r="E47" s="3"/>
      <c r="F47" s="3" t="s">
        <v>10</v>
      </c>
      <c r="G47" s="4">
        <v>7157.4</v>
      </c>
    </row>
    <row r="48" spans="2:7" x14ac:dyDescent="0.3">
      <c r="B48" s="12" t="s">
        <v>97</v>
      </c>
      <c r="C48" s="3" t="s">
        <v>98</v>
      </c>
      <c r="D48" s="3" t="s">
        <v>9</v>
      </c>
      <c r="E48" s="3" t="s">
        <v>16</v>
      </c>
      <c r="F48" s="3" t="s">
        <v>10</v>
      </c>
      <c r="G48" s="4">
        <v>7113.36</v>
      </c>
    </row>
    <row r="49" spans="2:7" x14ac:dyDescent="0.3">
      <c r="B49" s="12" t="s">
        <v>99</v>
      </c>
      <c r="C49" s="3" t="s">
        <v>100</v>
      </c>
      <c r="D49" s="3" t="s">
        <v>9</v>
      </c>
      <c r="E49" s="3"/>
      <c r="F49" s="3" t="s">
        <v>10</v>
      </c>
      <c r="G49" s="4">
        <v>7106.91</v>
      </c>
    </row>
    <row r="50" spans="2:7" x14ac:dyDescent="0.3">
      <c r="B50" s="12" t="s">
        <v>101</v>
      </c>
      <c r="C50" s="3" t="s">
        <v>102</v>
      </c>
      <c r="D50" s="3" t="s">
        <v>9</v>
      </c>
      <c r="E50" s="3"/>
      <c r="F50" s="3" t="s">
        <v>10</v>
      </c>
      <c r="G50" s="4">
        <v>6247.99</v>
      </c>
    </row>
    <row r="51" spans="2:7" x14ac:dyDescent="0.3">
      <c r="B51" s="12" t="s">
        <v>103</v>
      </c>
      <c r="C51" s="3" t="s">
        <v>104</v>
      </c>
      <c r="D51" s="3" t="s">
        <v>9</v>
      </c>
      <c r="E51" s="3"/>
      <c r="F51" s="3" t="s">
        <v>10</v>
      </c>
      <c r="G51" s="4">
        <v>6225.21</v>
      </c>
    </row>
    <row r="52" spans="2:7" x14ac:dyDescent="0.3">
      <c r="B52" s="12" t="s">
        <v>105</v>
      </c>
      <c r="C52" s="3" t="s">
        <v>106</v>
      </c>
      <c r="D52" s="3" t="s">
        <v>9</v>
      </c>
      <c r="E52" s="3"/>
      <c r="F52" s="3" t="s">
        <v>10</v>
      </c>
      <c r="G52" s="4">
        <v>6205.95</v>
      </c>
    </row>
    <row r="53" spans="2:7" x14ac:dyDescent="0.3">
      <c r="B53" s="12" t="s">
        <v>107</v>
      </c>
      <c r="C53" s="3" t="s">
        <v>108</v>
      </c>
      <c r="D53" s="3" t="s">
        <v>9</v>
      </c>
      <c r="E53" s="3"/>
      <c r="F53" s="3" t="s">
        <v>10</v>
      </c>
      <c r="G53" s="4">
        <v>6049.76</v>
      </c>
    </row>
    <row r="54" spans="2:7" x14ac:dyDescent="0.3">
      <c r="B54" s="12" t="s">
        <v>109</v>
      </c>
      <c r="C54" s="3" t="s">
        <v>110</v>
      </c>
      <c r="D54" s="3" t="s">
        <v>9</v>
      </c>
      <c r="E54" s="3" t="s">
        <v>16</v>
      </c>
      <c r="F54" s="3" t="s">
        <v>10</v>
      </c>
      <c r="G54" s="4">
        <v>5995.59</v>
      </c>
    </row>
    <row r="55" spans="2:7" x14ac:dyDescent="0.3">
      <c r="B55" s="12" t="s">
        <v>111</v>
      </c>
      <c r="C55" s="3" t="s">
        <v>112</v>
      </c>
      <c r="D55" s="3" t="s">
        <v>9</v>
      </c>
      <c r="E55" s="3" t="s">
        <v>16</v>
      </c>
      <c r="F55" s="3" t="s">
        <v>10</v>
      </c>
      <c r="G55" s="4">
        <v>5847.76</v>
      </c>
    </row>
    <row r="56" spans="2:7" x14ac:dyDescent="0.3">
      <c r="B56" s="12">
        <v>5871</v>
      </c>
      <c r="C56" s="3" t="s">
        <v>113</v>
      </c>
      <c r="D56" s="3" t="s">
        <v>9</v>
      </c>
      <c r="E56" s="3"/>
      <c r="F56" s="3" t="s">
        <v>10</v>
      </c>
      <c r="G56" s="4">
        <v>5611.75</v>
      </c>
    </row>
    <row r="57" spans="2:7" x14ac:dyDescent="0.3">
      <c r="B57" s="12" t="s">
        <v>114</v>
      </c>
      <c r="C57" s="3" t="s">
        <v>115</v>
      </c>
      <c r="D57" s="3" t="s">
        <v>9</v>
      </c>
      <c r="E57" s="3" t="s">
        <v>16</v>
      </c>
      <c r="F57" s="3" t="s">
        <v>10</v>
      </c>
      <c r="G57" s="4">
        <v>5315.39</v>
      </c>
    </row>
    <row r="58" spans="2:7" x14ac:dyDescent="0.3">
      <c r="B58" s="12">
        <v>3036</v>
      </c>
      <c r="C58" s="3" t="s">
        <v>116</v>
      </c>
      <c r="D58" s="3" t="s">
        <v>9</v>
      </c>
      <c r="E58" s="3"/>
      <c r="F58" s="3" t="s">
        <v>10</v>
      </c>
      <c r="G58" s="4">
        <v>5247.67</v>
      </c>
    </row>
    <row r="59" spans="2:7" x14ac:dyDescent="0.3">
      <c r="B59" s="12" t="s">
        <v>117</v>
      </c>
      <c r="C59" s="3" t="s">
        <v>118</v>
      </c>
      <c r="D59" s="3" t="s">
        <v>9</v>
      </c>
      <c r="E59" s="3"/>
      <c r="F59" s="3" t="s">
        <v>10</v>
      </c>
      <c r="G59" s="4">
        <v>4881.62</v>
      </c>
    </row>
    <row r="60" spans="2:7" x14ac:dyDescent="0.3">
      <c r="B60" s="12" t="s">
        <v>119</v>
      </c>
      <c r="C60" s="3" t="s">
        <v>120</v>
      </c>
      <c r="D60" s="3" t="s">
        <v>9</v>
      </c>
      <c r="E60" s="3"/>
      <c r="F60" s="3" t="s">
        <v>10</v>
      </c>
      <c r="G60" s="4">
        <v>4804.3500000000004</v>
      </c>
    </row>
    <row r="61" spans="2:7" x14ac:dyDescent="0.3">
      <c r="B61" s="12" t="s">
        <v>121</v>
      </c>
      <c r="C61" s="3" t="s">
        <v>122</v>
      </c>
      <c r="D61" s="3" t="s">
        <v>9</v>
      </c>
      <c r="E61" s="3"/>
      <c r="F61" s="3" t="s">
        <v>10</v>
      </c>
      <c r="G61" s="4">
        <v>4803.8999999999996</v>
      </c>
    </row>
    <row r="62" spans="2:7" x14ac:dyDescent="0.3">
      <c r="B62" s="12" t="s">
        <v>123</v>
      </c>
      <c r="C62" s="3" t="s">
        <v>124</v>
      </c>
      <c r="D62" s="3" t="s">
        <v>9</v>
      </c>
      <c r="E62" s="3"/>
      <c r="F62" s="3" t="s">
        <v>10</v>
      </c>
      <c r="G62" s="4">
        <v>4751.97</v>
      </c>
    </row>
    <row r="63" spans="2:7" x14ac:dyDescent="0.3">
      <c r="B63" s="12" t="s">
        <v>125</v>
      </c>
      <c r="C63" s="3" t="s">
        <v>126</v>
      </c>
      <c r="D63" s="3" t="s">
        <v>9</v>
      </c>
      <c r="E63" s="3" t="s">
        <v>13</v>
      </c>
      <c r="F63" s="3" t="s">
        <v>10</v>
      </c>
      <c r="G63" s="4">
        <v>4583.3999999999996</v>
      </c>
    </row>
    <row r="64" spans="2:7" x14ac:dyDescent="0.3">
      <c r="B64" s="12" t="s">
        <v>127</v>
      </c>
      <c r="C64" s="3" t="s">
        <v>128</v>
      </c>
      <c r="D64" s="3" t="s">
        <v>9</v>
      </c>
      <c r="E64" s="3" t="s">
        <v>16</v>
      </c>
      <c r="F64" s="3" t="s">
        <v>10</v>
      </c>
      <c r="G64" s="4">
        <v>4367.42</v>
      </c>
    </row>
    <row r="65" spans="2:7" x14ac:dyDescent="0.3">
      <c r="B65" s="12" t="s">
        <v>129</v>
      </c>
      <c r="C65" s="3" t="s">
        <v>130</v>
      </c>
      <c r="D65" s="3" t="s">
        <v>9</v>
      </c>
      <c r="E65" s="3"/>
      <c r="F65" s="3" t="s">
        <v>10</v>
      </c>
      <c r="G65" s="4">
        <v>4317.8500000000004</v>
      </c>
    </row>
    <row r="66" spans="2:7" x14ac:dyDescent="0.3">
      <c r="B66" s="12">
        <v>2337</v>
      </c>
      <c r="C66" s="3" t="s">
        <v>131</v>
      </c>
      <c r="D66" s="3" t="s">
        <v>9</v>
      </c>
      <c r="E66" s="3"/>
      <c r="F66" s="3" t="s">
        <v>10</v>
      </c>
      <c r="G66" s="4">
        <v>4091.63</v>
      </c>
    </row>
    <row r="67" spans="2:7" x14ac:dyDescent="0.3">
      <c r="B67" s="12" t="s">
        <v>132</v>
      </c>
      <c r="C67" s="3" t="s">
        <v>133</v>
      </c>
      <c r="D67" s="3" t="s">
        <v>9</v>
      </c>
      <c r="E67" s="3"/>
      <c r="F67" s="3" t="s">
        <v>10</v>
      </c>
      <c r="G67" s="4">
        <v>4006.96</v>
      </c>
    </row>
    <row r="68" spans="2:7" x14ac:dyDescent="0.3">
      <c r="B68" s="12" t="s">
        <v>134</v>
      </c>
      <c r="C68" s="3" t="s">
        <v>135</v>
      </c>
      <c r="D68" s="3" t="s">
        <v>9</v>
      </c>
      <c r="E68" s="3"/>
      <c r="F68" s="3" t="s">
        <v>10</v>
      </c>
      <c r="G68" s="4">
        <v>3986.08</v>
      </c>
    </row>
    <row r="69" spans="2:7" x14ac:dyDescent="0.3">
      <c r="B69" s="12" t="s">
        <v>136</v>
      </c>
      <c r="C69" s="3" t="s">
        <v>137</v>
      </c>
      <c r="D69" s="3" t="s">
        <v>9</v>
      </c>
      <c r="E69" s="3" t="s">
        <v>16</v>
      </c>
      <c r="F69" s="3" t="s">
        <v>10</v>
      </c>
      <c r="G69" s="4">
        <v>3842.32</v>
      </c>
    </row>
    <row r="70" spans="2:7" x14ac:dyDescent="0.3">
      <c r="B70" s="12" t="s">
        <v>138</v>
      </c>
      <c r="C70" s="3" t="s">
        <v>139</v>
      </c>
      <c r="D70" s="3" t="s">
        <v>9</v>
      </c>
      <c r="E70" s="3"/>
      <c r="F70" s="3" t="s">
        <v>10</v>
      </c>
      <c r="G70" s="4">
        <v>3710.91</v>
      </c>
    </row>
    <row r="71" spans="2:7" x14ac:dyDescent="0.3">
      <c r="B71" s="12" t="s">
        <v>140</v>
      </c>
      <c r="C71" s="3" t="s">
        <v>141</v>
      </c>
      <c r="D71" s="3" t="s">
        <v>9</v>
      </c>
      <c r="E71" s="3"/>
      <c r="F71" s="3" t="s">
        <v>10</v>
      </c>
      <c r="G71" s="4">
        <v>3647.6</v>
      </c>
    </row>
    <row r="72" spans="2:7" x14ac:dyDescent="0.3">
      <c r="B72" s="12" t="s">
        <v>142</v>
      </c>
      <c r="C72" s="3" t="s">
        <v>143</v>
      </c>
      <c r="D72" s="3" t="s">
        <v>9</v>
      </c>
      <c r="E72" s="3"/>
      <c r="F72" s="3" t="s">
        <v>10</v>
      </c>
      <c r="G72" s="4">
        <v>3534.52</v>
      </c>
    </row>
    <row r="73" spans="2:7" x14ac:dyDescent="0.3">
      <c r="B73" s="12" t="s">
        <v>144</v>
      </c>
      <c r="C73" s="3" t="s">
        <v>145</v>
      </c>
      <c r="D73" s="3" t="s">
        <v>9</v>
      </c>
      <c r="E73" s="3"/>
      <c r="F73" s="3" t="s">
        <v>10</v>
      </c>
      <c r="G73" s="4">
        <v>3355.66</v>
      </c>
    </row>
    <row r="74" spans="2:7" x14ac:dyDescent="0.3">
      <c r="B74" s="12" t="s">
        <v>146</v>
      </c>
      <c r="C74" s="3" t="s">
        <v>147</v>
      </c>
      <c r="D74" s="3" t="s">
        <v>9</v>
      </c>
      <c r="E74" s="3"/>
      <c r="F74" s="3" t="s">
        <v>10</v>
      </c>
      <c r="G74" s="4">
        <v>3319.93</v>
      </c>
    </row>
    <row r="75" spans="2:7" x14ac:dyDescent="0.3">
      <c r="B75" s="12" t="s">
        <v>148</v>
      </c>
      <c r="C75" s="3" t="s">
        <v>149</v>
      </c>
      <c r="D75" s="3" t="s">
        <v>9</v>
      </c>
      <c r="E75" s="3"/>
      <c r="F75" s="3" t="s">
        <v>10</v>
      </c>
      <c r="G75" s="4">
        <v>3238.33</v>
      </c>
    </row>
    <row r="76" spans="2:7" x14ac:dyDescent="0.3">
      <c r="B76" s="12" t="s">
        <v>150</v>
      </c>
      <c r="C76" s="3" t="s">
        <v>151</v>
      </c>
      <c r="D76" s="3" t="s">
        <v>9</v>
      </c>
      <c r="E76" s="3"/>
      <c r="F76" s="3" t="s">
        <v>10</v>
      </c>
      <c r="G76" s="4">
        <v>3208.44</v>
      </c>
    </row>
    <row r="77" spans="2:7" x14ac:dyDescent="0.3">
      <c r="B77" s="12">
        <v>8963</v>
      </c>
      <c r="C77" s="3" t="s">
        <v>153</v>
      </c>
      <c r="D77" s="3" t="s">
        <v>9</v>
      </c>
      <c r="E77" s="3"/>
      <c r="F77" s="3" t="s">
        <v>10</v>
      </c>
      <c r="G77" s="4">
        <v>3205.78</v>
      </c>
    </row>
    <row r="78" spans="2:7" x14ac:dyDescent="0.3">
      <c r="B78" s="12" t="s">
        <v>154</v>
      </c>
      <c r="C78" s="3" t="s">
        <v>155</v>
      </c>
      <c r="D78" s="3" t="s">
        <v>9</v>
      </c>
      <c r="E78" s="3" t="s">
        <v>16</v>
      </c>
      <c r="F78" s="3" t="s">
        <v>10</v>
      </c>
      <c r="G78" s="4">
        <v>3175.62</v>
      </c>
    </row>
    <row r="79" spans="2:7" x14ac:dyDescent="0.3">
      <c r="B79" s="12">
        <v>5536</v>
      </c>
      <c r="C79" s="3" t="s">
        <v>156</v>
      </c>
      <c r="D79" s="3" t="s">
        <v>9</v>
      </c>
      <c r="E79" s="3"/>
      <c r="F79" s="3" t="s">
        <v>10</v>
      </c>
      <c r="G79" s="4">
        <v>3100.33</v>
      </c>
    </row>
    <row r="80" spans="2:7" x14ac:dyDescent="0.3">
      <c r="B80" s="12" t="s">
        <v>157</v>
      </c>
      <c r="C80" s="3" t="s">
        <v>158</v>
      </c>
      <c r="D80" s="3" t="s">
        <v>9</v>
      </c>
      <c r="E80" s="3" t="s">
        <v>13</v>
      </c>
      <c r="F80" s="3" t="s">
        <v>10</v>
      </c>
      <c r="G80" s="4">
        <v>3095.42</v>
      </c>
    </row>
    <row r="81" spans="2:7" x14ac:dyDescent="0.3">
      <c r="B81" s="12" t="s">
        <v>159</v>
      </c>
      <c r="C81" s="3" t="s">
        <v>160</v>
      </c>
      <c r="D81" s="3" t="s">
        <v>9</v>
      </c>
      <c r="E81" s="3" t="s">
        <v>16</v>
      </c>
      <c r="F81" s="3" t="s">
        <v>10</v>
      </c>
      <c r="G81" s="4">
        <v>3086.84</v>
      </c>
    </row>
    <row r="82" spans="2:7" x14ac:dyDescent="0.3">
      <c r="B82" s="12" t="s">
        <v>161</v>
      </c>
      <c r="C82" s="3" t="s">
        <v>162</v>
      </c>
      <c r="D82" s="3" t="s">
        <v>9</v>
      </c>
      <c r="E82" s="3"/>
      <c r="F82" s="3" t="s">
        <v>10</v>
      </c>
      <c r="G82" s="4">
        <v>3072.63</v>
      </c>
    </row>
    <row r="83" spans="2:7" x14ac:dyDescent="0.3">
      <c r="B83" s="12" t="s">
        <v>163</v>
      </c>
      <c r="C83" s="3" t="s">
        <v>164</v>
      </c>
      <c r="D83" s="3" t="s">
        <v>9</v>
      </c>
      <c r="E83" s="3"/>
      <c r="F83" s="3" t="s">
        <v>10</v>
      </c>
      <c r="G83" s="4">
        <v>2973.53</v>
      </c>
    </row>
    <row r="84" spans="2:7" x14ac:dyDescent="0.3">
      <c r="B84" s="12" t="s">
        <v>165</v>
      </c>
      <c r="C84" s="3" t="s">
        <v>166</v>
      </c>
      <c r="D84" s="3" t="s">
        <v>9</v>
      </c>
      <c r="E84" s="3"/>
      <c r="F84" s="3" t="s">
        <v>10</v>
      </c>
      <c r="G84" s="4">
        <v>2872.89</v>
      </c>
    </row>
    <row r="85" spans="2:7" x14ac:dyDescent="0.3">
      <c r="B85" s="12" t="s">
        <v>167</v>
      </c>
      <c r="C85" s="3" t="s">
        <v>168</v>
      </c>
      <c r="D85" s="3" t="s">
        <v>9</v>
      </c>
      <c r="E85" s="3" t="s">
        <v>16</v>
      </c>
      <c r="F85" s="3" t="s">
        <v>10</v>
      </c>
      <c r="G85" s="4">
        <v>2867.3</v>
      </c>
    </row>
    <row r="86" spans="2:7" x14ac:dyDescent="0.3">
      <c r="B86" s="12" t="s">
        <v>169</v>
      </c>
      <c r="C86" s="3" t="s">
        <v>170</v>
      </c>
      <c r="D86" s="3" t="s">
        <v>9</v>
      </c>
      <c r="E86" s="3"/>
      <c r="F86" s="3" t="s">
        <v>10</v>
      </c>
      <c r="G86" s="4">
        <v>2834.17</v>
      </c>
    </row>
    <row r="87" spans="2:7" x14ac:dyDescent="0.3">
      <c r="B87" s="12" t="s">
        <v>171</v>
      </c>
      <c r="C87" s="3" t="s">
        <v>172</v>
      </c>
      <c r="D87" s="3" t="s">
        <v>9</v>
      </c>
      <c r="E87" s="3"/>
      <c r="F87" s="3" t="s">
        <v>10</v>
      </c>
      <c r="G87" s="4">
        <v>2784.81</v>
      </c>
    </row>
    <row r="88" spans="2:7" x14ac:dyDescent="0.3">
      <c r="B88" s="12" t="s">
        <v>173</v>
      </c>
      <c r="C88" s="3" t="s">
        <v>174</v>
      </c>
      <c r="D88" s="3" t="s">
        <v>9</v>
      </c>
      <c r="E88" s="3"/>
      <c r="F88" s="3" t="s">
        <v>10</v>
      </c>
      <c r="G88" s="4">
        <v>2776.43</v>
      </c>
    </row>
    <row r="89" spans="2:7" x14ac:dyDescent="0.3">
      <c r="B89" s="12" t="s">
        <v>175</v>
      </c>
      <c r="C89" s="3" t="s">
        <v>176</v>
      </c>
      <c r="D89" s="3" t="s">
        <v>9</v>
      </c>
      <c r="E89" s="3"/>
      <c r="F89" s="3" t="s">
        <v>10</v>
      </c>
      <c r="G89" s="4">
        <v>2486.1799999999998</v>
      </c>
    </row>
    <row r="90" spans="2:7" x14ac:dyDescent="0.3">
      <c r="B90" s="12">
        <v>3105</v>
      </c>
      <c r="C90" s="3" t="s">
        <v>177</v>
      </c>
      <c r="D90" s="3" t="s">
        <v>9</v>
      </c>
      <c r="E90" s="3"/>
      <c r="F90" s="3" t="s">
        <v>10</v>
      </c>
      <c r="G90" s="4">
        <v>2471.64</v>
      </c>
    </row>
    <row r="91" spans="2:7" x14ac:dyDescent="0.3">
      <c r="B91" s="12" t="s">
        <v>178</v>
      </c>
      <c r="C91" s="3" t="s">
        <v>179</v>
      </c>
      <c r="D91" s="3" t="s">
        <v>9</v>
      </c>
      <c r="E91" s="3"/>
      <c r="F91" s="3" t="s">
        <v>10</v>
      </c>
      <c r="G91" s="4">
        <v>2305.5300000000002</v>
      </c>
    </row>
    <row r="92" spans="2:7" x14ac:dyDescent="0.3">
      <c r="B92" s="12" t="s">
        <v>180</v>
      </c>
      <c r="C92" s="3" t="s">
        <v>181</v>
      </c>
      <c r="D92" s="3" t="s">
        <v>9</v>
      </c>
      <c r="E92" s="3"/>
      <c r="F92" s="3" t="s">
        <v>10</v>
      </c>
      <c r="G92" s="4">
        <v>2208.38</v>
      </c>
    </row>
    <row r="93" spans="2:7" x14ac:dyDescent="0.3">
      <c r="B93" s="12">
        <v>8358</v>
      </c>
      <c r="C93" s="3" t="s">
        <v>182</v>
      </c>
      <c r="D93" s="3" t="s">
        <v>9</v>
      </c>
      <c r="E93" s="3"/>
      <c r="F93" s="3" t="s">
        <v>10</v>
      </c>
      <c r="G93" s="4">
        <v>2206.7199999999998</v>
      </c>
    </row>
    <row r="94" spans="2:7" x14ac:dyDescent="0.3">
      <c r="B94" s="12" t="s">
        <v>183</v>
      </c>
      <c r="C94" s="3" t="s">
        <v>184</v>
      </c>
      <c r="D94" s="3" t="s">
        <v>9</v>
      </c>
      <c r="E94" s="3"/>
      <c r="F94" s="3" t="s">
        <v>10</v>
      </c>
      <c r="G94" s="4">
        <v>2105.9</v>
      </c>
    </row>
    <row r="95" spans="2:7" x14ac:dyDescent="0.3">
      <c r="B95" s="12" t="s">
        <v>185</v>
      </c>
      <c r="C95" s="3" t="s">
        <v>186</v>
      </c>
      <c r="D95" s="3" t="s">
        <v>9</v>
      </c>
      <c r="E95" s="3" t="s">
        <v>16</v>
      </c>
      <c r="F95" s="3" t="s">
        <v>10</v>
      </c>
      <c r="G95" s="4">
        <v>2013.07</v>
      </c>
    </row>
    <row r="96" spans="2:7" x14ac:dyDescent="0.3">
      <c r="B96" s="12">
        <v>2809</v>
      </c>
      <c r="C96" s="3" t="s">
        <v>187</v>
      </c>
      <c r="D96" s="3" t="s">
        <v>9</v>
      </c>
      <c r="E96" s="3"/>
      <c r="F96" s="3" t="s">
        <v>10</v>
      </c>
      <c r="G96" s="4">
        <v>2003.12</v>
      </c>
    </row>
    <row r="97" spans="2:7" x14ac:dyDescent="0.3">
      <c r="B97" s="12" t="s">
        <v>188</v>
      </c>
      <c r="C97" s="3" t="s">
        <v>189</v>
      </c>
      <c r="D97" s="3" t="s">
        <v>9</v>
      </c>
      <c r="E97" s="3"/>
      <c r="F97" s="3" t="s">
        <v>10</v>
      </c>
      <c r="G97" s="4">
        <v>1995.87</v>
      </c>
    </row>
    <row r="98" spans="2:7" x14ac:dyDescent="0.3">
      <c r="B98" s="12" t="s">
        <v>190</v>
      </c>
      <c r="C98" s="3" t="s">
        <v>191</v>
      </c>
      <c r="D98" s="3" t="s">
        <v>9</v>
      </c>
      <c r="E98" s="3"/>
      <c r="F98" s="3" t="s">
        <v>10</v>
      </c>
      <c r="G98" s="4">
        <v>1991.7</v>
      </c>
    </row>
    <row r="99" spans="2:7" x14ac:dyDescent="0.3">
      <c r="B99" s="12" t="s">
        <v>192</v>
      </c>
      <c r="C99" s="3" t="s">
        <v>193</v>
      </c>
      <c r="D99" s="3" t="s">
        <v>9</v>
      </c>
      <c r="E99" s="3" t="s">
        <v>16</v>
      </c>
      <c r="F99" s="3" t="s">
        <v>10</v>
      </c>
      <c r="G99" s="4">
        <v>1923.15</v>
      </c>
    </row>
    <row r="100" spans="2:7" x14ac:dyDescent="0.3">
      <c r="B100" s="12" t="s">
        <v>194</v>
      </c>
      <c r="C100" s="3" t="s">
        <v>195</v>
      </c>
      <c r="D100" s="3" t="s">
        <v>9</v>
      </c>
      <c r="E100" s="3"/>
      <c r="F100" s="3" t="s">
        <v>10</v>
      </c>
      <c r="G100" s="4">
        <v>1902.69</v>
      </c>
    </row>
    <row r="101" spans="2:7" x14ac:dyDescent="0.3">
      <c r="B101" s="12">
        <v>2350</v>
      </c>
      <c r="C101" s="3" t="s">
        <v>196</v>
      </c>
      <c r="D101" s="3" t="s">
        <v>9</v>
      </c>
      <c r="E101" s="3"/>
      <c r="F101" s="3" t="s">
        <v>10</v>
      </c>
      <c r="G101" s="4">
        <v>1876.05</v>
      </c>
    </row>
    <row r="102" spans="2:7" x14ac:dyDescent="0.3">
      <c r="B102" s="12">
        <v>4150</v>
      </c>
      <c r="C102" s="3" t="s">
        <v>197</v>
      </c>
      <c r="D102" s="3" t="s">
        <v>9</v>
      </c>
      <c r="E102" s="3"/>
      <c r="F102" s="3" t="s">
        <v>10</v>
      </c>
      <c r="G102" s="4">
        <v>1818.8</v>
      </c>
    </row>
    <row r="103" spans="2:7" x14ac:dyDescent="0.3">
      <c r="B103" s="12" t="s">
        <v>198</v>
      </c>
      <c r="C103" s="3" t="s">
        <v>199</v>
      </c>
      <c r="D103" s="3" t="s">
        <v>9</v>
      </c>
      <c r="E103" s="3"/>
      <c r="F103" s="3" t="s">
        <v>10</v>
      </c>
      <c r="G103" s="4">
        <v>1812.41</v>
      </c>
    </row>
    <row r="104" spans="2:7" x14ac:dyDescent="0.3">
      <c r="B104" s="12" t="s">
        <v>200</v>
      </c>
      <c r="C104" s="3" t="s">
        <v>201</v>
      </c>
      <c r="D104" s="3" t="s">
        <v>9</v>
      </c>
      <c r="E104" s="3" t="s">
        <v>16</v>
      </c>
      <c r="F104" s="3" t="s">
        <v>10</v>
      </c>
      <c r="G104" s="4">
        <v>1800.97</v>
      </c>
    </row>
    <row r="105" spans="2:7" x14ac:dyDescent="0.3">
      <c r="B105" s="12">
        <v>4001</v>
      </c>
      <c r="C105" s="3" t="s">
        <v>202</v>
      </c>
      <c r="D105" s="3" t="s">
        <v>9</v>
      </c>
      <c r="E105" s="3"/>
      <c r="F105" s="3" t="s">
        <v>10</v>
      </c>
      <c r="G105" s="4">
        <v>1799.76</v>
      </c>
    </row>
    <row r="106" spans="2:7" x14ac:dyDescent="0.3">
      <c r="B106" s="12" t="s">
        <v>203</v>
      </c>
      <c r="C106" s="3" t="s">
        <v>204</v>
      </c>
      <c r="D106" s="3" t="s">
        <v>9</v>
      </c>
      <c r="E106" s="3"/>
      <c r="F106" s="3" t="s">
        <v>10</v>
      </c>
      <c r="G106" s="4">
        <v>1784.57</v>
      </c>
    </row>
    <row r="107" spans="2:7" x14ac:dyDescent="0.3">
      <c r="B107" s="12" t="s">
        <v>205</v>
      </c>
      <c r="C107" s="3" t="s">
        <v>206</v>
      </c>
      <c r="D107" s="3" t="s">
        <v>9</v>
      </c>
      <c r="E107" s="3"/>
      <c r="F107" s="3" t="s">
        <v>10</v>
      </c>
      <c r="G107" s="4">
        <v>1746.99</v>
      </c>
    </row>
    <row r="108" spans="2:7" x14ac:dyDescent="0.3">
      <c r="B108" s="12" t="s">
        <v>207</v>
      </c>
      <c r="C108" s="3" t="s">
        <v>208</v>
      </c>
      <c r="D108" s="3" t="s">
        <v>9</v>
      </c>
      <c r="E108" s="3" t="s">
        <v>16</v>
      </c>
      <c r="F108" s="3" t="s">
        <v>10</v>
      </c>
      <c r="G108" s="4">
        <v>1741.72</v>
      </c>
    </row>
    <row r="109" spans="2:7" x14ac:dyDescent="0.3">
      <c r="B109" s="12" t="s">
        <v>209</v>
      </c>
      <c r="C109" s="3" t="s">
        <v>210</v>
      </c>
      <c r="D109" s="3" t="s">
        <v>9</v>
      </c>
      <c r="E109" s="3"/>
      <c r="F109" s="3" t="s">
        <v>10</v>
      </c>
      <c r="G109" s="4">
        <v>1738.05</v>
      </c>
    </row>
    <row r="110" spans="2:7" x14ac:dyDescent="0.3">
      <c r="B110" s="12" t="s">
        <v>211</v>
      </c>
      <c r="C110" s="3" t="s">
        <v>212</v>
      </c>
      <c r="D110" s="3" t="s">
        <v>9</v>
      </c>
      <c r="E110" s="3" t="s">
        <v>16</v>
      </c>
      <c r="F110" s="3" t="s">
        <v>10</v>
      </c>
      <c r="G110" s="4">
        <v>1736.98</v>
      </c>
    </row>
    <row r="111" spans="2:7" x14ac:dyDescent="0.3">
      <c r="B111" s="12">
        <v>1560</v>
      </c>
      <c r="C111" s="3" t="s">
        <v>213</v>
      </c>
      <c r="D111" s="3" t="s">
        <v>9</v>
      </c>
      <c r="E111" s="3"/>
      <c r="F111" s="3" t="s">
        <v>10</v>
      </c>
      <c r="G111" s="4">
        <v>1736.91</v>
      </c>
    </row>
    <row r="112" spans="2:7" x14ac:dyDescent="0.3">
      <c r="B112" s="12" t="s">
        <v>214</v>
      </c>
      <c r="C112" s="3" t="s">
        <v>215</v>
      </c>
      <c r="D112" s="3" t="s">
        <v>9</v>
      </c>
      <c r="E112" s="3"/>
      <c r="F112" s="3" t="s">
        <v>10</v>
      </c>
      <c r="G112" s="4">
        <v>1722.98</v>
      </c>
    </row>
    <row r="113" spans="2:7" x14ac:dyDescent="0.3">
      <c r="B113" s="12">
        <v>2637</v>
      </c>
      <c r="C113" s="3" t="s">
        <v>216</v>
      </c>
      <c r="D113" s="3" t="s">
        <v>9</v>
      </c>
      <c r="E113" s="3"/>
      <c r="F113" s="3" t="s">
        <v>10</v>
      </c>
      <c r="G113" s="4">
        <v>1630.4</v>
      </c>
    </row>
    <row r="114" spans="2:7" x14ac:dyDescent="0.3">
      <c r="B114" s="12" t="s">
        <v>217</v>
      </c>
      <c r="C114" s="3" t="s">
        <v>218</v>
      </c>
      <c r="D114" s="3" t="s">
        <v>9</v>
      </c>
      <c r="E114" s="3"/>
      <c r="F114" s="3" t="s">
        <v>10</v>
      </c>
      <c r="G114" s="4">
        <v>1593.32</v>
      </c>
    </row>
    <row r="115" spans="2:7" x14ac:dyDescent="0.3">
      <c r="B115" s="12" t="s">
        <v>219</v>
      </c>
      <c r="C115" s="3" t="s">
        <v>220</v>
      </c>
      <c r="D115" s="3" t="s">
        <v>9</v>
      </c>
      <c r="E115" s="3"/>
      <c r="F115" s="3" t="s">
        <v>10</v>
      </c>
      <c r="G115" s="4">
        <v>1499.35</v>
      </c>
    </row>
    <row r="116" spans="2:7" x14ac:dyDescent="0.3">
      <c r="B116" s="12">
        <v>6010</v>
      </c>
      <c r="C116" s="3" t="s">
        <v>221</v>
      </c>
      <c r="D116" s="3" t="s">
        <v>9</v>
      </c>
      <c r="E116" s="3"/>
      <c r="F116" s="3" t="s">
        <v>10</v>
      </c>
      <c r="G116" s="4">
        <v>1473.53</v>
      </c>
    </row>
    <row r="117" spans="2:7" x14ac:dyDescent="0.3">
      <c r="B117" s="12" t="s">
        <v>222</v>
      </c>
      <c r="C117" s="3" t="s">
        <v>223</v>
      </c>
      <c r="D117" s="3" t="s">
        <v>9</v>
      </c>
      <c r="E117" s="3"/>
      <c r="F117" s="3" t="s">
        <v>10</v>
      </c>
      <c r="G117" s="4">
        <v>1467.76</v>
      </c>
    </row>
    <row r="118" spans="2:7" x14ac:dyDescent="0.3">
      <c r="B118" s="12" t="s">
        <v>224</v>
      </c>
      <c r="C118" s="3" t="s">
        <v>225</v>
      </c>
      <c r="D118" s="3" t="s">
        <v>9</v>
      </c>
      <c r="E118" s="3"/>
      <c r="F118" s="3" t="s">
        <v>10</v>
      </c>
      <c r="G118" s="4">
        <v>1461.68</v>
      </c>
    </row>
    <row r="119" spans="2:7" x14ac:dyDescent="0.3">
      <c r="B119" s="12" t="s">
        <v>226</v>
      </c>
      <c r="C119" s="3" t="s">
        <v>227</v>
      </c>
      <c r="D119" s="3" t="s">
        <v>9</v>
      </c>
      <c r="E119" s="3"/>
      <c r="F119" s="3" t="s">
        <v>10</v>
      </c>
      <c r="G119" s="4">
        <v>1439.91</v>
      </c>
    </row>
    <row r="120" spans="2:7" x14ac:dyDescent="0.3">
      <c r="B120" s="12" t="s">
        <v>228</v>
      </c>
      <c r="C120" s="3" t="s">
        <v>229</v>
      </c>
      <c r="D120" s="3" t="s">
        <v>9</v>
      </c>
      <c r="E120" s="3"/>
      <c r="F120" s="3" t="s">
        <v>10</v>
      </c>
      <c r="G120" s="4">
        <v>1434.58</v>
      </c>
    </row>
    <row r="121" spans="2:7" x14ac:dyDescent="0.3">
      <c r="B121" s="12" t="s">
        <v>230</v>
      </c>
      <c r="C121" s="3" t="s">
        <v>231</v>
      </c>
      <c r="D121" s="3" t="s">
        <v>9</v>
      </c>
      <c r="E121" s="3" t="s">
        <v>16</v>
      </c>
      <c r="F121" s="3" t="s">
        <v>10</v>
      </c>
      <c r="G121" s="4">
        <v>1407.66</v>
      </c>
    </row>
    <row r="122" spans="2:7" x14ac:dyDescent="0.3">
      <c r="B122" s="12" t="s">
        <v>232</v>
      </c>
      <c r="C122" s="3" t="s">
        <v>233</v>
      </c>
      <c r="D122" s="3" t="s">
        <v>9</v>
      </c>
      <c r="E122" s="3"/>
      <c r="F122" s="3" t="s">
        <v>10</v>
      </c>
      <c r="G122" s="4">
        <v>1374</v>
      </c>
    </row>
    <row r="123" spans="2:7" x14ac:dyDescent="0.3">
      <c r="B123" s="12" t="s">
        <v>234</v>
      </c>
      <c r="C123" s="3" t="s">
        <v>235</v>
      </c>
      <c r="D123" s="3" t="s">
        <v>9</v>
      </c>
      <c r="E123" s="3" t="s">
        <v>16</v>
      </c>
      <c r="F123" s="3" t="s">
        <v>10</v>
      </c>
      <c r="G123" s="4">
        <v>1372</v>
      </c>
    </row>
    <row r="124" spans="2:7" x14ac:dyDescent="0.3">
      <c r="B124" s="12">
        <v>5904</v>
      </c>
      <c r="C124" s="3" t="s">
        <v>236</v>
      </c>
      <c r="D124" s="3" t="s">
        <v>9</v>
      </c>
      <c r="E124" s="3"/>
      <c r="F124" s="3" t="s">
        <v>10</v>
      </c>
      <c r="G124" s="4">
        <v>1351.87</v>
      </c>
    </row>
    <row r="125" spans="2:7" x14ac:dyDescent="0.3">
      <c r="B125" s="12" t="s">
        <v>237</v>
      </c>
      <c r="C125" s="3" t="s">
        <v>238</v>
      </c>
      <c r="D125" s="3" t="s">
        <v>9</v>
      </c>
      <c r="E125" s="3" t="s">
        <v>16</v>
      </c>
      <c r="F125" s="3" t="s">
        <v>10</v>
      </c>
      <c r="G125" s="4">
        <v>1335.26</v>
      </c>
    </row>
    <row r="126" spans="2:7" x14ac:dyDescent="0.3">
      <c r="B126" s="12" t="s">
        <v>239</v>
      </c>
      <c r="C126" s="3" t="s">
        <v>240</v>
      </c>
      <c r="D126" s="3" t="s">
        <v>9</v>
      </c>
      <c r="E126" s="3"/>
      <c r="F126" s="3" t="s">
        <v>10</v>
      </c>
      <c r="G126" s="4">
        <v>1311.7</v>
      </c>
    </row>
    <row r="127" spans="2:7" x14ac:dyDescent="0.3">
      <c r="B127" s="12" t="s">
        <v>241</v>
      </c>
      <c r="C127" s="3" t="s">
        <v>242</v>
      </c>
      <c r="D127" s="3" t="s">
        <v>9</v>
      </c>
      <c r="E127" s="3"/>
      <c r="F127" s="3" t="s">
        <v>10</v>
      </c>
      <c r="G127" s="4">
        <v>1279</v>
      </c>
    </row>
    <row r="128" spans="2:7" x14ac:dyDescent="0.3">
      <c r="B128" s="12" t="s">
        <v>243</v>
      </c>
      <c r="C128" s="3" t="s">
        <v>244</v>
      </c>
      <c r="D128" s="3" t="s">
        <v>9</v>
      </c>
      <c r="E128" s="3"/>
      <c r="F128" s="3" t="s">
        <v>10</v>
      </c>
      <c r="G128" s="4">
        <v>1251.71</v>
      </c>
    </row>
    <row r="129" spans="2:7" x14ac:dyDescent="0.3">
      <c r="B129" s="12" t="s">
        <v>245</v>
      </c>
      <c r="C129" s="3" t="s">
        <v>246</v>
      </c>
      <c r="D129" s="3" t="s">
        <v>9</v>
      </c>
      <c r="E129" s="3" t="s">
        <v>16</v>
      </c>
      <c r="F129" s="3" t="s">
        <v>10</v>
      </c>
      <c r="G129" s="4">
        <v>1250.98</v>
      </c>
    </row>
    <row r="130" spans="2:7" x14ac:dyDescent="0.3">
      <c r="B130" s="12" t="s">
        <v>247</v>
      </c>
      <c r="C130" s="3" t="s">
        <v>248</v>
      </c>
      <c r="D130" s="3" t="s">
        <v>9</v>
      </c>
      <c r="E130" s="3"/>
      <c r="F130" s="3" t="s">
        <v>10</v>
      </c>
      <c r="G130" s="4">
        <v>1239.07</v>
      </c>
    </row>
    <row r="131" spans="2:7" x14ac:dyDescent="0.3">
      <c r="B131" s="12" t="s">
        <v>249</v>
      </c>
      <c r="C131" s="3" t="s">
        <v>250</v>
      </c>
      <c r="D131" s="3" t="s">
        <v>9</v>
      </c>
      <c r="E131" s="3"/>
      <c r="F131" s="3" t="s">
        <v>10</v>
      </c>
      <c r="G131" s="4">
        <v>1218.2</v>
      </c>
    </row>
    <row r="132" spans="2:7" x14ac:dyDescent="0.3">
      <c r="B132" s="12" t="s">
        <v>462</v>
      </c>
      <c r="C132" s="3" t="s">
        <v>251</v>
      </c>
      <c r="D132" s="3" t="s">
        <v>9</v>
      </c>
      <c r="E132" s="3"/>
      <c r="F132" s="3" t="s">
        <v>10</v>
      </c>
      <c r="G132" s="4">
        <v>1212.22</v>
      </c>
    </row>
    <row r="133" spans="2:7" x14ac:dyDescent="0.3">
      <c r="B133" s="12" t="s">
        <v>252</v>
      </c>
      <c r="C133" s="3" t="s">
        <v>253</v>
      </c>
      <c r="D133" s="3" t="s">
        <v>9</v>
      </c>
      <c r="E133" s="3" t="s">
        <v>16</v>
      </c>
      <c r="F133" s="3" t="s">
        <v>10</v>
      </c>
      <c r="G133" s="4">
        <v>1182.33</v>
      </c>
    </row>
    <row r="134" spans="2:7" x14ac:dyDescent="0.3">
      <c r="B134" s="12" t="s">
        <v>254</v>
      </c>
      <c r="C134" s="3" t="s">
        <v>255</v>
      </c>
      <c r="D134" s="3" t="s">
        <v>9</v>
      </c>
      <c r="E134" s="3"/>
      <c r="F134" s="3" t="s">
        <v>10</v>
      </c>
      <c r="G134" s="4">
        <v>1163.1600000000001</v>
      </c>
    </row>
    <row r="135" spans="2:7" x14ac:dyDescent="0.3">
      <c r="B135" s="12" t="s">
        <v>256</v>
      </c>
      <c r="C135" s="3" t="s">
        <v>257</v>
      </c>
      <c r="D135" s="3" t="s">
        <v>9</v>
      </c>
      <c r="E135" s="3"/>
      <c r="F135" s="3" t="s">
        <v>10</v>
      </c>
      <c r="G135" s="4">
        <v>1143.5899999999999</v>
      </c>
    </row>
    <row r="136" spans="2:7" x14ac:dyDescent="0.3">
      <c r="B136" s="12" t="s">
        <v>258</v>
      </c>
      <c r="C136" s="3" t="s">
        <v>259</v>
      </c>
      <c r="D136" s="3" t="s">
        <v>9</v>
      </c>
      <c r="E136" s="3"/>
      <c r="F136" s="3" t="s">
        <v>10</v>
      </c>
      <c r="G136" s="4">
        <v>1135.67</v>
      </c>
    </row>
    <row r="137" spans="2:7" x14ac:dyDescent="0.3">
      <c r="B137" s="12" t="s">
        <v>260</v>
      </c>
      <c r="C137" s="3" t="s">
        <v>261</v>
      </c>
      <c r="D137" s="3" t="s">
        <v>9</v>
      </c>
      <c r="E137" s="3"/>
      <c r="F137" s="3" t="s">
        <v>10</v>
      </c>
      <c r="G137" s="4">
        <v>1124.81</v>
      </c>
    </row>
    <row r="138" spans="2:7" x14ac:dyDescent="0.3">
      <c r="B138" s="12" t="s">
        <v>262</v>
      </c>
      <c r="C138" s="3" t="s">
        <v>263</v>
      </c>
      <c r="D138" s="3" t="s">
        <v>9</v>
      </c>
      <c r="E138" s="3"/>
      <c r="F138" s="3" t="s">
        <v>10</v>
      </c>
      <c r="G138" s="4">
        <v>1119.97</v>
      </c>
    </row>
    <row r="139" spans="2:7" x14ac:dyDescent="0.3">
      <c r="B139" s="12" t="s">
        <v>264</v>
      </c>
      <c r="C139" s="3" t="s">
        <v>265</v>
      </c>
      <c r="D139" s="3" t="s">
        <v>9</v>
      </c>
      <c r="E139" s="3"/>
      <c r="F139" s="3" t="s">
        <v>10</v>
      </c>
      <c r="G139" s="4">
        <v>1115.73</v>
      </c>
    </row>
    <row r="140" spans="2:7" x14ac:dyDescent="0.3">
      <c r="B140" s="12" t="s">
        <v>266</v>
      </c>
      <c r="C140" s="3" t="s">
        <v>267</v>
      </c>
      <c r="D140" s="3" t="s">
        <v>9</v>
      </c>
      <c r="E140" s="3"/>
      <c r="F140" s="3" t="s">
        <v>10</v>
      </c>
      <c r="G140" s="4">
        <v>1097.22</v>
      </c>
    </row>
    <row r="141" spans="2:7" x14ac:dyDescent="0.3">
      <c r="B141" s="12" t="s">
        <v>268</v>
      </c>
      <c r="C141" s="3" t="s">
        <v>269</v>
      </c>
      <c r="D141" s="3" t="s">
        <v>9</v>
      </c>
      <c r="E141" s="3"/>
      <c r="F141" s="3" t="s">
        <v>10</v>
      </c>
      <c r="G141" s="4">
        <v>1086.8900000000001</v>
      </c>
    </row>
    <row r="142" spans="2:7" x14ac:dyDescent="0.3">
      <c r="B142" s="12" t="s">
        <v>270</v>
      </c>
      <c r="C142" s="3" t="s">
        <v>271</v>
      </c>
      <c r="D142" s="3" t="s">
        <v>9</v>
      </c>
      <c r="E142" s="3" t="s">
        <v>13</v>
      </c>
      <c r="F142" s="3" t="s">
        <v>10</v>
      </c>
      <c r="G142" s="4">
        <v>1085.49</v>
      </c>
    </row>
    <row r="143" spans="2:7" x14ac:dyDescent="0.3">
      <c r="B143" s="12" t="s">
        <v>272</v>
      </c>
      <c r="C143" s="3" t="s">
        <v>273</v>
      </c>
      <c r="D143" s="3" t="s">
        <v>9</v>
      </c>
      <c r="E143" s="3"/>
      <c r="F143" s="3" t="s">
        <v>10</v>
      </c>
      <c r="G143" s="4">
        <v>1084.6199999999999</v>
      </c>
    </row>
    <row r="144" spans="2:7" x14ac:dyDescent="0.3">
      <c r="B144" s="12" t="s">
        <v>274</v>
      </c>
      <c r="C144" s="3" t="s">
        <v>275</v>
      </c>
      <c r="D144" s="3" t="s">
        <v>9</v>
      </c>
      <c r="E144" s="3"/>
      <c r="F144" s="3" t="s">
        <v>10</v>
      </c>
      <c r="G144" s="4">
        <v>1060.0899999999999</v>
      </c>
    </row>
    <row r="145" spans="2:7" x14ac:dyDescent="0.3">
      <c r="B145" s="12">
        <v>4743</v>
      </c>
      <c r="C145" s="3" t="s">
        <v>276</v>
      </c>
      <c r="D145" s="3" t="s">
        <v>9</v>
      </c>
      <c r="E145" s="3"/>
      <c r="F145" s="3" t="s">
        <v>10</v>
      </c>
      <c r="G145" s="4">
        <v>1058.96</v>
      </c>
    </row>
    <row r="146" spans="2:7" x14ac:dyDescent="0.3">
      <c r="B146" s="12" t="s">
        <v>277</v>
      </c>
      <c r="C146" s="3" t="s">
        <v>278</v>
      </c>
      <c r="D146" s="3" t="s">
        <v>9</v>
      </c>
      <c r="E146" s="3"/>
      <c r="F146" s="3" t="s">
        <v>10</v>
      </c>
      <c r="G146" s="4">
        <v>1054.05</v>
      </c>
    </row>
    <row r="147" spans="2:7" x14ac:dyDescent="0.3">
      <c r="B147" s="12" t="s">
        <v>279</v>
      </c>
      <c r="C147" s="3" t="s">
        <v>280</v>
      </c>
      <c r="D147" s="3" t="s">
        <v>9</v>
      </c>
      <c r="E147" s="3" t="s">
        <v>16</v>
      </c>
      <c r="F147" s="3" t="s">
        <v>10</v>
      </c>
      <c r="G147" s="4">
        <v>1051.79</v>
      </c>
    </row>
    <row r="148" spans="2:7" x14ac:dyDescent="0.3">
      <c r="B148" s="12" t="s">
        <v>281</v>
      </c>
      <c r="C148" s="3" t="s">
        <v>282</v>
      </c>
      <c r="D148" s="3" t="s">
        <v>9</v>
      </c>
      <c r="E148" s="3" t="s">
        <v>16</v>
      </c>
      <c r="F148" s="3" t="s">
        <v>10</v>
      </c>
      <c r="G148" s="4">
        <v>1032.51</v>
      </c>
    </row>
    <row r="149" spans="2:7" x14ac:dyDescent="0.3">
      <c r="B149" s="12" t="s">
        <v>283</v>
      </c>
      <c r="C149" s="3" t="s">
        <v>284</v>
      </c>
      <c r="D149" s="3" t="s">
        <v>9</v>
      </c>
      <c r="E149" s="3"/>
      <c r="F149" s="3" t="s">
        <v>10</v>
      </c>
      <c r="G149" s="4">
        <v>1023.91</v>
      </c>
    </row>
    <row r="150" spans="2:7" x14ac:dyDescent="0.3">
      <c r="B150" s="12" t="s">
        <v>285</v>
      </c>
      <c r="C150" s="3" t="s">
        <v>286</v>
      </c>
      <c r="D150" s="3" t="s">
        <v>9</v>
      </c>
      <c r="E150" s="3"/>
      <c r="F150" s="3" t="s">
        <v>10</v>
      </c>
      <c r="G150" s="4">
        <v>1020.94</v>
      </c>
    </row>
    <row r="151" spans="2:7" x14ac:dyDescent="0.3">
      <c r="B151" s="12" t="s">
        <v>287</v>
      </c>
      <c r="C151" s="3" t="s">
        <v>288</v>
      </c>
      <c r="D151" s="3" t="s">
        <v>9</v>
      </c>
      <c r="E151" s="3"/>
      <c r="F151" s="3" t="s">
        <v>10</v>
      </c>
      <c r="G151" s="4">
        <v>1013.89</v>
      </c>
    </row>
    <row r="152" spans="2:7" x14ac:dyDescent="0.3">
      <c r="B152" s="12" t="s">
        <v>289</v>
      </c>
      <c r="C152" s="3" t="s">
        <v>290</v>
      </c>
      <c r="D152" s="3" t="s">
        <v>9</v>
      </c>
      <c r="E152" s="3" t="s">
        <v>13</v>
      </c>
      <c r="F152" s="3" t="s">
        <v>10</v>
      </c>
      <c r="G152" s="4">
        <v>1009.21</v>
      </c>
    </row>
    <row r="153" spans="2:7" x14ac:dyDescent="0.3">
      <c r="B153" s="12" t="s">
        <v>291</v>
      </c>
      <c r="C153" s="3" t="s">
        <v>292</v>
      </c>
      <c r="D153" s="3" t="s">
        <v>9</v>
      </c>
      <c r="E153" s="3" t="s">
        <v>16</v>
      </c>
      <c r="F153" s="3" t="s">
        <v>10</v>
      </c>
      <c r="G153" s="4">
        <v>997.42</v>
      </c>
    </row>
    <row r="154" spans="2:7" x14ac:dyDescent="0.3">
      <c r="B154" s="12" t="s">
        <v>293</v>
      </c>
      <c r="C154" s="3" t="s">
        <v>294</v>
      </c>
      <c r="D154" s="3" t="s">
        <v>9</v>
      </c>
      <c r="E154" s="3"/>
      <c r="F154" s="3" t="s">
        <v>10</v>
      </c>
      <c r="G154" s="4">
        <v>965.15</v>
      </c>
    </row>
    <row r="155" spans="2:7" x14ac:dyDescent="0.3">
      <c r="B155" s="12" t="s">
        <v>295</v>
      </c>
      <c r="C155" s="3" t="s">
        <v>296</v>
      </c>
      <c r="D155" s="3" t="s">
        <v>9</v>
      </c>
      <c r="E155" s="3"/>
      <c r="F155" s="3" t="s">
        <v>10</v>
      </c>
      <c r="G155" s="4">
        <v>962.18</v>
      </c>
    </row>
    <row r="156" spans="2:7" x14ac:dyDescent="0.3">
      <c r="B156" s="12" t="s">
        <v>297</v>
      </c>
      <c r="C156" s="3" t="s">
        <v>298</v>
      </c>
      <c r="D156" s="3" t="s">
        <v>9</v>
      </c>
      <c r="E156" s="3"/>
      <c r="F156" s="3" t="s">
        <v>10</v>
      </c>
      <c r="G156" s="4">
        <v>931.94</v>
      </c>
    </row>
    <row r="157" spans="2:7" x14ac:dyDescent="0.3">
      <c r="B157" s="12" t="s">
        <v>299</v>
      </c>
      <c r="C157" s="3" t="s">
        <v>300</v>
      </c>
      <c r="D157" s="3" t="s">
        <v>9</v>
      </c>
      <c r="E157" s="3"/>
      <c r="F157" s="3" t="s">
        <v>10</v>
      </c>
      <c r="G157" s="4">
        <v>856.57</v>
      </c>
    </row>
    <row r="158" spans="2:7" x14ac:dyDescent="0.3">
      <c r="B158" s="12" t="s">
        <v>301</v>
      </c>
      <c r="C158" s="3" t="s">
        <v>302</v>
      </c>
      <c r="D158" s="3" t="s">
        <v>9</v>
      </c>
      <c r="E158" s="3" t="s">
        <v>13</v>
      </c>
      <c r="F158" s="3" t="s">
        <v>10</v>
      </c>
      <c r="G158" s="4">
        <v>855.11</v>
      </c>
    </row>
    <row r="159" spans="2:7" x14ac:dyDescent="0.3">
      <c r="B159" s="12" t="s">
        <v>303</v>
      </c>
      <c r="C159" s="3" t="s">
        <v>304</v>
      </c>
      <c r="D159" s="3" t="s">
        <v>9</v>
      </c>
      <c r="E159" s="3" t="s">
        <v>16</v>
      </c>
      <c r="F159" s="3" t="s">
        <v>10</v>
      </c>
      <c r="G159" s="4">
        <v>854.82</v>
      </c>
    </row>
    <row r="160" spans="2:7" x14ac:dyDescent="0.3">
      <c r="B160" s="12">
        <v>6561</v>
      </c>
      <c r="C160" s="3" t="s">
        <v>305</v>
      </c>
      <c r="D160" s="3" t="s">
        <v>9</v>
      </c>
      <c r="E160" s="3"/>
      <c r="F160" s="3" t="s">
        <v>10</v>
      </c>
      <c r="G160" s="4">
        <v>854.09</v>
      </c>
    </row>
    <row r="161" spans="2:7" x14ac:dyDescent="0.3">
      <c r="B161" s="12">
        <v>3714</v>
      </c>
      <c r="C161" s="3" t="s">
        <v>306</v>
      </c>
      <c r="D161" s="3" t="s">
        <v>9</v>
      </c>
      <c r="E161" s="3"/>
      <c r="F161" s="3" t="s">
        <v>10</v>
      </c>
      <c r="G161" s="4">
        <v>825.83</v>
      </c>
    </row>
    <row r="162" spans="2:7" x14ac:dyDescent="0.3">
      <c r="B162" s="12">
        <v>6116</v>
      </c>
      <c r="C162" s="3" t="s">
        <v>307</v>
      </c>
      <c r="D162" s="3" t="s">
        <v>9</v>
      </c>
      <c r="E162" s="3"/>
      <c r="F162" s="3" t="s">
        <v>10</v>
      </c>
      <c r="G162" s="4">
        <v>822.12</v>
      </c>
    </row>
    <row r="163" spans="2:7" x14ac:dyDescent="0.3">
      <c r="B163" s="12" t="s">
        <v>308</v>
      </c>
      <c r="C163" s="3" t="s">
        <v>309</v>
      </c>
      <c r="D163" s="3" t="s">
        <v>9</v>
      </c>
      <c r="E163" s="3"/>
      <c r="F163" s="3" t="s">
        <v>10</v>
      </c>
      <c r="G163" s="4">
        <v>815.42</v>
      </c>
    </row>
    <row r="164" spans="2:7" x14ac:dyDescent="0.3">
      <c r="B164" s="12" t="s">
        <v>310</v>
      </c>
      <c r="C164" s="3" t="s">
        <v>311</v>
      </c>
      <c r="D164" s="3" t="s">
        <v>9</v>
      </c>
      <c r="E164" s="3"/>
      <c r="F164" s="3" t="s">
        <v>10</v>
      </c>
      <c r="G164" s="4">
        <v>796.03</v>
      </c>
    </row>
    <row r="165" spans="2:7" x14ac:dyDescent="0.3">
      <c r="B165" s="12" t="s">
        <v>312</v>
      </c>
      <c r="C165" s="3" t="s">
        <v>313</v>
      </c>
      <c r="D165" s="3" t="s">
        <v>9</v>
      </c>
      <c r="E165" s="3" t="s">
        <v>16</v>
      </c>
      <c r="F165" s="3" t="s">
        <v>10</v>
      </c>
      <c r="G165" s="4">
        <v>795.89</v>
      </c>
    </row>
    <row r="166" spans="2:7" x14ac:dyDescent="0.3">
      <c r="B166" s="12" t="s">
        <v>314</v>
      </c>
      <c r="C166" s="3" t="s">
        <v>315</v>
      </c>
      <c r="D166" s="3" t="s">
        <v>9</v>
      </c>
      <c r="E166" s="3"/>
      <c r="F166" s="3" t="s">
        <v>10</v>
      </c>
      <c r="G166" s="4">
        <v>778.61</v>
      </c>
    </row>
    <row r="167" spans="2:7" x14ac:dyDescent="0.3">
      <c r="B167" s="12" t="s">
        <v>316</v>
      </c>
      <c r="C167" s="3" t="s">
        <v>317</v>
      </c>
      <c r="D167" s="3" t="s">
        <v>9</v>
      </c>
      <c r="E167" s="3" t="s">
        <v>16</v>
      </c>
      <c r="F167" s="3" t="s">
        <v>10</v>
      </c>
      <c r="G167" s="4">
        <v>770.82</v>
      </c>
    </row>
    <row r="168" spans="2:7" x14ac:dyDescent="0.3">
      <c r="B168" s="12">
        <v>2040</v>
      </c>
      <c r="C168" s="3" t="s">
        <v>318</v>
      </c>
      <c r="D168" s="3" t="s">
        <v>9</v>
      </c>
      <c r="E168" s="3"/>
      <c r="F168" s="3" t="s">
        <v>10</v>
      </c>
      <c r="G168" s="4">
        <v>758.64</v>
      </c>
    </row>
    <row r="169" spans="2:7" x14ac:dyDescent="0.3">
      <c r="B169" s="12">
        <v>2014</v>
      </c>
      <c r="C169" s="3" t="s">
        <v>319</v>
      </c>
      <c r="D169" s="3" t="s">
        <v>9</v>
      </c>
      <c r="E169" s="3"/>
      <c r="F169" s="3" t="s">
        <v>10</v>
      </c>
      <c r="G169" s="4">
        <v>754.37</v>
      </c>
    </row>
    <row r="170" spans="2:7" x14ac:dyDescent="0.3">
      <c r="B170" s="12" t="s">
        <v>320</v>
      </c>
      <c r="C170" s="3" t="s">
        <v>321</v>
      </c>
      <c r="D170" s="3" t="s">
        <v>9</v>
      </c>
      <c r="E170" s="3" t="s">
        <v>16</v>
      </c>
      <c r="F170" s="3" t="s">
        <v>10</v>
      </c>
      <c r="G170" s="4">
        <v>739.29</v>
      </c>
    </row>
    <row r="171" spans="2:7" x14ac:dyDescent="0.3">
      <c r="B171" s="12" t="s">
        <v>322</v>
      </c>
      <c r="C171" s="3" t="s">
        <v>323</v>
      </c>
      <c r="D171" s="3" t="s">
        <v>9</v>
      </c>
      <c r="E171" s="3"/>
      <c r="F171" s="3" t="s">
        <v>10</v>
      </c>
      <c r="G171" s="4">
        <v>738.88</v>
      </c>
    </row>
    <row r="172" spans="2:7" x14ac:dyDescent="0.3">
      <c r="B172" s="12" t="s">
        <v>31</v>
      </c>
      <c r="C172" s="3" t="s">
        <v>324</v>
      </c>
      <c r="D172" s="3" t="s">
        <v>9</v>
      </c>
      <c r="E172" s="3" t="s">
        <v>16</v>
      </c>
      <c r="F172" s="3" t="s">
        <v>10</v>
      </c>
      <c r="G172" s="4">
        <v>728.97</v>
      </c>
    </row>
    <row r="173" spans="2:7" x14ac:dyDescent="0.3">
      <c r="B173" s="12">
        <v>2820</v>
      </c>
      <c r="C173" s="3" t="s">
        <v>325</v>
      </c>
      <c r="D173" s="3" t="s">
        <v>9</v>
      </c>
      <c r="E173" s="3"/>
      <c r="F173" s="3" t="s">
        <v>10</v>
      </c>
      <c r="G173" s="4">
        <v>724.89</v>
      </c>
    </row>
    <row r="174" spans="2:7" x14ac:dyDescent="0.3">
      <c r="B174" s="12" t="s">
        <v>326</v>
      </c>
      <c r="C174" s="3" t="s">
        <v>327</v>
      </c>
      <c r="D174" s="3" t="s">
        <v>9</v>
      </c>
      <c r="E174" s="3"/>
      <c r="F174" s="3" t="s">
        <v>10</v>
      </c>
      <c r="G174" s="4">
        <v>724.28</v>
      </c>
    </row>
    <row r="175" spans="2:7" x14ac:dyDescent="0.3">
      <c r="B175" s="12" t="s">
        <v>328</v>
      </c>
      <c r="C175" s="3" t="s">
        <v>329</v>
      </c>
      <c r="D175" s="3" t="s">
        <v>9</v>
      </c>
      <c r="E175" s="3"/>
      <c r="F175" s="3" t="s">
        <v>10</v>
      </c>
      <c r="G175" s="4">
        <v>722.29</v>
      </c>
    </row>
    <row r="176" spans="2:7" x14ac:dyDescent="0.3">
      <c r="B176" s="12" t="s">
        <v>330</v>
      </c>
      <c r="C176" s="3" t="s">
        <v>331</v>
      </c>
      <c r="D176" s="3" t="s">
        <v>9</v>
      </c>
      <c r="E176" s="3"/>
      <c r="F176" s="3" t="s">
        <v>10</v>
      </c>
      <c r="G176" s="4">
        <v>686.05</v>
      </c>
    </row>
    <row r="177" spans="2:7" x14ac:dyDescent="0.3">
      <c r="B177" s="12" t="s">
        <v>332</v>
      </c>
      <c r="C177" s="3" t="s">
        <v>333</v>
      </c>
      <c r="D177" s="3" t="s">
        <v>9</v>
      </c>
      <c r="E177" s="3"/>
      <c r="F177" s="3" t="s">
        <v>24</v>
      </c>
      <c r="G177" s="4">
        <v>682.5</v>
      </c>
    </row>
    <row r="178" spans="2:7" x14ac:dyDescent="0.3">
      <c r="B178" s="12" t="s">
        <v>334</v>
      </c>
      <c r="C178" s="3" t="s">
        <v>335</v>
      </c>
      <c r="D178" s="3" t="s">
        <v>9</v>
      </c>
      <c r="E178" s="3"/>
      <c r="F178" s="3" t="s">
        <v>10</v>
      </c>
      <c r="G178" s="4">
        <v>652.71</v>
      </c>
    </row>
    <row r="179" spans="2:7" x14ac:dyDescent="0.3">
      <c r="B179" s="12">
        <v>5530</v>
      </c>
      <c r="C179" s="3" t="s">
        <v>336</v>
      </c>
      <c r="D179" s="3" t="s">
        <v>9</v>
      </c>
      <c r="E179" s="3"/>
      <c r="F179" s="3" t="s">
        <v>10</v>
      </c>
      <c r="G179" s="4">
        <v>648.62</v>
      </c>
    </row>
    <row r="180" spans="2:7" x14ac:dyDescent="0.3">
      <c r="B180" s="12">
        <v>3014</v>
      </c>
      <c r="C180" s="3" t="s">
        <v>337</v>
      </c>
      <c r="D180" s="3" t="s">
        <v>9</v>
      </c>
      <c r="E180" s="3"/>
      <c r="F180" s="3" t="s">
        <v>10</v>
      </c>
      <c r="G180" s="4">
        <v>642.48</v>
      </c>
    </row>
    <row r="181" spans="2:7" x14ac:dyDescent="0.3">
      <c r="B181" s="12" t="s">
        <v>338</v>
      </c>
      <c r="C181" s="3" t="s">
        <v>339</v>
      </c>
      <c r="D181" s="3" t="s">
        <v>9</v>
      </c>
      <c r="E181" s="3"/>
      <c r="F181" s="3" t="s">
        <v>10</v>
      </c>
      <c r="G181" s="4">
        <v>642.25</v>
      </c>
    </row>
    <row r="182" spans="2:7" x14ac:dyDescent="0.3">
      <c r="B182" s="12">
        <v>9802</v>
      </c>
      <c r="C182" s="3" t="s">
        <v>340</v>
      </c>
      <c r="D182" s="3" t="s">
        <v>9</v>
      </c>
      <c r="E182" s="3"/>
      <c r="F182" s="3" t="s">
        <v>10</v>
      </c>
      <c r="G182" s="4">
        <v>639.86</v>
      </c>
    </row>
    <row r="183" spans="2:7" x14ac:dyDescent="0.3">
      <c r="B183" s="12" t="s">
        <v>341</v>
      </c>
      <c r="C183" s="3" t="s">
        <v>342</v>
      </c>
      <c r="D183" s="3" t="s">
        <v>9</v>
      </c>
      <c r="E183" s="3"/>
      <c r="F183" s="3" t="s">
        <v>10</v>
      </c>
      <c r="G183" s="4">
        <v>637.88</v>
      </c>
    </row>
    <row r="184" spans="2:7" x14ac:dyDescent="0.3">
      <c r="B184" s="12" t="s">
        <v>343</v>
      </c>
      <c r="C184" s="3" t="s">
        <v>344</v>
      </c>
      <c r="D184" s="3" t="s">
        <v>9</v>
      </c>
      <c r="E184" s="3" t="s">
        <v>16</v>
      </c>
      <c r="F184" s="3" t="s">
        <v>10</v>
      </c>
      <c r="G184" s="4">
        <v>634.6</v>
      </c>
    </row>
    <row r="185" spans="2:7" x14ac:dyDescent="0.3">
      <c r="B185" s="12">
        <v>2402</v>
      </c>
      <c r="C185" s="3" t="s">
        <v>346</v>
      </c>
      <c r="D185" s="3" t="s">
        <v>9</v>
      </c>
      <c r="E185" s="3"/>
      <c r="F185" s="3" t="s">
        <v>10</v>
      </c>
      <c r="G185" s="4">
        <v>628.53</v>
      </c>
    </row>
    <row r="186" spans="2:7" x14ac:dyDescent="0.3">
      <c r="B186" s="12" t="s">
        <v>347</v>
      </c>
      <c r="C186" s="3" t="s">
        <v>348</v>
      </c>
      <c r="D186" s="3" t="s">
        <v>9</v>
      </c>
      <c r="E186" s="3"/>
      <c r="F186" s="3" t="s">
        <v>10</v>
      </c>
      <c r="G186" s="4">
        <v>626.16999999999996</v>
      </c>
    </row>
    <row r="187" spans="2:7" x14ac:dyDescent="0.3">
      <c r="B187" s="12" t="s">
        <v>349</v>
      </c>
      <c r="C187" s="3" t="s">
        <v>350</v>
      </c>
      <c r="D187" s="3" t="s">
        <v>9</v>
      </c>
      <c r="E187" s="3"/>
      <c r="F187" s="3" t="s">
        <v>10</v>
      </c>
      <c r="G187" s="4">
        <v>625.72</v>
      </c>
    </row>
    <row r="188" spans="2:7" x14ac:dyDescent="0.3">
      <c r="B188" s="12" t="s">
        <v>351</v>
      </c>
      <c r="C188" s="3" t="s">
        <v>352</v>
      </c>
      <c r="D188" s="3" t="s">
        <v>9</v>
      </c>
      <c r="E188" s="3"/>
      <c r="F188" s="3" t="s">
        <v>10</v>
      </c>
      <c r="G188" s="4">
        <v>623.33000000000004</v>
      </c>
    </row>
    <row r="189" spans="2:7" x14ac:dyDescent="0.3">
      <c r="B189" s="12" t="s">
        <v>353</v>
      </c>
      <c r="C189" s="3" t="s">
        <v>354</v>
      </c>
      <c r="D189" s="3" t="s">
        <v>9</v>
      </c>
      <c r="E189" s="3"/>
      <c r="F189" s="3" t="s">
        <v>10</v>
      </c>
      <c r="G189" s="4">
        <v>619.75</v>
      </c>
    </row>
    <row r="190" spans="2:7" x14ac:dyDescent="0.3">
      <c r="B190" s="12" t="s">
        <v>355</v>
      </c>
      <c r="C190" s="3" t="s">
        <v>356</v>
      </c>
      <c r="D190" s="3" t="s">
        <v>9</v>
      </c>
      <c r="E190" s="3"/>
      <c r="F190" s="3" t="s">
        <v>10</v>
      </c>
      <c r="G190" s="4">
        <v>599.04999999999995</v>
      </c>
    </row>
    <row r="191" spans="2:7" x14ac:dyDescent="0.3">
      <c r="B191" s="12" t="s">
        <v>357</v>
      </c>
      <c r="C191" s="3" t="s">
        <v>358</v>
      </c>
      <c r="D191" s="3" t="s">
        <v>9</v>
      </c>
      <c r="E191" s="3"/>
      <c r="F191" s="3" t="s">
        <v>10</v>
      </c>
      <c r="G191" s="4">
        <v>586.17999999999995</v>
      </c>
    </row>
    <row r="192" spans="2:7" x14ac:dyDescent="0.3">
      <c r="B192" s="12">
        <v>4961</v>
      </c>
      <c r="C192" s="3" t="s">
        <v>359</v>
      </c>
      <c r="D192" s="3" t="s">
        <v>9</v>
      </c>
      <c r="E192" s="3"/>
      <c r="F192" s="3" t="s">
        <v>10</v>
      </c>
      <c r="G192" s="4">
        <v>585.04999999999995</v>
      </c>
    </row>
    <row r="193" spans="2:7" x14ac:dyDescent="0.3">
      <c r="B193" s="12" t="s">
        <v>360</v>
      </c>
      <c r="C193" s="3" t="s">
        <v>361</v>
      </c>
      <c r="D193" s="3" t="s">
        <v>9</v>
      </c>
      <c r="E193" s="3"/>
      <c r="F193" s="3" t="s">
        <v>10</v>
      </c>
      <c r="G193" s="4">
        <v>547.78</v>
      </c>
    </row>
    <row r="194" spans="2:7" x14ac:dyDescent="0.3">
      <c r="B194" s="12" t="s">
        <v>362</v>
      </c>
      <c r="C194" s="3" t="s">
        <v>363</v>
      </c>
      <c r="D194" s="3" t="s">
        <v>9</v>
      </c>
      <c r="E194" s="3" t="s">
        <v>16</v>
      </c>
      <c r="F194" s="3" t="s">
        <v>10</v>
      </c>
      <c r="G194" s="4">
        <v>547.16</v>
      </c>
    </row>
    <row r="195" spans="2:7" x14ac:dyDescent="0.3">
      <c r="B195" s="12" t="s">
        <v>364</v>
      </c>
      <c r="C195" s="3" t="s">
        <v>365</v>
      </c>
      <c r="D195" s="3" t="s">
        <v>9</v>
      </c>
      <c r="E195" s="3"/>
      <c r="F195" s="3" t="s">
        <v>10</v>
      </c>
      <c r="G195" s="4">
        <v>546.16</v>
      </c>
    </row>
    <row r="196" spans="2:7" x14ac:dyDescent="0.3">
      <c r="B196" s="12" t="s">
        <v>366</v>
      </c>
      <c r="C196" s="3" t="s">
        <v>367</v>
      </c>
      <c r="D196" s="3" t="s">
        <v>9</v>
      </c>
      <c r="E196" s="3"/>
      <c r="F196" s="3" t="s">
        <v>10</v>
      </c>
      <c r="G196" s="4">
        <v>542.37</v>
      </c>
    </row>
    <row r="197" spans="2:7" x14ac:dyDescent="0.3">
      <c r="B197" s="12" t="s">
        <v>368</v>
      </c>
      <c r="C197" s="3" t="s">
        <v>369</v>
      </c>
      <c r="D197" s="3" t="s">
        <v>9</v>
      </c>
      <c r="E197" s="3"/>
      <c r="F197" s="3" t="s">
        <v>10</v>
      </c>
      <c r="G197" s="4">
        <v>529.61</v>
      </c>
    </row>
    <row r="198" spans="2:7" x14ac:dyDescent="0.3">
      <c r="B198" s="12" t="s">
        <v>461</v>
      </c>
      <c r="C198" s="3" t="s">
        <v>370</v>
      </c>
      <c r="D198" s="3" t="s">
        <v>9</v>
      </c>
      <c r="E198" s="3"/>
      <c r="F198" s="3" t="s">
        <v>10</v>
      </c>
      <c r="G198" s="4">
        <v>522.6</v>
      </c>
    </row>
    <row r="199" spans="2:7" x14ac:dyDescent="0.3">
      <c r="B199" s="12" t="s">
        <v>371</v>
      </c>
      <c r="C199" s="3" t="s">
        <v>372</v>
      </c>
      <c r="D199" s="3" t="s">
        <v>9</v>
      </c>
      <c r="E199" s="3"/>
      <c r="F199" s="3" t="s">
        <v>10</v>
      </c>
      <c r="G199" s="4">
        <v>521.39</v>
      </c>
    </row>
    <row r="200" spans="2:7" x14ac:dyDescent="0.3">
      <c r="B200" s="12" t="s">
        <v>373</v>
      </c>
      <c r="C200" s="3" t="s">
        <v>374</v>
      </c>
      <c r="D200" s="3" t="s">
        <v>9</v>
      </c>
      <c r="E200" s="3"/>
      <c r="F200" s="3" t="s">
        <v>10</v>
      </c>
      <c r="G200" s="4">
        <v>517.23</v>
      </c>
    </row>
    <row r="201" spans="2:7" x14ac:dyDescent="0.3">
      <c r="B201" s="12">
        <v>3673</v>
      </c>
      <c r="C201" s="3" t="s">
        <v>375</v>
      </c>
      <c r="D201" s="3" t="s">
        <v>9</v>
      </c>
      <c r="E201" s="3"/>
      <c r="F201" s="3" t="s">
        <v>10</v>
      </c>
      <c r="G201" s="4">
        <v>517.20000000000005</v>
      </c>
    </row>
    <row r="202" spans="2:7" x14ac:dyDescent="0.3">
      <c r="B202" s="12" t="s">
        <v>376</v>
      </c>
      <c r="C202" s="3" t="s">
        <v>377</v>
      </c>
      <c r="D202" s="3" t="s">
        <v>9</v>
      </c>
      <c r="E202" s="3"/>
      <c r="F202" s="3" t="s">
        <v>10</v>
      </c>
      <c r="G202" s="4">
        <v>514.53</v>
      </c>
    </row>
    <row r="203" spans="2:7" x14ac:dyDescent="0.3">
      <c r="B203" s="12" t="s">
        <v>378</v>
      </c>
      <c r="C203" s="3" t="s">
        <v>379</v>
      </c>
      <c r="D203" s="3" t="s">
        <v>9</v>
      </c>
      <c r="E203" s="3"/>
      <c r="F203" s="3" t="s">
        <v>10</v>
      </c>
      <c r="G203" s="4">
        <v>512.80999999999995</v>
      </c>
    </row>
    <row r="204" spans="2:7" x14ac:dyDescent="0.3">
      <c r="B204" s="12" t="s">
        <v>380</v>
      </c>
      <c r="C204" s="3" t="s">
        <v>381</v>
      </c>
      <c r="D204" s="3" t="s">
        <v>9</v>
      </c>
      <c r="E204" s="3"/>
      <c r="F204" s="3" t="s">
        <v>10</v>
      </c>
      <c r="G204" s="4">
        <v>508.6</v>
      </c>
    </row>
  </sheetData>
  <autoFilter ref="B3:G204" xr:uid="{00000000-0009-0000-0000-000000000000}">
    <sortState xmlns:xlrd2="http://schemas.microsoft.com/office/spreadsheetml/2017/richdata2" ref="B4:G204">
      <sortCondition descending="1" ref="G3:G204"/>
    </sortState>
  </autoFilter>
  <phoneticPr fontId="6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B2:AA85"/>
  <sheetViews>
    <sheetView topLeftCell="A44" zoomScale="85" zoomScaleNormal="85" workbookViewId="0">
      <selection activeCell="D76" sqref="A76:XFD76"/>
    </sheetView>
  </sheetViews>
  <sheetFormatPr defaultRowHeight="16.5" x14ac:dyDescent="0.3"/>
  <cols>
    <col min="1" max="1" width="3" customWidth="1"/>
    <col min="2" max="2" width="13.375" style="13" customWidth="1"/>
    <col min="3" max="3" width="14" customWidth="1"/>
    <col min="4" max="4" width="34" bestFit="1" customWidth="1"/>
    <col min="5" max="6" width="12" customWidth="1"/>
    <col min="7" max="23" width="9" customWidth="1"/>
    <col min="24" max="27" width="10" customWidth="1"/>
  </cols>
  <sheetData>
    <row r="2" spans="2:27" x14ac:dyDescent="0.3">
      <c r="B2" s="15" t="s">
        <v>1</v>
      </c>
      <c r="C2" s="15" t="s">
        <v>382</v>
      </c>
      <c r="D2" s="15" t="s">
        <v>383</v>
      </c>
      <c r="E2" s="15" t="s">
        <v>384</v>
      </c>
      <c r="F2" s="15" t="s">
        <v>385</v>
      </c>
      <c r="G2" s="15" t="s">
        <v>386</v>
      </c>
      <c r="H2" s="15" t="s">
        <v>387</v>
      </c>
      <c r="I2" s="15" t="s">
        <v>388</v>
      </c>
      <c r="J2" s="15" t="s">
        <v>389</v>
      </c>
      <c r="K2" s="15" t="s">
        <v>390</v>
      </c>
      <c r="L2" s="15" t="s">
        <v>391</v>
      </c>
      <c r="M2" s="15" t="s">
        <v>392</v>
      </c>
      <c r="N2" s="15" t="s">
        <v>393</v>
      </c>
      <c r="O2" s="15" t="s">
        <v>394</v>
      </c>
      <c r="P2" s="15" t="s">
        <v>395</v>
      </c>
      <c r="Q2" s="15" t="s">
        <v>396</v>
      </c>
      <c r="R2" s="15" t="s">
        <v>397</v>
      </c>
      <c r="S2" s="15" t="s">
        <v>398</v>
      </c>
      <c r="T2" s="15" t="s">
        <v>399</v>
      </c>
      <c r="U2" s="15" t="s">
        <v>400</v>
      </c>
      <c r="V2" s="15" t="s">
        <v>401</v>
      </c>
      <c r="W2" s="15" t="s">
        <v>402</v>
      </c>
      <c r="X2" s="15" t="s">
        <v>399</v>
      </c>
      <c r="Y2" s="15" t="s">
        <v>400</v>
      </c>
      <c r="Z2" s="15" t="s">
        <v>401</v>
      </c>
      <c r="AA2" s="15" t="s">
        <v>402</v>
      </c>
    </row>
    <row r="3" spans="2:27" x14ac:dyDescent="0.3">
      <c r="B3" s="12" t="s">
        <v>279</v>
      </c>
      <c r="C3" s="3" t="s">
        <v>403</v>
      </c>
      <c r="D3" s="3" t="s">
        <v>404</v>
      </c>
      <c r="E3" s="3" t="s">
        <v>405</v>
      </c>
      <c r="F3" s="14">
        <v>306.8</v>
      </c>
      <c r="G3" s="16">
        <v>812.75</v>
      </c>
      <c r="H3" s="16">
        <v>1232</v>
      </c>
      <c r="I3" s="16">
        <v>-40.630000000000003</v>
      </c>
      <c r="J3" s="16">
        <v>374.56</v>
      </c>
      <c r="K3" s="16">
        <v>49.41</v>
      </c>
      <c r="L3" s="16">
        <v>62.96</v>
      </c>
      <c r="M3" s="16">
        <v>3.8</v>
      </c>
      <c r="N3" s="16">
        <v>2.64</v>
      </c>
      <c r="O3" s="16">
        <v>16.79</v>
      </c>
      <c r="P3" s="16">
        <v>56.38</v>
      </c>
      <c r="Q3" s="16">
        <v>3.08</v>
      </c>
      <c r="R3" s="16">
        <v>2.38</v>
      </c>
      <c r="S3" s="16">
        <v>12.37</v>
      </c>
      <c r="T3" s="16">
        <v>3.03</v>
      </c>
      <c r="U3" s="16">
        <v>1.21</v>
      </c>
      <c r="V3" s="16">
        <v>0.24</v>
      </c>
      <c r="W3" s="17">
        <v>64.069999999999993</v>
      </c>
      <c r="X3" s="7">
        <v>-0.71890580784260882</v>
      </c>
      <c r="Y3" s="8">
        <v>-8.9645254074784297E-2</v>
      </c>
      <c r="Z3" s="8">
        <v>-0.1126908899420748</v>
      </c>
      <c r="AA3" s="9">
        <v>3.0682492581602379</v>
      </c>
    </row>
    <row r="4" spans="2:27" x14ac:dyDescent="0.3">
      <c r="B4" s="12" t="s">
        <v>154</v>
      </c>
      <c r="C4" s="3" t="s">
        <v>403</v>
      </c>
      <c r="D4" s="3" t="s">
        <v>404</v>
      </c>
      <c r="E4" s="3" t="s">
        <v>405</v>
      </c>
      <c r="F4" s="14">
        <v>23.3</v>
      </c>
      <c r="G4" s="16">
        <v>0.34</v>
      </c>
      <c r="H4" s="16">
        <v>0.54</v>
      </c>
      <c r="I4" s="16">
        <v>15.28</v>
      </c>
      <c r="J4" s="16">
        <v>0</v>
      </c>
      <c r="K4" s="17">
        <v>10</v>
      </c>
      <c r="L4" s="16">
        <v>2.5</v>
      </c>
      <c r="M4" s="16">
        <v>0</v>
      </c>
      <c r="N4" s="17">
        <v>1.87</v>
      </c>
      <c r="O4" s="17">
        <v>13.08</v>
      </c>
      <c r="P4" s="17">
        <v>27.61</v>
      </c>
      <c r="Q4" s="17">
        <v>40.81</v>
      </c>
      <c r="R4" s="17">
        <v>48.12</v>
      </c>
      <c r="S4" s="17">
        <v>66.41</v>
      </c>
      <c r="T4" s="17">
        <v>78.34</v>
      </c>
      <c r="U4" s="17">
        <v>102.66</v>
      </c>
      <c r="V4" s="17">
        <v>118.7</v>
      </c>
      <c r="W4" s="17">
        <v>151.66999999999999</v>
      </c>
      <c r="X4" s="10">
        <v>0.27728887674227942</v>
      </c>
      <c r="Y4" s="9">
        <v>0.2646781923998629</v>
      </c>
      <c r="Z4" s="9">
        <v>0.23882516157412129</v>
      </c>
      <c r="AA4" s="9">
        <v>0.2328808281663981</v>
      </c>
    </row>
    <row r="5" spans="2:27" x14ac:dyDescent="0.3">
      <c r="B5" s="12" t="s">
        <v>103</v>
      </c>
      <c r="C5" s="3" t="s">
        <v>403</v>
      </c>
      <c r="D5" s="3" t="s">
        <v>406</v>
      </c>
      <c r="E5" s="3" t="s">
        <v>405</v>
      </c>
      <c r="F5" s="14">
        <v>19.2</v>
      </c>
      <c r="G5" s="16">
        <v>156.94</v>
      </c>
      <c r="H5" s="16">
        <v>179.88</v>
      </c>
      <c r="I5" s="16">
        <v>235.38</v>
      </c>
      <c r="J5" s="16">
        <v>213.6</v>
      </c>
      <c r="K5" s="16">
        <v>194.06</v>
      </c>
      <c r="L5" s="16">
        <v>152.57</v>
      </c>
      <c r="M5" s="16">
        <v>150.72</v>
      </c>
      <c r="N5" s="17">
        <v>293.05</v>
      </c>
      <c r="O5" s="16">
        <v>194.48</v>
      </c>
      <c r="P5" s="16">
        <v>184</v>
      </c>
      <c r="Q5" s="16">
        <v>206</v>
      </c>
      <c r="R5" s="16">
        <v>210</v>
      </c>
      <c r="S5" s="16">
        <v>217.27</v>
      </c>
      <c r="T5" s="16">
        <v>232</v>
      </c>
      <c r="U5" s="16">
        <v>283</v>
      </c>
      <c r="V5" s="17">
        <v>399</v>
      </c>
      <c r="W5" s="17">
        <v>435</v>
      </c>
      <c r="X5" s="7">
        <v>5.8732120351903339E-2</v>
      </c>
      <c r="Y5" s="8">
        <v>8.8989563951136663E-2</v>
      </c>
      <c r="Z5" s="9">
        <v>0.20057945174949851</v>
      </c>
      <c r="AA5" s="9">
        <v>0.19246510558929339</v>
      </c>
    </row>
    <row r="6" spans="2:27" x14ac:dyDescent="0.3">
      <c r="B6" s="12" t="s">
        <v>228</v>
      </c>
      <c r="C6" s="3" t="s">
        <v>403</v>
      </c>
      <c r="D6" s="3" t="s">
        <v>407</v>
      </c>
      <c r="E6" s="3" t="s">
        <v>405</v>
      </c>
      <c r="F6" s="14">
        <v>16.7</v>
      </c>
      <c r="G6" s="16">
        <v>0</v>
      </c>
      <c r="H6" s="16">
        <v>138.53</v>
      </c>
      <c r="I6" s="16">
        <v>107.82</v>
      </c>
      <c r="J6" s="16">
        <v>89.3</v>
      </c>
      <c r="K6" s="16">
        <v>0</v>
      </c>
      <c r="L6" s="16">
        <v>117.31</v>
      </c>
      <c r="M6" s="16">
        <v>83.22</v>
      </c>
      <c r="N6" s="16">
        <v>101.4</v>
      </c>
      <c r="O6" s="17">
        <v>86.87</v>
      </c>
      <c r="P6" s="16">
        <v>83.41</v>
      </c>
      <c r="Q6" s="16">
        <v>87.35</v>
      </c>
      <c r="R6" s="16">
        <v>86.1</v>
      </c>
      <c r="S6" s="16">
        <v>119.17</v>
      </c>
      <c r="T6" s="16">
        <v>87.67</v>
      </c>
      <c r="U6" s="16">
        <v>85.74</v>
      </c>
      <c r="V6" s="16">
        <v>87.34</v>
      </c>
      <c r="W6" s="17">
        <v>182.64</v>
      </c>
      <c r="X6" s="7">
        <v>1.132888333377657E-2</v>
      </c>
      <c r="Y6" s="8">
        <v>-4.2336111914590413E-3</v>
      </c>
      <c r="Z6" s="8">
        <v>3.274532586880818E-3</v>
      </c>
      <c r="AA6" s="9">
        <v>0.16706148662876391</v>
      </c>
    </row>
    <row r="7" spans="2:27" x14ac:dyDescent="0.3">
      <c r="B7" s="12" t="s">
        <v>89</v>
      </c>
      <c r="C7" s="3" t="s">
        <v>403</v>
      </c>
      <c r="D7" s="3" t="s">
        <v>408</v>
      </c>
      <c r="E7" s="3" t="s">
        <v>405</v>
      </c>
      <c r="F7" s="14">
        <v>16.600000000000001</v>
      </c>
      <c r="G7" s="16">
        <v>497.6</v>
      </c>
      <c r="H7" s="16">
        <v>356.3</v>
      </c>
      <c r="I7" s="16">
        <v>394</v>
      </c>
      <c r="J7" s="16">
        <v>398.8</v>
      </c>
      <c r="K7" s="16">
        <v>441.2</v>
      </c>
      <c r="L7" s="16">
        <v>388.5</v>
      </c>
      <c r="M7" s="16">
        <v>427.7</v>
      </c>
      <c r="N7" s="16">
        <v>403.6</v>
      </c>
      <c r="O7" s="16">
        <v>444.6</v>
      </c>
      <c r="P7" s="16">
        <v>392.3</v>
      </c>
      <c r="Q7" s="16">
        <v>402.3</v>
      </c>
      <c r="R7" s="16">
        <v>453.8</v>
      </c>
      <c r="S7" s="16">
        <v>467.6</v>
      </c>
      <c r="T7" s="17">
        <v>854.1</v>
      </c>
      <c r="U7" s="17">
        <v>934.8</v>
      </c>
      <c r="V7" s="17">
        <v>1001</v>
      </c>
      <c r="W7" s="17">
        <v>1008</v>
      </c>
      <c r="X7" s="10">
        <v>0.26911421911421929</v>
      </c>
      <c r="Y7" s="9">
        <v>0.24451281109376441</v>
      </c>
      <c r="Z7" s="9">
        <v>0.2018964690255691</v>
      </c>
      <c r="AA7" s="9">
        <v>0.16589409056024551</v>
      </c>
    </row>
    <row r="8" spans="2:27" x14ac:dyDescent="0.3">
      <c r="B8" s="12" t="s">
        <v>78</v>
      </c>
      <c r="C8" s="3" t="s">
        <v>403</v>
      </c>
      <c r="D8" s="3" t="s">
        <v>404</v>
      </c>
      <c r="E8" s="3" t="s">
        <v>405</v>
      </c>
      <c r="F8" s="14">
        <v>13.8</v>
      </c>
      <c r="G8" s="16">
        <v>0</v>
      </c>
      <c r="H8" s="16">
        <v>0</v>
      </c>
      <c r="I8" s="16">
        <v>8.82</v>
      </c>
      <c r="J8" s="16">
        <v>16.850000000000001</v>
      </c>
      <c r="K8" s="17">
        <v>24.37</v>
      </c>
      <c r="L8" s="17">
        <v>94.58</v>
      </c>
      <c r="M8" s="17">
        <v>46.7</v>
      </c>
      <c r="N8" s="17">
        <v>57.79</v>
      </c>
      <c r="O8" s="17">
        <v>71.53</v>
      </c>
      <c r="P8" s="16">
        <v>75</v>
      </c>
      <c r="Q8" s="17">
        <v>87.17</v>
      </c>
      <c r="R8" s="17">
        <v>104.76</v>
      </c>
      <c r="S8" s="17">
        <v>118.77</v>
      </c>
      <c r="T8" s="17">
        <v>121.46</v>
      </c>
      <c r="U8" s="17">
        <v>150.04</v>
      </c>
      <c r="V8" s="17">
        <v>170.99</v>
      </c>
      <c r="W8" s="17">
        <v>196</v>
      </c>
      <c r="X8" s="10">
        <v>0.1204563131967851</v>
      </c>
      <c r="Y8" s="9">
        <v>0.14547852647167711</v>
      </c>
      <c r="Z8" s="9">
        <v>0.13378987132093001</v>
      </c>
      <c r="AA8" s="9">
        <v>0.13760111178420001</v>
      </c>
    </row>
    <row r="9" spans="2:27" hidden="1" x14ac:dyDescent="0.3">
      <c r="B9" s="3" t="s">
        <v>224</v>
      </c>
      <c r="C9" s="3" t="s">
        <v>403</v>
      </c>
      <c r="D9" s="3" t="s">
        <v>408</v>
      </c>
      <c r="E9" s="3" t="s">
        <v>445</v>
      </c>
      <c r="F9" s="14">
        <v>13.8</v>
      </c>
      <c r="G9" s="4">
        <v>0.3</v>
      </c>
      <c r="H9" s="4">
        <v>1.53</v>
      </c>
      <c r="I9" s="4">
        <v>2.4500000000000002</v>
      </c>
      <c r="J9" s="4">
        <v>2.75</v>
      </c>
      <c r="K9" s="6">
        <v>3.17</v>
      </c>
      <c r="L9" s="6">
        <v>3.44</v>
      </c>
      <c r="M9" s="6">
        <v>5.51</v>
      </c>
      <c r="N9" s="6">
        <v>5.8</v>
      </c>
      <c r="O9" s="6">
        <v>6.95</v>
      </c>
      <c r="P9" s="4">
        <v>4.5599999999999996</v>
      </c>
      <c r="Q9" s="4">
        <v>1.38</v>
      </c>
      <c r="R9" s="4">
        <v>0.97</v>
      </c>
      <c r="S9" s="4">
        <v>0.48</v>
      </c>
      <c r="T9" s="6">
        <v>34.22</v>
      </c>
      <c r="U9" s="6">
        <v>13.38</v>
      </c>
      <c r="V9" s="6">
        <v>8.0500000000000007</v>
      </c>
      <c r="W9" s="6">
        <v>8.24</v>
      </c>
      <c r="X9" s="10">
        <v>4.013531799729364</v>
      </c>
      <c r="Y9" s="9">
        <v>0.32388663967611331</v>
      </c>
      <c r="Z9" s="9">
        <v>0.14434250764525999</v>
      </c>
      <c r="AA9" s="9">
        <v>0.13825048993408151</v>
      </c>
    </row>
    <row r="10" spans="2:27" hidden="1" x14ac:dyDescent="0.3">
      <c r="B10" s="3" t="s">
        <v>256</v>
      </c>
      <c r="C10" s="3" t="s">
        <v>403</v>
      </c>
      <c r="D10" s="3" t="s">
        <v>446</v>
      </c>
      <c r="E10" s="3" t="s">
        <v>445</v>
      </c>
      <c r="F10" s="14">
        <v>10.3</v>
      </c>
      <c r="G10" s="3"/>
      <c r="H10" s="3"/>
      <c r="I10" s="3"/>
      <c r="J10" s="3"/>
      <c r="K10" s="3"/>
      <c r="L10" s="3"/>
      <c r="M10" s="4">
        <v>37.159999999999997</v>
      </c>
      <c r="O10" s="4">
        <v>37.159999999999997</v>
      </c>
      <c r="Q10" s="4">
        <v>24.54</v>
      </c>
      <c r="S10" s="4">
        <v>34.31</v>
      </c>
      <c r="U10" s="4">
        <v>34.31</v>
      </c>
      <c r="W10" s="6">
        <v>50.62</v>
      </c>
      <c r="X10" s="11"/>
      <c r="Y10" s="3"/>
      <c r="Z10" s="8">
        <v>-2.140121649020044E-2</v>
      </c>
      <c r="AA10" s="9">
        <v>0.10328422344996931</v>
      </c>
    </row>
    <row r="11" spans="2:27" hidden="1" x14ac:dyDescent="0.3">
      <c r="B11" s="3" t="s">
        <v>87</v>
      </c>
      <c r="C11" s="3" t="s">
        <v>403</v>
      </c>
      <c r="D11" s="3" t="s">
        <v>447</v>
      </c>
      <c r="E11" s="3" t="s">
        <v>445</v>
      </c>
      <c r="F11" s="5">
        <v>9.4</v>
      </c>
      <c r="G11" s="3"/>
      <c r="H11" s="4">
        <v>4850296</v>
      </c>
      <c r="I11" s="4">
        <v>3878396</v>
      </c>
      <c r="J11" s="4">
        <v>3439302</v>
      </c>
      <c r="K11" s="4">
        <v>3182774</v>
      </c>
      <c r="L11" s="4">
        <v>4465119</v>
      </c>
      <c r="M11" s="4">
        <v>1971626</v>
      </c>
      <c r="N11" s="6">
        <v>7941500</v>
      </c>
      <c r="O11" s="6">
        <v>8254306</v>
      </c>
      <c r="P11" s="6">
        <v>9705358</v>
      </c>
      <c r="Q11" s="6">
        <v>6525864</v>
      </c>
      <c r="R11" s="4">
        <v>8670238</v>
      </c>
      <c r="S11" s="6">
        <v>12326537</v>
      </c>
      <c r="T11" s="6">
        <v>16496376</v>
      </c>
      <c r="U11" s="6">
        <v>16306376</v>
      </c>
      <c r="V11" s="6">
        <v>16609309</v>
      </c>
      <c r="W11" s="4">
        <v>18100218</v>
      </c>
      <c r="X11" s="10">
        <v>0.18241695893550219</v>
      </c>
      <c r="Y11" s="9">
        <v>0.22218834292407499</v>
      </c>
      <c r="Z11" s="9">
        <v>0.14756767285333189</v>
      </c>
      <c r="AA11" s="8">
        <v>9.3518174805329979E-2</v>
      </c>
    </row>
    <row r="12" spans="2:27" x14ac:dyDescent="0.3">
      <c r="B12" s="12" t="s">
        <v>291</v>
      </c>
      <c r="C12" s="3" t="s">
        <v>403</v>
      </c>
      <c r="D12" s="3" t="s">
        <v>409</v>
      </c>
      <c r="E12" s="3" t="s">
        <v>405</v>
      </c>
      <c r="F12" s="5">
        <v>7.4</v>
      </c>
      <c r="G12" s="16">
        <v>102.07</v>
      </c>
      <c r="H12" s="16">
        <v>110.68</v>
      </c>
      <c r="I12" s="16">
        <v>101.92</v>
      </c>
      <c r="J12" s="16">
        <v>103.22</v>
      </c>
      <c r="K12" s="16">
        <v>88.31</v>
      </c>
      <c r="L12" s="16">
        <v>109.22</v>
      </c>
      <c r="M12" s="16">
        <v>67.989999999999995</v>
      </c>
      <c r="N12" s="16">
        <v>55.01</v>
      </c>
      <c r="O12" s="16">
        <v>55.71</v>
      </c>
      <c r="P12" s="16">
        <v>91.07</v>
      </c>
      <c r="Q12" s="17">
        <v>117.14</v>
      </c>
      <c r="R12" s="17">
        <v>144.53</v>
      </c>
      <c r="S12" s="17">
        <v>147.46</v>
      </c>
      <c r="T12" s="17">
        <v>166.63</v>
      </c>
      <c r="U12" s="16">
        <v>156.63</v>
      </c>
      <c r="V12" s="16">
        <v>173.94</v>
      </c>
      <c r="W12" s="16">
        <v>195.32</v>
      </c>
      <c r="X12" s="10">
        <v>0.15105957616953211</v>
      </c>
      <c r="Y12" s="8">
        <v>6.858760594692237E-2</v>
      </c>
      <c r="Z12" s="8">
        <v>4.7801706623323843E-2</v>
      </c>
      <c r="AA12" s="8">
        <v>7.4240685012254559E-2</v>
      </c>
    </row>
    <row r="13" spans="2:27" hidden="1" x14ac:dyDescent="0.3">
      <c r="B13" s="3" t="s">
        <v>161</v>
      </c>
      <c r="C13" s="3" t="s">
        <v>403</v>
      </c>
      <c r="D13" s="3" t="s">
        <v>456</v>
      </c>
      <c r="E13" s="3" t="s">
        <v>445</v>
      </c>
      <c r="F13" s="5">
        <v>6.8</v>
      </c>
      <c r="G13" s="4">
        <v>5.33</v>
      </c>
      <c r="H13" s="4">
        <v>6.05</v>
      </c>
      <c r="I13" s="4">
        <v>6.26</v>
      </c>
      <c r="J13" s="4">
        <v>7.04</v>
      </c>
      <c r="K13" s="4">
        <v>4.7699999999999996</v>
      </c>
      <c r="L13" s="4">
        <v>6.73</v>
      </c>
      <c r="M13" s="4">
        <v>7.1</v>
      </c>
      <c r="N13" s="4">
        <v>5.53</v>
      </c>
      <c r="O13" s="4">
        <v>4.46</v>
      </c>
      <c r="P13" s="4">
        <v>5.42</v>
      </c>
      <c r="Q13" s="4">
        <v>7.82</v>
      </c>
      <c r="R13" s="6">
        <v>7.94</v>
      </c>
      <c r="S13" s="4">
        <v>6.79</v>
      </c>
      <c r="T13" s="4">
        <v>6.28</v>
      </c>
      <c r="U13" s="4">
        <v>7.91</v>
      </c>
      <c r="V13" s="4">
        <v>7.19</v>
      </c>
      <c r="W13" s="4">
        <v>8.6999999999999993</v>
      </c>
      <c r="X13" s="7">
        <v>3.074722917411532E-2</v>
      </c>
      <c r="Y13" s="8">
        <v>3.1217481789802548E-3</v>
      </c>
      <c r="Z13" s="8">
        <v>-2.5933609958506239E-2</v>
      </c>
      <c r="AA13" s="8">
        <v>6.780262690805805E-2</v>
      </c>
    </row>
    <row r="14" spans="2:27" x14ac:dyDescent="0.3">
      <c r="B14" s="12" t="s">
        <v>303</v>
      </c>
      <c r="C14" s="3" t="s">
        <v>403</v>
      </c>
      <c r="D14" s="3" t="s">
        <v>410</v>
      </c>
      <c r="E14" s="3" t="s">
        <v>405</v>
      </c>
      <c r="F14" s="5">
        <v>6.7</v>
      </c>
      <c r="G14" s="16">
        <v>152.94999999999999</v>
      </c>
      <c r="H14" s="16">
        <v>102.6</v>
      </c>
      <c r="I14" s="16">
        <v>187.56</v>
      </c>
      <c r="J14" s="16">
        <v>166.1</v>
      </c>
      <c r="K14" s="16">
        <v>159.81</v>
      </c>
      <c r="L14" s="16">
        <v>82.55</v>
      </c>
      <c r="M14" s="16">
        <v>207.27</v>
      </c>
      <c r="N14" s="16">
        <v>144.12</v>
      </c>
      <c r="O14" s="16">
        <v>134.25</v>
      </c>
      <c r="P14" s="16">
        <v>95.66</v>
      </c>
      <c r="Q14" s="16">
        <v>199.9</v>
      </c>
      <c r="R14" s="16">
        <v>129.4</v>
      </c>
      <c r="S14" s="16">
        <v>143.55000000000001</v>
      </c>
      <c r="T14" s="16">
        <v>115.07</v>
      </c>
      <c r="U14" s="16">
        <v>194.33</v>
      </c>
      <c r="V14" s="16">
        <v>162.12</v>
      </c>
      <c r="W14" s="16">
        <v>184.54</v>
      </c>
      <c r="X14" s="7">
        <v>3.4141879650314122E-2</v>
      </c>
      <c r="Y14" s="8">
        <v>-9.4740781058648693E-3</v>
      </c>
      <c r="Z14" s="8">
        <v>5.6186142354254447E-2</v>
      </c>
      <c r="AA14" s="8">
        <v>6.6642821142308906E-2</v>
      </c>
    </row>
    <row r="15" spans="2:27" x14ac:dyDescent="0.3">
      <c r="B15" s="12" t="s">
        <v>14</v>
      </c>
      <c r="C15" s="3" t="s">
        <v>403</v>
      </c>
      <c r="D15" s="3" t="s">
        <v>406</v>
      </c>
      <c r="E15" s="3" t="s">
        <v>405</v>
      </c>
      <c r="F15" s="5">
        <v>6.5</v>
      </c>
      <c r="G15" s="16">
        <v>5420</v>
      </c>
      <c r="H15" s="16">
        <v>5445</v>
      </c>
      <c r="I15" s="16">
        <v>5996</v>
      </c>
      <c r="J15" s="16">
        <v>5914</v>
      </c>
      <c r="K15" s="16">
        <v>5032</v>
      </c>
      <c r="L15" s="16">
        <v>4521</v>
      </c>
      <c r="M15" s="16">
        <v>3732</v>
      </c>
      <c r="N15" s="16">
        <v>4189</v>
      </c>
      <c r="O15" s="16">
        <v>5235</v>
      </c>
      <c r="P15" s="16">
        <v>4781</v>
      </c>
      <c r="Q15" s="16">
        <v>4894</v>
      </c>
      <c r="R15" s="16">
        <v>5023</v>
      </c>
      <c r="S15" s="16">
        <v>7000</v>
      </c>
      <c r="T15" s="17">
        <v>8043</v>
      </c>
      <c r="U15" s="17">
        <v>7887</v>
      </c>
      <c r="V15" s="17">
        <v>8634</v>
      </c>
      <c r="W15" s="16">
        <v>9065</v>
      </c>
      <c r="X15" s="10">
        <v>0.1503364365379298</v>
      </c>
      <c r="Y15" s="9">
        <v>0.1199118589743591</v>
      </c>
      <c r="Z15" s="9">
        <v>0.1291811254605946</v>
      </c>
      <c r="AA15" s="8">
        <v>6.5422633379799811E-2</v>
      </c>
    </row>
    <row r="16" spans="2:27" x14ac:dyDescent="0.3">
      <c r="B16" s="12" t="s">
        <v>127</v>
      </c>
      <c r="C16" s="3" t="s">
        <v>403</v>
      </c>
      <c r="D16" s="3" t="s">
        <v>411</v>
      </c>
      <c r="E16" s="3" t="s">
        <v>405</v>
      </c>
      <c r="F16" s="5">
        <v>6.5</v>
      </c>
      <c r="G16" s="16">
        <v>108.13</v>
      </c>
      <c r="H16" s="16">
        <v>116.7</v>
      </c>
      <c r="I16" s="16">
        <v>119.97</v>
      </c>
      <c r="J16" s="16">
        <v>128.15</v>
      </c>
      <c r="K16" s="16">
        <v>132.18</v>
      </c>
      <c r="L16" s="16">
        <v>148.33000000000001</v>
      </c>
      <c r="M16" s="16">
        <v>148.94</v>
      </c>
      <c r="N16" s="16">
        <v>152.41999999999999</v>
      </c>
      <c r="O16" s="16">
        <v>164.8</v>
      </c>
      <c r="P16" s="16">
        <v>184.88</v>
      </c>
      <c r="Q16" s="16">
        <v>197.42</v>
      </c>
      <c r="R16" s="17">
        <v>231.57</v>
      </c>
      <c r="S16" s="17">
        <v>257.88</v>
      </c>
      <c r="T16" s="17">
        <v>275.24</v>
      </c>
      <c r="U16" s="16">
        <v>280.08</v>
      </c>
      <c r="V16" s="16">
        <v>310.74</v>
      </c>
      <c r="W16" s="16">
        <v>330.46</v>
      </c>
      <c r="X16" s="10">
        <v>0.1036535704043591</v>
      </c>
      <c r="Y16" s="8">
        <v>8.5915331926702754E-2</v>
      </c>
      <c r="Z16" s="8">
        <v>7.5777443839313952E-2</v>
      </c>
      <c r="AA16" s="8">
        <v>6.4576400875491435E-2</v>
      </c>
    </row>
    <row r="17" spans="2:27" x14ac:dyDescent="0.3">
      <c r="B17" s="12" t="s">
        <v>125</v>
      </c>
      <c r="C17" s="3" t="s">
        <v>403</v>
      </c>
      <c r="D17" s="3" t="s">
        <v>412</v>
      </c>
      <c r="E17" s="3" t="s">
        <v>405</v>
      </c>
      <c r="F17" s="5">
        <v>6.3</v>
      </c>
      <c r="G17" s="16">
        <v>57.8</v>
      </c>
      <c r="H17" s="16">
        <v>53.94</v>
      </c>
      <c r="I17" s="16">
        <v>36.17</v>
      </c>
      <c r="J17" s="16">
        <v>83.23</v>
      </c>
      <c r="K17" s="16">
        <v>61.35</v>
      </c>
      <c r="L17" s="16">
        <v>43.14</v>
      </c>
      <c r="M17" s="16">
        <v>48.71</v>
      </c>
      <c r="N17" s="16">
        <v>53.3</v>
      </c>
      <c r="O17" s="16">
        <v>57.42</v>
      </c>
      <c r="P17" s="16">
        <v>62.42</v>
      </c>
      <c r="Q17" s="16">
        <v>70.510000000000005</v>
      </c>
      <c r="R17" s="16">
        <v>76.87</v>
      </c>
      <c r="S17" s="17">
        <v>95.64</v>
      </c>
      <c r="T17" s="16">
        <v>87.12</v>
      </c>
      <c r="U17" s="16">
        <v>102.69</v>
      </c>
      <c r="V17" s="17">
        <v>116.74</v>
      </c>
      <c r="W17" s="16">
        <v>120.99</v>
      </c>
      <c r="X17" s="7">
        <v>8.0866946045049737E-2</v>
      </c>
      <c r="Y17" s="8">
        <v>9.7473798994366145E-2</v>
      </c>
      <c r="Z17" s="9">
        <v>0.1100408478692869</v>
      </c>
      <c r="AA17" s="8">
        <v>6.3029911235982894E-2</v>
      </c>
    </row>
    <row r="18" spans="2:27" x14ac:dyDescent="0.3">
      <c r="B18" s="12" t="s">
        <v>74</v>
      </c>
      <c r="C18" s="3" t="s">
        <v>403</v>
      </c>
      <c r="D18" s="3" t="s">
        <v>413</v>
      </c>
      <c r="E18" s="3" t="s">
        <v>405</v>
      </c>
      <c r="F18" s="5">
        <v>6.2</v>
      </c>
      <c r="G18" s="16">
        <v>84.7</v>
      </c>
      <c r="H18" s="16">
        <v>101.31</v>
      </c>
      <c r="I18" s="16">
        <v>113.56</v>
      </c>
      <c r="J18" s="16">
        <v>144.84</v>
      </c>
      <c r="K18" s="17">
        <v>167.2</v>
      </c>
      <c r="L18" s="17">
        <v>190.77</v>
      </c>
      <c r="M18" s="17">
        <v>207.91</v>
      </c>
      <c r="N18" s="17">
        <v>226.7</v>
      </c>
      <c r="O18" s="17">
        <v>246.62</v>
      </c>
      <c r="P18" s="17">
        <v>278.17</v>
      </c>
      <c r="Q18" s="17">
        <v>315.64999999999998</v>
      </c>
      <c r="R18" s="17">
        <v>401.56</v>
      </c>
      <c r="S18" s="17">
        <v>481.14</v>
      </c>
      <c r="T18" s="17">
        <v>586.01</v>
      </c>
      <c r="U18" s="17">
        <v>544.83000000000004</v>
      </c>
      <c r="V18" s="16">
        <v>598.98</v>
      </c>
      <c r="W18" s="16">
        <v>617.82000000000005</v>
      </c>
      <c r="X18" s="10">
        <v>0.2084902337929726</v>
      </c>
      <c r="Y18" s="9">
        <v>0.12843820753659571</v>
      </c>
      <c r="Z18" s="8">
        <v>9.8046227042919432E-2</v>
      </c>
      <c r="AA18" s="8">
        <v>6.1819300213482142E-2</v>
      </c>
    </row>
    <row r="19" spans="2:27" x14ac:dyDescent="0.3">
      <c r="B19" s="12" t="s">
        <v>192</v>
      </c>
      <c r="C19" s="3" t="s">
        <v>403</v>
      </c>
      <c r="D19" s="3" t="s">
        <v>414</v>
      </c>
      <c r="E19" s="3" t="s">
        <v>405</v>
      </c>
      <c r="F19" s="5">
        <v>6.1</v>
      </c>
      <c r="G19" s="16">
        <v>145.63999999999999</v>
      </c>
      <c r="H19" s="16">
        <v>152.66999999999999</v>
      </c>
      <c r="I19" s="16">
        <v>144.29</v>
      </c>
      <c r="J19" s="16">
        <v>158.09</v>
      </c>
      <c r="K19" s="16">
        <v>187.37</v>
      </c>
      <c r="L19" s="16">
        <v>189.93</v>
      </c>
      <c r="M19" s="16">
        <v>210.52</v>
      </c>
      <c r="N19" s="17">
        <v>239.22</v>
      </c>
      <c r="O19" s="16">
        <v>246.3</v>
      </c>
      <c r="P19" s="16">
        <v>264.97000000000003</v>
      </c>
      <c r="Q19" s="16">
        <v>279.94</v>
      </c>
      <c r="R19" s="16">
        <v>300.89</v>
      </c>
      <c r="S19" s="16">
        <v>304.39999999999998</v>
      </c>
      <c r="T19" s="16">
        <v>328.53</v>
      </c>
      <c r="U19" s="16">
        <v>319.89999999999998</v>
      </c>
      <c r="V19" s="16">
        <v>382.53</v>
      </c>
      <c r="W19" s="16">
        <v>385.59</v>
      </c>
      <c r="X19" s="7">
        <v>5.5259954790471078E-2</v>
      </c>
      <c r="Y19" s="8">
        <v>3.2922488795148697E-2</v>
      </c>
      <c r="Z19" s="8">
        <v>6.5118208212360029E-2</v>
      </c>
      <c r="AA19" s="8">
        <v>6.0800083872513788E-2</v>
      </c>
    </row>
    <row r="20" spans="2:27" x14ac:dyDescent="0.3">
      <c r="B20" s="12" t="s">
        <v>185</v>
      </c>
      <c r="C20" s="3" t="s">
        <v>403</v>
      </c>
      <c r="D20" s="3" t="s">
        <v>415</v>
      </c>
      <c r="E20" s="3" t="s">
        <v>405</v>
      </c>
      <c r="F20" s="5">
        <v>5.6</v>
      </c>
      <c r="G20" s="16">
        <v>224.64</v>
      </c>
      <c r="H20" s="16">
        <v>226.63</v>
      </c>
      <c r="I20" s="16">
        <v>236.94</v>
      </c>
      <c r="J20" s="16">
        <v>240.5</v>
      </c>
      <c r="K20" s="16">
        <v>247.05</v>
      </c>
      <c r="L20" s="16">
        <v>251.6</v>
      </c>
      <c r="M20" s="16">
        <v>259.98</v>
      </c>
      <c r="N20" s="16">
        <v>270.72000000000003</v>
      </c>
      <c r="O20" s="16">
        <v>276.35000000000002</v>
      </c>
      <c r="P20" s="16">
        <v>280.75</v>
      </c>
      <c r="Q20" s="16">
        <v>286.92</v>
      </c>
      <c r="R20" s="16">
        <v>289.79000000000002</v>
      </c>
      <c r="S20" s="16">
        <v>297.14</v>
      </c>
      <c r="T20" s="16">
        <v>337.71</v>
      </c>
      <c r="U20" s="16">
        <v>349.44</v>
      </c>
      <c r="V20" s="16">
        <v>362.3</v>
      </c>
      <c r="W20" s="16">
        <v>373.08</v>
      </c>
      <c r="X20" s="7">
        <v>4.9333102373116278E-2</v>
      </c>
      <c r="Y20" s="8">
        <v>5.160289213906033E-2</v>
      </c>
      <c r="Z20" s="8">
        <v>5.6911653899284209E-2</v>
      </c>
      <c r="AA20" s="8">
        <v>5.6394299675476711E-2</v>
      </c>
    </row>
    <row r="21" spans="2:27" x14ac:dyDescent="0.3">
      <c r="B21" s="12" t="s">
        <v>22</v>
      </c>
      <c r="C21" s="3" t="s">
        <v>403</v>
      </c>
      <c r="D21" s="3" t="s">
        <v>416</v>
      </c>
      <c r="E21" s="3" t="s">
        <v>417</v>
      </c>
      <c r="F21" s="5">
        <v>5.6</v>
      </c>
      <c r="G21" s="16">
        <v>1250</v>
      </c>
      <c r="H21" s="16">
        <v>1351</v>
      </c>
      <c r="I21" s="16">
        <v>1376</v>
      </c>
      <c r="J21" s="16">
        <v>1443</v>
      </c>
      <c r="K21" s="16">
        <v>1381</v>
      </c>
      <c r="L21" s="16">
        <v>1390</v>
      </c>
      <c r="M21" s="16">
        <v>1382</v>
      </c>
      <c r="N21" s="16">
        <v>1311</v>
      </c>
      <c r="O21" s="16">
        <v>1259</v>
      </c>
      <c r="P21" s="16">
        <v>1216</v>
      </c>
      <c r="Q21" s="16">
        <v>1217</v>
      </c>
      <c r="R21" s="16">
        <v>1287</v>
      </c>
      <c r="S21" s="16">
        <v>1298</v>
      </c>
      <c r="T21" s="16">
        <v>1306</v>
      </c>
      <c r="U21" s="16">
        <v>1352</v>
      </c>
      <c r="V21" s="16">
        <v>1419</v>
      </c>
      <c r="W21" s="16">
        <v>1600</v>
      </c>
      <c r="X21" s="7">
        <v>1.7935432443204391E-2</v>
      </c>
      <c r="Y21" s="8">
        <v>2.6429130775254439E-2</v>
      </c>
      <c r="Z21" s="8">
        <v>2.5176425710471181E-2</v>
      </c>
      <c r="AA21" s="8">
        <v>5.6186046511627952E-2</v>
      </c>
    </row>
    <row r="22" spans="2:27" hidden="1" x14ac:dyDescent="0.3">
      <c r="B22" s="3" t="s">
        <v>109</v>
      </c>
      <c r="C22" s="3" t="s">
        <v>403</v>
      </c>
      <c r="D22" s="3" t="s">
        <v>448</v>
      </c>
      <c r="E22" s="3" t="s">
        <v>445</v>
      </c>
      <c r="F22" s="5">
        <v>5.2</v>
      </c>
      <c r="G22" s="4">
        <v>362.31</v>
      </c>
      <c r="H22" s="4">
        <v>387.87</v>
      </c>
      <c r="I22" s="4">
        <v>371.56</v>
      </c>
      <c r="J22" s="4">
        <v>335.37</v>
      </c>
      <c r="K22" s="4">
        <v>301.83999999999997</v>
      </c>
      <c r="L22" s="4">
        <v>351.71</v>
      </c>
      <c r="M22" s="4">
        <v>367.8</v>
      </c>
      <c r="N22" s="4">
        <v>415.71</v>
      </c>
      <c r="O22" s="4">
        <v>377.74</v>
      </c>
      <c r="P22" s="4">
        <v>397.83</v>
      </c>
      <c r="Q22" s="4">
        <v>409.16</v>
      </c>
      <c r="R22" s="4">
        <v>451.65</v>
      </c>
      <c r="S22" s="4">
        <v>449.31</v>
      </c>
      <c r="T22" s="4">
        <v>517.66</v>
      </c>
      <c r="U22" s="4">
        <v>517</v>
      </c>
      <c r="V22" s="4">
        <v>579</v>
      </c>
      <c r="W22" s="4">
        <v>557</v>
      </c>
      <c r="X22" s="7">
        <v>7.0160133493369248E-2</v>
      </c>
      <c r="Y22" s="8">
        <v>5.9000536169560913E-2</v>
      </c>
      <c r="Z22" s="8">
        <v>6.5792872567962624E-2</v>
      </c>
      <c r="AA22" s="8">
        <v>5.2201437732977141E-2</v>
      </c>
    </row>
    <row r="23" spans="2:27" hidden="1" x14ac:dyDescent="0.3">
      <c r="B23" s="3" t="s">
        <v>209</v>
      </c>
      <c r="C23" s="3" t="s">
        <v>403</v>
      </c>
      <c r="D23" s="3" t="s">
        <v>444</v>
      </c>
      <c r="E23" s="3" t="s">
        <v>449</v>
      </c>
      <c r="F23" s="5">
        <v>5.0999999999999996</v>
      </c>
      <c r="G23" s="4">
        <v>35.9</v>
      </c>
      <c r="H23" s="4">
        <v>37.39</v>
      </c>
      <c r="I23" s="4">
        <v>39.96</v>
      </c>
      <c r="J23" s="4">
        <v>42.76</v>
      </c>
      <c r="K23" s="4">
        <v>45.6</v>
      </c>
      <c r="L23" s="4">
        <v>47.27</v>
      </c>
      <c r="M23" s="4">
        <v>49.78</v>
      </c>
      <c r="N23" s="4">
        <v>52.24</v>
      </c>
      <c r="O23" s="4">
        <v>55.25</v>
      </c>
      <c r="P23" s="4">
        <v>57.79</v>
      </c>
      <c r="Q23" s="4">
        <v>63</v>
      </c>
      <c r="R23" s="4">
        <v>66.510000000000005</v>
      </c>
      <c r="S23" s="4">
        <v>70.5</v>
      </c>
      <c r="T23" s="4">
        <v>71.849999999999994</v>
      </c>
      <c r="U23" s="4">
        <v>76.069999999999993</v>
      </c>
      <c r="V23" s="4">
        <v>80.680000000000007</v>
      </c>
      <c r="W23" s="4">
        <v>85.72</v>
      </c>
      <c r="X23" s="7">
        <v>5.4538401861908392E-2</v>
      </c>
      <c r="Y23" s="8">
        <v>4.8076215699256908E-2</v>
      </c>
      <c r="Z23" s="8">
        <v>4.9731513003193888E-2</v>
      </c>
      <c r="AA23" s="8">
        <v>5.0885991307255019E-2</v>
      </c>
    </row>
    <row r="24" spans="2:27" x14ac:dyDescent="0.3">
      <c r="B24" s="12" t="s">
        <v>39</v>
      </c>
      <c r="C24" s="3" t="s">
        <v>403</v>
      </c>
      <c r="D24" s="3" t="s">
        <v>418</v>
      </c>
      <c r="E24" s="3" t="s">
        <v>405</v>
      </c>
      <c r="F24" s="5">
        <v>4.8</v>
      </c>
      <c r="G24" s="16">
        <v>211.6</v>
      </c>
      <c r="H24" s="16">
        <v>196.2</v>
      </c>
      <c r="I24" s="16">
        <v>224.2</v>
      </c>
      <c r="J24" s="16">
        <v>228.6</v>
      </c>
      <c r="K24" s="16">
        <v>249.3</v>
      </c>
      <c r="L24" s="16">
        <v>231.8</v>
      </c>
      <c r="M24" s="16">
        <v>256.89999999999998</v>
      </c>
      <c r="N24" s="16">
        <v>274.60000000000002</v>
      </c>
      <c r="O24" s="16">
        <v>273.8</v>
      </c>
      <c r="P24" s="16">
        <v>277.2</v>
      </c>
      <c r="Q24" s="16">
        <v>300.10000000000002</v>
      </c>
      <c r="R24" s="16">
        <v>275.89999999999998</v>
      </c>
      <c r="S24" s="16">
        <v>283.10000000000002</v>
      </c>
      <c r="T24" s="16">
        <v>302.60000000000002</v>
      </c>
      <c r="U24" s="16">
        <v>351.5</v>
      </c>
      <c r="V24" s="16">
        <v>347.6</v>
      </c>
      <c r="W24" s="16">
        <v>345.1</v>
      </c>
      <c r="X24" s="7">
        <v>2.23532517820999E-2</v>
      </c>
      <c r="Y24" s="8">
        <v>4.4245502281139659E-2</v>
      </c>
      <c r="Z24" s="8">
        <v>5.9104772895886892E-2</v>
      </c>
      <c r="AA24" s="8">
        <v>4.8256537982565462E-2</v>
      </c>
    </row>
    <row r="25" spans="2:27" x14ac:dyDescent="0.3">
      <c r="B25" s="12" t="s">
        <v>301</v>
      </c>
      <c r="C25" s="3" t="s">
        <v>403</v>
      </c>
      <c r="D25" s="3" t="s">
        <v>419</v>
      </c>
      <c r="E25" s="3" t="s">
        <v>405</v>
      </c>
      <c r="F25" s="5">
        <v>4.7</v>
      </c>
      <c r="G25" s="16">
        <v>87.82</v>
      </c>
      <c r="H25" s="16">
        <v>82.55</v>
      </c>
      <c r="I25" s="16">
        <v>82.14</v>
      </c>
      <c r="J25" s="16">
        <v>91.81</v>
      </c>
      <c r="K25" s="16">
        <v>91.78</v>
      </c>
      <c r="L25" s="16">
        <v>87.28</v>
      </c>
      <c r="M25" s="16">
        <v>88.65</v>
      </c>
      <c r="N25" s="16">
        <v>99.62</v>
      </c>
      <c r="O25" s="16">
        <v>102.52</v>
      </c>
      <c r="P25" s="16">
        <v>103.37</v>
      </c>
      <c r="Q25" s="16">
        <v>102.91</v>
      </c>
      <c r="R25" s="16">
        <v>114.41</v>
      </c>
      <c r="S25" s="16">
        <v>119.37</v>
      </c>
      <c r="T25" s="16">
        <v>117.51</v>
      </c>
      <c r="U25" s="16">
        <v>116.47</v>
      </c>
      <c r="V25" s="16">
        <v>141.38999999999999</v>
      </c>
      <c r="W25" s="16">
        <v>142.87</v>
      </c>
      <c r="X25" s="7">
        <v>3.2131982002454151E-2</v>
      </c>
      <c r="Y25" s="8">
        <v>2.9854689564068781E-2</v>
      </c>
      <c r="Z25" s="8">
        <v>5.7679151701727438E-2</v>
      </c>
      <c r="AA25" s="8">
        <v>4.7499696810445968E-2</v>
      </c>
    </row>
    <row r="26" spans="2:27" x14ac:dyDescent="0.3">
      <c r="B26" s="12" t="s">
        <v>37</v>
      </c>
      <c r="C26" s="3" t="s">
        <v>403</v>
      </c>
      <c r="D26" s="3" t="s">
        <v>418</v>
      </c>
      <c r="E26" s="3" t="s">
        <v>405</v>
      </c>
      <c r="F26" s="5">
        <v>4.5999999999999996</v>
      </c>
      <c r="G26" s="16">
        <v>591.98</v>
      </c>
      <c r="H26" s="16">
        <v>530.74</v>
      </c>
      <c r="I26" s="16">
        <v>554.21</v>
      </c>
      <c r="J26" s="16">
        <v>523.71</v>
      </c>
      <c r="K26" s="16">
        <v>624.17999999999995</v>
      </c>
      <c r="L26" s="16">
        <v>568.36</v>
      </c>
      <c r="M26" s="16">
        <v>612.45000000000005</v>
      </c>
      <c r="N26" s="16">
        <v>589.99</v>
      </c>
      <c r="O26" s="16">
        <v>725.52</v>
      </c>
      <c r="P26" s="16">
        <v>603.97</v>
      </c>
      <c r="Q26" s="16">
        <v>681.47</v>
      </c>
      <c r="R26" s="16">
        <v>671.96</v>
      </c>
      <c r="S26" s="16">
        <v>746.27</v>
      </c>
      <c r="T26" s="16">
        <v>682.26</v>
      </c>
      <c r="U26" s="16">
        <v>764.04</v>
      </c>
      <c r="V26" s="16">
        <v>866.29</v>
      </c>
      <c r="W26" s="16">
        <v>885.84</v>
      </c>
      <c r="X26" s="7">
        <v>2.8956936312493738E-2</v>
      </c>
      <c r="Y26" s="8">
        <v>2.9680513019597621E-2</v>
      </c>
      <c r="Z26" s="8">
        <v>6.7840099422942002E-2</v>
      </c>
      <c r="AA26" s="8">
        <v>4.5628109818690588E-2</v>
      </c>
    </row>
    <row r="27" spans="2:27" x14ac:dyDescent="0.3">
      <c r="B27" s="12" t="s">
        <v>11</v>
      </c>
      <c r="C27" s="3" t="s">
        <v>403</v>
      </c>
      <c r="D27" s="3" t="s">
        <v>420</v>
      </c>
      <c r="E27" s="3" t="s">
        <v>405</v>
      </c>
      <c r="F27" s="5">
        <v>4.4000000000000004</v>
      </c>
      <c r="G27" s="16">
        <v>3880</v>
      </c>
      <c r="H27" s="16">
        <v>4279</v>
      </c>
      <c r="I27" s="16">
        <v>1893</v>
      </c>
      <c r="J27" s="16">
        <v>3963</v>
      </c>
      <c r="K27" s="16">
        <v>0</v>
      </c>
      <c r="L27" s="16">
        <v>3883</v>
      </c>
      <c r="M27" s="17">
        <v>3166</v>
      </c>
      <c r="N27" s="16">
        <v>3810</v>
      </c>
      <c r="O27" s="17">
        <v>3534</v>
      </c>
      <c r="P27" s="16">
        <v>3632</v>
      </c>
      <c r="Q27" s="16">
        <v>3486</v>
      </c>
      <c r="R27" s="16">
        <v>3941</v>
      </c>
      <c r="S27" s="16">
        <v>3400</v>
      </c>
      <c r="T27" s="16">
        <v>4076</v>
      </c>
      <c r="U27" s="16">
        <v>3810</v>
      </c>
      <c r="V27" s="16">
        <v>4527</v>
      </c>
      <c r="W27" s="16">
        <v>4093</v>
      </c>
      <c r="X27" s="7">
        <v>3.070751780897707E-2</v>
      </c>
      <c r="Y27" s="8">
        <v>2.1740589143125488E-2</v>
      </c>
      <c r="Z27" s="8">
        <v>3.8484271360084137E-2</v>
      </c>
      <c r="AA27" s="8">
        <v>4.3824701195219078E-2</v>
      </c>
    </row>
    <row r="28" spans="2:27" x14ac:dyDescent="0.3">
      <c r="B28" s="12" t="s">
        <v>66</v>
      </c>
      <c r="C28" s="3" t="s">
        <v>403</v>
      </c>
      <c r="D28" s="3" t="s">
        <v>404</v>
      </c>
      <c r="E28" s="3" t="s">
        <v>405</v>
      </c>
      <c r="F28" s="5">
        <v>4.0999999999999996</v>
      </c>
      <c r="G28" s="16">
        <v>449.81</v>
      </c>
      <c r="H28" s="16">
        <v>519.36</v>
      </c>
      <c r="I28" s="16">
        <v>533.79999999999995</v>
      </c>
      <c r="J28" s="16">
        <v>505.34</v>
      </c>
      <c r="K28" s="16">
        <v>537.54</v>
      </c>
      <c r="L28" s="16">
        <v>596.41999999999996</v>
      </c>
      <c r="M28" s="16">
        <v>595.28</v>
      </c>
      <c r="N28" s="16">
        <v>581.33000000000004</v>
      </c>
      <c r="O28" s="16">
        <v>646.21</v>
      </c>
      <c r="P28" s="16">
        <v>648.83000000000004</v>
      </c>
      <c r="Q28" s="16">
        <v>712.03</v>
      </c>
      <c r="R28" s="16">
        <v>745.74</v>
      </c>
      <c r="S28" s="16">
        <v>747.31</v>
      </c>
      <c r="T28" s="16">
        <v>745.15</v>
      </c>
      <c r="U28" s="16">
        <v>825.41</v>
      </c>
      <c r="V28" s="16">
        <v>776.13</v>
      </c>
      <c r="W28" s="16">
        <v>874.57</v>
      </c>
      <c r="X28" s="7">
        <v>3.3750188338104607E-2</v>
      </c>
      <c r="Y28" s="8">
        <v>3.8430901997471352E-2</v>
      </c>
      <c r="Z28" s="8">
        <v>9.9196699318777615E-3</v>
      </c>
      <c r="AA28" s="8">
        <v>4.1131221719457052E-2</v>
      </c>
    </row>
    <row r="29" spans="2:27" hidden="1" x14ac:dyDescent="0.3">
      <c r="B29" s="3" t="s">
        <v>134</v>
      </c>
      <c r="C29" s="3" t="s">
        <v>403</v>
      </c>
      <c r="D29" s="3" t="s">
        <v>444</v>
      </c>
      <c r="E29" s="3" t="s">
        <v>445</v>
      </c>
      <c r="F29" s="5">
        <v>4.0999999999999996</v>
      </c>
      <c r="G29" s="4">
        <v>15.54</v>
      </c>
      <c r="H29" s="4">
        <v>22.82</v>
      </c>
      <c r="I29" s="4">
        <v>3.51</v>
      </c>
      <c r="J29" s="4">
        <v>8.2100000000000009</v>
      </c>
      <c r="K29" s="6">
        <v>23.9</v>
      </c>
      <c r="L29" s="4">
        <v>25.67</v>
      </c>
      <c r="M29" s="6">
        <v>12.88</v>
      </c>
      <c r="N29" s="6">
        <v>33.85</v>
      </c>
      <c r="O29" s="4">
        <v>13.95</v>
      </c>
      <c r="P29" s="6">
        <v>44.97</v>
      </c>
      <c r="Q29" s="4">
        <v>14.6</v>
      </c>
      <c r="R29" s="4">
        <v>30.06</v>
      </c>
      <c r="S29" s="4">
        <v>12.86</v>
      </c>
      <c r="T29" s="4">
        <v>34.549999999999997</v>
      </c>
      <c r="U29" s="4">
        <v>8.15</v>
      </c>
      <c r="V29" s="4">
        <v>12.88</v>
      </c>
      <c r="W29" s="4">
        <v>15.64</v>
      </c>
      <c r="X29" s="7">
        <v>-0.1016684554590692</v>
      </c>
      <c r="Y29" s="8">
        <v>-7.0055392636037883E-2</v>
      </c>
      <c r="Z29" s="8">
        <v>-0.2006540527914038</v>
      </c>
      <c r="AA29" s="8">
        <v>4.0619520748100602E-2</v>
      </c>
    </row>
    <row r="30" spans="2:27" x14ac:dyDescent="0.3">
      <c r="B30" s="12" t="s">
        <v>159</v>
      </c>
      <c r="C30" s="3" t="s">
        <v>403</v>
      </c>
      <c r="D30" s="3" t="s">
        <v>421</v>
      </c>
      <c r="E30" s="3" t="s">
        <v>405</v>
      </c>
      <c r="F30" s="5">
        <v>4</v>
      </c>
      <c r="G30" s="16">
        <v>158.88</v>
      </c>
      <c r="H30" s="16">
        <v>151.59</v>
      </c>
      <c r="I30" s="16">
        <v>205.48</v>
      </c>
      <c r="J30" s="16">
        <v>218</v>
      </c>
      <c r="K30" s="16">
        <v>196.17</v>
      </c>
      <c r="L30" s="16">
        <v>118.33</v>
      </c>
      <c r="M30" s="16">
        <v>103.17</v>
      </c>
      <c r="N30" s="16">
        <v>134.54</v>
      </c>
      <c r="O30" s="16">
        <v>132.55000000000001</v>
      </c>
      <c r="P30" s="16">
        <v>113.24</v>
      </c>
      <c r="Q30" s="16">
        <v>110.38</v>
      </c>
      <c r="R30" s="16">
        <v>101.04</v>
      </c>
      <c r="S30" s="16">
        <v>102.31</v>
      </c>
      <c r="T30" s="16">
        <v>108.33</v>
      </c>
      <c r="U30" s="16">
        <v>102</v>
      </c>
      <c r="V30" s="16">
        <v>100.18</v>
      </c>
      <c r="W30" s="16">
        <v>118.7</v>
      </c>
      <c r="X30" s="7">
        <v>-1.1499636976836871E-2</v>
      </c>
      <c r="Y30" s="8">
        <v>-1.985499691986925E-2</v>
      </c>
      <c r="Z30" s="8">
        <v>-2.078901566428204E-3</v>
      </c>
      <c r="AA30" s="8">
        <v>3.9702533791967642E-2</v>
      </c>
    </row>
    <row r="31" spans="2:27" x14ac:dyDescent="0.3">
      <c r="B31" s="12" t="s">
        <v>31</v>
      </c>
      <c r="C31" s="3" t="s">
        <v>403</v>
      </c>
      <c r="D31" s="3" t="s">
        <v>422</v>
      </c>
      <c r="E31" s="3" t="s">
        <v>405</v>
      </c>
      <c r="F31" s="5">
        <v>3.8</v>
      </c>
      <c r="G31" s="16">
        <v>25.23</v>
      </c>
      <c r="H31" s="16">
        <v>22.44</v>
      </c>
      <c r="I31" s="16">
        <v>25.59</v>
      </c>
      <c r="J31" s="16">
        <v>26.43</v>
      </c>
      <c r="K31" s="16">
        <v>31.95</v>
      </c>
      <c r="L31" s="16">
        <v>32.71</v>
      </c>
      <c r="M31" s="16">
        <v>33.31</v>
      </c>
      <c r="N31" s="16">
        <v>34.01</v>
      </c>
      <c r="O31" s="16">
        <v>38.86</v>
      </c>
      <c r="P31" s="16">
        <v>37.869999999999997</v>
      </c>
      <c r="Q31" s="16">
        <v>39.97</v>
      </c>
      <c r="R31" s="16">
        <v>40.340000000000003</v>
      </c>
      <c r="S31" s="16">
        <v>49</v>
      </c>
      <c r="T31" s="16">
        <v>47.29</v>
      </c>
      <c r="U31" s="16">
        <v>48.63</v>
      </c>
      <c r="V31" s="16">
        <v>48.66</v>
      </c>
      <c r="W31" s="16">
        <v>56.35</v>
      </c>
      <c r="X31" s="7">
        <v>5.6346452924990853E-2</v>
      </c>
      <c r="Y31" s="8">
        <v>4.9037372593431439E-2</v>
      </c>
      <c r="Z31" s="8">
        <v>4.4909856418007037E-2</v>
      </c>
      <c r="AA31" s="8">
        <v>3.7968798429590001E-2</v>
      </c>
    </row>
    <row r="32" spans="2:27" x14ac:dyDescent="0.3">
      <c r="B32" s="12" t="s">
        <v>31</v>
      </c>
      <c r="C32" s="3" t="s">
        <v>403</v>
      </c>
      <c r="D32" s="3" t="s">
        <v>422</v>
      </c>
      <c r="E32" s="3" t="s">
        <v>405</v>
      </c>
      <c r="F32" s="5">
        <v>3.8</v>
      </c>
      <c r="G32" s="16">
        <v>25.23</v>
      </c>
      <c r="H32" s="16">
        <v>22.44</v>
      </c>
      <c r="I32" s="16">
        <v>25.59</v>
      </c>
      <c r="J32" s="16">
        <v>26.43</v>
      </c>
      <c r="K32" s="16">
        <v>31.95</v>
      </c>
      <c r="L32" s="16">
        <v>32.71</v>
      </c>
      <c r="M32" s="16">
        <v>33.31</v>
      </c>
      <c r="N32" s="16">
        <v>34.01</v>
      </c>
      <c r="O32" s="16">
        <v>38.86</v>
      </c>
      <c r="P32" s="16">
        <v>37.869999999999997</v>
      </c>
      <c r="Q32" s="16">
        <v>39.97</v>
      </c>
      <c r="R32" s="16">
        <v>40.340000000000003</v>
      </c>
      <c r="S32" s="16">
        <v>49</v>
      </c>
      <c r="T32" s="16">
        <v>47.29</v>
      </c>
      <c r="U32" s="16">
        <v>48.63</v>
      </c>
      <c r="V32" s="16">
        <v>48.66</v>
      </c>
      <c r="W32" s="16">
        <v>56.35</v>
      </c>
      <c r="X32" s="7">
        <v>5.6346452924990853E-2</v>
      </c>
      <c r="Y32" s="8">
        <v>4.9037372593431439E-2</v>
      </c>
      <c r="Z32" s="8">
        <v>4.4909856418007037E-2</v>
      </c>
      <c r="AA32" s="8">
        <v>3.7968798429590001E-2</v>
      </c>
    </row>
    <row r="33" spans="2:27" x14ac:dyDescent="0.3">
      <c r="B33" s="12" t="s">
        <v>111</v>
      </c>
      <c r="C33" s="3" t="s">
        <v>403</v>
      </c>
      <c r="D33" s="3" t="s">
        <v>423</v>
      </c>
      <c r="E33" s="3" t="s">
        <v>405</v>
      </c>
      <c r="F33" s="5">
        <v>3.6</v>
      </c>
      <c r="G33" s="16">
        <v>374.3</v>
      </c>
      <c r="H33" s="16">
        <v>296.51</v>
      </c>
      <c r="I33" s="16">
        <v>467.2</v>
      </c>
      <c r="J33" s="16">
        <v>465.04</v>
      </c>
      <c r="K33" s="17">
        <v>566.26</v>
      </c>
      <c r="L33" s="17">
        <v>488.91</v>
      </c>
      <c r="M33" s="16">
        <v>502.69</v>
      </c>
      <c r="N33" s="16">
        <v>515.95000000000005</v>
      </c>
      <c r="O33" s="16">
        <v>643.78</v>
      </c>
      <c r="P33" s="16">
        <v>528.38</v>
      </c>
      <c r="Q33" s="16">
        <v>613.47</v>
      </c>
      <c r="R33" s="16">
        <v>549.97</v>
      </c>
      <c r="S33" s="16">
        <v>647.67999999999995</v>
      </c>
      <c r="T33" s="16">
        <v>587.26</v>
      </c>
      <c r="U33" s="16">
        <v>659.5</v>
      </c>
      <c r="V33" s="16">
        <v>592.41999999999996</v>
      </c>
      <c r="W33" s="16">
        <v>737.81</v>
      </c>
      <c r="X33" s="7">
        <v>2.5167770891216131E-2</v>
      </c>
      <c r="Y33" s="8">
        <v>1.919212134857684E-2</v>
      </c>
      <c r="Z33" s="8">
        <v>1.7366153795803418E-2</v>
      </c>
      <c r="AA33" s="8">
        <v>3.624249053022699E-2</v>
      </c>
    </row>
    <row r="34" spans="2:27" x14ac:dyDescent="0.3">
      <c r="B34" s="12" t="s">
        <v>207</v>
      </c>
      <c r="C34" s="3" t="s">
        <v>403</v>
      </c>
      <c r="D34" s="3" t="s">
        <v>424</v>
      </c>
      <c r="E34" s="3" t="s">
        <v>405</v>
      </c>
      <c r="F34" s="5">
        <v>3.3</v>
      </c>
      <c r="G34" s="16">
        <v>100.18</v>
      </c>
      <c r="H34" s="16">
        <v>103.07</v>
      </c>
      <c r="I34" s="16">
        <v>115.07</v>
      </c>
      <c r="J34" s="16">
        <v>105.42</v>
      </c>
      <c r="K34" s="16">
        <v>97.97</v>
      </c>
      <c r="L34" s="16">
        <v>119.63</v>
      </c>
      <c r="M34" s="16">
        <v>124.22</v>
      </c>
      <c r="N34" s="16">
        <v>119.01</v>
      </c>
      <c r="O34" s="16">
        <v>118.38</v>
      </c>
      <c r="P34" s="16">
        <v>145.69</v>
      </c>
      <c r="Q34" s="16">
        <v>160.62</v>
      </c>
      <c r="R34" s="16">
        <v>171.33</v>
      </c>
      <c r="S34" s="16">
        <v>159.51</v>
      </c>
      <c r="T34" s="16">
        <v>182.7</v>
      </c>
      <c r="U34" s="16">
        <v>193.7</v>
      </c>
      <c r="V34" s="16">
        <v>199.56</v>
      </c>
      <c r="W34" s="16">
        <v>183.65</v>
      </c>
      <c r="X34" s="7">
        <v>5.8086792748960107E-2</v>
      </c>
      <c r="Y34" s="8">
        <v>4.9068470392785057E-2</v>
      </c>
      <c r="Z34" s="8">
        <v>3.9915728748374013E-2</v>
      </c>
      <c r="AA34" s="8">
        <v>3.2822548846315858E-2</v>
      </c>
    </row>
    <row r="35" spans="2:27" x14ac:dyDescent="0.3">
      <c r="B35" s="12" t="s">
        <v>194</v>
      </c>
      <c r="C35" s="3" t="s">
        <v>403</v>
      </c>
      <c r="D35" s="3" t="s">
        <v>425</v>
      </c>
      <c r="E35" s="3" t="s">
        <v>405</v>
      </c>
      <c r="F35" s="5">
        <v>3.1</v>
      </c>
      <c r="G35" s="16">
        <v>61.22</v>
      </c>
      <c r="H35" s="16">
        <v>69.44</v>
      </c>
      <c r="I35" s="16">
        <v>68.47</v>
      </c>
      <c r="J35" s="16">
        <v>67.39</v>
      </c>
      <c r="K35" s="16">
        <v>81.09</v>
      </c>
      <c r="L35" s="16">
        <v>31.79</v>
      </c>
      <c r="M35" s="16">
        <v>75.430000000000007</v>
      </c>
      <c r="N35" s="16">
        <v>77.569999999999993</v>
      </c>
      <c r="O35" s="16">
        <v>87.72</v>
      </c>
      <c r="P35" s="17">
        <v>81.48</v>
      </c>
      <c r="Q35" s="16">
        <v>83.6</v>
      </c>
      <c r="R35" s="16">
        <v>89.99</v>
      </c>
      <c r="S35" s="16">
        <v>91.41</v>
      </c>
      <c r="T35" s="16">
        <v>87.93</v>
      </c>
      <c r="U35" s="16">
        <v>94.69</v>
      </c>
      <c r="V35" s="16">
        <v>101.93</v>
      </c>
      <c r="W35" s="16">
        <v>103.24</v>
      </c>
      <c r="X35" s="7">
        <v>1.8615793119372E-2</v>
      </c>
      <c r="Y35" s="8">
        <v>3.1422661717620981E-2</v>
      </c>
      <c r="Z35" s="8">
        <v>3.2800395582660347E-2</v>
      </c>
      <c r="AA35" s="8">
        <v>3.1466113416320773E-2</v>
      </c>
    </row>
    <row r="36" spans="2:27" x14ac:dyDescent="0.3">
      <c r="B36" s="12" t="s">
        <v>48</v>
      </c>
      <c r="C36" s="3" t="s">
        <v>403</v>
      </c>
      <c r="D36" s="3" t="s">
        <v>420</v>
      </c>
      <c r="E36" s="3" t="s">
        <v>405</v>
      </c>
      <c r="F36" s="5">
        <v>2.8</v>
      </c>
      <c r="G36" s="16">
        <v>1868</v>
      </c>
      <c r="H36" s="16">
        <v>2015</v>
      </c>
      <c r="I36" s="16">
        <v>1380</v>
      </c>
      <c r="J36" s="16">
        <v>1835</v>
      </c>
      <c r="K36" s="16">
        <v>2358</v>
      </c>
      <c r="L36" s="16">
        <v>2433</v>
      </c>
      <c r="M36" s="16">
        <v>1418</v>
      </c>
      <c r="N36" s="16">
        <v>1740</v>
      </c>
      <c r="O36" s="16">
        <v>1972</v>
      </c>
      <c r="P36" s="16">
        <v>2018</v>
      </c>
      <c r="Q36" s="16">
        <v>1617</v>
      </c>
      <c r="R36" s="16">
        <v>1802</v>
      </c>
      <c r="S36" s="16">
        <v>1763</v>
      </c>
      <c r="T36" s="16">
        <v>2676</v>
      </c>
      <c r="U36" s="16">
        <v>1988</v>
      </c>
      <c r="V36" s="16">
        <v>2106</v>
      </c>
      <c r="W36" s="16">
        <v>2006</v>
      </c>
      <c r="X36" s="7">
        <v>9.1388888888888964E-2</v>
      </c>
      <c r="Y36" s="8">
        <v>4.7213031305675779E-2</v>
      </c>
      <c r="Z36" s="8">
        <v>3.6942520354842578E-2</v>
      </c>
      <c r="AA36" s="8">
        <v>2.8477674909176191E-2</v>
      </c>
    </row>
    <row r="37" spans="2:27" x14ac:dyDescent="0.3">
      <c r="B37" s="12" t="s">
        <v>211</v>
      </c>
      <c r="C37" s="3" t="s">
        <v>403</v>
      </c>
      <c r="D37" s="3" t="s">
        <v>426</v>
      </c>
      <c r="E37" s="3" t="s">
        <v>405</v>
      </c>
      <c r="F37" s="5">
        <v>2.4</v>
      </c>
      <c r="G37" s="16"/>
      <c r="H37" s="16"/>
      <c r="I37" s="16"/>
      <c r="J37" s="16"/>
      <c r="K37" s="16">
        <v>127.99</v>
      </c>
      <c r="L37" s="16">
        <v>141.63</v>
      </c>
      <c r="M37" s="16">
        <v>147.63999999999999</v>
      </c>
      <c r="N37" s="16">
        <v>139.09</v>
      </c>
      <c r="O37" s="16">
        <v>133.19</v>
      </c>
      <c r="P37" s="16">
        <v>128</v>
      </c>
      <c r="Q37" s="16">
        <v>130.30000000000001</v>
      </c>
      <c r="R37" s="16">
        <v>151.82</v>
      </c>
      <c r="S37" s="17">
        <v>250.69</v>
      </c>
      <c r="T37" s="17">
        <v>240.42</v>
      </c>
      <c r="U37" s="17">
        <v>224.23</v>
      </c>
      <c r="V37" s="17">
        <v>240</v>
      </c>
      <c r="W37" s="16">
        <v>273.60000000000002</v>
      </c>
      <c r="X37" s="10">
        <v>0.17012454412009509</v>
      </c>
      <c r="Y37" s="9">
        <v>0.12147743879570121</v>
      </c>
      <c r="Z37" s="9">
        <v>0.1016882697541399</v>
      </c>
      <c r="AA37" s="8">
        <v>2.398099106077423E-2</v>
      </c>
    </row>
    <row r="38" spans="2:27" x14ac:dyDescent="0.3">
      <c r="B38" s="12" t="s">
        <v>289</v>
      </c>
      <c r="C38" s="3" t="s">
        <v>403</v>
      </c>
      <c r="D38" s="3" t="s">
        <v>427</v>
      </c>
      <c r="E38" s="3" t="s">
        <v>405</v>
      </c>
      <c r="F38" s="5">
        <v>2.1</v>
      </c>
      <c r="G38" s="16">
        <v>71.91</v>
      </c>
      <c r="H38" s="16">
        <v>72.930000000000007</v>
      </c>
      <c r="I38" s="16">
        <v>73.58</v>
      </c>
      <c r="J38" s="16">
        <v>75.87</v>
      </c>
      <c r="K38" s="16">
        <v>74.59</v>
      </c>
      <c r="L38" s="16">
        <v>72.62</v>
      </c>
      <c r="M38" s="16">
        <v>72.790000000000006</v>
      </c>
      <c r="N38" s="16">
        <v>73.36</v>
      </c>
      <c r="O38" s="16">
        <v>73.95</v>
      </c>
      <c r="P38" s="16">
        <v>74.22</v>
      </c>
      <c r="Q38" s="16">
        <v>77.599999999999994</v>
      </c>
      <c r="R38" s="16">
        <v>76.36</v>
      </c>
      <c r="S38" s="16">
        <v>79.930000000000007</v>
      </c>
      <c r="T38" s="16">
        <v>80.5</v>
      </c>
      <c r="U38" s="16">
        <v>86.07</v>
      </c>
      <c r="V38" s="16">
        <v>87.71</v>
      </c>
      <c r="W38" s="16">
        <v>87.04</v>
      </c>
      <c r="X38" s="7">
        <v>2.0382330985686758E-2</v>
      </c>
      <c r="Y38" s="8">
        <v>2.6941060466299849E-2</v>
      </c>
      <c r="Z38" s="8">
        <v>3.5154556154370242E-2</v>
      </c>
      <c r="AA38" s="8">
        <v>2.1274049250471268E-2</v>
      </c>
    </row>
    <row r="39" spans="2:27" x14ac:dyDescent="0.3">
      <c r="B39" s="12" t="s">
        <v>157</v>
      </c>
      <c r="C39" s="3" t="s">
        <v>403</v>
      </c>
      <c r="D39" s="3" t="s">
        <v>428</v>
      </c>
      <c r="E39" s="3" t="s">
        <v>405</v>
      </c>
      <c r="F39" s="5">
        <v>2.1</v>
      </c>
      <c r="G39" s="16">
        <v>115.87</v>
      </c>
      <c r="H39" s="16">
        <v>132.16999999999999</v>
      </c>
      <c r="I39" s="16">
        <v>146.01</v>
      </c>
      <c r="J39" s="16">
        <v>151.33000000000001</v>
      </c>
      <c r="K39" s="16">
        <v>165.83</v>
      </c>
      <c r="L39" s="16">
        <v>167.52</v>
      </c>
      <c r="M39" s="16">
        <v>183.33</v>
      </c>
      <c r="N39" s="16">
        <v>200.62</v>
      </c>
      <c r="O39" s="16">
        <v>215.42</v>
      </c>
      <c r="P39" s="16">
        <v>223.85</v>
      </c>
      <c r="Q39" s="16">
        <v>235.25</v>
      </c>
      <c r="R39" s="16">
        <v>253.37</v>
      </c>
      <c r="S39" s="16">
        <v>262.70999999999998</v>
      </c>
      <c r="T39" s="16">
        <v>263.25</v>
      </c>
      <c r="U39" s="16">
        <v>264.69</v>
      </c>
      <c r="V39" s="16">
        <v>288.85000000000002</v>
      </c>
      <c r="W39" s="16">
        <v>285.23</v>
      </c>
      <c r="X39" s="7">
        <v>4.0402797432268933E-2</v>
      </c>
      <c r="Y39" s="8">
        <v>2.9016933115180828E-2</v>
      </c>
      <c r="Z39" s="8">
        <v>3.3984023294572951E-2</v>
      </c>
      <c r="AA39" s="8">
        <v>2.086150995831404E-2</v>
      </c>
    </row>
    <row r="40" spans="2:27" x14ac:dyDescent="0.3">
      <c r="B40" s="12" t="s">
        <v>46</v>
      </c>
      <c r="C40" s="3" t="s">
        <v>403</v>
      </c>
      <c r="D40" s="3" t="s">
        <v>429</v>
      </c>
      <c r="E40" s="3" t="s">
        <v>405</v>
      </c>
      <c r="F40" s="5">
        <v>1.9</v>
      </c>
      <c r="G40" s="16">
        <v>1343</v>
      </c>
      <c r="H40" s="16">
        <v>1011</v>
      </c>
      <c r="I40" s="16">
        <v>1065</v>
      </c>
      <c r="J40" s="16">
        <v>1069</v>
      </c>
      <c r="K40" s="16">
        <v>1392</v>
      </c>
      <c r="L40" s="16">
        <v>1024</v>
      </c>
      <c r="M40" s="16">
        <v>1025</v>
      </c>
      <c r="N40" s="16">
        <v>1027</v>
      </c>
      <c r="O40" s="16">
        <v>1403</v>
      </c>
      <c r="P40" s="16">
        <v>1085</v>
      </c>
      <c r="Q40" s="16">
        <v>1098</v>
      </c>
      <c r="R40" s="16">
        <v>1080</v>
      </c>
      <c r="S40" s="16">
        <v>1444</v>
      </c>
      <c r="T40" s="16">
        <v>1112</v>
      </c>
      <c r="U40" s="16">
        <v>1145</v>
      </c>
      <c r="V40" s="16">
        <v>1147</v>
      </c>
      <c r="W40" s="16">
        <v>1536</v>
      </c>
      <c r="X40" s="7">
        <v>5.7361376673039643E-3</v>
      </c>
      <c r="Y40" s="8">
        <v>9.928179129700121E-3</v>
      </c>
      <c r="Z40" s="8">
        <v>1.4013804643379981E-2</v>
      </c>
      <c r="AA40" s="8">
        <v>1.8976897689769071E-2</v>
      </c>
    </row>
    <row r="41" spans="2:27" x14ac:dyDescent="0.3">
      <c r="B41" s="12" t="s">
        <v>150</v>
      </c>
      <c r="C41" s="3" t="s">
        <v>403</v>
      </c>
      <c r="D41" s="3" t="s">
        <v>430</v>
      </c>
      <c r="E41" s="3" t="s">
        <v>405</v>
      </c>
      <c r="F41" s="5">
        <v>1.9</v>
      </c>
      <c r="G41" s="16">
        <v>121.54</v>
      </c>
      <c r="H41" s="16">
        <v>125.49</v>
      </c>
      <c r="I41" s="16">
        <v>130.02000000000001</v>
      </c>
      <c r="J41" s="16">
        <v>139.75</v>
      </c>
      <c r="K41" s="16">
        <v>144.59</v>
      </c>
      <c r="L41" s="16">
        <v>149.43</v>
      </c>
      <c r="M41" s="16">
        <v>153.63</v>
      </c>
      <c r="N41" s="16">
        <v>156.49</v>
      </c>
      <c r="O41" s="16">
        <v>158.66</v>
      </c>
      <c r="P41" s="16">
        <v>163.54</v>
      </c>
      <c r="Q41" s="16">
        <v>165.17</v>
      </c>
      <c r="R41" s="16">
        <v>168.16</v>
      </c>
      <c r="S41" s="16">
        <v>175.31</v>
      </c>
      <c r="T41" s="16">
        <v>177.25</v>
      </c>
      <c r="U41" s="16">
        <v>179.82</v>
      </c>
      <c r="V41" s="16">
        <v>181.65</v>
      </c>
      <c r="W41" s="16">
        <v>188.84</v>
      </c>
      <c r="X41" s="7">
        <v>2.0396322413639201E-2</v>
      </c>
      <c r="Y41" s="8">
        <v>2.1359110061380141E-2</v>
      </c>
      <c r="Z41" s="8">
        <v>1.9256573500442631E-2</v>
      </c>
      <c r="AA41" s="8">
        <v>1.8948783664551879E-2</v>
      </c>
    </row>
    <row r="42" spans="2:27" x14ac:dyDescent="0.3">
      <c r="B42" s="12" t="s">
        <v>343</v>
      </c>
      <c r="C42" s="3" t="s">
        <v>403</v>
      </c>
      <c r="D42" s="3" t="s">
        <v>431</v>
      </c>
      <c r="E42" s="3" t="s">
        <v>405</v>
      </c>
      <c r="F42" s="5">
        <v>1.8</v>
      </c>
      <c r="G42" s="16">
        <v>64.34</v>
      </c>
      <c r="H42" s="16">
        <v>65.37</v>
      </c>
      <c r="I42" s="16">
        <v>65.64</v>
      </c>
      <c r="J42" s="16">
        <v>67.290000000000006</v>
      </c>
      <c r="K42" s="16">
        <v>68.540000000000006</v>
      </c>
      <c r="L42" s="16">
        <v>68.95</v>
      </c>
      <c r="M42" s="16">
        <v>69.2</v>
      </c>
      <c r="N42" s="16">
        <v>70.34</v>
      </c>
      <c r="O42" s="16">
        <v>70.58</v>
      </c>
      <c r="P42" s="16">
        <v>72.760000000000005</v>
      </c>
      <c r="Q42" s="16">
        <v>71.56</v>
      </c>
      <c r="R42" s="16">
        <v>73.099999999999994</v>
      </c>
      <c r="S42" s="16">
        <v>74.239999999999995</v>
      </c>
      <c r="T42" s="16">
        <v>73.489999999999995</v>
      </c>
      <c r="U42" s="16">
        <v>74.400000000000006</v>
      </c>
      <c r="V42" s="16">
        <v>76.47</v>
      </c>
      <c r="W42" s="16">
        <v>79.709999999999994</v>
      </c>
      <c r="X42" s="7">
        <v>2.5029143523280779E-3</v>
      </c>
      <c r="Y42" s="8">
        <v>9.7130544820276388E-3</v>
      </c>
      <c r="Z42" s="8">
        <v>1.1414829116282331E-2</v>
      </c>
      <c r="AA42" s="8">
        <v>1.8318821165438589E-2</v>
      </c>
    </row>
    <row r="43" spans="2:27" x14ac:dyDescent="0.3">
      <c r="B43" s="12" t="s">
        <v>97</v>
      </c>
      <c r="C43" s="3" t="s">
        <v>403</v>
      </c>
      <c r="D43" s="3" t="s">
        <v>432</v>
      </c>
      <c r="E43" s="3" t="s">
        <v>405</v>
      </c>
      <c r="F43" s="5">
        <v>1.6</v>
      </c>
      <c r="G43" s="16">
        <v>884.45</v>
      </c>
      <c r="H43" s="16">
        <v>784.38</v>
      </c>
      <c r="I43" s="16">
        <v>1023</v>
      </c>
      <c r="J43" s="16">
        <v>1284</v>
      </c>
      <c r="K43" s="17">
        <v>1329</v>
      </c>
      <c r="L43" s="17">
        <v>1257</v>
      </c>
      <c r="M43" s="16">
        <v>1413</v>
      </c>
      <c r="N43" s="16">
        <v>1529</v>
      </c>
      <c r="O43" s="16">
        <v>1516</v>
      </c>
      <c r="P43" s="16">
        <v>1413</v>
      </c>
      <c r="Q43" s="16">
        <v>1564</v>
      </c>
      <c r="R43" s="16">
        <v>1649</v>
      </c>
      <c r="S43" s="16">
        <v>1741</v>
      </c>
      <c r="T43" s="16">
        <v>1648</v>
      </c>
      <c r="U43" s="16">
        <v>1891</v>
      </c>
      <c r="V43" s="16">
        <v>2178</v>
      </c>
      <c r="W43" s="16">
        <v>1858</v>
      </c>
      <c r="X43" s="7">
        <v>3.6909062352756372E-2</v>
      </c>
      <c r="Y43" s="8">
        <v>4.9530445319600158E-2</v>
      </c>
      <c r="Z43" s="8">
        <v>7.6345793043729238E-2</v>
      </c>
      <c r="AA43" s="8">
        <v>1.5687851971037729E-2</v>
      </c>
    </row>
    <row r="44" spans="2:27" x14ac:dyDescent="0.3">
      <c r="B44" s="12" t="s">
        <v>283</v>
      </c>
      <c r="C44" s="3" t="s">
        <v>403</v>
      </c>
      <c r="D44" s="3" t="s">
        <v>433</v>
      </c>
      <c r="E44" s="3" t="s">
        <v>417</v>
      </c>
      <c r="F44" s="5">
        <v>1.4</v>
      </c>
      <c r="G44" s="16">
        <v>59629</v>
      </c>
      <c r="H44" s="16">
        <v>57719</v>
      </c>
      <c r="I44" s="16">
        <v>60065</v>
      </c>
      <c r="J44" s="16">
        <v>61174</v>
      </c>
      <c r="K44" s="16">
        <v>62847</v>
      </c>
      <c r="L44" s="16">
        <v>63457</v>
      </c>
      <c r="M44" s="16">
        <v>66947</v>
      </c>
      <c r="N44" s="16">
        <v>68922</v>
      </c>
      <c r="O44" s="16">
        <v>72253</v>
      </c>
      <c r="P44" s="16">
        <v>68414</v>
      </c>
      <c r="Q44" s="16">
        <v>74241</v>
      </c>
      <c r="R44" s="16">
        <v>79050</v>
      </c>
      <c r="S44" s="16">
        <v>81487</v>
      </c>
      <c r="T44" s="16">
        <v>75454</v>
      </c>
      <c r="U44" s="16">
        <v>80664</v>
      </c>
      <c r="V44" s="16">
        <v>83729</v>
      </c>
      <c r="W44" s="16">
        <v>85932</v>
      </c>
      <c r="X44" s="7">
        <v>2.3219610016095519E-2</v>
      </c>
      <c r="Y44" s="8">
        <v>2.0703860336780181E-2</v>
      </c>
      <c r="Z44" s="8">
        <v>1.477633386493182E-2</v>
      </c>
      <c r="AA44" s="8">
        <v>1.383295885278257E-2</v>
      </c>
    </row>
    <row r="45" spans="2:27" x14ac:dyDescent="0.3">
      <c r="B45" s="12" t="s">
        <v>200</v>
      </c>
      <c r="C45" s="3" t="s">
        <v>403</v>
      </c>
      <c r="D45" s="3" t="s">
        <v>418</v>
      </c>
      <c r="E45" s="3" t="s">
        <v>405</v>
      </c>
      <c r="F45" s="5">
        <v>1.4</v>
      </c>
      <c r="G45" s="16">
        <v>419.41</v>
      </c>
      <c r="H45" s="16">
        <v>456.47</v>
      </c>
      <c r="I45" s="16">
        <v>498.07</v>
      </c>
      <c r="J45" s="16">
        <v>958.16</v>
      </c>
      <c r="K45" s="17">
        <v>978.17</v>
      </c>
      <c r="L45" s="17">
        <v>943.46</v>
      </c>
      <c r="M45" s="17">
        <v>977.85</v>
      </c>
      <c r="N45" s="16">
        <v>1002</v>
      </c>
      <c r="O45" s="16">
        <v>1040</v>
      </c>
      <c r="P45" s="16">
        <v>1011</v>
      </c>
      <c r="Q45" s="16">
        <v>1072</v>
      </c>
      <c r="R45" s="16">
        <v>1082</v>
      </c>
      <c r="S45" s="16">
        <v>1158</v>
      </c>
      <c r="T45" s="16">
        <v>1016</v>
      </c>
      <c r="U45" s="16">
        <v>1078</v>
      </c>
      <c r="V45" s="16">
        <v>1167</v>
      </c>
      <c r="W45" s="16">
        <v>1219</v>
      </c>
      <c r="X45" s="7">
        <v>1.1566042100392691E-3</v>
      </c>
      <c r="Y45" s="8">
        <v>1.3863216266174481E-3</v>
      </c>
      <c r="Z45" s="8">
        <v>1.9612367328103449E-2</v>
      </c>
      <c r="AA45" s="8">
        <v>1.380402806064729E-2</v>
      </c>
    </row>
    <row r="46" spans="2:27" x14ac:dyDescent="0.3">
      <c r="B46" s="12" t="s">
        <v>178</v>
      </c>
      <c r="C46" s="3" t="s">
        <v>403</v>
      </c>
      <c r="D46" s="3" t="s">
        <v>434</v>
      </c>
      <c r="E46" s="3" t="s">
        <v>405</v>
      </c>
      <c r="F46" s="5">
        <v>1.3</v>
      </c>
      <c r="G46" s="16">
        <v>447.04</v>
      </c>
      <c r="H46" s="16">
        <v>474.17</v>
      </c>
      <c r="I46" s="16">
        <v>492.39</v>
      </c>
      <c r="J46" s="16">
        <v>492.22</v>
      </c>
      <c r="K46" s="16">
        <v>484.81</v>
      </c>
      <c r="L46" s="16">
        <v>500.15</v>
      </c>
      <c r="M46" s="16">
        <v>495.44</v>
      </c>
      <c r="N46" s="16">
        <v>490.61</v>
      </c>
      <c r="O46" s="16">
        <v>467.11</v>
      </c>
      <c r="P46" s="16">
        <v>469.76</v>
      </c>
      <c r="Q46" s="16">
        <v>463.57</v>
      </c>
      <c r="R46" s="16">
        <v>462.27</v>
      </c>
      <c r="S46" s="16">
        <v>444.09</v>
      </c>
      <c r="T46" s="16">
        <v>442.91</v>
      </c>
      <c r="U46" s="16">
        <v>483.4</v>
      </c>
      <c r="V46" s="16">
        <v>493.84</v>
      </c>
      <c r="W46" s="16">
        <v>468.48</v>
      </c>
      <c r="X46" s="7">
        <v>-1.4594850219330491E-2</v>
      </c>
      <c r="Y46" s="8">
        <v>1.0938637717614391E-2</v>
      </c>
      <c r="Z46" s="8">
        <v>1.7226232764218311E-2</v>
      </c>
      <c r="AA46" s="8">
        <v>1.308307943183284E-2</v>
      </c>
    </row>
    <row r="47" spans="2:27" x14ac:dyDescent="0.3">
      <c r="B47" s="12" t="s">
        <v>270</v>
      </c>
      <c r="C47" s="3" t="s">
        <v>403</v>
      </c>
      <c r="D47" s="3" t="s">
        <v>434</v>
      </c>
      <c r="E47" s="3" t="s">
        <v>405</v>
      </c>
      <c r="F47" s="5">
        <v>1.2</v>
      </c>
      <c r="G47" s="16">
        <v>610.03</v>
      </c>
      <c r="H47" s="16">
        <v>675.28</v>
      </c>
      <c r="I47" s="16">
        <v>751.63</v>
      </c>
      <c r="J47" s="16">
        <v>719.19</v>
      </c>
      <c r="K47" s="16">
        <v>627.17999999999995</v>
      </c>
      <c r="L47" s="16">
        <v>651.44000000000005</v>
      </c>
      <c r="M47" s="16">
        <v>579.98</v>
      </c>
      <c r="N47" s="16">
        <v>562.23</v>
      </c>
      <c r="O47" s="16">
        <v>532.13</v>
      </c>
      <c r="P47" s="16">
        <v>551.41999999999996</v>
      </c>
      <c r="Q47" s="16">
        <v>556.41</v>
      </c>
      <c r="R47" s="16">
        <v>546.84</v>
      </c>
      <c r="S47" s="16">
        <v>525.61</v>
      </c>
      <c r="T47" s="16">
        <v>593.26</v>
      </c>
      <c r="U47" s="16">
        <v>594.69000000000005</v>
      </c>
      <c r="V47" s="16">
        <v>590.28</v>
      </c>
      <c r="W47" s="16">
        <v>553.89</v>
      </c>
      <c r="X47" s="7">
        <v>1.9190195754673841E-2</v>
      </c>
      <c r="Y47" s="8">
        <v>1.7226792432452061E-2</v>
      </c>
      <c r="Z47" s="8">
        <v>1.921783755087603E-2</v>
      </c>
      <c r="AA47" s="8">
        <v>1.227515799708301E-2</v>
      </c>
    </row>
    <row r="48" spans="2:27" hidden="1" x14ac:dyDescent="0.3">
      <c r="B48" s="3" t="s">
        <v>258</v>
      </c>
      <c r="C48" s="3" t="s">
        <v>403</v>
      </c>
      <c r="D48" s="3" t="s">
        <v>450</v>
      </c>
      <c r="E48" s="3" t="s">
        <v>445</v>
      </c>
      <c r="F48" s="5">
        <v>1</v>
      </c>
      <c r="G48" s="4">
        <v>337.42</v>
      </c>
      <c r="H48" s="4">
        <v>336.73</v>
      </c>
      <c r="I48" s="4">
        <v>310.73</v>
      </c>
      <c r="J48" s="4">
        <v>313.02999999999997</v>
      </c>
      <c r="K48" s="4">
        <v>322.92</v>
      </c>
      <c r="L48" s="4">
        <v>336.89</v>
      </c>
      <c r="M48" s="4">
        <v>346.03</v>
      </c>
      <c r="N48" s="4">
        <v>346.22</v>
      </c>
      <c r="O48" s="4">
        <v>356.52</v>
      </c>
      <c r="P48" s="4">
        <v>361.54</v>
      </c>
      <c r="Q48" s="4">
        <v>370.78</v>
      </c>
      <c r="R48" s="4">
        <v>371.39</v>
      </c>
      <c r="S48" s="4">
        <v>373.64</v>
      </c>
      <c r="T48" s="4">
        <v>379.62</v>
      </c>
      <c r="U48" s="4">
        <v>386.86</v>
      </c>
      <c r="V48" s="4">
        <v>382.71</v>
      </c>
      <c r="W48" s="4">
        <v>388.71</v>
      </c>
      <c r="X48" s="7">
        <v>1.2238129082478681E-2</v>
      </c>
      <c r="Y48" s="8">
        <v>1.075276007569737E-2</v>
      </c>
      <c r="Z48" s="8">
        <v>7.4891995421795246E-3</v>
      </c>
      <c r="AA48" s="8">
        <v>9.8960488038717376E-3</v>
      </c>
    </row>
    <row r="49" spans="2:27" x14ac:dyDescent="0.3">
      <c r="B49" s="12" t="s">
        <v>44</v>
      </c>
      <c r="C49" s="3" t="s">
        <v>403</v>
      </c>
      <c r="D49" s="3" t="s">
        <v>435</v>
      </c>
      <c r="E49" s="3" t="s">
        <v>405</v>
      </c>
      <c r="F49" s="5">
        <v>0.7</v>
      </c>
      <c r="G49" s="16">
        <v>635.92999999999995</v>
      </c>
      <c r="H49" s="16">
        <v>672.11</v>
      </c>
      <c r="I49" s="16">
        <v>726.14</v>
      </c>
      <c r="J49" s="16">
        <v>741.24</v>
      </c>
      <c r="K49" s="16">
        <v>700.64</v>
      </c>
      <c r="L49" s="16">
        <v>752.47</v>
      </c>
      <c r="M49" s="16">
        <v>839.87</v>
      </c>
      <c r="N49" s="16">
        <v>858.94</v>
      </c>
      <c r="O49" s="16">
        <v>817.67</v>
      </c>
      <c r="P49" s="16">
        <v>880.7</v>
      </c>
      <c r="Q49" s="16">
        <v>990.44</v>
      </c>
      <c r="R49" s="16">
        <v>999.89</v>
      </c>
      <c r="S49" s="16">
        <v>924.09</v>
      </c>
      <c r="T49" s="16">
        <v>989.4</v>
      </c>
      <c r="U49" s="16">
        <v>1060</v>
      </c>
      <c r="V49" s="16">
        <v>1067</v>
      </c>
      <c r="W49" s="16">
        <v>951.02</v>
      </c>
      <c r="X49" s="7">
        <v>2.8642045574316599E-2</v>
      </c>
      <c r="Y49" s="8">
        <v>1.781844449795322E-2</v>
      </c>
      <c r="Z49" s="8">
        <v>1.688990229980503E-2</v>
      </c>
      <c r="AA49" s="8">
        <v>6.6650332014186464E-3</v>
      </c>
    </row>
    <row r="50" spans="2:27" x14ac:dyDescent="0.3">
      <c r="B50" s="12" t="s">
        <v>190</v>
      </c>
      <c r="C50" s="3" t="s">
        <v>403</v>
      </c>
      <c r="D50" s="3" t="s">
        <v>436</v>
      </c>
      <c r="E50" s="3" t="s">
        <v>405</v>
      </c>
      <c r="F50" s="5">
        <v>0.5</v>
      </c>
      <c r="G50" s="16">
        <v>2953</v>
      </c>
      <c r="H50" s="16">
        <v>2970</v>
      </c>
      <c r="I50" s="16">
        <v>3414</v>
      </c>
      <c r="J50" s="16">
        <v>3598</v>
      </c>
      <c r="K50" s="16">
        <v>3530</v>
      </c>
      <c r="L50" s="16">
        <v>3581</v>
      </c>
      <c r="M50" s="16">
        <v>3726</v>
      </c>
      <c r="N50" s="16">
        <v>3826</v>
      </c>
      <c r="O50" s="16">
        <v>3832</v>
      </c>
      <c r="P50" s="16">
        <v>3862</v>
      </c>
      <c r="Q50" s="16">
        <v>4048</v>
      </c>
      <c r="R50" s="16">
        <v>4076</v>
      </c>
      <c r="S50" s="16">
        <v>4046</v>
      </c>
      <c r="T50" s="16">
        <v>4009</v>
      </c>
      <c r="U50" s="16">
        <v>4235</v>
      </c>
      <c r="V50" s="16">
        <v>4212</v>
      </c>
      <c r="W50" s="16">
        <v>4135</v>
      </c>
      <c r="X50" s="7">
        <v>9.1691616766467199E-3</v>
      </c>
      <c r="Y50" s="8">
        <v>1.155819271895675E-2</v>
      </c>
      <c r="Z50" s="8">
        <v>8.3099107906636771E-3</v>
      </c>
      <c r="AA50" s="8">
        <v>5.3932856623439829E-3</v>
      </c>
    </row>
    <row r="51" spans="2:27" x14ac:dyDescent="0.3">
      <c r="B51" s="12" t="s">
        <v>341</v>
      </c>
      <c r="C51" s="3" t="s">
        <v>403</v>
      </c>
      <c r="D51" s="3" t="s">
        <v>437</v>
      </c>
      <c r="E51" s="3" t="s">
        <v>438</v>
      </c>
      <c r="F51" s="5">
        <v>0.2</v>
      </c>
      <c r="G51" s="16">
        <v>1789</v>
      </c>
      <c r="H51" s="16">
        <v>1825</v>
      </c>
      <c r="I51" s="16">
        <v>1767</v>
      </c>
      <c r="J51" s="16">
        <v>1904</v>
      </c>
      <c r="K51" s="16">
        <v>1881</v>
      </c>
      <c r="L51" s="16">
        <v>1874</v>
      </c>
      <c r="M51" s="16">
        <v>1924</v>
      </c>
      <c r="N51" s="16">
        <v>1914</v>
      </c>
      <c r="O51" s="16">
        <v>1945</v>
      </c>
      <c r="P51" s="16">
        <v>1779</v>
      </c>
      <c r="Q51" s="16">
        <v>1660</v>
      </c>
      <c r="R51" s="16">
        <v>2025</v>
      </c>
      <c r="S51" s="16">
        <v>1883</v>
      </c>
      <c r="T51" s="16">
        <v>1895</v>
      </c>
      <c r="U51" s="16">
        <v>1671</v>
      </c>
      <c r="V51" s="16">
        <v>1839</v>
      </c>
      <c r="W51" s="16">
        <v>1901</v>
      </c>
      <c r="X51" s="7">
        <v>1.5788757315911232E-2</v>
      </c>
      <c r="Y51" s="8">
        <v>1.473938094600058E-3</v>
      </c>
      <c r="Z51" s="8">
        <v>-2.488627241102492E-2</v>
      </c>
      <c r="AA51" s="8">
        <v>2.4698133918770182E-3</v>
      </c>
    </row>
    <row r="52" spans="2:27" x14ac:dyDescent="0.3">
      <c r="B52" s="12" t="s">
        <v>142</v>
      </c>
      <c r="C52" s="3" t="s">
        <v>403</v>
      </c>
      <c r="D52" s="3" t="s">
        <v>439</v>
      </c>
      <c r="E52" s="3" t="s">
        <v>405</v>
      </c>
      <c r="F52" s="5">
        <v>0</v>
      </c>
      <c r="G52" s="16">
        <v>1736</v>
      </c>
      <c r="H52" s="16">
        <v>1892</v>
      </c>
      <c r="I52" s="16">
        <v>1887</v>
      </c>
      <c r="J52" s="16">
        <v>1848</v>
      </c>
      <c r="K52" s="16">
        <v>1868</v>
      </c>
      <c r="L52" s="16">
        <v>1854</v>
      </c>
      <c r="M52" s="16">
        <v>0</v>
      </c>
      <c r="N52" s="16">
        <v>1831</v>
      </c>
      <c r="O52" s="16">
        <v>1913</v>
      </c>
      <c r="P52" s="16">
        <v>1864</v>
      </c>
      <c r="Q52" s="17">
        <v>1769</v>
      </c>
      <c r="R52" s="16">
        <v>1880</v>
      </c>
      <c r="S52" s="16">
        <v>1782</v>
      </c>
      <c r="T52" s="16">
        <v>1786</v>
      </c>
      <c r="U52" s="16">
        <v>0</v>
      </c>
      <c r="V52" s="16">
        <v>1935</v>
      </c>
      <c r="W52" s="16">
        <v>1784</v>
      </c>
      <c r="X52" s="7">
        <v>-1.069225496915693E-2</v>
      </c>
      <c r="Y52" s="8">
        <v>-0.24511569904392411</v>
      </c>
      <c r="Z52" s="8">
        <v>1.009544787077821E-2</v>
      </c>
      <c r="AA52" s="8">
        <v>3.6343812465933212E-4</v>
      </c>
    </row>
    <row r="53" spans="2:27" x14ac:dyDescent="0.3">
      <c r="B53" s="12" t="s">
        <v>237</v>
      </c>
      <c r="C53" s="3" t="s">
        <v>403</v>
      </c>
      <c r="D53" s="3" t="s">
        <v>440</v>
      </c>
      <c r="E53" s="3" t="s">
        <v>405</v>
      </c>
      <c r="F53" s="5">
        <v>-0.4</v>
      </c>
      <c r="G53" s="16">
        <v>0</v>
      </c>
      <c r="H53" s="16">
        <v>315.07</v>
      </c>
      <c r="I53" s="16">
        <v>337.36</v>
      </c>
      <c r="J53" s="16">
        <v>341.87</v>
      </c>
      <c r="K53" s="16">
        <v>0</v>
      </c>
      <c r="L53" s="16">
        <v>307.14</v>
      </c>
      <c r="M53" s="16">
        <v>326.02</v>
      </c>
      <c r="N53" s="16">
        <v>340.99</v>
      </c>
      <c r="O53" s="17">
        <v>389.89</v>
      </c>
      <c r="P53" s="16">
        <v>314.49</v>
      </c>
      <c r="Q53" s="16">
        <v>320.8</v>
      </c>
      <c r="R53" s="16">
        <v>353.58</v>
      </c>
      <c r="S53" s="16">
        <v>412.82</v>
      </c>
      <c r="T53" s="16">
        <v>328.64</v>
      </c>
      <c r="U53" s="16">
        <v>352.21</v>
      </c>
      <c r="V53" s="16">
        <v>363.71</v>
      </c>
      <c r="W53" s="16">
        <v>406.71</v>
      </c>
      <c r="X53" s="7">
        <v>1.0094956802145781E-2</v>
      </c>
      <c r="Y53" s="8">
        <v>2.2184710136738731E-2</v>
      </c>
      <c r="Z53" s="8">
        <v>6.9994817757814687E-3</v>
      </c>
      <c r="AA53" s="8">
        <v>-4.1924549534094746E-3</v>
      </c>
    </row>
    <row r="54" spans="2:27" x14ac:dyDescent="0.3">
      <c r="B54" s="12" t="s">
        <v>167</v>
      </c>
      <c r="C54" s="3" t="s">
        <v>403</v>
      </c>
      <c r="D54" s="3" t="s">
        <v>423</v>
      </c>
      <c r="E54" s="3" t="s">
        <v>405</v>
      </c>
      <c r="F54" s="5">
        <v>-0.5</v>
      </c>
      <c r="G54" s="16">
        <v>250.59</v>
      </c>
      <c r="H54" s="16">
        <v>260.48</v>
      </c>
      <c r="I54" s="16">
        <v>337.67</v>
      </c>
      <c r="J54" s="16">
        <v>341.15</v>
      </c>
      <c r="K54" s="16">
        <v>299.12</v>
      </c>
      <c r="L54" s="16">
        <v>311.45</v>
      </c>
      <c r="M54" s="16">
        <v>361.63</v>
      </c>
      <c r="N54" s="16">
        <v>358.26</v>
      </c>
      <c r="O54" s="16">
        <v>312.45999999999998</v>
      </c>
      <c r="P54" s="16">
        <v>329.51</v>
      </c>
      <c r="Q54" s="16">
        <v>390.08</v>
      </c>
      <c r="R54" s="16">
        <v>378.84</v>
      </c>
      <c r="S54" s="16">
        <v>333.04</v>
      </c>
      <c r="T54" s="16">
        <v>327.7</v>
      </c>
      <c r="U54" s="16">
        <v>384.37</v>
      </c>
      <c r="V54" s="16">
        <v>373.88</v>
      </c>
      <c r="W54" s="16">
        <v>326.44</v>
      </c>
      <c r="X54" s="7">
        <v>-1.2644344624757049E-3</v>
      </c>
      <c r="Y54" s="8">
        <v>-3.9939566050668507E-3</v>
      </c>
      <c r="Z54" s="8">
        <v>-3.4832683731872431E-3</v>
      </c>
      <c r="AA54" s="8">
        <v>-4.6511955686792117E-3</v>
      </c>
    </row>
    <row r="55" spans="2:27" hidden="1" x14ac:dyDescent="0.3">
      <c r="B55" s="3" t="s">
        <v>362</v>
      </c>
      <c r="C55" s="3" t="s">
        <v>403</v>
      </c>
      <c r="D55" s="3" t="s">
        <v>412</v>
      </c>
      <c r="E55" s="3" t="s">
        <v>445</v>
      </c>
      <c r="F55" s="5">
        <v>-0.9</v>
      </c>
      <c r="G55" s="4">
        <v>167.3</v>
      </c>
      <c r="H55" s="4">
        <v>160.80000000000001</v>
      </c>
      <c r="I55" s="4">
        <v>164.9</v>
      </c>
      <c r="J55" s="4">
        <v>179.3</v>
      </c>
      <c r="K55" s="4">
        <v>156.4</v>
      </c>
      <c r="L55" s="4">
        <v>177.8</v>
      </c>
      <c r="M55" s="4">
        <v>181.2</v>
      </c>
      <c r="N55" s="4">
        <v>183.5</v>
      </c>
      <c r="O55" s="4">
        <v>191.9</v>
      </c>
      <c r="P55" s="4">
        <v>196.6</v>
      </c>
      <c r="Q55" s="4">
        <v>202.2</v>
      </c>
      <c r="R55" s="4">
        <v>211.5</v>
      </c>
      <c r="S55" s="4">
        <v>213.3</v>
      </c>
      <c r="T55" s="4">
        <v>210.6</v>
      </c>
      <c r="U55" s="4">
        <v>195.9</v>
      </c>
      <c r="V55" s="4">
        <v>213.1</v>
      </c>
      <c r="W55" s="4">
        <v>205.7</v>
      </c>
      <c r="X55" s="7">
        <v>1.699854298203007E-2</v>
      </c>
      <c r="Y55" s="8">
        <v>-7.5214899713468286E-3</v>
      </c>
      <c r="Z55" s="8">
        <v>1.9246962588717049E-3</v>
      </c>
      <c r="AA55" s="8">
        <v>-9.1247448673310583E-3</v>
      </c>
    </row>
    <row r="56" spans="2:27" x14ac:dyDescent="0.3">
      <c r="B56" s="12" t="s">
        <v>17</v>
      </c>
      <c r="C56" s="3" t="s">
        <v>403</v>
      </c>
      <c r="D56" s="3" t="s">
        <v>421</v>
      </c>
      <c r="E56" s="3" t="s">
        <v>405</v>
      </c>
      <c r="F56" s="5">
        <v>-1</v>
      </c>
      <c r="G56" s="16">
        <v>1907</v>
      </c>
      <c r="H56" s="16">
        <v>2222</v>
      </c>
      <c r="I56" s="16">
        <v>2535</v>
      </c>
      <c r="J56" s="16">
        <v>2417</v>
      </c>
      <c r="K56" s="16">
        <v>1909</v>
      </c>
      <c r="L56" s="16">
        <v>1723</v>
      </c>
      <c r="M56" s="16">
        <v>1788</v>
      </c>
      <c r="N56" s="16">
        <v>2324</v>
      </c>
      <c r="O56" s="16">
        <v>2124</v>
      </c>
      <c r="P56" s="16">
        <v>2032</v>
      </c>
      <c r="Q56" s="16">
        <v>2365</v>
      </c>
      <c r="R56" s="16">
        <v>2636</v>
      </c>
      <c r="S56" s="17">
        <v>3528</v>
      </c>
      <c r="T56" s="17">
        <v>3860</v>
      </c>
      <c r="U56" s="16">
        <v>3495</v>
      </c>
      <c r="V56" s="16">
        <v>3743</v>
      </c>
      <c r="W56" s="16">
        <v>3376</v>
      </c>
      <c r="X56" s="10">
        <v>0.17308966953886951</v>
      </c>
      <c r="Y56" s="8">
        <v>9.1209944305432167E-2</v>
      </c>
      <c r="Z56" s="8">
        <v>8.188475478955537E-2</v>
      </c>
      <c r="AA56" s="8">
        <v>-1.0392451798167611E-2</v>
      </c>
    </row>
    <row r="57" spans="2:27" hidden="1" x14ac:dyDescent="0.3">
      <c r="B57" s="3" t="s">
        <v>230</v>
      </c>
      <c r="C57" s="3" t="s">
        <v>403</v>
      </c>
      <c r="D57" s="3" t="s">
        <v>408</v>
      </c>
      <c r="E57" s="3" t="s">
        <v>445</v>
      </c>
      <c r="F57" s="5">
        <v>-1</v>
      </c>
      <c r="G57" s="4">
        <v>272</v>
      </c>
      <c r="H57" s="4">
        <v>276.39999999999998</v>
      </c>
      <c r="I57" s="4">
        <v>258.10000000000002</v>
      </c>
      <c r="J57" s="4">
        <v>280.2</v>
      </c>
      <c r="K57" s="4">
        <v>262.89999999999998</v>
      </c>
      <c r="L57" s="4">
        <v>291</v>
      </c>
      <c r="M57" s="4">
        <v>305.8</v>
      </c>
      <c r="N57" s="4">
        <v>321.7</v>
      </c>
      <c r="O57" s="4">
        <v>304.7</v>
      </c>
      <c r="P57" s="4">
        <v>311.39999999999998</v>
      </c>
      <c r="Q57" s="4">
        <v>311</v>
      </c>
      <c r="R57" s="4">
        <v>331</v>
      </c>
      <c r="S57" s="4">
        <v>315.8</v>
      </c>
      <c r="T57" s="4">
        <v>328.9</v>
      </c>
      <c r="U57" s="4">
        <v>290</v>
      </c>
      <c r="V57" s="4">
        <v>318.60000000000002</v>
      </c>
      <c r="W57" s="4">
        <v>303.3</v>
      </c>
      <c r="X57" s="7">
        <v>1.3788213047589039E-2</v>
      </c>
      <c r="Y57" s="8">
        <v>-1.6320820704126882E-2</v>
      </c>
      <c r="Z57" s="8">
        <v>-9.7969503041795969E-3</v>
      </c>
      <c r="AA57" s="8">
        <v>-9.9736695124870156E-3</v>
      </c>
    </row>
    <row r="58" spans="2:27" x14ac:dyDescent="0.3">
      <c r="B58" s="12" t="s">
        <v>70</v>
      </c>
      <c r="C58" s="3" t="s">
        <v>403</v>
      </c>
      <c r="D58" s="3" t="s">
        <v>421</v>
      </c>
      <c r="E58" s="3" t="s">
        <v>405</v>
      </c>
      <c r="F58" s="5">
        <v>-1.1000000000000001</v>
      </c>
      <c r="G58" s="16">
        <v>3028</v>
      </c>
      <c r="H58" s="16">
        <v>3407</v>
      </c>
      <c r="I58" s="16">
        <v>4014</v>
      </c>
      <c r="J58" s="16">
        <v>3643</v>
      </c>
      <c r="K58" s="16">
        <v>3199</v>
      </c>
      <c r="L58" s="16">
        <v>2592</v>
      </c>
      <c r="M58" s="16">
        <v>2352</v>
      </c>
      <c r="N58" s="16">
        <v>2913</v>
      </c>
      <c r="O58" s="16">
        <v>2804</v>
      </c>
      <c r="P58" s="16">
        <v>2387</v>
      </c>
      <c r="Q58" s="16">
        <v>2193</v>
      </c>
      <c r="R58" s="16">
        <v>2178</v>
      </c>
      <c r="S58" s="16">
        <v>2320</v>
      </c>
      <c r="T58" s="16">
        <v>2375</v>
      </c>
      <c r="U58" s="16">
        <v>2214</v>
      </c>
      <c r="V58" s="16">
        <v>2020</v>
      </c>
      <c r="W58" s="16">
        <v>2226</v>
      </c>
      <c r="X58" s="7">
        <v>-1.3218770654329639E-3</v>
      </c>
      <c r="Y58" s="8">
        <v>2.3163467902052042E-3</v>
      </c>
      <c r="Z58" s="8">
        <v>-1.7387476614944442E-2</v>
      </c>
      <c r="AA58" s="8">
        <v>-1.052749468025538E-2</v>
      </c>
    </row>
    <row r="59" spans="2:27" hidden="1" x14ac:dyDescent="0.3">
      <c r="B59" s="3" t="s">
        <v>119</v>
      </c>
      <c r="C59" s="3" t="s">
        <v>403</v>
      </c>
      <c r="D59" s="3" t="s">
        <v>409</v>
      </c>
      <c r="E59" s="3" t="s">
        <v>445</v>
      </c>
      <c r="F59" s="5">
        <v>-1.1000000000000001</v>
      </c>
      <c r="G59" s="3"/>
      <c r="H59" s="4">
        <v>0</v>
      </c>
      <c r="I59" s="4">
        <v>0</v>
      </c>
      <c r="J59" s="4">
        <v>0</v>
      </c>
      <c r="K59" s="4">
        <v>0.2</v>
      </c>
      <c r="L59" s="6">
        <v>1.23</v>
      </c>
      <c r="M59" s="6">
        <v>1.1200000000000001</v>
      </c>
      <c r="N59" s="6">
        <v>1.19</v>
      </c>
      <c r="O59" s="6">
        <v>1.07</v>
      </c>
      <c r="P59" s="4">
        <v>0.75</v>
      </c>
      <c r="Q59" s="4">
        <v>0.77</v>
      </c>
      <c r="R59" s="4">
        <v>0.84</v>
      </c>
      <c r="S59" s="4">
        <v>1.01</v>
      </c>
      <c r="T59" s="4">
        <v>1</v>
      </c>
      <c r="U59" s="4">
        <v>0.82</v>
      </c>
      <c r="V59" s="4">
        <v>0.88</v>
      </c>
      <c r="W59" s="4">
        <v>0.97</v>
      </c>
      <c r="X59" s="7">
        <v>7.4183976261127604E-2</v>
      </c>
      <c r="Y59" s="8">
        <v>1.3812154696132509E-2</v>
      </c>
      <c r="Z59" s="8">
        <v>1.0899182561307841E-2</v>
      </c>
      <c r="AA59" s="8">
        <v>-1.0781671159029621E-2</v>
      </c>
    </row>
    <row r="60" spans="2:27" x14ac:dyDescent="0.3">
      <c r="B60" s="12" t="s">
        <v>316</v>
      </c>
      <c r="C60" s="3" t="s">
        <v>403</v>
      </c>
      <c r="D60" s="3" t="s">
        <v>429</v>
      </c>
      <c r="E60" s="3" t="s">
        <v>405</v>
      </c>
      <c r="F60" s="5">
        <v>-1.5</v>
      </c>
      <c r="G60" s="16">
        <v>181.9</v>
      </c>
      <c r="H60" s="16">
        <v>167.4</v>
      </c>
      <c r="I60" s="16">
        <v>174.5</v>
      </c>
      <c r="J60" s="16">
        <v>164.5</v>
      </c>
      <c r="K60" s="16">
        <v>155.69999999999999</v>
      </c>
      <c r="L60" s="16">
        <v>154.30000000000001</v>
      </c>
      <c r="M60" s="16">
        <v>152.80000000000001</v>
      </c>
      <c r="N60" s="16">
        <v>143.6</v>
      </c>
      <c r="O60" s="16">
        <v>119.3</v>
      </c>
      <c r="P60" s="16">
        <v>110.7</v>
      </c>
      <c r="Q60" s="16">
        <v>118</v>
      </c>
      <c r="R60" s="16">
        <v>113.9</v>
      </c>
      <c r="S60" s="16">
        <v>109.9</v>
      </c>
      <c r="T60" s="16">
        <v>103.2</v>
      </c>
      <c r="U60" s="16">
        <v>110.2</v>
      </c>
      <c r="V60" s="16">
        <v>106.9</v>
      </c>
      <c r="W60" s="16">
        <v>103.3</v>
      </c>
      <c r="X60" s="7">
        <v>-1.657458563535907E-2</v>
      </c>
      <c r="Y60" s="8">
        <v>-1.7528089887640319E-2</v>
      </c>
      <c r="Z60" s="8">
        <v>-1.60109789569991E-2</v>
      </c>
      <c r="AA60" s="8">
        <v>-1.5341701534170251E-2</v>
      </c>
    </row>
    <row r="61" spans="2:27" x14ac:dyDescent="0.3">
      <c r="B61" s="12" t="s">
        <v>281</v>
      </c>
      <c r="C61" s="3" t="s">
        <v>403</v>
      </c>
      <c r="D61" s="3" t="s">
        <v>426</v>
      </c>
      <c r="E61" s="3" t="s">
        <v>405</v>
      </c>
      <c r="F61" s="5">
        <v>-1.6</v>
      </c>
      <c r="G61" s="16">
        <v>168.66</v>
      </c>
      <c r="H61" s="16">
        <v>150.13</v>
      </c>
      <c r="I61" s="16">
        <v>162.61000000000001</v>
      </c>
      <c r="J61" s="16">
        <v>272.55</v>
      </c>
      <c r="K61" s="17">
        <v>287.82</v>
      </c>
      <c r="L61" s="17">
        <v>250.08</v>
      </c>
      <c r="M61" s="17">
        <v>308.82</v>
      </c>
      <c r="N61" s="17">
        <v>395.67</v>
      </c>
      <c r="O61" s="16">
        <v>335.16</v>
      </c>
      <c r="P61" s="16">
        <v>296.20999999999998</v>
      </c>
      <c r="Q61" s="16">
        <v>364.8</v>
      </c>
      <c r="R61" s="16">
        <v>342.42</v>
      </c>
      <c r="S61" s="16">
        <v>355.13</v>
      </c>
      <c r="T61" s="16">
        <v>278.06</v>
      </c>
      <c r="U61" s="16">
        <v>302.29000000000002</v>
      </c>
      <c r="V61" s="16">
        <v>376.96</v>
      </c>
      <c r="W61" s="16">
        <v>334.16</v>
      </c>
      <c r="X61" s="7">
        <v>-1.335973383582612E-2</v>
      </c>
      <c r="Y61" s="8">
        <v>-4.663498481807804E-2</v>
      </c>
      <c r="Z61" s="8">
        <v>2.702871899209636E-2</v>
      </c>
      <c r="AA61" s="8">
        <v>-1.5977873274206859E-2</v>
      </c>
    </row>
    <row r="62" spans="2:27" x14ac:dyDescent="0.3">
      <c r="B62" s="12" t="s">
        <v>169</v>
      </c>
      <c r="C62" s="3" t="s">
        <v>403</v>
      </c>
      <c r="D62" s="3" t="s">
        <v>441</v>
      </c>
      <c r="E62" s="3" t="s">
        <v>405</v>
      </c>
      <c r="F62" s="5">
        <v>-1.6</v>
      </c>
      <c r="G62" s="16">
        <v>1782</v>
      </c>
      <c r="H62" s="16">
        <v>2326</v>
      </c>
      <c r="I62" s="16">
        <v>2278</v>
      </c>
      <c r="J62" s="16">
        <v>2155</v>
      </c>
      <c r="K62" s="16">
        <v>1628</v>
      </c>
      <c r="L62" s="16">
        <v>1544</v>
      </c>
      <c r="M62" s="16">
        <v>1815</v>
      </c>
      <c r="N62" s="16">
        <v>1834</v>
      </c>
      <c r="O62" s="16">
        <v>1644</v>
      </c>
      <c r="P62" s="16">
        <v>1645</v>
      </c>
      <c r="Q62" s="16">
        <v>1798</v>
      </c>
      <c r="R62" s="16">
        <v>1714</v>
      </c>
      <c r="S62" s="16">
        <v>1567</v>
      </c>
      <c r="T62" s="16">
        <v>1536</v>
      </c>
      <c r="U62" s="16">
        <v>1740</v>
      </c>
      <c r="V62" s="16">
        <v>1668</v>
      </c>
      <c r="W62" s="16">
        <v>1460</v>
      </c>
      <c r="X62" s="7">
        <v>-1.6210588935157699E-2</v>
      </c>
      <c r="Y62" s="8">
        <v>-8.7679516250944722E-3</v>
      </c>
      <c r="Z62" s="8">
        <v>-7.0154033856947304E-3</v>
      </c>
      <c r="AA62" s="8">
        <v>-1.643372753801264E-2</v>
      </c>
    </row>
    <row r="63" spans="2:27" x14ac:dyDescent="0.3">
      <c r="B63" s="12" t="s">
        <v>245</v>
      </c>
      <c r="C63" s="3" t="s">
        <v>403</v>
      </c>
      <c r="D63" s="3" t="s">
        <v>426</v>
      </c>
      <c r="E63" s="3" t="s">
        <v>405</v>
      </c>
      <c r="F63" s="5">
        <v>-2</v>
      </c>
      <c r="G63" s="16">
        <v>52.85</v>
      </c>
      <c r="H63" s="16">
        <v>59.85</v>
      </c>
      <c r="I63" s="16">
        <v>131.32</v>
      </c>
      <c r="J63" s="16">
        <v>141.68</v>
      </c>
      <c r="K63" s="17">
        <v>149.87</v>
      </c>
      <c r="L63" s="17">
        <v>153.41999999999999</v>
      </c>
      <c r="M63" s="16">
        <v>161.79</v>
      </c>
      <c r="N63" s="16">
        <v>157.62</v>
      </c>
      <c r="O63" s="16">
        <v>141.13999999999999</v>
      </c>
      <c r="P63" s="16">
        <v>192.67</v>
      </c>
      <c r="Q63" s="17">
        <v>287.52</v>
      </c>
      <c r="R63" s="17">
        <v>304.43</v>
      </c>
      <c r="S63" s="17">
        <v>271.33999999999997</v>
      </c>
      <c r="T63" s="16">
        <v>297.58999999999997</v>
      </c>
      <c r="U63" s="16">
        <v>288.68</v>
      </c>
      <c r="V63" s="16">
        <v>259.61</v>
      </c>
      <c r="W63" s="16">
        <v>249.43</v>
      </c>
      <c r="X63" s="7">
        <v>9.9359824235766281E-2</v>
      </c>
      <c r="Y63" s="8">
        <v>9.9924195437961494E-4</v>
      </c>
      <c r="Z63" s="8">
        <v>-3.8570100857113321E-2</v>
      </c>
      <c r="AA63" s="8">
        <v>-1.96111777447594E-2</v>
      </c>
    </row>
    <row r="64" spans="2:27" x14ac:dyDescent="0.3">
      <c r="B64" s="12" t="s">
        <v>114</v>
      </c>
      <c r="C64" s="3" t="s">
        <v>403</v>
      </c>
      <c r="D64" s="3" t="s">
        <v>441</v>
      </c>
      <c r="E64" s="3" t="s">
        <v>405</v>
      </c>
      <c r="F64" s="5">
        <v>-2</v>
      </c>
      <c r="G64" s="16">
        <v>2017</v>
      </c>
      <c r="H64" s="16">
        <v>2489</v>
      </c>
      <c r="I64" s="16">
        <v>2901</v>
      </c>
      <c r="J64" s="16">
        <v>2323</v>
      </c>
      <c r="K64" s="16">
        <v>1914</v>
      </c>
      <c r="L64" s="16">
        <v>1822</v>
      </c>
      <c r="M64" s="16">
        <v>2044</v>
      </c>
      <c r="N64" s="16">
        <v>1828</v>
      </c>
      <c r="O64" s="16">
        <v>1524</v>
      </c>
      <c r="P64" s="16">
        <v>1639</v>
      </c>
      <c r="Q64" s="16">
        <v>1902</v>
      </c>
      <c r="R64" s="16">
        <v>1649</v>
      </c>
      <c r="S64" s="16">
        <v>1462</v>
      </c>
      <c r="T64" s="16">
        <v>1596</v>
      </c>
      <c r="U64" s="16">
        <v>1835</v>
      </c>
      <c r="V64" s="16">
        <v>1560</v>
      </c>
      <c r="W64" s="16">
        <v>1330</v>
      </c>
      <c r="X64" s="7">
        <v>-6.4642212868309956E-3</v>
      </c>
      <c r="Y64" s="8">
        <v>-1.013769102738693E-2</v>
      </c>
      <c r="Z64" s="8">
        <v>-1.3604402323448511E-2</v>
      </c>
      <c r="AA64" s="8">
        <v>-2.045560204556018E-2</v>
      </c>
    </row>
    <row r="65" spans="2:27" x14ac:dyDescent="0.3">
      <c r="B65" s="12" t="s">
        <v>247</v>
      </c>
      <c r="C65" s="3" t="s">
        <v>403</v>
      </c>
      <c r="D65" s="3" t="s">
        <v>414</v>
      </c>
      <c r="E65" s="3" t="s">
        <v>405</v>
      </c>
      <c r="F65" s="5">
        <v>-2.6</v>
      </c>
      <c r="G65" s="16">
        <v>313.07</v>
      </c>
      <c r="H65" s="16">
        <v>283.07</v>
      </c>
      <c r="I65" s="16">
        <v>255.83</v>
      </c>
      <c r="J65" s="16">
        <v>273.08</v>
      </c>
      <c r="K65" s="16">
        <v>292.69</v>
      </c>
      <c r="L65" s="16">
        <v>273.5</v>
      </c>
      <c r="M65" s="16">
        <v>292.22000000000003</v>
      </c>
      <c r="N65" s="16">
        <v>274.04000000000002</v>
      </c>
      <c r="O65" s="16">
        <v>300.44</v>
      </c>
      <c r="P65" s="16">
        <v>282.77</v>
      </c>
      <c r="Q65" s="16">
        <v>289.83999999999997</v>
      </c>
      <c r="R65" s="16">
        <v>289.10000000000002</v>
      </c>
      <c r="S65" s="16">
        <v>288.69</v>
      </c>
      <c r="T65" s="16">
        <v>279.36</v>
      </c>
      <c r="U65" s="16">
        <v>278.51</v>
      </c>
      <c r="V65" s="16">
        <v>280.56</v>
      </c>
      <c r="W65" s="16">
        <v>259.60000000000002</v>
      </c>
      <c r="X65" s="7">
        <v>-2.964186369958322E-3</v>
      </c>
      <c r="Y65" s="8">
        <v>-9.878028579150544E-3</v>
      </c>
      <c r="Z65" s="8">
        <v>-7.519856295018057E-3</v>
      </c>
      <c r="AA65" s="8">
        <v>-2.5809141883739058E-2</v>
      </c>
    </row>
    <row r="66" spans="2:27" x14ac:dyDescent="0.3">
      <c r="B66" s="12" t="s">
        <v>252</v>
      </c>
      <c r="C66" s="3" t="s">
        <v>403</v>
      </c>
      <c r="D66" s="3" t="s">
        <v>442</v>
      </c>
      <c r="E66" s="3" t="s">
        <v>405</v>
      </c>
      <c r="F66" s="5">
        <v>-2.7</v>
      </c>
      <c r="G66" s="16">
        <v>615.1</v>
      </c>
      <c r="H66" s="16">
        <v>564.1</v>
      </c>
      <c r="I66" s="16">
        <v>608.70000000000005</v>
      </c>
      <c r="J66" s="16">
        <v>635</v>
      </c>
      <c r="K66" s="16">
        <v>566.4</v>
      </c>
      <c r="L66" s="16">
        <v>433.3</v>
      </c>
      <c r="M66" s="16">
        <v>421.5</v>
      </c>
      <c r="N66" s="16">
        <v>435</v>
      </c>
      <c r="O66" s="16">
        <v>444.7</v>
      </c>
      <c r="P66" s="16">
        <v>477.7</v>
      </c>
      <c r="Q66" s="16">
        <v>516.1</v>
      </c>
      <c r="R66" s="16">
        <v>540.4</v>
      </c>
      <c r="S66" s="16">
        <v>563.29999999999995</v>
      </c>
      <c r="T66" s="16">
        <v>518.6</v>
      </c>
      <c r="U66" s="16">
        <v>518.79999999999995</v>
      </c>
      <c r="V66" s="16">
        <v>510</v>
      </c>
      <c r="W66" s="16">
        <v>506.7</v>
      </c>
      <c r="X66" s="7">
        <v>1.949940405244344E-2</v>
      </c>
      <c r="Y66" s="8">
        <v>1.262626262626076E-3</v>
      </c>
      <c r="Z66" s="8">
        <v>-1.4198309280276541E-2</v>
      </c>
      <c r="AA66" s="8">
        <v>-2.6815748329937938E-2</v>
      </c>
    </row>
    <row r="67" spans="2:27" hidden="1" x14ac:dyDescent="0.3">
      <c r="B67" s="3" t="s">
        <v>29</v>
      </c>
      <c r="C67" s="3" t="s">
        <v>403</v>
      </c>
      <c r="D67" s="3" t="s">
        <v>421</v>
      </c>
      <c r="E67" s="3" t="s">
        <v>451</v>
      </c>
      <c r="F67" s="5">
        <v>-3</v>
      </c>
      <c r="G67" s="3"/>
      <c r="H67" s="3"/>
      <c r="I67" s="3"/>
      <c r="J67" s="3"/>
      <c r="K67" s="3"/>
      <c r="L67" s="3"/>
      <c r="M67" s="3"/>
      <c r="N67" s="4">
        <v>1693</v>
      </c>
      <c r="O67" s="4">
        <v>2504</v>
      </c>
      <c r="P67" s="4">
        <v>4458</v>
      </c>
      <c r="Q67" s="4">
        <v>5810</v>
      </c>
      <c r="R67" s="6">
        <v>11007</v>
      </c>
      <c r="S67" s="6">
        <v>7400</v>
      </c>
      <c r="T67" s="4">
        <v>6594</v>
      </c>
      <c r="U67" s="4">
        <v>5988</v>
      </c>
      <c r="V67" s="4">
        <v>7191</v>
      </c>
      <c r="W67" s="4">
        <v>6590</v>
      </c>
      <c r="X67" s="7">
        <v>7.4489973844812596E-2</v>
      </c>
      <c r="Y67" s="8">
        <v>5.7771575086820182E-3</v>
      </c>
      <c r="Z67" s="8">
        <v>-0.12314046919874801</v>
      </c>
      <c r="AA67" s="8">
        <v>-2.9809001582453139E-2</v>
      </c>
    </row>
    <row r="68" spans="2:27" hidden="1" x14ac:dyDescent="0.3">
      <c r="B68" s="3" t="s">
        <v>214</v>
      </c>
      <c r="C68" s="3" t="s">
        <v>403</v>
      </c>
      <c r="D68" s="3" t="s">
        <v>444</v>
      </c>
      <c r="E68" s="3" t="s">
        <v>452</v>
      </c>
      <c r="F68" s="5">
        <v>-3.6</v>
      </c>
      <c r="G68" s="4">
        <v>77.75</v>
      </c>
      <c r="H68" s="4">
        <v>128.80000000000001</v>
      </c>
      <c r="I68" s="4">
        <v>151.29</v>
      </c>
      <c r="J68" s="4">
        <v>176.8</v>
      </c>
      <c r="K68" s="6">
        <v>219.57</v>
      </c>
      <c r="L68" s="6">
        <v>221.27</v>
      </c>
      <c r="M68" s="4">
        <v>204.62</v>
      </c>
      <c r="N68" s="4">
        <v>210.8</v>
      </c>
      <c r="O68" s="4">
        <v>273.8</v>
      </c>
      <c r="P68" s="4">
        <v>248.04</v>
      </c>
      <c r="Q68" s="4">
        <v>213.15</v>
      </c>
      <c r="R68" s="4">
        <v>242.52</v>
      </c>
      <c r="S68" s="4">
        <v>300.64</v>
      </c>
      <c r="T68" s="4">
        <v>235.48</v>
      </c>
      <c r="U68" s="4">
        <v>183.52</v>
      </c>
      <c r="V68" s="4">
        <v>218.94</v>
      </c>
      <c r="W68" s="4">
        <v>267.29000000000002</v>
      </c>
      <c r="X68" s="7">
        <v>-1.250560063722816E-2</v>
      </c>
      <c r="Y68" s="8">
        <v>-2.9875276016092078E-2</v>
      </c>
      <c r="Z68" s="8">
        <v>-2.4507358443502159E-2</v>
      </c>
      <c r="AA68" s="8">
        <v>-3.5532400008523417E-2</v>
      </c>
    </row>
    <row r="69" spans="2:27" x14ac:dyDescent="0.3">
      <c r="B69" s="34" t="s">
        <v>234</v>
      </c>
      <c r="C69" s="19" t="s">
        <v>403</v>
      </c>
      <c r="D69" s="19" t="s">
        <v>430</v>
      </c>
      <c r="E69" s="19" t="s">
        <v>405</v>
      </c>
      <c r="F69" s="20">
        <v>-3.7</v>
      </c>
      <c r="G69" s="28">
        <v>58.94</v>
      </c>
      <c r="H69" s="28">
        <v>64.5</v>
      </c>
      <c r="I69" s="28">
        <v>70.510000000000005</v>
      </c>
      <c r="J69" s="28">
        <v>70.88</v>
      </c>
      <c r="K69" s="28">
        <v>70.459999999999994</v>
      </c>
      <c r="L69" s="28">
        <v>76.069999999999993</v>
      </c>
      <c r="M69" s="28">
        <v>76.459999999999994</v>
      </c>
      <c r="N69" s="28">
        <v>77.83</v>
      </c>
      <c r="O69" s="28">
        <v>79.16</v>
      </c>
      <c r="P69" s="28">
        <v>75.45</v>
      </c>
      <c r="Q69" s="28">
        <v>79.790000000000006</v>
      </c>
      <c r="R69" s="28">
        <v>76.53</v>
      </c>
      <c r="S69" s="28">
        <v>76.739999999999995</v>
      </c>
      <c r="T69" s="28">
        <v>71.72</v>
      </c>
      <c r="U69" s="28">
        <v>62.89</v>
      </c>
      <c r="V69" s="28">
        <v>64.69</v>
      </c>
      <c r="W69" s="28">
        <v>66.66</v>
      </c>
      <c r="X69" s="21">
        <v>-1.209036984214451E-2</v>
      </c>
      <c r="Y69" s="22">
        <v>-5.5449832666185417E-2</v>
      </c>
      <c r="Z69" s="22">
        <v>-4.1128247881061619E-2</v>
      </c>
      <c r="AA69" s="22">
        <v>-3.6516446891754817E-2</v>
      </c>
    </row>
    <row r="70" spans="2:27" hidden="1" x14ac:dyDescent="0.3">
      <c r="B70" s="3" t="s">
        <v>249</v>
      </c>
      <c r="C70" s="3" t="s">
        <v>403</v>
      </c>
      <c r="D70" s="3" t="s">
        <v>453</v>
      </c>
      <c r="E70" s="3" t="s">
        <v>451</v>
      </c>
      <c r="F70" s="5">
        <v>-5.3</v>
      </c>
      <c r="G70" s="3"/>
      <c r="H70" s="3"/>
      <c r="I70" s="3"/>
      <c r="J70" s="3"/>
      <c r="K70" s="3"/>
      <c r="L70" s="3"/>
      <c r="M70" s="3"/>
      <c r="N70" s="4">
        <v>3.16</v>
      </c>
      <c r="O70" s="4">
        <v>3.81</v>
      </c>
      <c r="P70" s="4">
        <v>4.43</v>
      </c>
      <c r="Q70" s="4">
        <v>4.5999999999999996</v>
      </c>
      <c r="R70" s="4">
        <v>4.5999999999999996</v>
      </c>
      <c r="S70" s="4">
        <v>3.98</v>
      </c>
      <c r="T70" s="4">
        <v>3.62</v>
      </c>
      <c r="U70" s="4">
        <v>3.38</v>
      </c>
      <c r="V70" s="4">
        <v>3.24</v>
      </c>
      <c r="W70" s="4">
        <v>3.23</v>
      </c>
      <c r="X70" s="7">
        <v>-4.5996592844974371E-2</v>
      </c>
      <c r="Y70" s="8">
        <v>-7.2619047619047694E-2</v>
      </c>
      <c r="Z70" s="8">
        <v>-8.7291399229781685E-2</v>
      </c>
      <c r="AA70" s="8">
        <v>-5.2742616033755303E-2</v>
      </c>
    </row>
    <row r="71" spans="2:27" hidden="1" x14ac:dyDescent="0.3">
      <c r="B71" s="3" t="s">
        <v>347</v>
      </c>
      <c r="C71" s="3" t="s">
        <v>403</v>
      </c>
      <c r="D71" s="3" t="s">
        <v>454</v>
      </c>
      <c r="E71" s="3" t="s">
        <v>451</v>
      </c>
      <c r="F71" s="5">
        <v>-32.9</v>
      </c>
      <c r="G71" s="3"/>
      <c r="H71" s="3"/>
      <c r="I71" s="3"/>
      <c r="J71" s="3"/>
      <c r="K71" s="3"/>
      <c r="L71" s="3"/>
      <c r="M71" s="3"/>
      <c r="N71" s="4">
        <v>0</v>
      </c>
      <c r="O71" s="4">
        <v>0</v>
      </c>
      <c r="P71" s="4">
        <v>0.12</v>
      </c>
      <c r="Q71" s="4">
        <v>0.69</v>
      </c>
      <c r="R71" s="6">
        <v>2.71</v>
      </c>
      <c r="S71" s="6">
        <v>1.27</v>
      </c>
      <c r="T71" s="6">
        <v>0.88</v>
      </c>
      <c r="U71" s="4">
        <v>0.39</v>
      </c>
      <c r="V71" s="4">
        <v>0.35</v>
      </c>
      <c r="W71" s="4">
        <v>0.32</v>
      </c>
      <c r="X71" s="10">
        <v>0.15866388308977039</v>
      </c>
      <c r="Y71" s="8">
        <v>-5.4054054054054057E-2</v>
      </c>
      <c r="Z71" s="8">
        <v>-0.44952380952380949</v>
      </c>
      <c r="AA71" s="8">
        <v>-0.32871972318339099</v>
      </c>
    </row>
    <row r="72" spans="2:27" hidden="1" x14ac:dyDescent="0.3">
      <c r="B72" s="3" t="s">
        <v>297</v>
      </c>
      <c r="C72" s="3" t="s">
        <v>403</v>
      </c>
      <c r="D72" s="3" t="s">
        <v>444</v>
      </c>
      <c r="E72" s="3" t="s">
        <v>459</v>
      </c>
      <c r="F72" s="5">
        <v>-35.6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4">
        <v>0.88</v>
      </c>
      <c r="S72" s="4">
        <v>7.07</v>
      </c>
      <c r="T72" s="4">
        <v>7.84</v>
      </c>
      <c r="U72" s="4">
        <v>1.54</v>
      </c>
      <c r="V72" s="6">
        <v>3.28</v>
      </c>
      <c r="W72" s="4">
        <v>0.05</v>
      </c>
      <c r="X72" s="11"/>
      <c r="Y72" s="3"/>
      <c r="Z72" s="9">
        <v>0.13848817080207729</v>
      </c>
      <c r="AA72" s="8">
        <v>-0.35580334515965539</v>
      </c>
    </row>
    <row r="73" spans="2:27" hidden="1" x14ac:dyDescent="0.3">
      <c r="B73" s="3" t="s">
        <v>152</v>
      </c>
      <c r="C73" s="3" t="s">
        <v>443</v>
      </c>
      <c r="D73" s="3" t="s">
        <v>444</v>
      </c>
      <c r="E73" s="3" t="s">
        <v>451</v>
      </c>
      <c r="F73" s="14">
        <v>11.3</v>
      </c>
      <c r="G73" s="3"/>
      <c r="H73" s="3"/>
      <c r="I73" s="3"/>
      <c r="J73" s="3"/>
      <c r="K73" s="3"/>
      <c r="L73" s="3"/>
      <c r="M73" s="3"/>
      <c r="N73" s="4">
        <v>8341</v>
      </c>
      <c r="O73" s="4">
        <v>3806</v>
      </c>
      <c r="P73" s="4">
        <v>8406</v>
      </c>
      <c r="Q73" s="4">
        <v>7680</v>
      </c>
      <c r="R73" s="6">
        <v>11930</v>
      </c>
      <c r="S73" s="6">
        <v>15915</v>
      </c>
      <c r="T73" s="6">
        <v>18819</v>
      </c>
      <c r="U73" s="6">
        <v>21136</v>
      </c>
      <c r="V73" s="6">
        <v>25555</v>
      </c>
      <c r="W73" s="6">
        <v>25108</v>
      </c>
      <c r="X73" s="10">
        <v>0.2370307982973299</v>
      </c>
      <c r="Y73" s="9">
        <v>0.24760783159134411</v>
      </c>
      <c r="Z73" s="9">
        <v>0.20095870206489691</v>
      </c>
      <c r="AA73" s="9">
        <v>0.1129014430457476</v>
      </c>
    </row>
    <row r="74" spans="2:27" x14ac:dyDescent="0.3">
      <c r="B74" s="12">
        <v>4743</v>
      </c>
      <c r="C74" s="3" t="s">
        <v>443</v>
      </c>
      <c r="D74" s="3" t="str">
        <f>VLOOKUP(B74,기업리스트!B:G,2,FALSE)</f>
        <v>Oneness Biotech Co., Ltd.</v>
      </c>
      <c r="E74" s="3" t="s">
        <v>438</v>
      </c>
      <c r="F74" s="5">
        <v>5.5</v>
      </c>
      <c r="G74" s="16">
        <v>4140</v>
      </c>
      <c r="H74" s="16">
        <v>4254</v>
      </c>
      <c r="I74" s="16">
        <v>4522</v>
      </c>
      <c r="J74" s="16">
        <v>4437</v>
      </c>
      <c r="K74" s="16">
        <v>3543</v>
      </c>
      <c r="L74" s="16">
        <v>5820</v>
      </c>
      <c r="M74" s="16">
        <v>4460</v>
      </c>
      <c r="N74" s="16">
        <v>4992</v>
      </c>
      <c r="O74" s="16">
        <v>5010</v>
      </c>
      <c r="P74" s="16">
        <v>6190</v>
      </c>
      <c r="Q74" s="16">
        <v>4921</v>
      </c>
      <c r="R74" s="16">
        <v>4700</v>
      </c>
      <c r="S74" s="16">
        <v>4743</v>
      </c>
      <c r="T74" s="16">
        <v>6187</v>
      </c>
      <c r="U74" s="16">
        <v>4235</v>
      </c>
      <c r="V74" s="16">
        <v>4987</v>
      </c>
      <c r="W74" s="16">
        <v>5857</v>
      </c>
      <c r="X74" s="7">
        <v>-1.459569913399017E-4</v>
      </c>
      <c r="Y74" s="8">
        <v>-3.3380370784876663E-2</v>
      </c>
      <c r="Z74" s="8">
        <v>1.4447520765164871E-2</v>
      </c>
      <c r="AA74" s="8">
        <v>5.527987296546244E-2</v>
      </c>
    </row>
    <row r="75" spans="2:27" x14ac:dyDescent="0.3">
      <c r="B75" s="12">
        <v>5871</v>
      </c>
      <c r="C75" s="3" t="s">
        <v>443</v>
      </c>
      <c r="D75" s="3" t="str">
        <f>VLOOKUP(B75,기업리스트!B:G,2,FALSE)</f>
        <v>Chailease Holding Company Limited</v>
      </c>
      <c r="E75" s="3" t="s">
        <v>405</v>
      </c>
      <c r="F75" s="5">
        <v>2.9</v>
      </c>
      <c r="G75" s="16"/>
      <c r="H75" s="16"/>
      <c r="I75" s="16"/>
      <c r="J75" s="16"/>
      <c r="K75" s="16"/>
      <c r="L75" s="16"/>
      <c r="M75" s="16"/>
      <c r="N75" s="16"/>
      <c r="O75" s="16">
        <v>5589</v>
      </c>
      <c r="P75" s="16">
        <v>5444</v>
      </c>
      <c r="Q75" s="16">
        <v>5303</v>
      </c>
      <c r="R75" s="16">
        <v>5664</v>
      </c>
      <c r="S75" s="16">
        <v>6302</v>
      </c>
      <c r="T75" s="16">
        <v>6454</v>
      </c>
      <c r="U75" s="16">
        <v>5772</v>
      </c>
      <c r="V75" s="16">
        <v>6525</v>
      </c>
      <c r="W75" s="16">
        <v>7028</v>
      </c>
      <c r="X75" s="7">
        <v>4.4467925857438528E-2</v>
      </c>
      <c r="Y75" s="8">
        <v>1.9769843611684879E-2</v>
      </c>
      <c r="Z75" s="8">
        <v>3.5590277777777679E-2</v>
      </c>
      <c r="AA75" s="8">
        <v>2.8978565441264429E-2</v>
      </c>
    </row>
    <row r="76" spans="2:27" x14ac:dyDescent="0.3">
      <c r="B76" s="12">
        <v>1301</v>
      </c>
      <c r="C76" s="3" t="s">
        <v>443</v>
      </c>
      <c r="D76" s="3" t="str">
        <f>VLOOKUP(B76,기업리스트!B:G,2,FALSE)</f>
        <v>Formosa Plastics Corporation</v>
      </c>
      <c r="E76" s="3" t="s">
        <v>438</v>
      </c>
      <c r="F76" s="5">
        <v>2.1</v>
      </c>
      <c r="G76" s="16">
        <v>79597</v>
      </c>
      <c r="H76" s="16">
        <v>53098</v>
      </c>
      <c r="I76" s="16">
        <v>65282</v>
      </c>
      <c r="J76" s="16">
        <v>68337</v>
      </c>
      <c r="K76" s="16">
        <v>79768</v>
      </c>
      <c r="L76" s="16">
        <v>58780</v>
      </c>
      <c r="M76" s="16">
        <v>62367</v>
      </c>
      <c r="N76" s="16">
        <v>63708</v>
      </c>
      <c r="O76" s="16">
        <v>75539</v>
      </c>
      <c r="P76" s="16">
        <v>59990</v>
      </c>
      <c r="Q76" s="16">
        <v>68204</v>
      </c>
      <c r="R76" s="16">
        <v>72361</v>
      </c>
      <c r="S76" s="16">
        <v>94255</v>
      </c>
      <c r="T76" s="16">
        <v>67861</v>
      </c>
      <c r="U76" s="16">
        <v>76030</v>
      </c>
      <c r="V76" s="16">
        <v>79966</v>
      </c>
      <c r="W76" s="16">
        <v>100914</v>
      </c>
      <c r="X76" s="7">
        <v>2.669855160951129E-2</v>
      </c>
      <c r="Y76" s="8">
        <v>2.5855603754447731E-2</v>
      </c>
      <c r="Z76" s="8">
        <v>2.4492201464057169E-2</v>
      </c>
      <c r="AA76" s="8">
        <v>2.0932878986017481E-2</v>
      </c>
    </row>
    <row r="77" spans="2:27" x14ac:dyDescent="0.3">
      <c r="B77" s="12">
        <v>2809</v>
      </c>
      <c r="C77" s="3" t="s">
        <v>443</v>
      </c>
      <c r="D77" s="3" t="str">
        <f>VLOOKUP(B77,기업리스트!B:G,2,FALSE)</f>
        <v>King's Town Bank Co., Ltd.</v>
      </c>
      <c r="E77" s="3" t="s">
        <v>405</v>
      </c>
      <c r="F77" s="5">
        <v>1.4</v>
      </c>
      <c r="G77" s="16">
        <v>103188</v>
      </c>
      <c r="H77" s="16">
        <v>100536</v>
      </c>
      <c r="I77" s="16">
        <v>106987</v>
      </c>
      <c r="J77" s="16">
        <v>110691</v>
      </c>
      <c r="K77" s="16">
        <v>112090</v>
      </c>
      <c r="L77" s="16">
        <v>107674</v>
      </c>
      <c r="M77" s="16">
        <v>112708</v>
      </c>
      <c r="N77" s="16">
        <v>115515</v>
      </c>
      <c r="O77" s="16">
        <v>119189</v>
      </c>
      <c r="P77" s="16">
        <v>114632</v>
      </c>
      <c r="Q77" s="16">
        <v>122202</v>
      </c>
      <c r="R77" s="16">
        <v>124077</v>
      </c>
      <c r="S77" s="16">
        <v>123074</v>
      </c>
      <c r="T77" s="16">
        <v>120040</v>
      </c>
      <c r="U77" s="16">
        <v>131812</v>
      </c>
      <c r="V77" s="16">
        <v>131572</v>
      </c>
      <c r="W77" s="16">
        <v>129993</v>
      </c>
      <c r="X77" s="7">
        <v>1.117390001756258E-2</v>
      </c>
      <c r="Y77" s="8">
        <v>1.9636570200227691E-2</v>
      </c>
      <c r="Z77" s="8">
        <v>1.50199497798611E-2</v>
      </c>
      <c r="AA77" s="8">
        <v>1.3660468550714899E-2</v>
      </c>
    </row>
    <row r="78" spans="2:27" x14ac:dyDescent="0.3">
      <c r="B78" s="12">
        <v>2337</v>
      </c>
      <c r="C78" s="3" t="s">
        <v>443</v>
      </c>
      <c r="D78" s="3" t="str">
        <f>VLOOKUP(B78,기업리스트!B:G,2,FALSE)</f>
        <v>Macronix International Co., Ltd.</v>
      </c>
      <c r="E78" s="3" t="s">
        <v>438</v>
      </c>
      <c r="F78" s="5">
        <v>1.1000000000000001</v>
      </c>
      <c r="G78" s="16">
        <v>6083</v>
      </c>
      <c r="H78" s="16">
        <v>27548</v>
      </c>
      <c r="I78" s="16">
        <v>16638</v>
      </c>
      <c r="J78" s="16">
        <v>8836</v>
      </c>
      <c r="K78" s="17">
        <v>27322</v>
      </c>
      <c r="L78" s="16">
        <v>15296</v>
      </c>
      <c r="M78" s="16">
        <v>10152</v>
      </c>
      <c r="N78" s="17">
        <v>16344</v>
      </c>
      <c r="O78" s="16">
        <v>11923</v>
      </c>
      <c r="P78" s="17">
        <v>44328</v>
      </c>
      <c r="Q78" s="17">
        <v>25096</v>
      </c>
      <c r="R78" s="16">
        <v>11199</v>
      </c>
      <c r="S78" s="16">
        <v>20932</v>
      </c>
      <c r="T78" s="16">
        <v>26349</v>
      </c>
      <c r="U78" s="16">
        <v>12487</v>
      </c>
      <c r="V78" s="17">
        <v>38537</v>
      </c>
      <c r="W78" s="16">
        <v>21993</v>
      </c>
      <c r="X78" s="7">
        <v>-0.1770370735069666</v>
      </c>
      <c r="Y78" s="8">
        <v>-0.15086867043170291</v>
      </c>
      <c r="Z78" s="9">
        <v>0.38522130004086402</v>
      </c>
      <c r="AA78" s="8">
        <v>1.0792940338741669E-2</v>
      </c>
    </row>
    <row r="79" spans="2:27" hidden="1" x14ac:dyDescent="0.3">
      <c r="B79" s="3" t="s">
        <v>35</v>
      </c>
      <c r="C79" s="3" t="s">
        <v>443</v>
      </c>
      <c r="D79" s="3" t="s">
        <v>444</v>
      </c>
      <c r="E79" s="3" t="s">
        <v>449</v>
      </c>
      <c r="F79" s="5">
        <v>-1.1000000000000001</v>
      </c>
      <c r="G79" s="4">
        <v>576926</v>
      </c>
      <c r="H79" s="4">
        <v>586708</v>
      </c>
      <c r="I79" s="4">
        <v>615773</v>
      </c>
      <c r="J79" s="4">
        <v>496863</v>
      </c>
      <c r="K79" s="4">
        <v>654476</v>
      </c>
      <c r="L79" s="4">
        <v>698604</v>
      </c>
      <c r="M79" s="4">
        <v>661164</v>
      </c>
      <c r="N79" s="4">
        <v>556335</v>
      </c>
      <c r="O79" s="4">
        <v>696664</v>
      </c>
      <c r="P79" s="4">
        <v>770004</v>
      </c>
      <c r="Q79" s="4">
        <v>746087</v>
      </c>
      <c r="R79" s="4">
        <v>616614</v>
      </c>
      <c r="S79" s="4">
        <v>762352</v>
      </c>
      <c r="T79" s="4">
        <v>788986</v>
      </c>
      <c r="U79" s="4">
        <v>771470</v>
      </c>
      <c r="V79" s="4">
        <v>679776</v>
      </c>
      <c r="W79" s="4">
        <v>729128</v>
      </c>
      <c r="X79" s="7">
        <v>6.5566930115710242E-3</v>
      </c>
      <c r="Y79" s="8">
        <v>8.7105903524282713E-3</v>
      </c>
      <c r="Z79" s="8">
        <v>2.1487897960891681E-2</v>
      </c>
      <c r="AA79" s="8">
        <v>-1.1065135896281331E-2</v>
      </c>
    </row>
    <row r="80" spans="2:27" x14ac:dyDescent="0.3">
      <c r="B80" s="12">
        <v>3105</v>
      </c>
      <c r="C80" s="3" t="s">
        <v>443</v>
      </c>
      <c r="D80" s="3" t="str">
        <f>VLOOKUP(B80,기업리스트!B:G,2,FALSE)</f>
        <v>WIN Semiconductors Corp.</v>
      </c>
      <c r="E80" s="3" t="s">
        <v>405</v>
      </c>
      <c r="F80" s="5">
        <v>-1.4</v>
      </c>
      <c r="G80" s="16">
        <v>129563</v>
      </c>
      <c r="H80" s="16">
        <v>138909</v>
      </c>
      <c r="I80" s="16">
        <v>117956</v>
      </c>
      <c r="J80" s="16">
        <v>124950</v>
      </c>
      <c r="K80" s="16">
        <v>134270</v>
      </c>
      <c r="L80" s="16">
        <v>144004</v>
      </c>
      <c r="M80" s="16">
        <v>125363</v>
      </c>
      <c r="N80" s="16">
        <v>128645</v>
      </c>
      <c r="O80" s="16">
        <v>143199</v>
      </c>
      <c r="P80" s="16">
        <v>130754</v>
      </c>
      <c r="Q80" s="16">
        <v>109268</v>
      </c>
      <c r="R80" s="16">
        <v>109782</v>
      </c>
      <c r="S80" s="16">
        <v>144942</v>
      </c>
      <c r="T80" s="16">
        <v>151164</v>
      </c>
      <c r="U80" s="16">
        <v>103557</v>
      </c>
      <c r="V80" s="16">
        <v>109847</v>
      </c>
      <c r="W80" s="16">
        <v>137771</v>
      </c>
      <c r="X80" s="7">
        <v>4.1253491690685713E-2</v>
      </c>
      <c r="Y80" s="8">
        <v>-1.108596231044578E-2</v>
      </c>
      <c r="Z80" s="8">
        <v>1.2758982814631281E-4</v>
      </c>
      <c r="AA80" s="8">
        <v>-1.4074306686816749E-2</v>
      </c>
    </row>
    <row r="81" spans="2:27" x14ac:dyDescent="0.3">
      <c r="B81" s="34">
        <v>8358</v>
      </c>
      <c r="C81" s="19" t="s">
        <v>443</v>
      </c>
      <c r="D81" s="19" t="str">
        <f>VLOOKUP(B81,기업리스트!B:G,2,FALSE)</f>
        <v>Co-Tech Development Corporation</v>
      </c>
      <c r="E81" s="19" t="s">
        <v>438</v>
      </c>
      <c r="F81" s="20">
        <v>-1.5</v>
      </c>
      <c r="G81" s="28">
        <v>6785</v>
      </c>
      <c r="H81" s="28">
        <v>12520</v>
      </c>
      <c r="I81" s="28">
        <v>18252</v>
      </c>
      <c r="J81" s="28">
        <v>31357</v>
      </c>
      <c r="K81" s="29">
        <v>18797</v>
      </c>
      <c r="L81" s="28">
        <v>303</v>
      </c>
      <c r="M81" s="28">
        <v>18566</v>
      </c>
      <c r="N81" s="28">
        <v>21119</v>
      </c>
      <c r="O81" s="28">
        <v>20289</v>
      </c>
      <c r="P81" s="29">
        <v>13182</v>
      </c>
      <c r="Q81" s="28">
        <v>22543</v>
      </c>
      <c r="R81" s="28">
        <v>16773</v>
      </c>
      <c r="S81" s="28">
        <v>26788</v>
      </c>
      <c r="T81" s="28">
        <v>12622</v>
      </c>
      <c r="U81" s="28">
        <v>24463</v>
      </c>
      <c r="V81" s="28">
        <v>21561</v>
      </c>
      <c r="W81" s="28">
        <v>25518</v>
      </c>
      <c r="X81" s="21">
        <v>-7.0630376106752824E-3</v>
      </c>
      <c r="Y81" s="22">
        <v>2.438838503162866E-2</v>
      </c>
      <c r="Z81" s="22">
        <v>5.937058254594163E-2</v>
      </c>
      <c r="AA81" s="22">
        <v>-1.486527611957766E-2</v>
      </c>
    </row>
    <row r="82" spans="2:27" hidden="1" x14ac:dyDescent="0.3">
      <c r="B82" s="3" t="s">
        <v>52</v>
      </c>
      <c r="C82" s="3" t="s">
        <v>457</v>
      </c>
      <c r="D82" s="3" t="s">
        <v>444</v>
      </c>
      <c r="E82" s="3" t="s">
        <v>451</v>
      </c>
      <c r="F82" s="5">
        <v>4.5</v>
      </c>
      <c r="G82" s="3"/>
      <c r="H82" s="3"/>
      <c r="I82" s="3"/>
      <c r="J82" s="3"/>
      <c r="K82" s="3"/>
      <c r="L82" s="3"/>
      <c r="M82" s="3"/>
      <c r="N82" s="4">
        <v>627.15</v>
      </c>
      <c r="O82" s="4">
        <v>502.82</v>
      </c>
      <c r="P82" s="4">
        <v>1024</v>
      </c>
      <c r="Q82" s="4">
        <v>443.28</v>
      </c>
      <c r="R82" s="4">
        <v>603.61</v>
      </c>
      <c r="S82" s="4">
        <v>322.27</v>
      </c>
      <c r="T82" s="4">
        <v>269.62</v>
      </c>
      <c r="U82" s="4">
        <v>333.6</v>
      </c>
      <c r="V82" s="4">
        <v>236.47</v>
      </c>
      <c r="W82" s="4">
        <v>374.83</v>
      </c>
      <c r="X82" s="7">
        <v>-0.31522338665195798</v>
      </c>
      <c r="Y82" s="8">
        <v>-6.6927836561344489E-2</v>
      </c>
      <c r="Z82" s="8">
        <v>-0.24010202079654699</v>
      </c>
      <c r="AA82" s="8">
        <v>4.5233915108953797E-2</v>
      </c>
    </row>
    <row r="83" spans="2:27" hidden="1" x14ac:dyDescent="0.3">
      <c r="B83" s="3" t="s">
        <v>7</v>
      </c>
      <c r="C83" s="3" t="s">
        <v>457</v>
      </c>
      <c r="D83" s="3" t="s">
        <v>444</v>
      </c>
      <c r="E83" s="3" t="s">
        <v>445</v>
      </c>
      <c r="F83" s="5">
        <v>-0.7</v>
      </c>
      <c r="G83" s="4">
        <v>54307</v>
      </c>
      <c r="H83" s="4">
        <v>70950</v>
      </c>
      <c r="I83" s="4">
        <v>66825</v>
      </c>
      <c r="J83" s="4">
        <v>83782</v>
      </c>
      <c r="K83" s="6">
        <v>117081</v>
      </c>
      <c r="L83" s="6">
        <v>156373</v>
      </c>
      <c r="M83" s="6">
        <v>120174</v>
      </c>
      <c r="N83" s="6">
        <v>139951</v>
      </c>
      <c r="O83" s="4">
        <v>162151</v>
      </c>
      <c r="P83" s="4">
        <v>180041</v>
      </c>
      <c r="Q83" s="4">
        <v>124944</v>
      </c>
      <c r="R83" s="4">
        <v>176182</v>
      </c>
      <c r="S83" s="4">
        <v>201125</v>
      </c>
      <c r="T83" s="6">
        <v>274851</v>
      </c>
      <c r="U83" s="4">
        <v>170360</v>
      </c>
      <c r="V83" s="4">
        <v>200921</v>
      </c>
      <c r="W83" s="4">
        <v>194985</v>
      </c>
      <c r="X83" s="10">
        <v>0.13895810005100451</v>
      </c>
      <c r="Y83" s="8">
        <v>5.8442778425483288E-2</v>
      </c>
      <c r="Z83" s="8">
        <v>3.0077153326735662E-2</v>
      </c>
      <c r="AA83" s="8">
        <v>-7.2469156348073938E-3</v>
      </c>
    </row>
    <row r="84" spans="2:27" x14ac:dyDescent="0.3">
      <c r="B84" s="12">
        <v>2350</v>
      </c>
      <c r="C84" s="3" t="s">
        <v>457</v>
      </c>
      <c r="D84" s="3" t="str">
        <f>VLOOKUP(B84,기업리스트!B:G,2,FALSE)</f>
        <v>Saudi Kayan Petrochemical Company</v>
      </c>
      <c r="E84" s="3" t="s">
        <v>458</v>
      </c>
      <c r="F84" s="5">
        <v>-3.6</v>
      </c>
      <c r="G84" s="16">
        <v>261.8</v>
      </c>
      <c r="H84" s="18"/>
      <c r="I84" s="16">
        <v>369.71</v>
      </c>
      <c r="J84" s="18"/>
      <c r="K84" s="16">
        <v>406.14</v>
      </c>
      <c r="L84" s="18"/>
      <c r="M84" s="16">
        <v>346.41</v>
      </c>
      <c r="N84" s="18"/>
      <c r="O84" s="16">
        <v>360.06</v>
      </c>
      <c r="P84" s="18"/>
      <c r="Q84" s="16">
        <v>268.01</v>
      </c>
      <c r="R84" s="18"/>
      <c r="S84" s="16">
        <v>220.28</v>
      </c>
      <c r="T84" s="18"/>
      <c r="U84" s="16">
        <v>409.9</v>
      </c>
      <c r="V84" s="18"/>
      <c r="W84" s="16">
        <v>315.38</v>
      </c>
      <c r="X84" s="7">
        <v>-6.8608667494198361E-2</v>
      </c>
      <c r="Y84" s="8">
        <v>-0.1346206776665555</v>
      </c>
      <c r="Z84" s="8">
        <v>5.3140379657839132E-2</v>
      </c>
      <c r="AA84" s="8">
        <v>-3.5509636399761679E-2</v>
      </c>
    </row>
    <row r="85" spans="2:27" hidden="1" x14ac:dyDescent="0.3">
      <c r="B85" s="3" t="s">
        <v>345</v>
      </c>
      <c r="C85" s="3" t="s">
        <v>457</v>
      </c>
      <c r="D85" s="3" t="s">
        <v>444</v>
      </c>
      <c r="E85" s="3" t="s">
        <v>445</v>
      </c>
      <c r="F85" s="5">
        <v>-46.1</v>
      </c>
      <c r="G85" s="4">
        <v>255.71</v>
      </c>
      <c r="H85" s="4">
        <v>255.88</v>
      </c>
      <c r="I85" s="4">
        <v>97.06</v>
      </c>
      <c r="J85" s="4">
        <v>172.08</v>
      </c>
      <c r="K85" s="4">
        <v>121.46</v>
      </c>
      <c r="L85" s="6">
        <v>347.51</v>
      </c>
      <c r="M85" s="4">
        <v>48.37</v>
      </c>
      <c r="N85" s="4">
        <v>105.15</v>
      </c>
      <c r="O85" s="4">
        <v>139.84</v>
      </c>
      <c r="P85" s="6">
        <v>507.35</v>
      </c>
      <c r="Q85" s="4">
        <v>13.14</v>
      </c>
      <c r="R85" s="4">
        <v>140.69999999999999</v>
      </c>
      <c r="S85" s="4">
        <v>162.76</v>
      </c>
      <c r="T85" s="4">
        <v>50.06</v>
      </c>
      <c r="U85" s="4">
        <v>10.53</v>
      </c>
      <c r="V85" s="4">
        <v>61.4</v>
      </c>
      <c r="W85" s="4">
        <v>31.58</v>
      </c>
      <c r="X85" s="7">
        <v>-0.55499726925177506</v>
      </c>
      <c r="Y85" s="8">
        <v>-7.118311242022668E-3</v>
      </c>
      <c r="Z85" s="8">
        <v>-0.2178272215355033</v>
      </c>
      <c r="AA85" s="8">
        <v>-0.46068481123792798</v>
      </c>
    </row>
  </sheetData>
  <autoFilter ref="B2:AA85" xr:uid="{00000000-0009-0000-0000-000001000000}">
    <filterColumn colId="3">
      <filters>
        <filter val="Dec'25"/>
        <filter val="H1 2026"/>
        <filter val="Jun'26"/>
        <filter val="Mar'26"/>
        <filter val="Sep'26"/>
      </filters>
    </filterColumn>
    <sortState xmlns:xlrd2="http://schemas.microsoft.com/office/spreadsheetml/2017/richdata2" ref="B3:AA85">
      <sortCondition descending="1" ref="C2:C85"/>
    </sortState>
  </autoFilter>
  <phoneticPr fontId="6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/>
  <dimension ref="B2:AA86"/>
  <sheetViews>
    <sheetView tabSelected="1" zoomScale="85" zoomScaleNormal="85" workbookViewId="0">
      <selection activeCell="D13" sqref="D13:V13"/>
    </sheetView>
  </sheetViews>
  <sheetFormatPr defaultRowHeight="16.5" x14ac:dyDescent="0.3"/>
  <cols>
    <col min="1" max="1" width="3" customWidth="1"/>
    <col min="2" max="2" width="12" style="13" customWidth="1"/>
    <col min="3" max="3" width="14" customWidth="1"/>
    <col min="4" max="4" width="34" bestFit="1" customWidth="1"/>
    <col min="5" max="5" width="12" hidden="1" customWidth="1"/>
    <col min="6" max="6" width="12" customWidth="1"/>
    <col min="7" max="11" width="9" hidden="1" customWidth="1"/>
    <col min="12" max="23" width="9" customWidth="1"/>
    <col min="24" max="27" width="10" customWidth="1"/>
  </cols>
  <sheetData>
    <row r="2" spans="2:27" x14ac:dyDescent="0.3">
      <c r="B2" s="15" t="s">
        <v>1</v>
      </c>
      <c r="C2" s="15" t="s">
        <v>382</v>
      </c>
      <c r="D2" s="15" t="s">
        <v>383</v>
      </c>
      <c r="E2" s="15" t="s">
        <v>384</v>
      </c>
      <c r="F2" s="15" t="s">
        <v>385</v>
      </c>
      <c r="G2" s="15" t="s">
        <v>386</v>
      </c>
      <c r="H2" s="15" t="s">
        <v>387</v>
      </c>
      <c r="I2" s="15" t="s">
        <v>388</v>
      </c>
      <c r="J2" s="15" t="s">
        <v>389</v>
      </c>
      <c r="K2" s="15" t="s">
        <v>390</v>
      </c>
      <c r="L2" s="15" t="s">
        <v>391</v>
      </c>
      <c r="M2" s="15" t="s">
        <v>392</v>
      </c>
      <c r="N2" s="15" t="s">
        <v>393</v>
      </c>
      <c r="O2" s="15" t="s">
        <v>394</v>
      </c>
      <c r="P2" s="15" t="s">
        <v>395</v>
      </c>
      <c r="Q2" s="15" t="s">
        <v>396</v>
      </c>
      <c r="R2" s="15" t="s">
        <v>397</v>
      </c>
      <c r="S2" s="15" t="s">
        <v>398</v>
      </c>
      <c r="T2" s="15" t="s">
        <v>399</v>
      </c>
      <c r="U2" s="15" t="s">
        <v>400</v>
      </c>
      <c r="V2" s="15" t="s">
        <v>401</v>
      </c>
      <c r="W2" s="15" t="s">
        <v>402</v>
      </c>
      <c r="X2" s="15" t="s">
        <v>399</v>
      </c>
      <c r="Y2" s="15" t="s">
        <v>400</v>
      </c>
      <c r="Z2" s="15" t="s">
        <v>401</v>
      </c>
      <c r="AA2" s="15" t="s">
        <v>402</v>
      </c>
    </row>
    <row r="3" spans="2:27" x14ac:dyDescent="0.3">
      <c r="B3" s="12" t="s">
        <v>463</v>
      </c>
      <c r="C3" s="3" t="s">
        <v>403</v>
      </c>
      <c r="D3" s="3" t="s">
        <v>407</v>
      </c>
      <c r="E3" s="3" t="s">
        <v>405</v>
      </c>
      <c r="F3" s="14">
        <v>37</v>
      </c>
      <c r="G3" s="16">
        <v>0</v>
      </c>
      <c r="H3" s="16">
        <v>70.53</v>
      </c>
      <c r="I3" s="16">
        <v>37.56</v>
      </c>
      <c r="J3" s="16">
        <v>18.8</v>
      </c>
      <c r="K3" s="16">
        <v>0</v>
      </c>
      <c r="L3" s="16">
        <v>57.75</v>
      </c>
      <c r="M3" s="16">
        <v>20.059999999999999</v>
      </c>
      <c r="N3" s="17">
        <v>42.32</v>
      </c>
      <c r="O3" s="17">
        <v>25.44</v>
      </c>
      <c r="P3" s="16">
        <v>22.29</v>
      </c>
      <c r="Q3" s="16">
        <v>27.9</v>
      </c>
      <c r="R3" s="16">
        <v>30.77</v>
      </c>
      <c r="S3" s="17">
        <v>61.29</v>
      </c>
      <c r="T3" s="16">
        <v>28.69</v>
      </c>
      <c r="U3" s="16">
        <v>23.58</v>
      </c>
      <c r="V3" s="16">
        <v>32.200000000000003</v>
      </c>
      <c r="W3" s="17">
        <v>115.24</v>
      </c>
      <c r="X3" s="7">
        <v>4.4991212653778589E-2</v>
      </c>
      <c r="Y3" s="8">
        <v>-2.906155398587296E-2</v>
      </c>
      <c r="Z3" s="8">
        <v>9.9078500658213997E-3</v>
      </c>
      <c r="AA3" s="9">
        <v>0.37012897914379811</v>
      </c>
    </row>
    <row r="4" spans="2:27" hidden="1" x14ac:dyDescent="0.3">
      <c r="B4" s="3">
        <v>2402</v>
      </c>
      <c r="C4" s="3" t="s">
        <v>457</v>
      </c>
      <c r="D4" s="3" t="s">
        <v>444</v>
      </c>
      <c r="E4" s="3" t="s">
        <v>445</v>
      </c>
      <c r="F4" s="5">
        <v>-2.5</v>
      </c>
      <c r="G4" s="4">
        <v>-59.09</v>
      </c>
      <c r="H4" s="4">
        <v>-153.37</v>
      </c>
      <c r="I4" s="4">
        <v>-31.29</v>
      </c>
      <c r="J4" s="4">
        <v>-49.69</v>
      </c>
      <c r="K4" s="4">
        <v>-12.5</v>
      </c>
      <c r="L4" s="4">
        <v>-118.9</v>
      </c>
      <c r="M4" s="6">
        <v>-67.64</v>
      </c>
      <c r="N4" s="6">
        <v>-92.22</v>
      </c>
      <c r="O4" s="6">
        <v>-108.31</v>
      </c>
      <c r="P4" s="4">
        <v>-41.78</v>
      </c>
      <c r="Q4" s="6">
        <v>-101.92</v>
      </c>
      <c r="R4" s="4">
        <v>-70.510000000000005</v>
      </c>
      <c r="S4" s="4">
        <v>-102.36</v>
      </c>
      <c r="T4" s="6">
        <v>-300.01</v>
      </c>
      <c r="U4" s="4">
        <v>-94.22</v>
      </c>
      <c r="V4" s="4">
        <v>-79.11</v>
      </c>
      <c r="W4" s="4">
        <v>-88</v>
      </c>
      <c r="X4" s="10">
        <v>0.81571216476608632</v>
      </c>
      <c r="Y4" s="8">
        <v>-1.339596381350028E-2</v>
      </c>
      <c r="Z4" s="8">
        <v>1.51648739199437E-2</v>
      </c>
      <c r="AA4" s="8">
        <v>-2.4943546986277539E-2</v>
      </c>
    </row>
    <row r="5" spans="2:27" hidden="1" x14ac:dyDescent="0.3">
      <c r="B5" s="3">
        <v>1211</v>
      </c>
      <c r="C5" s="3" t="s">
        <v>457</v>
      </c>
      <c r="D5" s="3" t="s">
        <v>444</v>
      </c>
      <c r="E5" s="3" t="s">
        <v>445</v>
      </c>
      <c r="F5" s="5">
        <v>-11</v>
      </c>
      <c r="G5" s="4">
        <v>1785</v>
      </c>
      <c r="H5" s="4">
        <v>1228</v>
      </c>
      <c r="I5" s="4">
        <v>1305</v>
      </c>
      <c r="J5" s="4">
        <v>3260</v>
      </c>
      <c r="K5" s="6">
        <v>7480</v>
      </c>
      <c r="L5" s="6">
        <v>9033</v>
      </c>
      <c r="M5" s="6">
        <v>5429</v>
      </c>
      <c r="N5" s="6">
        <v>7351</v>
      </c>
      <c r="O5" s="6">
        <v>12625</v>
      </c>
      <c r="P5" s="4">
        <v>9223</v>
      </c>
      <c r="Q5" s="4">
        <v>5487</v>
      </c>
      <c r="R5" s="4">
        <v>10344</v>
      </c>
      <c r="S5" s="6">
        <v>17225</v>
      </c>
      <c r="T5" s="4">
        <v>12980</v>
      </c>
      <c r="U5" s="4">
        <v>8425</v>
      </c>
      <c r="V5" s="4">
        <v>4027</v>
      </c>
      <c r="W5" s="4">
        <v>12527</v>
      </c>
      <c r="X5" s="7">
        <v>8.8862082830719835E-2</v>
      </c>
      <c r="Y5" s="8">
        <v>6.3819619428273633E-2</v>
      </c>
      <c r="Z5" s="8">
        <v>-0.12898680932739831</v>
      </c>
      <c r="AA5" s="8">
        <v>-0.1101343273085308</v>
      </c>
    </row>
    <row r="6" spans="2:27" hidden="1" x14ac:dyDescent="0.3">
      <c r="B6" s="3">
        <v>1080</v>
      </c>
      <c r="C6" s="3" t="s">
        <v>457</v>
      </c>
      <c r="D6" s="3" t="s">
        <v>444</v>
      </c>
      <c r="E6" s="3" t="s">
        <v>451</v>
      </c>
      <c r="F6" s="5">
        <v>-25</v>
      </c>
      <c r="G6" s="3"/>
      <c r="H6" s="3"/>
      <c r="I6" s="3"/>
      <c r="J6" s="3"/>
      <c r="K6" s="3"/>
      <c r="L6" s="3"/>
      <c r="M6" s="3"/>
      <c r="N6" s="4">
        <v>-92.53</v>
      </c>
      <c r="O6" s="4">
        <v>-56.77</v>
      </c>
      <c r="P6" s="4">
        <v>-33</v>
      </c>
      <c r="Q6" s="4">
        <v>-44.04</v>
      </c>
      <c r="R6" s="4">
        <v>-18.329999999999998</v>
      </c>
      <c r="S6" s="4">
        <v>-49.03</v>
      </c>
      <c r="T6" s="4">
        <v>-40.76</v>
      </c>
      <c r="U6" s="4">
        <v>-21.5</v>
      </c>
      <c r="V6" s="4">
        <v>-29.36</v>
      </c>
      <c r="W6" s="4">
        <v>-13.92</v>
      </c>
      <c r="X6" s="7">
        <v>5.3739612188365538E-2</v>
      </c>
      <c r="Y6" s="8">
        <v>-0.14813354363827549</v>
      </c>
      <c r="Z6" s="8">
        <v>8.5094892763462493E-2</v>
      </c>
      <c r="AA6" s="8">
        <v>-0.24962673302524011</v>
      </c>
    </row>
    <row r="7" spans="2:27" x14ac:dyDescent="0.3">
      <c r="B7" s="12" t="s">
        <v>157</v>
      </c>
      <c r="C7" s="3" t="s">
        <v>403</v>
      </c>
      <c r="D7" s="3" t="s">
        <v>428</v>
      </c>
      <c r="E7" s="3" t="s">
        <v>405</v>
      </c>
      <c r="F7" s="14">
        <v>36.200000000000003</v>
      </c>
      <c r="G7" s="16">
        <v>-7.16</v>
      </c>
      <c r="H7" s="16">
        <v>-15.84</v>
      </c>
      <c r="I7" s="16">
        <v>-18.09</v>
      </c>
      <c r="J7" s="16">
        <v>-15.05</v>
      </c>
      <c r="K7" s="16">
        <v>-2.61</v>
      </c>
      <c r="L7" s="17">
        <v>-21.36</v>
      </c>
      <c r="M7" s="16">
        <v>-16.62</v>
      </c>
      <c r="N7" s="16">
        <v>-6.85</v>
      </c>
      <c r="O7" s="16">
        <v>14.98</v>
      </c>
      <c r="P7" s="16">
        <v>8.59</v>
      </c>
      <c r="Q7" s="17">
        <v>-1.65</v>
      </c>
      <c r="R7" s="17">
        <v>12.04</v>
      </c>
      <c r="S7" s="17">
        <v>19.600000000000001</v>
      </c>
      <c r="T7" s="16">
        <v>5.61</v>
      </c>
      <c r="U7" s="17">
        <v>18.03</v>
      </c>
      <c r="V7" s="17">
        <v>25.71</v>
      </c>
      <c r="W7" s="17">
        <v>44.59</v>
      </c>
      <c r="X7" s="7">
        <v>-7.7242094349403767E-2</v>
      </c>
      <c r="Y7" s="9">
        <v>0.55280898876404483</v>
      </c>
      <c r="Z7" s="9">
        <v>0.24728654124457311</v>
      </c>
      <c r="AA7" s="9">
        <v>0.36243654822335047</v>
      </c>
    </row>
    <row r="8" spans="2:27" x14ac:dyDescent="0.3">
      <c r="B8" s="12" t="s">
        <v>39</v>
      </c>
      <c r="C8" s="3" t="s">
        <v>403</v>
      </c>
      <c r="D8" s="3" t="s">
        <v>418</v>
      </c>
      <c r="E8" s="3" t="s">
        <v>405</v>
      </c>
      <c r="F8" s="14">
        <v>31.3</v>
      </c>
      <c r="G8" s="16">
        <v>10.199999999999999</v>
      </c>
      <c r="H8" s="16">
        <v>-0.6</v>
      </c>
      <c r="I8" s="16">
        <v>4.0999999999999996</v>
      </c>
      <c r="J8" s="16">
        <v>-3.2</v>
      </c>
      <c r="K8" s="16">
        <v>4.5999999999999996</v>
      </c>
      <c r="L8" s="17">
        <v>1.4</v>
      </c>
      <c r="M8" s="17">
        <v>6.7</v>
      </c>
      <c r="N8" s="17">
        <v>12.2</v>
      </c>
      <c r="O8" s="17">
        <v>12.1</v>
      </c>
      <c r="P8" s="17">
        <v>7</v>
      </c>
      <c r="Q8" s="17">
        <v>12.5</v>
      </c>
      <c r="R8" s="16">
        <v>6.7</v>
      </c>
      <c r="S8" s="16">
        <v>3.5</v>
      </c>
      <c r="T8" s="16">
        <v>6.6</v>
      </c>
      <c r="U8" s="16">
        <v>3.7</v>
      </c>
      <c r="V8" s="16">
        <v>7.3</v>
      </c>
      <c r="W8" s="17">
        <v>10.1</v>
      </c>
      <c r="X8" s="7">
        <v>-1.346801346801341E-2</v>
      </c>
      <c r="Y8" s="8">
        <v>-0.30034129692832767</v>
      </c>
      <c r="Z8" s="8">
        <v>2.9268292682926859E-2</v>
      </c>
      <c r="AA8" s="9">
        <v>0.31279620853080559</v>
      </c>
    </row>
    <row r="9" spans="2:27" x14ac:dyDescent="0.3">
      <c r="B9" s="12" t="s">
        <v>192</v>
      </c>
      <c r="C9" s="3" t="s">
        <v>403</v>
      </c>
      <c r="D9" s="3" t="s">
        <v>414</v>
      </c>
      <c r="E9" s="3" t="s">
        <v>405</v>
      </c>
      <c r="F9" s="14">
        <v>24.7</v>
      </c>
      <c r="G9" s="16">
        <v>1.17</v>
      </c>
      <c r="H9" s="16">
        <v>21.76</v>
      </c>
      <c r="I9" s="16">
        <v>7.72</v>
      </c>
      <c r="J9" s="16">
        <v>-1.38</v>
      </c>
      <c r="K9" s="17">
        <v>28.09</v>
      </c>
      <c r="L9" s="16">
        <v>21.87</v>
      </c>
      <c r="M9" s="17">
        <v>27.48</v>
      </c>
      <c r="N9" s="17">
        <v>30.43</v>
      </c>
      <c r="O9" s="17">
        <v>40.340000000000003</v>
      </c>
      <c r="P9" s="17">
        <v>49.7</v>
      </c>
      <c r="Q9" s="17">
        <v>42.8</v>
      </c>
      <c r="R9" s="17">
        <v>49.08</v>
      </c>
      <c r="S9" s="16">
        <v>20.65</v>
      </c>
      <c r="T9" s="16">
        <v>53.27</v>
      </c>
      <c r="U9" s="16">
        <v>51.67</v>
      </c>
      <c r="V9" s="16">
        <v>65.569999999999993</v>
      </c>
      <c r="W9" s="17">
        <v>67.88</v>
      </c>
      <c r="X9" s="7">
        <v>2.200579424274185E-2</v>
      </c>
      <c r="Y9" s="8">
        <v>5.3498190591073642E-2</v>
      </c>
      <c r="Z9" s="8">
        <v>9.4406595293982765E-2</v>
      </c>
      <c r="AA9" s="9">
        <v>0.24707051684452819</v>
      </c>
    </row>
    <row r="10" spans="2:27" x14ac:dyDescent="0.3">
      <c r="B10" s="12" t="s">
        <v>89</v>
      </c>
      <c r="C10" s="3" t="s">
        <v>403</v>
      </c>
      <c r="D10" s="3" t="s">
        <v>408</v>
      </c>
      <c r="E10" s="3" t="s">
        <v>405</v>
      </c>
      <c r="F10" s="14">
        <v>23.9</v>
      </c>
      <c r="G10" s="16">
        <v>55</v>
      </c>
      <c r="H10" s="16">
        <v>23.8</v>
      </c>
      <c r="I10" s="16">
        <v>32.799999999999997</v>
      </c>
      <c r="J10" s="16">
        <v>36.200000000000003</v>
      </c>
      <c r="K10" s="16">
        <v>58.9</v>
      </c>
      <c r="L10" s="16">
        <v>31.5</v>
      </c>
      <c r="M10" s="16">
        <v>47.7</v>
      </c>
      <c r="N10" s="16">
        <v>43.1</v>
      </c>
      <c r="O10" s="16">
        <v>59.1</v>
      </c>
      <c r="P10" s="16">
        <v>34.4</v>
      </c>
      <c r="Q10" s="16">
        <v>40.5</v>
      </c>
      <c r="R10" s="16">
        <v>58.5</v>
      </c>
      <c r="S10" s="16">
        <v>45</v>
      </c>
      <c r="T10" s="16">
        <v>-95.2</v>
      </c>
      <c r="U10" s="17">
        <v>73.8</v>
      </c>
      <c r="V10" s="17">
        <v>115.1</v>
      </c>
      <c r="W10" s="17">
        <v>78.2</v>
      </c>
      <c r="X10" s="7">
        <v>-0.72645739910313911</v>
      </c>
      <c r="Y10" s="9">
        <v>0.68237704918032782</v>
      </c>
      <c r="Z10" s="9">
        <v>0.68940316686967118</v>
      </c>
      <c r="AA10" s="9">
        <v>0.23936553713049749</v>
      </c>
    </row>
    <row r="11" spans="2:27" x14ac:dyDescent="0.3">
      <c r="B11" s="12" t="s">
        <v>301</v>
      </c>
      <c r="C11" s="3" t="s">
        <v>403</v>
      </c>
      <c r="D11" s="3" t="s">
        <v>419</v>
      </c>
      <c r="E11" s="3" t="s">
        <v>405</v>
      </c>
      <c r="F11" s="14">
        <v>19.5</v>
      </c>
      <c r="G11" s="16">
        <v>-15.14</v>
      </c>
      <c r="H11" s="16">
        <v>-0.33</v>
      </c>
      <c r="I11" s="16">
        <v>0.2</v>
      </c>
      <c r="J11" s="16">
        <v>4.9000000000000004</v>
      </c>
      <c r="K11" s="16">
        <v>12.38</v>
      </c>
      <c r="L11" s="16">
        <v>-1.1200000000000001</v>
      </c>
      <c r="M11" s="16">
        <v>-3.2</v>
      </c>
      <c r="N11" s="16">
        <v>2</v>
      </c>
      <c r="O11" s="16">
        <v>8.9700000000000006</v>
      </c>
      <c r="P11" s="17">
        <v>-0.15</v>
      </c>
      <c r="Q11" s="17">
        <v>-0.51</v>
      </c>
      <c r="R11" s="16">
        <v>3.02</v>
      </c>
      <c r="S11" s="17">
        <v>12.15</v>
      </c>
      <c r="T11" s="17">
        <v>3.19</v>
      </c>
      <c r="U11" s="17">
        <v>2.62</v>
      </c>
      <c r="V11" s="17">
        <v>6.3</v>
      </c>
      <c r="W11" s="17">
        <v>16.87</v>
      </c>
      <c r="X11" s="10">
        <v>0.230186078566506</v>
      </c>
      <c r="Y11" s="9">
        <v>0.1753501400560222</v>
      </c>
      <c r="Z11" s="9">
        <v>0.15633937082936139</v>
      </c>
      <c r="AA11" s="9">
        <v>0.19455894476504529</v>
      </c>
    </row>
    <row r="12" spans="2:27" x14ac:dyDescent="0.3">
      <c r="B12" s="12" t="s">
        <v>41</v>
      </c>
      <c r="C12" s="3" t="s">
        <v>403</v>
      </c>
      <c r="D12" s="3" t="s">
        <v>404</v>
      </c>
      <c r="E12" s="3" t="s">
        <v>405</v>
      </c>
      <c r="F12" s="14">
        <v>17</v>
      </c>
      <c r="G12" s="16">
        <v>-26.05</v>
      </c>
      <c r="H12" s="16">
        <v>-22.16</v>
      </c>
      <c r="I12" s="16">
        <v>-12.69</v>
      </c>
      <c r="J12" s="16">
        <v>-16.940000000000001</v>
      </c>
      <c r="K12" s="16">
        <v>-13.1</v>
      </c>
      <c r="L12" s="16">
        <v>-16.239999999999998</v>
      </c>
      <c r="M12" s="16">
        <v>-15.79</v>
      </c>
      <c r="N12" s="16">
        <v>-20.49</v>
      </c>
      <c r="O12" s="17">
        <v>-36.21</v>
      </c>
      <c r="P12" s="17">
        <v>-42.39</v>
      </c>
      <c r="Q12" s="17">
        <v>-44.61</v>
      </c>
      <c r="R12" s="17">
        <v>-58.38</v>
      </c>
      <c r="S12" s="17">
        <v>-65.61</v>
      </c>
      <c r="T12" s="17">
        <v>-66.849999999999994</v>
      </c>
      <c r="U12" s="17">
        <v>-568.44000000000005</v>
      </c>
      <c r="V12" s="17">
        <v>-234.21</v>
      </c>
      <c r="W12" s="17">
        <v>-224.93</v>
      </c>
      <c r="X12" s="10">
        <v>0.115929664913029</v>
      </c>
      <c r="Y12" s="9">
        <v>2.224803567636441</v>
      </c>
      <c r="Z12" s="9">
        <v>0.23157464966810659</v>
      </c>
      <c r="AA12" s="9">
        <v>0.17037567772775411</v>
      </c>
    </row>
    <row r="13" spans="2:27" x14ac:dyDescent="0.3">
      <c r="B13" s="12" t="s">
        <v>127</v>
      </c>
      <c r="C13" s="3" t="s">
        <v>403</v>
      </c>
      <c r="D13" s="3" t="s">
        <v>411</v>
      </c>
      <c r="E13" s="3" t="s">
        <v>405</v>
      </c>
      <c r="F13" s="14">
        <v>15</v>
      </c>
      <c r="G13" s="16">
        <v>2.0099999999999998</v>
      </c>
      <c r="H13" s="16">
        <v>-1.37</v>
      </c>
      <c r="I13" s="16">
        <v>-2.23</v>
      </c>
      <c r="J13" s="16">
        <v>-0.92</v>
      </c>
      <c r="K13" s="17">
        <v>1.54</v>
      </c>
      <c r="L13" s="16">
        <v>-0.98</v>
      </c>
      <c r="M13" s="16">
        <v>4.63</v>
      </c>
      <c r="N13" s="17">
        <v>5.31</v>
      </c>
      <c r="O13" s="17">
        <v>9.14</v>
      </c>
      <c r="P13" s="17">
        <v>8.34</v>
      </c>
      <c r="Q13" s="17">
        <v>10.24</v>
      </c>
      <c r="R13" s="17">
        <v>12.09</v>
      </c>
      <c r="S13" s="17">
        <v>14.19</v>
      </c>
      <c r="T13" s="17">
        <v>15.69</v>
      </c>
      <c r="U13" s="17">
        <v>15.92</v>
      </c>
      <c r="V13" s="17">
        <v>19.86</v>
      </c>
      <c r="W13" s="17">
        <v>24.07</v>
      </c>
      <c r="X13" s="10">
        <v>0.1638430673205529</v>
      </c>
      <c r="Y13" s="9">
        <v>0.1087914192683395</v>
      </c>
      <c r="Z13" s="9">
        <v>0.13422007255139051</v>
      </c>
      <c r="AA13" s="9">
        <v>0.15047212915016739</v>
      </c>
    </row>
    <row r="14" spans="2:27" x14ac:dyDescent="0.3">
      <c r="B14" s="12" t="s">
        <v>207</v>
      </c>
      <c r="C14" s="3" t="s">
        <v>403</v>
      </c>
      <c r="D14" s="3" t="s">
        <v>424</v>
      </c>
      <c r="E14" s="3" t="s">
        <v>405</v>
      </c>
      <c r="F14" s="14">
        <v>12.8</v>
      </c>
      <c r="G14" s="16">
        <v>-25.09</v>
      </c>
      <c r="H14" s="16">
        <v>-28.59</v>
      </c>
      <c r="I14" s="16">
        <v>-24.74</v>
      </c>
      <c r="J14" s="16">
        <v>-25.09</v>
      </c>
      <c r="K14" s="16">
        <v>-29.04</v>
      </c>
      <c r="L14" s="16">
        <v>-20.63</v>
      </c>
      <c r="M14" s="16">
        <v>-19.47</v>
      </c>
      <c r="N14" s="16">
        <v>-22.2</v>
      </c>
      <c r="O14" s="16">
        <v>-26.14</v>
      </c>
      <c r="P14" s="16">
        <v>-18.850000000000001</v>
      </c>
      <c r="Q14" s="16">
        <v>-17.45</v>
      </c>
      <c r="R14" s="16">
        <v>-16.93</v>
      </c>
      <c r="S14" s="16">
        <v>-30.87</v>
      </c>
      <c r="T14" s="16">
        <v>-12.93</v>
      </c>
      <c r="U14" s="16">
        <v>-7.2</v>
      </c>
      <c r="V14" s="16">
        <v>-5.01</v>
      </c>
      <c r="W14" s="17">
        <v>-38.06</v>
      </c>
      <c r="X14" s="7">
        <v>-7.039239001189046E-2</v>
      </c>
      <c r="Y14" s="8">
        <v>-0.13110770017907389</v>
      </c>
      <c r="Z14" s="8">
        <v>-0.1754747534226411</v>
      </c>
      <c r="AA14" s="9">
        <v>0.12836993394036789</v>
      </c>
    </row>
    <row r="15" spans="2:27" x14ac:dyDescent="0.3">
      <c r="B15" s="12" t="s">
        <v>316</v>
      </c>
      <c r="C15" s="3" t="s">
        <v>403</v>
      </c>
      <c r="D15" s="3" t="s">
        <v>429</v>
      </c>
      <c r="E15" s="3" t="s">
        <v>405</v>
      </c>
      <c r="F15" s="14">
        <v>12.7</v>
      </c>
      <c r="G15" s="16">
        <v>-36.5</v>
      </c>
      <c r="H15" s="16">
        <v>-75.599999999999994</v>
      </c>
      <c r="I15" s="16">
        <v>-27</v>
      </c>
      <c r="J15" s="16">
        <v>-20.399999999999999</v>
      </c>
      <c r="K15" s="16">
        <v>-23.1</v>
      </c>
      <c r="L15" s="16">
        <v>-22.7</v>
      </c>
      <c r="M15" s="16">
        <v>-19.600000000000001</v>
      </c>
      <c r="N15" s="16">
        <v>-23.1</v>
      </c>
      <c r="O15" s="16">
        <v>-20.8</v>
      </c>
      <c r="P15" s="17">
        <v>-40.6</v>
      </c>
      <c r="Q15" s="16">
        <v>-23</v>
      </c>
      <c r="R15" s="16">
        <v>-18.100000000000001</v>
      </c>
      <c r="S15" s="16">
        <v>-10.6</v>
      </c>
      <c r="T15" s="16">
        <v>-21.4</v>
      </c>
      <c r="U15" s="17">
        <v>-60.9</v>
      </c>
      <c r="V15" s="16">
        <v>-13.2</v>
      </c>
      <c r="W15" s="17">
        <v>-24.1</v>
      </c>
      <c r="X15" s="7">
        <v>-0.20801733477789819</v>
      </c>
      <c r="Y15" s="9">
        <v>0.51846785225718217</v>
      </c>
      <c r="Z15" s="8">
        <v>-4.4144144144144248E-2</v>
      </c>
      <c r="AA15" s="9">
        <v>0.1272384542884071</v>
      </c>
    </row>
    <row r="16" spans="2:27" x14ac:dyDescent="0.3">
      <c r="B16" s="12" t="s">
        <v>291</v>
      </c>
      <c r="C16" s="3" t="s">
        <v>403</v>
      </c>
      <c r="D16" s="3" t="s">
        <v>409</v>
      </c>
      <c r="E16" s="3" t="s">
        <v>405</v>
      </c>
      <c r="F16" s="14">
        <v>11</v>
      </c>
      <c r="G16" s="16">
        <v>-8.41</v>
      </c>
      <c r="H16" s="16">
        <v>-6.59</v>
      </c>
      <c r="I16" s="16">
        <v>-7.6</v>
      </c>
      <c r="J16" s="16">
        <v>-6.69</v>
      </c>
      <c r="K16" s="16">
        <v>-8.0500000000000007</v>
      </c>
      <c r="L16" s="16">
        <v>-2.54</v>
      </c>
      <c r="M16" s="17">
        <v>-10.7</v>
      </c>
      <c r="N16" s="17">
        <v>-9.82</v>
      </c>
      <c r="O16" s="16">
        <v>-5.5</v>
      </c>
      <c r="P16" s="16">
        <v>1.77</v>
      </c>
      <c r="Q16" s="16">
        <v>6.29</v>
      </c>
      <c r="R16" s="16">
        <v>11.67</v>
      </c>
      <c r="S16" s="17">
        <v>12.03</v>
      </c>
      <c r="T16" s="17">
        <v>15.9</v>
      </c>
      <c r="U16" s="17">
        <v>14.5</v>
      </c>
      <c r="V16" s="17">
        <v>17.54</v>
      </c>
      <c r="W16" s="17">
        <v>18.63</v>
      </c>
      <c r="X16" s="10">
        <v>0.44489924433249373</v>
      </c>
      <c r="Y16" s="9">
        <v>0.17890607975593811</v>
      </c>
      <c r="Z16" s="9">
        <v>0.1085027726432533</v>
      </c>
      <c r="AA16" s="9">
        <v>0.1100550275137568</v>
      </c>
    </row>
    <row r="17" spans="2:27" hidden="1" x14ac:dyDescent="0.3">
      <c r="B17" s="3">
        <v>8963</v>
      </c>
      <c r="C17" s="3" t="s">
        <v>443</v>
      </c>
      <c r="D17" s="3" t="s">
        <v>444</v>
      </c>
      <c r="E17" s="3" t="s">
        <v>451</v>
      </c>
      <c r="F17" s="5">
        <v>11.9</v>
      </c>
      <c r="G17" s="3"/>
      <c r="H17" s="3"/>
      <c r="I17" s="3"/>
      <c r="J17" s="3"/>
      <c r="K17" s="3"/>
      <c r="L17" s="3"/>
      <c r="M17" s="3"/>
      <c r="N17" s="4">
        <v>1691</v>
      </c>
      <c r="O17" s="4">
        <v>-2341</v>
      </c>
      <c r="P17" s="4">
        <v>2292</v>
      </c>
      <c r="Q17" s="4">
        <v>2114</v>
      </c>
      <c r="R17" s="6">
        <v>6257</v>
      </c>
      <c r="S17" s="6">
        <v>10357</v>
      </c>
      <c r="T17" s="6">
        <v>12589</v>
      </c>
      <c r="U17" s="6">
        <v>14636</v>
      </c>
      <c r="V17" s="6">
        <v>17752</v>
      </c>
      <c r="W17" s="6">
        <v>16935</v>
      </c>
      <c r="X17" s="10">
        <v>0.48986679352997142</v>
      </c>
      <c r="Y17" s="9">
        <v>0.39984672861385179</v>
      </c>
      <c r="Z17" s="9">
        <v>0.26220944820821651</v>
      </c>
      <c r="AA17" s="9">
        <v>0.11887808580619511</v>
      </c>
    </row>
    <row r="18" spans="2:27" hidden="1" x14ac:dyDescent="0.3">
      <c r="B18" s="3">
        <v>2502</v>
      </c>
      <c r="C18" s="3" t="s">
        <v>443</v>
      </c>
      <c r="D18" s="3" t="s">
        <v>444</v>
      </c>
      <c r="E18" s="3" t="s">
        <v>449</v>
      </c>
      <c r="F18" s="5">
        <v>-4.8</v>
      </c>
      <c r="G18" s="4">
        <v>57184</v>
      </c>
      <c r="H18" s="4">
        <v>62856</v>
      </c>
      <c r="I18" s="4">
        <v>21990</v>
      </c>
      <c r="J18" s="4">
        <v>9044</v>
      </c>
      <c r="K18" s="6">
        <v>72364</v>
      </c>
      <c r="L18" s="6">
        <v>82147</v>
      </c>
      <c r="M18" s="6">
        <v>62447</v>
      </c>
      <c r="N18" s="6">
        <v>32014</v>
      </c>
      <c r="O18" s="4">
        <v>64059</v>
      </c>
      <c r="P18" s="4">
        <v>93322</v>
      </c>
      <c r="Q18" s="4">
        <v>61353</v>
      </c>
      <c r="R18" s="4">
        <v>32559</v>
      </c>
      <c r="S18" s="4">
        <v>71542</v>
      </c>
      <c r="T18" s="4">
        <v>89381</v>
      </c>
      <c r="U18" s="4">
        <v>67005</v>
      </c>
      <c r="V18" s="4">
        <v>46135</v>
      </c>
      <c r="W18" s="4">
        <v>58320</v>
      </c>
      <c r="X18" s="7">
        <v>-1.5229387578446271E-2</v>
      </c>
      <c r="Y18" s="8">
        <v>2.2179057036906261E-2</v>
      </c>
      <c r="Z18" s="8">
        <v>5.2117764034289582E-2</v>
      </c>
      <c r="AA18" s="8">
        <v>-4.8244381766236237E-2</v>
      </c>
    </row>
    <row r="19" spans="2:27" x14ac:dyDescent="0.3">
      <c r="B19" s="12" t="s">
        <v>159</v>
      </c>
      <c r="C19" s="3" t="s">
        <v>403</v>
      </c>
      <c r="D19" s="3" t="s">
        <v>421</v>
      </c>
      <c r="E19" s="3" t="s">
        <v>405</v>
      </c>
      <c r="F19" s="5">
        <v>9.6999999999999993</v>
      </c>
      <c r="G19" s="16">
        <v>135.87</v>
      </c>
      <c r="H19" s="16">
        <v>-5.75</v>
      </c>
      <c r="I19" s="16">
        <v>133.05000000000001</v>
      </c>
      <c r="J19" s="16">
        <v>170.21</v>
      </c>
      <c r="K19" s="17">
        <v>184.97</v>
      </c>
      <c r="L19" s="17">
        <v>135.19999999999999</v>
      </c>
      <c r="M19" s="16">
        <v>78.760000000000005</v>
      </c>
      <c r="N19" s="16">
        <v>61.96</v>
      </c>
      <c r="O19" s="16">
        <v>147.6</v>
      </c>
      <c r="P19" s="16">
        <v>63.97</v>
      </c>
      <c r="Q19" s="16">
        <v>68.489999999999995</v>
      </c>
      <c r="R19" s="16">
        <v>93.12</v>
      </c>
      <c r="S19" s="16">
        <v>47.52</v>
      </c>
      <c r="T19" s="16">
        <v>17.16</v>
      </c>
      <c r="U19" s="17">
        <v>122.28</v>
      </c>
      <c r="V19" s="16">
        <v>94.1</v>
      </c>
      <c r="W19" s="16">
        <v>74.849999999999994</v>
      </c>
      <c r="X19" s="7">
        <v>-0.17140241669718059</v>
      </c>
      <c r="Y19" s="9">
        <v>0.23770383136682999</v>
      </c>
      <c r="Z19" s="8">
        <v>3.49900028563277E-3</v>
      </c>
      <c r="AA19" s="8">
        <v>9.7239023696007898E-2</v>
      </c>
    </row>
    <row r="20" spans="2:27" x14ac:dyDescent="0.3">
      <c r="B20" s="12" t="s">
        <v>303</v>
      </c>
      <c r="C20" s="3" t="s">
        <v>403</v>
      </c>
      <c r="D20" s="3" t="s">
        <v>410</v>
      </c>
      <c r="E20" s="3" t="s">
        <v>405</v>
      </c>
      <c r="F20" s="5">
        <v>9.5</v>
      </c>
      <c r="G20" s="16">
        <v>14.28</v>
      </c>
      <c r="H20" s="16">
        <v>-2.94</v>
      </c>
      <c r="I20" s="16">
        <v>25.58</v>
      </c>
      <c r="J20" s="16">
        <v>19.46</v>
      </c>
      <c r="K20" s="16">
        <v>16.66</v>
      </c>
      <c r="L20" s="16">
        <v>-13.8</v>
      </c>
      <c r="M20" s="17">
        <v>34.56</v>
      </c>
      <c r="N20" s="16">
        <v>11.5</v>
      </c>
      <c r="O20" s="16">
        <v>12.64</v>
      </c>
      <c r="P20" s="17">
        <v>-5.2</v>
      </c>
      <c r="Q20" s="16">
        <v>36.299999999999997</v>
      </c>
      <c r="R20" s="16">
        <v>3.56</v>
      </c>
      <c r="S20" s="16">
        <v>12.97</v>
      </c>
      <c r="T20" s="17">
        <v>3.2</v>
      </c>
      <c r="U20" s="16">
        <v>37</v>
      </c>
      <c r="V20" s="17">
        <v>14.08</v>
      </c>
      <c r="W20" s="16">
        <v>19.329999999999998</v>
      </c>
      <c r="X20" s="10">
        <v>0.17635943732941439</v>
      </c>
      <c r="Y20" s="8">
        <v>1.249330715688024E-2</v>
      </c>
      <c r="Z20" s="9">
        <v>0.18543980257359419</v>
      </c>
      <c r="AA20" s="8">
        <v>9.4572490706319678E-2</v>
      </c>
    </row>
    <row r="21" spans="2:27" x14ac:dyDescent="0.3">
      <c r="B21" s="12" t="s">
        <v>283</v>
      </c>
      <c r="C21" s="3" t="s">
        <v>403</v>
      </c>
      <c r="D21" s="3" t="s">
        <v>433</v>
      </c>
      <c r="E21" s="3" t="s">
        <v>417</v>
      </c>
      <c r="F21" s="5">
        <v>6.1</v>
      </c>
      <c r="G21" s="16">
        <v>714.32</v>
      </c>
      <c r="H21" s="16">
        <v>854.72</v>
      </c>
      <c r="I21" s="16">
        <v>630.91</v>
      </c>
      <c r="J21" s="16">
        <v>551.73</v>
      </c>
      <c r="K21" s="16">
        <v>633.19000000000005</v>
      </c>
      <c r="L21" s="16">
        <v>694.68</v>
      </c>
      <c r="M21" s="16">
        <v>565.29</v>
      </c>
      <c r="N21" s="16">
        <v>553.36</v>
      </c>
      <c r="O21" s="16">
        <v>752.79</v>
      </c>
      <c r="P21" s="16">
        <v>838.6</v>
      </c>
      <c r="Q21" s="16">
        <v>700.6</v>
      </c>
      <c r="R21" s="16">
        <v>694.06</v>
      </c>
      <c r="S21" s="16">
        <v>790.65</v>
      </c>
      <c r="T21" s="16">
        <v>999.6</v>
      </c>
      <c r="U21" s="16">
        <v>969.58</v>
      </c>
      <c r="V21" s="16">
        <v>944.58</v>
      </c>
      <c r="W21" s="16">
        <v>1015</v>
      </c>
      <c r="X21" s="7">
        <v>5.3242325333756613E-2</v>
      </c>
      <c r="Y21" s="8">
        <v>8.4454505778813305E-2</v>
      </c>
      <c r="Z21" s="8">
        <v>7.2532709495670034E-2</v>
      </c>
      <c r="AA21" s="8">
        <v>6.056295064531203E-2</v>
      </c>
    </row>
    <row r="22" spans="2:27" x14ac:dyDescent="0.3">
      <c r="B22" s="12" t="s">
        <v>247</v>
      </c>
      <c r="C22" s="3" t="s">
        <v>403</v>
      </c>
      <c r="D22" s="3" t="s">
        <v>414</v>
      </c>
      <c r="E22" s="3" t="s">
        <v>405</v>
      </c>
      <c r="F22" s="5">
        <v>5.0999999999999996</v>
      </c>
      <c r="G22" s="16">
        <v>20.39</v>
      </c>
      <c r="H22" s="16">
        <v>0.68</v>
      </c>
      <c r="I22" s="16">
        <v>2.36</v>
      </c>
      <c r="J22" s="16">
        <v>-4.05</v>
      </c>
      <c r="K22" s="16">
        <v>14.96</v>
      </c>
      <c r="L22" s="16">
        <v>-5.32</v>
      </c>
      <c r="M22" s="17">
        <v>20.440000000000001</v>
      </c>
      <c r="N22" s="16">
        <v>-6.35</v>
      </c>
      <c r="O22" s="17">
        <v>24.67</v>
      </c>
      <c r="P22" s="17">
        <v>9.4600000000000009</v>
      </c>
      <c r="Q22" s="16">
        <v>23.64</v>
      </c>
      <c r="R22" s="17">
        <v>31.02</v>
      </c>
      <c r="S22" s="16">
        <v>23.07</v>
      </c>
      <c r="T22" s="16">
        <v>13.52</v>
      </c>
      <c r="U22" s="17">
        <v>39.86</v>
      </c>
      <c r="V22" s="16">
        <v>14.25</v>
      </c>
      <c r="W22" s="16">
        <v>27.7</v>
      </c>
      <c r="X22" s="7">
        <v>4.6564973047367841E-2</v>
      </c>
      <c r="Y22" s="9">
        <v>0.1777534246575343</v>
      </c>
      <c r="Z22" s="8">
        <v>-0.15604354703638221</v>
      </c>
      <c r="AA22" s="8">
        <v>5.1047409040793752E-2</v>
      </c>
    </row>
    <row r="23" spans="2:27" x14ac:dyDescent="0.3">
      <c r="B23" s="12" t="s">
        <v>111</v>
      </c>
      <c r="C23" s="3" t="s">
        <v>403</v>
      </c>
      <c r="D23" s="3" t="s">
        <v>423</v>
      </c>
      <c r="E23" s="3" t="s">
        <v>405</v>
      </c>
      <c r="F23" s="5">
        <v>5</v>
      </c>
      <c r="G23" s="16">
        <v>23.62</v>
      </c>
      <c r="H23" s="16">
        <v>6.02</v>
      </c>
      <c r="I23" s="16">
        <v>103.55</v>
      </c>
      <c r="J23" s="16">
        <v>93.35</v>
      </c>
      <c r="K23" s="17">
        <v>113.79</v>
      </c>
      <c r="L23" s="17">
        <v>102.84</v>
      </c>
      <c r="M23" s="16">
        <v>120.09</v>
      </c>
      <c r="N23" s="16">
        <v>89.36</v>
      </c>
      <c r="O23" s="16">
        <v>132.69999999999999</v>
      </c>
      <c r="P23" s="16">
        <v>96.14</v>
      </c>
      <c r="Q23" s="17">
        <v>168.25</v>
      </c>
      <c r="R23" s="16">
        <v>105.89</v>
      </c>
      <c r="S23" s="16">
        <v>119.73</v>
      </c>
      <c r="T23" s="16">
        <v>116.11</v>
      </c>
      <c r="U23" s="16">
        <v>139.41</v>
      </c>
      <c r="V23" s="16">
        <v>89.87</v>
      </c>
      <c r="W23" s="16">
        <v>142.85</v>
      </c>
      <c r="X23" s="7">
        <v>4.0754270321013968E-2</v>
      </c>
      <c r="Y23" s="8">
        <v>-5.6551237303423707E-2</v>
      </c>
      <c r="Z23" s="8">
        <v>-3.3295922184811033E-2</v>
      </c>
      <c r="AA23" s="8">
        <v>4.9707602339181367E-2</v>
      </c>
    </row>
    <row r="24" spans="2:27" x14ac:dyDescent="0.3">
      <c r="B24" s="12" t="s">
        <v>237</v>
      </c>
      <c r="C24" s="3" t="s">
        <v>403</v>
      </c>
      <c r="D24" s="3" t="s">
        <v>440</v>
      </c>
      <c r="E24" s="3" t="s">
        <v>405</v>
      </c>
      <c r="F24" s="5">
        <v>3.9</v>
      </c>
      <c r="G24" s="16">
        <v>0</v>
      </c>
      <c r="H24" s="16">
        <v>30.67</v>
      </c>
      <c r="I24" s="16">
        <v>46.09</v>
      </c>
      <c r="J24" s="16">
        <v>56.4</v>
      </c>
      <c r="K24" s="16">
        <v>0</v>
      </c>
      <c r="L24" s="16">
        <v>26.32</v>
      </c>
      <c r="M24" s="16">
        <v>39.26</v>
      </c>
      <c r="N24" s="16">
        <v>43.53</v>
      </c>
      <c r="O24" s="17">
        <v>80.52</v>
      </c>
      <c r="P24" s="16">
        <v>35.86</v>
      </c>
      <c r="Q24" s="16">
        <v>28.57</v>
      </c>
      <c r="R24" s="16">
        <v>55.97</v>
      </c>
      <c r="S24" s="16">
        <v>78.52</v>
      </c>
      <c r="T24" s="16">
        <v>33.33</v>
      </c>
      <c r="U24" s="16">
        <v>33.479999999999997</v>
      </c>
      <c r="V24" s="16">
        <v>46.01</v>
      </c>
      <c r="W24" s="16">
        <v>86.05</v>
      </c>
      <c r="X24" s="7">
        <v>-1.2718680876734331E-2</v>
      </c>
      <c r="Y24" s="8">
        <v>2.500127297723909E-2</v>
      </c>
      <c r="Z24" s="8">
        <v>-4.947839046199709E-2</v>
      </c>
      <c r="AA24" s="8">
        <v>3.9354029476325048E-2</v>
      </c>
    </row>
    <row r="25" spans="2:27" x14ac:dyDescent="0.3">
      <c r="B25" s="12" t="s">
        <v>194</v>
      </c>
      <c r="C25" s="3" t="s">
        <v>403</v>
      </c>
      <c r="D25" s="3" t="s">
        <v>425</v>
      </c>
      <c r="E25" s="3" t="s">
        <v>405</v>
      </c>
      <c r="F25" s="5">
        <v>3.9</v>
      </c>
      <c r="G25" s="16">
        <v>21.82</v>
      </c>
      <c r="H25" s="16">
        <v>31.89</v>
      </c>
      <c r="I25" s="16">
        <v>31.93</v>
      </c>
      <c r="J25" s="16">
        <v>24.82</v>
      </c>
      <c r="K25" s="17">
        <v>37.1</v>
      </c>
      <c r="L25" s="16">
        <v>-13.09</v>
      </c>
      <c r="M25" s="16">
        <v>30.47</v>
      </c>
      <c r="N25" s="16">
        <v>31.83</v>
      </c>
      <c r="O25" s="16">
        <v>37.42</v>
      </c>
      <c r="P25" s="17">
        <v>34.33</v>
      </c>
      <c r="Q25" s="16">
        <v>36.75</v>
      </c>
      <c r="R25" s="16">
        <v>40.85</v>
      </c>
      <c r="S25" s="16">
        <v>43.2</v>
      </c>
      <c r="T25" s="16">
        <v>40.14</v>
      </c>
      <c r="U25" s="16">
        <v>44.77</v>
      </c>
      <c r="V25" s="16">
        <v>51.85</v>
      </c>
      <c r="W25" s="16">
        <v>50.2</v>
      </c>
      <c r="X25" s="7">
        <v>3.7452459227744539E-2</v>
      </c>
      <c r="Y25" s="8">
        <v>4.9832235615757448E-2</v>
      </c>
      <c r="Z25" s="8">
        <v>6.5104166666666741E-2</v>
      </c>
      <c r="AA25" s="8">
        <v>3.889753278506336E-2</v>
      </c>
    </row>
    <row r="26" spans="2:27" x14ac:dyDescent="0.3">
      <c r="B26" s="12" t="s">
        <v>46</v>
      </c>
      <c r="C26" s="3" t="s">
        <v>403</v>
      </c>
      <c r="D26" s="3" t="s">
        <v>429</v>
      </c>
      <c r="E26" s="3" t="s">
        <v>405</v>
      </c>
      <c r="F26" s="5">
        <v>2.4</v>
      </c>
      <c r="G26" s="16">
        <v>222.69</v>
      </c>
      <c r="H26" s="16">
        <v>164.54</v>
      </c>
      <c r="I26" s="16">
        <v>178.11</v>
      </c>
      <c r="J26" s="16">
        <v>176.45</v>
      </c>
      <c r="K26" s="16">
        <v>227.65</v>
      </c>
      <c r="L26" s="16">
        <v>177.63</v>
      </c>
      <c r="M26" s="16">
        <v>195.4</v>
      </c>
      <c r="N26" s="16">
        <v>189.43</v>
      </c>
      <c r="O26" s="16">
        <v>257.2</v>
      </c>
      <c r="P26" s="16">
        <v>210.55</v>
      </c>
      <c r="Q26" s="16">
        <v>196.13</v>
      </c>
      <c r="R26" s="16">
        <v>198.83</v>
      </c>
      <c r="S26" s="16">
        <v>273.49</v>
      </c>
      <c r="T26" s="16">
        <v>210.1</v>
      </c>
      <c r="U26" s="16">
        <v>221.16</v>
      </c>
      <c r="V26" s="16">
        <v>223.17</v>
      </c>
      <c r="W26" s="16">
        <v>295.52</v>
      </c>
      <c r="X26" s="7">
        <v>-5.1194539249155291E-4</v>
      </c>
      <c r="Y26" s="8">
        <v>2.8490125775425531E-2</v>
      </c>
      <c r="Z26" s="8">
        <v>2.693729387547306E-2</v>
      </c>
      <c r="AA26" s="8">
        <v>2.3741270799206848E-2</v>
      </c>
    </row>
    <row r="27" spans="2:27" x14ac:dyDescent="0.3">
      <c r="B27" s="12" t="s">
        <v>150</v>
      </c>
      <c r="C27" s="3" t="s">
        <v>403</v>
      </c>
      <c r="D27" s="3" t="s">
        <v>430</v>
      </c>
      <c r="E27" s="3" t="s">
        <v>405</v>
      </c>
      <c r="F27" s="5">
        <v>2.1</v>
      </c>
      <c r="G27" s="16">
        <v>46.26</v>
      </c>
      <c r="H27" s="16">
        <v>47.43</v>
      </c>
      <c r="I27" s="16">
        <v>50.44</v>
      </c>
      <c r="J27" s="16">
        <v>57.09</v>
      </c>
      <c r="K27" s="16">
        <v>58.93</v>
      </c>
      <c r="L27" s="16">
        <v>57.33</v>
      </c>
      <c r="M27" s="16">
        <v>62.41</v>
      </c>
      <c r="N27" s="16">
        <v>63.77</v>
      </c>
      <c r="O27" s="16">
        <v>65.290000000000006</v>
      </c>
      <c r="P27" s="16">
        <v>62.5</v>
      </c>
      <c r="Q27" s="16">
        <v>69.08</v>
      </c>
      <c r="R27" s="16">
        <v>70.319999999999993</v>
      </c>
      <c r="S27" s="16">
        <v>73.05</v>
      </c>
      <c r="T27" s="16">
        <v>69.069999999999993</v>
      </c>
      <c r="U27" s="16">
        <v>78.61</v>
      </c>
      <c r="V27" s="16">
        <v>80.98</v>
      </c>
      <c r="W27" s="16">
        <v>79.53</v>
      </c>
      <c r="X27" s="7">
        <v>2.3895253682487679E-2</v>
      </c>
      <c r="Y27" s="8">
        <v>3.3851946575731651E-2</v>
      </c>
      <c r="Z27" s="8">
        <v>3.6626009276756737E-2</v>
      </c>
      <c r="AA27" s="8">
        <v>2.147757780650306E-2</v>
      </c>
    </row>
    <row r="28" spans="2:27" x14ac:dyDescent="0.3">
      <c r="B28" s="12" t="s">
        <v>22</v>
      </c>
      <c r="C28" s="3" t="s">
        <v>403</v>
      </c>
      <c r="D28" s="3" t="s">
        <v>416</v>
      </c>
      <c r="E28" s="3" t="s">
        <v>417</v>
      </c>
      <c r="F28" s="5">
        <v>2.1</v>
      </c>
      <c r="G28" s="16">
        <v>285</v>
      </c>
      <c r="H28" s="16">
        <v>340</v>
      </c>
      <c r="I28" s="16">
        <v>372</v>
      </c>
      <c r="J28" s="16">
        <v>383</v>
      </c>
      <c r="K28" s="16">
        <v>327</v>
      </c>
      <c r="L28" s="16">
        <v>359</v>
      </c>
      <c r="M28" s="16">
        <v>369</v>
      </c>
      <c r="N28" s="16">
        <v>324</v>
      </c>
      <c r="O28" s="16">
        <v>224</v>
      </c>
      <c r="P28" s="16">
        <v>198</v>
      </c>
      <c r="Q28" s="16">
        <v>208</v>
      </c>
      <c r="R28" s="16">
        <v>233</v>
      </c>
      <c r="S28" s="16">
        <v>228</v>
      </c>
      <c r="T28" s="16">
        <v>257</v>
      </c>
      <c r="U28" s="16">
        <v>245</v>
      </c>
      <c r="V28" s="16">
        <v>217</v>
      </c>
      <c r="W28" s="16">
        <v>248</v>
      </c>
      <c r="X28" s="7">
        <v>6.8050749711649372E-2</v>
      </c>
      <c r="Y28" s="8">
        <v>3.9956803455723611E-2</v>
      </c>
      <c r="Z28" s="8">
        <v>-1.6614745586708168E-2</v>
      </c>
      <c r="AA28" s="8">
        <v>2.1119324181626101E-2</v>
      </c>
    </row>
    <row r="29" spans="2:27" x14ac:dyDescent="0.3">
      <c r="B29" s="12" t="s">
        <v>48</v>
      </c>
      <c r="C29" s="3" t="s">
        <v>403</v>
      </c>
      <c r="D29" s="3" t="s">
        <v>420</v>
      </c>
      <c r="E29" s="3" t="s">
        <v>405</v>
      </c>
      <c r="F29" s="5">
        <v>1.3</v>
      </c>
      <c r="G29" s="16">
        <v>537</v>
      </c>
      <c r="H29" s="16">
        <v>577</v>
      </c>
      <c r="I29" s="16">
        <v>-11</v>
      </c>
      <c r="J29" s="16">
        <v>337</v>
      </c>
      <c r="K29" s="17">
        <v>823</v>
      </c>
      <c r="L29" s="17">
        <v>894</v>
      </c>
      <c r="M29" s="16">
        <v>130</v>
      </c>
      <c r="N29" s="16">
        <v>281</v>
      </c>
      <c r="O29" s="16">
        <v>515</v>
      </c>
      <c r="P29" s="16">
        <v>437</v>
      </c>
      <c r="Q29" s="16">
        <v>197</v>
      </c>
      <c r="R29" s="17">
        <v>445</v>
      </c>
      <c r="S29" s="16">
        <v>252</v>
      </c>
      <c r="T29" s="17">
        <v>925</v>
      </c>
      <c r="U29" s="16">
        <v>378</v>
      </c>
      <c r="V29" s="16">
        <v>487</v>
      </c>
      <c r="W29" s="16">
        <v>279</v>
      </c>
      <c r="X29" s="10">
        <v>0.36664162283996998</v>
      </c>
      <c r="Y29" s="8">
        <v>9.9505222649807656E-2</v>
      </c>
      <c r="Z29" s="8">
        <v>2.0999999999999911E-2</v>
      </c>
      <c r="AA29" s="8">
        <v>1.3222331047992201E-2</v>
      </c>
    </row>
    <row r="30" spans="2:27" x14ac:dyDescent="0.3">
      <c r="B30" s="12" t="s">
        <v>70</v>
      </c>
      <c r="C30" s="3" t="s">
        <v>403</v>
      </c>
      <c r="D30" s="3" t="s">
        <v>421</v>
      </c>
      <c r="E30" s="3" t="s">
        <v>405</v>
      </c>
      <c r="F30" s="5">
        <v>1.1000000000000001</v>
      </c>
      <c r="G30" s="16">
        <v>1423</v>
      </c>
      <c r="H30" s="16">
        <v>-200</v>
      </c>
      <c r="I30" s="16">
        <v>1516</v>
      </c>
      <c r="J30" s="16">
        <v>1373</v>
      </c>
      <c r="K30" s="16">
        <v>1165</v>
      </c>
      <c r="L30" s="17">
        <v>685</v>
      </c>
      <c r="M30" s="16">
        <v>617</v>
      </c>
      <c r="N30" s="16">
        <v>467</v>
      </c>
      <c r="O30" s="16">
        <v>1192</v>
      </c>
      <c r="P30" s="16">
        <v>494</v>
      </c>
      <c r="Q30" s="16">
        <v>555</v>
      </c>
      <c r="R30" s="16">
        <v>527</v>
      </c>
      <c r="S30" s="16">
        <v>452</v>
      </c>
      <c r="T30" s="16">
        <v>651</v>
      </c>
      <c r="U30" s="16">
        <v>512</v>
      </c>
      <c r="V30" s="16">
        <v>414</v>
      </c>
      <c r="W30" s="16">
        <v>474</v>
      </c>
      <c r="X30" s="7">
        <v>7.741617357001962E-2</v>
      </c>
      <c r="Y30" s="8">
        <v>-1.9679633867276891E-2</v>
      </c>
      <c r="Z30" s="8">
        <v>-5.2754435107376318E-2</v>
      </c>
      <c r="AA30" s="8">
        <v>1.084277969443082E-2</v>
      </c>
    </row>
    <row r="31" spans="2:27" x14ac:dyDescent="0.3">
      <c r="B31" s="12" t="s">
        <v>103</v>
      </c>
      <c r="C31" s="3" t="s">
        <v>403</v>
      </c>
      <c r="D31" s="3" t="s">
        <v>406</v>
      </c>
      <c r="E31" s="3" t="s">
        <v>405</v>
      </c>
      <c r="F31" s="5">
        <v>0.7</v>
      </c>
      <c r="G31" s="16">
        <v>127.46</v>
      </c>
      <c r="H31" s="16">
        <v>140.31</v>
      </c>
      <c r="I31" s="16">
        <v>187.55</v>
      </c>
      <c r="J31" s="16">
        <v>174.26</v>
      </c>
      <c r="K31" s="16">
        <v>160.22</v>
      </c>
      <c r="L31" s="16">
        <v>107.22</v>
      </c>
      <c r="M31" s="16">
        <v>99.5</v>
      </c>
      <c r="N31" s="17">
        <v>239.81</v>
      </c>
      <c r="O31" s="16">
        <v>147.9</v>
      </c>
      <c r="P31" s="16">
        <v>132</v>
      </c>
      <c r="Q31" s="16">
        <v>153</v>
      </c>
      <c r="R31" s="16">
        <v>143</v>
      </c>
      <c r="S31" s="16">
        <v>149.47</v>
      </c>
      <c r="T31" s="16">
        <v>187</v>
      </c>
      <c r="U31" s="16">
        <v>106</v>
      </c>
      <c r="V31" s="17">
        <v>202</v>
      </c>
      <c r="W31" s="16">
        <v>154</v>
      </c>
      <c r="X31" s="7">
        <v>9.5243042928637056E-2</v>
      </c>
      <c r="Y31" s="8">
        <v>-7.4311825066801562E-2</v>
      </c>
      <c r="Z31" s="9">
        <v>0.1007737373392317</v>
      </c>
      <c r="AA31" s="8">
        <v>7.029031607367342E-3</v>
      </c>
    </row>
    <row r="32" spans="2:27" x14ac:dyDescent="0.3">
      <c r="B32" s="12" t="s">
        <v>190</v>
      </c>
      <c r="C32" s="3" t="s">
        <v>403</v>
      </c>
      <c r="D32" s="3" t="s">
        <v>436</v>
      </c>
      <c r="E32" s="3" t="s">
        <v>405</v>
      </c>
      <c r="F32" s="5">
        <v>0.1</v>
      </c>
      <c r="G32" s="16">
        <v>510.7</v>
      </c>
      <c r="H32" s="16">
        <v>571.4</v>
      </c>
      <c r="I32" s="16">
        <v>649.6</v>
      </c>
      <c r="J32" s="16">
        <v>674.6</v>
      </c>
      <c r="K32" s="16">
        <v>593</v>
      </c>
      <c r="L32" s="16">
        <v>657.2</v>
      </c>
      <c r="M32" s="16">
        <v>733.3</v>
      </c>
      <c r="N32" s="16">
        <v>738.8</v>
      </c>
      <c r="O32" s="16">
        <v>719.7</v>
      </c>
      <c r="P32" s="16">
        <v>739</v>
      </c>
      <c r="Q32" s="16">
        <v>818</v>
      </c>
      <c r="R32" s="16">
        <v>863</v>
      </c>
      <c r="S32" s="16">
        <v>804</v>
      </c>
      <c r="T32" s="16">
        <v>806</v>
      </c>
      <c r="U32" s="16">
        <v>870</v>
      </c>
      <c r="V32" s="16">
        <v>839</v>
      </c>
      <c r="W32" s="16">
        <v>806</v>
      </c>
      <c r="X32" s="7">
        <v>2.0781637717121489E-2</v>
      </c>
      <c r="Y32" s="8">
        <v>1.580066848982065E-2</v>
      </c>
      <c r="Z32" s="8">
        <v>-7.1791803769070128E-3</v>
      </c>
      <c r="AA32" s="8">
        <v>6.025911419103025E-4</v>
      </c>
    </row>
    <row r="33" spans="2:27" x14ac:dyDescent="0.3">
      <c r="B33" s="12" t="s">
        <v>44</v>
      </c>
      <c r="C33" s="3" t="s">
        <v>403</v>
      </c>
      <c r="D33" s="3" t="s">
        <v>435</v>
      </c>
      <c r="E33" s="3" t="s">
        <v>405</v>
      </c>
      <c r="F33" s="5">
        <v>-0.1</v>
      </c>
      <c r="G33" s="16">
        <v>60.81</v>
      </c>
      <c r="H33" s="16">
        <v>85.82</v>
      </c>
      <c r="I33" s="16">
        <v>105.51</v>
      </c>
      <c r="J33" s="16">
        <v>107.98</v>
      </c>
      <c r="K33" s="16">
        <v>82.94</v>
      </c>
      <c r="L33" s="16">
        <v>118.68</v>
      </c>
      <c r="M33" s="16">
        <v>142.30000000000001</v>
      </c>
      <c r="N33" s="17">
        <v>156.61000000000001</v>
      </c>
      <c r="O33" s="17">
        <v>135.22</v>
      </c>
      <c r="P33" s="16">
        <v>147.47999999999999</v>
      </c>
      <c r="Q33" s="16">
        <v>199.61</v>
      </c>
      <c r="R33" s="16">
        <v>188.47</v>
      </c>
      <c r="S33" s="16">
        <v>140.9</v>
      </c>
      <c r="T33" s="16">
        <v>157.47999999999999</v>
      </c>
      <c r="U33" s="16">
        <v>204.8</v>
      </c>
      <c r="V33" s="16">
        <v>214.58</v>
      </c>
      <c r="W33" s="16">
        <v>140.33000000000001</v>
      </c>
      <c r="X33" s="7">
        <v>1.4782840079236029E-2</v>
      </c>
      <c r="Y33" s="8">
        <v>7.560527925880578E-3</v>
      </c>
      <c r="Z33" s="8">
        <v>3.7750307236319003E-2</v>
      </c>
      <c r="AA33" s="8">
        <v>-7.9413731609445648E-4</v>
      </c>
    </row>
    <row r="34" spans="2:27" x14ac:dyDescent="0.3">
      <c r="B34" s="12" t="s">
        <v>200</v>
      </c>
      <c r="C34" s="3" t="s">
        <v>403</v>
      </c>
      <c r="D34" s="3" t="s">
        <v>418</v>
      </c>
      <c r="E34" s="3" t="s">
        <v>405</v>
      </c>
      <c r="F34" s="5">
        <v>-0.1</v>
      </c>
      <c r="G34" s="16">
        <v>10.02</v>
      </c>
      <c r="H34" s="16">
        <v>5.24</v>
      </c>
      <c r="I34" s="16">
        <v>15.02</v>
      </c>
      <c r="J34" s="16">
        <v>49.39</v>
      </c>
      <c r="K34" s="17">
        <v>70.930000000000007</v>
      </c>
      <c r="L34" s="17">
        <v>30.58</v>
      </c>
      <c r="M34" s="17">
        <v>34.270000000000003</v>
      </c>
      <c r="N34" s="16">
        <v>21.04</v>
      </c>
      <c r="O34" s="16">
        <v>38.53</v>
      </c>
      <c r="P34" s="16">
        <v>30.33</v>
      </c>
      <c r="Q34" s="16">
        <v>27.43</v>
      </c>
      <c r="R34" s="17">
        <v>49.89</v>
      </c>
      <c r="S34" s="16">
        <v>51.56</v>
      </c>
      <c r="T34" s="16">
        <v>34.299999999999997</v>
      </c>
      <c r="U34" s="17">
        <v>52.94</v>
      </c>
      <c r="V34" s="16">
        <v>55.67</v>
      </c>
      <c r="W34" s="16">
        <v>51.36</v>
      </c>
      <c r="X34" s="7">
        <v>2.4935619621883068E-2</v>
      </c>
      <c r="Y34" s="9">
        <v>0.1563304326510602</v>
      </c>
      <c r="Z34" s="8">
        <v>3.0632253961524251E-2</v>
      </c>
      <c r="AA34" s="8">
        <v>-1.0284362626626911E-3</v>
      </c>
    </row>
    <row r="35" spans="2:27" x14ac:dyDescent="0.3">
      <c r="B35" s="12" t="s">
        <v>281</v>
      </c>
      <c r="C35" s="3" t="s">
        <v>403</v>
      </c>
      <c r="D35" s="3" t="s">
        <v>426</v>
      </c>
      <c r="E35" s="3" t="s">
        <v>405</v>
      </c>
      <c r="F35" s="5">
        <v>-1.2</v>
      </c>
      <c r="G35" s="16">
        <v>-26.86</v>
      </c>
      <c r="H35" s="16">
        <v>-32.979999999999997</v>
      </c>
      <c r="I35" s="16">
        <v>-17.39</v>
      </c>
      <c r="J35" s="16">
        <v>15.65</v>
      </c>
      <c r="K35" s="16">
        <v>8.58</v>
      </c>
      <c r="L35" s="16">
        <v>-4.45</v>
      </c>
      <c r="M35" s="17">
        <v>31.34</v>
      </c>
      <c r="N35" s="17">
        <v>52.73</v>
      </c>
      <c r="O35" s="17">
        <v>26.31</v>
      </c>
      <c r="P35" s="16">
        <v>-1.1299999999999999</v>
      </c>
      <c r="Q35" s="17">
        <v>53.19</v>
      </c>
      <c r="R35" s="16">
        <v>44.54</v>
      </c>
      <c r="S35" s="16">
        <v>31.31</v>
      </c>
      <c r="T35" s="16">
        <v>8.17</v>
      </c>
      <c r="U35" s="16">
        <v>-3.15</v>
      </c>
      <c r="V35" s="16">
        <v>47.85</v>
      </c>
      <c r="W35" s="16">
        <v>30.33</v>
      </c>
      <c r="X35" s="7">
        <v>7.270737237119862E-2</v>
      </c>
      <c r="Y35" s="8">
        <v>-0.4106114714670942</v>
      </c>
      <c r="Z35" s="8">
        <v>4.0929887473723392E-2</v>
      </c>
      <c r="AA35" s="8">
        <v>-1.1641720123544809E-2</v>
      </c>
    </row>
    <row r="36" spans="2:27" x14ac:dyDescent="0.3">
      <c r="B36" s="12" t="s">
        <v>14</v>
      </c>
      <c r="C36" s="3" t="s">
        <v>403</v>
      </c>
      <c r="D36" s="3" t="s">
        <v>406</v>
      </c>
      <c r="E36" s="3" t="s">
        <v>405</v>
      </c>
      <c r="F36" s="5">
        <v>-1.4</v>
      </c>
      <c r="G36" s="16">
        <v>652.16999999999996</v>
      </c>
      <c r="H36" s="16">
        <v>662</v>
      </c>
      <c r="I36" s="16">
        <v>689</v>
      </c>
      <c r="J36" s="16">
        <v>700</v>
      </c>
      <c r="K36" s="16">
        <v>756</v>
      </c>
      <c r="L36" s="16">
        <v>718</v>
      </c>
      <c r="M36" s="16">
        <v>737</v>
      </c>
      <c r="N36" s="16">
        <v>862</v>
      </c>
      <c r="O36" s="17">
        <v>1124</v>
      </c>
      <c r="P36" s="17">
        <v>1067</v>
      </c>
      <c r="Q36" s="17">
        <v>1233</v>
      </c>
      <c r="R36" s="16">
        <v>1138</v>
      </c>
      <c r="S36" s="17">
        <v>1624</v>
      </c>
      <c r="T36" s="16">
        <v>1262</v>
      </c>
      <c r="U36" s="16">
        <v>1453</v>
      </c>
      <c r="V36" s="16">
        <v>1568</v>
      </c>
      <c r="W36" s="16">
        <v>1539</v>
      </c>
      <c r="X36" s="7">
        <v>3.852232319241411E-2</v>
      </c>
      <c r="Y36" s="8">
        <v>4.1848963287045793E-2</v>
      </c>
      <c r="Z36" s="8">
        <v>7.8510133284644956E-2</v>
      </c>
      <c r="AA36" s="8">
        <v>-1.4389707127137269E-2</v>
      </c>
    </row>
    <row r="37" spans="2:27" x14ac:dyDescent="0.3">
      <c r="B37" s="12" t="s">
        <v>167</v>
      </c>
      <c r="C37" s="3" t="s">
        <v>403</v>
      </c>
      <c r="D37" s="3" t="s">
        <v>423</v>
      </c>
      <c r="E37" s="3" t="s">
        <v>405</v>
      </c>
      <c r="F37" s="5">
        <v>-1.6</v>
      </c>
      <c r="G37" s="16">
        <v>28.09</v>
      </c>
      <c r="H37" s="16">
        <v>32.840000000000003</v>
      </c>
      <c r="I37" s="16">
        <v>80.75</v>
      </c>
      <c r="J37" s="16">
        <v>73.63</v>
      </c>
      <c r="K37" s="16">
        <v>43.66</v>
      </c>
      <c r="L37" s="16">
        <v>49.25</v>
      </c>
      <c r="M37" s="16">
        <v>83.03</v>
      </c>
      <c r="N37" s="16">
        <v>76.3</v>
      </c>
      <c r="O37" s="16">
        <v>44.55</v>
      </c>
      <c r="P37" s="16">
        <v>53.85</v>
      </c>
      <c r="Q37" s="16">
        <v>93.07</v>
      </c>
      <c r="R37" s="16">
        <v>80.62</v>
      </c>
      <c r="S37" s="16">
        <v>48.53</v>
      </c>
      <c r="T37" s="16">
        <v>47.3</v>
      </c>
      <c r="U37" s="16">
        <v>84.85</v>
      </c>
      <c r="V37" s="16">
        <v>73.84</v>
      </c>
      <c r="W37" s="16">
        <v>44.42</v>
      </c>
      <c r="X37" s="7">
        <v>-2.372586662802911E-2</v>
      </c>
      <c r="Y37" s="8">
        <v>-3.049866429207471E-2</v>
      </c>
      <c r="Z37" s="8">
        <v>-2.5947187141217128E-2</v>
      </c>
      <c r="AA37" s="8">
        <v>-1.6148043375766141E-2</v>
      </c>
    </row>
    <row r="38" spans="2:27" x14ac:dyDescent="0.3">
      <c r="B38" s="12" t="s">
        <v>289</v>
      </c>
      <c r="C38" s="3" t="s">
        <v>403</v>
      </c>
      <c r="D38" s="3" t="s">
        <v>427</v>
      </c>
      <c r="E38" s="3" t="s">
        <v>405</v>
      </c>
      <c r="F38" s="5">
        <v>-1.6</v>
      </c>
      <c r="G38" s="16">
        <v>18.670000000000002</v>
      </c>
      <c r="H38" s="16">
        <v>19.149999999999999</v>
      </c>
      <c r="I38" s="16">
        <v>19.57</v>
      </c>
      <c r="J38" s="16">
        <v>18.7</v>
      </c>
      <c r="K38" s="16">
        <v>17.48</v>
      </c>
      <c r="L38" s="16">
        <v>16.43</v>
      </c>
      <c r="M38" s="16">
        <v>17.46</v>
      </c>
      <c r="N38" s="16">
        <v>18.13</v>
      </c>
      <c r="O38" s="16">
        <v>18.22</v>
      </c>
      <c r="P38" s="16">
        <v>18.72</v>
      </c>
      <c r="Q38" s="16">
        <v>20.02</v>
      </c>
      <c r="R38" s="16">
        <v>21.32</v>
      </c>
      <c r="S38" s="16">
        <v>22.78</v>
      </c>
      <c r="T38" s="16">
        <v>21.66</v>
      </c>
      <c r="U38" s="16">
        <v>23.21</v>
      </c>
      <c r="V38" s="16">
        <v>22.83</v>
      </c>
      <c r="W38" s="16">
        <v>21.29</v>
      </c>
      <c r="X38" s="7">
        <v>3.5490101400289742E-2</v>
      </c>
      <c r="Y38" s="8">
        <v>3.7188155747260421E-2</v>
      </c>
      <c r="Z38" s="8">
        <v>1.697201303810281E-2</v>
      </c>
      <c r="AA38" s="8">
        <v>-1.646772767462434E-2</v>
      </c>
    </row>
    <row r="39" spans="2:27" x14ac:dyDescent="0.3">
      <c r="B39" s="12" t="s">
        <v>37</v>
      </c>
      <c r="C39" s="3" t="s">
        <v>403</v>
      </c>
      <c r="D39" s="3" t="s">
        <v>418</v>
      </c>
      <c r="E39" s="3" t="s">
        <v>405</v>
      </c>
      <c r="F39" s="5">
        <v>-1.7</v>
      </c>
      <c r="G39" s="16">
        <v>145.31</v>
      </c>
      <c r="H39" s="16">
        <v>75.45</v>
      </c>
      <c r="I39" s="16">
        <v>96.52</v>
      </c>
      <c r="J39" s="16">
        <v>77.459999999999994</v>
      </c>
      <c r="K39" s="16">
        <v>62.73</v>
      </c>
      <c r="L39" s="16">
        <v>76.66</v>
      </c>
      <c r="M39" s="16">
        <v>76.52</v>
      </c>
      <c r="N39" s="16">
        <v>75.180000000000007</v>
      </c>
      <c r="O39" s="16">
        <v>84.04</v>
      </c>
      <c r="P39" s="16">
        <v>82.78</v>
      </c>
      <c r="Q39" s="16">
        <v>89.89</v>
      </c>
      <c r="R39" s="16">
        <v>83.89</v>
      </c>
      <c r="S39" s="16">
        <v>72.5</v>
      </c>
      <c r="T39" s="16">
        <v>77.3</v>
      </c>
      <c r="U39" s="16">
        <v>85.9</v>
      </c>
      <c r="V39" s="16">
        <v>94.55</v>
      </c>
      <c r="W39" s="16">
        <v>66.819999999999993</v>
      </c>
      <c r="X39" s="7">
        <v>-1.665349784233883E-2</v>
      </c>
      <c r="Y39" s="8">
        <v>-1.233079918412738E-2</v>
      </c>
      <c r="Z39" s="8">
        <v>3.3355236396633181E-2</v>
      </c>
      <c r="AA39" s="8">
        <v>-1.719909159727484E-2</v>
      </c>
    </row>
    <row r="40" spans="2:27" x14ac:dyDescent="0.3">
      <c r="B40" s="12" t="s">
        <v>185</v>
      </c>
      <c r="C40" s="3" t="s">
        <v>403</v>
      </c>
      <c r="D40" s="3" t="s">
        <v>415</v>
      </c>
      <c r="E40" s="3" t="s">
        <v>405</v>
      </c>
      <c r="F40" s="5">
        <v>-2</v>
      </c>
      <c r="G40" s="16">
        <v>20.77</v>
      </c>
      <c r="H40" s="16">
        <v>15.21</v>
      </c>
      <c r="I40" s="16">
        <v>17.989999999999998</v>
      </c>
      <c r="J40" s="16">
        <v>18.420000000000002</v>
      </c>
      <c r="K40" s="16">
        <v>27.81</v>
      </c>
      <c r="L40" s="16">
        <v>18.61</v>
      </c>
      <c r="M40" s="16">
        <v>21.54</v>
      </c>
      <c r="N40" s="16">
        <v>22.84</v>
      </c>
      <c r="O40" s="16">
        <v>31.08</v>
      </c>
      <c r="P40" s="16">
        <v>23.65</v>
      </c>
      <c r="Q40" s="16">
        <v>26.18</v>
      </c>
      <c r="R40" s="16">
        <v>25.95</v>
      </c>
      <c r="S40" s="17">
        <v>43.68</v>
      </c>
      <c r="T40" s="16">
        <v>30.51</v>
      </c>
      <c r="U40" s="16">
        <v>32.89</v>
      </c>
      <c r="V40" s="16">
        <v>34.44</v>
      </c>
      <c r="W40" s="16">
        <v>40.78</v>
      </c>
      <c r="X40" s="7">
        <v>5.7425079524527023E-2</v>
      </c>
      <c r="Y40" s="8">
        <v>5.3119062697910113E-2</v>
      </c>
      <c r="Z40" s="8">
        <v>6.3820190934375853E-2</v>
      </c>
      <c r="AA40" s="8">
        <v>-2.0491803278688599E-2</v>
      </c>
    </row>
    <row r="41" spans="2:27" x14ac:dyDescent="0.3">
      <c r="B41" s="12" t="s">
        <v>97</v>
      </c>
      <c r="C41" s="3" t="s">
        <v>403</v>
      </c>
      <c r="D41" s="3" t="s">
        <v>432</v>
      </c>
      <c r="E41" s="3" t="s">
        <v>405</v>
      </c>
      <c r="F41" s="5">
        <v>-2.5</v>
      </c>
      <c r="G41" s="16">
        <v>38.79</v>
      </c>
      <c r="H41" s="16">
        <v>1.03</v>
      </c>
      <c r="I41" s="16">
        <v>32.380000000000003</v>
      </c>
      <c r="J41" s="16">
        <v>79.19</v>
      </c>
      <c r="K41" s="17">
        <v>62.71</v>
      </c>
      <c r="L41" s="17">
        <v>21.72</v>
      </c>
      <c r="M41" s="17">
        <v>71.69</v>
      </c>
      <c r="N41" s="16">
        <v>89.49</v>
      </c>
      <c r="O41" s="16">
        <v>75.849999999999994</v>
      </c>
      <c r="P41" s="16">
        <v>44.79</v>
      </c>
      <c r="Q41" s="16">
        <v>86.59</v>
      </c>
      <c r="R41" s="16">
        <v>100.46</v>
      </c>
      <c r="S41" s="16">
        <v>88.06</v>
      </c>
      <c r="T41" s="16">
        <v>71.16</v>
      </c>
      <c r="U41" s="17">
        <v>127.19</v>
      </c>
      <c r="V41" s="16">
        <v>138.02000000000001</v>
      </c>
      <c r="W41" s="16">
        <v>77.599999999999994</v>
      </c>
      <c r="X41" s="7">
        <v>8.2432010003125944E-2</v>
      </c>
      <c r="Y41" s="9">
        <v>0.11724954515262651</v>
      </c>
      <c r="Z41" s="8">
        <v>9.7086876728616822E-2</v>
      </c>
      <c r="AA41" s="8">
        <v>-2.464481775557803E-2</v>
      </c>
    </row>
    <row r="42" spans="2:27" x14ac:dyDescent="0.3">
      <c r="B42" s="12" t="s">
        <v>211</v>
      </c>
      <c r="C42" s="3" t="s">
        <v>403</v>
      </c>
      <c r="D42" s="3" t="s">
        <v>426</v>
      </c>
      <c r="E42" s="3" t="s">
        <v>405</v>
      </c>
      <c r="F42" s="5">
        <v>-2.5</v>
      </c>
      <c r="G42" s="16"/>
      <c r="H42" s="16"/>
      <c r="I42" s="16"/>
      <c r="J42" s="16"/>
      <c r="K42" s="16">
        <v>20.88</v>
      </c>
      <c r="L42" s="16">
        <v>25.39</v>
      </c>
      <c r="M42" s="16">
        <v>28.29</v>
      </c>
      <c r="N42" s="16">
        <v>24.91</v>
      </c>
      <c r="O42" s="16">
        <v>23.68</v>
      </c>
      <c r="P42" s="16">
        <v>22.96</v>
      </c>
      <c r="Q42" s="16">
        <v>20.82</v>
      </c>
      <c r="R42" s="16">
        <v>6.91</v>
      </c>
      <c r="S42" s="17">
        <v>34.549999999999997</v>
      </c>
      <c r="T42" s="16">
        <v>29.21</v>
      </c>
      <c r="U42" s="16">
        <v>27.91</v>
      </c>
      <c r="V42" s="17">
        <v>25.01</v>
      </c>
      <c r="W42" s="16">
        <v>31.62</v>
      </c>
      <c r="X42" s="7">
        <v>7.332238385734402E-2</v>
      </c>
      <c r="Y42" s="8">
        <v>7.7494808175756935E-2</v>
      </c>
      <c r="Z42" s="9">
        <v>0.18360722256035711</v>
      </c>
      <c r="AA42" s="8">
        <v>-2.5111415838189991E-2</v>
      </c>
    </row>
    <row r="43" spans="2:27" x14ac:dyDescent="0.3">
      <c r="B43" s="12" t="s">
        <v>178</v>
      </c>
      <c r="C43" s="3" t="s">
        <v>403</v>
      </c>
      <c r="D43" s="3" t="s">
        <v>434</v>
      </c>
      <c r="E43" s="3" t="s">
        <v>405</v>
      </c>
      <c r="F43" s="5">
        <v>-3.1</v>
      </c>
      <c r="G43" s="16">
        <v>38.08</v>
      </c>
      <c r="H43" s="16">
        <v>34.76</v>
      </c>
      <c r="I43" s="16">
        <v>37.32</v>
      </c>
      <c r="J43" s="16">
        <v>45.75</v>
      </c>
      <c r="K43" s="16">
        <v>44.24</v>
      </c>
      <c r="L43" s="17">
        <v>53.35</v>
      </c>
      <c r="M43" s="17">
        <v>57.84</v>
      </c>
      <c r="N43" s="16">
        <v>61.08</v>
      </c>
      <c r="O43" s="16">
        <v>45.69</v>
      </c>
      <c r="P43" s="16">
        <v>56.92</v>
      </c>
      <c r="Q43" s="16">
        <v>58.54</v>
      </c>
      <c r="R43" s="16">
        <v>54.24</v>
      </c>
      <c r="S43" s="16">
        <v>31.26</v>
      </c>
      <c r="T43" s="16">
        <v>41.78</v>
      </c>
      <c r="U43" s="16">
        <v>51.5</v>
      </c>
      <c r="V43" s="16">
        <v>54.56</v>
      </c>
      <c r="W43" s="16">
        <v>25.79</v>
      </c>
      <c r="X43" s="7">
        <v>-7.5338375796178414E-2</v>
      </c>
      <c r="Y43" s="8">
        <v>-3.788612635884181E-2</v>
      </c>
      <c r="Z43" s="8">
        <v>1.7899093858373401E-3</v>
      </c>
      <c r="AA43" s="8">
        <v>-3.0541596873255191E-2</v>
      </c>
    </row>
    <row r="44" spans="2:27" x14ac:dyDescent="0.3">
      <c r="B44" s="12" t="s">
        <v>11</v>
      </c>
      <c r="C44" s="3" t="s">
        <v>403</v>
      </c>
      <c r="D44" s="3" t="s">
        <v>420</v>
      </c>
      <c r="E44" s="3" t="s">
        <v>405</v>
      </c>
      <c r="F44" s="5">
        <v>-5.2</v>
      </c>
      <c r="G44" s="16">
        <v>811</v>
      </c>
      <c r="H44" s="16">
        <v>1179</v>
      </c>
      <c r="I44" s="16">
        <v>401</v>
      </c>
      <c r="J44" s="16">
        <v>1141</v>
      </c>
      <c r="K44" s="16">
        <v>0</v>
      </c>
      <c r="L44" s="16">
        <v>1313</v>
      </c>
      <c r="M44" s="16">
        <v>610</v>
      </c>
      <c r="N44" s="16">
        <v>1168</v>
      </c>
      <c r="O44" s="17">
        <v>680</v>
      </c>
      <c r="P44" s="16">
        <v>876</v>
      </c>
      <c r="Q44" s="16">
        <v>872</v>
      </c>
      <c r="R44" s="16">
        <v>1431</v>
      </c>
      <c r="S44" s="17">
        <v>1181</v>
      </c>
      <c r="T44" s="17">
        <v>1362</v>
      </c>
      <c r="U44" s="16">
        <v>1238</v>
      </c>
      <c r="V44" s="16">
        <v>1562</v>
      </c>
      <c r="W44" s="16">
        <v>902</v>
      </c>
      <c r="X44" s="10">
        <v>0.1114678899082568</v>
      </c>
      <c r="Y44" s="8">
        <v>7.5526207181180416E-2</v>
      </c>
      <c r="Z44" s="8">
        <v>2.513430544896389E-2</v>
      </c>
      <c r="AA44" s="8">
        <v>-5.2217855137563163E-2</v>
      </c>
    </row>
    <row r="45" spans="2:27" x14ac:dyDescent="0.3">
      <c r="B45" s="12" t="s">
        <v>114</v>
      </c>
      <c r="C45" s="3" t="s">
        <v>403</v>
      </c>
      <c r="D45" s="3" t="s">
        <v>441</v>
      </c>
      <c r="E45" s="3" t="s">
        <v>405</v>
      </c>
      <c r="F45" s="5">
        <v>-7.5</v>
      </c>
      <c r="G45" s="16">
        <v>195.01</v>
      </c>
      <c r="H45" s="16">
        <v>259.02999999999997</v>
      </c>
      <c r="I45" s="16">
        <v>285.57</v>
      </c>
      <c r="J45" s="16">
        <v>237.04</v>
      </c>
      <c r="K45" s="16">
        <v>168.55</v>
      </c>
      <c r="L45" s="16">
        <v>161.71</v>
      </c>
      <c r="M45" s="16">
        <v>193.5</v>
      </c>
      <c r="N45" s="16">
        <v>167.33</v>
      </c>
      <c r="O45" s="16">
        <v>123.74</v>
      </c>
      <c r="P45" s="16">
        <v>133.59</v>
      </c>
      <c r="Q45" s="16">
        <v>161.26</v>
      </c>
      <c r="R45" s="16">
        <v>119.47</v>
      </c>
      <c r="S45" s="16">
        <v>85.62</v>
      </c>
      <c r="T45" s="16">
        <v>92.18</v>
      </c>
      <c r="U45" s="16">
        <v>126.92</v>
      </c>
      <c r="V45" s="16">
        <v>91.93</v>
      </c>
      <c r="W45" s="16">
        <v>56</v>
      </c>
      <c r="X45" s="7">
        <v>-8.2829939592751201E-2</v>
      </c>
      <c r="Y45" s="8">
        <v>-7.489150110134557E-2</v>
      </c>
      <c r="Z45" s="8">
        <v>-6.4923737004644044E-2</v>
      </c>
      <c r="AA45" s="8">
        <v>-7.4675406529686073E-2</v>
      </c>
    </row>
    <row r="46" spans="2:27" x14ac:dyDescent="0.3">
      <c r="B46" s="12" t="s">
        <v>270</v>
      </c>
      <c r="C46" s="3" t="s">
        <v>403</v>
      </c>
      <c r="D46" s="3" t="s">
        <v>434</v>
      </c>
      <c r="E46" s="3" t="s">
        <v>405</v>
      </c>
      <c r="F46" s="5">
        <v>-7.6</v>
      </c>
      <c r="G46" s="16">
        <v>22.54</v>
      </c>
      <c r="H46" s="16">
        <v>63.79</v>
      </c>
      <c r="I46" s="16">
        <v>79.09</v>
      </c>
      <c r="J46" s="16">
        <v>55.15</v>
      </c>
      <c r="K46" s="16">
        <v>11.29</v>
      </c>
      <c r="L46" s="16">
        <v>21.55</v>
      </c>
      <c r="M46" s="16">
        <v>18.18</v>
      </c>
      <c r="N46" s="16">
        <v>25.47</v>
      </c>
      <c r="O46" s="16">
        <v>7.45</v>
      </c>
      <c r="P46" s="16">
        <v>20.58</v>
      </c>
      <c r="Q46" s="16">
        <v>19.079999999999998</v>
      </c>
      <c r="R46" s="16">
        <v>24.36</v>
      </c>
      <c r="S46" s="16">
        <v>7.07</v>
      </c>
      <c r="T46" s="17">
        <v>28.54</v>
      </c>
      <c r="U46" s="16">
        <v>18.22</v>
      </c>
      <c r="V46" s="16">
        <v>22.05</v>
      </c>
      <c r="W46" s="16">
        <v>1.3</v>
      </c>
      <c r="X46" s="10">
        <v>0.1119707413138276</v>
      </c>
      <c r="Y46" s="8">
        <v>-1.087919038583174E-2</v>
      </c>
      <c r="Z46" s="8">
        <v>-2.954341987466436E-2</v>
      </c>
      <c r="AA46" s="8">
        <v>-7.6041117554032644E-2</v>
      </c>
    </row>
    <row r="47" spans="2:27" x14ac:dyDescent="0.3">
      <c r="B47" s="12" t="s">
        <v>234</v>
      </c>
      <c r="C47" s="3" t="s">
        <v>403</v>
      </c>
      <c r="D47" s="3" t="s">
        <v>430</v>
      </c>
      <c r="E47" s="3" t="s">
        <v>405</v>
      </c>
      <c r="F47" s="5">
        <v>-7.7</v>
      </c>
      <c r="G47" s="16">
        <v>38.46</v>
      </c>
      <c r="H47" s="16">
        <v>39.880000000000003</v>
      </c>
      <c r="I47" s="16">
        <v>44.14</v>
      </c>
      <c r="J47" s="16">
        <v>41.36</v>
      </c>
      <c r="K47" s="16">
        <v>43.65</v>
      </c>
      <c r="L47" s="16">
        <v>43.36</v>
      </c>
      <c r="M47" s="16">
        <v>43.42</v>
      </c>
      <c r="N47" s="16">
        <v>43.85</v>
      </c>
      <c r="O47" s="16">
        <v>46.44</v>
      </c>
      <c r="P47" s="16">
        <v>42.03</v>
      </c>
      <c r="Q47" s="16">
        <v>45.8</v>
      </c>
      <c r="R47" s="16">
        <v>41.96</v>
      </c>
      <c r="S47" s="16">
        <v>42.8</v>
      </c>
      <c r="T47" s="16">
        <v>37.49</v>
      </c>
      <c r="U47" s="16">
        <v>28.9</v>
      </c>
      <c r="V47" s="16">
        <v>29.41</v>
      </c>
      <c r="W47" s="16">
        <v>32.17</v>
      </c>
      <c r="X47" s="7">
        <v>-2.6305116171272961E-2</v>
      </c>
      <c r="Y47" s="8">
        <v>-0.10056530794406431</v>
      </c>
      <c r="Z47" s="8">
        <v>-8.3030102547138718E-2</v>
      </c>
      <c r="AA47" s="8">
        <v>-7.6695526695526706E-2</v>
      </c>
    </row>
    <row r="48" spans="2:27" x14ac:dyDescent="0.3">
      <c r="B48" s="12" t="s">
        <v>343</v>
      </c>
      <c r="C48" s="3" t="s">
        <v>403</v>
      </c>
      <c r="D48" s="3" t="s">
        <v>431</v>
      </c>
      <c r="E48" s="3" t="s">
        <v>405</v>
      </c>
      <c r="F48" s="5">
        <v>-10.199999999999999</v>
      </c>
      <c r="G48" s="16">
        <v>-0.26</v>
      </c>
      <c r="H48" s="16">
        <v>4.04</v>
      </c>
      <c r="I48" s="16">
        <v>2.95</v>
      </c>
      <c r="J48" s="16">
        <v>2.38</v>
      </c>
      <c r="K48" s="17">
        <v>3.28</v>
      </c>
      <c r="L48" s="16">
        <v>2.89</v>
      </c>
      <c r="M48" s="16">
        <v>4.01</v>
      </c>
      <c r="N48" s="17">
        <v>4.8600000000000003</v>
      </c>
      <c r="O48" s="16">
        <v>4.25</v>
      </c>
      <c r="P48" s="17">
        <v>5.69</v>
      </c>
      <c r="Q48" s="16">
        <v>4.41</v>
      </c>
      <c r="R48" s="16">
        <v>6.5</v>
      </c>
      <c r="S48" s="16">
        <v>4.6900000000000004</v>
      </c>
      <c r="T48" s="16">
        <v>4.38</v>
      </c>
      <c r="U48" s="16">
        <v>5.89</v>
      </c>
      <c r="V48" s="16">
        <v>7.57</v>
      </c>
      <c r="W48" s="16">
        <v>2.4</v>
      </c>
      <c r="X48" s="7">
        <v>-6.1531235321747202E-2</v>
      </c>
      <c r="Y48" s="8">
        <v>7.4074074074074181E-2</v>
      </c>
      <c r="Z48" s="8">
        <v>4.9860205032618898E-2</v>
      </c>
      <c r="AA48" s="8">
        <v>-0.101642254771416</v>
      </c>
    </row>
    <row r="49" spans="2:27" x14ac:dyDescent="0.3">
      <c r="B49" s="12" t="s">
        <v>31</v>
      </c>
      <c r="C49" s="3" t="s">
        <v>403</v>
      </c>
      <c r="D49" s="3" t="s">
        <v>422</v>
      </c>
      <c r="E49" s="3" t="s">
        <v>405</v>
      </c>
      <c r="F49" s="5">
        <v>-12</v>
      </c>
      <c r="G49" s="16">
        <v>-13.93</v>
      </c>
      <c r="H49" s="16">
        <v>-16.87</v>
      </c>
      <c r="I49" s="16">
        <v>-17.88</v>
      </c>
      <c r="J49" s="16">
        <v>-13.57</v>
      </c>
      <c r="K49" s="16">
        <v>-11.29</v>
      </c>
      <c r="L49" s="16">
        <v>-11.29</v>
      </c>
      <c r="M49" s="16">
        <v>-11.96</v>
      </c>
      <c r="N49" s="16">
        <v>-11.17</v>
      </c>
      <c r="O49" s="16">
        <v>-12.51</v>
      </c>
      <c r="P49" s="16">
        <v>-12.04</v>
      </c>
      <c r="Q49" s="16">
        <v>-10.08</v>
      </c>
      <c r="R49" s="16">
        <v>-7.63</v>
      </c>
      <c r="S49" s="16">
        <v>-5.49</v>
      </c>
      <c r="T49" s="16">
        <v>-7.48</v>
      </c>
      <c r="U49" s="16">
        <v>-7</v>
      </c>
      <c r="V49" s="16">
        <v>-5.38</v>
      </c>
      <c r="W49" s="16">
        <v>-2.46</v>
      </c>
      <c r="X49" s="7">
        <v>-0.12939841089670831</v>
      </c>
      <c r="Y49" s="8">
        <v>-0.1003911342894394</v>
      </c>
      <c r="Z49" s="8">
        <v>-8.1521739130434812E-2</v>
      </c>
      <c r="AA49" s="8">
        <v>-0.11952662721893489</v>
      </c>
    </row>
    <row r="50" spans="2:27" x14ac:dyDescent="0.3">
      <c r="B50" s="12" t="s">
        <v>31</v>
      </c>
      <c r="C50" s="3" t="s">
        <v>403</v>
      </c>
      <c r="D50" s="3" t="s">
        <v>422</v>
      </c>
      <c r="E50" s="3" t="s">
        <v>405</v>
      </c>
      <c r="F50" s="5">
        <v>-12</v>
      </c>
      <c r="G50" s="16">
        <v>-13.93</v>
      </c>
      <c r="H50" s="16">
        <v>-16.87</v>
      </c>
      <c r="I50" s="16">
        <v>-17.88</v>
      </c>
      <c r="J50" s="16">
        <v>-13.57</v>
      </c>
      <c r="K50" s="16">
        <v>-11.29</v>
      </c>
      <c r="L50" s="16">
        <v>-11.29</v>
      </c>
      <c r="M50" s="16">
        <v>-11.96</v>
      </c>
      <c r="N50" s="16">
        <v>-11.17</v>
      </c>
      <c r="O50" s="16">
        <v>-12.51</v>
      </c>
      <c r="P50" s="16">
        <v>-12.04</v>
      </c>
      <c r="Q50" s="16">
        <v>-10.08</v>
      </c>
      <c r="R50" s="16">
        <v>-7.63</v>
      </c>
      <c r="S50" s="16">
        <v>-5.49</v>
      </c>
      <c r="T50" s="16">
        <v>-7.48</v>
      </c>
      <c r="U50" s="16">
        <v>-7</v>
      </c>
      <c r="V50" s="16">
        <v>-5.38</v>
      </c>
      <c r="W50" s="16">
        <v>-2.46</v>
      </c>
      <c r="X50" s="7">
        <v>-0.12939841089670831</v>
      </c>
      <c r="Y50" s="8">
        <v>-0.1003911342894394</v>
      </c>
      <c r="Z50" s="8">
        <v>-8.1521739130434812E-2</v>
      </c>
      <c r="AA50" s="8">
        <v>-0.11952662721893489</v>
      </c>
    </row>
    <row r="51" spans="2:27" x14ac:dyDescent="0.3">
      <c r="B51" s="12" t="s">
        <v>279</v>
      </c>
      <c r="C51" s="3" t="s">
        <v>403</v>
      </c>
      <c r="D51" s="3" t="s">
        <v>404</v>
      </c>
      <c r="E51" s="3" t="s">
        <v>405</v>
      </c>
      <c r="F51" s="5">
        <v>-12.9</v>
      </c>
      <c r="G51" s="16">
        <v>611.15</v>
      </c>
      <c r="H51" s="16">
        <v>1014</v>
      </c>
      <c r="I51" s="16">
        <v>-225.22</v>
      </c>
      <c r="J51" s="16">
        <v>194.96</v>
      </c>
      <c r="K51" s="16">
        <v>-150.5</v>
      </c>
      <c r="L51" s="16">
        <v>-143.37</v>
      </c>
      <c r="M51" s="16">
        <v>-209.82</v>
      </c>
      <c r="N51" s="17">
        <v>-183.36</v>
      </c>
      <c r="O51" s="16">
        <v>-130.80000000000001</v>
      </c>
      <c r="P51" s="16">
        <v>-78.48</v>
      </c>
      <c r="Q51" s="16">
        <v>-132.36000000000001</v>
      </c>
      <c r="R51" s="16">
        <v>-218.59</v>
      </c>
      <c r="S51" s="16">
        <v>-131.82</v>
      </c>
      <c r="T51" s="17">
        <v>-138.53</v>
      </c>
      <c r="U51" s="16">
        <v>-118.59</v>
      </c>
      <c r="V51" s="16">
        <v>-173.44</v>
      </c>
      <c r="W51" s="16">
        <v>-59.49</v>
      </c>
      <c r="X51" s="10">
        <v>0.1069933184855234</v>
      </c>
      <c r="Y51" s="8">
        <v>-2.216320618058909E-2</v>
      </c>
      <c r="Z51" s="8">
        <v>-7.4317317663325277E-2</v>
      </c>
      <c r="AA51" s="8">
        <v>-0.12861410434225959</v>
      </c>
    </row>
    <row r="52" spans="2:27" x14ac:dyDescent="0.3">
      <c r="B52" s="12" t="s">
        <v>78</v>
      </c>
      <c r="C52" s="3" t="s">
        <v>403</v>
      </c>
      <c r="D52" s="3" t="s">
        <v>404</v>
      </c>
      <c r="E52" s="3" t="s">
        <v>405</v>
      </c>
      <c r="F52" s="5">
        <v>-13.1</v>
      </c>
      <c r="G52" s="16">
        <v>-32.61</v>
      </c>
      <c r="H52" s="16">
        <v>-38.29</v>
      </c>
      <c r="I52" s="16">
        <v>-40.04</v>
      </c>
      <c r="J52" s="16">
        <v>-42.45</v>
      </c>
      <c r="K52" s="17">
        <v>-54.62</v>
      </c>
      <c r="L52" s="16">
        <v>-6.54</v>
      </c>
      <c r="M52" s="17">
        <v>-59</v>
      </c>
      <c r="N52" s="17">
        <v>-62.3</v>
      </c>
      <c r="O52" s="16">
        <v>-55.07</v>
      </c>
      <c r="P52" s="17">
        <v>-68.69</v>
      </c>
      <c r="Q52" s="16">
        <v>-75.89</v>
      </c>
      <c r="R52" s="16">
        <v>-46.23</v>
      </c>
      <c r="S52" s="16">
        <v>-61.63</v>
      </c>
      <c r="T52" s="16">
        <v>-55.47</v>
      </c>
      <c r="U52" s="16">
        <v>-44.82</v>
      </c>
      <c r="V52" s="16">
        <v>-32.92</v>
      </c>
      <c r="W52" s="16">
        <v>-36.03</v>
      </c>
      <c r="X52" s="7">
        <v>-5.2368879733798113E-2</v>
      </c>
      <c r="Y52" s="8">
        <v>-0.1298804447788646</v>
      </c>
      <c r="Z52" s="8">
        <v>-6.3944270958443461E-2</v>
      </c>
      <c r="AA52" s="8">
        <v>-0.13138985834530889</v>
      </c>
    </row>
    <row r="53" spans="2:27" x14ac:dyDescent="0.3">
      <c r="B53" s="12" t="s">
        <v>74</v>
      </c>
      <c r="C53" s="3" t="s">
        <v>403</v>
      </c>
      <c r="D53" s="3" t="s">
        <v>413</v>
      </c>
      <c r="E53" s="3" t="s">
        <v>405</v>
      </c>
      <c r="F53" s="5">
        <v>-13.8</v>
      </c>
      <c r="G53" s="16">
        <v>-13.34</v>
      </c>
      <c r="H53" s="16">
        <v>-16.920000000000002</v>
      </c>
      <c r="I53" s="16">
        <v>-20.190000000000001</v>
      </c>
      <c r="J53" s="16">
        <v>-18.86</v>
      </c>
      <c r="K53" s="16">
        <v>-10.41</v>
      </c>
      <c r="L53" s="16">
        <v>-10.83</v>
      </c>
      <c r="M53" s="16">
        <v>-9.24</v>
      </c>
      <c r="N53" s="16">
        <v>-8.5500000000000007</v>
      </c>
      <c r="O53" s="16">
        <v>2.62</v>
      </c>
      <c r="P53" s="16">
        <v>9.98</v>
      </c>
      <c r="Q53" s="16">
        <v>11.07</v>
      </c>
      <c r="R53" s="17">
        <v>22.37</v>
      </c>
      <c r="S53" s="17">
        <v>17.2</v>
      </c>
      <c r="T53" s="17">
        <v>59.3</v>
      </c>
      <c r="U53" s="17">
        <v>26.72</v>
      </c>
      <c r="V53" s="16">
        <v>11.81</v>
      </c>
      <c r="W53" s="16">
        <v>1.29</v>
      </c>
      <c r="X53" s="10">
        <v>0.81359287363906274</v>
      </c>
      <c r="Y53" s="9">
        <v>0.14235037293068939</v>
      </c>
      <c r="Z53" s="8">
        <v>-8.408312763755077E-2</v>
      </c>
      <c r="AA53" s="8">
        <v>-0.13831174476223609</v>
      </c>
    </row>
    <row r="54" spans="2:27" x14ac:dyDescent="0.3">
      <c r="B54" s="12" t="s">
        <v>142</v>
      </c>
      <c r="C54" s="3" t="s">
        <v>403</v>
      </c>
      <c r="D54" s="3" t="s">
        <v>439</v>
      </c>
      <c r="E54" s="3" t="s">
        <v>405</v>
      </c>
      <c r="F54" s="5">
        <v>-17.600000000000001</v>
      </c>
      <c r="G54" s="16">
        <v>500</v>
      </c>
      <c r="H54" s="16">
        <v>406</v>
      </c>
      <c r="I54" s="16">
        <v>286</v>
      </c>
      <c r="J54" s="16">
        <v>252</v>
      </c>
      <c r="K54" s="16">
        <v>562</v>
      </c>
      <c r="L54" s="16">
        <v>251</v>
      </c>
      <c r="M54" s="16">
        <v>0</v>
      </c>
      <c r="N54" s="16">
        <v>120</v>
      </c>
      <c r="O54" s="16">
        <v>-172</v>
      </c>
      <c r="P54" s="16">
        <v>266</v>
      </c>
      <c r="Q54" s="17">
        <v>156</v>
      </c>
      <c r="R54" s="17">
        <v>189</v>
      </c>
      <c r="S54" s="17">
        <v>127</v>
      </c>
      <c r="T54" s="16">
        <v>152</v>
      </c>
      <c r="U54" s="16">
        <v>0</v>
      </c>
      <c r="V54" s="16">
        <v>192</v>
      </c>
      <c r="W54" s="16">
        <v>44</v>
      </c>
      <c r="X54" s="7">
        <v>-0.15447154471544711</v>
      </c>
      <c r="Y54" s="8">
        <v>-0.25</v>
      </c>
      <c r="Z54" s="8">
        <v>6.4102564102563866E-3</v>
      </c>
      <c r="AA54" s="8">
        <v>-0.17622080679405519</v>
      </c>
    </row>
    <row r="55" spans="2:27" x14ac:dyDescent="0.3">
      <c r="B55" s="12" t="s">
        <v>341</v>
      </c>
      <c r="C55" s="3" t="s">
        <v>403</v>
      </c>
      <c r="D55" s="3" t="s">
        <v>437</v>
      </c>
      <c r="E55" s="3" t="s">
        <v>438</v>
      </c>
      <c r="F55" s="5">
        <v>-17.899999999999999</v>
      </c>
      <c r="G55" s="16">
        <v>116</v>
      </c>
      <c r="H55" s="16">
        <v>384</v>
      </c>
      <c r="I55" s="16">
        <v>441</v>
      </c>
      <c r="J55" s="16">
        <v>445</v>
      </c>
      <c r="K55" s="17">
        <v>311</v>
      </c>
      <c r="L55" s="16">
        <v>330</v>
      </c>
      <c r="M55" s="16">
        <v>543</v>
      </c>
      <c r="N55" s="16">
        <v>379</v>
      </c>
      <c r="O55" s="16">
        <v>365</v>
      </c>
      <c r="P55" s="16">
        <v>363</v>
      </c>
      <c r="Q55" s="16">
        <v>366</v>
      </c>
      <c r="R55" s="16">
        <v>435</v>
      </c>
      <c r="S55" s="16">
        <v>388</v>
      </c>
      <c r="T55" s="16">
        <v>399</v>
      </c>
      <c r="U55" s="16">
        <v>271</v>
      </c>
      <c r="V55" s="16">
        <v>200</v>
      </c>
      <c r="W55" s="16">
        <v>163</v>
      </c>
      <c r="X55" s="7">
        <v>2.3195876288659711E-2</v>
      </c>
      <c r="Y55" s="8">
        <v>-5.9823677581864021E-2</v>
      </c>
      <c r="Z55" s="8">
        <v>-0.15740120562625581</v>
      </c>
      <c r="AA55" s="8">
        <v>-0.1788553259141494</v>
      </c>
    </row>
    <row r="56" spans="2:27" x14ac:dyDescent="0.3">
      <c r="B56" s="12" t="s">
        <v>154</v>
      </c>
      <c r="C56" s="3" t="s">
        <v>403</v>
      </c>
      <c r="D56" s="3" t="s">
        <v>404</v>
      </c>
      <c r="E56" s="3" t="s">
        <v>405</v>
      </c>
      <c r="F56" s="5">
        <v>-18.8</v>
      </c>
      <c r="G56" s="16">
        <v>-14.45</v>
      </c>
      <c r="H56" s="16">
        <v>-19.52</v>
      </c>
      <c r="I56" s="16">
        <v>-5.22</v>
      </c>
      <c r="J56" s="16">
        <v>-22.91</v>
      </c>
      <c r="K56" s="16">
        <v>-15.06</v>
      </c>
      <c r="L56" s="16">
        <v>-24.95</v>
      </c>
      <c r="M56" s="17">
        <v>-32.82</v>
      </c>
      <c r="N56" s="17">
        <v>-40.94</v>
      </c>
      <c r="O56" s="17">
        <v>-44.45</v>
      </c>
      <c r="P56" s="16">
        <v>-37.68</v>
      </c>
      <c r="Q56" s="16">
        <v>-33.299999999999997</v>
      </c>
      <c r="R56" s="16">
        <v>-25.16</v>
      </c>
      <c r="S56" s="16">
        <v>-24.42</v>
      </c>
      <c r="T56" s="16">
        <v>-26.28</v>
      </c>
      <c r="U56" s="16">
        <v>-22.18</v>
      </c>
      <c r="V56" s="16">
        <v>-14.53</v>
      </c>
      <c r="W56" s="16">
        <v>-7.98</v>
      </c>
      <c r="X56" s="7">
        <v>-9.4558725945587341E-2</v>
      </c>
      <c r="Y56" s="8">
        <v>-0.1018688164162697</v>
      </c>
      <c r="Z56" s="8">
        <v>-0.10842513259893929</v>
      </c>
      <c r="AA56" s="8">
        <v>-0.18807916714334741</v>
      </c>
    </row>
    <row r="57" spans="2:27" x14ac:dyDescent="0.3">
      <c r="B57" s="12" t="s">
        <v>252</v>
      </c>
      <c r="C57" s="3" t="s">
        <v>403</v>
      </c>
      <c r="D57" s="3" t="s">
        <v>442</v>
      </c>
      <c r="E57" s="3" t="s">
        <v>405</v>
      </c>
      <c r="F57" s="5">
        <v>-25.6</v>
      </c>
      <c r="G57" s="16">
        <v>72.8</v>
      </c>
      <c r="H57" s="16">
        <v>45.7</v>
      </c>
      <c r="I57" s="16">
        <v>51.1</v>
      </c>
      <c r="J57" s="16">
        <v>57.1</v>
      </c>
      <c r="K57" s="16">
        <v>43.8</v>
      </c>
      <c r="L57" s="16">
        <v>12.4</v>
      </c>
      <c r="M57" s="16">
        <v>12.6</v>
      </c>
      <c r="N57" s="16">
        <v>5.7</v>
      </c>
      <c r="O57" s="16">
        <v>9.1999999999999993</v>
      </c>
      <c r="P57" s="17">
        <v>17.3</v>
      </c>
      <c r="Q57" s="17">
        <v>22.9</v>
      </c>
      <c r="R57" s="17">
        <v>25.2</v>
      </c>
      <c r="S57" s="17">
        <v>25.9</v>
      </c>
      <c r="T57" s="16">
        <v>12.9</v>
      </c>
      <c r="U57" s="16">
        <v>9.3000000000000007</v>
      </c>
      <c r="V57" s="16">
        <v>10.6</v>
      </c>
      <c r="W57" s="16">
        <v>10.9</v>
      </c>
      <c r="X57" s="7">
        <v>-4.8192771084337387E-2</v>
      </c>
      <c r="Y57" s="8">
        <v>-0.15650172612197921</v>
      </c>
      <c r="Z57" s="8">
        <v>-0.19918144611186889</v>
      </c>
      <c r="AA57" s="8">
        <v>-0.25553662691652468</v>
      </c>
    </row>
    <row r="58" spans="2:27" x14ac:dyDescent="0.3">
      <c r="B58" s="12" t="s">
        <v>169</v>
      </c>
      <c r="C58" s="3" t="s">
        <v>403</v>
      </c>
      <c r="D58" s="3" t="s">
        <v>441</v>
      </c>
      <c r="E58" s="3" t="s">
        <v>405</v>
      </c>
      <c r="F58" s="5">
        <v>-29.5</v>
      </c>
      <c r="G58" s="16">
        <v>227.36</v>
      </c>
      <c r="H58" s="16">
        <v>402.97</v>
      </c>
      <c r="I58" s="16">
        <v>297.02999999999997</v>
      </c>
      <c r="J58" s="16">
        <v>299.33</v>
      </c>
      <c r="K58" s="16">
        <v>157.04</v>
      </c>
      <c r="L58" s="16">
        <v>127.56</v>
      </c>
      <c r="M58" s="16">
        <v>189.93</v>
      </c>
      <c r="N58" s="16">
        <v>185.59</v>
      </c>
      <c r="O58" s="16">
        <v>132.44</v>
      </c>
      <c r="P58" s="16">
        <v>132.94999999999999</v>
      </c>
      <c r="Q58" s="16">
        <v>146.94</v>
      </c>
      <c r="R58" s="16">
        <v>117.32</v>
      </c>
      <c r="S58" s="16">
        <v>92.68</v>
      </c>
      <c r="T58" s="16">
        <v>54.49</v>
      </c>
      <c r="U58" s="16">
        <v>80.5</v>
      </c>
      <c r="V58" s="16">
        <v>32.299999999999997</v>
      </c>
      <c r="W58" s="16">
        <v>15.92</v>
      </c>
      <c r="X58" s="7">
        <v>-0.16015840290677499</v>
      </c>
      <c r="Y58" s="8">
        <v>-0.1614855503973944</v>
      </c>
      <c r="Z58" s="8">
        <v>-0.24644192585292321</v>
      </c>
      <c r="AA58" s="8">
        <v>-0.29526483825056737</v>
      </c>
    </row>
    <row r="59" spans="2:27" x14ac:dyDescent="0.3">
      <c r="B59" s="12" t="s">
        <v>66</v>
      </c>
      <c r="C59" s="3" t="s">
        <v>403</v>
      </c>
      <c r="D59" s="3" t="s">
        <v>404</v>
      </c>
      <c r="E59" s="3" t="s">
        <v>405</v>
      </c>
      <c r="F59" s="5">
        <v>-34.5</v>
      </c>
      <c r="G59" s="16">
        <v>-64.11</v>
      </c>
      <c r="H59" s="16">
        <v>31.32</v>
      </c>
      <c r="I59" s="16">
        <v>40.049999999999997</v>
      </c>
      <c r="J59" s="16">
        <v>-1.52</v>
      </c>
      <c r="K59" s="17">
        <v>-0.9</v>
      </c>
      <c r="L59" s="17">
        <v>62.4</v>
      </c>
      <c r="M59" s="17">
        <v>65.569999999999993</v>
      </c>
      <c r="N59" s="17">
        <v>30.53</v>
      </c>
      <c r="O59" s="17">
        <v>27.28</v>
      </c>
      <c r="P59" s="16">
        <v>78.459999999999994</v>
      </c>
      <c r="Q59" s="17">
        <v>120.45</v>
      </c>
      <c r="R59" s="17">
        <v>113.89</v>
      </c>
      <c r="S59" s="17">
        <v>171.25</v>
      </c>
      <c r="T59" s="17">
        <v>223.89</v>
      </c>
      <c r="U59" s="17">
        <v>276.89</v>
      </c>
      <c r="V59" s="16">
        <v>-46.69</v>
      </c>
      <c r="W59" s="16">
        <v>-44.61</v>
      </c>
      <c r="X59" s="10">
        <v>0.30044416899080678</v>
      </c>
      <c r="Y59" s="9">
        <v>0.2485225900743471</v>
      </c>
      <c r="Z59" s="8">
        <v>-0.20432105048859939</v>
      </c>
      <c r="AA59" s="8">
        <v>-0.34518821760962037</v>
      </c>
    </row>
    <row r="60" spans="2:27" x14ac:dyDescent="0.3">
      <c r="B60" s="12" t="s">
        <v>17</v>
      </c>
      <c r="C60" s="3" t="s">
        <v>403</v>
      </c>
      <c r="D60" s="3" t="s">
        <v>421</v>
      </c>
      <c r="E60" s="3" t="s">
        <v>405</v>
      </c>
      <c r="F60" s="5">
        <v>-70.8</v>
      </c>
      <c r="G60" s="16">
        <v>1359</v>
      </c>
      <c r="H60" s="16">
        <v>1108</v>
      </c>
      <c r="I60" s="16">
        <v>1876</v>
      </c>
      <c r="J60" s="16">
        <v>1664</v>
      </c>
      <c r="K60" s="16">
        <v>1346</v>
      </c>
      <c r="L60" s="16">
        <v>924</v>
      </c>
      <c r="M60" s="16">
        <v>850</v>
      </c>
      <c r="N60" s="16">
        <v>1305</v>
      </c>
      <c r="O60" s="16">
        <v>1263</v>
      </c>
      <c r="P60" s="16">
        <v>1114</v>
      </c>
      <c r="Q60" s="16">
        <v>1188</v>
      </c>
      <c r="R60" s="16">
        <v>1067</v>
      </c>
      <c r="S60" s="16">
        <v>1489</v>
      </c>
      <c r="T60" s="17">
        <v>1927</v>
      </c>
      <c r="U60" s="16">
        <v>976</v>
      </c>
      <c r="V60" s="16">
        <v>1371</v>
      </c>
      <c r="W60" s="16">
        <v>-2590</v>
      </c>
      <c r="X60" s="10">
        <v>0.16735282009057231</v>
      </c>
      <c r="Y60" s="8">
        <v>-3.7383177570093462E-2</v>
      </c>
      <c r="Z60" s="8">
        <v>5.5687854918483159E-2</v>
      </c>
      <c r="AA60" s="8">
        <v>-0.70779108103418364</v>
      </c>
    </row>
    <row r="61" spans="2:27" x14ac:dyDescent="0.3">
      <c r="B61" s="12" t="s">
        <v>245</v>
      </c>
      <c r="C61" s="3" t="s">
        <v>403</v>
      </c>
      <c r="D61" s="3" t="s">
        <v>426</v>
      </c>
      <c r="E61" s="3" t="s">
        <v>405</v>
      </c>
      <c r="F61" s="5">
        <v>-124.4</v>
      </c>
      <c r="G61" s="16">
        <v>16.18</v>
      </c>
      <c r="H61" s="16">
        <v>23.97</v>
      </c>
      <c r="I61" s="16">
        <v>72.5</v>
      </c>
      <c r="J61" s="16">
        <v>68.63</v>
      </c>
      <c r="K61" s="17">
        <v>66.89</v>
      </c>
      <c r="L61" s="17">
        <v>73.84</v>
      </c>
      <c r="M61" s="16">
        <v>77.78</v>
      </c>
      <c r="N61" s="16">
        <v>65.319999999999993</v>
      </c>
      <c r="O61" s="16">
        <v>49.75</v>
      </c>
      <c r="P61" s="16">
        <v>49.88</v>
      </c>
      <c r="Q61" s="16">
        <v>29.32</v>
      </c>
      <c r="R61" s="16">
        <v>23.81</v>
      </c>
      <c r="S61" s="16">
        <v>21.39</v>
      </c>
      <c r="T61" s="16">
        <v>22.65</v>
      </c>
      <c r="U61" s="16">
        <v>7.49</v>
      </c>
      <c r="V61" s="16">
        <v>-17.87</v>
      </c>
      <c r="W61" s="16">
        <v>-20.47</v>
      </c>
      <c r="X61" s="7">
        <v>-0.2188906752411576</v>
      </c>
      <c r="Y61" s="8">
        <v>-0.2246578161984151</v>
      </c>
      <c r="Z61" s="8">
        <v>-0.55322537828510754</v>
      </c>
      <c r="AA61" s="8">
        <v>-1.243612596553773</v>
      </c>
    </row>
    <row r="62" spans="2:27" x14ac:dyDescent="0.3">
      <c r="B62" s="34" t="s">
        <v>125</v>
      </c>
      <c r="C62" s="19" t="s">
        <v>403</v>
      </c>
      <c r="D62" s="19" t="s">
        <v>412</v>
      </c>
      <c r="E62" s="19" t="s">
        <v>405</v>
      </c>
      <c r="F62" s="20">
        <v>-217.1</v>
      </c>
      <c r="G62" s="28">
        <v>-115.78</v>
      </c>
      <c r="H62" s="28">
        <v>-89.2</v>
      </c>
      <c r="I62" s="28">
        <v>-162.44</v>
      </c>
      <c r="J62" s="28">
        <v>-89.32</v>
      </c>
      <c r="K62" s="28">
        <v>-116.55</v>
      </c>
      <c r="L62" s="28">
        <v>-58.17</v>
      </c>
      <c r="M62" s="28">
        <v>-51.61</v>
      </c>
      <c r="N62" s="28">
        <v>-34.630000000000003</v>
      </c>
      <c r="O62" s="28">
        <v>-17.97</v>
      </c>
      <c r="P62" s="28">
        <v>-13.61</v>
      </c>
      <c r="Q62" s="28">
        <v>-10.58</v>
      </c>
      <c r="R62" s="28">
        <v>-7.77</v>
      </c>
      <c r="S62" s="28">
        <v>8.81</v>
      </c>
      <c r="T62" s="28">
        <v>-4.55</v>
      </c>
      <c r="U62" s="28">
        <v>8.9600000000000009</v>
      </c>
      <c r="V62" s="29">
        <v>-3.25</v>
      </c>
      <c r="W62" s="28">
        <v>-12.83</v>
      </c>
      <c r="X62" s="21">
        <v>-0.39136069114470839</v>
      </c>
      <c r="Y62" s="22">
        <v>-1.3867991483321509</v>
      </c>
      <c r="Z62" s="23">
        <v>0.82935779816513744</v>
      </c>
      <c r="AA62" s="22">
        <v>-2.1705115346038109</v>
      </c>
    </row>
    <row r="63" spans="2:27" x14ac:dyDescent="0.3">
      <c r="B63" s="12">
        <v>2809</v>
      </c>
      <c r="C63" s="3" t="s">
        <v>443</v>
      </c>
      <c r="D63" s="3" t="str">
        <f>VLOOKUP(B63,기업리스트!B:G,2,FALSE)</f>
        <v>King's Town Bank Co., Ltd.</v>
      </c>
      <c r="E63" s="3" t="s">
        <v>405</v>
      </c>
      <c r="F63" s="5">
        <v>9.1999999999999993</v>
      </c>
      <c r="G63" s="16">
        <v>6057</v>
      </c>
      <c r="H63" s="16">
        <v>6733</v>
      </c>
      <c r="I63" s="16">
        <v>7509</v>
      </c>
      <c r="J63" s="16">
        <v>7166</v>
      </c>
      <c r="K63" s="16">
        <v>4027</v>
      </c>
      <c r="L63" s="16">
        <v>1656</v>
      </c>
      <c r="M63" s="16">
        <v>5191</v>
      </c>
      <c r="N63" s="16">
        <v>6495</v>
      </c>
      <c r="O63" s="17">
        <v>6150</v>
      </c>
      <c r="P63" s="17">
        <v>8096</v>
      </c>
      <c r="Q63" s="17">
        <v>10786</v>
      </c>
      <c r="R63" s="17">
        <v>10885</v>
      </c>
      <c r="S63" s="16">
        <v>4456</v>
      </c>
      <c r="T63" s="16">
        <v>5788</v>
      </c>
      <c r="U63" s="16">
        <v>10377</v>
      </c>
      <c r="V63" s="16">
        <v>10678</v>
      </c>
      <c r="W63" s="16">
        <v>7349</v>
      </c>
      <c r="X63" s="7">
        <v>-6.7440025713701335E-2</v>
      </c>
      <c r="Y63" s="8">
        <v>-1.281529061569797E-2</v>
      </c>
      <c r="Z63" s="8">
        <v>-6.5701771091221106E-3</v>
      </c>
      <c r="AA63" s="8">
        <v>9.2431068085242263E-2</v>
      </c>
    </row>
    <row r="64" spans="2:27" x14ac:dyDescent="0.3">
      <c r="B64" s="12">
        <v>4743</v>
      </c>
      <c r="C64" s="3" t="s">
        <v>443</v>
      </c>
      <c r="D64" s="3" t="str">
        <f>VLOOKUP(B64,기업리스트!B:G,2,FALSE)</f>
        <v>Oneness Biotech Co., Ltd.</v>
      </c>
      <c r="E64" s="3" t="s">
        <v>438</v>
      </c>
      <c r="F64" s="5">
        <v>3.5</v>
      </c>
      <c r="G64" s="16">
        <v>617</v>
      </c>
      <c r="H64" s="16">
        <v>696</v>
      </c>
      <c r="I64" s="16">
        <v>734</v>
      </c>
      <c r="J64" s="16">
        <v>842</v>
      </c>
      <c r="K64" s="16">
        <v>575</v>
      </c>
      <c r="L64" s="17">
        <v>1067</v>
      </c>
      <c r="M64" s="16">
        <v>732</v>
      </c>
      <c r="N64" s="16">
        <v>949</v>
      </c>
      <c r="O64" s="17">
        <v>1004</v>
      </c>
      <c r="P64" s="16">
        <v>1052</v>
      </c>
      <c r="Q64" s="16">
        <v>759.41</v>
      </c>
      <c r="R64" s="16">
        <v>754.59</v>
      </c>
      <c r="S64" s="16">
        <v>859.7</v>
      </c>
      <c r="T64" s="16">
        <v>1159</v>
      </c>
      <c r="U64" s="16">
        <v>431.94</v>
      </c>
      <c r="V64" s="16">
        <v>725.06</v>
      </c>
      <c r="W64" s="16">
        <v>970.89</v>
      </c>
      <c r="X64" s="7">
        <v>3.123449222056807E-2</v>
      </c>
      <c r="Y64" s="8">
        <v>-9.2696804144138945E-2</v>
      </c>
      <c r="Z64" s="8">
        <v>-9.213067392979668E-3</v>
      </c>
      <c r="AA64" s="8">
        <v>3.5012753093806033E-2</v>
      </c>
    </row>
    <row r="65" spans="2:27" x14ac:dyDescent="0.3">
      <c r="B65" s="12">
        <v>8358</v>
      </c>
      <c r="C65" s="3" t="s">
        <v>443</v>
      </c>
      <c r="D65" s="3" t="str">
        <f>VLOOKUP(B65,기업리스트!B:G,2,FALSE)</f>
        <v>Co-Tech Development Corporation</v>
      </c>
      <c r="E65" s="3" t="s">
        <v>438</v>
      </c>
      <c r="F65" s="5">
        <v>2.9</v>
      </c>
      <c r="G65" s="16">
        <v>-7679</v>
      </c>
      <c r="H65" s="16">
        <v>-3515</v>
      </c>
      <c r="I65" s="16">
        <v>4294</v>
      </c>
      <c r="J65" s="16">
        <v>13771</v>
      </c>
      <c r="K65" s="17">
        <v>4807</v>
      </c>
      <c r="L65" s="16">
        <v>-10838</v>
      </c>
      <c r="M65" s="16">
        <v>4348</v>
      </c>
      <c r="N65" s="16">
        <v>7822</v>
      </c>
      <c r="O65" s="16">
        <v>4750</v>
      </c>
      <c r="P65" s="17">
        <v>2560</v>
      </c>
      <c r="Q65" s="17">
        <v>8192</v>
      </c>
      <c r="R65" s="16">
        <v>4988</v>
      </c>
      <c r="S65" s="17">
        <v>8886</v>
      </c>
      <c r="T65" s="16">
        <v>2650</v>
      </c>
      <c r="U65" s="16">
        <v>6611</v>
      </c>
      <c r="V65" s="17">
        <v>9915</v>
      </c>
      <c r="W65" s="16">
        <v>9707</v>
      </c>
      <c r="X65" s="7">
        <v>3.6546739218712432E-3</v>
      </c>
      <c r="Y65" s="8">
        <v>-6.3966661272050529E-2</v>
      </c>
      <c r="Z65" s="9">
        <v>0.2129673654635833</v>
      </c>
      <c r="AA65" s="8">
        <v>2.9256645998146921E-2</v>
      </c>
    </row>
    <row r="66" spans="2:27" x14ac:dyDescent="0.3">
      <c r="B66" s="12">
        <v>2337</v>
      </c>
      <c r="C66" s="3" t="s">
        <v>443</v>
      </c>
      <c r="D66" s="3" t="str">
        <f>VLOOKUP(B66,기업리스트!B:G,2,FALSE)</f>
        <v>Macronix International Co., Ltd.</v>
      </c>
      <c r="E66" s="3" t="s">
        <v>438</v>
      </c>
      <c r="F66" s="5">
        <v>1.9</v>
      </c>
      <c r="G66" s="16">
        <v>794</v>
      </c>
      <c r="H66" s="16">
        <v>4981</v>
      </c>
      <c r="I66" s="16">
        <v>2725</v>
      </c>
      <c r="J66" s="16">
        <v>2359</v>
      </c>
      <c r="K66" s="17">
        <v>4028</v>
      </c>
      <c r="L66" s="16">
        <v>3382</v>
      </c>
      <c r="M66" s="16">
        <v>2446</v>
      </c>
      <c r="N66" s="16">
        <v>3039</v>
      </c>
      <c r="O66" s="16">
        <v>2445</v>
      </c>
      <c r="P66" s="17">
        <v>5034</v>
      </c>
      <c r="Q66" s="17">
        <v>4222</v>
      </c>
      <c r="R66" s="16">
        <v>2634</v>
      </c>
      <c r="S66" s="16">
        <v>3483</v>
      </c>
      <c r="T66" s="16">
        <v>5971</v>
      </c>
      <c r="U66" s="16">
        <v>3469</v>
      </c>
      <c r="V66" s="17">
        <v>7793</v>
      </c>
      <c r="W66" s="16">
        <v>3883</v>
      </c>
      <c r="X66" s="7">
        <v>6.0951018018604142E-2</v>
      </c>
      <c r="Y66" s="8">
        <v>-4.6167995095033783E-2</v>
      </c>
      <c r="Z66" s="9">
        <v>0.3316192067879411</v>
      </c>
      <c r="AA66" s="8">
        <v>1.930874686232853E-2</v>
      </c>
    </row>
    <row r="67" spans="2:27" x14ac:dyDescent="0.3">
      <c r="B67" s="12">
        <v>1301</v>
      </c>
      <c r="C67" s="3" t="s">
        <v>443</v>
      </c>
      <c r="D67" s="3" t="str">
        <f>VLOOKUP(B67,기업리스트!B:G,2,FALSE)</f>
        <v>Formosa Plastics Corporation</v>
      </c>
      <c r="E67" s="3" t="s">
        <v>438</v>
      </c>
      <c r="F67" s="5">
        <v>1.1000000000000001</v>
      </c>
      <c r="G67" s="16">
        <v>2494</v>
      </c>
      <c r="H67" s="16">
        <v>678</v>
      </c>
      <c r="I67" s="16">
        <v>2393</v>
      </c>
      <c r="J67" s="16">
        <v>2983</v>
      </c>
      <c r="K67" s="16">
        <v>2749</v>
      </c>
      <c r="L67" s="16">
        <v>-18</v>
      </c>
      <c r="M67" s="16">
        <v>2422</v>
      </c>
      <c r="N67" s="16">
        <v>1575</v>
      </c>
      <c r="O67" s="16">
        <v>2953</v>
      </c>
      <c r="P67" s="17">
        <v>1857</v>
      </c>
      <c r="Q67" s="16">
        <v>3102</v>
      </c>
      <c r="R67" s="16">
        <v>2364</v>
      </c>
      <c r="S67" s="17">
        <v>4403</v>
      </c>
      <c r="T67" s="16">
        <v>1211</v>
      </c>
      <c r="U67" s="16">
        <v>2609</v>
      </c>
      <c r="V67" s="16">
        <v>1946</v>
      </c>
      <c r="W67" s="16">
        <v>4510</v>
      </c>
      <c r="X67" s="7">
        <v>-5.5091250213201381E-2</v>
      </c>
      <c r="Y67" s="8">
        <v>-4.4494584837545093E-2</v>
      </c>
      <c r="Z67" s="8">
        <v>-3.9482384055917641E-2</v>
      </c>
      <c r="AA67" s="8">
        <v>1.0522175238469879E-2</v>
      </c>
    </row>
    <row r="68" spans="2:27" x14ac:dyDescent="0.3">
      <c r="B68" s="35">
        <v>3105</v>
      </c>
      <c r="C68" s="24" t="s">
        <v>443</v>
      </c>
      <c r="D68" s="24" t="str">
        <f>VLOOKUP(B68,기업리스트!B:G,2,FALSE)</f>
        <v>WIN Semiconductors Corp.</v>
      </c>
      <c r="E68" s="24" t="s">
        <v>405</v>
      </c>
      <c r="F68" s="25">
        <v>-16.3</v>
      </c>
      <c r="G68" s="30">
        <v>1579</v>
      </c>
      <c r="H68" s="30">
        <v>13014</v>
      </c>
      <c r="I68" s="30">
        <v>-50</v>
      </c>
      <c r="J68" s="30">
        <v>1317</v>
      </c>
      <c r="K68" s="30">
        <v>1154</v>
      </c>
      <c r="L68" s="30">
        <v>12759</v>
      </c>
      <c r="M68" s="30">
        <v>-758</v>
      </c>
      <c r="N68" s="30">
        <v>-1231</v>
      </c>
      <c r="O68" s="30">
        <v>1684</v>
      </c>
      <c r="P68" s="30">
        <v>8148</v>
      </c>
      <c r="Q68" s="30">
        <v>-1431</v>
      </c>
      <c r="R68" s="30">
        <v>-2800</v>
      </c>
      <c r="S68" s="31">
        <v>12665</v>
      </c>
      <c r="T68" s="31">
        <v>21292</v>
      </c>
      <c r="U68" s="30">
        <v>-2874</v>
      </c>
      <c r="V68" s="31">
        <v>450</v>
      </c>
      <c r="W68" s="30">
        <v>7533</v>
      </c>
      <c r="X68" s="10">
        <v>0.79266674707514162</v>
      </c>
      <c r="Y68" s="26">
        <v>-4.8543362712776712E-2</v>
      </c>
      <c r="Z68" s="27">
        <v>0.11491001661775629</v>
      </c>
      <c r="AA68" s="26">
        <v>-0.16275013477943739</v>
      </c>
    </row>
    <row r="69" spans="2:27" x14ac:dyDescent="0.3">
      <c r="B69" s="34">
        <v>5871</v>
      </c>
      <c r="C69" s="19" t="s">
        <v>443</v>
      </c>
      <c r="D69" s="19" t="str">
        <f>VLOOKUP(B69,기업리스트!B:G,2,FALSE)</f>
        <v>Chailease Holding Company Limited</v>
      </c>
      <c r="E69" s="19" t="s">
        <v>405</v>
      </c>
      <c r="F69" s="20">
        <v>-123.3</v>
      </c>
      <c r="G69" s="28"/>
      <c r="H69" s="28"/>
      <c r="I69" s="28"/>
      <c r="J69" s="28"/>
      <c r="K69" s="28"/>
      <c r="L69" s="28"/>
      <c r="M69" s="28"/>
      <c r="N69" s="28"/>
      <c r="O69" s="28">
        <v>460</v>
      </c>
      <c r="P69" s="28">
        <v>292</v>
      </c>
      <c r="Q69" s="28">
        <v>-204</v>
      </c>
      <c r="R69" s="28">
        <v>132</v>
      </c>
      <c r="S69" s="28">
        <v>236</v>
      </c>
      <c r="T69" s="28">
        <v>164</v>
      </c>
      <c r="U69" s="28">
        <v>-595</v>
      </c>
      <c r="V69" s="29">
        <v>-140</v>
      </c>
      <c r="W69" s="28">
        <v>649</v>
      </c>
      <c r="X69" s="21">
        <v>-0.2807017543859649</v>
      </c>
      <c r="Y69" s="22">
        <v>-1.1920731707317069</v>
      </c>
      <c r="Z69" s="23">
        <v>4.3174603174603172</v>
      </c>
      <c r="AA69" s="22">
        <v>-1.2328358208955219</v>
      </c>
    </row>
    <row r="70" spans="2:27" x14ac:dyDescent="0.3">
      <c r="B70" s="12">
        <v>2350</v>
      </c>
      <c r="C70" s="3" t="s">
        <v>457</v>
      </c>
      <c r="D70" s="3" t="str">
        <f>VLOOKUP(B70,기업리스트!B:G,2,FALSE)</f>
        <v>Saudi Kayan Petrochemical Company</v>
      </c>
      <c r="E70" s="3" t="s">
        <v>458</v>
      </c>
      <c r="F70" s="5">
        <f>-0.440340909090909*100</f>
        <v>-44.034090909090899</v>
      </c>
      <c r="G70" s="16">
        <v>23.15</v>
      </c>
      <c r="H70" s="18"/>
      <c r="I70" s="16">
        <v>41.52</v>
      </c>
      <c r="J70" s="18"/>
      <c r="K70" s="16">
        <v>40.770000000000003</v>
      </c>
      <c r="L70" s="18"/>
      <c r="M70" s="16">
        <v>16.02</v>
      </c>
      <c r="N70" s="18"/>
      <c r="O70" s="16">
        <v>2.59</v>
      </c>
      <c r="P70" s="18"/>
      <c r="Q70" s="16">
        <v>-16.579999999999998</v>
      </c>
      <c r="R70" s="18"/>
      <c r="S70" s="16">
        <v>-17.61</v>
      </c>
      <c r="T70" s="18"/>
      <c r="U70" s="32">
        <v>10.57</v>
      </c>
      <c r="V70" s="33"/>
      <c r="W70" s="32">
        <v>-14.51</v>
      </c>
      <c r="X70" s="7">
        <v>-1.7517463729177862</v>
      </c>
      <c r="Y70" s="8">
        <v>1.4438884917798429</v>
      </c>
      <c r="Z70" s="58">
        <v>-0.79409183971921615</v>
      </c>
      <c r="AA70" s="58">
        <f>SUM(W70,U70)/SUM(U70,S70)-1</f>
        <v>-0.44034090909090906</v>
      </c>
    </row>
    <row r="71" spans="2:27" hidden="1" x14ac:dyDescent="0.3">
      <c r="B71" s="3" t="s">
        <v>256</v>
      </c>
      <c r="C71" s="3" t="s">
        <v>403</v>
      </c>
      <c r="D71" s="3" t="s">
        <v>446</v>
      </c>
      <c r="E71" s="3" t="s">
        <v>445</v>
      </c>
      <c r="F71" s="5">
        <v>37.700000000000003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4">
        <v>-42.4</v>
      </c>
      <c r="S71" s="4">
        <v>-42.4</v>
      </c>
      <c r="T71" s="4">
        <v>-51.91</v>
      </c>
      <c r="U71" s="4">
        <v>-56.73</v>
      </c>
      <c r="V71" s="4">
        <v>-56.73</v>
      </c>
      <c r="W71" s="6">
        <v>-120.79</v>
      </c>
      <c r="X71" s="11"/>
      <c r="Y71" s="3"/>
      <c r="Z71" s="8">
        <v>7.4079818031430822E-2</v>
      </c>
      <c r="AA71" s="9">
        <v>0.37729219810367232</v>
      </c>
    </row>
    <row r="72" spans="2:27" hidden="1" x14ac:dyDescent="0.3">
      <c r="B72" s="3" t="s">
        <v>109</v>
      </c>
      <c r="C72" s="3" t="s">
        <v>403</v>
      </c>
      <c r="D72" s="3" t="s">
        <v>448</v>
      </c>
      <c r="E72" s="3" t="s">
        <v>445</v>
      </c>
      <c r="F72" s="5">
        <v>33.5</v>
      </c>
      <c r="G72" s="4">
        <v>63.48</v>
      </c>
      <c r="H72" s="4">
        <v>54.84</v>
      </c>
      <c r="I72" s="4">
        <v>50.52</v>
      </c>
      <c r="J72" s="4">
        <v>-84.87</v>
      </c>
      <c r="K72" s="4">
        <v>29.51</v>
      </c>
      <c r="L72" s="4">
        <v>-13.95</v>
      </c>
      <c r="M72" s="6">
        <v>6.58</v>
      </c>
      <c r="N72" s="4">
        <v>50.56</v>
      </c>
      <c r="O72" s="4">
        <v>29.37</v>
      </c>
      <c r="P72" s="6">
        <v>-5.69</v>
      </c>
      <c r="Q72" s="6">
        <v>21.41</v>
      </c>
      <c r="R72" s="6">
        <v>60.73</v>
      </c>
      <c r="S72" s="4">
        <v>24.86</v>
      </c>
      <c r="T72" s="6">
        <v>99.31</v>
      </c>
      <c r="U72" s="6">
        <v>89</v>
      </c>
      <c r="V72" s="6">
        <v>104</v>
      </c>
      <c r="W72" s="6">
        <v>131</v>
      </c>
      <c r="X72" s="10">
        <v>1.0364228605270951</v>
      </c>
      <c r="Y72" s="9">
        <v>0.32761378508070371</v>
      </c>
      <c r="Z72" s="9">
        <v>0.15797736400146059</v>
      </c>
      <c r="AA72" s="9">
        <v>0.33464703471324531</v>
      </c>
    </row>
    <row r="73" spans="2:27" hidden="1" x14ac:dyDescent="0.3">
      <c r="B73" s="3" t="s">
        <v>249</v>
      </c>
      <c r="C73" s="3" t="s">
        <v>403</v>
      </c>
      <c r="D73" s="3" t="s">
        <v>453</v>
      </c>
      <c r="E73" s="3" t="s">
        <v>451</v>
      </c>
      <c r="F73" s="5">
        <v>27</v>
      </c>
      <c r="G73" s="3"/>
      <c r="H73" s="3"/>
      <c r="I73" s="3"/>
      <c r="J73" s="3"/>
      <c r="K73" s="3"/>
      <c r="L73" s="3"/>
      <c r="M73" s="3"/>
      <c r="N73" s="4">
        <v>-2.0699999999999998</v>
      </c>
      <c r="O73" s="4">
        <v>-2.11</v>
      </c>
      <c r="P73" s="4">
        <v>-2.0099999999999998</v>
      </c>
      <c r="Q73" s="4">
        <v>-0.85</v>
      </c>
      <c r="R73" s="4">
        <v>-0.2</v>
      </c>
      <c r="S73" s="4">
        <v>-0.84</v>
      </c>
      <c r="T73" s="4">
        <v>-1.69</v>
      </c>
      <c r="U73" s="6">
        <v>-2.65</v>
      </c>
      <c r="V73" s="6">
        <v>-3.25</v>
      </c>
      <c r="W73" s="6">
        <v>-3.12</v>
      </c>
      <c r="X73" s="7">
        <v>-8.2051282051281982E-2</v>
      </c>
      <c r="Y73" s="9">
        <v>0.5027932960893855</v>
      </c>
      <c r="Z73" s="9">
        <v>0.56691449814126393</v>
      </c>
      <c r="AA73" s="9">
        <v>0.27046263345195748</v>
      </c>
    </row>
    <row r="74" spans="2:27" hidden="1" x14ac:dyDescent="0.3">
      <c r="B74" s="3" t="s">
        <v>209</v>
      </c>
      <c r="C74" s="3" t="s">
        <v>403</v>
      </c>
      <c r="D74" s="3" t="s">
        <v>444</v>
      </c>
      <c r="E74" s="3" t="s">
        <v>449</v>
      </c>
      <c r="F74" s="5">
        <v>25.6</v>
      </c>
      <c r="G74" s="4">
        <v>-2.41</v>
      </c>
      <c r="H74" s="4">
        <v>-11.26</v>
      </c>
      <c r="I74" s="4">
        <v>-6.84</v>
      </c>
      <c r="J74" s="4">
        <v>-12.9</v>
      </c>
      <c r="K74" s="6">
        <v>-11.93</v>
      </c>
      <c r="L74" s="6">
        <v>-15.92</v>
      </c>
      <c r="M74" s="4">
        <v>-10.91</v>
      </c>
      <c r="N74" s="4">
        <v>-17.07</v>
      </c>
      <c r="O74" s="6">
        <v>-21.17</v>
      </c>
      <c r="P74" s="4">
        <v>-16.309999999999999</v>
      </c>
      <c r="Q74" s="6">
        <v>-20.53</v>
      </c>
      <c r="R74" s="4">
        <v>-7.16</v>
      </c>
      <c r="S74" s="4">
        <v>0.98</v>
      </c>
      <c r="T74" s="4">
        <v>-8.52</v>
      </c>
      <c r="U74" s="4">
        <v>-4.4400000000000004</v>
      </c>
      <c r="V74" s="4">
        <v>-2.42</v>
      </c>
      <c r="W74" s="6">
        <v>-2.7</v>
      </c>
      <c r="X74" s="7">
        <v>-0.1810785681078568</v>
      </c>
      <c r="Y74" s="8">
        <v>-0.4567130286687483</v>
      </c>
      <c r="Z74" s="8">
        <v>-0.2476489028213166</v>
      </c>
      <c r="AA74" s="9">
        <v>0.25555555555555531</v>
      </c>
    </row>
    <row r="75" spans="2:27" hidden="1" x14ac:dyDescent="0.3">
      <c r="B75" s="3" t="s">
        <v>119</v>
      </c>
      <c r="C75" s="3" t="s">
        <v>403</v>
      </c>
      <c r="D75" s="3" t="s">
        <v>409</v>
      </c>
      <c r="E75" s="3" t="s">
        <v>445</v>
      </c>
      <c r="F75" s="5">
        <v>22.4</v>
      </c>
      <c r="G75" s="3"/>
      <c r="H75" s="4">
        <v>-7.0000000000000007E-2</v>
      </c>
      <c r="I75" s="4">
        <v>-7.79</v>
      </c>
      <c r="J75" s="4">
        <v>-7.44</v>
      </c>
      <c r="K75" s="4">
        <v>-4.1500000000000004</v>
      </c>
      <c r="L75" s="6">
        <v>-3.91</v>
      </c>
      <c r="M75" s="4">
        <v>-3.85</v>
      </c>
      <c r="N75" s="4">
        <v>-3.77</v>
      </c>
      <c r="O75" s="4">
        <v>-3.03</v>
      </c>
      <c r="P75" s="4">
        <v>-5.32</v>
      </c>
      <c r="Q75" s="6">
        <v>-98.35</v>
      </c>
      <c r="R75" s="6">
        <v>-18.66</v>
      </c>
      <c r="S75" s="6">
        <v>-23.65</v>
      </c>
      <c r="T75" s="6">
        <v>-45.37</v>
      </c>
      <c r="U75" s="4">
        <v>-39.54</v>
      </c>
      <c r="V75" s="6">
        <v>-43.51</v>
      </c>
      <c r="W75" s="6">
        <v>-57.66</v>
      </c>
      <c r="X75" s="10">
        <v>0.27435265104808892</v>
      </c>
      <c r="Y75" s="8">
        <v>-0.31613180669784452</v>
      </c>
      <c r="Z75" s="9">
        <v>0.1953309228108788</v>
      </c>
      <c r="AA75" s="9">
        <v>0.2236470046689025</v>
      </c>
    </row>
    <row r="76" spans="2:27" hidden="1" x14ac:dyDescent="0.3">
      <c r="B76" s="3" t="s">
        <v>87</v>
      </c>
      <c r="C76" s="3" t="s">
        <v>403</v>
      </c>
      <c r="D76" s="3" t="s">
        <v>447</v>
      </c>
      <c r="E76" s="3" t="s">
        <v>445</v>
      </c>
      <c r="F76" s="5">
        <v>16.600000000000001</v>
      </c>
      <c r="G76" s="3"/>
      <c r="H76" s="4">
        <v>-9049927</v>
      </c>
      <c r="I76" s="4">
        <v>-8070489</v>
      </c>
      <c r="J76" s="4">
        <v>-11540423</v>
      </c>
      <c r="K76" s="4">
        <v>-9827177</v>
      </c>
      <c r="L76" s="4">
        <v>-11882246</v>
      </c>
      <c r="M76" s="4">
        <v>-11142273</v>
      </c>
      <c r="N76" s="4">
        <v>-9654148</v>
      </c>
      <c r="O76" s="4">
        <v>-8922454</v>
      </c>
      <c r="P76" s="4">
        <v>-12063042</v>
      </c>
      <c r="Q76" s="4">
        <v>-10029239</v>
      </c>
      <c r="R76" s="4">
        <v>-13396437</v>
      </c>
      <c r="S76" s="4">
        <v>-8121371</v>
      </c>
      <c r="T76" s="6">
        <v>-22514725</v>
      </c>
      <c r="U76" s="4">
        <v>-12060163</v>
      </c>
      <c r="V76" s="4">
        <v>-13120075</v>
      </c>
      <c r="W76" s="6">
        <v>-17387054</v>
      </c>
      <c r="X76" s="10">
        <v>0.2396620424232567</v>
      </c>
      <c r="Y76" s="8">
        <v>3.7566730147136067E-2</v>
      </c>
      <c r="Z76" s="8">
        <v>-4.9268803196765854E-3</v>
      </c>
      <c r="AA76" s="9">
        <v>0.166003073580576</v>
      </c>
    </row>
    <row r="77" spans="2:27" hidden="1" x14ac:dyDescent="0.3">
      <c r="B77" s="3" t="s">
        <v>347</v>
      </c>
      <c r="C77" s="3" t="s">
        <v>403</v>
      </c>
      <c r="D77" s="3" t="s">
        <v>454</v>
      </c>
      <c r="E77" s="3" t="s">
        <v>451</v>
      </c>
      <c r="F77" s="5">
        <v>9</v>
      </c>
      <c r="G77" s="3"/>
      <c r="H77" s="3"/>
      <c r="I77" s="3"/>
      <c r="J77" s="3"/>
      <c r="K77" s="3"/>
      <c r="L77" s="3"/>
      <c r="M77" s="3"/>
      <c r="N77" s="4">
        <v>0</v>
      </c>
      <c r="O77" s="4">
        <v>-7.54</v>
      </c>
      <c r="P77" s="4">
        <v>-5.9</v>
      </c>
      <c r="Q77" s="4">
        <v>-1</v>
      </c>
      <c r="R77" s="4">
        <v>0.92</v>
      </c>
      <c r="S77" s="4">
        <v>-0.41</v>
      </c>
      <c r="T77" s="4">
        <v>-0.46</v>
      </c>
      <c r="U77" s="4">
        <v>-0.51</v>
      </c>
      <c r="V77" s="6">
        <v>-0.4</v>
      </c>
      <c r="W77" s="4">
        <v>-0.56999999999999995</v>
      </c>
      <c r="X77" s="7">
        <v>-0.85133020344287957</v>
      </c>
      <c r="Y77" s="8">
        <v>-0.51578947368421058</v>
      </c>
      <c r="Z77" s="9">
        <v>2.8695652173913051</v>
      </c>
      <c r="AA77" s="8">
        <v>8.98876404494382E-2</v>
      </c>
    </row>
    <row r="78" spans="2:27" hidden="1" x14ac:dyDescent="0.3">
      <c r="B78" s="3" t="s">
        <v>362</v>
      </c>
      <c r="C78" s="3" t="s">
        <v>403</v>
      </c>
      <c r="D78" s="3" t="s">
        <v>412</v>
      </c>
      <c r="E78" s="3" t="s">
        <v>445</v>
      </c>
      <c r="F78" s="5">
        <v>7.2</v>
      </c>
      <c r="G78" s="4">
        <v>-79.900000000000006</v>
      </c>
      <c r="H78" s="4">
        <v>18.899999999999999</v>
      </c>
      <c r="I78" s="4">
        <v>-26.3</v>
      </c>
      <c r="J78" s="4">
        <v>-17.8</v>
      </c>
      <c r="K78" s="4">
        <v>-45</v>
      </c>
      <c r="L78" s="6">
        <v>-58</v>
      </c>
      <c r="M78" s="6">
        <v>-46.5</v>
      </c>
      <c r="N78" s="6">
        <v>-36.200000000000003</v>
      </c>
      <c r="O78" s="4">
        <v>-25.8</v>
      </c>
      <c r="P78" s="4">
        <v>-24.7</v>
      </c>
      <c r="Q78" s="4">
        <v>-27.9</v>
      </c>
      <c r="R78" s="4">
        <v>-24.9</v>
      </c>
      <c r="S78" s="4">
        <v>-17.8</v>
      </c>
      <c r="T78" s="4">
        <v>-17.3</v>
      </c>
      <c r="U78" s="4">
        <v>-29</v>
      </c>
      <c r="V78" s="4">
        <v>-12.5</v>
      </c>
      <c r="W78" s="4">
        <v>-23.3</v>
      </c>
      <c r="X78" s="7">
        <v>-7.7649527806925356E-2</v>
      </c>
      <c r="Y78" s="8">
        <v>1.251422070534702E-2</v>
      </c>
      <c r="Z78" s="8">
        <v>-0.13932584269662929</v>
      </c>
      <c r="AA78" s="8">
        <v>7.1801566579634546E-2</v>
      </c>
    </row>
    <row r="79" spans="2:27" hidden="1" x14ac:dyDescent="0.3">
      <c r="B79" s="3" t="s">
        <v>224</v>
      </c>
      <c r="C79" s="3" t="s">
        <v>403</v>
      </c>
      <c r="D79" s="3" t="s">
        <v>408</v>
      </c>
      <c r="E79" s="3" t="s">
        <v>445</v>
      </c>
      <c r="F79" s="5">
        <v>1.9</v>
      </c>
      <c r="G79" s="4">
        <v>-45.84</v>
      </c>
      <c r="H79" s="4">
        <v>-51.06</v>
      </c>
      <c r="I79" s="4">
        <v>-43.85</v>
      </c>
      <c r="J79" s="4">
        <v>-52.67</v>
      </c>
      <c r="K79" s="6">
        <v>-66.099999999999994</v>
      </c>
      <c r="L79" s="4">
        <v>-67.38</v>
      </c>
      <c r="M79" s="4">
        <v>-55.47</v>
      </c>
      <c r="N79" s="4">
        <v>-56.12</v>
      </c>
      <c r="O79" s="6">
        <v>-92.92</v>
      </c>
      <c r="P79" s="4">
        <v>-71.06</v>
      </c>
      <c r="Q79" s="4">
        <v>-40.74</v>
      </c>
      <c r="R79" s="4">
        <v>-38.68</v>
      </c>
      <c r="S79" s="4">
        <v>-41.02</v>
      </c>
      <c r="T79" s="4">
        <v>-8.6199999999999992</v>
      </c>
      <c r="U79" s="4">
        <v>-35.33</v>
      </c>
      <c r="V79" s="4">
        <v>-43.08</v>
      </c>
      <c r="W79" s="4">
        <v>-43.42</v>
      </c>
      <c r="X79" s="7">
        <v>-0.32605744125326369</v>
      </c>
      <c r="Y79" s="8">
        <v>-4.1918487525182013E-2</v>
      </c>
      <c r="Z79" s="8">
        <v>3.5584310553983027E-2</v>
      </c>
      <c r="AA79" s="8">
        <v>1.874267864115553E-2</v>
      </c>
    </row>
    <row r="80" spans="2:27" hidden="1" x14ac:dyDescent="0.3">
      <c r="B80" s="3" t="s">
        <v>230</v>
      </c>
      <c r="C80" s="3" t="s">
        <v>403</v>
      </c>
      <c r="D80" s="3" t="s">
        <v>408</v>
      </c>
      <c r="E80" s="3" t="s">
        <v>445</v>
      </c>
      <c r="F80" s="5">
        <v>-7.2</v>
      </c>
      <c r="G80" s="4">
        <v>23.9</v>
      </c>
      <c r="H80" s="4">
        <v>16.3</v>
      </c>
      <c r="I80" s="4">
        <v>15.4</v>
      </c>
      <c r="J80" s="4">
        <v>19.5</v>
      </c>
      <c r="K80" s="4">
        <v>21.9</v>
      </c>
      <c r="L80" s="6">
        <v>31.4</v>
      </c>
      <c r="M80" s="6">
        <v>35.9</v>
      </c>
      <c r="N80" s="6">
        <v>44.7</v>
      </c>
      <c r="O80" s="4">
        <v>34.700000000000003</v>
      </c>
      <c r="P80" s="4">
        <v>26.2</v>
      </c>
      <c r="Q80" s="4">
        <v>37.5</v>
      </c>
      <c r="R80" s="4">
        <v>39.200000000000003</v>
      </c>
      <c r="S80" s="4">
        <v>30.6</v>
      </c>
      <c r="T80" s="4">
        <v>15.2</v>
      </c>
      <c r="U80" s="4">
        <v>21.1</v>
      </c>
      <c r="V80" s="4">
        <v>30.3</v>
      </c>
      <c r="W80" s="4">
        <v>23.6</v>
      </c>
      <c r="X80" s="7">
        <v>-8.2397003745318331E-2</v>
      </c>
      <c r="Y80" s="8">
        <v>-0.1338775510204081</v>
      </c>
      <c r="Z80" s="8">
        <v>-8.3883129123468514E-2</v>
      </c>
      <c r="AA80" s="8">
        <v>-7.2016460905349744E-2</v>
      </c>
    </row>
    <row r="81" spans="2:27" hidden="1" x14ac:dyDescent="0.3">
      <c r="B81" s="3" t="s">
        <v>258</v>
      </c>
      <c r="C81" s="3" t="s">
        <v>403</v>
      </c>
      <c r="D81" s="3" t="s">
        <v>450</v>
      </c>
      <c r="E81" s="3" t="s">
        <v>445</v>
      </c>
      <c r="F81" s="5">
        <v>-7.6</v>
      </c>
      <c r="G81" s="4">
        <v>-9.34</v>
      </c>
      <c r="H81" s="4">
        <v>-16.25</v>
      </c>
      <c r="I81" s="4">
        <v>-23.48</v>
      </c>
      <c r="J81" s="4">
        <v>-19.12</v>
      </c>
      <c r="K81" s="6">
        <v>-33.049999999999997</v>
      </c>
      <c r="L81" s="4">
        <v>-18.18</v>
      </c>
      <c r="M81" s="4">
        <v>-10.82</v>
      </c>
      <c r="N81" s="4">
        <v>-21.73</v>
      </c>
      <c r="O81" s="4">
        <v>-19.77</v>
      </c>
      <c r="P81" s="6">
        <v>-32.590000000000003</v>
      </c>
      <c r="Q81" s="4">
        <v>-14.62</v>
      </c>
      <c r="R81" s="4">
        <v>-9.1199999999999992</v>
      </c>
      <c r="S81" s="4">
        <v>-19.28</v>
      </c>
      <c r="T81" s="4">
        <v>-12.09</v>
      </c>
      <c r="U81" s="4">
        <v>-4.8099999999999996</v>
      </c>
      <c r="V81" s="4">
        <v>-7.39</v>
      </c>
      <c r="W81" s="4">
        <v>-15.95</v>
      </c>
      <c r="X81" s="7">
        <v>-0.27112815765110432</v>
      </c>
      <c r="Y81" s="8">
        <v>-0.17800762112139359</v>
      </c>
      <c r="Z81" s="8">
        <v>-3.8189845474613571E-2</v>
      </c>
      <c r="AA81" s="8">
        <v>-7.6428735368372802E-2</v>
      </c>
    </row>
    <row r="82" spans="2:27" hidden="1" x14ac:dyDescent="0.3">
      <c r="B82" s="3" t="s">
        <v>214</v>
      </c>
      <c r="C82" s="3" t="s">
        <v>403</v>
      </c>
      <c r="D82" s="3" t="s">
        <v>444</v>
      </c>
      <c r="E82" s="3" t="s">
        <v>452</v>
      </c>
      <c r="F82" s="5">
        <v>-13.9</v>
      </c>
      <c r="G82" s="4">
        <v>-53.53</v>
      </c>
      <c r="H82" s="4">
        <v>-0.64</v>
      </c>
      <c r="I82" s="4">
        <v>7.45</v>
      </c>
      <c r="J82" s="4">
        <v>21.78</v>
      </c>
      <c r="K82" s="4">
        <v>54.04</v>
      </c>
      <c r="L82" s="6">
        <v>38.950000000000003</v>
      </c>
      <c r="M82" s="4">
        <v>13.26</v>
      </c>
      <c r="N82" s="4">
        <v>23.51</v>
      </c>
      <c r="O82" s="6">
        <v>76.97</v>
      </c>
      <c r="P82" s="4">
        <v>49.79</v>
      </c>
      <c r="Q82" s="4">
        <v>13.59</v>
      </c>
      <c r="R82" s="4">
        <v>34.65</v>
      </c>
      <c r="S82" s="4">
        <v>89.51</v>
      </c>
      <c r="T82" s="4">
        <v>37.909999999999997</v>
      </c>
      <c r="U82" s="4">
        <v>13.9</v>
      </c>
      <c r="V82" s="4">
        <v>31.81</v>
      </c>
      <c r="W82" s="4">
        <v>65.45</v>
      </c>
      <c r="X82" s="7">
        <v>-6.3346486082969E-2</v>
      </c>
      <c r="Y82" s="8">
        <v>1.7647728566549949E-3</v>
      </c>
      <c r="Z82" s="8">
        <v>-1.6139114621810498E-2</v>
      </c>
      <c r="AA82" s="8">
        <v>-0.13897071564720151</v>
      </c>
    </row>
    <row r="83" spans="2:27" hidden="1" x14ac:dyDescent="0.3">
      <c r="B83" s="3" t="s">
        <v>29</v>
      </c>
      <c r="C83" s="3" t="s">
        <v>403</v>
      </c>
      <c r="D83" s="3" t="s">
        <v>421</v>
      </c>
      <c r="E83" s="3" t="s">
        <v>451</v>
      </c>
      <c r="F83" s="5">
        <v>-16</v>
      </c>
      <c r="G83" s="3"/>
      <c r="H83" s="3"/>
      <c r="I83" s="3"/>
      <c r="J83" s="3"/>
      <c r="K83" s="3"/>
      <c r="L83" s="3"/>
      <c r="M83" s="3"/>
      <c r="N83" s="4">
        <v>134</v>
      </c>
      <c r="O83" s="4">
        <v>579</v>
      </c>
      <c r="P83" s="4">
        <v>2746</v>
      </c>
      <c r="Q83" s="4">
        <v>2458</v>
      </c>
      <c r="R83" s="6">
        <v>5883</v>
      </c>
      <c r="S83" s="6">
        <v>2523</v>
      </c>
      <c r="T83" s="4">
        <v>701</v>
      </c>
      <c r="U83" s="4">
        <v>1902</v>
      </c>
      <c r="V83" s="4">
        <v>1695</v>
      </c>
      <c r="W83" s="4">
        <v>1433</v>
      </c>
      <c r="X83" s="7">
        <v>-0.1502571638501102</v>
      </c>
      <c r="Y83" s="8">
        <v>-4.8076091655858237E-2</v>
      </c>
      <c r="Z83" s="8">
        <v>-0.3804160232537015</v>
      </c>
      <c r="AA83" s="8">
        <v>-0.1598006157454919</v>
      </c>
    </row>
    <row r="84" spans="2:27" hidden="1" x14ac:dyDescent="0.3">
      <c r="B84" s="3" t="s">
        <v>134</v>
      </c>
      <c r="C84" s="3" t="s">
        <v>403</v>
      </c>
      <c r="D84" s="3" t="s">
        <v>444</v>
      </c>
      <c r="E84" s="3" t="s">
        <v>445</v>
      </c>
      <c r="F84" s="5">
        <v>-36.4</v>
      </c>
      <c r="G84" s="4">
        <v>2.72</v>
      </c>
      <c r="H84" s="4">
        <v>-1.44</v>
      </c>
      <c r="I84" s="4">
        <v>-2.2200000000000002</v>
      </c>
      <c r="J84" s="4">
        <v>-0.22</v>
      </c>
      <c r="K84" s="6">
        <v>1.01</v>
      </c>
      <c r="L84" s="4">
        <v>-1.21</v>
      </c>
      <c r="M84" s="6">
        <v>-3</v>
      </c>
      <c r="N84" s="4">
        <v>5.05</v>
      </c>
      <c r="O84" s="4">
        <v>-2.63</v>
      </c>
      <c r="P84" s="6">
        <v>-6.38</v>
      </c>
      <c r="Q84" s="4">
        <v>-1.21</v>
      </c>
      <c r="R84" s="6">
        <v>2.96</v>
      </c>
      <c r="S84" s="4">
        <v>2.14</v>
      </c>
      <c r="T84" s="4">
        <v>-4.3899999999999997</v>
      </c>
      <c r="U84" s="6">
        <v>-4.0999999999999996</v>
      </c>
      <c r="V84" s="6">
        <v>-6.49</v>
      </c>
      <c r="W84" s="4">
        <v>6.82</v>
      </c>
      <c r="X84" s="7">
        <v>-0.79919678714859455</v>
      </c>
      <c r="Y84" s="9">
        <v>5.7800000000000047</v>
      </c>
      <c r="Z84" s="9">
        <v>2.787610619469028</v>
      </c>
      <c r="AA84" s="8">
        <v>-0.36448598130841109</v>
      </c>
    </row>
    <row r="85" spans="2:27" hidden="1" x14ac:dyDescent="0.3">
      <c r="B85" s="3" t="s">
        <v>161</v>
      </c>
      <c r="C85" s="3" t="s">
        <v>455</v>
      </c>
      <c r="D85" s="3" t="s">
        <v>456</v>
      </c>
      <c r="E85" s="3" t="s">
        <v>445</v>
      </c>
      <c r="F85" s="5">
        <v>5</v>
      </c>
      <c r="G85" s="4">
        <v>-2.76</v>
      </c>
      <c r="H85" s="4">
        <v>1.91</v>
      </c>
      <c r="I85" s="4">
        <v>-0.63</v>
      </c>
      <c r="J85" s="4">
        <v>-0.71</v>
      </c>
      <c r="K85" s="6">
        <v>-4.49</v>
      </c>
      <c r="L85" s="6">
        <v>-1.58</v>
      </c>
      <c r="M85" s="4">
        <v>-0.93</v>
      </c>
      <c r="N85" s="6">
        <v>-1.88</v>
      </c>
      <c r="O85" s="4">
        <v>-0.74</v>
      </c>
      <c r="P85" s="6">
        <v>-2.3199999999999998</v>
      </c>
      <c r="Q85" s="4">
        <v>-1.26</v>
      </c>
      <c r="R85" s="4">
        <v>-0.87</v>
      </c>
      <c r="S85" s="6">
        <v>-2.15</v>
      </c>
      <c r="T85" s="4">
        <v>-2.64</v>
      </c>
      <c r="U85" s="6">
        <v>-3.51</v>
      </c>
      <c r="V85" s="6">
        <v>-11.81</v>
      </c>
      <c r="W85" s="4">
        <v>-3.15</v>
      </c>
      <c r="X85" s="7">
        <v>4.8484848484848582E-2</v>
      </c>
      <c r="Y85" s="9">
        <v>0.32514450867052019</v>
      </c>
      <c r="Z85" s="9">
        <v>1.1930207197382769</v>
      </c>
      <c r="AA85" s="8">
        <v>4.9726504226752948E-2</v>
      </c>
    </row>
    <row r="86" spans="2:27" hidden="1" x14ac:dyDescent="0.3">
      <c r="B86" s="3" t="s">
        <v>297</v>
      </c>
      <c r="C86" s="3" t="s">
        <v>455</v>
      </c>
      <c r="D86" s="3" t="s">
        <v>444</v>
      </c>
      <c r="E86" s="3" t="s">
        <v>459</v>
      </c>
      <c r="F86" s="5">
        <v>-13.1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4">
        <v>-3.07</v>
      </c>
      <c r="S86" s="4">
        <v>-35.81</v>
      </c>
      <c r="T86" s="4">
        <v>-48.88</v>
      </c>
      <c r="U86" s="4">
        <v>-40.950000000000003</v>
      </c>
      <c r="V86" s="6">
        <v>-18.37</v>
      </c>
      <c r="W86" s="4">
        <v>-16.989999999999998</v>
      </c>
      <c r="X86" s="11"/>
      <c r="Y86" s="3"/>
      <c r="Z86" s="9">
        <v>0.1188718825266102</v>
      </c>
      <c r="AA86" s="8">
        <v>-0.13068536907159231</v>
      </c>
    </row>
  </sheetData>
  <autoFilter ref="B2:AA86" xr:uid="{00000000-0009-0000-0000-000002000000}">
    <filterColumn colId="3">
      <filters>
        <filter val="Dec'25"/>
        <filter val="H1 2026"/>
        <filter val="Jun'26"/>
        <filter val="Mar'26"/>
        <filter val="Sep'26"/>
      </filters>
    </filterColumn>
    <sortState xmlns:xlrd2="http://schemas.microsoft.com/office/spreadsheetml/2017/richdata2" ref="B3:AA70">
      <sortCondition descending="1" ref="C2:C86"/>
    </sortState>
  </autoFilter>
  <phoneticPr fontId="6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AB14"/>
  <sheetViews>
    <sheetView workbookViewId="0">
      <selection activeCell="Y3" sqref="Y3:AC13"/>
    </sheetView>
  </sheetViews>
  <sheetFormatPr defaultRowHeight="16.5" x14ac:dyDescent="0.3"/>
  <cols>
    <col min="1" max="1" width="10.875" customWidth="1"/>
    <col min="2" max="2" width="21" customWidth="1"/>
    <col min="3" max="7" width="9.25" hidden="1" customWidth="1"/>
    <col min="8" max="15" width="9.25" customWidth="1"/>
    <col min="16" max="16" width="9.75" customWidth="1"/>
    <col min="17" max="23" width="9.25" customWidth="1"/>
  </cols>
  <sheetData>
    <row r="2" spans="2:28" x14ac:dyDescent="0.3">
      <c r="B2" s="36" t="s">
        <v>464</v>
      </c>
      <c r="C2" s="37"/>
      <c r="D2" s="37"/>
      <c r="E2" s="37"/>
      <c r="F2" s="37"/>
      <c r="G2" s="37"/>
      <c r="H2" s="37"/>
      <c r="I2" s="37"/>
      <c r="J2" s="37"/>
      <c r="K2" s="37"/>
      <c r="L2" s="37"/>
      <c r="M2" s="37"/>
      <c r="N2" s="37"/>
      <c r="O2" s="37"/>
      <c r="P2" s="37"/>
      <c r="Q2" s="37"/>
      <c r="R2" s="37"/>
      <c r="S2" s="37"/>
    </row>
    <row r="3" spans="2:28" x14ac:dyDescent="0.3">
      <c r="B3" s="37"/>
      <c r="C3" s="37"/>
      <c r="D3" s="37"/>
      <c r="E3" s="37"/>
      <c r="F3" s="37"/>
      <c r="G3" s="37"/>
      <c r="H3" s="37"/>
      <c r="I3" s="37"/>
      <c r="J3" s="37"/>
      <c r="K3" s="37"/>
      <c r="L3" s="37"/>
      <c r="M3" s="37"/>
      <c r="N3" s="37"/>
      <c r="O3" s="37"/>
      <c r="P3" s="37"/>
      <c r="Q3" s="37"/>
      <c r="R3" s="37"/>
      <c r="S3" s="37"/>
      <c r="Y3" s="12"/>
      <c r="Z3" s="12"/>
      <c r="AA3" s="3"/>
      <c r="AB3" s="3"/>
    </row>
    <row r="4" spans="2:28" x14ac:dyDescent="0.3">
      <c r="B4" s="38" t="s">
        <v>463</v>
      </c>
      <c r="C4" s="39">
        <v>6</v>
      </c>
      <c r="D4" s="39">
        <v>7</v>
      </c>
      <c r="E4" s="39">
        <v>8</v>
      </c>
      <c r="F4" s="39">
        <v>9</v>
      </c>
      <c r="G4" s="39">
        <v>10</v>
      </c>
      <c r="H4" s="39">
        <v>11</v>
      </c>
      <c r="I4" s="39">
        <v>12</v>
      </c>
      <c r="J4" s="39">
        <v>13</v>
      </c>
      <c r="K4" s="39">
        <v>14</v>
      </c>
      <c r="L4" s="39">
        <v>15</v>
      </c>
      <c r="M4" s="39">
        <v>16</v>
      </c>
      <c r="N4" s="39">
        <v>17</v>
      </c>
      <c r="O4" s="39">
        <v>18</v>
      </c>
      <c r="P4" s="39">
        <v>19</v>
      </c>
      <c r="Q4" s="39">
        <v>20</v>
      </c>
      <c r="R4" s="39">
        <v>21</v>
      </c>
      <c r="S4" s="39">
        <v>22</v>
      </c>
      <c r="Y4" s="12"/>
      <c r="Z4" s="12"/>
      <c r="AA4" s="3"/>
      <c r="AB4" s="3"/>
    </row>
    <row r="5" spans="2:28" x14ac:dyDescent="0.3">
      <c r="B5" s="40"/>
      <c r="C5" s="40"/>
      <c r="D5" s="40"/>
      <c r="E5" s="40"/>
      <c r="F5" s="40"/>
      <c r="G5" s="40"/>
      <c r="H5" s="40"/>
      <c r="I5" s="40"/>
      <c r="J5" s="40"/>
      <c r="K5" s="40"/>
      <c r="L5" s="40"/>
      <c r="M5" s="40"/>
      <c r="N5" s="40"/>
      <c r="O5" s="40"/>
      <c r="P5" s="40"/>
      <c r="Q5" s="40"/>
      <c r="R5" s="40"/>
      <c r="S5" s="40"/>
      <c r="Y5" s="12"/>
      <c r="Z5" s="12"/>
      <c r="AA5" s="3"/>
      <c r="AB5" s="3"/>
    </row>
    <row r="6" spans="2:28" ht="18" customHeight="1" x14ac:dyDescent="0.3">
      <c r="B6" s="41"/>
      <c r="C6" s="42" t="s">
        <v>465</v>
      </c>
      <c r="D6" s="42" t="s">
        <v>466</v>
      </c>
      <c r="E6" s="42" t="s">
        <v>467</v>
      </c>
      <c r="F6" s="42" t="s">
        <v>468</v>
      </c>
      <c r="G6" s="42" t="s">
        <v>469</v>
      </c>
      <c r="H6" s="42" t="s">
        <v>391</v>
      </c>
      <c r="I6" s="42" t="s">
        <v>470</v>
      </c>
      <c r="J6" s="42" t="s">
        <v>471</v>
      </c>
      <c r="K6" s="42" t="s">
        <v>472</v>
      </c>
      <c r="L6" s="42" t="s">
        <v>395</v>
      </c>
      <c r="M6" s="42" t="s">
        <v>396</v>
      </c>
      <c r="N6" s="42" t="s">
        <v>397</v>
      </c>
      <c r="O6" s="42" t="s">
        <v>398</v>
      </c>
      <c r="P6" s="42" t="s">
        <v>399</v>
      </c>
      <c r="Q6" s="42" t="s">
        <v>400</v>
      </c>
      <c r="R6" s="42" t="s">
        <v>401</v>
      </c>
      <c r="S6" s="43" t="s">
        <v>402</v>
      </c>
      <c r="T6" s="42" t="s">
        <v>473</v>
      </c>
      <c r="U6" s="42" t="s">
        <v>474</v>
      </c>
      <c r="V6" s="42" t="s">
        <v>475</v>
      </c>
      <c r="W6" s="42" t="s">
        <v>476</v>
      </c>
      <c r="Y6" s="12"/>
    </row>
    <row r="7" spans="2:28" x14ac:dyDescent="0.3">
      <c r="B7" s="44" t="s">
        <v>477</v>
      </c>
      <c r="C7" s="56">
        <f>VLOOKUP($B$4,Revenue!$B:$W,C4,FALSE)</f>
        <v>0</v>
      </c>
      <c r="D7" s="57">
        <f>VLOOKUP($B$4,Revenue!$B:$W,D4,FALSE)</f>
        <v>138.53</v>
      </c>
      <c r="E7" s="57">
        <f>VLOOKUP($B$4,Revenue!$B:$W,E4,FALSE)</f>
        <v>107.82</v>
      </c>
      <c r="F7" s="57">
        <f>VLOOKUP($B$4,Revenue!$B:$W,F4,FALSE)</f>
        <v>89.3</v>
      </c>
      <c r="G7" s="57">
        <f>VLOOKUP($B$4,Revenue!$B:$W,G4,FALSE)</f>
        <v>0</v>
      </c>
      <c r="H7" s="57">
        <f>VLOOKUP($B$4,Revenue!$B:$W,H4,FALSE)</f>
        <v>117.31</v>
      </c>
      <c r="I7" s="57">
        <f>VLOOKUP($B$4,Revenue!$B:$W,I4,FALSE)</f>
        <v>83.22</v>
      </c>
      <c r="J7" s="57">
        <f>VLOOKUP($B$4,Revenue!$B:$W,J4,FALSE)</f>
        <v>101.4</v>
      </c>
      <c r="K7" s="57">
        <f>VLOOKUP($B$4,Revenue!$B:$W,K4,FALSE)</f>
        <v>86.87</v>
      </c>
      <c r="L7" s="57">
        <f>VLOOKUP($B$4,Revenue!$B:$W,L4,FALSE)</f>
        <v>83.41</v>
      </c>
      <c r="M7" s="57">
        <f>VLOOKUP($B$4,Revenue!$B:$W,M4,FALSE)</f>
        <v>87.35</v>
      </c>
      <c r="N7" s="57">
        <f>VLOOKUP($B$4,Revenue!$B:$W,N4,FALSE)</f>
        <v>86.1</v>
      </c>
      <c r="O7" s="57">
        <f>VLOOKUP($B$4,Revenue!$B:$W,O4,FALSE)</f>
        <v>119.17</v>
      </c>
      <c r="P7" s="57">
        <f>VLOOKUP($B$4,Revenue!$B:$W,P4,FALSE)</f>
        <v>87.67</v>
      </c>
      <c r="Q7" s="57">
        <f>VLOOKUP($B$4,Revenue!$B:$W,Q4,FALSE)</f>
        <v>85.74</v>
      </c>
      <c r="R7" s="57">
        <f>VLOOKUP($B$4,Revenue!$B:$W,R4,FALSE)</f>
        <v>87.34</v>
      </c>
      <c r="S7" s="46">
        <f>VLOOKUP($B$4,Revenue!$B:$W,S4,FALSE)</f>
        <v>182.64</v>
      </c>
      <c r="T7" s="45"/>
      <c r="U7" s="45"/>
      <c r="V7" s="45"/>
      <c r="W7" s="45"/>
      <c r="Y7" s="12"/>
    </row>
    <row r="8" spans="2:28" x14ac:dyDescent="0.3">
      <c r="B8" s="44" t="s">
        <v>478</v>
      </c>
      <c r="C8" s="56">
        <f>VLOOKUP($B$4,'Operating Income'!$B:$W,C4,FALSE)</f>
        <v>0</v>
      </c>
      <c r="D8" s="57">
        <f>VLOOKUP($B$4,'Operating Income'!$B:$W,D4,FALSE)</f>
        <v>70.53</v>
      </c>
      <c r="E8" s="57">
        <f>VLOOKUP($B$4,'Operating Income'!$B:$W,E4,FALSE)</f>
        <v>37.56</v>
      </c>
      <c r="F8" s="57">
        <f>VLOOKUP($B$4,'Operating Income'!$B:$W,F4,FALSE)</f>
        <v>18.8</v>
      </c>
      <c r="G8" s="57">
        <f>VLOOKUP($B$4,'Operating Income'!$B:$W,G4,FALSE)</f>
        <v>0</v>
      </c>
      <c r="H8" s="57">
        <f>VLOOKUP($B$4,'Operating Income'!$B:$W,H4,FALSE)</f>
        <v>57.75</v>
      </c>
      <c r="I8" s="57">
        <f>VLOOKUP($B$4,'Operating Income'!$B:$W,I4,FALSE)</f>
        <v>20.059999999999999</v>
      </c>
      <c r="J8" s="57">
        <f>VLOOKUP($B$4,'Operating Income'!$B:$W,J4,FALSE)</f>
        <v>42.32</v>
      </c>
      <c r="K8" s="57">
        <f>VLOOKUP($B$4,'Operating Income'!$B:$W,K4,FALSE)</f>
        <v>25.44</v>
      </c>
      <c r="L8" s="57">
        <f>VLOOKUP($B$4,'Operating Income'!$B:$W,L4,FALSE)</f>
        <v>22.29</v>
      </c>
      <c r="M8" s="57">
        <f>VLOOKUP($B$4,'Operating Income'!$B:$W,M4,FALSE)</f>
        <v>27.9</v>
      </c>
      <c r="N8" s="57">
        <f>VLOOKUP($B$4,'Operating Income'!$B:$W,N4,FALSE)</f>
        <v>30.77</v>
      </c>
      <c r="O8" s="57">
        <f>VLOOKUP($B$4,'Operating Income'!$B:$W,O4,FALSE)</f>
        <v>61.29</v>
      </c>
      <c r="P8" s="57">
        <f>VLOOKUP($B$4,'Operating Income'!$B:$W,P4,FALSE)</f>
        <v>28.69</v>
      </c>
      <c r="Q8" s="57">
        <f>VLOOKUP($B$4,'Operating Income'!$B:$W,Q4,FALSE)</f>
        <v>23.58</v>
      </c>
      <c r="R8" s="57">
        <f>VLOOKUP($B$4,'Operating Income'!$B:$W,R4,FALSE)</f>
        <v>32.200000000000003</v>
      </c>
      <c r="S8" s="46">
        <f>VLOOKUP($B$4,'Operating Income'!$B:$W,S4,FALSE)</f>
        <v>115.24</v>
      </c>
      <c r="T8" s="45"/>
      <c r="U8" s="45"/>
      <c r="V8" s="45"/>
      <c r="W8" s="45"/>
      <c r="Y8" s="12"/>
    </row>
    <row r="9" spans="2:28" x14ac:dyDescent="0.3">
      <c r="B9" s="44" t="s">
        <v>479</v>
      </c>
      <c r="C9" s="45">
        <f>AVERAGE(C8:C8)</f>
        <v>0</v>
      </c>
      <c r="D9" s="45">
        <f>AVERAGE(C8:D8)</f>
        <v>35.265000000000001</v>
      </c>
      <c r="E9" s="45">
        <f>AVERAGE(C8:E8)</f>
        <v>36.03</v>
      </c>
      <c r="F9" s="45">
        <f t="shared" ref="F9:R9" si="0">AVERAGE(C8:F8)</f>
        <v>31.7225</v>
      </c>
      <c r="G9" s="45">
        <f t="shared" si="0"/>
        <v>31.7225</v>
      </c>
      <c r="H9" s="45">
        <f t="shared" si="0"/>
        <v>28.5275</v>
      </c>
      <c r="I9" s="45">
        <f t="shared" si="0"/>
        <v>24.1525</v>
      </c>
      <c r="J9" s="45">
        <f>AVERAGE(G8:J8)</f>
        <v>30.032499999999999</v>
      </c>
      <c r="K9" s="45">
        <f t="shared" si="0"/>
        <v>36.392499999999998</v>
      </c>
      <c r="L9" s="45">
        <f t="shared" si="0"/>
        <v>27.527499999999996</v>
      </c>
      <c r="M9" s="45">
        <f t="shared" si="0"/>
        <v>29.487500000000004</v>
      </c>
      <c r="N9" s="45">
        <f t="shared" si="0"/>
        <v>26.599999999999998</v>
      </c>
      <c r="O9" s="45">
        <f t="shared" si="0"/>
        <v>35.5625</v>
      </c>
      <c r="P9" s="45">
        <f t="shared" si="0"/>
        <v>37.162500000000001</v>
      </c>
      <c r="Q9" s="45">
        <f t="shared" si="0"/>
        <v>36.082499999999996</v>
      </c>
      <c r="R9" s="45">
        <f t="shared" si="0"/>
        <v>36.44</v>
      </c>
      <c r="S9" s="46">
        <f>AVERAGE(P8:S8)</f>
        <v>49.927499999999995</v>
      </c>
      <c r="T9" s="45"/>
      <c r="U9" s="45"/>
      <c r="V9" s="45"/>
      <c r="W9" s="45"/>
      <c r="Y9" s="12"/>
    </row>
    <row r="10" spans="2:28" x14ac:dyDescent="0.3">
      <c r="B10" s="44" t="s">
        <v>480</v>
      </c>
      <c r="C10" s="45">
        <f>SUM(C8:C8)</f>
        <v>0</v>
      </c>
      <c r="D10" s="45">
        <f>SUM(C8:D8)</f>
        <v>70.53</v>
      </c>
      <c r="E10" s="45">
        <f>SUM(C8:E8)</f>
        <v>108.09</v>
      </c>
      <c r="F10" s="45">
        <f t="shared" ref="F10:S10" si="1">SUM(C8:F8)</f>
        <v>126.89</v>
      </c>
      <c r="G10" s="45">
        <f t="shared" si="1"/>
        <v>126.89</v>
      </c>
      <c r="H10" s="45">
        <f t="shared" si="1"/>
        <v>114.11</v>
      </c>
      <c r="I10" s="45">
        <f t="shared" si="1"/>
        <v>96.61</v>
      </c>
      <c r="J10" s="45">
        <f t="shared" si="1"/>
        <v>120.13</v>
      </c>
      <c r="K10" s="45">
        <f t="shared" si="1"/>
        <v>145.57</v>
      </c>
      <c r="L10" s="45">
        <f t="shared" si="1"/>
        <v>110.10999999999999</v>
      </c>
      <c r="M10" s="45">
        <f t="shared" si="1"/>
        <v>117.95000000000002</v>
      </c>
      <c r="N10" s="45">
        <f t="shared" si="1"/>
        <v>106.39999999999999</v>
      </c>
      <c r="O10" s="45">
        <f t="shared" si="1"/>
        <v>142.25</v>
      </c>
      <c r="P10" s="45">
        <f t="shared" si="1"/>
        <v>148.65</v>
      </c>
      <c r="Q10" s="45">
        <f t="shared" si="1"/>
        <v>144.32999999999998</v>
      </c>
      <c r="R10" s="45">
        <f t="shared" si="1"/>
        <v>145.76</v>
      </c>
      <c r="S10" s="46">
        <f t="shared" si="1"/>
        <v>199.70999999999998</v>
      </c>
      <c r="T10" s="45"/>
      <c r="U10" s="45"/>
      <c r="V10" s="45"/>
      <c r="W10" s="45"/>
      <c r="Y10" s="12"/>
    </row>
    <row r="11" spans="2:28" x14ac:dyDescent="0.3">
      <c r="B11" s="44" t="s">
        <v>481</v>
      </c>
      <c r="C11" s="47"/>
      <c r="D11" s="47" t="e">
        <f t="shared" ref="D11:S11" si="2">D9/C9-1</f>
        <v>#DIV/0!</v>
      </c>
      <c r="E11" s="47">
        <f t="shared" si="2"/>
        <v>2.1692896639727843E-2</v>
      </c>
      <c r="F11" s="47">
        <f t="shared" si="2"/>
        <v>-0.11955315015265056</v>
      </c>
      <c r="G11" s="47">
        <f t="shared" si="2"/>
        <v>0</v>
      </c>
      <c r="H11" s="47">
        <f t="shared" si="2"/>
        <v>-0.10071715659232405</v>
      </c>
      <c r="I11" s="47">
        <f t="shared" si="2"/>
        <v>-0.15336079221803522</v>
      </c>
      <c r="J11" s="47">
        <f t="shared" si="2"/>
        <v>0.24345305868957667</v>
      </c>
      <c r="K11" s="47">
        <f t="shared" si="2"/>
        <v>0.21177058186964115</v>
      </c>
      <c r="L11" s="47">
        <f t="shared" si="2"/>
        <v>-0.24359414714570315</v>
      </c>
      <c r="M11" s="47">
        <f t="shared" si="2"/>
        <v>7.1201525746980687E-2</v>
      </c>
      <c r="N11" s="47">
        <f t="shared" si="2"/>
        <v>-9.7922848664688589E-2</v>
      </c>
      <c r="O11" s="47">
        <f t="shared" si="2"/>
        <v>0.33693609022556403</v>
      </c>
      <c r="P11" s="48">
        <f t="shared" si="2"/>
        <v>4.4991212653778589E-2</v>
      </c>
      <c r="Q11" s="48">
        <f t="shared" si="2"/>
        <v>-2.9061553985872957E-2</v>
      </c>
      <c r="R11" s="48">
        <f t="shared" si="2"/>
        <v>9.9078500658213997E-3</v>
      </c>
      <c r="S11" s="49">
        <f t="shared" si="2"/>
        <v>0.37012897914379805</v>
      </c>
      <c r="T11" s="50"/>
      <c r="U11" s="50"/>
      <c r="V11" s="50"/>
      <c r="W11" s="50"/>
      <c r="Y11" s="12"/>
    </row>
    <row r="12" spans="2:28" x14ac:dyDescent="0.3">
      <c r="B12" s="44" t="s">
        <v>460</v>
      </c>
      <c r="C12" s="51" t="str">
        <f t="shared" ref="C12:F12" si="3">IFERROR(C8/C7,"-")</f>
        <v>-</v>
      </c>
      <c r="D12" s="51">
        <f t="shared" si="3"/>
        <v>0.50913159604417813</v>
      </c>
      <c r="E12" s="51">
        <f t="shared" si="3"/>
        <v>0.34835837506956041</v>
      </c>
      <c r="F12" s="51">
        <f t="shared" si="3"/>
        <v>0.2105263157894737</v>
      </c>
      <c r="G12" s="51" t="str">
        <f>IFERROR(G8/G7,"-")</f>
        <v>-</v>
      </c>
      <c r="H12" s="51">
        <f t="shared" ref="H12:S12" si="4">IFERROR(H8/H7,"-")</f>
        <v>0.49228539766430823</v>
      </c>
      <c r="I12" s="51">
        <f t="shared" si="4"/>
        <v>0.24104782504205718</v>
      </c>
      <c r="J12" s="51">
        <f t="shared" si="4"/>
        <v>0.41735700197238657</v>
      </c>
      <c r="K12" s="51">
        <f t="shared" si="4"/>
        <v>0.29285138713019454</v>
      </c>
      <c r="L12" s="51">
        <f t="shared" si="4"/>
        <v>0.26723414458697997</v>
      </c>
      <c r="M12" s="51">
        <f t="shared" si="4"/>
        <v>0.31940469376073272</v>
      </c>
      <c r="N12" s="51">
        <f t="shared" si="4"/>
        <v>0.35737514518002322</v>
      </c>
      <c r="O12" s="51">
        <f t="shared" si="4"/>
        <v>0.5143072921037174</v>
      </c>
      <c r="P12" s="51">
        <f t="shared" si="4"/>
        <v>0.32724991445192197</v>
      </c>
      <c r="Q12" s="51">
        <f t="shared" si="4"/>
        <v>0.2750174947515745</v>
      </c>
      <c r="R12" s="51">
        <f t="shared" si="4"/>
        <v>0.3686741470116785</v>
      </c>
      <c r="S12" s="52">
        <f t="shared" si="4"/>
        <v>0.63096802452912837</v>
      </c>
      <c r="T12" s="53"/>
      <c r="U12" s="53"/>
      <c r="V12" s="53"/>
      <c r="W12" s="53"/>
      <c r="Y12" s="12"/>
    </row>
    <row r="13" spans="2:28" x14ac:dyDescent="0.3">
      <c r="B13" s="44" t="s">
        <v>482</v>
      </c>
      <c r="C13" s="53" t="e">
        <f>C8/#REF!-1</f>
        <v>#REF!</v>
      </c>
      <c r="D13" s="53" t="e">
        <f>D8/#REF!-1</f>
        <v>#REF!</v>
      </c>
      <c r="E13" s="53" t="e">
        <f>E8/#REF!-1</f>
        <v>#REF!</v>
      </c>
      <c r="F13" s="53" t="e">
        <f>F8/#REF!-1</f>
        <v>#REF!</v>
      </c>
      <c r="G13" s="53" t="e">
        <f t="shared" ref="G13:S13" si="5">G8/C8-1</f>
        <v>#DIV/0!</v>
      </c>
      <c r="H13" s="53">
        <f t="shared" si="5"/>
        <v>-0.18119948957890264</v>
      </c>
      <c r="I13" s="53">
        <f t="shared" si="5"/>
        <v>-0.4659211927582535</v>
      </c>
      <c r="J13" s="53">
        <f t="shared" si="5"/>
        <v>1.2510638297872338</v>
      </c>
      <c r="K13" s="53" t="e">
        <f t="shared" si="5"/>
        <v>#DIV/0!</v>
      </c>
      <c r="L13" s="53">
        <f t="shared" si="5"/>
        <v>-0.61402597402597403</v>
      </c>
      <c r="M13" s="53">
        <f t="shared" si="5"/>
        <v>0.39082751744765698</v>
      </c>
      <c r="N13" s="53">
        <f t="shared" si="5"/>
        <v>-0.27292060491493386</v>
      </c>
      <c r="O13" s="53">
        <f t="shared" si="5"/>
        <v>1.4091981132075468</v>
      </c>
      <c r="P13" s="54">
        <f t="shared" si="5"/>
        <v>0.28712427097353088</v>
      </c>
      <c r="Q13" s="54">
        <f t="shared" si="5"/>
        <v>-0.15483870967741942</v>
      </c>
      <c r="R13" s="54">
        <f t="shared" si="5"/>
        <v>4.6473838154046154E-2</v>
      </c>
      <c r="S13" s="55">
        <f t="shared" si="5"/>
        <v>0.88024147495513128</v>
      </c>
      <c r="T13" s="53"/>
      <c r="U13" s="53"/>
      <c r="V13" s="53"/>
      <c r="W13" s="53"/>
      <c r="Y13" s="12"/>
    </row>
    <row r="14" spans="2:28" x14ac:dyDescent="0.3">
      <c r="B14" s="44" t="s">
        <v>483</v>
      </c>
      <c r="G14" s="53" t="e">
        <f>G7/C7-1</f>
        <v>#DIV/0!</v>
      </c>
      <c r="H14" s="53">
        <f>H7/D7-1</f>
        <v>-0.15317981664621383</v>
      </c>
      <c r="I14" s="53">
        <f t="shared" ref="I14:S14" si="6">I7/E7-1</f>
        <v>-0.22815804117974403</v>
      </c>
      <c r="J14" s="53">
        <f t="shared" si="6"/>
        <v>0.13549832026875719</v>
      </c>
      <c r="K14" s="53" t="e">
        <f t="shared" si="6"/>
        <v>#DIV/0!</v>
      </c>
      <c r="L14" s="53">
        <f t="shared" si="6"/>
        <v>-0.28897792174580172</v>
      </c>
      <c r="M14" s="53">
        <f t="shared" si="6"/>
        <v>4.962749339101169E-2</v>
      </c>
      <c r="N14" s="53">
        <f t="shared" si="6"/>
        <v>-0.15088757396449715</v>
      </c>
      <c r="O14" s="53">
        <f t="shared" si="6"/>
        <v>0.37181996086105662</v>
      </c>
      <c r="P14" s="53">
        <f t="shared" si="6"/>
        <v>5.1073012828198205E-2</v>
      </c>
      <c r="Q14" s="53">
        <f t="shared" si="6"/>
        <v>-1.8431597023468749E-2</v>
      </c>
      <c r="R14" s="53">
        <f>R7/N7-1</f>
        <v>1.4401858304297521E-2</v>
      </c>
      <c r="S14" s="55">
        <f t="shared" si="6"/>
        <v>0.53260048669967253</v>
      </c>
    </row>
  </sheetData>
  <phoneticPr fontId="6" type="noConversion"/>
  <conditionalFormatting sqref="B10:P10">
    <cfRule type="top10" dxfId="3" priority="18" percent="1" rank="5"/>
  </conditionalFormatting>
  <conditionalFormatting sqref="B8:S8">
    <cfRule type="top10" dxfId="2" priority="19" percent="1" rank="10"/>
  </conditionalFormatting>
  <conditionalFormatting sqref="B10:S10">
    <cfRule type="top10" priority="20" rank="10"/>
  </conditionalFormatting>
  <conditionalFormatting sqref="B11:W11">
    <cfRule type="cellIs" dxfId="1" priority="4" operator="greaterThan">
      <formula>0.1</formula>
    </cfRule>
  </conditionalFormatting>
  <conditionalFormatting sqref="C13:P13">
    <cfRule type="iconSet" priority="22">
      <iconSet iconSet="3Arrows">
        <cfvo type="percent" val="0"/>
        <cfvo type="percent" val="33"/>
        <cfvo type="percent" val="67"/>
      </iconSet>
    </cfRule>
  </conditionalFormatting>
  <conditionalFormatting sqref="C12:S12">
    <cfRule type="iconSet" priority="23">
      <iconSet iconSet="3Arrows">
        <cfvo type="percent" val="0"/>
        <cfvo type="percent" val="33"/>
        <cfvo type="percent" val="67"/>
      </iconSet>
    </cfRule>
  </conditionalFormatting>
  <conditionalFormatting sqref="G14:S14">
    <cfRule type="iconSet" priority="8">
      <iconSet iconSet="3Arrows">
        <cfvo type="percent" val="0"/>
        <cfvo type="percent" val="33"/>
        <cfvo type="percent" val="67"/>
      </iconSet>
    </cfRule>
    <cfRule type="iconSet" priority="9">
      <iconSet iconSet="3Arrows">
        <cfvo type="percent" val="0"/>
        <cfvo type="percent" val="33"/>
        <cfvo type="percent" val="67"/>
      </iconSet>
    </cfRule>
  </conditionalFormatting>
  <conditionalFormatting sqref="H12:S12 H13:O13 C12:G13">
    <cfRule type="iconSet" priority="21">
      <iconSet iconSet="3Arrows">
        <cfvo type="percent" val="0"/>
        <cfvo type="percent" val="33"/>
        <cfvo type="percent" val="67"/>
      </iconSet>
    </cfRule>
  </conditionalFormatting>
  <conditionalFormatting sqref="P13">
    <cfRule type="iconSet" priority="16">
      <iconSet iconSet="3Arrows">
        <cfvo type="percent" val="0"/>
        <cfvo type="percent" val="33"/>
        <cfvo type="percent" val="67"/>
      </iconSet>
    </cfRule>
  </conditionalFormatting>
  <conditionalFormatting sqref="P12:S12">
    <cfRule type="iconSet" priority="17">
      <iconSet iconSet="3Arrows">
        <cfvo type="percent" val="0"/>
        <cfvo type="percent" val="33"/>
        <cfvo type="percent" val="67"/>
      </iconSet>
    </cfRule>
  </conditionalFormatting>
  <conditionalFormatting sqref="Q13">
    <cfRule type="iconSet" priority="14">
      <iconSet iconSet="3Arrows">
        <cfvo type="percent" val="0"/>
        <cfvo type="percent" val="33"/>
        <cfvo type="percent" val="67"/>
      </iconSet>
    </cfRule>
    <cfRule type="iconSet" priority="15">
      <iconSet iconSet="3Arrows">
        <cfvo type="percent" val="0"/>
        <cfvo type="percent" val="33"/>
        <cfvo type="percent" val="67"/>
      </iconSet>
    </cfRule>
  </conditionalFormatting>
  <conditionalFormatting sqref="R13">
    <cfRule type="iconSet" priority="12">
      <iconSet iconSet="3Arrows">
        <cfvo type="percent" val="0"/>
        <cfvo type="percent" val="33"/>
        <cfvo type="percent" val="67"/>
      </iconSet>
    </cfRule>
    <cfRule type="iconSet" priority="13">
      <iconSet iconSet="3Arrows">
        <cfvo type="percent" val="0"/>
        <cfvo type="percent" val="33"/>
        <cfvo type="percent" val="67"/>
      </iconSet>
    </cfRule>
  </conditionalFormatting>
  <conditionalFormatting sqref="S13">
    <cfRule type="iconSet" priority="10">
      <iconSet iconSet="3Arrows">
        <cfvo type="percent" val="0"/>
        <cfvo type="percent" val="33"/>
        <cfvo type="percent" val="67"/>
      </iconSet>
    </cfRule>
    <cfRule type="iconSet" priority="11">
      <iconSet iconSet="3Arrows">
        <cfvo type="percent" val="0"/>
        <cfvo type="percent" val="33"/>
        <cfvo type="percent" val="67"/>
      </iconSet>
    </cfRule>
  </conditionalFormatting>
  <conditionalFormatting sqref="T8:W8">
    <cfRule type="top10" dxfId="0" priority="5" percent="1" rank="10"/>
  </conditionalFormatting>
  <conditionalFormatting sqref="T10:W10">
    <cfRule type="top10" priority="6" rank="10"/>
  </conditionalFormatting>
  <conditionalFormatting sqref="T12:W12">
    <cfRule type="iconSet" priority="3">
      <iconSet iconSet="3Arrows">
        <cfvo type="percent" val="0"/>
        <cfvo type="percent" val="33"/>
        <cfvo type="percent" val="67"/>
      </iconSet>
    </cfRule>
    <cfRule type="iconSet" priority="7">
      <iconSet iconSet="3Arrows">
        <cfvo type="percent" val="0"/>
        <cfvo type="percent" val="33"/>
        <cfvo type="percent" val="67"/>
      </iconSet>
    </cfRule>
  </conditionalFormatting>
  <conditionalFormatting sqref="T13:W13">
    <cfRule type="iconSet" priority="1">
      <iconSet iconSet="3Arrows">
        <cfvo type="percent" val="0"/>
        <cfvo type="percent" val="33"/>
        <cfvo type="percent" val="67"/>
      </iconSet>
    </cfRule>
    <cfRule type="iconSet" priority="2">
      <iconSet iconSet="3Arrows">
        <cfvo type="percent" val="0"/>
        <cfvo type="percent" val="33"/>
        <cfvo type="percent" val="67"/>
      </iconSet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기업리스트</vt:lpstr>
      <vt:lpstr>Revenue</vt:lpstr>
      <vt:lpstr>Operating Income</vt:lpstr>
      <vt:lpstr>빨간줄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지후 임</cp:lastModifiedBy>
  <dcterms:created xsi:type="dcterms:W3CDTF">2026-02-24T07:55:35Z</dcterms:created>
  <dcterms:modified xsi:type="dcterms:W3CDTF">2026-02-24T09:20:05Z</dcterms:modified>
</cp:coreProperties>
</file>