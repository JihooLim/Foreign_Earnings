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툴 개발\finchat 키인\"/>
    </mc:Choice>
  </mc:AlternateContent>
  <xr:revisionPtr revIDLastSave="0" documentId="13_ncr:1_{029E4ABE-B8BF-4CC6-BB32-9F3FF1B82633}" xr6:coauthVersionLast="47" xr6:coauthVersionMax="47" xr10:uidLastSave="{00000000-0000-0000-0000-000000000000}"/>
  <bookViews>
    <workbookView xWindow="28680" yWindow="465" windowWidth="29040" windowHeight="15720" activeTab="3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Income'!$B$2:$AA$243</definedName>
    <definedName name="_xlnm._FilterDatabase" localSheetId="1" hidden="1">Revenue!$B$2:$AA$241</definedName>
    <definedName name="_xlnm._FilterDatabase" localSheetId="0" hidden="1">기업리스트!$B$3:$G$384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4" l="1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S7" i="4"/>
  <c r="R7" i="4"/>
  <c r="Q7" i="4"/>
  <c r="P7" i="4"/>
  <c r="O7" i="4"/>
  <c r="O12" i="4" s="1"/>
  <c r="N7" i="4"/>
  <c r="M7" i="4"/>
  <c r="L7" i="4"/>
  <c r="K7" i="4"/>
  <c r="J7" i="4"/>
  <c r="I7" i="4"/>
  <c r="H7" i="4"/>
  <c r="G7" i="4"/>
  <c r="F7" i="4"/>
  <c r="E7" i="4"/>
  <c r="D7" i="4"/>
  <c r="C8" i="4"/>
  <c r="C7" i="4"/>
  <c r="N9" i="4" l="1"/>
  <c r="P14" i="4"/>
  <c r="Q13" i="4"/>
  <c r="O9" i="4"/>
  <c r="R13" i="4"/>
  <c r="I14" i="4"/>
  <c r="D12" i="4"/>
  <c r="L9" i="4"/>
  <c r="M10" i="4"/>
  <c r="S14" i="4"/>
  <c r="O13" i="4"/>
  <c r="H10" i="4"/>
  <c r="G10" i="4"/>
  <c r="R14" i="4"/>
  <c r="R10" i="4"/>
  <c r="J14" i="4"/>
  <c r="S10" i="4"/>
  <c r="Q10" i="4"/>
  <c r="I10" i="4"/>
  <c r="J10" i="4"/>
  <c r="Q14" i="4"/>
  <c r="M12" i="4"/>
  <c r="H14" i="4"/>
  <c r="K14" i="4"/>
  <c r="S13" i="4"/>
  <c r="L14" i="4"/>
  <c r="H13" i="4"/>
  <c r="Q9" i="4"/>
  <c r="M14" i="4"/>
  <c r="R9" i="4"/>
  <c r="N14" i="4"/>
  <c r="F9" i="4"/>
  <c r="E9" i="4"/>
  <c r="C9" i="4"/>
  <c r="C12" i="4"/>
  <c r="G14" i="4"/>
  <c r="K13" i="4"/>
  <c r="D9" i="4"/>
  <c r="P9" i="4"/>
  <c r="K10" i="4"/>
  <c r="N12" i="4"/>
  <c r="I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L10" i="4"/>
  <c r="J13" i="4"/>
  <c r="J9" i="4"/>
  <c r="E10" i="4"/>
  <c r="H12" i="4"/>
  <c r="C13" i="4"/>
  <c r="K9" i="4"/>
  <c r="F10" i="4"/>
  <c r="I12" i="4"/>
  <c r="D13" i="4"/>
  <c r="P13" i="4"/>
  <c r="O14" i="4"/>
  <c r="P12" i="4"/>
  <c r="J12" i="4"/>
  <c r="E13" i="4"/>
  <c r="M9" i="4"/>
  <c r="K12" i="4"/>
  <c r="F13" i="4"/>
  <c r="L12" i="4"/>
  <c r="G13" i="4"/>
  <c r="P11" i="4" l="1"/>
  <c r="O11" i="4"/>
  <c r="M11" i="4"/>
  <c r="R11" i="4"/>
  <c r="I11" i="4"/>
  <c r="K11" i="4"/>
  <c r="S11" i="4"/>
  <c r="D11" i="4"/>
  <c r="G11" i="4"/>
  <c r="F11" i="4"/>
  <c r="H11" i="4"/>
  <c r="Q11" i="4"/>
  <c r="L11" i="4"/>
  <c r="J11" i="4"/>
  <c r="N11" i="4"/>
  <c r="E11" i="4"/>
  <c r="D241" i="2" l="1"/>
  <c r="D240" i="2"/>
  <c r="D239" i="2"/>
  <c r="D238" i="2"/>
  <c r="D237" i="2"/>
  <c r="D234" i="2"/>
  <c r="D233" i="2"/>
  <c r="D232" i="2"/>
  <c r="D230" i="2"/>
  <c r="D229" i="2"/>
  <c r="D228" i="2"/>
  <c r="D227" i="2"/>
  <c r="D226" i="2"/>
  <c r="D225" i="2"/>
  <c r="D224" i="2"/>
  <c r="D223" i="2"/>
  <c r="D222" i="2"/>
  <c r="D221" i="2"/>
  <c r="D219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7" i="2"/>
  <c r="D196" i="2"/>
  <c r="D193" i="2"/>
  <c r="D191" i="2"/>
  <c r="D190" i="2"/>
  <c r="D189" i="2"/>
  <c r="D187" i="2"/>
  <c r="D186" i="2"/>
  <c r="D185" i="2"/>
  <c r="D184" i="2"/>
  <c r="D183" i="2"/>
  <c r="D182" i="2"/>
  <c r="D181" i="2"/>
  <c r="D180" i="2"/>
  <c r="D179" i="2"/>
  <c r="D177" i="2"/>
  <c r="D176" i="2"/>
  <c r="D175" i="2"/>
  <c r="D174" i="2"/>
  <c r="D173" i="2"/>
  <c r="D172" i="2"/>
  <c r="D170" i="2"/>
  <c r="D168" i="2"/>
  <c r="D167" i="2"/>
  <c r="D166" i="2"/>
  <c r="D165" i="2"/>
  <c r="D164" i="2"/>
  <c r="D163" i="2"/>
  <c r="D162" i="2"/>
  <c r="D161" i="2"/>
  <c r="D160" i="2"/>
  <c r="D159" i="2"/>
  <c r="D157" i="2"/>
  <c r="D156" i="2"/>
  <c r="D155" i="2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</calcChain>
</file>

<file path=xl/sharedStrings.xml><?xml version="1.0" encoding="utf-8"?>
<sst xmlns="http://schemas.openxmlformats.org/spreadsheetml/2006/main" count="3189" uniqueCount="784">
  <si>
    <t>실적 기업 정보</t>
  </si>
  <si>
    <t>Ticker</t>
  </si>
  <si>
    <t>Company</t>
  </si>
  <si>
    <t>Date</t>
  </si>
  <si>
    <t>Time</t>
  </si>
  <si>
    <t>Quarter Ending</t>
  </si>
  <si>
    <t>Market Cap (mil$)</t>
  </si>
  <si>
    <t>AMAT</t>
  </si>
  <si>
    <t>Applied Materials, Inc.</t>
  </si>
  <si>
    <t>12-Feb-26</t>
  </si>
  <si>
    <t>After Hours</t>
  </si>
  <si>
    <t>Jan-26</t>
  </si>
  <si>
    <t>RMS</t>
  </si>
  <si>
    <t>Hermès International Société en commandite par actions</t>
  </si>
  <si>
    <t>Dec-25</t>
  </si>
  <si>
    <t>OR</t>
  </si>
  <si>
    <t>L'Oréal S.A.</t>
  </si>
  <si>
    <t>SIE</t>
  </si>
  <si>
    <t>Siemens Aktiengesellschaft</t>
  </si>
  <si>
    <t>ANET</t>
  </si>
  <si>
    <t>Arista Networks, Inc.</t>
  </si>
  <si>
    <t>ULVR</t>
  </si>
  <si>
    <t>Unilever PLC</t>
  </si>
  <si>
    <t>ABI</t>
  </si>
  <si>
    <t>Anheuser-Busch InBev SA/NV</t>
  </si>
  <si>
    <t>SoftBank Group Corp.</t>
  </si>
  <si>
    <t>BATS</t>
  </si>
  <si>
    <t>British American Tobacco p.l.c.</t>
  </si>
  <si>
    <t>VRTX</t>
  </si>
  <si>
    <t>Vertex Pharmaceuticals Incorporated</t>
  </si>
  <si>
    <t>BN</t>
  </si>
  <si>
    <t>Brookfield Corporation</t>
  </si>
  <si>
    <t>Pre Market</t>
  </si>
  <si>
    <t>AEM</t>
  </si>
  <si>
    <t>Agnico Eagle Mines Limited</t>
  </si>
  <si>
    <t>HWM</t>
  </si>
  <si>
    <t>Howmet Aerospace Inc.</t>
  </si>
  <si>
    <t>ABNB</t>
  </si>
  <si>
    <t>Airbnb, Inc.</t>
  </si>
  <si>
    <t>VALE3</t>
  </si>
  <si>
    <t>Vale S.A.</t>
  </si>
  <si>
    <t>MBG</t>
  </si>
  <si>
    <t>Mercedes-Benz Group AG</t>
  </si>
  <si>
    <t>Kioxia Holdings Corporation</t>
  </si>
  <si>
    <t>AEP</t>
  </si>
  <si>
    <t>American Electric Power Company, Inc.</t>
  </si>
  <si>
    <t>KBC</t>
  </si>
  <si>
    <t>KBC Group NV</t>
  </si>
  <si>
    <t>ZTS</t>
  </si>
  <si>
    <t>Zoetis Inc.</t>
  </si>
  <si>
    <t>REL</t>
  </si>
  <si>
    <t>RELX PLC</t>
  </si>
  <si>
    <t>PSA</t>
  </si>
  <si>
    <t>Public Storage</t>
  </si>
  <si>
    <t>CBRE</t>
  </si>
  <si>
    <t>CBRE Group, Inc.</t>
  </si>
  <si>
    <t>EXC</t>
  </si>
  <si>
    <t>Exelon Corporation</t>
  </si>
  <si>
    <t>COIN</t>
  </si>
  <si>
    <t>Coinbase Global, Inc.</t>
  </si>
  <si>
    <t>ETR</t>
  </si>
  <si>
    <t>Entergy Corporation</t>
  </si>
  <si>
    <t>SCMN</t>
  </si>
  <si>
    <t>Swisscom AG</t>
  </si>
  <si>
    <t>ALNY</t>
  </si>
  <si>
    <t>Alnylam Pharmaceuticals, Inc.</t>
  </si>
  <si>
    <t>ADYEN</t>
  </si>
  <si>
    <t>Adyen N.V.</t>
  </si>
  <si>
    <t>IR</t>
  </si>
  <si>
    <t>Ingersoll Rand Inc.</t>
  </si>
  <si>
    <t>EMAAR</t>
  </si>
  <si>
    <t>Emaar Properties PJSC</t>
  </si>
  <si>
    <t>ONGC</t>
  </si>
  <si>
    <t>Oil and Natural Gas Corporation Limited</t>
  </si>
  <si>
    <t>PCG</t>
  </si>
  <si>
    <t>PG&amp;E Corporation</t>
  </si>
  <si>
    <t>COALINDIA</t>
  </si>
  <si>
    <t>Coal India Limited</t>
  </si>
  <si>
    <t>HAL</t>
  </si>
  <si>
    <t>Hindustan Aeronautics Limited</t>
  </si>
  <si>
    <t>EXPE</t>
  </si>
  <si>
    <t>Expedia Group, Inc.</t>
  </si>
  <si>
    <t>IRM</t>
  </si>
  <si>
    <t>Iron Mountain Incorporated</t>
  </si>
  <si>
    <t>NBIS</t>
  </si>
  <si>
    <t>Nebius Group N.V.</t>
  </si>
  <si>
    <t>DXCM</t>
  </si>
  <si>
    <t>DexCom, Inc.</t>
  </si>
  <si>
    <t>Hua Hong Semiconductor Limited</t>
  </si>
  <si>
    <t>ES</t>
  </si>
  <si>
    <t>Eversource Energy</t>
  </si>
  <si>
    <t>FTS</t>
  </si>
  <si>
    <t>Fortis Inc.</t>
  </si>
  <si>
    <t>BAP</t>
  </si>
  <si>
    <t>Credicorp Ltd.</t>
  </si>
  <si>
    <t>FMCC</t>
  </si>
  <si>
    <t>Federal Home Loan Mortgage Corporation</t>
  </si>
  <si>
    <t>Inpex Corporation</t>
  </si>
  <si>
    <t>Hindalco Industries Limited</t>
  </si>
  <si>
    <t>QSR</t>
  </si>
  <si>
    <t>Restaurant Brands International Inc.</t>
  </si>
  <si>
    <t>WST</t>
  </si>
  <si>
    <t>West Pharmaceutical Services, Inc.</t>
  </si>
  <si>
    <t>RIVN</t>
  </si>
  <si>
    <t>Rivian Automotive, Inc.</t>
  </si>
  <si>
    <t>T</t>
  </si>
  <si>
    <t>TELUS Corporation</t>
  </si>
  <si>
    <t>CHKP</t>
  </si>
  <si>
    <t>Check Point Software Technologies Ltd.</t>
  </si>
  <si>
    <t>TOST</t>
  </si>
  <si>
    <t>Toast, Inc.</t>
  </si>
  <si>
    <t>DSFIR</t>
  </si>
  <si>
    <t>DSM-Firmenich AG</t>
  </si>
  <si>
    <t>Pan Pacific International Holdings Corporation</t>
  </si>
  <si>
    <t>A035720</t>
  </si>
  <si>
    <t>Kakao Corp.</t>
  </si>
  <si>
    <t>NN</t>
  </si>
  <si>
    <t>NN Group N.V.</t>
  </si>
  <si>
    <t>NEXON Co., Ltd.</t>
  </si>
  <si>
    <t>AC *</t>
  </si>
  <si>
    <t>Arca Continental, S.A.B. de C.V.</t>
  </si>
  <si>
    <t>AOT</t>
  </si>
  <si>
    <t>Airports of Thailand Public Company Limited</t>
  </si>
  <si>
    <t>DKNG</t>
  </si>
  <si>
    <t>DraftKings Inc.</t>
  </si>
  <si>
    <t>PINS</t>
  </si>
  <si>
    <t>Pinterest, Inc.</t>
  </si>
  <si>
    <t>Asahi Group Holdings, Ltd.</t>
  </si>
  <si>
    <t>USFD</t>
  </si>
  <si>
    <t>US Foods Holding Corp.</t>
  </si>
  <si>
    <t>TWLO</t>
  </si>
  <si>
    <t>Twilio Inc.</t>
  </si>
  <si>
    <t>ZBRA</t>
  </si>
  <si>
    <t>Zebra Technologies Corporation</t>
  </si>
  <si>
    <t>URW</t>
  </si>
  <si>
    <t>Unibail-Rodamco-Westfield SE</t>
  </si>
  <si>
    <t>ROKU</t>
  </si>
  <si>
    <t>Roku, Inc.</t>
  </si>
  <si>
    <t>TRU</t>
  </si>
  <si>
    <t>TransUnion</t>
  </si>
  <si>
    <t>Kubota Corporation</t>
  </si>
  <si>
    <t>MAP</t>
  </si>
  <si>
    <t>Mapfre, S.A.</t>
  </si>
  <si>
    <t>KIM</t>
  </si>
  <si>
    <t>Kimco Realty Corporation</t>
  </si>
  <si>
    <t>BBD.B</t>
  </si>
  <si>
    <t>Bombardier Inc.</t>
  </si>
  <si>
    <t>H</t>
  </si>
  <si>
    <t>Hyatt Hotels Corporation</t>
  </si>
  <si>
    <t>BNT</t>
  </si>
  <si>
    <t>Brookfield Wealth Solutions Ltd.</t>
  </si>
  <si>
    <t>Rakuten Group, Inc.</t>
  </si>
  <si>
    <t>LECO</t>
  </si>
  <si>
    <t>Lincoln Electric Holdings, Inc.</t>
  </si>
  <si>
    <t>WYNN</t>
  </si>
  <si>
    <t>Wynn Resorts, Limited</t>
  </si>
  <si>
    <t>Hikari Tsushin, Inc.</t>
  </si>
  <si>
    <t>Sanrio Company, Ltd.</t>
  </si>
  <si>
    <t>BAX</t>
  </si>
  <si>
    <t>Baxter International Inc.</t>
  </si>
  <si>
    <t>T&amp;D Holdings, Inc.</t>
  </si>
  <si>
    <t>Unicharm Corporation</t>
  </si>
  <si>
    <t>Daifuku Co., Ltd.</t>
  </si>
  <si>
    <t>The Indian Hotels Company Limited</t>
  </si>
  <si>
    <t>METSO</t>
  </si>
  <si>
    <t>Metso Oyj</t>
  </si>
  <si>
    <t>IPN</t>
  </si>
  <si>
    <t>Ipsen S.A.</t>
  </si>
  <si>
    <t>PCOR</t>
  </si>
  <si>
    <t>Procore Technologies, Inc.</t>
  </si>
  <si>
    <t>KNSL</t>
  </si>
  <si>
    <t>Kinsale Capital Group, Inc.</t>
  </si>
  <si>
    <t>ORNBV</t>
  </si>
  <si>
    <t>Orion Oyj</t>
  </si>
  <si>
    <t>Zensho Holdings Co., Ltd.</t>
  </si>
  <si>
    <t>Lupin Limited</t>
  </si>
  <si>
    <t>CART</t>
  </si>
  <si>
    <t>Maplebear Inc.</t>
  </si>
  <si>
    <t>ORK</t>
  </si>
  <si>
    <t>Orkla ASA</t>
  </si>
  <si>
    <t>BCVN</t>
  </si>
  <si>
    <t>Banque Cantonale Vaudoise</t>
  </si>
  <si>
    <t>Seibu Holdings Inc.</t>
  </si>
  <si>
    <t>NVMI</t>
  </si>
  <si>
    <t>Nova Ltd.</t>
  </si>
  <si>
    <t>MORN</t>
  </si>
  <si>
    <t>Morningstar, Inc.</t>
  </si>
  <si>
    <t>Suntory Beverage &amp; Food Limited</t>
  </si>
  <si>
    <t>CAE</t>
  </si>
  <si>
    <t>CAE Inc.</t>
  </si>
  <si>
    <t>XP</t>
  </si>
  <si>
    <t>XP Inc.</t>
  </si>
  <si>
    <t>Kokusai Electric Corporation</t>
  </si>
  <si>
    <t>Isuzu Motors Limited</t>
  </si>
  <si>
    <t>IGM</t>
  </si>
  <si>
    <t>IGM Financial Inc.</t>
  </si>
  <si>
    <t>FRT</t>
  </si>
  <si>
    <t>Federal Realty Investment Trust</t>
  </si>
  <si>
    <t>Shizuoka Financial Group,Inc.</t>
  </si>
  <si>
    <t>Nissan Motor Co., Ltd.</t>
  </si>
  <si>
    <t>BIRK</t>
  </si>
  <si>
    <t>Birkenstock Holding plc</t>
  </si>
  <si>
    <t>SDR</t>
  </si>
  <si>
    <t>Schroders plc</t>
  </si>
  <si>
    <t>BIO</t>
  </si>
  <si>
    <t>Bio-Rad Laboratories, Inc.</t>
  </si>
  <si>
    <t>NIBE B</t>
  </si>
  <si>
    <t>NIBE Industrier AB (publ)</t>
  </si>
  <si>
    <t>MHK</t>
  </si>
  <si>
    <t>Mohawk Industries, Inc.</t>
  </si>
  <si>
    <t>CTRE</t>
  </si>
  <si>
    <t>CareTrust REIT, Inc.</t>
  </si>
  <si>
    <t>Bharat Forge Limited</t>
  </si>
  <si>
    <t>LNC</t>
  </si>
  <si>
    <t>Lincoln National Corporation</t>
  </si>
  <si>
    <t>BRKR</t>
  </si>
  <si>
    <t>Bruker Corporation</t>
  </si>
  <si>
    <t>BROS</t>
  </si>
  <si>
    <t>Dutch Bros Inc.</t>
  </si>
  <si>
    <t>FROG</t>
  </si>
  <si>
    <t>JFrog Ltd.</t>
  </si>
  <si>
    <t>AL</t>
  </si>
  <si>
    <t>Air Lease Corporation</t>
  </si>
  <si>
    <t>STUB</t>
  </si>
  <si>
    <t>StubHub Holdings, Inc.</t>
  </si>
  <si>
    <t>KEY</t>
  </si>
  <si>
    <t>Keyera Corp.</t>
  </si>
  <si>
    <t>RYAN</t>
  </si>
  <si>
    <t>Ryan Specialty Holdings, Inc.</t>
  </si>
  <si>
    <t>Abbott India Limited</t>
  </si>
  <si>
    <t>DFY</t>
  </si>
  <si>
    <t>Definity Financial Corporation</t>
  </si>
  <si>
    <t>FACT</t>
  </si>
  <si>
    <t>The Fertilisers and Chemicals Travancore Limited</t>
  </si>
  <si>
    <t>FBIN</t>
  </si>
  <si>
    <t>Fortune Brands Innovations, Inc.</t>
  </si>
  <si>
    <t>Sysmex Corporation</t>
  </si>
  <si>
    <t>Meiji Holdings Co., Ltd.</t>
  </si>
  <si>
    <t>IRCTC</t>
  </si>
  <si>
    <t>Indian Railway Catering &amp; Tourism Corporation Limited</t>
  </si>
  <si>
    <t>HR</t>
  </si>
  <si>
    <t>Healthcare Realty Trust Incorporated</t>
  </si>
  <si>
    <t>IVG</t>
  </si>
  <si>
    <t>Iveco Group N.V.</t>
  </si>
  <si>
    <t>GRKP</t>
  </si>
  <si>
    <t>Graubündner Kantonalbank</t>
  </si>
  <si>
    <t>BFAM</t>
  </si>
  <si>
    <t>Bright Horizons Family Solutions Inc.</t>
  </si>
  <si>
    <t>BIOCON</t>
  </si>
  <si>
    <t>Biocon Limited</t>
  </si>
  <si>
    <t>GTES</t>
  </si>
  <si>
    <t>Gates Industrial Corporation plc</t>
  </si>
  <si>
    <t>PI Industries Limited</t>
  </si>
  <si>
    <t>VNT</t>
  </si>
  <si>
    <t>Vontier Corporation</t>
  </si>
  <si>
    <t>GMO Payment Gateway, Inc.</t>
  </si>
  <si>
    <t>GVA</t>
  </si>
  <si>
    <t>Granite Construction Incorporated</t>
  </si>
  <si>
    <t>PETRONET</t>
  </si>
  <si>
    <t>Petronet LNG Limited</t>
  </si>
  <si>
    <t>A141080</t>
  </si>
  <si>
    <t>LigaChem Biosciences Inc.</t>
  </si>
  <si>
    <t>BDC</t>
  </si>
  <si>
    <t>Belden Inc.</t>
  </si>
  <si>
    <t>AFX</t>
  </si>
  <si>
    <t>Carl Zeiss Meditec AG</t>
  </si>
  <si>
    <t>CROX</t>
  </si>
  <si>
    <t>Crocs, Inc.</t>
  </si>
  <si>
    <t>CAR.UN</t>
  </si>
  <si>
    <t>Canadian Apartment Properties Real Estate Investment Trust</t>
  </si>
  <si>
    <t>FLUOROCHEM</t>
  </si>
  <si>
    <t>Gujarat Fluorochemicals Limited</t>
  </si>
  <si>
    <t>Tokyo Tatemono Co., Ltd.</t>
  </si>
  <si>
    <t>HASEKO Corporation</t>
  </si>
  <si>
    <t>CAMX</t>
  </si>
  <si>
    <t>Camurus AB (publ)</t>
  </si>
  <si>
    <t>NIQ</t>
  </si>
  <si>
    <t>NIQ Global Intelligence plc</t>
  </si>
  <si>
    <t>BGC</t>
  </si>
  <si>
    <t>BGC Group, Inc.</t>
  </si>
  <si>
    <t>SBRA</t>
  </si>
  <si>
    <t>Sabra Health Care REIT, Inc.</t>
  </si>
  <si>
    <t>CNR</t>
  </si>
  <si>
    <t>Core Natural Resources, Inc.</t>
  </si>
  <si>
    <t>HORIBA, Ltd.</t>
  </si>
  <si>
    <t>SEB</t>
  </si>
  <si>
    <t>Seaboard Corporation</t>
  </si>
  <si>
    <t>HCC</t>
  </si>
  <si>
    <t>Warrior Met Coal, Inc.</t>
  </si>
  <si>
    <t>NH</t>
  </si>
  <si>
    <t>Narayana Hrudayalaya Limited</t>
  </si>
  <si>
    <t>HASI</t>
  </si>
  <si>
    <t>HA Sustainable Infrastructure Capital, Inc.</t>
  </si>
  <si>
    <t>Yamazaki Baking Co., Ltd.</t>
  </si>
  <si>
    <t>AC</t>
  </si>
  <si>
    <t>Air Canada</t>
  </si>
  <si>
    <t>MANTA</t>
  </si>
  <si>
    <t>Mandatum Oyj</t>
  </si>
  <si>
    <t>Amada Co., Ltd.</t>
  </si>
  <si>
    <t>PBF</t>
  </si>
  <si>
    <t>PBF Energy Inc.</t>
  </si>
  <si>
    <t>AUTO</t>
  </si>
  <si>
    <t>AutoStore Holdings Ltd.</t>
  </si>
  <si>
    <t>Rohto Pharmaceutical Co.,Ltd.</t>
  </si>
  <si>
    <t>IPGP</t>
  </si>
  <si>
    <t>IPG Photonics Corporation</t>
  </si>
  <si>
    <t>RARE</t>
  </si>
  <si>
    <t>Ultragenyx Pharmaceutical Inc.</t>
  </si>
  <si>
    <t>GQG</t>
  </si>
  <si>
    <t>GQG Partners Inc.</t>
  </si>
  <si>
    <t>Rinnai Corporation</t>
  </si>
  <si>
    <t>HTGC</t>
  </si>
  <si>
    <t>Hercules Capital, Inc.</t>
  </si>
  <si>
    <t>AHL</t>
  </si>
  <si>
    <t>Aspen Insurance Holdings Limited</t>
  </si>
  <si>
    <t>LR</t>
  </si>
  <si>
    <t>Legrand France SA</t>
  </si>
  <si>
    <t>KEMIRA</t>
  </si>
  <si>
    <t>Kemira Oyj</t>
  </si>
  <si>
    <t>NHH</t>
  </si>
  <si>
    <t>Minor Hotels Europe &amp; Americas, S.A.</t>
  </si>
  <si>
    <t>NHK Spring Co., Ltd.</t>
  </si>
  <si>
    <t>MLCO</t>
  </si>
  <si>
    <t>Melco Resorts &amp; Entertainment Limited</t>
  </si>
  <si>
    <t>Dentsu Soken Inc.</t>
  </si>
  <si>
    <t>Sundrug Co.,Ltd.</t>
  </si>
  <si>
    <t>SPSC</t>
  </si>
  <si>
    <t>SPS Commerce, Inc.</t>
  </si>
  <si>
    <t>SPHR</t>
  </si>
  <si>
    <t>Sphere Entertainment Co.</t>
  </si>
  <si>
    <t>Kadokawa Corporation</t>
  </si>
  <si>
    <t>Japan Petroleum Exploration Co., Ltd.</t>
  </si>
  <si>
    <t>GPSC</t>
  </si>
  <si>
    <t>Global Power Synergy Public Company Limited</t>
  </si>
  <si>
    <t>THK Co., Ltd.</t>
  </si>
  <si>
    <t>PTC Industries Limited</t>
  </si>
  <si>
    <t>IDYA</t>
  </si>
  <si>
    <t>IDEAYA Biosciences, Inc.</t>
  </si>
  <si>
    <t>DAE</t>
  </si>
  <si>
    <t>Dätwyler Holding AG</t>
  </si>
  <si>
    <t>STNG</t>
  </si>
  <si>
    <t>Scorpio Tankers Inc.</t>
  </si>
  <si>
    <t>LXP</t>
  </si>
  <si>
    <t>LXP Industrial Trust</t>
  </si>
  <si>
    <t>EEFT</t>
  </si>
  <si>
    <t>Euronet Worldwide, Inc.</t>
  </si>
  <si>
    <t>IGL</t>
  </si>
  <si>
    <t>Indraprastha Gas Limited</t>
  </si>
  <si>
    <t>Lion Corporation</t>
  </si>
  <si>
    <t>DOC</t>
  </si>
  <si>
    <t>DO &amp; CO Aktiengesellschaft</t>
  </si>
  <si>
    <t>CALY</t>
  </si>
  <si>
    <t>Callaway Golf Company</t>
  </si>
  <si>
    <t>AVNT</t>
  </si>
  <si>
    <t>Avient Corporation</t>
  </si>
  <si>
    <t>Nabtesco Corporation</t>
  </si>
  <si>
    <t>TNET</t>
  </si>
  <si>
    <t>TriNet Group, Inc.</t>
  </si>
  <si>
    <t>FLO</t>
  </si>
  <si>
    <t>Flowers Foods, Inc.</t>
  </si>
  <si>
    <t>MING</t>
  </si>
  <si>
    <t>SpareBank 1 SMN</t>
  </si>
  <si>
    <t>Suzuken Co., Ltd.</t>
  </si>
  <si>
    <t>BTDR</t>
  </si>
  <si>
    <t>Bitdeer Technologies Group</t>
  </si>
  <si>
    <t>Hakuhodo DY Holdings Inc</t>
  </si>
  <si>
    <t>MTRN</t>
  </si>
  <si>
    <t>Materion Corporation</t>
  </si>
  <si>
    <t>PHIN</t>
  </si>
  <si>
    <t>PHINIA Inc.</t>
  </si>
  <si>
    <t>HUFV A</t>
  </si>
  <si>
    <t>Hufvudstaden AB (publ)</t>
  </si>
  <si>
    <t>Keikyu Corporation</t>
  </si>
  <si>
    <t>DNOW</t>
  </si>
  <si>
    <t>DNOW Inc.</t>
  </si>
  <si>
    <t>KWS</t>
  </si>
  <si>
    <t>KWS SAAT SE &amp; Co. KGaA</t>
  </si>
  <si>
    <t>TIETO</t>
  </si>
  <si>
    <t>TietoEVRY Oyj</t>
  </si>
  <si>
    <t>DBD</t>
  </si>
  <si>
    <t>Diebold Nixdorf, Incorporated</t>
  </si>
  <si>
    <t>TOP</t>
  </si>
  <si>
    <t>Thai Oil Public Company Limited</t>
  </si>
  <si>
    <t>Mitsubishi Materials Corporation</t>
  </si>
  <si>
    <t>WIN Semiconductors Corp.</t>
  </si>
  <si>
    <t>VEI</t>
  </si>
  <si>
    <t>Veidekke ASA</t>
  </si>
  <si>
    <t>OUT1V</t>
  </si>
  <si>
    <t>Outokumpu Oyj</t>
  </si>
  <si>
    <t>Miura Co., Ltd.</t>
  </si>
  <si>
    <t>GMO internet group, Inc.</t>
  </si>
  <si>
    <t>TXG</t>
  </si>
  <si>
    <t>10x Genomics, Inc.</t>
  </si>
  <si>
    <t>Deepak Nitrite Limited</t>
  </si>
  <si>
    <t>GEO</t>
  </si>
  <si>
    <t>The GEO Group, Inc.</t>
  </si>
  <si>
    <t>IRDM</t>
  </si>
  <si>
    <t>Iridium Communications Inc.</t>
  </si>
  <si>
    <t>UACJ Corporation</t>
  </si>
  <si>
    <t>BNBR3</t>
  </si>
  <si>
    <t>Banco do Nordeste do Brasil S.A.</t>
  </si>
  <si>
    <t>TRN</t>
  </si>
  <si>
    <t>Trinity Industries, Inc.</t>
  </si>
  <si>
    <t>TV Asahi Holdings Corporation</t>
  </si>
  <si>
    <t>KOSE Holdings Corporation</t>
  </si>
  <si>
    <t>GEL</t>
  </si>
  <si>
    <t>Genesis Energy, L.P.</t>
  </si>
  <si>
    <t>Toho Holdings Co., Ltd.</t>
  </si>
  <si>
    <t>OGN</t>
  </si>
  <si>
    <t>Organon &amp; Co.</t>
  </si>
  <si>
    <t>Namura Shipbuilding Co., Ltd.</t>
  </si>
  <si>
    <t>YELP</t>
  </si>
  <si>
    <t>Yelp Inc.</t>
  </si>
  <si>
    <t>TGS</t>
  </si>
  <si>
    <t>TGS ASA</t>
  </si>
  <si>
    <t>FAGR</t>
  </si>
  <si>
    <t>Fagron NV</t>
  </si>
  <si>
    <t>TFI</t>
  </si>
  <si>
    <t>TF1 SA</t>
  </si>
  <si>
    <t>AORT</t>
  </si>
  <si>
    <t>Artivion, Inc.</t>
  </si>
  <si>
    <t>Citizen Watch Co., Ltd.</t>
  </si>
  <si>
    <t>FWDI</t>
  </si>
  <si>
    <t>Forward Industries, Inc.</t>
  </si>
  <si>
    <t>Morinaga Milk Industry Co., Ltd.</t>
  </si>
  <si>
    <t>HR.UN</t>
  </si>
  <si>
    <t>H&amp;R Real Estate Investment Trust</t>
  </si>
  <si>
    <t>VAIAS</t>
  </si>
  <si>
    <t>Vaisala Oyj</t>
  </si>
  <si>
    <t>TRIAL Holdings, Inc.</t>
  </si>
  <si>
    <t>AQ</t>
  </si>
  <si>
    <t>AQ Group AB (publ)</t>
  </si>
  <si>
    <t>SLVM</t>
  </si>
  <si>
    <t>Sylvamo Corporation</t>
  </si>
  <si>
    <t>Greatek Electronics Inc.</t>
  </si>
  <si>
    <t>ISB</t>
  </si>
  <si>
    <t>Íslandsbanki hf.</t>
  </si>
  <si>
    <t>BELL</t>
  </si>
  <si>
    <t>Bell Food Group AG</t>
  </si>
  <si>
    <t>Relo Group, Inc.</t>
  </si>
  <si>
    <t>NATCOPHARM</t>
  </si>
  <si>
    <t>NATCO Pharma Limited</t>
  </si>
  <si>
    <t>BWP</t>
  </si>
  <si>
    <t>BWP Trust</t>
  </si>
  <si>
    <t>Hazama Ando Corporation</t>
  </si>
  <si>
    <t>BLX</t>
  </si>
  <si>
    <t>Banco Latinoamericano de Comercio Exterior, S. A.</t>
  </si>
  <si>
    <t>TRIP</t>
  </si>
  <si>
    <t>Tripadvisor, Inc.</t>
  </si>
  <si>
    <t>NMM</t>
  </si>
  <si>
    <t>Navios Maritime Partners L.P.</t>
  </si>
  <si>
    <t>VIMIAN</t>
  </si>
  <si>
    <t>Vimian Group AB (publ)</t>
  </si>
  <si>
    <t>AGIO</t>
  </si>
  <si>
    <t>Agios Pharmaceuticals, Inc.</t>
  </si>
  <si>
    <t>LIAB</t>
  </si>
  <si>
    <t>Lindab International AB (publ)</t>
  </si>
  <si>
    <t>SOC</t>
  </si>
  <si>
    <t>Sable Offshore Corp.</t>
  </si>
  <si>
    <t>FIBRAMQ 12</t>
  </si>
  <si>
    <t>FIBRA Macquarie México</t>
  </si>
  <si>
    <t>HIMX</t>
  </si>
  <si>
    <t>Himax Technologies, Inc.</t>
  </si>
  <si>
    <t>Nohmi Bosai Ltd.</t>
  </si>
  <si>
    <t>Nishimatsu Construction Co., Ltd.</t>
  </si>
  <si>
    <t>KIT</t>
  </si>
  <si>
    <t>Kitron ASA</t>
  </si>
  <si>
    <t>LPI</t>
  </si>
  <si>
    <t>LPI Capital Bhd</t>
  </si>
  <si>
    <t>ELEC</t>
  </si>
  <si>
    <t>Électricite de Strasbourg Société Anonyme</t>
  </si>
  <si>
    <t>NONG</t>
  </si>
  <si>
    <t>SpareBank 1 Nord-Norge</t>
  </si>
  <si>
    <t>GMO internet, Inc.</t>
  </si>
  <si>
    <t>ASHM</t>
  </si>
  <si>
    <t>Ashmore Group Plc</t>
  </si>
  <si>
    <t>TRUP</t>
  </si>
  <si>
    <t>Trupanion, Inc.</t>
  </si>
  <si>
    <t>Pan Ocean Co., Ltd.</t>
  </si>
  <si>
    <t>USIM5</t>
  </si>
  <si>
    <t>Usinas Siderúrgicas de Minas Gerais S.A.</t>
  </si>
  <si>
    <t>TSU</t>
  </si>
  <si>
    <t>Trisura Group Ltd.</t>
  </si>
  <si>
    <t>Nishi-Nippon Railroad Co., Ltd.</t>
  </si>
  <si>
    <t>NORCO</t>
  </si>
  <si>
    <t>Norconsult ASA</t>
  </si>
  <si>
    <t>IVSO</t>
  </si>
  <si>
    <t>Invisio AB (publ)</t>
  </si>
  <si>
    <t>Tokai Carbon Co., Ltd.</t>
  </si>
  <si>
    <t>VBK</t>
  </si>
  <si>
    <t>Verbio SE</t>
  </si>
  <si>
    <t>JCAP</t>
  </si>
  <si>
    <t>Jefferson Capital, Inc.</t>
  </si>
  <si>
    <t>KYB Corporation</t>
  </si>
  <si>
    <t>INGERRAND</t>
  </si>
  <si>
    <t>Ingersoll-Rand (India) Limited</t>
  </si>
  <si>
    <t>NMAX</t>
  </si>
  <si>
    <t>Newsmax Inc.</t>
  </si>
  <si>
    <t>BCP</t>
  </si>
  <si>
    <t>Bangchak Corporation Public Company Limited</t>
  </si>
  <si>
    <t>Nippon Soda Co., Ltd.</t>
  </si>
  <si>
    <t>AMBEA</t>
  </si>
  <si>
    <t>Ambea AB (publ)</t>
  </si>
  <si>
    <t>Kaga Electronics Co.,Ltd.</t>
  </si>
  <si>
    <t>FLOW</t>
  </si>
  <si>
    <t>Flow Traders Ltd.</t>
  </si>
  <si>
    <t>Mitani Corporation</t>
  </si>
  <si>
    <t>EMBRAC B</t>
  </si>
  <si>
    <t>Embracer Group AB (publ)</t>
  </si>
  <si>
    <t>PDFS</t>
  </si>
  <si>
    <t>PDF Solutions, Inc.</t>
  </si>
  <si>
    <t>MTL</t>
  </si>
  <si>
    <t>Mullen Group Ltd.</t>
  </si>
  <si>
    <t>The Sandur Manganese &amp; Iron Ores Limited</t>
  </si>
  <si>
    <t>Cupid Limited</t>
  </si>
  <si>
    <t>BIOG B</t>
  </si>
  <si>
    <t>BioGaia AB (publ)</t>
  </si>
  <si>
    <t>Monex Group, Inc.</t>
  </si>
  <si>
    <t>Toagosei Co., Ltd.</t>
  </si>
  <si>
    <t>freee K.K.</t>
  </si>
  <si>
    <t>COHU</t>
  </si>
  <si>
    <t>Cohu, Inc.</t>
  </si>
  <si>
    <t>Lifenet Insurance Company</t>
  </si>
  <si>
    <t>KITZ Corporation</t>
  </si>
  <si>
    <t>ATX</t>
  </si>
  <si>
    <t>ATEX Resources Inc.</t>
  </si>
  <si>
    <t>Nakanishi Inc.</t>
  </si>
  <si>
    <t>FASW</t>
  </si>
  <si>
    <t>PT Fajar Surya Wisesa Tbk</t>
  </si>
  <si>
    <t>Konoike Transport Co.,Ltd.</t>
  </si>
  <si>
    <t>Fujita Kanko Inc.</t>
  </si>
  <si>
    <t>SIP</t>
  </si>
  <si>
    <t>Sipef NV</t>
  </si>
  <si>
    <t>Japan Securities Finance Co., Ltd.</t>
  </si>
  <si>
    <t>Union Tool Co.</t>
  </si>
  <si>
    <t>Ai Holdings Corporation</t>
  </si>
  <si>
    <t>HARVIA</t>
  </si>
  <si>
    <t>Harvia Oyj</t>
  </si>
  <si>
    <t>PHC Holdings Corporation</t>
  </si>
  <si>
    <t>CPACASC1</t>
  </si>
  <si>
    <t>Cementos Pacasmayo S.A.A.</t>
  </si>
  <si>
    <t>Japan Display Inc.</t>
  </si>
  <si>
    <t>Nishikawa Rubber Co., Ltd.</t>
  </si>
  <si>
    <t>UTZ</t>
  </si>
  <si>
    <t>Utz Brands, Inc.</t>
  </si>
  <si>
    <t>Takamatsu Construction Group Co., Ltd.</t>
  </si>
  <si>
    <t>Nissan Shatai Co., Ltd.</t>
  </si>
  <si>
    <t>VOLO</t>
  </si>
  <si>
    <t>Volati AB (publ)</t>
  </si>
  <si>
    <t>AKBM</t>
  </si>
  <si>
    <t>Aker BioMarine ASA</t>
  </si>
  <si>
    <t>IRBR3</t>
  </si>
  <si>
    <t>IRB-Brasil Resseguros S.A.</t>
  </si>
  <si>
    <t>ANGX</t>
  </si>
  <si>
    <t>Angel Studios, Inc.</t>
  </si>
  <si>
    <t>DRUG</t>
  </si>
  <si>
    <t>Bright Minds Biosciences Inc.</t>
  </si>
  <si>
    <t>Cybozu, Inc.</t>
  </si>
  <si>
    <t>OPTU</t>
  </si>
  <si>
    <t>Optimum Communications, Inc.</t>
  </si>
  <si>
    <t>RAY B</t>
  </si>
  <si>
    <t>RaySearch Laboratories AB (publ)</t>
  </si>
  <si>
    <t>OLVAS</t>
  </si>
  <si>
    <t>Olvi Oyj</t>
  </si>
  <si>
    <t>Mitsubishi Pencil Co., Ltd.</t>
  </si>
  <si>
    <t>Yamazen Corporation</t>
  </si>
  <si>
    <t>UT Group Co.,Ltd.</t>
  </si>
  <si>
    <t>PEXIP</t>
  </si>
  <si>
    <t>Pexip Holding ASA</t>
  </si>
  <si>
    <t>B2I</t>
  </si>
  <si>
    <t>B2 Impact ASA</t>
  </si>
  <si>
    <t>TV TOKYO Holdings Corporation</t>
  </si>
  <si>
    <t>Shinnihon Corporation</t>
  </si>
  <si>
    <t>INSTAL</t>
  </si>
  <si>
    <t>Instalco AB (publ)</t>
  </si>
  <si>
    <t>PACB</t>
  </si>
  <si>
    <t>Pacific Biosciences of California, Inc.</t>
  </si>
  <si>
    <t>Borosil Renewables Limited</t>
  </si>
  <si>
    <t>WYFI</t>
  </si>
  <si>
    <t>WhiteFiber, Inc.</t>
  </si>
  <si>
    <t>Nikkiso Co., Ltd.</t>
  </si>
  <si>
    <t>Sudarshan Chemical Industries Limited</t>
  </si>
  <si>
    <t>Digital Garage, Inc.</t>
  </si>
  <si>
    <t>YUBICO</t>
  </si>
  <si>
    <t>Yubico AB</t>
  </si>
  <si>
    <t>Sakata INX Corporation</t>
  </si>
  <si>
    <t>Tsuburaya Fields Holdings Inc.</t>
  </si>
  <si>
    <t>STEF B</t>
  </si>
  <si>
    <t>Stendörren Fastigheter AB (publ)</t>
  </si>
  <si>
    <t>Yamabiko Corporation</t>
  </si>
  <si>
    <t>AIP</t>
  </si>
  <si>
    <t>Arteris, Inc.</t>
  </si>
  <si>
    <t>GAU</t>
  </si>
  <si>
    <t>Galiano Gold Inc.</t>
  </si>
  <si>
    <t>Star Micronics Co., Ltd.</t>
  </si>
  <si>
    <t>PKSHA Technology Inc.</t>
  </si>
  <si>
    <t>Central Automotive Products Ltd.</t>
  </si>
  <si>
    <t>SECARE</t>
  </si>
  <si>
    <t>Swedencare AB (publ)</t>
  </si>
  <si>
    <t>Asahi Kogyosha Co., Ltd.</t>
  </si>
  <si>
    <t>Ki-Star Real Estate Co.,Ltd</t>
  </si>
  <si>
    <t>VALUEGF O</t>
  </si>
  <si>
    <t>Value Grupo Financiero, S.A.B. de C.V.</t>
  </si>
  <si>
    <t>CRSR</t>
  </si>
  <si>
    <t>Corsair Gaming, Inc.</t>
  </si>
  <si>
    <t>ADMF</t>
  </si>
  <si>
    <t>PT Adira Dinamika Multi Finance Tbk</t>
  </si>
  <si>
    <t>A181710</t>
  </si>
  <si>
    <t>NHN Corporation</t>
  </si>
  <si>
    <t>MSC</t>
  </si>
  <si>
    <t>Studio City International Holdings Limited</t>
  </si>
  <si>
    <t>MEC Company Ltd.</t>
  </si>
  <si>
    <t>Aucnet Inc.</t>
  </si>
  <si>
    <t>NMAN</t>
  </si>
  <si>
    <t>Nederman Holding AB (publ)</t>
  </si>
  <si>
    <t>MEKKO</t>
  </si>
  <si>
    <t>Marimekko Oyj</t>
  </si>
  <si>
    <t>Riken Vitamin Co., Ltd.</t>
  </si>
  <si>
    <t>ECX</t>
  </si>
  <si>
    <t>ECARX Holdings Inc.</t>
  </si>
  <si>
    <t>CUP.U</t>
  </si>
  <si>
    <t>Caribbean Utilities Company, Ltd.</t>
  </si>
  <si>
    <t>Ryobi Limited</t>
  </si>
  <si>
    <t>JOMA</t>
  </si>
  <si>
    <t>John Mattson Fastighetsföretagen AB (publ)</t>
  </si>
  <si>
    <t>CPS</t>
  </si>
  <si>
    <t>Cooper-Standard Holdings Inc.</t>
  </si>
  <si>
    <t>Seika Corporation</t>
  </si>
  <si>
    <t>G-Tekt Corporation</t>
  </si>
  <si>
    <t>Japan Business Systems, Inc.</t>
  </si>
  <si>
    <t>Septeni Holdings Co., Ltd.</t>
  </si>
  <si>
    <t>ATRAV</t>
  </si>
  <si>
    <t>Atria Oyj</t>
  </si>
  <si>
    <t>ELVA</t>
  </si>
  <si>
    <t>Electrovaya Inc.</t>
  </si>
  <si>
    <t>CNCK</t>
  </si>
  <si>
    <t>Coincheck Group N.V.</t>
  </si>
  <si>
    <t>ENTERO</t>
  </si>
  <si>
    <t>Entero Healthcare Solutions Limited</t>
  </si>
  <si>
    <t>Hanssem Co., Ltd.</t>
  </si>
  <si>
    <t>NUS</t>
  </si>
  <si>
    <t>Nu Skin Enterprises, Inc.</t>
  </si>
  <si>
    <t>OMASP</t>
  </si>
  <si>
    <t>Oma Säästöpankki Oyj</t>
  </si>
  <si>
    <t>Kohoku Kogyo CO.,LTD.</t>
  </si>
  <si>
    <t>TOKAI Corp.</t>
  </si>
  <si>
    <t>Jamna Auto Industries Limited</t>
  </si>
  <si>
    <t>IFP</t>
  </si>
  <si>
    <t>Interfor Corporation</t>
  </si>
  <si>
    <t>Sato Corporation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</si>
  <si>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</si>
  <si>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</si>
  <si>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</si>
  <si>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</si>
  <si>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</si>
  <si>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</si>
  <si>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</si>
  <si>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</si>
  <si>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</si>
  <si>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</si>
  <si>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</si>
  <si>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</si>
  <si>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</si>
  <si>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</si>
  <si>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</si>
  <si>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</si>
  <si>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</si>
  <si>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</si>
  <si>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</si>
  <si>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</si>
  <si>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</si>
  <si>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</si>
  <si>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Internet Content &amp; Information</t>
  </si>
  <si>
    <t>Dec'25</t>
  </si>
  <si>
    <t>Lodging</t>
  </si>
  <si>
    <t>Biotechnology</t>
  </si>
  <si>
    <t>Banks - Regional</t>
  </si>
  <si>
    <t>Thermal Coal</t>
  </si>
  <si>
    <t>Gold</t>
  </si>
  <si>
    <t>REIT - Healthcare Facilities</t>
  </si>
  <si>
    <t>Gambling</t>
  </si>
  <si>
    <t>Entertainment</t>
  </si>
  <si>
    <t>Semiconductors</t>
  </si>
  <si>
    <t>Coking Coal</t>
  </si>
  <si>
    <t>Capital Markets</t>
  </si>
  <si>
    <t>Semiconductor Equipment &amp; Materials</t>
  </si>
  <si>
    <t>Computer Hardware</t>
  </si>
  <si>
    <t>Restaurants</t>
  </si>
  <si>
    <t>Oil &amp; Gas Midstream</t>
  </si>
  <si>
    <t>Software - Infrastructure</t>
  </si>
  <si>
    <t>Auto Parts</t>
  </si>
  <si>
    <t>Sep'26</t>
  </si>
  <si>
    <t>Engineering &amp; Construction</t>
  </si>
  <si>
    <t>Medical Devices</t>
  </si>
  <si>
    <t>Security &amp; Protection Services</t>
  </si>
  <si>
    <t>Insurance - Property &amp; Casualty</t>
  </si>
  <si>
    <t>REIT - Specialty</t>
  </si>
  <si>
    <t>Rental &amp; Leasing Services</t>
  </si>
  <si>
    <t>Software - Application</t>
  </si>
  <si>
    <t>Insurance - Specialty</t>
  </si>
  <si>
    <t>Aerospace &amp; Defense</t>
  </si>
  <si>
    <t>Real Estate Services</t>
  </si>
  <si>
    <t>Other Industrial Metals &amp; Mining</t>
  </si>
  <si>
    <t>Utilities - Regulated Electric</t>
  </si>
  <si>
    <t>Financial Data &amp; Stock Exchanges</t>
  </si>
  <si>
    <t>Communication Equipment</t>
  </si>
  <si>
    <t>Specialty Industrial Machinery</t>
  </si>
  <si>
    <t>Travel Services</t>
  </si>
  <si>
    <t>Packaged Foods</t>
  </si>
  <si>
    <t>Jun'26</t>
  </si>
  <si>
    <t>Personal Services</t>
  </si>
  <si>
    <t>Resorts &amp; Casinos</t>
  </si>
  <si>
    <t>Medical Instruments &amp; Supplies</t>
  </si>
  <si>
    <t>REIT - Retail</t>
  </si>
  <si>
    <t>Footwear &amp; Accessories</t>
  </si>
  <si>
    <t>Mar'26</t>
  </si>
  <si>
    <t>Tools &amp; Accessories</t>
  </si>
  <si>
    <t>Scientific &amp; Technical Instruments</t>
  </si>
  <si>
    <t>Asset Management</t>
  </si>
  <si>
    <t>Telecom Services</t>
  </si>
  <si>
    <t>Food Distribution</t>
  </si>
  <si>
    <t>Drug Manufacturers - Specialty &amp; Generic</t>
  </si>
  <si>
    <t>REIT - Industrial</t>
  </si>
  <si>
    <t>Furnishings, Fixtures &amp; Appliances</t>
  </si>
  <si>
    <t>Specialty Chemicals</t>
  </si>
  <si>
    <t>Oil &amp; Gas Equipment &amp; Services</t>
  </si>
  <si>
    <t>Health Information Services</t>
  </si>
  <si>
    <t>Building Products &amp; Equipment</t>
  </si>
  <si>
    <t>Oil &amp; Gas Refining &amp; Marketing</t>
  </si>
  <si>
    <t>Conglomerates</t>
  </si>
  <si>
    <t>Railroads</t>
  </si>
  <si>
    <t>Insurance - Life</t>
  </si>
  <si>
    <t>Drug Manufacturers - General</t>
  </si>
  <si>
    <t>Staffing &amp; Employment Services</t>
  </si>
  <si>
    <t>Paper &amp; Paper Products</t>
  </si>
  <si>
    <t>Auto Manufacturers</t>
  </si>
  <si>
    <t>Insurance - Diversified</t>
  </si>
  <si>
    <t>Japan</t>
  </si>
  <si>
    <t>N/A</t>
  </si>
  <si>
    <t>Unknown</t>
  </si>
  <si>
    <t>Electrical Equipment &amp; Parts</t>
  </si>
  <si>
    <t>India</t>
  </si>
  <si>
    <t>Sweden</t>
  </si>
  <si>
    <t>Sep'25</t>
  </si>
  <si>
    <t>Oil &amp; Gas Integrated</t>
  </si>
  <si>
    <t>Internet Retail</t>
  </si>
  <si>
    <t>Industrial Distribution</t>
  </si>
  <si>
    <t>Marine Shipping</t>
  </si>
  <si>
    <t>Leisure</t>
  </si>
  <si>
    <t>Jun'25</t>
  </si>
  <si>
    <t>Hong Kong</t>
  </si>
  <si>
    <t>France</t>
  </si>
  <si>
    <t>H1 2025</t>
  </si>
  <si>
    <t>Mortgage Finance</t>
  </si>
  <si>
    <t>FY 2025</t>
  </si>
  <si>
    <t>H1 2026</t>
  </si>
  <si>
    <t>Oil &amp; Gas Drilling</t>
  </si>
  <si>
    <t>opm</t>
  </si>
  <si>
    <t>141A</t>
    <phoneticPr fontId="5" type="noConversion"/>
  </si>
  <si>
    <t>285A</t>
    <phoneticPr fontId="5" type="noConversion"/>
  </si>
  <si>
    <t>A009240</t>
    <phoneticPr fontId="5" type="noConversion"/>
  </si>
  <si>
    <t>A028670</t>
    <phoneticPr fontId="5" type="noConversion"/>
  </si>
  <si>
    <t>ABNB</t>
    <phoneticPr fontId="5" type="noConversion"/>
  </si>
  <si>
    <t>AC</t>
    <phoneticPr fontId="5" type="noConversion"/>
  </si>
  <si>
    <t>(단위: mil $)</t>
    <phoneticPr fontId="5" type="noConversion"/>
  </si>
  <si>
    <t>4Q21</t>
    <phoneticPr fontId="12" type="noConversion"/>
  </si>
  <si>
    <t>1Q22</t>
    <phoneticPr fontId="12" type="noConversion"/>
  </si>
  <si>
    <t>2Q22</t>
    <phoneticPr fontId="12" type="noConversion"/>
  </si>
  <si>
    <t>3Q22</t>
    <phoneticPr fontId="12" type="noConversion"/>
  </si>
  <si>
    <t>4Q22</t>
    <phoneticPr fontId="12" type="noConversion"/>
  </si>
  <si>
    <t>2Q23</t>
    <phoneticPr fontId="12" type="noConversion"/>
  </si>
  <si>
    <t>3Q23</t>
    <phoneticPr fontId="12" type="noConversion"/>
  </si>
  <si>
    <t>4Q23</t>
    <phoneticPr fontId="12" type="noConversion"/>
  </si>
  <si>
    <t>1Q26</t>
    <phoneticPr fontId="12" type="noConversion"/>
  </si>
  <si>
    <t>2Q26</t>
    <phoneticPr fontId="12" type="noConversion"/>
  </si>
  <si>
    <t>3Q26</t>
    <phoneticPr fontId="12" type="noConversion"/>
  </si>
  <si>
    <t>4Q26</t>
    <phoneticPr fontId="12" type="noConversion"/>
  </si>
  <si>
    <t>Revenue</t>
    <phoneticPr fontId="12" type="noConversion"/>
  </si>
  <si>
    <t>OP</t>
    <phoneticPr fontId="12" type="noConversion"/>
  </si>
  <si>
    <t>Trailing 4Q OP avg.</t>
    <phoneticPr fontId="12" type="noConversion"/>
  </si>
  <si>
    <t>Trailing 4Q OP sum.</t>
    <phoneticPr fontId="12" type="noConversion"/>
  </si>
  <si>
    <t>Trailing OP Delta</t>
    <phoneticPr fontId="12" type="noConversion"/>
  </si>
  <si>
    <t>op yoy</t>
    <phoneticPr fontId="12" type="noConversion"/>
  </si>
  <si>
    <t>rv yoy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</si>
</sst>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3" x14ac:knownFonts="1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Pretendard"/>
      <family val="3"/>
      <charset val="129"/>
    </font>
    <font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6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3" borderId="1" xfId="0" applyNumberFormat="1" applyFont="1" applyFill="1" applyBorder="1"/>
    <xf numFmtId="177" fontId="3" fillId="3" borderId="0" xfId="0" applyNumberFormat="1" applyFont="1" applyFill="1"/>
    <xf numFmtId="177" fontId="3" fillId="0" borderId="1" xfId="0" applyNumberFormat="1" applyFont="1" applyBorder="1"/>
    <xf numFmtId="177" fontId="3" fillId="0" borderId="0" xfId="0" applyNumberFormat="1" applyFont="1"/>
    <xf numFmtId="0" fontId="3" fillId="0" borderId="1" xfId="0" applyFont="1" applyBorder="1"/>
    <xf numFmtId="0" fontId="2" fillId="0" borderId="0" xfId="0" applyFont="1"/>
    <xf numFmtId="176" fontId="2" fillId="4" borderId="0" xfId="0" applyNumberFormat="1" applyFont="1" applyFill="1"/>
    <xf numFmtId="0" fontId="2" fillId="2" borderId="2" xfId="0" applyFont="1" applyFill="1" applyBorder="1" applyAlignment="1">
      <alignment horizontal="center"/>
    </xf>
    <xf numFmtId="0" fontId="6" fillId="0" borderId="0" xfId="0" applyFont="1"/>
    <xf numFmtId="0" fontId="2" fillId="0" borderId="0" xfId="0" applyFont="1" applyBorder="1"/>
    <xf numFmtId="0" fontId="3" fillId="0" borderId="0" xfId="0" applyFont="1" applyBorder="1"/>
    <xf numFmtId="176" fontId="3" fillId="0" borderId="0" xfId="0" applyNumberFormat="1" applyFont="1" applyBorder="1"/>
    <xf numFmtId="177" fontId="3" fillId="3" borderId="0" xfId="0" applyNumberFormat="1" applyFont="1" applyFill="1" applyBorder="1"/>
    <xf numFmtId="177" fontId="3" fillId="0" borderId="0" xfId="0" applyNumberFormat="1" applyFont="1" applyBorder="1"/>
    <xf numFmtId="0" fontId="2" fillId="0" borderId="3" xfId="0" applyFont="1" applyBorder="1"/>
    <xf numFmtId="0" fontId="3" fillId="0" borderId="3" xfId="0" applyFont="1" applyBorder="1"/>
    <xf numFmtId="176" fontId="3" fillId="0" borderId="3" xfId="0" applyNumberFormat="1" applyFont="1" applyBorder="1"/>
    <xf numFmtId="3" fontId="3" fillId="0" borderId="3" xfId="0" applyNumberFormat="1" applyFont="1" applyBorder="1"/>
    <xf numFmtId="3" fontId="3" fillId="3" borderId="3" xfId="0" applyNumberFormat="1" applyFont="1" applyFill="1" applyBorder="1"/>
    <xf numFmtId="177" fontId="3" fillId="0" borderId="4" xfId="0" applyNumberFormat="1" applyFont="1" applyBorder="1"/>
    <xf numFmtId="177" fontId="3" fillId="0" borderId="3" xfId="0" applyNumberFormat="1" applyFont="1" applyBorder="1"/>
    <xf numFmtId="0" fontId="0" fillId="0" borderId="3" xfId="0" applyBorder="1"/>
    <xf numFmtId="0" fontId="0" fillId="0" borderId="0" xfId="0" applyBorder="1"/>
    <xf numFmtId="176" fontId="3" fillId="0" borderId="0" xfId="0" applyNumberFormat="1" applyFont="1" applyFill="1"/>
    <xf numFmtId="0" fontId="7" fillId="0" borderId="0" xfId="0" applyFont="1"/>
    <xf numFmtId="0" fontId="8" fillId="0" borderId="0" xfId="0" applyFont="1"/>
    <xf numFmtId="0" fontId="7" fillId="0" borderId="0" xfId="0" quotePrefix="1" applyFont="1" applyAlignment="1">
      <alignment vertical="center"/>
    </xf>
    <xf numFmtId="0" fontId="9" fillId="0" borderId="0" xfId="0" applyFont="1"/>
    <xf numFmtId="0" fontId="8" fillId="0" borderId="0" xfId="0" applyFont="1" applyAlignment="1">
      <alignment vertical="center"/>
    </xf>
    <xf numFmtId="0" fontId="10" fillId="5" borderId="5" xfId="0" applyFont="1" applyFill="1" applyBorder="1" applyAlignment="1">
      <alignment vertical="center"/>
    </xf>
    <xf numFmtId="0" fontId="11" fillId="5" borderId="0" xfId="0" applyFont="1" applyFill="1" applyAlignment="1">
      <alignment horizontal="right" vertical="center"/>
    </xf>
    <xf numFmtId="0" fontId="11" fillId="5" borderId="5" xfId="0" applyFont="1" applyFill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178" fontId="8" fillId="0" borderId="0" xfId="0" applyNumberFormat="1" applyFont="1" applyAlignment="1">
      <alignment vertical="center"/>
    </xf>
    <xf numFmtId="178" fontId="8" fillId="0" borderId="5" xfId="0" applyNumberFormat="1" applyFont="1" applyBorder="1" applyAlignment="1">
      <alignment vertical="center"/>
    </xf>
    <xf numFmtId="177" fontId="8" fillId="0" borderId="0" xfId="1" applyNumberFormat="1" applyFont="1" applyFill="1">
      <alignment vertical="center"/>
    </xf>
    <xf numFmtId="177" fontId="8" fillId="0" borderId="0" xfId="1" applyNumberFormat="1" applyFont="1" applyFill="1" applyBorder="1">
      <alignment vertical="center"/>
    </xf>
    <xf numFmtId="177" fontId="8" fillId="0" borderId="5" xfId="1" applyNumberFormat="1" applyFont="1" applyFill="1" applyBorder="1">
      <alignment vertical="center"/>
    </xf>
    <xf numFmtId="9" fontId="8" fillId="0" borderId="0" xfId="1" applyFont="1" applyFill="1">
      <alignment vertical="center"/>
    </xf>
    <xf numFmtId="9" fontId="8" fillId="0" borderId="0" xfId="1" applyFont="1" applyAlignment="1">
      <alignment horizontal="right" vertical="center"/>
    </xf>
    <xf numFmtId="9" fontId="8" fillId="0" borderId="5" xfId="1" applyFont="1" applyBorder="1" applyAlignment="1">
      <alignment horizontal="right" vertical="center"/>
    </xf>
    <xf numFmtId="9" fontId="8" fillId="0" borderId="0" xfId="1" applyFont="1">
      <alignment vertical="center"/>
    </xf>
    <xf numFmtId="9" fontId="8" fillId="0" borderId="0" xfId="1" applyFont="1" applyBorder="1">
      <alignment vertical="center"/>
    </xf>
    <xf numFmtId="9" fontId="8" fillId="0" borderId="5" xfId="1" applyFont="1" applyBorder="1">
      <alignment vertical="center"/>
    </xf>
    <xf numFmtId="178" fontId="3" fillId="0" borderId="0" xfId="0" applyNumberFormat="1" applyFont="1"/>
    <xf numFmtId="178" fontId="3" fillId="3" borderId="0" xfId="0" applyNumberFormat="1" applyFont="1" applyFill="1"/>
    <xf numFmtId="178" fontId="0" fillId="0" borderId="0" xfId="0" applyNumberFormat="1"/>
    <xf numFmtId="178" fontId="3" fillId="0" borderId="0" xfId="0" applyNumberFormat="1" applyFont="1" applyBorder="1"/>
    <xf numFmtId="178" fontId="3" fillId="3" borderId="0" xfId="0" applyNumberFormat="1" applyFont="1" applyFill="1" applyBorder="1"/>
    <xf numFmtId="178" fontId="3" fillId="0" borderId="3" xfId="0" applyNumberFormat="1" applyFont="1" applyBorder="1"/>
    <xf numFmtId="178" fontId="3" fillId="3" borderId="3" xfId="0" applyNumberFormat="1" applyFont="1" applyFill="1" applyBorder="1"/>
    <xf numFmtId="177" fontId="3" fillId="0" borderId="0" xfId="0" applyNumberFormat="1" applyFont="1" applyFill="1"/>
    <xf numFmtId="177" fontId="3" fillId="4" borderId="0" xfId="0" applyNumberFormat="1" applyFont="1" applyFill="1"/>
    <xf numFmtId="178" fontId="3" fillId="0" borderId="0" xfId="0" applyNumberFormat="1" applyFont="1" applyFill="1"/>
    <xf numFmtId="178" fontId="0" fillId="0" borderId="0" xfId="0" applyNumberFormat="1" applyFill="1"/>
  </cellXfs>
  <cellStyles count="2">
    <cellStyle name="백분율" xfId="1" builtinId="5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84"/>
  <sheetViews>
    <sheetView zoomScale="85" zoomScaleNormal="85" workbookViewId="0">
      <selection activeCell="C38" sqref="C38:C39"/>
    </sheetView>
  </sheetViews>
  <sheetFormatPr defaultRowHeight="16.5" x14ac:dyDescent="0.3"/>
  <cols>
    <col min="1" max="1" width="3" customWidth="1"/>
    <col min="2" max="2" width="12" style="15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 x14ac:dyDescent="0.3">
      <c r="B2" s="1" t="s">
        <v>0</v>
      </c>
    </row>
    <row r="3" spans="2:7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3">
      <c r="B4" s="12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4">
        <v>255983</v>
      </c>
    </row>
    <row r="5" spans="2:7" x14ac:dyDescent="0.3">
      <c r="B5" s="12" t="s">
        <v>12</v>
      </c>
      <c r="C5" s="3" t="s">
        <v>13</v>
      </c>
      <c r="D5" s="3" t="s">
        <v>9</v>
      </c>
      <c r="E5" s="3"/>
      <c r="F5" s="3" t="s">
        <v>14</v>
      </c>
      <c r="G5" s="4">
        <v>254688</v>
      </c>
    </row>
    <row r="6" spans="2:7" x14ac:dyDescent="0.3">
      <c r="B6" s="12" t="s">
        <v>15</v>
      </c>
      <c r="C6" s="3" t="s">
        <v>16</v>
      </c>
      <c r="D6" s="3" t="s">
        <v>9</v>
      </c>
      <c r="E6" s="3"/>
      <c r="F6" s="3" t="s">
        <v>14</v>
      </c>
      <c r="G6" s="4">
        <v>248655</v>
      </c>
    </row>
    <row r="7" spans="2:7" x14ac:dyDescent="0.3">
      <c r="B7" s="12" t="s">
        <v>17</v>
      </c>
      <c r="C7" s="3" t="s">
        <v>18</v>
      </c>
      <c r="D7" s="3" t="s">
        <v>9</v>
      </c>
      <c r="E7" s="3"/>
      <c r="F7" s="3" t="s">
        <v>14</v>
      </c>
      <c r="G7" s="4">
        <v>229885</v>
      </c>
    </row>
    <row r="8" spans="2:7" x14ac:dyDescent="0.3">
      <c r="B8" s="12" t="s">
        <v>19</v>
      </c>
      <c r="C8" s="3" t="s">
        <v>20</v>
      </c>
      <c r="D8" s="3" t="s">
        <v>9</v>
      </c>
      <c r="E8" s="3" t="s">
        <v>10</v>
      </c>
      <c r="F8" s="3" t="s">
        <v>14</v>
      </c>
      <c r="G8" s="4">
        <v>173139</v>
      </c>
    </row>
    <row r="9" spans="2:7" x14ac:dyDescent="0.3">
      <c r="B9" s="12" t="s">
        <v>21</v>
      </c>
      <c r="C9" s="3" t="s">
        <v>22</v>
      </c>
      <c r="D9" s="3" t="s">
        <v>9</v>
      </c>
      <c r="E9" s="3"/>
      <c r="F9" s="3" t="s">
        <v>14</v>
      </c>
      <c r="G9" s="4">
        <v>158619</v>
      </c>
    </row>
    <row r="10" spans="2:7" x14ac:dyDescent="0.3">
      <c r="B10" s="12" t="s">
        <v>23</v>
      </c>
      <c r="C10" s="3" t="s">
        <v>24</v>
      </c>
      <c r="D10" s="3" t="s">
        <v>9</v>
      </c>
      <c r="E10" s="3"/>
      <c r="F10" s="3" t="s">
        <v>14</v>
      </c>
      <c r="G10" s="4">
        <v>148335</v>
      </c>
    </row>
    <row r="11" spans="2:7" x14ac:dyDescent="0.3">
      <c r="B11" s="12">
        <v>9984</v>
      </c>
      <c r="C11" s="3" t="s">
        <v>25</v>
      </c>
      <c r="D11" s="3" t="s">
        <v>9</v>
      </c>
      <c r="E11" s="3"/>
      <c r="F11" s="3" t="s">
        <v>14</v>
      </c>
      <c r="G11" s="4">
        <v>145052</v>
      </c>
    </row>
    <row r="12" spans="2:7" x14ac:dyDescent="0.3">
      <c r="B12" s="12" t="s">
        <v>26</v>
      </c>
      <c r="C12" s="3" t="s">
        <v>27</v>
      </c>
      <c r="D12" s="3" t="s">
        <v>9</v>
      </c>
      <c r="E12" s="3"/>
      <c r="F12" s="3" t="s">
        <v>14</v>
      </c>
      <c r="G12" s="4">
        <v>136225</v>
      </c>
    </row>
    <row r="13" spans="2:7" x14ac:dyDescent="0.3">
      <c r="B13" s="12" t="s">
        <v>28</v>
      </c>
      <c r="C13" s="3" t="s">
        <v>29</v>
      </c>
      <c r="D13" s="3" t="s">
        <v>9</v>
      </c>
      <c r="E13" s="3" t="s">
        <v>10</v>
      </c>
      <c r="F13" s="3" t="s">
        <v>14</v>
      </c>
      <c r="G13" s="4">
        <v>121257</v>
      </c>
    </row>
    <row r="14" spans="2:7" x14ac:dyDescent="0.3">
      <c r="B14" s="12" t="s">
        <v>30</v>
      </c>
      <c r="C14" s="3" t="s">
        <v>31</v>
      </c>
      <c r="D14" s="3" t="s">
        <v>9</v>
      </c>
      <c r="E14" s="3" t="s">
        <v>32</v>
      </c>
      <c r="F14" s="3" t="s">
        <v>14</v>
      </c>
      <c r="G14" s="4">
        <v>101439</v>
      </c>
    </row>
    <row r="15" spans="2:7" x14ac:dyDescent="0.3">
      <c r="B15" s="12" t="s">
        <v>33</v>
      </c>
      <c r="C15" s="3" t="s">
        <v>34</v>
      </c>
      <c r="D15" s="3" t="s">
        <v>9</v>
      </c>
      <c r="E15" s="3" t="s">
        <v>10</v>
      </c>
      <c r="F15" s="3" t="s">
        <v>14</v>
      </c>
      <c r="G15" s="4">
        <v>98702.35</v>
      </c>
    </row>
    <row r="16" spans="2:7" x14ac:dyDescent="0.3">
      <c r="B16" s="12" t="s">
        <v>35</v>
      </c>
      <c r="C16" s="3" t="s">
        <v>36</v>
      </c>
      <c r="D16" s="3" t="s">
        <v>9</v>
      </c>
      <c r="E16" s="3" t="s">
        <v>32</v>
      </c>
      <c r="F16" s="3" t="s">
        <v>14</v>
      </c>
      <c r="G16" s="4">
        <v>89724.21</v>
      </c>
    </row>
    <row r="17" spans="2:7" x14ac:dyDescent="0.3">
      <c r="B17" s="12" t="s">
        <v>37</v>
      </c>
      <c r="C17" s="3" t="s">
        <v>38</v>
      </c>
      <c r="D17" s="3" t="s">
        <v>9</v>
      </c>
      <c r="E17" s="3" t="s">
        <v>10</v>
      </c>
      <c r="F17" s="3" t="s">
        <v>14</v>
      </c>
      <c r="G17" s="4">
        <v>74083.81</v>
      </c>
    </row>
    <row r="18" spans="2:7" x14ac:dyDescent="0.3">
      <c r="B18" s="12" t="s">
        <v>39</v>
      </c>
      <c r="C18" s="3" t="s">
        <v>40</v>
      </c>
      <c r="D18" s="3" t="s">
        <v>9</v>
      </c>
      <c r="E18" s="3"/>
      <c r="F18" s="3" t="s">
        <v>14</v>
      </c>
      <c r="G18" s="4">
        <v>70068.94</v>
      </c>
    </row>
    <row r="19" spans="2:7" x14ac:dyDescent="0.3">
      <c r="B19" s="12" t="s">
        <v>41</v>
      </c>
      <c r="C19" s="3" t="s">
        <v>42</v>
      </c>
      <c r="D19" s="3" t="s">
        <v>9</v>
      </c>
      <c r="E19" s="3"/>
      <c r="F19" s="3" t="s">
        <v>14</v>
      </c>
      <c r="G19" s="4">
        <v>66248.67</v>
      </c>
    </row>
    <row r="20" spans="2:7" x14ac:dyDescent="0.3">
      <c r="B20" s="12" t="s">
        <v>759</v>
      </c>
      <c r="C20" s="3" t="s">
        <v>43</v>
      </c>
      <c r="D20" s="3" t="s">
        <v>9</v>
      </c>
      <c r="E20" s="3"/>
      <c r="F20" s="3" t="s">
        <v>14</v>
      </c>
      <c r="G20" s="4">
        <v>66176.67</v>
      </c>
    </row>
    <row r="21" spans="2:7" x14ac:dyDescent="0.3">
      <c r="B21" s="12" t="s">
        <v>44</v>
      </c>
      <c r="C21" s="3" t="s">
        <v>45</v>
      </c>
      <c r="D21" s="3" t="s">
        <v>9</v>
      </c>
      <c r="E21" s="3" t="s">
        <v>32</v>
      </c>
      <c r="F21" s="3" t="s">
        <v>14</v>
      </c>
      <c r="G21" s="4">
        <v>64518.62</v>
      </c>
    </row>
    <row r="22" spans="2:7" x14ac:dyDescent="0.3">
      <c r="B22" s="12" t="s">
        <v>46</v>
      </c>
      <c r="C22" s="3" t="s">
        <v>47</v>
      </c>
      <c r="D22" s="3" t="s">
        <v>9</v>
      </c>
      <c r="E22" s="3"/>
      <c r="F22" s="3" t="s">
        <v>14</v>
      </c>
      <c r="G22" s="4">
        <v>56390.83</v>
      </c>
    </row>
    <row r="23" spans="2:7" x14ac:dyDescent="0.3">
      <c r="B23" s="12" t="s">
        <v>48</v>
      </c>
      <c r="C23" s="3" t="s">
        <v>49</v>
      </c>
      <c r="D23" s="3" t="s">
        <v>9</v>
      </c>
      <c r="E23" s="3" t="s">
        <v>32</v>
      </c>
      <c r="F23" s="3" t="s">
        <v>14</v>
      </c>
      <c r="G23" s="4">
        <v>56153.13</v>
      </c>
    </row>
    <row r="24" spans="2:7" x14ac:dyDescent="0.3">
      <c r="B24" s="12" t="s">
        <v>50</v>
      </c>
      <c r="C24" s="3" t="s">
        <v>51</v>
      </c>
      <c r="D24" s="3" t="s">
        <v>9</v>
      </c>
      <c r="E24" s="3" t="s">
        <v>32</v>
      </c>
      <c r="F24" s="3" t="s">
        <v>14</v>
      </c>
      <c r="G24" s="4">
        <v>52874.83</v>
      </c>
    </row>
    <row r="25" spans="2:7" x14ac:dyDescent="0.3">
      <c r="B25" s="12" t="s">
        <v>52</v>
      </c>
      <c r="C25" s="3" t="s">
        <v>53</v>
      </c>
      <c r="D25" s="3" t="s">
        <v>9</v>
      </c>
      <c r="E25" s="3" t="s">
        <v>10</v>
      </c>
      <c r="F25" s="3" t="s">
        <v>14</v>
      </c>
      <c r="G25" s="4">
        <v>50357.89</v>
      </c>
    </row>
    <row r="26" spans="2:7" x14ac:dyDescent="0.3">
      <c r="B26" s="12" t="s">
        <v>54</v>
      </c>
      <c r="C26" s="3" t="s">
        <v>55</v>
      </c>
      <c r="D26" s="3" t="s">
        <v>9</v>
      </c>
      <c r="E26" s="3" t="s">
        <v>32</v>
      </c>
      <c r="F26" s="3" t="s">
        <v>14</v>
      </c>
      <c r="G26" s="4">
        <v>49736.33</v>
      </c>
    </row>
    <row r="27" spans="2:7" x14ac:dyDescent="0.3">
      <c r="B27" s="12" t="s">
        <v>56</v>
      </c>
      <c r="C27" s="3" t="s">
        <v>57</v>
      </c>
      <c r="D27" s="3" t="s">
        <v>9</v>
      </c>
      <c r="E27" s="3" t="s">
        <v>32</v>
      </c>
      <c r="F27" s="3" t="s">
        <v>14</v>
      </c>
      <c r="G27" s="4">
        <v>44786.17</v>
      </c>
    </row>
    <row r="28" spans="2:7" x14ac:dyDescent="0.3">
      <c r="B28" s="12" t="s">
        <v>58</v>
      </c>
      <c r="C28" s="3" t="s">
        <v>59</v>
      </c>
      <c r="D28" s="3" t="s">
        <v>9</v>
      </c>
      <c r="E28" s="3" t="s">
        <v>10</v>
      </c>
      <c r="F28" s="3" t="s">
        <v>14</v>
      </c>
      <c r="G28" s="4">
        <v>44525.87</v>
      </c>
    </row>
    <row r="29" spans="2:7" x14ac:dyDescent="0.3">
      <c r="B29" s="12" t="s">
        <v>60</v>
      </c>
      <c r="C29" s="3" t="s">
        <v>61</v>
      </c>
      <c r="D29" s="3" t="s">
        <v>9</v>
      </c>
      <c r="E29" s="3" t="s">
        <v>32</v>
      </c>
      <c r="F29" s="3" t="s">
        <v>14</v>
      </c>
      <c r="G29" s="4">
        <v>44306.28</v>
      </c>
    </row>
    <row r="30" spans="2:7" x14ac:dyDescent="0.3">
      <c r="B30" s="12" t="s">
        <v>62</v>
      </c>
      <c r="C30" s="3" t="s">
        <v>63</v>
      </c>
      <c r="D30" s="3" t="s">
        <v>9</v>
      </c>
      <c r="E30" s="3"/>
      <c r="F30" s="3" t="s">
        <v>14</v>
      </c>
      <c r="G30" s="4">
        <v>44228.91</v>
      </c>
    </row>
    <row r="31" spans="2:7" x14ac:dyDescent="0.3">
      <c r="B31" s="12" t="s">
        <v>64</v>
      </c>
      <c r="C31" s="3" t="s">
        <v>65</v>
      </c>
      <c r="D31" s="3" t="s">
        <v>9</v>
      </c>
      <c r="E31" s="3" t="s">
        <v>32</v>
      </c>
      <c r="F31" s="3" t="s">
        <v>14</v>
      </c>
      <c r="G31" s="4">
        <v>43354.47</v>
      </c>
    </row>
    <row r="32" spans="2:7" x14ac:dyDescent="0.3">
      <c r="B32" s="12" t="s">
        <v>66</v>
      </c>
      <c r="C32" s="3" t="s">
        <v>67</v>
      </c>
      <c r="D32" s="3" t="s">
        <v>9</v>
      </c>
      <c r="E32" s="3"/>
      <c r="F32" s="3" t="s">
        <v>14</v>
      </c>
      <c r="G32" s="4">
        <v>42269.11</v>
      </c>
    </row>
    <row r="33" spans="2:7" x14ac:dyDescent="0.3">
      <c r="B33" s="12" t="s">
        <v>68</v>
      </c>
      <c r="C33" s="3" t="s">
        <v>69</v>
      </c>
      <c r="D33" s="3" t="s">
        <v>9</v>
      </c>
      <c r="E33" s="3" t="s">
        <v>10</v>
      </c>
      <c r="F33" s="3" t="s">
        <v>14</v>
      </c>
      <c r="G33" s="4">
        <v>38918.370000000003</v>
      </c>
    </row>
    <row r="34" spans="2:7" x14ac:dyDescent="0.3">
      <c r="B34" s="12" t="s">
        <v>70</v>
      </c>
      <c r="C34" s="3" t="s">
        <v>71</v>
      </c>
      <c r="D34" s="3" t="s">
        <v>9</v>
      </c>
      <c r="E34" s="3"/>
      <c r="F34" s="3" t="s">
        <v>14</v>
      </c>
      <c r="G34" s="4">
        <v>38386.620000000003</v>
      </c>
    </row>
    <row r="35" spans="2:7" x14ac:dyDescent="0.3">
      <c r="B35" s="12" t="s">
        <v>72</v>
      </c>
      <c r="C35" s="3" t="s">
        <v>73</v>
      </c>
      <c r="D35" s="3" t="s">
        <v>9</v>
      </c>
      <c r="E35" s="3"/>
      <c r="F35" s="3" t="s">
        <v>14</v>
      </c>
      <c r="G35" s="4">
        <v>37351.94</v>
      </c>
    </row>
    <row r="36" spans="2:7" x14ac:dyDescent="0.3">
      <c r="B36" s="12" t="s">
        <v>74</v>
      </c>
      <c r="C36" s="3" t="s">
        <v>75</v>
      </c>
      <c r="D36" s="3" t="s">
        <v>9</v>
      </c>
      <c r="E36" s="3"/>
      <c r="F36" s="3" t="s">
        <v>14</v>
      </c>
      <c r="G36" s="4">
        <v>36045.730000000003</v>
      </c>
    </row>
    <row r="37" spans="2:7" x14ac:dyDescent="0.3">
      <c r="B37" s="12" t="s">
        <v>76</v>
      </c>
      <c r="C37" s="3" t="s">
        <v>77</v>
      </c>
      <c r="D37" s="3" t="s">
        <v>9</v>
      </c>
      <c r="E37" s="3"/>
      <c r="F37" s="3" t="s">
        <v>14</v>
      </c>
      <c r="G37" s="4">
        <v>31410.13</v>
      </c>
    </row>
    <row r="38" spans="2:7" x14ac:dyDescent="0.3">
      <c r="B38" s="12" t="s">
        <v>78</v>
      </c>
      <c r="C38" s="3" t="s">
        <v>79</v>
      </c>
      <c r="D38" s="3" t="s">
        <v>9</v>
      </c>
      <c r="E38" s="3"/>
      <c r="F38" s="3" t="s">
        <v>14</v>
      </c>
      <c r="G38" s="4">
        <v>30030.25</v>
      </c>
    </row>
    <row r="39" spans="2:7" x14ac:dyDescent="0.3">
      <c r="B39" s="12" t="s">
        <v>80</v>
      </c>
      <c r="C39" s="3" t="s">
        <v>81</v>
      </c>
      <c r="D39" s="3" t="s">
        <v>9</v>
      </c>
      <c r="E39" s="3" t="s">
        <v>10</v>
      </c>
      <c r="F39" s="3" t="s">
        <v>14</v>
      </c>
      <c r="G39" s="4">
        <v>29021.83</v>
      </c>
    </row>
    <row r="40" spans="2:7" x14ac:dyDescent="0.3">
      <c r="B40" s="12" t="s">
        <v>82</v>
      </c>
      <c r="C40" s="3" t="s">
        <v>83</v>
      </c>
      <c r="D40" s="3" t="s">
        <v>9</v>
      </c>
      <c r="E40" s="3" t="s">
        <v>32</v>
      </c>
      <c r="F40" s="3" t="s">
        <v>14</v>
      </c>
      <c r="G40" s="4">
        <v>28311.56</v>
      </c>
    </row>
    <row r="41" spans="2:7" x14ac:dyDescent="0.3">
      <c r="B41" s="12" t="s">
        <v>84</v>
      </c>
      <c r="C41" s="3" t="s">
        <v>85</v>
      </c>
      <c r="D41" s="3" t="s">
        <v>9</v>
      </c>
      <c r="E41" s="3"/>
      <c r="F41" s="3" t="s">
        <v>14</v>
      </c>
      <c r="G41" s="4">
        <v>27379</v>
      </c>
    </row>
    <row r="42" spans="2:7" x14ac:dyDescent="0.3">
      <c r="B42" s="12" t="s">
        <v>86</v>
      </c>
      <c r="C42" s="3" t="s">
        <v>87</v>
      </c>
      <c r="D42" s="3" t="s">
        <v>9</v>
      </c>
      <c r="E42" s="3" t="s">
        <v>10</v>
      </c>
      <c r="F42" s="3" t="s">
        <v>14</v>
      </c>
      <c r="G42" s="4">
        <v>27121.73</v>
      </c>
    </row>
    <row r="43" spans="2:7" x14ac:dyDescent="0.3">
      <c r="B43" s="12">
        <v>1347</v>
      </c>
      <c r="C43" s="3" t="s">
        <v>88</v>
      </c>
      <c r="D43" s="3" t="s">
        <v>9</v>
      </c>
      <c r="E43" s="3"/>
      <c r="F43" s="3" t="s">
        <v>14</v>
      </c>
      <c r="G43" s="4">
        <v>26409.93</v>
      </c>
    </row>
    <row r="44" spans="2:7" x14ac:dyDescent="0.3">
      <c r="B44" s="12" t="s">
        <v>89</v>
      </c>
      <c r="C44" s="3" t="s">
        <v>90</v>
      </c>
      <c r="D44" s="3" t="s">
        <v>9</v>
      </c>
      <c r="E44" s="3" t="s">
        <v>10</v>
      </c>
      <c r="F44" s="3" t="s">
        <v>14</v>
      </c>
      <c r="G44" s="4">
        <v>26304.51</v>
      </c>
    </row>
    <row r="45" spans="2:7" x14ac:dyDescent="0.3">
      <c r="B45" s="12" t="s">
        <v>91</v>
      </c>
      <c r="C45" s="3" t="s">
        <v>92</v>
      </c>
      <c r="D45" s="3" t="s">
        <v>9</v>
      </c>
      <c r="E45" s="3" t="s">
        <v>32</v>
      </c>
      <c r="F45" s="3" t="s">
        <v>14</v>
      </c>
      <c r="G45" s="4">
        <v>26099.25</v>
      </c>
    </row>
    <row r="46" spans="2:7" x14ac:dyDescent="0.3">
      <c r="B46" s="12" t="s">
        <v>93</v>
      </c>
      <c r="C46" s="3" t="s">
        <v>94</v>
      </c>
      <c r="D46" s="3" t="s">
        <v>9</v>
      </c>
      <c r="E46" s="3" t="s">
        <v>10</v>
      </c>
      <c r="F46" s="3" t="s">
        <v>14</v>
      </c>
      <c r="G46" s="4">
        <v>25542.55</v>
      </c>
    </row>
    <row r="47" spans="2:7" x14ac:dyDescent="0.3">
      <c r="B47" s="12" t="s">
        <v>95</v>
      </c>
      <c r="C47" s="3" t="s">
        <v>96</v>
      </c>
      <c r="D47" s="3" t="s">
        <v>9</v>
      </c>
      <c r="E47" s="3"/>
      <c r="F47" s="3" t="s">
        <v>14</v>
      </c>
      <c r="G47" s="4">
        <v>24739.9</v>
      </c>
    </row>
    <row r="48" spans="2:7" x14ac:dyDescent="0.3">
      <c r="B48" s="12">
        <v>1605</v>
      </c>
      <c r="C48" s="3" t="s">
        <v>97</v>
      </c>
      <c r="D48" s="3" t="s">
        <v>9</v>
      </c>
      <c r="E48" s="3"/>
      <c r="F48" s="3" t="s">
        <v>14</v>
      </c>
      <c r="G48" s="4">
        <v>23554.1</v>
      </c>
    </row>
    <row r="49" spans="2:7" x14ac:dyDescent="0.3">
      <c r="B49" s="12">
        <v>500440</v>
      </c>
      <c r="C49" s="3" t="s">
        <v>98</v>
      </c>
      <c r="D49" s="3" t="s">
        <v>9</v>
      </c>
      <c r="E49" s="3"/>
      <c r="F49" s="3" t="s">
        <v>14</v>
      </c>
      <c r="G49" s="4">
        <v>22873.03</v>
      </c>
    </row>
    <row r="50" spans="2:7" x14ac:dyDescent="0.3">
      <c r="B50" s="12" t="s">
        <v>99</v>
      </c>
      <c r="C50" s="3" t="s">
        <v>100</v>
      </c>
      <c r="D50" s="3" t="s">
        <v>9</v>
      </c>
      <c r="E50" s="3" t="s">
        <v>32</v>
      </c>
      <c r="F50" s="3" t="s">
        <v>14</v>
      </c>
      <c r="G50" s="4">
        <v>22399.4</v>
      </c>
    </row>
    <row r="51" spans="2:7" x14ac:dyDescent="0.3">
      <c r="B51" s="12" t="s">
        <v>101</v>
      </c>
      <c r="C51" s="3" t="s">
        <v>102</v>
      </c>
      <c r="D51" s="3" t="s">
        <v>9</v>
      </c>
      <c r="E51" s="3" t="s">
        <v>32</v>
      </c>
      <c r="F51" s="3" t="s">
        <v>14</v>
      </c>
      <c r="G51" s="4">
        <v>20643.439999999999</v>
      </c>
    </row>
    <row r="52" spans="2:7" x14ac:dyDescent="0.3">
      <c r="B52" s="12" t="s">
        <v>103</v>
      </c>
      <c r="C52" s="3" t="s">
        <v>104</v>
      </c>
      <c r="D52" s="3" t="s">
        <v>9</v>
      </c>
      <c r="E52" s="3" t="s">
        <v>10</v>
      </c>
      <c r="F52" s="3" t="s">
        <v>14</v>
      </c>
      <c r="G52" s="4">
        <v>20435.97</v>
      </c>
    </row>
    <row r="53" spans="2:7" x14ac:dyDescent="0.3">
      <c r="B53" s="12" t="s">
        <v>105</v>
      </c>
      <c r="C53" s="3" t="s">
        <v>106</v>
      </c>
      <c r="D53" s="3" t="s">
        <v>9</v>
      </c>
      <c r="E53" s="3" t="s">
        <v>32</v>
      </c>
      <c r="F53" s="3" t="s">
        <v>14</v>
      </c>
      <c r="G53" s="4">
        <v>20375.63</v>
      </c>
    </row>
    <row r="54" spans="2:7" x14ac:dyDescent="0.3">
      <c r="B54" s="12" t="s">
        <v>107</v>
      </c>
      <c r="C54" s="3" t="s">
        <v>108</v>
      </c>
      <c r="D54" s="3" t="s">
        <v>9</v>
      </c>
      <c r="E54" s="3" t="s">
        <v>32</v>
      </c>
      <c r="F54" s="3" t="s">
        <v>14</v>
      </c>
      <c r="G54" s="4">
        <v>19918.599999999999</v>
      </c>
    </row>
    <row r="55" spans="2:7" x14ac:dyDescent="0.3">
      <c r="B55" s="12" t="s">
        <v>109</v>
      </c>
      <c r="C55" s="3" t="s">
        <v>110</v>
      </c>
      <c r="D55" s="3" t="s">
        <v>9</v>
      </c>
      <c r="E55" s="3" t="s">
        <v>10</v>
      </c>
      <c r="F55" s="3" t="s">
        <v>14</v>
      </c>
      <c r="G55" s="4">
        <v>19709.759999999998</v>
      </c>
    </row>
    <row r="56" spans="2:7" x14ac:dyDescent="0.3">
      <c r="B56" s="12" t="s">
        <v>111</v>
      </c>
      <c r="C56" s="3" t="s">
        <v>112</v>
      </c>
      <c r="D56" s="3" t="s">
        <v>9</v>
      </c>
      <c r="E56" s="3"/>
      <c r="F56" s="3" t="s">
        <v>14</v>
      </c>
      <c r="G56" s="4">
        <v>19562.72</v>
      </c>
    </row>
    <row r="57" spans="2:7" x14ac:dyDescent="0.3">
      <c r="B57" s="12">
        <v>7532</v>
      </c>
      <c r="C57" s="3" t="s">
        <v>113</v>
      </c>
      <c r="D57" s="3" t="s">
        <v>9</v>
      </c>
      <c r="E57" s="3"/>
      <c r="F57" s="3" t="s">
        <v>14</v>
      </c>
      <c r="G57" s="4">
        <v>18958.89</v>
      </c>
    </row>
    <row r="58" spans="2:7" x14ac:dyDescent="0.3">
      <c r="B58" s="12" t="s">
        <v>114</v>
      </c>
      <c r="C58" s="3" t="s">
        <v>115</v>
      </c>
      <c r="D58" s="3" t="s">
        <v>9</v>
      </c>
      <c r="E58" s="3"/>
      <c r="F58" s="3" t="s">
        <v>14</v>
      </c>
      <c r="G58" s="4">
        <v>18654.46</v>
      </c>
    </row>
    <row r="59" spans="2:7" x14ac:dyDescent="0.3">
      <c r="B59" s="12" t="s">
        <v>116</v>
      </c>
      <c r="C59" s="3" t="s">
        <v>117</v>
      </c>
      <c r="D59" s="3" t="s">
        <v>9</v>
      </c>
      <c r="E59" s="3"/>
      <c r="F59" s="3" t="s">
        <v>14</v>
      </c>
      <c r="G59" s="4">
        <v>18385.82</v>
      </c>
    </row>
    <row r="60" spans="2:7" x14ac:dyDescent="0.3">
      <c r="B60" s="12">
        <v>3659</v>
      </c>
      <c r="C60" s="3" t="s">
        <v>118</v>
      </c>
      <c r="D60" s="3" t="s">
        <v>9</v>
      </c>
      <c r="E60" s="3"/>
      <c r="F60" s="3" t="s">
        <v>14</v>
      </c>
      <c r="G60" s="4">
        <v>17896.37</v>
      </c>
    </row>
    <row r="61" spans="2:7" x14ac:dyDescent="0.3">
      <c r="B61" s="12" t="s">
        <v>119</v>
      </c>
      <c r="C61" s="3" t="s">
        <v>120</v>
      </c>
      <c r="D61" s="3" t="s">
        <v>9</v>
      </c>
      <c r="E61" s="3"/>
      <c r="F61" s="3" t="s">
        <v>14</v>
      </c>
      <c r="G61" s="4">
        <v>17598.57</v>
      </c>
    </row>
    <row r="62" spans="2:7" x14ac:dyDescent="0.3">
      <c r="B62" s="12" t="s">
        <v>121</v>
      </c>
      <c r="C62" s="3" t="s">
        <v>122</v>
      </c>
      <c r="D62" s="3" t="s">
        <v>9</v>
      </c>
      <c r="E62" s="3"/>
      <c r="F62" s="3" t="s">
        <v>14</v>
      </c>
      <c r="G62" s="4">
        <v>17576.45</v>
      </c>
    </row>
    <row r="63" spans="2:7" x14ac:dyDescent="0.3">
      <c r="B63" s="12" t="s">
        <v>123</v>
      </c>
      <c r="C63" s="3" t="s">
        <v>124</v>
      </c>
      <c r="D63" s="3" t="s">
        <v>9</v>
      </c>
      <c r="E63" s="3" t="s">
        <v>10</v>
      </c>
      <c r="F63" s="3" t="s">
        <v>14</v>
      </c>
      <c r="G63" s="4">
        <v>17560.150000000001</v>
      </c>
    </row>
    <row r="64" spans="2:7" x14ac:dyDescent="0.3">
      <c r="B64" s="12" t="s">
        <v>125</v>
      </c>
      <c r="C64" s="3" t="s">
        <v>126</v>
      </c>
      <c r="D64" s="3" t="s">
        <v>9</v>
      </c>
      <c r="E64" s="3" t="s">
        <v>10</v>
      </c>
      <c r="F64" s="3" t="s">
        <v>14</v>
      </c>
      <c r="G64" s="4">
        <v>17503.7</v>
      </c>
    </row>
    <row r="65" spans="2:7" x14ac:dyDescent="0.3">
      <c r="B65" s="12">
        <v>2502</v>
      </c>
      <c r="C65" s="3" t="s">
        <v>127</v>
      </c>
      <c r="D65" s="3" t="s">
        <v>9</v>
      </c>
      <c r="E65" s="3"/>
      <c r="F65" s="3" t="s">
        <v>14</v>
      </c>
      <c r="G65" s="4">
        <v>17430.95</v>
      </c>
    </row>
    <row r="66" spans="2:7" x14ac:dyDescent="0.3">
      <c r="B66" s="12" t="s">
        <v>128</v>
      </c>
      <c r="C66" s="3" t="s">
        <v>129</v>
      </c>
      <c r="D66" s="3" t="s">
        <v>9</v>
      </c>
      <c r="E66" s="3" t="s">
        <v>32</v>
      </c>
      <c r="F66" s="3" t="s">
        <v>14</v>
      </c>
      <c r="G66" s="4">
        <v>17153.57</v>
      </c>
    </row>
    <row r="67" spans="2:7" x14ac:dyDescent="0.3">
      <c r="B67" s="12" t="s">
        <v>130</v>
      </c>
      <c r="C67" s="3" t="s">
        <v>131</v>
      </c>
      <c r="D67" s="3" t="s">
        <v>9</v>
      </c>
      <c r="E67" s="3" t="s">
        <v>10</v>
      </c>
      <c r="F67" s="3" t="s">
        <v>14</v>
      </c>
      <c r="G67" s="4">
        <v>15794.46</v>
      </c>
    </row>
    <row r="68" spans="2:7" x14ac:dyDescent="0.3">
      <c r="B68" s="12" t="s">
        <v>132</v>
      </c>
      <c r="C68" s="3" t="s">
        <v>133</v>
      </c>
      <c r="D68" s="3" t="s">
        <v>9</v>
      </c>
      <c r="E68" s="3" t="s">
        <v>32</v>
      </c>
      <c r="F68" s="3" t="s">
        <v>14</v>
      </c>
      <c r="G68" s="4">
        <v>15508.28</v>
      </c>
    </row>
    <row r="69" spans="2:7" x14ac:dyDescent="0.3">
      <c r="B69" s="12" t="s">
        <v>134</v>
      </c>
      <c r="C69" s="3" t="s">
        <v>135</v>
      </c>
      <c r="D69" s="3" t="s">
        <v>9</v>
      </c>
      <c r="E69" s="3"/>
      <c r="F69" s="3" t="s">
        <v>14</v>
      </c>
      <c r="G69" s="4">
        <v>15356.18</v>
      </c>
    </row>
    <row r="70" spans="2:7" x14ac:dyDescent="0.3">
      <c r="B70" s="12" t="s">
        <v>136</v>
      </c>
      <c r="C70" s="3" t="s">
        <v>137</v>
      </c>
      <c r="D70" s="3" t="s">
        <v>9</v>
      </c>
      <c r="E70" s="3" t="s">
        <v>10</v>
      </c>
      <c r="F70" s="3" t="s">
        <v>14</v>
      </c>
      <c r="G70" s="4">
        <v>15300.29</v>
      </c>
    </row>
    <row r="71" spans="2:7" x14ac:dyDescent="0.3">
      <c r="B71" s="12" t="s">
        <v>138</v>
      </c>
      <c r="C71" s="3" t="s">
        <v>139</v>
      </c>
      <c r="D71" s="3" t="s">
        <v>9</v>
      </c>
      <c r="E71" s="3" t="s">
        <v>32</v>
      </c>
      <c r="F71" s="3" t="s">
        <v>14</v>
      </c>
      <c r="G71" s="4">
        <v>15065.83</v>
      </c>
    </row>
    <row r="72" spans="2:7" x14ac:dyDescent="0.3">
      <c r="B72" s="12">
        <v>6326</v>
      </c>
      <c r="C72" s="3" t="s">
        <v>140</v>
      </c>
      <c r="D72" s="3" t="s">
        <v>9</v>
      </c>
      <c r="E72" s="3"/>
      <c r="F72" s="3" t="s">
        <v>14</v>
      </c>
      <c r="G72" s="4">
        <v>14795.03</v>
      </c>
    </row>
    <row r="73" spans="2:7" x14ac:dyDescent="0.3">
      <c r="B73" s="12" t="s">
        <v>141</v>
      </c>
      <c r="C73" s="3" t="s">
        <v>142</v>
      </c>
      <c r="D73" s="3" t="s">
        <v>9</v>
      </c>
      <c r="E73" s="3"/>
      <c r="F73" s="3" t="s">
        <v>14</v>
      </c>
      <c r="G73" s="4">
        <v>14594.13</v>
      </c>
    </row>
    <row r="74" spans="2:7" x14ac:dyDescent="0.3">
      <c r="B74" s="12" t="s">
        <v>143</v>
      </c>
      <c r="C74" s="3" t="s">
        <v>144</v>
      </c>
      <c r="D74" s="3" t="s">
        <v>9</v>
      </c>
      <c r="E74" s="3" t="s">
        <v>32</v>
      </c>
      <c r="F74" s="3" t="s">
        <v>14</v>
      </c>
      <c r="G74" s="4">
        <v>14539.49</v>
      </c>
    </row>
    <row r="75" spans="2:7" x14ac:dyDescent="0.3">
      <c r="B75" s="12" t="s">
        <v>145</v>
      </c>
      <c r="C75" s="3" t="s">
        <v>146</v>
      </c>
      <c r="D75" s="3" t="s">
        <v>9</v>
      </c>
      <c r="E75" s="3"/>
      <c r="F75" s="3" t="s">
        <v>14</v>
      </c>
      <c r="G75" s="4">
        <v>14321.71</v>
      </c>
    </row>
    <row r="76" spans="2:7" x14ac:dyDescent="0.3">
      <c r="B76" s="12" t="s">
        <v>147</v>
      </c>
      <c r="C76" s="3" t="s">
        <v>148</v>
      </c>
      <c r="D76" s="3" t="s">
        <v>9</v>
      </c>
      <c r="E76" s="3" t="s">
        <v>32</v>
      </c>
      <c r="F76" s="3" t="s">
        <v>14</v>
      </c>
      <c r="G76" s="4">
        <v>14035.34</v>
      </c>
    </row>
    <row r="77" spans="2:7" x14ac:dyDescent="0.3">
      <c r="B77" s="12" t="s">
        <v>149</v>
      </c>
      <c r="C77" s="3" t="s">
        <v>150</v>
      </c>
      <c r="D77" s="3" t="s">
        <v>9</v>
      </c>
      <c r="E77" s="3"/>
      <c r="F77" s="3" t="s">
        <v>14</v>
      </c>
      <c r="G77" s="4">
        <v>13823.06</v>
      </c>
    </row>
    <row r="78" spans="2:7" x14ac:dyDescent="0.3">
      <c r="B78" s="12">
        <v>4755</v>
      </c>
      <c r="C78" s="3" t="s">
        <v>151</v>
      </c>
      <c r="D78" s="3" t="s">
        <v>9</v>
      </c>
      <c r="E78" s="3"/>
      <c r="F78" s="3" t="s">
        <v>14</v>
      </c>
      <c r="G78" s="4">
        <v>13729.84</v>
      </c>
    </row>
    <row r="79" spans="2:7" x14ac:dyDescent="0.3">
      <c r="B79" s="12" t="s">
        <v>152</v>
      </c>
      <c r="C79" s="3" t="s">
        <v>153</v>
      </c>
      <c r="D79" s="3" t="s">
        <v>9</v>
      </c>
      <c r="E79" s="3" t="s">
        <v>32</v>
      </c>
      <c r="F79" s="3" t="s">
        <v>14</v>
      </c>
      <c r="G79" s="4">
        <v>13045.48</v>
      </c>
    </row>
    <row r="80" spans="2:7" x14ac:dyDescent="0.3">
      <c r="B80" s="12" t="s">
        <v>154</v>
      </c>
      <c r="C80" s="3" t="s">
        <v>155</v>
      </c>
      <c r="D80" s="3" t="s">
        <v>9</v>
      </c>
      <c r="E80" s="3" t="s">
        <v>10</v>
      </c>
      <c r="F80" s="3" t="s">
        <v>14</v>
      </c>
      <c r="G80" s="4">
        <v>12731.73</v>
      </c>
    </row>
    <row r="81" spans="2:7" x14ac:dyDescent="0.3">
      <c r="B81" s="12">
        <v>9435</v>
      </c>
      <c r="C81" s="3" t="s">
        <v>156</v>
      </c>
      <c r="D81" s="3" t="s">
        <v>9</v>
      </c>
      <c r="E81" s="3"/>
      <c r="F81" s="3" t="s">
        <v>14</v>
      </c>
      <c r="G81" s="4">
        <v>12385.15</v>
      </c>
    </row>
    <row r="82" spans="2:7" x14ac:dyDescent="0.3">
      <c r="B82" s="12">
        <v>8136</v>
      </c>
      <c r="C82" s="3" t="s">
        <v>157</v>
      </c>
      <c r="D82" s="3" t="s">
        <v>9</v>
      </c>
      <c r="E82" s="3"/>
      <c r="F82" s="3" t="s">
        <v>14</v>
      </c>
      <c r="G82" s="4">
        <v>12258.57</v>
      </c>
    </row>
    <row r="83" spans="2:7" x14ac:dyDescent="0.3">
      <c r="B83" s="12" t="s">
        <v>158</v>
      </c>
      <c r="C83" s="3" t="s">
        <v>159</v>
      </c>
      <c r="D83" s="3" t="s">
        <v>9</v>
      </c>
      <c r="E83" s="3" t="s">
        <v>32</v>
      </c>
      <c r="F83" s="3" t="s">
        <v>14</v>
      </c>
      <c r="G83" s="4">
        <v>12255</v>
      </c>
    </row>
    <row r="84" spans="2:7" x14ac:dyDescent="0.3">
      <c r="B84" s="12">
        <v>8795</v>
      </c>
      <c r="C84" s="3" t="s">
        <v>160</v>
      </c>
      <c r="D84" s="3" t="s">
        <v>9</v>
      </c>
      <c r="E84" s="3"/>
      <c r="F84" s="3" t="s">
        <v>14</v>
      </c>
      <c r="G84" s="4">
        <v>11636.47</v>
      </c>
    </row>
    <row r="85" spans="2:7" x14ac:dyDescent="0.3">
      <c r="B85" s="12">
        <v>8113</v>
      </c>
      <c r="C85" s="3" t="s">
        <v>161</v>
      </c>
      <c r="D85" s="3" t="s">
        <v>9</v>
      </c>
      <c r="E85" s="3"/>
      <c r="F85" s="3" t="s">
        <v>14</v>
      </c>
      <c r="G85" s="4">
        <v>11632.46</v>
      </c>
    </row>
    <row r="86" spans="2:7" x14ac:dyDescent="0.3">
      <c r="B86" s="12">
        <v>6383</v>
      </c>
      <c r="C86" s="3" t="s">
        <v>162</v>
      </c>
      <c r="D86" s="3" t="s">
        <v>9</v>
      </c>
      <c r="E86" s="3"/>
      <c r="F86" s="3" t="s">
        <v>14</v>
      </c>
      <c r="G86" s="4">
        <v>11626.67</v>
      </c>
    </row>
    <row r="87" spans="2:7" x14ac:dyDescent="0.3">
      <c r="B87" s="12">
        <v>500850</v>
      </c>
      <c r="C87" s="3" t="s">
        <v>163</v>
      </c>
      <c r="D87" s="3" t="s">
        <v>9</v>
      </c>
      <c r="E87" s="3"/>
      <c r="F87" s="3" t="s">
        <v>14</v>
      </c>
      <c r="G87" s="4">
        <v>11619.39</v>
      </c>
    </row>
    <row r="88" spans="2:7" x14ac:dyDescent="0.3">
      <c r="B88" s="12" t="s">
        <v>164</v>
      </c>
      <c r="C88" s="3" t="s">
        <v>165</v>
      </c>
      <c r="D88" s="3" t="s">
        <v>9</v>
      </c>
      <c r="E88" s="3"/>
      <c r="F88" s="3" t="s">
        <v>14</v>
      </c>
      <c r="G88" s="4">
        <v>11529.35</v>
      </c>
    </row>
    <row r="89" spans="2:7" x14ac:dyDescent="0.3">
      <c r="B89" s="12" t="s">
        <v>166</v>
      </c>
      <c r="C89" s="3" t="s">
        <v>167</v>
      </c>
      <c r="D89" s="3" t="s">
        <v>9</v>
      </c>
      <c r="E89" s="3"/>
      <c r="F89" s="3" t="s">
        <v>14</v>
      </c>
      <c r="G89" s="4">
        <v>11230.13</v>
      </c>
    </row>
    <row r="90" spans="2:7" x14ac:dyDescent="0.3">
      <c r="B90" s="12" t="s">
        <v>168</v>
      </c>
      <c r="C90" s="3" t="s">
        <v>169</v>
      </c>
      <c r="D90" s="3" t="s">
        <v>9</v>
      </c>
      <c r="E90" s="3" t="s">
        <v>10</v>
      </c>
      <c r="F90" s="3" t="s">
        <v>14</v>
      </c>
      <c r="G90" s="4">
        <v>10917.51</v>
      </c>
    </row>
    <row r="91" spans="2:7" x14ac:dyDescent="0.3">
      <c r="B91" s="12" t="s">
        <v>170</v>
      </c>
      <c r="C91" s="3" t="s">
        <v>171</v>
      </c>
      <c r="D91" s="3" t="s">
        <v>9</v>
      </c>
      <c r="E91" s="3" t="s">
        <v>10</v>
      </c>
      <c r="F91" s="3" t="s">
        <v>14</v>
      </c>
      <c r="G91" s="4">
        <v>10863.86</v>
      </c>
    </row>
    <row r="92" spans="2:7" x14ac:dyDescent="0.3">
      <c r="B92" s="12" t="s">
        <v>172</v>
      </c>
      <c r="C92" s="3" t="s">
        <v>173</v>
      </c>
      <c r="D92" s="3" t="s">
        <v>9</v>
      </c>
      <c r="E92" s="3"/>
      <c r="F92" s="3" t="s">
        <v>14</v>
      </c>
      <c r="G92" s="4">
        <v>10774.54</v>
      </c>
    </row>
    <row r="93" spans="2:7" x14ac:dyDescent="0.3">
      <c r="B93" s="12">
        <v>7550</v>
      </c>
      <c r="C93" s="3" t="s">
        <v>174</v>
      </c>
      <c r="D93" s="3" t="s">
        <v>9</v>
      </c>
      <c r="E93" s="3"/>
      <c r="F93" s="3" t="s">
        <v>14</v>
      </c>
      <c r="G93" s="4">
        <v>10600.32</v>
      </c>
    </row>
    <row r="94" spans="2:7" x14ac:dyDescent="0.3">
      <c r="B94" s="12">
        <v>500257</v>
      </c>
      <c r="C94" s="3" t="s">
        <v>175</v>
      </c>
      <c r="D94" s="3" t="s">
        <v>9</v>
      </c>
      <c r="E94" s="3"/>
      <c r="F94" s="3" t="s">
        <v>14</v>
      </c>
      <c r="G94" s="4">
        <v>10499.22</v>
      </c>
    </row>
    <row r="95" spans="2:7" x14ac:dyDescent="0.3">
      <c r="B95" s="12" t="s">
        <v>176</v>
      </c>
      <c r="C95" s="3" t="s">
        <v>177</v>
      </c>
      <c r="D95" s="3" t="s">
        <v>9</v>
      </c>
      <c r="E95" s="3" t="s">
        <v>10</v>
      </c>
      <c r="F95" s="3" t="s">
        <v>14</v>
      </c>
      <c r="G95" s="4">
        <v>10346.42</v>
      </c>
    </row>
    <row r="96" spans="2:7" x14ac:dyDescent="0.3">
      <c r="B96" s="12" t="s">
        <v>178</v>
      </c>
      <c r="C96" s="3" t="s">
        <v>179</v>
      </c>
      <c r="D96" s="3" t="s">
        <v>9</v>
      </c>
      <c r="E96" s="3"/>
      <c r="F96" s="3" t="s">
        <v>14</v>
      </c>
      <c r="G96" s="4">
        <v>10327.379999999999</v>
      </c>
    </row>
    <row r="97" spans="2:7" x14ac:dyDescent="0.3">
      <c r="B97" s="12" t="s">
        <v>180</v>
      </c>
      <c r="C97" s="3" t="s">
        <v>181</v>
      </c>
      <c r="D97" s="3" t="s">
        <v>9</v>
      </c>
      <c r="E97" s="3"/>
      <c r="F97" s="3" t="s">
        <v>14</v>
      </c>
      <c r="G97" s="4">
        <v>10194.42</v>
      </c>
    </row>
    <row r="98" spans="2:7" x14ac:dyDescent="0.3">
      <c r="B98" s="12">
        <v>9024</v>
      </c>
      <c r="C98" s="3" t="s">
        <v>182</v>
      </c>
      <c r="D98" s="3" t="s">
        <v>9</v>
      </c>
      <c r="E98" s="3"/>
      <c r="F98" s="3" t="s">
        <v>14</v>
      </c>
      <c r="G98" s="4">
        <v>9571.2800000000007</v>
      </c>
    </row>
    <row r="99" spans="2:7" x14ac:dyDescent="0.3">
      <c r="B99" s="12" t="s">
        <v>183</v>
      </c>
      <c r="C99" s="3" t="s">
        <v>184</v>
      </c>
      <c r="D99" s="3" t="s">
        <v>9</v>
      </c>
      <c r="E99" s="3" t="s">
        <v>32</v>
      </c>
      <c r="F99" s="3" t="s">
        <v>14</v>
      </c>
      <c r="G99" s="4">
        <v>9548.98</v>
      </c>
    </row>
    <row r="100" spans="2:7" x14ac:dyDescent="0.3">
      <c r="B100" s="12" t="s">
        <v>185</v>
      </c>
      <c r="C100" s="3" t="s">
        <v>186</v>
      </c>
      <c r="D100" s="3" t="s">
        <v>9</v>
      </c>
      <c r="E100" s="3" t="s">
        <v>10</v>
      </c>
      <c r="F100" s="3" t="s">
        <v>14</v>
      </c>
      <c r="G100" s="4">
        <v>9537.23</v>
      </c>
    </row>
    <row r="101" spans="2:7" x14ac:dyDescent="0.3">
      <c r="B101" s="12">
        <v>2587</v>
      </c>
      <c r="C101" s="3" t="s">
        <v>187</v>
      </c>
      <c r="D101" s="3" t="s">
        <v>9</v>
      </c>
      <c r="E101" s="3"/>
      <c r="F101" s="3" t="s">
        <v>14</v>
      </c>
      <c r="G101" s="4">
        <v>9523.2000000000007</v>
      </c>
    </row>
    <row r="102" spans="2:7" x14ac:dyDescent="0.3">
      <c r="B102" s="12" t="s">
        <v>188</v>
      </c>
      <c r="C102" s="3" t="s">
        <v>189</v>
      </c>
      <c r="D102" s="3" t="s">
        <v>9</v>
      </c>
      <c r="E102" s="3"/>
      <c r="F102" s="3" t="s">
        <v>14</v>
      </c>
      <c r="G102" s="4">
        <v>9224.56</v>
      </c>
    </row>
    <row r="103" spans="2:7" x14ac:dyDescent="0.3">
      <c r="B103" s="12" t="s">
        <v>190</v>
      </c>
      <c r="C103" s="3" t="s">
        <v>191</v>
      </c>
      <c r="D103" s="3" t="s">
        <v>9</v>
      </c>
      <c r="E103" s="3" t="s">
        <v>10</v>
      </c>
      <c r="F103" s="3" t="s">
        <v>14</v>
      </c>
      <c r="G103" s="4">
        <v>9134.48</v>
      </c>
    </row>
    <row r="104" spans="2:7" x14ac:dyDescent="0.3">
      <c r="B104" s="12">
        <v>6525</v>
      </c>
      <c r="C104" s="3" t="s">
        <v>192</v>
      </c>
      <c r="D104" s="3" t="s">
        <v>9</v>
      </c>
      <c r="E104" s="3"/>
      <c r="F104" s="3" t="s">
        <v>14</v>
      </c>
      <c r="G104" s="4">
        <v>8850.2800000000007</v>
      </c>
    </row>
    <row r="105" spans="2:7" x14ac:dyDescent="0.3">
      <c r="B105" s="12">
        <v>7202</v>
      </c>
      <c r="C105" s="3" t="s">
        <v>193</v>
      </c>
      <c r="D105" s="3" t="s">
        <v>9</v>
      </c>
      <c r="E105" s="3"/>
      <c r="F105" s="3" t="s">
        <v>14</v>
      </c>
      <c r="G105" s="4">
        <v>8796.44</v>
      </c>
    </row>
    <row r="106" spans="2:7" x14ac:dyDescent="0.3">
      <c r="B106" s="12" t="s">
        <v>194</v>
      </c>
      <c r="C106" s="3" t="s">
        <v>195</v>
      </c>
      <c r="D106" s="3" t="s">
        <v>9</v>
      </c>
      <c r="E106" s="3"/>
      <c r="F106" s="3" t="s">
        <v>14</v>
      </c>
      <c r="G106" s="4">
        <v>8697.65</v>
      </c>
    </row>
    <row r="107" spans="2:7" x14ac:dyDescent="0.3">
      <c r="B107" s="12" t="s">
        <v>196</v>
      </c>
      <c r="C107" s="3" t="s">
        <v>197</v>
      </c>
      <c r="D107" s="3" t="s">
        <v>9</v>
      </c>
      <c r="E107" s="3" t="s">
        <v>10</v>
      </c>
      <c r="F107" s="3" t="s">
        <v>14</v>
      </c>
      <c r="G107" s="4">
        <v>8575.7199999999993</v>
      </c>
    </row>
    <row r="108" spans="2:7" x14ac:dyDescent="0.3">
      <c r="B108" s="12">
        <v>5831</v>
      </c>
      <c r="C108" s="3" t="s">
        <v>198</v>
      </c>
      <c r="D108" s="3" t="s">
        <v>9</v>
      </c>
      <c r="E108" s="3"/>
      <c r="F108" s="3" t="s">
        <v>14</v>
      </c>
      <c r="G108" s="4">
        <v>8562.69</v>
      </c>
    </row>
    <row r="109" spans="2:7" x14ac:dyDescent="0.3">
      <c r="B109" s="12">
        <v>7201</v>
      </c>
      <c r="C109" s="3" t="s">
        <v>199</v>
      </c>
      <c r="D109" s="3" t="s">
        <v>9</v>
      </c>
      <c r="E109" s="3"/>
      <c r="F109" s="3" t="s">
        <v>14</v>
      </c>
      <c r="G109" s="4">
        <v>8514.41</v>
      </c>
    </row>
    <row r="110" spans="2:7" x14ac:dyDescent="0.3">
      <c r="B110" s="12" t="s">
        <v>200</v>
      </c>
      <c r="C110" s="3" t="s">
        <v>201</v>
      </c>
      <c r="D110" s="3" t="s">
        <v>9</v>
      </c>
      <c r="E110" s="3" t="s">
        <v>32</v>
      </c>
      <c r="F110" s="3" t="s">
        <v>14</v>
      </c>
      <c r="G110" s="4">
        <v>8461.52</v>
      </c>
    </row>
    <row r="111" spans="2:7" x14ac:dyDescent="0.3">
      <c r="B111" s="12" t="s">
        <v>202</v>
      </c>
      <c r="C111" s="3" t="s">
        <v>203</v>
      </c>
      <c r="D111" s="3" t="s">
        <v>9</v>
      </c>
      <c r="E111" s="3"/>
      <c r="F111" s="3" t="s">
        <v>14</v>
      </c>
      <c r="G111" s="4">
        <v>8322.25</v>
      </c>
    </row>
    <row r="112" spans="2:7" x14ac:dyDescent="0.3">
      <c r="B112" s="12" t="s">
        <v>204</v>
      </c>
      <c r="C112" s="3" t="s">
        <v>205</v>
      </c>
      <c r="D112" s="3" t="s">
        <v>9</v>
      </c>
      <c r="E112" s="3" t="s">
        <v>10</v>
      </c>
      <c r="F112" s="3" t="s">
        <v>14</v>
      </c>
      <c r="G112" s="4">
        <v>8162.8</v>
      </c>
    </row>
    <row r="113" spans="2:7" x14ac:dyDescent="0.3">
      <c r="B113" s="12" t="s">
        <v>206</v>
      </c>
      <c r="C113" s="3" t="s">
        <v>207</v>
      </c>
      <c r="D113" s="3" t="s">
        <v>9</v>
      </c>
      <c r="E113" s="3"/>
      <c r="F113" s="3" t="s">
        <v>14</v>
      </c>
      <c r="G113" s="4">
        <v>8030.8</v>
      </c>
    </row>
    <row r="114" spans="2:7" x14ac:dyDescent="0.3">
      <c r="B114" s="12" t="s">
        <v>208</v>
      </c>
      <c r="C114" s="3" t="s">
        <v>209</v>
      </c>
      <c r="D114" s="3" t="s">
        <v>9</v>
      </c>
      <c r="E114" s="3" t="s">
        <v>32</v>
      </c>
      <c r="F114" s="3" t="s">
        <v>14</v>
      </c>
      <c r="G114" s="4">
        <v>8025.58</v>
      </c>
    </row>
    <row r="115" spans="2:7" x14ac:dyDescent="0.3">
      <c r="B115" s="12" t="s">
        <v>210</v>
      </c>
      <c r="C115" s="3" t="s">
        <v>211</v>
      </c>
      <c r="D115" s="3" t="s">
        <v>9</v>
      </c>
      <c r="E115" s="3" t="s">
        <v>10</v>
      </c>
      <c r="F115" s="3" t="s">
        <v>14</v>
      </c>
      <c r="G115" s="4">
        <v>7924.93</v>
      </c>
    </row>
    <row r="116" spans="2:7" x14ac:dyDescent="0.3">
      <c r="B116" s="12">
        <v>500493</v>
      </c>
      <c r="C116" s="3" t="s">
        <v>212</v>
      </c>
      <c r="D116" s="3" t="s">
        <v>9</v>
      </c>
      <c r="E116" s="3"/>
      <c r="F116" s="3" t="s">
        <v>14</v>
      </c>
      <c r="G116" s="4">
        <v>7872.65</v>
      </c>
    </row>
    <row r="117" spans="2:7" x14ac:dyDescent="0.3">
      <c r="B117" s="12" t="s">
        <v>213</v>
      </c>
      <c r="C117" s="3" t="s">
        <v>214</v>
      </c>
      <c r="D117" s="3" t="s">
        <v>9</v>
      </c>
      <c r="E117" s="3" t="s">
        <v>32</v>
      </c>
      <c r="F117" s="3" t="s">
        <v>14</v>
      </c>
      <c r="G117" s="4">
        <v>7789.86</v>
      </c>
    </row>
    <row r="118" spans="2:7" x14ac:dyDescent="0.3">
      <c r="B118" s="12" t="s">
        <v>215</v>
      </c>
      <c r="C118" s="3" t="s">
        <v>216</v>
      </c>
      <c r="D118" s="3" t="s">
        <v>9</v>
      </c>
      <c r="E118" s="3" t="s">
        <v>32</v>
      </c>
      <c r="F118" s="3" t="s">
        <v>14</v>
      </c>
      <c r="G118" s="4">
        <v>7786.98</v>
      </c>
    </row>
    <row r="119" spans="2:7" x14ac:dyDescent="0.3">
      <c r="B119" s="12" t="s">
        <v>217</v>
      </c>
      <c r="C119" s="3" t="s">
        <v>218</v>
      </c>
      <c r="D119" s="3" t="s">
        <v>9</v>
      </c>
      <c r="E119" s="3" t="s">
        <v>10</v>
      </c>
      <c r="F119" s="3" t="s">
        <v>14</v>
      </c>
      <c r="G119" s="4">
        <v>7637.12</v>
      </c>
    </row>
    <row r="120" spans="2:7" x14ac:dyDescent="0.3">
      <c r="B120" s="12" t="s">
        <v>219</v>
      </c>
      <c r="C120" s="3" t="s">
        <v>220</v>
      </c>
      <c r="D120" s="3" t="s">
        <v>9</v>
      </c>
      <c r="E120" s="3" t="s">
        <v>10</v>
      </c>
      <c r="F120" s="3" t="s">
        <v>14</v>
      </c>
      <c r="G120" s="4">
        <v>7199.46</v>
      </c>
    </row>
    <row r="121" spans="2:7" x14ac:dyDescent="0.3">
      <c r="B121" s="12" t="s">
        <v>221</v>
      </c>
      <c r="C121" s="3" t="s">
        <v>222</v>
      </c>
      <c r="D121" s="3" t="s">
        <v>9</v>
      </c>
      <c r="E121" s="3"/>
      <c r="F121" s="3" t="s">
        <v>14</v>
      </c>
      <c r="G121" s="4">
        <v>7171.96</v>
      </c>
    </row>
    <row r="122" spans="2:7" x14ac:dyDescent="0.3">
      <c r="B122" s="12" t="s">
        <v>223</v>
      </c>
      <c r="C122" s="3" t="s">
        <v>224</v>
      </c>
      <c r="D122" s="3" t="s">
        <v>9</v>
      </c>
      <c r="E122" s="3"/>
      <c r="F122" s="3" t="s">
        <v>14</v>
      </c>
      <c r="G122" s="4">
        <v>7003.16</v>
      </c>
    </row>
    <row r="123" spans="2:7" x14ac:dyDescent="0.3">
      <c r="B123" s="12" t="s">
        <v>225</v>
      </c>
      <c r="C123" s="3" t="s">
        <v>226</v>
      </c>
      <c r="D123" s="3" t="s">
        <v>9</v>
      </c>
      <c r="E123" s="3"/>
      <c r="F123" s="3" t="s">
        <v>14</v>
      </c>
      <c r="G123" s="4">
        <v>6914.53</v>
      </c>
    </row>
    <row r="124" spans="2:7" x14ac:dyDescent="0.3">
      <c r="B124" s="12" t="s">
        <v>227</v>
      </c>
      <c r="C124" s="3" t="s">
        <v>228</v>
      </c>
      <c r="D124" s="3" t="s">
        <v>9</v>
      </c>
      <c r="E124" s="3" t="s">
        <v>10</v>
      </c>
      <c r="F124" s="3" t="s">
        <v>14</v>
      </c>
      <c r="G124" s="4">
        <v>6813.54</v>
      </c>
    </row>
    <row r="125" spans="2:7" x14ac:dyDescent="0.3">
      <c r="B125" s="12">
        <v>500488</v>
      </c>
      <c r="C125" s="3" t="s">
        <v>229</v>
      </c>
      <c r="D125" s="3" t="s">
        <v>9</v>
      </c>
      <c r="E125" s="3"/>
      <c r="F125" s="3" t="s">
        <v>14</v>
      </c>
      <c r="G125" s="4">
        <v>6653.99</v>
      </c>
    </row>
    <row r="126" spans="2:7" x14ac:dyDescent="0.3">
      <c r="B126" s="12" t="s">
        <v>230</v>
      </c>
      <c r="C126" s="3" t="s">
        <v>231</v>
      </c>
      <c r="D126" s="3" t="s">
        <v>9</v>
      </c>
      <c r="E126" s="3"/>
      <c r="F126" s="3" t="s">
        <v>14</v>
      </c>
      <c r="G126" s="4">
        <v>6516.62</v>
      </c>
    </row>
    <row r="127" spans="2:7" x14ac:dyDescent="0.3">
      <c r="B127" s="12" t="s">
        <v>232</v>
      </c>
      <c r="C127" s="3" t="s">
        <v>233</v>
      </c>
      <c r="D127" s="3" t="s">
        <v>9</v>
      </c>
      <c r="E127" s="3"/>
      <c r="F127" s="3" t="s">
        <v>14</v>
      </c>
      <c r="G127" s="4">
        <v>6420.14</v>
      </c>
    </row>
    <row r="128" spans="2:7" x14ac:dyDescent="0.3">
      <c r="B128" s="12" t="s">
        <v>234</v>
      </c>
      <c r="C128" s="3" t="s">
        <v>235</v>
      </c>
      <c r="D128" s="3" t="s">
        <v>9</v>
      </c>
      <c r="E128" s="3" t="s">
        <v>10</v>
      </c>
      <c r="F128" s="3" t="s">
        <v>14</v>
      </c>
      <c r="G128" s="4">
        <v>6145.08</v>
      </c>
    </row>
    <row r="129" spans="2:7" x14ac:dyDescent="0.3">
      <c r="B129" s="12">
        <v>6869</v>
      </c>
      <c r="C129" s="3" t="s">
        <v>236</v>
      </c>
      <c r="D129" s="3" t="s">
        <v>9</v>
      </c>
      <c r="E129" s="3"/>
      <c r="F129" s="3" t="s">
        <v>14</v>
      </c>
      <c r="G129" s="4">
        <v>6098.52</v>
      </c>
    </row>
    <row r="130" spans="2:7" x14ac:dyDescent="0.3">
      <c r="B130" s="12">
        <v>2269</v>
      </c>
      <c r="C130" s="3" t="s">
        <v>237</v>
      </c>
      <c r="D130" s="3" t="s">
        <v>9</v>
      </c>
      <c r="E130" s="3"/>
      <c r="F130" s="3" t="s">
        <v>14</v>
      </c>
      <c r="G130" s="4">
        <v>6097.13</v>
      </c>
    </row>
    <row r="131" spans="2:7" x14ac:dyDescent="0.3">
      <c r="B131" s="12" t="s">
        <v>238</v>
      </c>
      <c r="C131" s="3" t="s">
        <v>239</v>
      </c>
      <c r="D131" s="3" t="s">
        <v>9</v>
      </c>
      <c r="E131" s="3"/>
      <c r="F131" s="3" t="s">
        <v>14</v>
      </c>
      <c r="G131" s="4">
        <v>6006</v>
      </c>
    </row>
    <row r="132" spans="2:7" x14ac:dyDescent="0.3">
      <c r="B132" s="12" t="s">
        <v>240</v>
      </c>
      <c r="C132" s="3" t="s">
        <v>241</v>
      </c>
      <c r="D132" s="3" t="s">
        <v>9</v>
      </c>
      <c r="E132" s="3" t="s">
        <v>10</v>
      </c>
      <c r="F132" s="3" t="s">
        <v>14</v>
      </c>
      <c r="G132" s="4">
        <v>5963.62</v>
      </c>
    </row>
    <row r="133" spans="2:7" x14ac:dyDescent="0.3">
      <c r="B133" s="12" t="s">
        <v>242</v>
      </c>
      <c r="C133" s="3" t="s">
        <v>243</v>
      </c>
      <c r="D133" s="3" t="s">
        <v>9</v>
      </c>
      <c r="E133" s="3"/>
      <c r="F133" s="3" t="s">
        <v>14</v>
      </c>
      <c r="G133" s="4">
        <v>5880.59</v>
      </c>
    </row>
    <row r="134" spans="2:7" x14ac:dyDescent="0.3">
      <c r="B134" s="12" t="s">
        <v>244</v>
      </c>
      <c r="C134" s="3" t="s">
        <v>245</v>
      </c>
      <c r="D134" s="3" t="s">
        <v>9</v>
      </c>
      <c r="E134" s="3"/>
      <c r="F134" s="3" t="s">
        <v>14</v>
      </c>
      <c r="G134" s="4">
        <v>5840.3</v>
      </c>
    </row>
    <row r="135" spans="2:7" x14ac:dyDescent="0.3">
      <c r="B135" s="12" t="s">
        <v>246</v>
      </c>
      <c r="C135" s="3" t="s">
        <v>247</v>
      </c>
      <c r="D135" s="3" t="s">
        <v>9</v>
      </c>
      <c r="E135" s="3" t="s">
        <v>10</v>
      </c>
      <c r="F135" s="3" t="s">
        <v>14</v>
      </c>
      <c r="G135" s="4">
        <v>5818.27</v>
      </c>
    </row>
    <row r="136" spans="2:7" x14ac:dyDescent="0.3">
      <c r="B136" s="12" t="s">
        <v>248</v>
      </c>
      <c r="C136" s="3" t="s">
        <v>249</v>
      </c>
      <c r="D136" s="3" t="s">
        <v>9</v>
      </c>
      <c r="E136" s="3"/>
      <c r="F136" s="3" t="s">
        <v>14</v>
      </c>
      <c r="G136" s="4">
        <v>5803.76</v>
      </c>
    </row>
    <row r="137" spans="2:7" x14ac:dyDescent="0.3">
      <c r="B137" s="12" t="s">
        <v>250</v>
      </c>
      <c r="C137" s="3" t="s">
        <v>251</v>
      </c>
      <c r="D137" s="3" t="s">
        <v>9</v>
      </c>
      <c r="E137" s="3" t="s">
        <v>32</v>
      </c>
      <c r="F137" s="3" t="s">
        <v>14</v>
      </c>
      <c r="G137" s="4">
        <v>5800.98</v>
      </c>
    </row>
    <row r="138" spans="2:7" x14ac:dyDescent="0.3">
      <c r="B138" s="12">
        <v>523642</v>
      </c>
      <c r="C138" s="3" t="s">
        <v>252</v>
      </c>
      <c r="D138" s="3" t="s">
        <v>9</v>
      </c>
      <c r="E138" s="3"/>
      <c r="F138" s="3" t="s">
        <v>14</v>
      </c>
      <c r="G138" s="4">
        <v>5496.55</v>
      </c>
    </row>
    <row r="139" spans="2:7" x14ac:dyDescent="0.3">
      <c r="B139" s="12" t="s">
        <v>253</v>
      </c>
      <c r="C139" s="3" t="s">
        <v>254</v>
      </c>
      <c r="D139" s="3" t="s">
        <v>9</v>
      </c>
      <c r="E139" s="3" t="s">
        <v>32</v>
      </c>
      <c r="F139" s="3" t="s">
        <v>14</v>
      </c>
      <c r="G139" s="4">
        <v>5394.82</v>
      </c>
    </row>
    <row r="140" spans="2:7" x14ac:dyDescent="0.3">
      <c r="B140" s="12">
        <v>3769</v>
      </c>
      <c r="C140" s="3" t="s">
        <v>255</v>
      </c>
      <c r="D140" s="3" t="s">
        <v>9</v>
      </c>
      <c r="E140" s="3"/>
      <c r="F140" s="3" t="s">
        <v>14</v>
      </c>
      <c r="G140" s="4">
        <v>4812.37</v>
      </c>
    </row>
    <row r="141" spans="2:7" x14ac:dyDescent="0.3">
      <c r="B141" s="12" t="s">
        <v>256</v>
      </c>
      <c r="C141" s="3" t="s">
        <v>257</v>
      </c>
      <c r="D141" s="3" t="s">
        <v>9</v>
      </c>
      <c r="E141" s="3" t="s">
        <v>32</v>
      </c>
      <c r="F141" s="3" t="s">
        <v>14</v>
      </c>
      <c r="G141" s="4">
        <v>4783.6400000000003</v>
      </c>
    </row>
    <row r="142" spans="2:7" x14ac:dyDescent="0.3">
      <c r="B142" s="12" t="s">
        <v>258</v>
      </c>
      <c r="C142" s="3" t="s">
        <v>259</v>
      </c>
      <c r="D142" s="3" t="s">
        <v>9</v>
      </c>
      <c r="E142" s="3"/>
      <c r="F142" s="3" t="s">
        <v>14</v>
      </c>
      <c r="G142" s="4">
        <v>4713.09</v>
      </c>
    </row>
    <row r="143" spans="2:7" x14ac:dyDescent="0.3">
      <c r="B143" s="12" t="s">
        <v>260</v>
      </c>
      <c r="C143" s="3" t="s">
        <v>261</v>
      </c>
      <c r="D143" s="3" t="s">
        <v>9</v>
      </c>
      <c r="E143" s="3"/>
      <c r="F143" s="3" t="s">
        <v>14</v>
      </c>
      <c r="G143" s="4">
        <v>4677.74</v>
      </c>
    </row>
    <row r="144" spans="2:7" x14ac:dyDescent="0.3">
      <c r="B144" s="12" t="s">
        <v>262</v>
      </c>
      <c r="C144" s="3" t="s">
        <v>263</v>
      </c>
      <c r="D144" s="3" t="s">
        <v>9</v>
      </c>
      <c r="E144" s="3"/>
      <c r="F144" s="3" t="s">
        <v>14</v>
      </c>
      <c r="G144" s="4">
        <v>4675.1400000000003</v>
      </c>
    </row>
    <row r="145" spans="2:7" x14ac:dyDescent="0.3">
      <c r="B145" s="12" t="s">
        <v>264</v>
      </c>
      <c r="C145" s="3" t="s">
        <v>265</v>
      </c>
      <c r="D145" s="3" t="s">
        <v>9</v>
      </c>
      <c r="E145" s="3"/>
      <c r="F145" s="3" t="s">
        <v>14</v>
      </c>
      <c r="G145" s="4">
        <v>4650.7700000000004</v>
      </c>
    </row>
    <row r="146" spans="2:7" x14ac:dyDescent="0.3">
      <c r="B146" s="12" t="s">
        <v>266</v>
      </c>
      <c r="C146" s="3" t="s">
        <v>267</v>
      </c>
      <c r="D146" s="3" t="s">
        <v>9</v>
      </c>
      <c r="E146" s="3" t="s">
        <v>32</v>
      </c>
      <c r="F146" s="3" t="s">
        <v>14</v>
      </c>
      <c r="G146" s="4">
        <v>4636.47</v>
      </c>
    </row>
    <row r="147" spans="2:7" x14ac:dyDescent="0.3">
      <c r="B147" s="12" t="s">
        <v>268</v>
      </c>
      <c r="C147" s="3" t="s">
        <v>269</v>
      </c>
      <c r="D147" s="3" t="s">
        <v>9</v>
      </c>
      <c r="E147" s="3"/>
      <c r="F147" s="3" t="s">
        <v>14</v>
      </c>
      <c r="G147" s="4">
        <v>4610.5600000000004</v>
      </c>
    </row>
    <row r="148" spans="2:7" x14ac:dyDescent="0.3">
      <c r="B148" s="12" t="s">
        <v>270</v>
      </c>
      <c r="C148" s="3" t="s">
        <v>271</v>
      </c>
      <c r="D148" s="3" t="s">
        <v>9</v>
      </c>
      <c r="E148" s="3"/>
      <c r="F148" s="3" t="s">
        <v>14</v>
      </c>
      <c r="G148" s="4">
        <v>4580.01</v>
      </c>
    </row>
    <row r="149" spans="2:7" x14ac:dyDescent="0.3">
      <c r="B149" s="12">
        <v>8804</v>
      </c>
      <c r="C149" s="3" t="s">
        <v>272</v>
      </c>
      <c r="D149" s="3" t="s">
        <v>9</v>
      </c>
      <c r="E149" s="3"/>
      <c r="F149" s="3" t="s">
        <v>14</v>
      </c>
      <c r="G149" s="4">
        <v>4516.1099999999997</v>
      </c>
    </row>
    <row r="150" spans="2:7" x14ac:dyDescent="0.3">
      <c r="B150" s="12">
        <v>1808</v>
      </c>
      <c r="C150" s="3" t="s">
        <v>273</v>
      </c>
      <c r="D150" s="3" t="s">
        <v>9</v>
      </c>
      <c r="E150" s="3"/>
      <c r="F150" s="3" t="s">
        <v>14</v>
      </c>
      <c r="G150" s="4">
        <v>4464.3100000000004</v>
      </c>
    </row>
    <row r="151" spans="2:7" x14ac:dyDescent="0.3">
      <c r="B151" s="12" t="s">
        <v>274</v>
      </c>
      <c r="C151" s="3" t="s">
        <v>275</v>
      </c>
      <c r="D151" s="3" t="s">
        <v>9</v>
      </c>
      <c r="E151" s="3"/>
      <c r="F151" s="3" t="s">
        <v>14</v>
      </c>
      <c r="G151" s="4">
        <v>4366.95</v>
      </c>
    </row>
    <row r="152" spans="2:7" x14ac:dyDescent="0.3">
      <c r="B152" s="12" t="s">
        <v>276</v>
      </c>
      <c r="C152" s="3" t="s">
        <v>277</v>
      </c>
      <c r="D152" s="3" t="s">
        <v>9</v>
      </c>
      <c r="E152" s="3"/>
      <c r="F152" s="3" t="s">
        <v>14</v>
      </c>
      <c r="G152" s="4">
        <v>4360.1000000000004</v>
      </c>
    </row>
    <row r="153" spans="2:7" x14ac:dyDescent="0.3">
      <c r="B153" s="12" t="s">
        <v>278</v>
      </c>
      <c r="C153" s="3" t="s">
        <v>279</v>
      </c>
      <c r="D153" s="3" t="s">
        <v>9</v>
      </c>
      <c r="E153" s="3" t="s">
        <v>32</v>
      </c>
      <c r="F153" s="3" t="s">
        <v>14</v>
      </c>
      <c r="G153" s="4">
        <v>4352.95</v>
      </c>
    </row>
    <row r="154" spans="2:7" x14ac:dyDescent="0.3">
      <c r="B154" s="12" t="s">
        <v>280</v>
      </c>
      <c r="C154" s="3" t="s">
        <v>281</v>
      </c>
      <c r="D154" s="3" t="s">
        <v>9</v>
      </c>
      <c r="E154" s="3" t="s">
        <v>10</v>
      </c>
      <c r="F154" s="3" t="s">
        <v>14</v>
      </c>
      <c r="G154" s="4">
        <v>4349.83</v>
      </c>
    </row>
    <row r="155" spans="2:7" x14ac:dyDescent="0.3">
      <c r="B155" s="12" t="s">
        <v>282</v>
      </c>
      <c r="C155" s="3" t="s">
        <v>283</v>
      </c>
      <c r="D155" s="3" t="s">
        <v>9</v>
      </c>
      <c r="E155" s="3" t="s">
        <v>32</v>
      </c>
      <c r="F155" s="3" t="s">
        <v>14</v>
      </c>
      <c r="G155" s="4">
        <v>4291.3100000000004</v>
      </c>
    </row>
    <row r="156" spans="2:7" x14ac:dyDescent="0.3">
      <c r="B156" s="12">
        <v>6856</v>
      </c>
      <c r="C156" s="3" t="s">
        <v>284</v>
      </c>
      <c r="D156" s="3" t="s">
        <v>9</v>
      </c>
      <c r="E156" s="3"/>
      <c r="F156" s="3" t="s">
        <v>14</v>
      </c>
      <c r="G156" s="4">
        <v>4282.46</v>
      </c>
    </row>
    <row r="157" spans="2:7" x14ac:dyDescent="0.3">
      <c r="B157" s="12" t="s">
        <v>285</v>
      </c>
      <c r="C157" s="3" t="s">
        <v>286</v>
      </c>
      <c r="D157" s="3" t="s">
        <v>9</v>
      </c>
      <c r="E157" s="3"/>
      <c r="F157" s="3" t="s">
        <v>14</v>
      </c>
      <c r="G157" s="4">
        <v>4221.07</v>
      </c>
    </row>
    <row r="158" spans="2:7" x14ac:dyDescent="0.3">
      <c r="B158" s="12" t="s">
        <v>287</v>
      </c>
      <c r="C158" s="3" t="s">
        <v>288</v>
      </c>
      <c r="D158" s="3" t="s">
        <v>9</v>
      </c>
      <c r="E158" s="3" t="s">
        <v>10</v>
      </c>
      <c r="F158" s="3" t="s">
        <v>14</v>
      </c>
      <c r="G158" s="4">
        <v>4220.8599999999997</v>
      </c>
    </row>
    <row r="159" spans="2:7" x14ac:dyDescent="0.3">
      <c r="B159" s="12" t="s">
        <v>289</v>
      </c>
      <c r="C159" s="3" t="s">
        <v>290</v>
      </c>
      <c r="D159" s="3" t="s">
        <v>9</v>
      </c>
      <c r="E159" s="3"/>
      <c r="F159" s="3" t="s">
        <v>14</v>
      </c>
      <c r="G159" s="4">
        <v>4196.68</v>
      </c>
    </row>
    <row r="160" spans="2:7" x14ac:dyDescent="0.3">
      <c r="B160" s="12" t="s">
        <v>291</v>
      </c>
      <c r="C160" s="3" t="s">
        <v>292</v>
      </c>
      <c r="D160" s="3" t="s">
        <v>9</v>
      </c>
      <c r="E160" s="3" t="s">
        <v>10</v>
      </c>
      <c r="F160" s="3" t="s">
        <v>14</v>
      </c>
      <c r="G160" s="4">
        <v>4148.01</v>
      </c>
    </row>
    <row r="161" spans="2:7" x14ac:dyDescent="0.3">
      <c r="B161" s="12">
        <v>2212</v>
      </c>
      <c r="C161" s="3" t="s">
        <v>293</v>
      </c>
      <c r="D161" s="3" t="s">
        <v>9</v>
      </c>
      <c r="E161" s="3"/>
      <c r="F161" s="3" t="s">
        <v>14</v>
      </c>
      <c r="G161" s="4">
        <v>4111</v>
      </c>
    </row>
    <row r="162" spans="2:7" x14ac:dyDescent="0.3">
      <c r="B162" s="12" t="s">
        <v>294</v>
      </c>
      <c r="C162" s="3" t="s">
        <v>295</v>
      </c>
      <c r="D162" s="3" t="s">
        <v>9</v>
      </c>
      <c r="E162" s="3"/>
      <c r="F162" s="3" t="s">
        <v>14</v>
      </c>
      <c r="G162" s="4">
        <v>3902.08</v>
      </c>
    </row>
    <row r="163" spans="2:7" x14ac:dyDescent="0.3">
      <c r="B163" s="12" t="s">
        <v>296</v>
      </c>
      <c r="C163" s="3" t="s">
        <v>297</v>
      </c>
      <c r="D163" s="3" t="s">
        <v>9</v>
      </c>
      <c r="E163" s="3"/>
      <c r="F163" s="3" t="s">
        <v>14</v>
      </c>
      <c r="G163" s="4">
        <v>3866.54</v>
      </c>
    </row>
    <row r="164" spans="2:7" x14ac:dyDescent="0.3">
      <c r="B164" s="12">
        <v>6113</v>
      </c>
      <c r="C164" s="3" t="s">
        <v>298</v>
      </c>
      <c r="D164" s="3" t="s">
        <v>9</v>
      </c>
      <c r="E164" s="3"/>
      <c r="F164" s="3" t="s">
        <v>14</v>
      </c>
      <c r="G164" s="4">
        <v>3803.34</v>
      </c>
    </row>
    <row r="165" spans="2:7" x14ac:dyDescent="0.3">
      <c r="B165" s="12" t="s">
        <v>299</v>
      </c>
      <c r="C165" s="3" t="s">
        <v>300</v>
      </c>
      <c r="D165" s="3" t="s">
        <v>9</v>
      </c>
      <c r="E165" s="3" t="s">
        <v>32</v>
      </c>
      <c r="F165" s="3" t="s">
        <v>14</v>
      </c>
      <c r="G165" s="4">
        <v>3678.16</v>
      </c>
    </row>
    <row r="166" spans="2:7" x14ac:dyDescent="0.3">
      <c r="B166" s="12" t="s">
        <v>301</v>
      </c>
      <c r="C166" s="3" t="s">
        <v>302</v>
      </c>
      <c r="D166" s="3" t="s">
        <v>9</v>
      </c>
      <c r="E166" s="3"/>
      <c r="F166" s="3" t="s">
        <v>14</v>
      </c>
      <c r="G166" s="4">
        <v>3656.51</v>
      </c>
    </row>
    <row r="167" spans="2:7" x14ac:dyDescent="0.3">
      <c r="B167" s="12">
        <v>4527</v>
      </c>
      <c r="C167" s="3" t="s">
        <v>303</v>
      </c>
      <c r="D167" s="3" t="s">
        <v>9</v>
      </c>
      <c r="E167" s="3"/>
      <c r="F167" s="3" t="s">
        <v>14</v>
      </c>
      <c r="G167" s="4">
        <v>3627.93</v>
      </c>
    </row>
    <row r="168" spans="2:7" x14ac:dyDescent="0.3">
      <c r="B168" s="12" t="s">
        <v>304</v>
      </c>
      <c r="C168" s="3" t="s">
        <v>305</v>
      </c>
      <c r="D168" s="3" t="s">
        <v>9</v>
      </c>
      <c r="E168" s="3" t="s">
        <v>32</v>
      </c>
      <c r="F168" s="3" t="s">
        <v>14</v>
      </c>
      <c r="G168" s="4">
        <v>3601.22</v>
      </c>
    </row>
    <row r="169" spans="2:7" x14ac:dyDescent="0.3">
      <c r="B169" s="12" t="s">
        <v>306</v>
      </c>
      <c r="C169" s="3" t="s">
        <v>307</v>
      </c>
      <c r="D169" s="3" t="s">
        <v>9</v>
      </c>
      <c r="E169" s="3" t="s">
        <v>10</v>
      </c>
      <c r="F169" s="3" t="s">
        <v>14</v>
      </c>
      <c r="G169" s="4">
        <v>3466.96</v>
      </c>
    </row>
    <row r="170" spans="2:7" x14ac:dyDescent="0.3">
      <c r="B170" s="12" t="s">
        <v>308</v>
      </c>
      <c r="C170" s="3" t="s">
        <v>309</v>
      </c>
      <c r="D170" s="3" t="s">
        <v>9</v>
      </c>
      <c r="E170" s="3"/>
      <c r="F170" s="3" t="s">
        <v>14</v>
      </c>
      <c r="G170" s="4">
        <v>3466.53</v>
      </c>
    </row>
    <row r="171" spans="2:7" x14ac:dyDescent="0.3">
      <c r="B171" s="12">
        <v>5947</v>
      </c>
      <c r="C171" s="3" t="s">
        <v>310</v>
      </c>
      <c r="D171" s="3" t="s">
        <v>9</v>
      </c>
      <c r="E171" s="3"/>
      <c r="F171" s="3" t="s">
        <v>14</v>
      </c>
      <c r="G171" s="4">
        <v>3456.61</v>
      </c>
    </row>
    <row r="172" spans="2:7" x14ac:dyDescent="0.3">
      <c r="B172" s="12" t="s">
        <v>311</v>
      </c>
      <c r="C172" s="3" t="s">
        <v>312</v>
      </c>
      <c r="D172" s="3" t="s">
        <v>9</v>
      </c>
      <c r="E172" s="3" t="s">
        <v>10</v>
      </c>
      <c r="F172" s="3" t="s">
        <v>14</v>
      </c>
      <c r="G172" s="4">
        <v>3418.52</v>
      </c>
    </row>
    <row r="173" spans="2:7" x14ac:dyDescent="0.3">
      <c r="B173" s="12" t="s">
        <v>313</v>
      </c>
      <c r="C173" s="3" t="s">
        <v>314</v>
      </c>
      <c r="D173" s="3" t="s">
        <v>9</v>
      </c>
      <c r="E173" s="3"/>
      <c r="F173" s="3" t="s">
        <v>14</v>
      </c>
      <c r="G173" s="4">
        <v>3400.77</v>
      </c>
    </row>
    <row r="174" spans="2:7" x14ac:dyDescent="0.3">
      <c r="B174" s="12" t="s">
        <v>315</v>
      </c>
      <c r="C174" s="3" t="s">
        <v>316</v>
      </c>
      <c r="D174" s="3" t="s">
        <v>9</v>
      </c>
      <c r="E174" s="3"/>
      <c r="F174" s="3" t="s">
        <v>14</v>
      </c>
      <c r="G174" s="4">
        <v>3386.57</v>
      </c>
    </row>
    <row r="175" spans="2:7" x14ac:dyDescent="0.3">
      <c r="B175" s="12" t="s">
        <v>317</v>
      </c>
      <c r="C175" s="3" t="s">
        <v>318</v>
      </c>
      <c r="D175" s="3" t="s">
        <v>9</v>
      </c>
      <c r="E175" s="3"/>
      <c r="F175" s="3" t="s">
        <v>14</v>
      </c>
      <c r="G175" s="4">
        <v>3320.12</v>
      </c>
    </row>
    <row r="176" spans="2:7" x14ac:dyDescent="0.3">
      <c r="B176" s="12" t="s">
        <v>319</v>
      </c>
      <c r="C176" s="3" t="s">
        <v>320</v>
      </c>
      <c r="D176" s="3" t="s">
        <v>9</v>
      </c>
      <c r="E176" s="3"/>
      <c r="F176" s="3" t="s">
        <v>14</v>
      </c>
      <c r="G176" s="4">
        <v>3310.78</v>
      </c>
    </row>
    <row r="177" spans="2:7" x14ac:dyDescent="0.3">
      <c r="B177" s="12">
        <v>5991</v>
      </c>
      <c r="C177" s="3" t="s">
        <v>321</v>
      </c>
      <c r="D177" s="3" t="s">
        <v>9</v>
      </c>
      <c r="E177" s="3"/>
      <c r="F177" s="3" t="s">
        <v>14</v>
      </c>
      <c r="G177" s="4">
        <v>3292.79</v>
      </c>
    </row>
    <row r="178" spans="2:7" x14ac:dyDescent="0.3">
      <c r="B178" s="12" t="s">
        <v>322</v>
      </c>
      <c r="C178" s="3" t="s">
        <v>323</v>
      </c>
      <c r="D178" s="3" t="s">
        <v>9</v>
      </c>
      <c r="E178" s="3" t="s">
        <v>32</v>
      </c>
      <c r="F178" s="3" t="s">
        <v>14</v>
      </c>
      <c r="G178" s="4">
        <v>3277.65</v>
      </c>
    </row>
    <row r="179" spans="2:7" x14ac:dyDescent="0.3">
      <c r="B179" s="12">
        <v>4812</v>
      </c>
      <c r="C179" s="3" t="s">
        <v>324</v>
      </c>
      <c r="D179" s="3" t="s">
        <v>9</v>
      </c>
      <c r="E179" s="3"/>
      <c r="F179" s="3" t="s">
        <v>14</v>
      </c>
      <c r="G179" s="4">
        <v>3259.02</v>
      </c>
    </row>
    <row r="180" spans="2:7" x14ac:dyDescent="0.3">
      <c r="B180" s="12">
        <v>9989</v>
      </c>
      <c r="C180" s="3" t="s">
        <v>325</v>
      </c>
      <c r="D180" s="3" t="s">
        <v>9</v>
      </c>
      <c r="E180" s="3"/>
      <c r="F180" s="3" t="s">
        <v>14</v>
      </c>
      <c r="G180" s="4">
        <v>3255.5</v>
      </c>
    </row>
    <row r="181" spans="2:7" x14ac:dyDescent="0.3">
      <c r="B181" s="12" t="s">
        <v>326</v>
      </c>
      <c r="C181" s="3" t="s">
        <v>327</v>
      </c>
      <c r="D181" s="3" t="s">
        <v>9</v>
      </c>
      <c r="E181" s="3" t="s">
        <v>10</v>
      </c>
      <c r="F181" s="3" t="s">
        <v>14</v>
      </c>
      <c r="G181" s="4">
        <v>3232.05</v>
      </c>
    </row>
    <row r="182" spans="2:7" x14ac:dyDescent="0.3">
      <c r="B182" s="12" t="s">
        <v>328</v>
      </c>
      <c r="C182" s="3" t="s">
        <v>329</v>
      </c>
      <c r="D182" s="3" t="s">
        <v>9</v>
      </c>
      <c r="E182" s="3" t="s">
        <v>32</v>
      </c>
      <c r="F182" s="3" t="s">
        <v>14</v>
      </c>
      <c r="G182" s="4">
        <v>3170.87</v>
      </c>
    </row>
    <row r="183" spans="2:7" x14ac:dyDescent="0.3">
      <c r="B183" s="12">
        <v>9468</v>
      </c>
      <c r="C183" s="3" t="s">
        <v>330</v>
      </c>
      <c r="D183" s="3" t="s">
        <v>9</v>
      </c>
      <c r="E183" s="3"/>
      <c r="F183" s="3" t="s">
        <v>14</v>
      </c>
      <c r="G183" s="4">
        <v>3138.24</v>
      </c>
    </row>
    <row r="184" spans="2:7" x14ac:dyDescent="0.3">
      <c r="B184" s="12">
        <v>1662</v>
      </c>
      <c r="C184" s="3" t="s">
        <v>331</v>
      </c>
      <c r="D184" s="3" t="s">
        <v>9</v>
      </c>
      <c r="E184" s="3"/>
      <c r="F184" s="3" t="s">
        <v>14</v>
      </c>
      <c r="G184" s="4">
        <v>3099.68</v>
      </c>
    </row>
    <row r="185" spans="2:7" x14ac:dyDescent="0.3">
      <c r="B185" s="12" t="s">
        <v>332</v>
      </c>
      <c r="C185" s="3" t="s">
        <v>333</v>
      </c>
      <c r="D185" s="3" t="s">
        <v>9</v>
      </c>
      <c r="E185" s="3"/>
      <c r="F185" s="3" t="s">
        <v>14</v>
      </c>
      <c r="G185" s="4">
        <v>3079.18</v>
      </c>
    </row>
    <row r="186" spans="2:7" x14ac:dyDescent="0.3">
      <c r="B186" s="12">
        <v>6481</v>
      </c>
      <c r="C186" s="3" t="s">
        <v>334</v>
      </c>
      <c r="D186" s="3" t="s">
        <v>9</v>
      </c>
      <c r="E186" s="3"/>
      <c r="F186" s="3" t="s">
        <v>14</v>
      </c>
      <c r="G186" s="4">
        <v>3054.98</v>
      </c>
    </row>
    <row r="187" spans="2:7" x14ac:dyDescent="0.3">
      <c r="B187" s="12">
        <v>539006</v>
      </c>
      <c r="C187" s="3" t="s">
        <v>335</v>
      </c>
      <c r="D187" s="3" t="s">
        <v>9</v>
      </c>
      <c r="E187" s="3"/>
      <c r="F187" s="3" t="s">
        <v>14</v>
      </c>
      <c r="G187" s="4">
        <v>3041.86</v>
      </c>
    </row>
    <row r="188" spans="2:7" x14ac:dyDescent="0.3">
      <c r="B188" s="12" t="s">
        <v>336</v>
      </c>
      <c r="C188" s="3" t="s">
        <v>337</v>
      </c>
      <c r="D188" s="3" t="s">
        <v>9</v>
      </c>
      <c r="E188" s="3"/>
      <c r="F188" s="3" t="s">
        <v>14</v>
      </c>
      <c r="G188" s="4">
        <v>2982.41</v>
      </c>
    </row>
    <row r="189" spans="2:7" x14ac:dyDescent="0.3">
      <c r="B189" s="12" t="s">
        <v>338</v>
      </c>
      <c r="C189" s="3" t="s">
        <v>339</v>
      </c>
      <c r="D189" s="3" t="s">
        <v>9</v>
      </c>
      <c r="E189" s="3"/>
      <c r="F189" s="3" t="s">
        <v>14</v>
      </c>
      <c r="G189" s="4">
        <v>2973.41</v>
      </c>
    </row>
    <row r="190" spans="2:7" x14ac:dyDescent="0.3">
      <c r="B190" s="12" t="s">
        <v>340</v>
      </c>
      <c r="C190" s="3" t="s">
        <v>341</v>
      </c>
      <c r="D190" s="3" t="s">
        <v>9</v>
      </c>
      <c r="E190" s="3" t="s">
        <v>32</v>
      </c>
      <c r="F190" s="3" t="s">
        <v>14</v>
      </c>
      <c r="G190" s="4">
        <v>2968.82</v>
      </c>
    </row>
    <row r="191" spans="2:7" x14ac:dyDescent="0.3">
      <c r="B191" s="12" t="s">
        <v>342</v>
      </c>
      <c r="C191" s="3" t="s">
        <v>343</v>
      </c>
      <c r="D191" s="3" t="s">
        <v>9</v>
      </c>
      <c r="E191" s="3" t="s">
        <v>32</v>
      </c>
      <c r="F191" s="3" t="s">
        <v>14</v>
      </c>
      <c r="G191" s="4">
        <v>2940.79</v>
      </c>
    </row>
    <row r="192" spans="2:7" x14ac:dyDescent="0.3">
      <c r="B192" s="12" t="s">
        <v>344</v>
      </c>
      <c r="C192" s="3" t="s">
        <v>345</v>
      </c>
      <c r="D192" s="3" t="s">
        <v>9</v>
      </c>
      <c r="E192" s="3" t="s">
        <v>32</v>
      </c>
      <c r="F192" s="3" t="s">
        <v>14</v>
      </c>
      <c r="G192" s="4">
        <v>2908.45</v>
      </c>
    </row>
    <row r="193" spans="2:7" x14ac:dyDescent="0.3">
      <c r="B193" s="12" t="s">
        <v>346</v>
      </c>
      <c r="C193" s="3" t="s">
        <v>347</v>
      </c>
      <c r="D193" s="3" t="s">
        <v>9</v>
      </c>
      <c r="E193" s="3"/>
      <c r="F193" s="3" t="s">
        <v>14</v>
      </c>
      <c r="G193" s="4">
        <v>2877.11</v>
      </c>
    </row>
    <row r="194" spans="2:7" x14ac:dyDescent="0.3">
      <c r="B194" s="12">
        <v>4912</v>
      </c>
      <c r="C194" s="3" t="s">
        <v>348</v>
      </c>
      <c r="D194" s="3" t="s">
        <v>9</v>
      </c>
      <c r="E194" s="3"/>
      <c r="F194" s="3" t="s">
        <v>14</v>
      </c>
      <c r="G194" s="4">
        <v>2871.43</v>
      </c>
    </row>
    <row r="195" spans="2:7" x14ac:dyDescent="0.3">
      <c r="B195" s="12" t="s">
        <v>349</v>
      </c>
      <c r="C195" s="3" t="s">
        <v>350</v>
      </c>
      <c r="D195" s="3" t="s">
        <v>9</v>
      </c>
      <c r="E195" s="3"/>
      <c r="F195" s="3" t="s">
        <v>14</v>
      </c>
      <c r="G195" s="4">
        <v>2870.02</v>
      </c>
    </row>
    <row r="196" spans="2:7" x14ac:dyDescent="0.3">
      <c r="B196" s="12" t="s">
        <v>351</v>
      </c>
      <c r="C196" s="3" t="s">
        <v>352</v>
      </c>
      <c r="D196" s="3" t="s">
        <v>9</v>
      </c>
      <c r="E196" s="3" t="s">
        <v>10</v>
      </c>
      <c r="F196" s="3" t="s">
        <v>14</v>
      </c>
      <c r="G196" s="4">
        <v>2868.58</v>
      </c>
    </row>
    <row r="197" spans="2:7" x14ac:dyDescent="0.3">
      <c r="B197" s="12" t="s">
        <v>353</v>
      </c>
      <c r="C197" s="3" t="s">
        <v>354</v>
      </c>
      <c r="D197" s="3" t="s">
        <v>9</v>
      </c>
      <c r="E197" s="3" t="s">
        <v>32</v>
      </c>
      <c r="F197" s="3" t="s">
        <v>14</v>
      </c>
      <c r="G197" s="4">
        <v>2864.3</v>
      </c>
    </row>
    <row r="198" spans="2:7" x14ac:dyDescent="0.3">
      <c r="B198" s="12">
        <v>6268</v>
      </c>
      <c r="C198" s="3" t="s">
        <v>355</v>
      </c>
      <c r="D198" s="3" t="s">
        <v>9</v>
      </c>
      <c r="E198" s="3"/>
      <c r="F198" s="3" t="s">
        <v>14</v>
      </c>
      <c r="G198" s="4">
        <v>2841.25</v>
      </c>
    </row>
    <row r="199" spans="2:7" x14ac:dyDescent="0.3">
      <c r="B199" s="12" t="s">
        <v>356</v>
      </c>
      <c r="C199" s="3" t="s">
        <v>357</v>
      </c>
      <c r="D199" s="3" t="s">
        <v>9</v>
      </c>
      <c r="E199" s="3" t="s">
        <v>32</v>
      </c>
      <c r="F199" s="3" t="s">
        <v>14</v>
      </c>
      <c r="G199" s="4">
        <v>2786.24</v>
      </c>
    </row>
    <row r="200" spans="2:7" x14ac:dyDescent="0.3">
      <c r="B200" s="12" t="s">
        <v>358</v>
      </c>
      <c r="C200" s="3" t="s">
        <v>359</v>
      </c>
      <c r="D200" s="3" t="s">
        <v>9</v>
      </c>
      <c r="E200" s="3" t="s">
        <v>10</v>
      </c>
      <c r="F200" s="3" t="s">
        <v>14</v>
      </c>
      <c r="G200" s="4">
        <v>2779.11</v>
      </c>
    </row>
    <row r="201" spans="2:7" x14ac:dyDescent="0.3">
      <c r="B201" s="12" t="s">
        <v>360</v>
      </c>
      <c r="C201" s="3" t="s">
        <v>361</v>
      </c>
      <c r="D201" s="3" t="s">
        <v>9</v>
      </c>
      <c r="E201" s="3"/>
      <c r="F201" s="3" t="s">
        <v>14</v>
      </c>
      <c r="G201" s="4">
        <v>2759.17</v>
      </c>
    </row>
    <row r="202" spans="2:7" x14ac:dyDescent="0.3">
      <c r="B202" s="12">
        <v>9987</v>
      </c>
      <c r="C202" s="3" t="s">
        <v>362</v>
      </c>
      <c r="D202" s="3" t="s">
        <v>9</v>
      </c>
      <c r="E202" s="3"/>
      <c r="F202" s="3" t="s">
        <v>14</v>
      </c>
      <c r="G202" s="4">
        <v>2745.44</v>
      </c>
    </row>
    <row r="203" spans="2:7" x14ac:dyDescent="0.3">
      <c r="B203" s="12" t="s">
        <v>363</v>
      </c>
      <c r="C203" s="3" t="s">
        <v>364</v>
      </c>
      <c r="D203" s="3" t="s">
        <v>9</v>
      </c>
      <c r="E203" s="3" t="s">
        <v>32</v>
      </c>
      <c r="F203" s="3" t="s">
        <v>14</v>
      </c>
      <c r="G203" s="4">
        <v>2718.7</v>
      </c>
    </row>
    <row r="204" spans="2:7" x14ac:dyDescent="0.3">
      <c r="B204" s="12">
        <v>2433</v>
      </c>
      <c r="C204" s="3" t="s">
        <v>365</v>
      </c>
      <c r="D204" s="3" t="s">
        <v>9</v>
      </c>
      <c r="E204" s="3"/>
      <c r="F204" s="3" t="s">
        <v>14</v>
      </c>
      <c r="G204" s="4">
        <v>2670.65</v>
      </c>
    </row>
    <row r="205" spans="2:7" x14ac:dyDescent="0.3">
      <c r="B205" s="12" t="s">
        <v>366</v>
      </c>
      <c r="C205" s="3" t="s">
        <v>367</v>
      </c>
      <c r="D205" s="3" t="s">
        <v>9</v>
      </c>
      <c r="E205" s="3" t="s">
        <v>32</v>
      </c>
      <c r="F205" s="3" t="s">
        <v>14</v>
      </c>
      <c r="G205" s="4">
        <v>2650.27</v>
      </c>
    </row>
    <row r="206" spans="2:7" x14ac:dyDescent="0.3">
      <c r="B206" s="12" t="s">
        <v>368</v>
      </c>
      <c r="C206" s="3" t="s">
        <v>369</v>
      </c>
      <c r="D206" s="3" t="s">
        <v>9</v>
      </c>
      <c r="E206" s="3" t="s">
        <v>32</v>
      </c>
      <c r="F206" s="3" t="s">
        <v>14</v>
      </c>
      <c r="G206" s="4">
        <v>2646.39</v>
      </c>
    </row>
    <row r="207" spans="2:7" x14ac:dyDescent="0.3">
      <c r="B207" s="12" t="s">
        <v>370</v>
      </c>
      <c r="C207" s="3" t="s">
        <v>371</v>
      </c>
      <c r="D207" s="3" t="s">
        <v>9</v>
      </c>
      <c r="E207" s="3"/>
      <c r="F207" s="3" t="s">
        <v>14</v>
      </c>
      <c r="G207" s="4">
        <v>2552.9</v>
      </c>
    </row>
    <row r="208" spans="2:7" x14ac:dyDescent="0.3">
      <c r="B208" s="12">
        <v>9006</v>
      </c>
      <c r="C208" s="3" t="s">
        <v>372</v>
      </c>
      <c r="D208" s="3" t="s">
        <v>9</v>
      </c>
      <c r="E208" s="3"/>
      <c r="F208" s="3" t="s">
        <v>14</v>
      </c>
      <c r="G208" s="4">
        <v>2551</v>
      </c>
    </row>
    <row r="209" spans="2:7" x14ac:dyDescent="0.3">
      <c r="B209" s="12" t="s">
        <v>373</v>
      </c>
      <c r="C209" s="3" t="s">
        <v>374</v>
      </c>
      <c r="D209" s="3" t="s">
        <v>9</v>
      </c>
      <c r="E209" s="3"/>
      <c r="F209" s="3" t="s">
        <v>14</v>
      </c>
      <c r="G209" s="4">
        <v>2549.13</v>
      </c>
    </row>
    <row r="210" spans="2:7" x14ac:dyDescent="0.3">
      <c r="B210" s="12" t="s">
        <v>375</v>
      </c>
      <c r="C210" s="3" t="s">
        <v>376</v>
      </c>
      <c r="D210" s="3" t="s">
        <v>9</v>
      </c>
      <c r="E210" s="3"/>
      <c r="F210" s="3" t="s">
        <v>14</v>
      </c>
      <c r="G210" s="4">
        <v>2546.21</v>
      </c>
    </row>
    <row r="211" spans="2:7" x14ac:dyDescent="0.3">
      <c r="B211" s="12" t="s">
        <v>377</v>
      </c>
      <c r="C211" s="3" t="s">
        <v>378</v>
      </c>
      <c r="D211" s="3" t="s">
        <v>9</v>
      </c>
      <c r="E211" s="3"/>
      <c r="F211" s="3" t="s">
        <v>14</v>
      </c>
      <c r="G211" s="4">
        <v>2520.83</v>
      </c>
    </row>
    <row r="212" spans="2:7" x14ac:dyDescent="0.3">
      <c r="B212" s="12" t="s">
        <v>379</v>
      </c>
      <c r="C212" s="3" t="s">
        <v>380</v>
      </c>
      <c r="D212" s="3" t="s">
        <v>9</v>
      </c>
      <c r="E212" s="3"/>
      <c r="F212" s="3" t="s">
        <v>14</v>
      </c>
      <c r="G212" s="4">
        <v>2511.06</v>
      </c>
    </row>
    <row r="213" spans="2:7" x14ac:dyDescent="0.3">
      <c r="B213" s="12" t="s">
        <v>381</v>
      </c>
      <c r="C213" s="3" t="s">
        <v>382</v>
      </c>
      <c r="D213" s="3" t="s">
        <v>9</v>
      </c>
      <c r="E213" s="3"/>
      <c r="F213" s="3" t="s">
        <v>14</v>
      </c>
      <c r="G213" s="4">
        <v>2487.8000000000002</v>
      </c>
    </row>
    <row r="214" spans="2:7" x14ac:dyDescent="0.3">
      <c r="B214" s="12">
        <v>5711</v>
      </c>
      <c r="C214" s="3" t="s">
        <v>383</v>
      </c>
      <c r="D214" s="3" t="s">
        <v>9</v>
      </c>
      <c r="E214" s="3"/>
      <c r="F214" s="3" t="s">
        <v>14</v>
      </c>
      <c r="G214" s="4">
        <v>2484.1799999999998</v>
      </c>
    </row>
    <row r="215" spans="2:7" x14ac:dyDescent="0.3">
      <c r="B215" s="12">
        <v>3105</v>
      </c>
      <c r="C215" s="3" t="s">
        <v>384</v>
      </c>
      <c r="D215" s="3" t="s">
        <v>9</v>
      </c>
      <c r="E215" s="3"/>
      <c r="F215" s="3" t="s">
        <v>14</v>
      </c>
      <c r="G215" s="4">
        <v>2471.64</v>
      </c>
    </row>
    <row r="216" spans="2:7" x14ac:dyDescent="0.3">
      <c r="B216" s="12" t="s">
        <v>385</v>
      </c>
      <c r="C216" s="3" t="s">
        <v>386</v>
      </c>
      <c r="D216" s="3" t="s">
        <v>9</v>
      </c>
      <c r="E216" s="3"/>
      <c r="F216" s="3" t="s">
        <v>14</v>
      </c>
      <c r="G216" s="4">
        <v>2466.8000000000002</v>
      </c>
    </row>
    <row r="217" spans="2:7" x14ac:dyDescent="0.3">
      <c r="B217" s="12" t="s">
        <v>387</v>
      </c>
      <c r="C217" s="3" t="s">
        <v>388</v>
      </c>
      <c r="D217" s="3" t="s">
        <v>9</v>
      </c>
      <c r="E217" s="3"/>
      <c r="F217" s="3" t="s">
        <v>14</v>
      </c>
      <c r="G217" s="4">
        <v>2412.56</v>
      </c>
    </row>
    <row r="218" spans="2:7" x14ac:dyDescent="0.3">
      <c r="B218" s="12">
        <v>6005</v>
      </c>
      <c r="C218" s="3" t="s">
        <v>389</v>
      </c>
      <c r="D218" s="3" t="s">
        <v>9</v>
      </c>
      <c r="E218" s="3"/>
      <c r="F218" s="3" t="s">
        <v>14</v>
      </c>
      <c r="G218" s="4">
        <v>2399.35</v>
      </c>
    </row>
    <row r="219" spans="2:7" x14ac:dyDescent="0.3">
      <c r="B219" s="12">
        <v>9449</v>
      </c>
      <c r="C219" s="3" t="s">
        <v>390</v>
      </c>
      <c r="D219" s="3" t="s">
        <v>9</v>
      </c>
      <c r="E219" s="3"/>
      <c r="F219" s="3" t="s">
        <v>14</v>
      </c>
      <c r="G219" s="4">
        <v>2326.79</v>
      </c>
    </row>
    <row r="220" spans="2:7" x14ac:dyDescent="0.3">
      <c r="B220" s="12" t="s">
        <v>391</v>
      </c>
      <c r="C220" s="3" t="s">
        <v>392</v>
      </c>
      <c r="D220" s="3" t="s">
        <v>9</v>
      </c>
      <c r="E220" s="3" t="s">
        <v>10</v>
      </c>
      <c r="F220" s="3" t="s">
        <v>14</v>
      </c>
      <c r="G220" s="4">
        <v>2320.98</v>
      </c>
    </row>
    <row r="221" spans="2:7" x14ac:dyDescent="0.3">
      <c r="B221" s="12">
        <v>506401</v>
      </c>
      <c r="C221" s="3" t="s">
        <v>393</v>
      </c>
      <c r="D221" s="3" t="s">
        <v>9</v>
      </c>
      <c r="E221" s="3"/>
      <c r="F221" s="3" t="s">
        <v>14</v>
      </c>
      <c r="G221" s="4">
        <v>2302.46</v>
      </c>
    </row>
    <row r="222" spans="2:7" x14ac:dyDescent="0.3">
      <c r="B222" s="12" t="s">
        <v>394</v>
      </c>
      <c r="C222" s="3" t="s">
        <v>395</v>
      </c>
      <c r="D222" s="3" t="s">
        <v>9</v>
      </c>
      <c r="E222" s="3"/>
      <c r="F222" s="3" t="s">
        <v>14</v>
      </c>
      <c r="G222" s="4">
        <v>2301.0500000000002</v>
      </c>
    </row>
    <row r="223" spans="2:7" x14ac:dyDescent="0.3">
      <c r="B223" s="12" t="s">
        <v>396</v>
      </c>
      <c r="C223" s="3" t="s">
        <v>397</v>
      </c>
      <c r="D223" s="3" t="s">
        <v>9</v>
      </c>
      <c r="E223" s="3"/>
      <c r="F223" s="3" t="s">
        <v>14</v>
      </c>
      <c r="G223" s="4">
        <v>2280.31</v>
      </c>
    </row>
    <row r="224" spans="2:7" x14ac:dyDescent="0.3">
      <c r="B224" s="12">
        <v>5741</v>
      </c>
      <c r="C224" s="3" t="s">
        <v>398</v>
      </c>
      <c r="D224" s="3" t="s">
        <v>9</v>
      </c>
      <c r="E224" s="3"/>
      <c r="F224" s="3" t="s">
        <v>14</v>
      </c>
      <c r="G224" s="4">
        <v>2277.5</v>
      </c>
    </row>
    <row r="225" spans="2:7" x14ac:dyDescent="0.3">
      <c r="B225" s="12" t="s">
        <v>399</v>
      </c>
      <c r="C225" s="3" t="s">
        <v>400</v>
      </c>
      <c r="D225" s="3" t="s">
        <v>9</v>
      </c>
      <c r="E225" s="3"/>
      <c r="F225" s="3" t="s">
        <v>14</v>
      </c>
      <c r="G225" s="4">
        <v>2184.94</v>
      </c>
    </row>
    <row r="226" spans="2:7" x14ac:dyDescent="0.3">
      <c r="B226" s="12" t="s">
        <v>401</v>
      </c>
      <c r="C226" s="3" t="s">
        <v>402</v>
      </c>
      <c r="D226" s="3" t="s">
        <v>9</v>
      </c>
      <c r="E226" s="3" t="s">
        <v>32</v>
      </c>
      <c r="F226" s="3" t="s">
        <v>14</v>
      </c>
      <c r="G226" s="4">
        <v>2167.2800000000002</v>
      </c>
    </row>
    <row r="227" spans="2:7" x14ac:dyDescent="0.3">
      <c r="B227" s="12">
        <v>9409</v>
      </c>
      <c r="C227" s="3" t="s">
        <v>403</v>
      </c>
      <c r="D227" s="3" t="s">
        <v>9</v>
      </c>
      <c r="E227" s="3"/>
      <c r="F227" s="3" t="s">
        <v>14</v>
      </c>
      <c r="G227" s="4">
        <v>2112.96</v>
      </c>
    </row>
    <row r="228" spans="2:7" x14ac:dyDescent="0.3">
      <c r="B228" s="12">
        <v>4922</v>
      </c>
      <c r="C228" s="3" t="s">
        <v>404</v>
      </c>
      <c r="D228" s="3" t="s">
        <v>9</v>
      </c>
      <c r="E228" s="3"/>
      <c r="F228" s="3" t="s">
        <v>14</v>
      </c>
      <c r="G228" s="4">
        <v>2054.4899999999998</v>
      </c>
    </row>
    <row r="229" spans="2:7" x14ac:dyDescent="0.3">
      <c r="B229" s="12" t="s">
        <v>405</v>
      </c>
      <c r="C229" s="3" t="s">
        <v>406</v>
      </c>
      <c r="D229" s="3" t="s">
        <v>9</v>
      </c>
      <c r="E229" s="3"/>
      <c r="F229" s="3" t="s">
        <v>14</v>
      </c>
      <c r="G229" s="4">
        <v>2052.5</v>
      </c>
    </row>
    <row r="230" spans="2:7" x14ac:dyDescent="0.3">
      <c r="B230" s="12">
        <v>8129</v>
      </c>
      <c r="C230" s="3" t="s">
        <v>407</v>
      </c>
      <c r="D230" s="3" t="s">
        <v>9</v>
      </c>
      <c r="E230" s="3"/>
      <c r="F230" s="3" t="s">
        <v>14</v>
      </c>
      <c r="G230" s="4">
        <v>2009.63</v>
      </c>
    </row>
    <row r="231" spans="2:7" x14ac:dyDescent="0.3">
      <c r="B231" s="12" t="s">
        <v>408</v>
      </c>
      <c r="C231" s="3" t="s">
        <v>409</v>
      </c>
      <c r="D231" s="3" t="s">
        <v>9</v>
      </c>
      <c r="E231" s="3" t="s">
        <v>32</v>
      </c>
      <c r="F231" s="3" t="s">
        <v>14</v>
      </c>
      <c r="G231" s="4">
        <v>2004.47</v>
      </c>
    </row>
    <row r="232" spans="2:7" x14ac:dyDescent="0.3">
      <c r="B232" s="12">
        <v>7014</v>
      </c>
      <c r="C232" s="3" t="s">
        <v>410</v>
      </c>
      <c r="D232" s="3" t="s">
        <v>9</v>
      </c>
      <c r="E232" s="3"/>
      <c r="F232" s="3" t="s">
        <v>14</v>
      </c>
      <c r="G232" s="4">
        <v>1988.18</v>
      </c>
    </row>
    <row r="233" spans="2:7" x14ac:dyDescent="0.3">
      <c r="B233" s="12" t="s">
        <v>411</v>
      </c>
      <c r="C233" s="3" t="s">
        <v>412</v>
      </c>
      <c r="D233" s="3" t="s">
        <v>9</v>
      </c>
      <c r="E233" s="3" t="s">
        <v>10</v>
      </c>
      <c r="F233" s="3" t="s">
        <v>14</v>
      </c>
      <c r="G233" s="4">
        <v>1978.84</v>
      </c>
    </row>
    <row r="234" spans="2:7" x14ac:dyDescent="0.3">
      <c r="B234" s="12" t="s">
        <v>413</v>
      </c>
      <c r="C234" s="3" t="s">
        <v>414</v>
      </c>
      <c r="D234" s="3" t="s">
        <v>9</v>
      </c>
      <c r="E234" s="3"/>
      <c r="F234" s="3" t="s">
        <v>14</v>
      </c>
      <c r="G234" s="4">
        <v>1975.12</v>
      </c>
    </row>
    <row r="235" spans="2:7" x14ac:dyDescent="0.3">
      <c r="B235" s="12" t="s">
        <v>415</v>
      </c>
      <c r="C235" s="3" t="s">
        <v>416</v>
      </c>
      <c r="D235" s="3" t="s">
        <v>9</v>
      </c>
      <c r="E235" s="3"/>
      <c r="F235" s="3" t="s">
        <v>14</v>
      </c>
      <c r="G235" s="4">
        <v>1974.15</v>
      </c>
    </row>
    <row r="236" spans="2:7" x14ac:dyDescent="0.3">
      <c r="B236" s="12" t="s">
        <v>417</v>
      </c>
      <c r="C236" s="3" t="s">
        <v>418</v>
      </c>
      <c r="D236" s="3" t="s">
        <v>9</v>
      </c>
      <c r="E236" s="3"/>
      <c r="F236" s="3" t="s">
        <v>14</v>
      </c>
      <c r="G236" s="4">
        <v>1973.34</v>
      </c>
    </row>
    <row r="237" spans="2:7" x14ac:dyDescent="0.3">
      <c r="B237" s="12" t="s">
        <v>419</v>
      </c>
      <c r="C237" s="3" t="s">
        <v>420</v>
      </c>
      <c r="D237" s="3" t="s">
        <v>9</v>
      </c>
      <c r="E237" s="3" t="s">
        <v>10</v>
      </c>
      <c r="F237" s="3" t="s">
        <v>14</v>
      </c>
      <c r="G237" s="4">
        <v>1936.89</v>
      </c>
    </row>
    <row r="238" spans="2:7" x14ac:dyDescent="0.3">
      <c r="B238" s="12">
        <v>7762</v>
      </c>
      <c r="C238" s="3" t="s">
        <v>421</v>
      </c>
      <c r="D238" s="3" t="s">
        <v>9</v>
      </c>
      <c r="E238" s="3"/>
      <c r="F238" s="3" t="s">
        <v>14</v>
      </c>
      <c r="G238" s="4">
        <v>1921.01</v>
      </c>
    </row>
    <row r="239" spans="2:7" x14ac:dyDescent="0.3">
      <c r="B239" s="12" t="s">
        <v>422</v>
      </c>
      <c r="C239" s="3" t="s">
        <v>423</v>
      </c>
      <c r="D239" s="3" t="s">
        <v>9</v>
      </c>
      <c r="E239" s="3" t="s">
        <v>10</v>
      </c>
      <c r="F239" s="3" t="s">
        <v>14</v>
      </c>
      <c r="G239" s="4">
        <v>1916.57</v>
      </c>
    </row>
    <row r="240" spans="2:7" x14ac:dyDescent="0.3">
      <c r="B240" s="12">
        <v>2264</v>
      </c>
      <c r="C240" s="3" t="s">
        <v>424</v>
      </c>
      <c r="D240" s="3" t="s">
        <v>9</v>
      </c>
      <c r="E240" s="3"/>
      <c r="F240" s="3" t="s">
        <v>14</v>
      </c>
      <c r="G240" s="4">
        <v>1907.47</v>
      </c>
    </row>
    <row r="241" spans="2:7" x14ac:dyDescent="0.3">
      <c r="B241" s="12" t="s">
        <v>425</v>
      </c>
      <c r="C241" s="3" t="s">
        <v>426</v>
      </c>
      <c r="D241" s="3" t="s">
        <v>9</v>
      </c>
      <c r="E241" s="3"/>
      <c r="F241" s="3" t="s">
        <v>14</v>
      </c>
      <c r="G241" s="4">
        <v>1880.28</v>
      </c>
    </row>
    <row r="242" spans="2:7" x14ac:dyDescent="0.3">
      <c r="B242" s="12" t="s">
        <v>427</v>
      </c>
      <c r="C242" s="3" t="s">
        <v>428</v>
      </c>
      <c r="D242" s="3" t="s">
        <v>9</v>
      </c>
      <c r="E242" s="3"/>
      <c r="F242" s="3" t="s">
        <v>14</v>
      </c>
      <c r="G242" s="4">
        <v>1873.5</v>
      </c>
    </row>
    <row r="243" spans="2:7" x14ac:dyDescent="0.3">
      <c r="B243" s="12" t="s">
        <v>758</v>
      </c>
      <c r="C243" s="3" t="s">
        <v>429</v>
      </c>
      <c r="D243" s="3" t="s">
        <v>9</v>
      </c>
      <c r="E243" s="3"/>
      <c r="F243" s="3" t="s">
        <v>14</v>
      </c>
      <c r="G243" s="4">
        <v>1836.61</v>
      </c>
    </row>
    <row r="244" spans="2:7" x14ac:dyDescent="0.3">
      <c r="B244" s="12" t="s">
        <v>430</v>
      </c>
      <c r="C244" s="3" t="s">
        <v>431</v>
      </c>
      <c r="D244" s="3" t="s">
        <v>9</v>
      </c>
      <c r="E244" s="3"/>
      <c r="F244" s="3" t="s">
        <v>14</v>
      </c>
      <c r="G244" s="4">
        <v>1829.29</v>
      </c>
    </row>
    <row r="245" spans="2:7" x14ac:dyDescent="0.3">
      <c r="B245" s="12" t="s">
        <v>432</v>
      </c>
      <c r="C245" s="3" t="s">
        <v>433</v>
      </c>
      <c r="D245" s="3" t="s">
        <v>9</v>
      </c>
      <c r="E245" s="3" t="s">
        <v>32</v>
      </c>
      <c r="F245" s="3" t="s">
        <v>14</v>
      </c>
      <c r="G245" s="4">
        <v>1807.08</v>
      </c>
    </row>
    <row r="246" spans="2:7" x14ac:dyDescent="0.3">
      <c r="B246" s="12">
        <v>2441</v>
      </c>
      <c r="C246" s="3" t="s">
        <v>434</v>
      </c>
      <c r="D246" s="3" t="s">
        <v>9</v>
      </c>
      <c r="E246" s="3"/>
      <c r="F246" s="3" t="s">
        <v>14</v>
      </c>
      <c r="G246" s="4">
        <v>1804.42</v>
      </c>
    </row>
    <row r="247" spans="2:7" x14ac:dyDescent="0.3">
      <c r="B247" s="12" t="s">
        <v>435</v>
      </c>
      <c r="C247" s="3" t="s">
        <v>436</v>
      </c>
      <c r="D247" s="3" t="s">
        <v>9</v>
      </c>
      <c r="E247" s="3"/>
      <c r="F247" s="3" t="s">
        <v>14</v>
      </c>
      <c r="G247" s="4">
        <v>1799.4</v>
      </c>
    </row>
    <row r="248" spans="2:7" x14ac:dyDescent="0.3">
      <c r="B248" s="12" t="s">
        <v>437</v>
      </c>
      <c r="C248" s="3" t="s">
        <v>438</v>
      </c>
      <c r="D248" s="3" t="s">
        <v>9</v>
      </c>
      <c r="E248" s="3"/>
      <c r="F248" s="3" t="s">
        <v>14</v>
      </c>
      <c r="G248" s="4">
        <v>1769.01</v>
      </c>
    </row>
    <row r="249" spans="2:7" x14ac:dyDescent="0.3">
      <c r="B249" s="12">
        <v>8876</v>
      </c>
      <c r="C249" s="3" t="s">
        <v>439</v>
      </c>
      <c r="D249" s="3" t="s">
        <v>9</v>
      </c>
      <c r="E249" s="3"/>
      <c r="F249" s="3" t="s">
        <v>14</v>
      </c>
      <c r="G249" s="4">
        <v>1755.28</v>
      </c>
    </row>
    <row r="250" spans="2:7" x14ac:dyDescent="0.3">
      <c r="B250" s="12" t="s">
        <v>440</v>
      </c>
      <c r="C250" s="3" t="s">
        <v>441</v>
      </c>
      <c r="D250" s="3" t="s">
        <v>9</v>
      </c>
      <c r="E250" s="3"/>
      <c r="F250" s="3" t="s">
        <v>14</v>
      </c>
      <c r="G250" s="4">
        <v>1747.28</v>
      </c>
    </row>
    <row r="251" spans="2:7" x14ac:dyDescent="0.3">
      <c r="B251" s="12" t="s">
        <v>442</v>
      </c>
      <c r="C251" s="3" t="s">
        <v>443</v>
      </c>
      <c r="D251" s="3" t="s">
        <v>9</v>
      </c>
      <c r="E251" s="3"/>
      <c r="F251" s="3" t="s">
        <v>14</v>
      </c>
      <c r="G251" s="4">
        <v>1738.48</v>
      </c>
    </row>
    <row r="252" spans="2:7" x14ac:dyDescent="0.3">
      <c r="B252" s="12">
        <v>1719</v>
      </c>
      <c r="C252" s="3" t="s">
        <v>444</v>
      </c>
      <c r="D252" s="3" t="s">
        <v>9</v>
      </c>
      <c r="E252" s="3"/>
      <c r="F252" s="3" t="s">
        <v>14</v>
      </c>
      <c r="G252" s="4">
        <v>1737.74</v>
      </c>
    </row>
    <row r="253" spans="2:7" x14ac:dyDescent="0.3">
      <c r="B253" s="12" t="s">
        <v>445</v>
      </c>
      <c r="C253" s="3" t="s">
        <v>446</v>
      </c>
      <c r="D253" s="3" t="s">
        <v>9</v>
      </c>
      <c r="E253" s="3"/>
      <c r="F253" s="3" t="s">
        <v>14</v>
      </c>
      <c r="G253" s="4">
        <v>1720.34</v>
      </c>
    </row>
    <row r="254" spans="2:7" x14ac:dyDescent="0.3">
      <c r="B254" s="12" t="s">
        <v>447</v>
      </c>
      <c r="C254" s="3" t="s">
        <v>448</v>
      </c>
      <c r="D254" s="3" t="s">
        <v>9</v>
      </c>
      <c r="E254" s="3"/>
      <c r="F254" s="3" t="s">
        <v>14</v>
      </c>
      <c r="G254" s="4">
        <v>1719.94</v>
      </c>
    </row>
    <row r="255" spans="2:7" x14ac:dyDescent="0.3">
      <c r="B255" s="12" t="s">
        <v>449</v>
      </c>
      <c r="C255" s="3" t="s">
        <v>450</v>
      </c>
      <c r="D255" s="3" t="s">
        <v>9</v>
      </c>
      <c r="E255" s="3"/>
      <c r="F255" s="3" t="s">
        <v>14</v>
      </c>
      <c r="G255" s="4">
        <v>1684.72</v>
      </c>
    </row>
    <row r="256" spans="2:7" x14ac:dyDescent="0.3">
      <c r="B256" s="12" t="s">
        <v>451</v>
      </c>
      <c r="C256" s="3" t="s">
        <v>452</v>
      </c>
      <c r="D256" s="3" t="s">
        <v>9</v>
      </c>
      <c r="E256" s="3"/>
      <c r="F256" s="3" t="s">
        <v>14</v>
      </c>
      <c r="G256" s="4">
        <v>1670.25</v>
      </c>
    </row>
    <row r="257" spans="2:7" x14ac:dyDescent="0.3">
      <c r="B257" s="12" t="s">
        <v>453</v>
      </c>
      <c r="C257" s="3" t="s">
        <v>454</v>
      </c>
      <c r="D257" s="3" t="s">
        <v>9</v>
      </c>
      <c r="E257" s="3" t="s">
        <v>32</v>
      </c>
      <c r="F257" s="3" t="s">
        <v>14</v>
      </c>
      <c r="G257" s="4">
        <v>1664.28</v>
      </c>
    </row>
    <row r="258" spans="2:7" x14ac:dyDescent="0.3">
      <c r="B258" s="12" t="s">
        <v>455</v>
      </c>
      <c r="C258" s="3" t="s">
        <v>456</v>
      </c>
      <c r="D258" s="3" t="s">
        <v>9</v>
      </c>
      <c r="E258" s="3"/>
      <c r="F258" s="3" t="s">
        <v>14</v>
      </c>
      <c r="G258" s="4">
        <v>1639.1</v>
      </c>
    </row>
    <row r="259" spans="2:7" x14ac:dyDescent="0.3">
      <c r="B259" s="12" t="s">
        <v>457</v>
      </c>
      <c r="C259" s="3" t="s">
        <v>458</v>
      </c>
      <c r="D259" s="3" t="s">
        <v>9</v>
      </c>
      <c r="E259" s="3"/>
      <c r="F259" s="3" t="s">
        <v>14</v>
      </c>
      <c r="G259" s="4">
        <v>1511.95</v>
      </c>
    </row>
    <row r="260" spans="2:7" x14ac:dyDescent="0.3">
      <c r="B260" s="12" t="s">
        <v>459</v>
      </c>
      <c r="C260" s="3" t="s">
        <v>460</v>
      </c>
      <c r="D260" s="3" t="s">
        <v>9</v>
      </c>
      <c r="E260" s="3"/>
      <c r="F260" s="3" t="s">
        <v>14</v>
      </c>
      <c r="G260" s="4">
        <v>1499.18</v>
      </c>
    </row>
    <row r="261" spans="2:7" x14ac:dyDescent="0.3">
      <c r="B261" s="12" t="s">
        <v>461</v>
      </c>
      <c r="C261" s="3" t="s">
        <v>462</v>
      </c>
      <c r="D261" s="3" t="s">
        <v>9</v>
      </c>
      <c r="E261" s="3" t="s">
        <v>32</v>
      </c>
      <c r="F261" s="3" t="s">
        <v>14</v>
      </c>
      <c r="G261" s="4">
        <v>1474.52</v>
      </c>
    </row>
    <row r="262" spans="2:7" x14ac:dyDescent="0.3">
      <c r="B262" s="12">
        <v>6744</v>
      </c>
      <c r="C262" s="3" t="s">
        <v>463</v>
      </c>
      <c r="D262" s="3" t="s">
        <v>9</v>
      </c>
      <c r="E262" s="3"/>
      <c r="F262" s="3" t="s">
        <v>14</v>
      </c>
      <c r="G262" s="4">
        <v>1464.93</v>
      </c>
    </row>
    <row r="263" spans="2:7" x14ac:dyDescent="0.3">
      <c r="B263" s="12">
        <v>1820</v>
      </c>
      <c r="C263" s="3" t="s">
        <v>464</v>
      </c>
      <c r="D263" s="3" t="s">
        <v>9</v>
      </c>
      <c r="E263" s="3"/>
      <c r="F263" s="3" t="s">
        <v>14</v>
      </c>
      <c r="G263" s="4">
        <v>1459.99</v>
      </c>
    </row>
    <row r="264" spans="2:7" x14ac:dyDescent="0.3">
      <c r="B264" s="12" t="s">
        <v>465</v>
      </c>
      <c r="C264" s="3" t="s">
        <v>466</v>
      </c>
      <c r="D264" s="3" t="s">
        <v>9</v>
      </c>
      <c r="E264" s="3"/>
      <c r="F264" s="3" t="s">
        <v>14</v>
      </c>
      <c r="G264" s="4">
        <v>1449.15</v>
      </c>
    </row>
    <row r="265" spans="2:7" x14ac:dyDescent="0.3">
      <c r="B265" s="12" t="s">
        <v>467</v>
      </c>
      <c r="C265" s="3" t="s">
        <v>468</v>
      </c>
      <c r="D265" s="3" t="s">
        <v>9</v>
      </c>
      <c r="E265" s="3"/>
      <c r="F265" s="3" t="s">
        <v>14</v>
      </c>
      <c r="G265" s="4">
        <v>1446.17</v>
      </c>
    </row>
    <row r="266" spans="2:7" x14ac:dyDescent="0.3">
      <c r="B266" s="12" t="s">
        <v>469</v>
      </c>
      <c r="C266" s="3" t="s">
        <v>470</v>
      </c>
      <c r="D266" s="3" t="s">
        <v>9</v>
      </c>
      <c r="E266" s="3"/>
      <c r="F266" s="3" t="s">
        <v>14</v>
      </c>
      <c r="G266" s="4">
        <v>1444.57</v>
      </c>
    </row>
    <row r="267" spans="2:7" x14ac:dyDescent="0.3">
      <c r="B267" s="12" t="s">
        <v>471</v>
      </c>
      <c r="C267" s="3" t="s">
        <v>472</v>
      </c>
      <c r="D267" s="3" t="s">
        <v>9</v>
      </c>
      <c r="E267" s="3"/>
      <c r="F267" s="3" t="s">
        <v>14</v>
      </c>
      <c r="G267" s="4">
        <v>1438.66</v>
      </c>
    </row>
    <row r="268" spans="2:7" x14ac:dyDescent="0.3">
      <c r="B268" s="12">
        <v>4784</v>
      </c>
      <c r="C268" s="3" t="s">
        <v>473</v>
      </c>
      <c r="D268" s="3" t="s">
        <v>9</v>
      </c>
      <c r="E268" s="3"/>
      <c r="F268" s="3" t="s">
        <v>14</v>
      </c>
      <c r="G268" s="4">
        <v>1430.9</v>
      </c>
    </row>
    <row r="269" spans="2:7" x14ac:dyDescent="0.3">
      <c r="B269" s="12" t="s">
        <v>474</v>
      </c>
      <c r="C269" s="3" t="s">
        <v>475</v>
      </c>
      <c r="D269" s="3" t="s">
        <v>9</v>
      </c>
      <c r="E269" s="3"/>
      <c r="F269" s="3" t="s">
        <v>14</v>
      </c>
      <c r="G269" s="4">
        <v>1418.21</v>
      </c>
    </row>
    <row r="270" spans="2:7" x14ac:dyDescent="0.3">
      <c r="B270" s="12" t="s">
        <v>476</v>
      </c>
      <c r="C270" s="3" t="s">
        <v>477</v>
      </c>
      <c r="D270" s="3" t="s">
        <v>9</v>
      </c>
      <c r="E270" s="3" t="s">
        <v>10</v>
      </c>
      <c r="F270" s="3" t="s">
        <v>14</v>
      </c>
      <c r="G270" s="4">
        <v>1417.76</v>
      </c>
    </row>
    <row r="271" spans="2:7" x14ac:dyDescent="0.3">
      <c r="B271" s="12" t="s">
        <v>761</v>
      </c>
      <c r="C271" s="3" t="s">
        <v>478</v>
      </c>
      <c r="D271" s="3" t="s">
        <v>9</v>
      </c>
      <c r="E271" s="3"/>
      <c r="F271" s="3" t="s">
        <v>14</v>
      </c>
      <c r="G271" s="4">
        <v>1407.08</v>
      </c>
    </row>
    <row r="272" spans="2:7" x14ac:dyDescent="0.3">
      <c r="B272" s="12" t="s">
        <v>479</v>
      </c>
      <c r="C272" s="3" t="s">
        <v>480</v>
      </c>
      <c r="D272" s="3" t="s">
        <v>9</v>
      </c>
      <c r="E272" s="3"/>
      <c r="F272" s="3" t="s">
        <v>14</v>
      </c>
      <c r="G272" s="4">
        <v>1388.98</v>
      </c>
    </row>
    <row r="273" spans="2:7" x14ac:dyDescent="0.3">
      <c r="B273" s="12" t="s">
        <v>481</v>
      </c>
      <c r="C273" s="3" t="s">
        <v>482</v>
      </c>
      <c r="D273" s="3" t="s">
        <v>9</v>
      </c>
      <c r="E273" s="3"/>
      <c r="F273" s="3" t="s">
        <v>14</v>
      </c>
      <c r="G273" s="4">
        <v>1371.38</v>
      </c>
    </row>
    <row r="274" spans="2:7" x14ac:dyDescent="0.3">
      <c r="B274" s="12">
        <v>9031</v>
      </c>
      <c r="C274" s="3" t="s">
        <v>483</v>
      </c>
      <c r="D274" s="3" t="s">
        <v>9</v>
      </c>
      <c r="E274" s="3"/>
      <c r="F274" s="3" t="s">
        <v>14</v>
      </c>
      <c r="G274" s="4">
        <v>1365.17</v>
      </c>
    </row>
    <row r="275" spans="2:7" x14ac:dyDescent="0.3">
      <c r="B275" s="12" t="s">
        <v>484</v>
      </c>
      <c r="C275" s="3" t="s">
        <v>485</v>
      </c>
      <c r="D275" s="3" t="s">
        <v>9</v>
      </c>
      <c r="E275" s="3"/>
      <c r="F275" s="3" t="s">
        <v>14</v>
      </c>
      <c r="G275" s="4">
        <v>1356.86</v>
      </c>
    </row>
    <row r="276" spans="2:7" x14ac:dyDescent="0.3">
      <c r="B276" s="12" t="s">
        <v>486</v>
      </c>
      <c r="C276" s="3" t="s">
        <v>487</v>
      </c>
      <c r="D276" s="3" t="s">
        <v>9</v>
      </c>
      <c r="E276" s="3"/>
      <c r="F276" s="3" t="s">
        <v>14</v>
      </c>
      <c r="G276" s="4">
        <v>1323.66</v>
      </c>
    </row>
    <row r="277" spans="2:7" x14ac:dyDescent="0.3">
      <c r="B277" s="12">
        <v>5301</v>
      </c>
      <c r="C277" s="3" t="s">
        <v>488</v>
      </c>
      <c r="D277" s="3" t="s">
        <v>9</v>
      </c>
      <c r="E277" s="3"/>
      <c r="F277" s="3" t="s">
        <v>14</v>
      </c>
      <c r="G277" s="4">
        <v>1322.56</v>
      </c>
    </row>
    <row r="278" spans="2:7" x14ac:dyDescent="0.3">
      <c r="B278" s="12" t="s">
        <v>489</v>
      </c>
      <c r="C278" s="3" t="s">
        <v>490</v>
      </c>
      <c r="D278" s="3" t="s">
        <v>9</v>
      </c>
      <c r="E278" s="3"/>
      <c r="F278" s="3" t="s">
        <v>14</v>
      </c>
      <c r="G278" s="4">
        <v>1322.4</v>
      </c>
    </row>
    <row r="279" spans="2:7" x14ac:dyDescent="0.3">
      <c r="B279" s="12" t="s">
        <v>491</v>
      </c>
      <c r="C279" s="3" t="s">
        <v>492</v>
      </c>
      <c r="D279" s="3" t="s">
        <v>9</v>
      </c>
      <c r="E279" s="3"/>
      <c r="F279" s="3" t="s">
        <v>14</v>
      </c>
      <c r="G279" s="4">
        <v>1274.81</v>
      </c>
    </row>
    <row r="280" spans="2:7" x14ac:dyDescent="0.3">
      <c r="B280" s="12">
        <v>7242</v>
      </c>
      <c r="C280" s="3" t="s">
        <v>493</v>
      </c>
      <c r="D280" s="3" t="s">
        <v>9</v>
      </c>
      <c r="E280" s="3"/>
      <c r="F280" s="3" t="s">
        <v>14</v>
      </c>
      <c r="G280" s="4">
        <v>1268.72</v>
      </c>
    </row>
    <row r="281" spans="2:7" x14ac:dyDescent="0.3">
      <c r="B281" s="12" t="s">
        <v>494</v>
      </c>
      <c r="C281" s="3" t="s">
        <v>495</v>
      </c>
      <c r="D281" s="3" t="s">
        <v>9</v>
      </c>
      <c r="E281" s="3"/>
      <c r="F281" s="3" t="s">
        <v>14</v>
      </c>
      <c r="G281" s="4">
        <v>1254.58</v>
      </c>
    </row>
    <row r="282" spans="2:7" x14ac:dyDescent="0.3">
      <c r="B282" s="12" t="s">
        <v>496</v>
      </c>
      <c r="C282" s="3" t="s">
        <v>497</v>
      </c>
      <c r="D282" s="3" t="s">
        <v>9</v>
      </c>
      <c r="E282" s="3"/>
      <c r="F282" s="3" t="s">
        <v>14</v>
      </c>
      <c r="G282" s="4">
        <v>1253.8399999999999</v>
      </c>
    </row>
    <row r="283" spans="2:7" x14ac:dyDescent="0.3">
      <c r="B283" s="12" t="s">
        <v>498</v>
      </c>
      <c r="C283" s="3" t="s">
        <v>499</v>
      </c>
      <c r="D283" s="3" t="s">
        <v>9</v>
      </c>
      <c r="E283" s="3"/>
      <c r="F283" s="3" t="s">
        <v>14</v>
      </c>
      <c r="G283" s="4">
        <v>1249.49</v>
      </c>
    </row>
    <row r="284" spans="2:7" x14ac:dyDescent="0.3">
      <c r="B284" s="12">
        <v>4041</v>
      </c>
      <c r="C284" s="3" t="s">
        <v>500</v>
      </c>
      <c r="D284" s="3" t="s">
        <v>9</v>
      </c>
      <c r="E284" s="3"/>
      <c r="F284" s="3" t="s">
        <v>14</v>
      </c>
      <c r="G284" s="4">
        <v>1243.8</v>
      </c>
    </row>
    <row r="285" spans="2:7" x14ac:dyDescent="0.3">
      <c r="B285" s="12" t="s">
        <v>501</v>
      </c>
      <c r="C285" s="3" t="s">
        <v>502</v>
      </c>
      <c r="D285" s="3" t="s">
        <v>9</v>
      </c>
      <c r="E285" s="3"/>
      <c r="F285" s="3" t="s">
        <v>14</v>
      </c>
      <c r="G285" s="4">
        <v>1233.5899999999999</v>
      </c>
    </row>
    <row r="286" spans="2:7" x14ac:dyDescent="0.3">
      <c r="B286" s="12">
        <v>8154</v>
      </c>
      <c r="C286" s="3" t="s">
        <v>503</v>
      </c>
      <c r="D286" s="3" t="s">
        <v>9</v>
      </c>
      <c r="E286" s="3"/>
      <c r="F286" s="3" t="s">
        <v>14</v>
      </c>
      <c r="G286" s="4">
        <v>1226.5</v>
      </c>
    </row>
    <row r="287" spans="2:7" x14ac:dyDescent="0.3">
      <c r="B287" s="12" t="s">
        <v>504</v>
      </c>
      <c r="C287" s="3" t="s">
        <v>505</v>
      </c>
      <c r="D287" s="3" t="s">
        <v>9</v>
      </c>
      <c r="E287" s="3"/>
      <c r="F287" s="3" t="s">
        <v>14</v>
      </c>
      <c r="G287" s="4">
        <v>1210.6300000000001</v>
      </c>
    </row>
    <row r="288" spans="2:7" x14ac:dyDescent="0.3">
      <c r="B288" s="12">
        <v>8066</v>
      </c>
      <c r="C288" s="3" t="s">
        <v>506</v>
      </c>
      <c r="D288" s="3" t="s">
        <v>9</v>
      </c>
      <c r="E288" s="3"/>
      <c r="F288" s="3" t="s">
        <v>14</v>
      </c>
      <c r="G288" s="4">
        <v>1209.24</v>
      </c>
    </row>
    <row r="289" spans="2:7" x14ac:dyDescent="0.3">
      <c r="B289" s="12" t="s">
        <v>507</v>
      </c>
      <c r="C289" s="3" t="s">
        <v>508</v>
      </c>
      <c r="D289" s="3" t="s">
        <v>9</v>
      </c>
      <c r="E289" s="3"/>
      <c r="F289" s="3" t="s">
        <v>14</v>
      </c>
      <c r="G289" s="4">
        <v>1197.69</v>
      </c>
    </row>
    <row r="290" spans="2:7" x14ac:dyDescent="0.3">
      <c r="B290" s="12" t="s">
        <v>509</v>
      </c>
      <c r="C290" s="3" t="s">
        <v>510</v>
      </c>
      <c r="D290" s="3" t="s">
        <v>9</v>
      </c>
      <c r="E290" s="3" t="s">
        <v>10</v>
      </c>
      <c r="F290" s="3" t="s">
        <v>14</v>
      </c>
      <c r="G290" s="4">
        <v>1190.92</v>
      </c>
    </row>
    <row r="291" spans="2:7" x14ac:dyDescent="0.3">
      <c r="B291" s="12" t="s">
        <v>511</v>
      </c>
      <c r="C291" s="3" t="s">
        <v>512</v>
      </c>
      <c r="D291" s="3" t="s">
        <v>9</v>
      </c>
      <c r="E291" s="3"/>
      <c r="F291" s="3" t="s">
        <v>14</v>
      </c>
      <c r="G291" s="4">
        <v>1172.02</v>
      </c>
    </row>
    <row r="292" spans="2:7" x14ac:dyDescent="0.3">
      <c r="B292" s="12">
        <v>504918</v>
      </c>
      <c r="C292" s="3" t="s">
        <v>513</v>
      </c>
      <c r="D292" s="3" t="s">
        <v>9</v>
      </c>
      <c r="E292" s="3"/>
      <c r="F292" s="3" t="s">
        <v>14</v>
      </c>
      <c r="G292" s="4">
        <v>1166.6099999999999</v>
      </c>
    </row>
    <row r="293" spans="2:7" x14ac:dyDescent="0.3">
      <c r="B293" s="12">
        <v>530843</v>
      </c>
      <c r="C293" s="3" t="s">
        <v>514</v>
      </c>
      <c r="D293" s="3" t="s">
        <v>9</v>
      </c>
      <c r="E293" s="3"/>
      <c r="F293" s="3" t="s">
        <v>14</v>
      </c>
      <c r="G293" s="4">
        <v>1164.82</v>
      </c>
    </row>
    <row r="294" spans="2:7" x14ac:dyDescent="0.3">
      <c r="B294" s="12" t="s">
        <v>515</v>
      </c>
      <c r="C294" s="3" t="s">
        <v>516</v>
      </c>
      <c r="D294" s="3" t="s">
        <v>9</v>
      </c>
      <c r="E294" s="3"/>
      <c r="F294" s="3" t="s">
        <v>14</v>
      </c>
      <c r="G294" s="4">
        <v>1161.04</v>
      </c>
    </row>
    <row r="295" spans="2:7" x14ac:dyDescent="0.3">
      <c r="B295" s="12">
        <v>8698</v>
      </c>
      <c r="C295" s="3" t="s">
        <v>517</v>
      </c>
      <c r="D295" s="3" t="s">
        <v>9</v>
      </c>
      <c r="E295" s="3"/>
      <c r="F295" s="3" t="s">
        <v>14</v>
      </c>
      <c r="G295" s="4">
        <v>1159.8699999999999</v>
      </c>
    </row>
    <row r="296" spans="2:7" x14ac:dyDescent="0.3">
      <c r="B296" s="12">
        <v>4045</v>
      </c>
      <c r="C296" s="3" t="s">
        <v>518</v>
      </c>
      <c r="D296" s="3" t="s">
        <v>9</v>
      </c>
      <c r="E296" s="3"/>
      <c r="F296" s="3" t="s">
        <v>14</v>
      </c>
      <c r="G296" s="4">
        <v>1134.95</v>
      </c>
    </row>
    <row r="297" spans="2:7" x14ac:dyDescent="0.3">
      <c r="B297" s="12">
        <v>4478</v>
      </c>
      <c r="C297" s="3" t="s">
        <v>519</v>
      </c>
      <c r="D297" s="3" t="s">
        <v>9</v>
      </c>
      <c r="E297" s="3"/>
      <c r="F297" s="3" t="s">
        <v>14</v>
      </c>
      <c r="G297" s="4">
        <v>1116.06</v>
      </c>
    </row>
    <row r="298" spans="2:7" x14ac:dyDescent="0.3">
      <c r="B298" s="12" t="s">
        <v>520</v>
      </c>
      <c r="C298" s="3" t="s">
        <v>521</v>
      </c>
      <c r="D298" s="3" t="s">
        <v>9</v>
      </c>
      <c r="E298" s="3" t="s">
        <v>10</v>
      </c>
      <c r="F298" s="3" t="s">
        <v>14</v>
      </c>
      <c r="G298" s="4">
        <v>1115.02</v>
      </c>
    </row>
    <row r="299" spans="2:7" x14ac:dyDescent="0.3">
      <c r="B299" s="12">
        <v>7157</v>
      </c>
      <c r="C299" s="3" t="s">
        <v>522</v>
      </c>
      <c r="D299" s="3" t="s">
        <v>9</v>
      </c>
      <c r="E299" s="3"/>
      <c r="F299" s="3" t="s">
        <v>14</v>
      </c>
      <c r="G299" s="4">
        <v>1102.8599999999999</v>
      </c>
    </row>
    <row r="300" spans="2:7" x14ac:dyDescent="0.3">
      <c r="B300" s="12">
        <v>6498</v>
      </c>
      <c r="C300" s="3" t="s">
        <v>523</v>
      </c>
      <c r="D300" s="3" t="s">
        <v>9</v>
      </c>
      <c r="E300" s="3"/>
      <c r="F300" s="3" t="s">
        <v>14</v>
      </c>
      <c r="G300" s="4">
        <v>1097.3399999999999</v>
      </c>
    </row>
    <row r="301" spans="2:7" x14ac:dyDescent="0.3">
      <c r="B301" s="12" t="s">
        <v>524</v>
      </c>
      <c r="C301" s="3" t="s">
        <v>525</v>
      </c>
      <c r="D301" s="3" t="s">
        <v>9</v>
      </c>
      <c r="E301" s="3"/>
      <c r="F301" s="3" t="s">
        <v>14</v>
      </c>
      <c r="G301" s="4">
        <v>1097.22</v>
      </c>
    </row>
    <row r="302" spans="2:7" x14ac:dyDescent="0.3">
      <c r="B302" s="12">
        <v>7716</v>
      </c>
      <c r="C302" s="3" t="s">
        <v>526</v>
      </c>
      <c r="D302" s="3" t="s">
        <v>9</v>
      </c>
      <c r="E302" s="3"/>
      <c r="F302" s="3" t="s">
        <v>14</v>
      </c>
      <c r="G302" s="4">
        <v>1055.83</v>
      </c>
    </row>
    <row r="303" spans="2:7" x14ac:dyDescent="0.3">
      <c r="B303" s="12" t="s">
        <v>527</v>
      </c>
      <c r="C303" s="3" t="s">
        <v>528</v>
      </c>
      <c r="D303" s="3" t="s">
        <v>9</v>
      </c>
      <c r="E303" s="3"/>
      <c r="F303" s="3" t="s">
        <v>14</v>
      </c>
      <c r="G303" s="4">
        <v>1051.75</v>
      </c>
    </row>
    <row r="304" spans="2:7" x14ac:dyDescent="0.3">
      <c r="B304" s="12">
        <v>9025</v>
      </c>
      <c r="C304" s="3" t="s">
        <v>529</v>
      </c>
      <c r="D304" s="3" t="s">
        <v>9</v>
      </c>
      <c r="E304" s="3"/>
      <c r="F304" s="3" t="s">
        <v>14</v>
      </c>
      <c r="G304" s="4">
        <v>1045.33</v>
      </c>
    </row>
    <row r="305" spans="2:7" x14ac:dyDescent="0.3">
      <c r="B305" s="12">
        <v>9722</v>
      </c>
      <c r="C305" s="3" t="s">
        <v>530</v>
      </c>
      <c r="D305" s="3" t="s">
        <v>9</v>
      </c>
      <c r="E305" s="3"/>
      <c r="F305" s="3" t="s">
        <v>14</v>
      </c>
      <c r="G305" s="4">
        <v>1044.42</v>
      </c>
    </row>
    <row r="306" spans="2:7" x14ac:dyDescent="0.3">
      <c r="B306" s="12" t="s">
        <v>531</v>
      </c>
      <c r="C306" s="3" t="s">
        <v>532</v>
      </c>
      <c r="D306" s="3" t="s">
        <v>9</v>
      </c>
      <c r="E306" s="3"/>
      <c r="F306" s="3" t="s">
        <v>14</v>
      </c>
      <c r="G306" s="4">
        <v>1032.56</v>
      </c>
    </row>
    <row r="307" spans="2:7" x14ac:dyDescent="0.3">
      <c r="B307" s="12">
        <v>8511</v>
      </c>
      <c r="C307" s="3" t="s">
        <v>533</v>
      </c>
      <c r="D307" s="3" t="s">
        <v>9</v>
      </c>
      <c r="E307" s="3"/>
      <c r="F307" s="3" t="s">
        <v>14</v>
      </c>
      <c r="G307" s="4">
        <v>1016.41</v>
      </c>
    </row>
    <row r="308" spans="2:7" x14ac:dyDescent="0.3">
      <c r="B308" s="12">
        <v>6278</v>
      </c>
      <c r="C308" s="3" t="s">
        <v>534</v>
      </c>
      <c r="D308" s="3" t="s">
        <v>9</v>
      </c>
      <c r="E308" s="3"/>
      <c r="F308" s="3" t="s">
        <v>14</v>
      </c>
      <c r="G308" s="4">
        <v>986.6</v>
      </c>
    </row>
    <row r="309" spans="2:7" x14ac:dyDescent="0.3">
      <c r="B309" s="12">
        <v>3076</v>
      </c>
      <c r="C309" s="3" t="s">
        <v>535</v>
      </c>
      <c r="D309" s="3" t="s">
        <v>9</v>
      </c>
      <c r="E309" s="3"/>
      <c r="F309" s="3" t="s">
        <v>14</v>
      </c>
      <c r="G309" s="4">
        <v>957.3</v>
      </c>
    </row>
    <row r="310" spans="2:7" x14ac:dyDescent="0.3">
      <c r="B310" s="12" t="s">
        <v>536</v>
      </c>
      <c r="C310" s="3" t="s">
        <v>537</v>
      </c>
      <c r="D310" s="3" t="s">
        <v>9</v>
      </c>
      <c r="E310" s="3"/>
      <c r="F310" s="3" t="s">
        <v>14</v>
      </c>
      <c r="G310" s="4">
        <v>951.2</v>
      </c>
    </row>
    <row r="311" spans="2:7" x14ac:dyDescent="0.3">
      <c r="B311" s="12">
        <v>6523</v>
      </c>
      <c r="C311" s="3" t="s">
        <v>538</v>
      </c>
      <c r="D311" s="3" t="s">
        <v>9</v>
      </c>
      <c r="E311" s="3"/>
      <c r="F311" s="3" t="s">
        <v>14</v>
      </c>
      <c r="G311" s="4">
        <v>949.11</v>
      </c>
    </row>
    <row r="312" spans="2:7" x14ac:dyDescent="0.3">
      <c r="B312" s="12" t="s">
        <v>539</v>
      </c>
      <c r="C312" s="3" t="s">
        <v>540</v>
      </c>
      <c r="D312" s="3" t="s">
        <v>9</v>
      </c>
      <c r="E312" s="3"/>
      <c r="F312" s="3" t="s">
        <v>14</v>
      </c>
      <c r="G312" s="4">
        <v>917.02</v>
      </c>
    </row>
    <row r="313" spans="2:7" x14ac:dyDescent="0.3">
      <c r="B313" s="12">
        <v>6740</v>
      </c>
      <c r="C313" s="3" t="s">
        <v>541</v>
      </c>
      <c r="D313" s="3" t="s">
        <v>9</v>
      </c>
      <c r="E313" s="3"/>
      <c r="F313" s="3" t="s">
        <v>14</v>
      </c>
      <c r="G313" s="4">
        <v>913.49</v>
      </c>
    </row>
    <row r="314" spans="2:7" x14ac:dyDescent="0.3">
      <c r="B314" s="12">
        <v>5161</v>
      </c>
      <c r="C314" s="3" t="s">
        <v>542</v>
      </c>
      <c r="D314" s="3" t="s">
        <v>9</v>
      </c>
      <c r="E314" s="3"/>
      <c r="F314" s="3" t="s">
        <v>14</v>
      </c>
      <c r="G314" s="4">
        <v>912.08</v>
      </c>
    </row>
    <row r="315" spans="2:7" x14ac:dyDescent="0.3">
      <c r="B315" s="12" t="s">
        <v>543</v>
      </c>
      <c r="C315" s="3" t="s">
        <v>544</v>
      </c>
      <c r="D315" s="3" t="s">
        <v>9</v>
      </c>
      <c r="E315" s="3"/>
      <c r="F315" s="3" t="s">
        <v>14</v>
      </c>
      <c r="G315" s="4">
        <v>911.85</v>
      </c>
    </row>
    <row r="316" spans="2:7" x14ac:dyDescent="0.3">
      <c r="B316" s="12">
        <v>1762</v>
      </c>
      <c r="C316" s="3" t="s">
        <v>545</v>
      </c>
      <c r="D316" s="3" t="s">
        <v>9</v>
      </c>
      <c r="E316" s="3"/>
      <c r="F316" s="3" t="s">
        <v>14</v>
      </c>
      <c r="G316" s="4">
        <v>902.75</v>
      </c>
    </row>
    <row r="317" spans="2:7" x14ac:dyDescent="0.3">
      <c r="B317" s="12">
        <v>7222</v>
      </c>
      <c r="C317" s="3" t="s">
        <v>546</v>
      </c>
      <c r="D317" s="3" t="s">
        <v>9</v>
      </c>
      <c r="E317" s="3"/>
      <c r="F317" s="3" t="s">
        <v>14</v>
      </c>
      <c r="G317" s="4">
        <v>901.45</v>
      </c>
    </row>
    <row r="318" spans="2:7" x14ac:dyDescent="0.3">
      <c r="B318" s="12" t="s">
        <v>547</v>
      </c>
      <c r="C318" s="3" t="s">
        <v>548</v>
      </c>
      <c r="D318" s="3" t="s">
        <v>9</v>
      </c>
      <c r="E318" s="3"/>
      <c r="F318" s="3" t="s">
        <v>14</v>
      </c>
      <c r="G318" s="4">
        <v>887.37</v>
      </c>
    </row>
    <row r="319" spans="2:7" x14ac:dyDescent="0.3">
      <c r="B319" s="12" t="s">
        <v>549</v>
      </c>
      <c r="C319" s="3" t="s">
        <v>550</v>
      </c>
      <c r="D319" s="3" t="s">
        <v>9</v>
      </c>
      <c r="E319" s="3"/>
      <c r="F319" s="3" t="s">
        <v>14</v>
      </c>
      <c r="G319" s="4">
        <v>877.28</v>
      </c>
    </row>
    <row r="320" spans="2:7" x14ac:dyDescent="0.3">
      <c r="B320" s="12" t="s">
        <v>551</v>
      </c>
      <c r="C320" s="3" t="s">
        <v>552</v>
      </c>
      <c r="D320" s="3" t="s">
        <v>9</v>
      </c>
      <c r="E320" s="3"/>
      <c r="F320" s="3" t="s">
        <v>14</v>
      </c>
      <c r="G320" s="4">
        <v>855.1</v>
      </c>
    </row>
    <row r="321" spans="2:7" x14ac:dyDescent="0.3">
      <c r="B321" s="12" t="s">
        <v>553</v>
      </c>
      <c r="C321" s="3" t="s">
        <v>554</v>
      </c>
      <c r="D321" s="3" t="s">
        <v>9</v>
      </c>
      <c r="E321" s="3"/>
      <c r="F321" s="3" t="s">
        <v>14</v>
      </c>
      <c r="G321" s="4">
        <v>854.97</v>
      </c>
    </row>
    <row r="322" spans="2:7" x14ac:dyDescent="0.3">
      <c r="B322" s="12" t="s">
        <v>555</v>
      </c>
      <c r="C322" s="3" t="s">
        <v>556</v>
      </c>
      <c r="D322" s="3" t="s">
        <v>9</v>
      </c>
      <c r="E322" s="3"/>
      <c r="F322" s="3" t="s">
        <v>14</v>
      </c>
      <c r="G322" s="4">
        <v>853.55</v>
      </c>
    </row>
    <row r="323" spans="2:7" x14ac:dyDescent="0.3">
      <c r="B323" s="12">
        <v>4776</v>
      </c>
      <c r="C323" s="3" t="s">
        <v>557</v>
      </c>
      <c r="D323" s="3" t="s">
        <v>9</v>
      </c>
      <c r="E323" s="3"/>
      <c r="F323" s="3" t="s">
        <v>14</v>
      </c>
      <c r="G323" s="4">
        <v>845.45</v>
      </c>
    </row>
    <row r="324" spans="2:7" x14ac:dyDescent="0.3">
      <c r="B324" s="12" t="s">
        <v>558</v>
      </c>
      <c r="C324" s="3" t="s">
        <v>559</v>
      </c>
      <c r="D324" s="3" t="s">
        <v>9</v>
      </c>
      <c r="E324" s="3" t="s">
        <v>32</v>
      </c>
      <c r="F324" s="3" t="s">
        <v>14</v>
      </c>
      <c r="G324" s="4">
        <v>845.3</v>
      </c>
    </row>
    <row r="325" spans="2:7" x14ac:dyDescent="0.3">
      <c r="B325" s="12" t="s">
        <v>560</v>
      </c>
      <c r="C325" s="3" t="s">
        <v>561</v>
      </c>
      <c r="D325" s="3" t="s">
        <v>9</v>
      </c>
      <c r="E325" s="3"/>
      <c r="F325" s="3" t="s">
        <v>14</v>
      </c>
      <c r="G325" s="4">
        <v>838.09</v>
      </c>
    </row>
    <row r="326" spans="2:7" x14ac:dyDescent="0.3">
      <c r="B326" s="12" t="s">
        <v>562</v>
      </c>
      <c r="C326" s="3" t="s">
        <v>563</v>
      </c>
      <c r="D326" s="3" t="s">
        <v>9</v>
      </c>
      <c r="E326" s="3"/>
      <c r="F326" s="3" t="s">
        <v>14</v>
      </c>
      <c r="G326" s="4">
        <v>824.88</v>
      </c>
    </row>
    <row r="327" spans="2:7" x14ac:dyDescent="0.3">
      <c r="B327" s="12">
        <v>7976</v>
      </c>
      <c r="C327" s="3" t="s">
        <v>564</v>
      </c>
      <c r="D327" s="3" t="s">
        <v>9</v>
      </c>
      <c r="E327" s="3"/>
      <c r="F327" s="3" t="s">
        <v>14</v>
      </c>
      <c r="G327" s="4">
        <v>815.77</v>
      </c>
    </row>
    <row r="328" spans="2:7" x14ac:dyDescent="0.3">
      <c r="B328" s="12">
        <v>8051</v>
      </c>
      <c r="C328" s="3" t="s">
        <v>565</v>
      </c>
      <c r="D328" s="3" t="s">
        <v>9</v>
      </c>
      <c r="E328" s="3"/>
      <c r="F328" s="3" t="s">
        <v>14</v>
      </c>
      <c r="G328" s="4">
        <v>806.64</v>
      </c>
    </row>
    <row r="329" spans="2:7" x14ac:dyDescent="0.3">
      <c r="B329" s="12">
        <v>2146</v>
      </c>
      <c r="C329" s="3" t="s">
        <v>566</v>
      </c>
      <c r="D329" s="3" t="s">
        <v>9</v>
      </c>
      <c r="E329" s="3"/>
      <c r="F329" s="3" t="s">
        <v>14</v>
      </c>
      <c r="G329" s="4">
        <v>800.5</v>
      </c>
    </row>
    <row r="330" spans="2:7" x14ac:dyDescent="0.3">
      <c r="B330" s="12" t="s">
        <v>567</v>
      </c>
      <c r="C330" s="3" t="s">
        <v>568</v>
      </c>
      <c r="D330" s="3" t="s">
        <v>9</v>
      </c>
      <c r="E330" s="3"/>
      <c r="F330" s="3" t="s">
        <v>14</v>
      </c>
      <c r="G330" s="4">
        <v>800.27</v>
      </c>
    </row>
    <row r="331" spans="2:7" x14ac:dyDescent="0.3">
      <c r="B331" s="12" t="s">
        <v>569</v>
      </c>
      <c r="C331" s="3" t="s">
        <v>570</v>
      </c>
      <c r="D331" s="3" t="s">
        <v>9</v>
      </c>
      <c r="E331" s="3"/>
      <c r="F331" s="3" t="s">
        <v>14</v>
      </c>
      <c r="G331" s="4">
        <v>799.74</v>
      </c>
    </row>
    <row r="332" spans="2:7" x14ac:dyDescent="0.3">
      <c r="B332" s="12">
        <v>9413</v>
      </c>
      <c r="C332" s="3" t="s">
        <v>571</v>
      </c>
      <c r="D332" s="3" t="s">
        <v>9</v>
      </c>
      <c r="E332" s="3"/>
      <c r="F332" s="3" t="s">
        <v>14</v>
      </c>
      <c r="G332" s="4">
        <v>797.99</v>
      </c>
    </row>
    <row r="333" spans="2:7" x14ac:dyDescent="0.3">
      <c r="B333" s="12">
        <v>1879</v>
      </c>
      <c r="C333" s="3" t="s">
        <v>572</v>
      </c>
      <c r="D333" s="3" t="s">
        <v>9</v>
      </c>
      <c r="E333" s="3"/>
      <c r="F333" s="3" t="s">
        <v>14</v>
      </c>
      <c r="G333" s="4">
        <v>789.77</v>
      </c>
    </row>
    <row r="334" spans="2:7" x14ac:dyDescent="0.3">
      <c r="B334" s="12" t="s">
        <v>573</v>
      </c>
      <c r="C334" s="3" t="s">
        <v>574</v>
      </c>
      <c r="D334" s="3" t="s">
        <v>9</v>
      </c>
      <c r="E334" s="3"/>
      <c r="F334" s="3" t="s">
        <v>14</v>
      </c>
      <c r="G334" s="4">
        <v>782.36</v>
      </c>
    </row>
    <row r="335" spans="2:7" x14ac:dyDescent="0.3">
      <c r="B335" s="12" t="s">
        <v>575</v>
      </c>
      <c r="C335" s="3" t="s">
        <v>576</v>
      </c>
      <c r="D335" s="3" t="s">
        <v>9</v>
      </c>
      <c r="E335" s="3" t="s">
        <v>10</v>
      </c>
      <c r="F335" s="3" t="s">
        <v>14</v>
      </c>
      <c r="G335" s="4">
        <v>778.92</v>
      </c>
    </row>
    <row r="336" spans="2:7" x14ac:dyDescent="0.3">
      <c r="B336" s="12">
        <v>502219</v>
      </c>
      <c r="C336" s="3" t="s">
        <v>577</v>
      </c>
      <c r="D336" s="3" t="s">
        <v>9</v>
      </c>
      <c r="E336" s="3"/>
      <c r="F336" s="3" t="s">
        <v>14</v>
      </c>
      <c r="G336" s="4">
        <v>773.48</v>
      </c>
    </row>
    <row r="337" spans="2:7" x14ac:dyDescent="0.3">
      <c r="B337" s="12" t="s">
        <v>578</v>
      </c>
      <c r="C337" s="3" t="s">
        <v>579</v>
      </c>
      <c r="D337" s="3" t="s">
        <v>9</v>
      </c>
      <c r="E337" s="3"/>
      <c r="F337" s="3" t="s">
        <v>14</v>
      </c>
      <c r="G337" s="4">
        <v>769.41</v>
      </c>
    </row>
    <row r="338" spans="2:7" x14ac:dyDescent="0.3">
      <c r="B338" s="12">
        <v>6376</v>
      </c>
      <c r="C338" s="3" t="s">
        <v>580</v>
      </c>
      <c r="D338" s="3" t="s">
        <v>9</v>
      </c>
      <c r="E338" s="3"/>
      <c r="F338" s="3" t="s">
        <v>14</v>
      </c>
      <c r="G338" s="4">
        <v>764.84</v>
      </c>
    </row>
    <row r="339" spans="2:7" x14ac:dyDescent="0.3">
      <c r="B339" s="12">
        <v>506655</v>
      </c>
      <c r="C339" s="3" t="s">
        <v>581</v>
      </c>
      <c r="D339" s="3" t="s">
        <v>9</v>
      </c>
      <c r="E339" s="3"/>
      <c r="F339" s="3" t="s">
        <v>14</v>
      </c>
      <c r="G339" s="4">
        <v>756.89</v>
      </c>
    </row>
    <row r="340" spans="2:7" x14ac:dyDescent="0.3">
      <c r="B340" s="12">
        <v>4819</v>
      </c>
      <c r="C340" s="3" t="s">
        <v>582</v>
      </c>
      <c r="D340" s="3" t="s">
        <v>9</v>
      </c>
      <c r="E340" s="3"/>
      <c r="F340" s="3" t="s">
        <v>14</v>
      </c>
      <c r="G340" s="4">
        <v>755.7</v>
      </c>
    </row>
    <row r="341" spans="2:7" x14ac:dyDescent="0.3">
      <c r="B341" s="12" t="s">
        <v>583</v>
      </c>
      <c r="C341" s="3" t="s">
        <v>584</v>
      </c>
      <c r="D341" s="3" t="s">
        <v>9</v>
      </c>
      <c r="E341" s="3"/>
      <c r="F341" s="3" t="s">
        <v>14</v>
      </c>
      <c r="G341" s="4">
        <v>741.24</v>
      </c>
    </row>
    <row r="342" spans="2:7" x14ac:dyDescent="0.3">
      <c r="B342" s="12">
        <v>4633</v>
      </c>
      <c r="C342" s="3" t="s">
        <v>585</v>
      </c>
      <c r="D342" s="3" t="s">
        <v>9</v>
      </c>
      <c r="E342" s="3"/>
      <c r="F342" s="3" t="s">
        <v>14</v>
      </c>
      <c r="G342" s="4">
        <v>735.77</v>
      </c>
    </row>
    <row r="343" spans="2:7" x14ac:dyDescent="0.3">
      <c r="B343" s="12">
        <v>2767</v>
      </c>
      <c r="C343" s="3" t="s">
        <v>586</v>
      </c>
      <c r="D343" s="3" t="s">
        <v>9</v>
      </c>
      <c r="E343" s="3"/>
      <c r="F343" s="3" t="s">
        <v>14</v>
      </c>
      <c r="G343" s="4">
        <v>734.66</v>
      </c>
    </row>
    <row r="344" spans="2:7" x14ac:dyDescent="0.3">
      <c r="B344" s="12" t="s">
        <v>587</v>
      </c>
      <c r="C344" s="3" t="s">
        <v>588</v>
      </c>
      <c r="D344" s="3" t="s">
        <v>9</v>
      </c>
      <c r="E344" s="3"/>
      <c r="F344" s="3" t="s">
        <v>14</v>
      </c>
      <c r="G344" s="4">
        <v>724.83</v>
      </c>
    </row>
    <row r="345" spans="2:7" x14ac:dyDescent="0.3">
      <c r="B345" s="12">
        <v>6250</v>
      </c>
      <c r="C345" s="3" t="s">
        <v>589</v>
      </c>
      <c r="D345" s="3" t="s">
        <v>9</v>
      </c>
      <c r="E345" s="3"/>
      <c r="F345" s="3" t="s">
        <v>14</v>
      </c>
      <c r="G345" s="4">
        <v>724.16</v>
      </c>
    </row>
    <row r="346" spans="2:7" x14ac:dyDescent="0.3">
      <c r="B346" s="12" t="s">
        <v>590</v>
      </c>
      <c r="C346" s="3" t="s">
        <v>591</v>
      </c>
      <c r="D346" s="3" t="s">
        <v>9</v>
      </c>
      <c r="E346" s="3"/>
      <c r="F346" s="3" t="s">
        <v>14</v>
      </c>
      <c r="G346" s="4">
        <v>705.49</v>
      </c>
    </row>
    <row r="347" spans="2:7" x14ac:dyDescent="0.3">
      <c r="B347" s="12" t="s">
        <v>592</v>
      </c>
      <c r="C347" s="3" t="s">
        <v>593</v>
      </c>
      <c r="D347" s="3" t="s">
        <v>9</v>
      </c>
      <c r="E347" s="3" t="s">
        <v>10</v>
      </c>
      <c r="F347" s="3" t="s">
        <v>14</v>
      </c>
      <c r="G347" s="4">
        <v>676.16</v>
      </c>
    </row>
    <row r="348" spans="2:7" x14ac:dyDescent="0.3">
      <c r="B348" s="12">
        <v>7718</v>
      </c>
      <c r="C348" s="3" t="s">
        <v>594</v>
      </c>
      <c r="D348" s="3" t="s">
        <v>9</v>
      </c>
      <c r="E348" s="3"/>
      <c r="F348" s="3" t="s">
        <v>14</v>
      </c>
      <c r="G348" s="4">
        <v>674.86</v>
      </c>
    </row>
    <row r="349" spans="2:7" x14ac:dyDescent="0.3">
      <c r="B349" s="12">
        <v>3993</v>
      </c>
      <c r="C349" s="3" t="s">
        <v>595</v>
      </c>
      <c r="D349" s="3" t="s">
        <v>9</v>
      </c>
      <c r="E349" s="3"/>
      <c r="F349" s="3" t="s">
        <v>14</v>
      </c>
      <c r="G349" s="4">
        <v>667.69</v>
      </c>
    </row>
    <row r="350" spans="2:7" x14ac:dyDescent="0.3">
      <c r="B350" s="12">
        <v>8117</v>
      </c>
      <c r="C350" s="3" t="s">
        <v>596</v>
      </c>
      <c r="D350" s="3" t="s">
        <v>9</v>
      </c>
      <c r="E350" s="3"/>
      <c r="F350" s="3" t="s">
        <v>14</v>
      </c>
      <c r="G350" s="4">
        <v>666.36</v>
      </c>
    </row>
    <row r="351" spans="2:7" x14ac:dyDescent="0.3">
      <c r="B351" s="12" t="s">
        <v>597</v>
      </c>
      <c r="C351" s="3" t="s">
        <v>598</v>
      </c>
      <c r="D351" s="3" t="s">
        <v>9</v>
      </c>
      <c r="E351" s="3"/>
      <c r="F351" s="3" t="s">
        <v>14</v>
      </c>
      <c r="G351" s="4">
        <v>661.88</v>
      </c>
    </row>
    <row r="352" spans="2:7" x14ac:dyDescent="0.3">
      <c r="B352" s="12">
        <v>1975</v>
      </c>
      <c r="C352" s="3" t="s">
        <v>599</v>
      </c>
      <c r="D352" s="3" t="s">
        <v>9</v>
      </c>
      <c r="E352" s="3"/>
      <c r="F352" s="3" t="s">
        <v>14</v>
      </c>
      <c r="G352" s="4">
        <v>653.34</v>
      </c>
    </row>
    <row r="353" spans="2:7" x14ac:dyDescent="0.3">
      <c r="B353" s="12">
        <v>3465</v>
      </c>
      <c r="C353" s="3" t="s">
        <v>600</v>
      </c>
      <c r="D353" s="3" t="s">
        <v>9</v>
      </c>
      <c r="E353" s="3"/>
      <c r="F353" s="3" t="s">
        <v>14</v>
      </c>
      <c r="G353" s="4">
        <v>650.41999999999996</v>
      </c>
    </row>
    <row r="354" spans="2:7" x14ac:dyDescent="0.3">
      <c r="B354" s="12" t="s">
        <v>601</v>
      </c>
      <c r="C354" s="3" t="s">
        <v>602</v>
      </c>
      <c r="D354" s="3" t="s">
        <v>9</v>
      </c>
      <c r="E354" s="3"/>
      <c r="F354" s="3" t="s">
        <v>14</v>
      </c>
      <c r="G354" s="4">
        <v>646.38</v>
      </c>
    </row>
    <row r="355" spans="2:7" x14ac:dyDescent="0.3">
      <c r="B355" s="12" t="s">
        <v>603</v>
      </c>
      <c r="C355" s="3" t="s">
        <v>604</v>
      </c>
      <c r="D355" s="3" t="s">
        <v>9</v>
      </c>
      <c r="E355" s="3" t="s">
        <v>10</v>
      </c>
      <c r="F355" s="3" t="s">
        <v>14</v>
      </c>
      <c r="G355" s="4">
        <v>639.45000000000005</v>
      </c>
    </row>
    <row r="356" spans="2:7" x14ac:dyDescent="0.3">
      <c r="B356" s="12" t="s">
        <v>605</v>
      </c>
      <c r="C356" s="3" t="s">
        <v>606</v>
      </c>
      <c r="D356" s="3" t="s">
        <v>9</v>
      </c>
      <c r="E356" s="3"/>
      <c r="F356" s="3" t="s">
        <v>14</v>
      </c>
      <c r="G356" s="4">
        <v>639.29999999999995</v>
      </c>
    </row>
    <row r="357" spans="2:7" x14ac:dyDescent="0.3">
      <c r="B357" s="12" t="s">
        <v>607</v>
      </c>
      <c r="C357" s="3" t="s">
        <v>608</v>
      </c>
      <c r="D357" s="3" t="s">
        <v>9</v>
      </c>
      <c r="E357" s="3"/>
      <c r="F357" s="3" t="s">
        <v>14</v>
      </c>
      <c r="G357" s="4">
        <v>637.59</v>
      </c>
    </row>
    <row r="358" spans="2:7" x14ac:dyDescent="0.3">
      <c r="B358" s="12" t="s">
        <v>609</v>
      </c>
      <c r="C358" s="3" t="s">
        <v>610</v>
      </c>
      <c r="D358" s="3" t="s">
        <v>9</v>
      </c>
      <c r="E358" s="3"/>
      <c r="F358" s="3" t="s">
        <v>14</v>
      </c>
      <c r="G358" s="4">
        <v>623.99</v>
      </c>
    </row>
    <row r="359" spans="2:7" x14ac:dyDescent="0.3">
      <c r="B359" s="12">
        <v>4971</v>
      </c>
      <c r="C359" s="3" t="s">
        <v>611</v>
      </c>
      <c r="D359" s="3" t="s">
        <v>9</v>
      </c>
      <c r="E359" s="3"/>
      <c r="F359" s="3" t="s">
        <v>14</v>
      </c>
      <c r="G359" s="4">
        <v>623.41999999999996</v>
      </c>
    </row>
    <row r="360" spans="2:7" x14ac:dyDescent="0.3">
      <c r="B360" s="12">
        <v>3964</v>
      </c>
      <c r="C360" s="3" t="s">
        <v>612</v>
      </c>
      <c r="D360" s="3" t="s">
        <v>9</v>
      </c>
      <c r="E360" s="3"/>
      <c r="F360" s="3" t="s">
        <v>14</v>
      </c>
      <c r="G360" s="4">
        <v>615.89</v>
      </c>
    </row>
    <row r="361" spans="2:7" x14ac:dyDescent="0.3">
      <c r="B361" s="12" t="s">
        <v>613</v>
      </c>
      <c r="C361" s="3" t="s">
        <v>614</v>
      </c>
      <c r="D361" s="3" t="s">
        <v>9</v>
      </c>
      <c r="E361" s="3"/>
      <c r="F361" s="3" t="s">
        <v>14</v>
      </c>
      <c r="G361" s="4">
        <v>607.47</v>
      </c>
    </row>
    <row r="362" spans="2:7" x14ac:dyDescent="0.3">
      <c r="B362" s="12" t="s">
        <v>615</v>
      </c>
      <c r="C362" s="3" t="s">
        <v>616</v>
      </c>
      <c r="D362" s="3" t="s">
        <v>9</v>
      </c>
      <c r="E362" s="3"/>
      <c r="F362" s="3" t="s">
        <v>14</v>
      </c>
      <c r="G362" s="4">
        <v>605.29</v>
      </c>
    </row>
    <row r="363" spans="2:7" x14ac:dyDescent="0.3">
      <c r="B363" s="12">
        <v>4526</v>
      </c>
      <c r="C363" s="3" t="s">
        <v>617</v>
      </c>
      <c r="D363" s="3" t="s">
        <v>9</v>
      </c>
      <c r="E363" s="3"/>
      <c r="F363" s="3" t="s">
        <v>14</v>
      </c>
      <c r="G363" s="4">
        <v>589.71</v>
      </c>
    </row>
    <row r="364" spans="2:7" x14ac:dyDescent="0.3">
      <c r="B364" s="12" t="s">
        <v>618</v>
      </c>
      <c r="C364" s="3" t="s">
        <v>619</v>
      </c>
      <c r="D364" s="3" t="s">
        <v>9</v>
      </c>
      <c r="E364" s="3" t="s">
        <v>32</v>
      </c>
      <c r="F364" s="3" t="s">
        <v>14</v>
      </c>
      <c r="G364" s="4">
        <v>584.15</v>
      </c>
    </row>
    <row r="365" spans="2:7" x14ac:dyDescent="0.3">
      <c r="B365" s="12" t="s">
        <v>620</v>
      </c>
      <c r="C365" s="3" t="s">
        <v>621</v>
      </c>
      <c r="D365" s="3" t="s">
        <v>9</v>
      </c>
      <c r="E365" s="3"/>
      <c r="F365" s="3" t="s">
        <v>14</v>
      </c>
      <c r="G365" s="4">
        <v>575.79</v>
      </c>
    </row>
    <row r="366" spans="2:7" x14ac:dyDescent="0.3">
      <c r="B366" s="12">
        <v>5851</v>
      </c>
      <c r="C366" s="3" t="s">
        <v>622</v>
      </c>
      <c r="D366" s="3" t="s">
        <v>9</v>
      </c>
      <c r="E366" s="3"/>
      <c r="F366" s="3" t="s">
        <v>14</v>
      </c>
      <c r="G366" s="4">
        <v>567.29999999999995</v>
      </c>
    </row>
    <row r="367" spans="2:7" x14ac:dyDescent="0.3">
      <c r="B367" s="12" t="s">
        <v>623</v>
      </c>
      <c r="C367" s="3" t="s">
        <v>624</v>
      </c>
      <c r="D367" s="3" t="s">
        <v>9</v>
      </c>
      <c r="E367" s="3"/>
      <c r="F367" s="3" t="s">
        <v>14</v>
      </c>
      <c r="G367" s="4">
        <v>551.82000000000005</v>
      </c>
    </row>
    <row r="368" spans="2:7" x14ac:dyDescent="0.3">
      <c r="B368" s="12" t="s">
        <v>625</v>
      </c>
      <c r="C368" s="3" t="s">
        <v>626</v>
      </c>
      <c r="D368" s="3" t="s">
        <v>9</v>
      </c>
      <c r="E368" s="3"/>
      <c r="F368" s="3" t="s">
        <v>14</v>
      </c>
      <c r="G368" s="4">
        <v>549.91999999999996</v>
      </c>
    </row>
    <row r="369" spans="2:7" x14ac:dyDescent="0.3">
      <c r="B369" s="12">
        <v>8061</v>
      </c>
      <c r="C369" s="3" t="s">
        <v>627</v>
      </c>
      <c r="D369" s="3" t="s">
        <v>9</v>
      </c>
      <c r="E369" s="3"/>
      <c r="F369" s="3" t="s">
        <v>14</v>
      </c>
      <c r="G369" s="4">
        <v>547.46</v>
      </c>
    </row>
    <row r="370" spans="2:7" x14ac:dyDescent="0.3">
      <c r="B370" s="12">
        <v>5970</v>
      </c>
      <c r="C370" s="3" t="s">
        <v>628</v>
      </c>
      <c r="D370" s="3" t="s">
        <v>9</v>
      </c>
      <c r="E370" s="3"/>
      <c r="F370" s="3" t="s">
        <v>14</v>
      </c>
      <c r="G370" s="4">
        <v>547.04999999999995</v>
      </c>
    </row>
    <row r="371" spans="2:7" x14ac:dyDescent="0.3">
      <c r="B371" s="12">
        <v>5036</v>
      </c>
      <c r="C371" s="3" t="s">
        <v>629</v>
      </c>
      <c r="D371" s="3" t="s">
        <v>9</v>
      </c>
      <c r="E371" s="3"/>
      <c r="F371" s="3" t="s">
        <v>14</v>
      </c>
      <c r="G371" s="4">
        <v>545.41999999999996</v>
      </c>
    </row>
    <row r="372" spans="2:7" x14ac:dyDescent="0.3">
      <c r="B372" s="12">
        <v>4293</v>
      </c>
      <c r="C372" s="3" t="s">
        <v>630</v>
      </c>
      <c r="D372" s="3" t="s">
        <v>9</v>
      </c>
      <c r="E372" s="3"/>
      <c r="F372" s="3" t="s">
        <v>14</v>
      </c>
      <c r="G372" s="4">
        <v>545.34</v>
      </c>
    </row>
    <row r="373" spans="2:7" x14ac:dyDescent="0.3">
      <c r="B373" s="12" t="s">
        <v>631</v>
      </c>
      <c r="C373" s="3" t="s">
        <v>632</v>
      </c>
      <c r="D373" s="3" t="s">
        <v>9</v>
      </c>
      <c r="E373" s="3"/>
      <c r="F373" s="3" t="s">
        <v>14</v>
      </c>
      <c r="G373" s="4">
        <v>543.47</v>
      </c>
    </row>
    <row r="374" spans="2:7" x14ac:dyDescent="0.3">
      <c r="B374" s="12" t="s">
        <v>633</v>
      </c>
      <c r="C374" s="3" t="s">
        <v>634</v>
      </c>
      <c r="D374" s="3" t="s">
        <v>9</v>
      </c>
      <c r="E374" s="3" t="s">
        <v>10</v>
      </c>
      <c r="F374" s="3" t="s">
        <v>14</v>
      </c>
      <c r="G374" s="4">
        <v>542.30999999999995</v>
      </c>
    </row>
    <row r="375" spans="2:7" x14ac:dyDescent="0.3">
      <c r="B375" s="12" t="s">
        <v>635</v>
      </c>
      <c r="C375" s="3" t="s">
        <v>636</v>
      </c>
      <c r="D375" s="3" t="s">
        <v>9</v>
      </c>
      <c r="E375" s="3" t="s">
        <v>10</v>
      </c>
      <c r="F375" s="3" t="s">
        <v>14</v>
      </c>
      <c r="G375" s="4">
        <v>541.57000000000005</v>
      </c>
    </row>
    <row r="376" spans="2:7" x14ac:dyDescent="0.3">
      <c r="B376" s="12" t="s">
        <v>637</v>
      </c>
      <c r="C376" s="3" t="s">
        <v>638</v>
      </c>
      <c r="D376" s="3" t="s">
        <v>9</v>
      </c>
      <c r="E376" s="3"/>
      <c r="F376" s="3" t="s">
        <v>14</v>
      </c>
      <c r="G376" s="4">
        <v>537.94000000000005</v>
      </c>
    </row>
    <row r="377" spans="2:7" x14ac:dyDescent="0.3">
      <c r="B377" s="12" t="s">
        <v>760</v>
      </c>
      <c r="C377" s="3" t="s">
        <v>639</v>
      </c>
      <c r="D377" s="3" t="s">
        <v>9</v>
      </c>
      <c r="E377" s="3"/>
      <c r="F377" s="3" t="s">
        <v>14</v>
      </c>
      <c r="G377" s="4">
        <v>527.32000000000005</v>
      </c>
    </row>
    <row r="378" spans="2:7" x14ac:dyDescent="0.3">
      <c r="B378" s="12" t="s">
        <v>640</v>
      </c>
      <c r="C378" s="3" t="s">
        <v>641</v>
      </c>
      <c r="D378" s="3" t="s">
        <v>9</v>
      </c>
      <c r="E378" s="3" t="s">
        <v>10</v>
      </c>
      <c r="F378" s="3" t="s">
        <v>14</v>
      </c>
      <c r="G378" s="4">
        <v>517.24</v>
      </c>
    </row>
    <row r="379" spans="2:7" x14ac:dyDescent="0.3">
      <c r="B379" s="12" t="s">
        <v>642</v>
      </c>
      <c r="C379" s="3" t="s">
        <v>643</v>
      </c>
      <c r="D379" s="3" t="s">
        <v>9</v>
      </c>
      <c r="E379" s="3"/>
      <c r="F379" s="3" t="s">
        <v>14</v>
      </c>
      <c r="G379" s="4">
        <v>514.73</v>
      </c>
    </row>
    <row r="380" spans="2:7" x14ac:dyDescent="0.3">
      <c r="B380" s="12">
        <v>6524</v>
      </c>
      <c r="C380" s="3" t="s">
        <v>644</v>
      </c>
      <c r="D380" s="3" t="s">
        <v>9</v>
      </c>
      <c r="E380" s="3"/>
      <c r="F380" s="3" t="s">
        <v>14</v>
      </c>
      <c r="G380" s="4">
        <v>512.05999999999995</v>
      </c>
    </row>
    <row r="381" spans="2:7" x14ac:dyDescent="0.3">
      <c r="B381" s="12">
        <v>9729</v>
      </c>
      <c r="C381" s="3" t="s">
        <v>645</v>
      </c>
      <c r="D381" s="3" t="s">
        <v>9</v>
      </c>
      <c r="E381" s="3"/>
      <c r="F381" s="3" t="s">
        <v>14</v>
      </c>
      <c r="G381" s="4">
        <v>509.59</v>
      </c>
    </row>
    <row r="382" spans="2:7" x14ac:dyDescent="0.3">
      <c r="B382" s="12">
        <v>520051</v>
      </c>
      <c r="C382" s="3" t="s">
        <v>646</v>
      </c>
      <c r="D382" s="3" t="s">
        <v>9</v>
      </c>
      <c r="E382" s="3"/>
      <c r="F382" s="3" t="s">
        <v>14</v>
      </c>
      <c r="G382" s="4">
        <v>507.28</v>
      </c>
    </row>
    <row r="383" spans="2:7" x14ac:dyDescent="0.3">
      <c r="B383" s="12" t="s">
        <v>647</v>
      </c>
      <c r="C383" s="3" t="s">
        <v>648</v>
      </c>
      <c r="D383" s="3" t="s">
        <v>9</v>
      </c>
      <c r="E383" s="3"/>
      <c r="F383" s="3" t="s">
        <v>14</v>
      </c>
      <c r="G383" s="4">
        <v>500.72</v>
      </c>
    </row>
    <row r="384" spans="2:7" x14ac:dyDescent="0.3">
      <c r="B384" s="12">
        <v>6287</v>
      </c>
      <c r="C384" s="3" t="s">
        <v>649</v>
      </c>
      <c r="D384" s="3" t="s">
        <v>9</v>
      </c>
      <c r="E384" s="3"/>
      <c r="F384" s="3" t="s">
        <v>14</v>
      </c>
      <c r="G384" s="4">
        <v>500.25</v>
      </c>
    </row>
  </sheetData>
  <autoFilter ref="B3:G384" xr:uid="{00000000-0009-0000-0000-000000000000}">
    <sortState xmlns:xlrd2="http://schemas.microsoft.com/office/spreadsheetml/2017/richdata2" ref="B4:G384">
      <sortCondition descending="1" ref="G3:G384"/>
    </sortState>
  </autoFilter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2:AA241"/>
  <sheetViews>
    <sheetView topLeftCell="O1" workbookViewId="0">
      <selection activeCell="U10" sqref="U10"/>
    </sheetView>
  </sheetViews>
  <sheetFormatPr defaultRowHeight="16.5" x14ac:dyDescent="0.3"/>
  <cols>
    <col min="1" max="1" width="3" customWidth="1"/>
    <col min="2" max="2" width="12" style="15" customWidth="1"/>
    <col min="3" max="3" width="14" customWidth="1"/>
    <col min="4" max="4" width="22" customWidth="1"/>
    <col min="5" max="6" width="12" customWidth="1"/>
    <col min="7" max="23" width="9" customWidth="1"/>
    <col min="24" max="27" width="10" customWidth="1"/>
  </cols>
  <sheetData>
    <row r="2" spans="2:27" x14ac:dyDescent="0.3">
      <c r="B2" s="14" t="s">
        <v>1</v>
      </c>
      <c r="C2" s="14" t="s">
        <v>650</v>
      </c>
      <c r="D2" s="14" t="s">
        <v>651</v>
      </c>
      <c r="E2" s="14" t="s">
        <v>652</v>
      </c>
      <c r="F2" s="14" t="s">
        <v>653</v>
      </c>
      <c r="G2" s="14" t="s">
        <v>654</v>
      </c>
      <c r="H2" s="14" t="s">
        <v>655</v>
      </c>
      <c r="I2" s="14" t="s">
        <v>656</v>
      </c>
      <c r="J2" s="14" t="s">
        <v>657</v>
      </c>
      <c r="K2" s="14" t="s">
        <v>658</v>
      </c>
      <c r="L2" s="14" t="s">
        <v>659</v>
      </c>
      <c r="M2" s="14" t="s">
        <v>660</v>
      </c>
      <c r="N2" s="14" t="s">
        <v>661</v>
      </c>
      <c r="O2" s="14" t="s">
        <v>662</v>
      </c>
      <c r="P2" s="14" t="s">
        <v>663</v>
      </c>
      <c r="Q2" s="14" t="s">
        <v>664</v>
      </c>
      <c r="R2" s="14" t="s">
        <v>665</v>
      </c>
      <c r="S2" s="14" t="s">
        <v>666</v>
      </c>
      <c r="T2" s="14" t="s">
        <v>667</v>
      </c>
      <c r="U2" s="14" t="s">
        <v>668</v>
      </c>
      <c r="V2" s="14" t="s">
        <v>669</v>
      </c>
      <c r="W2" s="14" t="s">
        <v>670</v>
      </c>
      <c r="X2" s="14" t="s">
        <v>667</v>
      </c>
      <c r="Y2" s="14" t="s">
        <v>668</v>
      </c>
      <c r="Z2" s="14" t="s">
        <v>669</v>
      </c>
      <c r="AA2" s="14" t="s">
        <v>670</v>
      </c>
    </row>
    <row r="3" spans="2:27" hidden="1" x14ac:dyDescent="0.3">
      <c r="B3" s="3">
        <v>1347</v>
      </c>
      <c r="C3" s="3" t="s">
        <v>750</v>
      </c>
      <c r="D3" s="3" t="s">
        <v>738</v>
      </c>
      <c r="E3" s="3" t="s">
        <v>743</v>
      </c>
      <c r="F3" s="5">
        <v>5</v>
      </c>
      <c r="G3" s="4">
        <v>451.48</v>
      </c>
      <c r="H3" s="4">
        <v>528.32000000000005</v>
      </c>
      <c r="I3" s="4">
        <v>594.65</v>
      </c>
      <c r="J3" s="4">
        <v>620.82000000000005</v>
      </c>
      <c r="K3" s="4">
        <v>629.91</v>
      </c>
      <c r="L3" s="4">
        <v>630.11</v>
      </c>
      <c r="M3" s="4">
        <v>630.84</v>
      </c>
      <c r="N3" s="4">
        <v>631.38</v>
      </c>
      <c r="O3" s="4">
        <v>568.53</v>
      </c>
      <c r="P3" s="4">
        <v>455.36</v>
      </c>
      <c r="Q3" s="4">
        <v>459.99</v>
      </c>
      <c r="R3" s="4">
        <v>478.52</v>
      </c>
      <c r="S3" s="4">
        <v>526.30999999999995</v>
      </c>
      <c r="T3" s="4">
        <v>539.17999999999995</v>
      </c>
      <c r="U3" s="4">
        <v>540.94000000000005</v>
      </c>
      <c r="V3" s="4">
        <v>566.07000000000005</v>
      </c>
      <c r="W3" s="4">
        <v>635.17999999999995</v>
      </c>
      <c r="X3" s="9">
        <v>4.3652157610224229E-2</v>
      </c>
      <c r="Y3" s="10">
        <v>4.0394211576846313E-2</v>
      </c>
      <c r="Z3" s="10">
        <v>4.1991414662222233E-2</v>
      </c>
      <c r="AA3" s="10">
        <v>5.011277330264674E-2</v>
      </c>
    </row>
    <row r="4" spans="2:27" x14ac:dyDescent="0.3">
      <c r="B4" s="12" t="s">
        <v>84</v>
      </c>
      <c r="C4" s="3" t="s">
        <v>671</v>
      </c>
      <c r="D4" s="3" t="s">
        <v>672</v>
      </c>
      <c r="E4" s="3" t="s">
        <v>673</v>
      </c>
      <c r="F4" s="13">
        <v>55.1</v>
      </c>
      <c r="G4" s="4">
        <v>1470</v>
      </c>
      <c r="H4" s="4">
        <v>1288</v>
      </c>
      <c r="I4" s="4">
        <v>2161</v>
      </c>
      <c r="J4" s="4">
        <v>2201</v>
      </c>
      <c r="K4" s="6">
        <v>2261</v>
      </c>
      <c r="L4" s="6">
        <v>2107</v>
      </c>
      <c r="M4" s="4">
        <v>2039</v>
      </c>
      <c r="N4" s="4">
        <v>2095</v>
      </c>
      <c r="O4" s="4">
        <v>0</v>
      </c>
      <c r="P4" s="4">
        <v>11.3</v>
      </c>
      <c r="Q4" s="4">
        <v>12.08</v>
      </c>
      <c r="R4" s="4">
        <v>32.1</v>
      </c>
      <c r="S4" s="6">
        <v>37.9</v>
      </c>
      <c r="T4" s="6">
        <v>55.3</v>
      </c>
      <c r="U4" s="6">
        <v>105.1</v>
      </c>
      <c r="V4" s="6">
        <v>146.1</v>
      </c>
      <c r="W4" s="6">
        <v>227.7</v>
      </c>
      <c r="X4" s="7">
        <v>0.4711929749411008</v>
      </c>
      <c r="Y4" s="8">
        <v>0.67710001455815982</v>
      </c>
      <c r="Z4" s="8">
        <v>0.49479166666666669</v>
      </c>
      <c r="AA4" s="8">
        <v>0.55110336817653871</v>
      </c>
    </row>
    <row r="5" spans="2:27" x14ac:dyDescent="0.3">
      <c r="B5" s="12" t="s">
        <v>363</v>
      </c>
      <c r="C5" s="3" t="s">
        <v>671</v>
      </c>
      <c r="D5" s="3" t="s">
        <v>698</v>
      </c>
      <c r="E5" s="3" t="s">
        <v>673</v>
      </c>
      <c r="F5" s="13">
        <v>33.6</v>
      </c>
      <c r="G5" s="4">
        <v>87.49</v>
      </c>
      <c r="H5" s="4">
        <v>90.44</v>
      </c>
      <c r="I5" s="4">
        <v>89.18</v>
      </c>
      <c r="J5" s="4">
        <v>76.58</v>
      </c>
      <c r="K5" s="4">
        <v>77.14</v>
      </c>
      <c r="L5" s="4">
        <v>72.59</v>
      </c>
      <c r="M5" s="4">
        <v>93.82</v>
      </c>
      <c r="N5" s="4">
        <v>87.3</v>
      </c>
      <c r="O5" s="6">
        <v>114.85</v>
      </c>
      <c r="P5" s="6">
        <v>119.51</v>
      </c>
      <c r="Q5" s="4">
        <v>99.23</v>
      </c>
      <c r="R5" s="4">
        <v>62.03</v>
      </c>
      <c r="S5" s="4">
        <v>69.02</v>
      </c>
      <c r="T5" s="4">
        <v>70.13</v>
      </c>
      <c r="U5" s="6">
        <v>155.58000000000001</v>
      </c>
      <c r="V5" s="6">
        <v>169.71</v>
      </c>
      <c r="W5" s="6">
        <v>224.84</v>
      </c>
      <c r="X5" s="9">
        <v>-0.14117041653563581</v>
      </c>
      <c r="Y5" s="8">
        <v>0.1875769781298893</v>
      </c>
      <c r="Z5" s="8">
        <v>0.30182755914340159</v>
      </c>
      <c r="AA5" s="8">
        <v>0.33550081818964772</v>
      </c>
    </row>
    <row r="6" spans="2:27" x14ac:dyDescent="0.3">
      <c r="B6" s="12" t="s">
        <v>147</v>
      </c>
      <c r="C6" s="3" t="s">
        <v>671</v>
      </c>
      <c r="D6" s="3" t="s">
        <v>674</v>
      </c>
      <c r="E6" s="3" t="s">
        <v>673</v>
      </c>
      <c r="F6" s="13">
        <v>30.8</v>
      </c>
      <c r="G6" s="4">
        <v>575</v>
      </c>
      <c r="H6" s="4">
        <v>739</v>
      </c>
      <c r="I6" s="4">
        <v>843</v>
      </c>
      <c r="J6" s="4">
        <v>836</v>
      </c>
      <c r="K6" s="4">
        <v>853</v>
      </c>
      <c r="L6" s="4">
        <v>951</v>
      </c>
      <c r="M6" s="4">
        <v>921</v>
      </c>
      <c r="N6" s="4">
        <v>868</v>
      </c>
      <c r="O6" s="4">
        <v>869</v>
      </c>
      <c r="P6" s="4">
        <v>912</v>
      </c>
      <c r="Q6" s="4">
        <v>861</v>
      </c>
      <c r="R6" s="4">
        <v>762</v>
      </c>
      <c r="S6" s="4">
        <v>761</v>
      </c>
      <c r="T6" s="4">
        <v>832</v>
      </c>
      <c r="U6" s="4">
        <v>863</v>
      </c>
      <c r="V6" s="4">
        <v>883</v>
      </c>
      <c r="W6" s="6">
        <v>1789</v>
      </c>
      <c r="X6" s="9">
        <v>-2.4271844660194161E-2</v>
      </c>
      <c r="Y6" s="10">
        <v>6.2189054726369264E-4</v>
      </c>
      <c r="Z6" s="10">
        <v>3.7600994406463688E-2</v>
      </c>
      <c r="AA6" s="8">
        <v>0.30787660976340231</v>
      </c>
    </row>
    <row r="7" spans="2:27" x14ac:dyDescent="0.3">
      <c r="B7" s="12" t="s">
        <v>422</v>
      </c>
      <c r="C7" s="3" t="s">
        <v>671</v>
      </c>
      <c r="D7" s="3" t="s">
        <v>714</v>
      </c>
      <c r="E7" s="3" t="s">
        <v>673</v>
      </c>
      <c r="F7" s="13">
        <v>21.4</v>
      </c>
      <c r="G7" s="4">
        <v>10.94</v>
      </c>
      <c r="H7" s="4">
        <v>11.61</v>
      </c>
      <c r="I7" s="4">
        <v>10.31</v>
      </c>
      <c r="J7" s="4">
        <v>10.59</v>
      </c>
      <c r="K7" s="4">
        <v>0</v>
      </c>
      <c r="L7" s="4">
        <v>9.75</v>
      </c>
      <c r="M7" s="4">
        <v>9.74</v>
      </c>
      <c r="N7" s="4">
        <v>8.7100000000000009</v>
      </c>
      <c r="O7" s="6">
        <v>8.49</v>
      </c>
      <c r="P7" s="4">
        <v>5.14</v>
      </c>
      <c r="Q7" s="4">
        <v>5.07</v>
      </c>
      <c r="R7" s="4">
        <v>5.04</v>
      </c>
      <c r="S7" s="4">
        <v>4.74</v>
      </c>
      <c r="T7" s="4">
        <v>4.62</v>
      </c>
      <c r="U7" s="4">
        <v>3.12</v>
      </c>
      <c r="V7" s="4">
        <v>2.4900000000000002</v>
      </c>
      <c r="W7" s="6">
        <v>7.95</v>
      </c>
      <c r="X7" s="9">
        <v>-2.6013006503251779E-2</v>
      </c>
      <c r="Y7" s="10">
        <v>-0.10015408320493061</v>
      </c>
      <c r="Z7" s="10">
        <v>-0.1455479452054794</v>
      </c>
      <c r="AA7" s="8">
        <v>0.21442885771543069</v>
      </c>
    </row>
    <row r="8" spans="2:27" x14ac:dyDescent="0.3">
      <c r="B8" s="12" t="s">
        <v>453</v>
      </c>
      <c r="C8" s="3" t="s">
        <v>671</v>
      </c>
      <c r="D8" s="3" t="s">
        <v>675</v>
      </c>
      <c r="E8" s="3" t="s">
        <v>673</v>
      </c>
      <c r="F8" s="13">
        <v>20.6</v>
      </c>
      <c r="G8" s="4">
        <v>0</v>
      </c>
      <c r="H8" s="4">
        <v>0.83</v>
      </c>
      <c r="I8" s="4">
        <v>5.58</v>
      </c>
      <c r="J8" s="4">
        <v>3.52</v>
      </c>
      <c r="K8" s="6">
        <v>4.3099999999999996</v>
      </c>
      <c r="L8" s="6">
        <v>5.61</v>
      </c>
      <c r="M8" s="4">
        <v>6.71</v>
      </c>
      <c r="N8" s="6">
        <v>7.4</v>
      </c>
      <c r="O8" s="6">
        <v>7.1</v>
      </c>
      <c r="P8" s="4">
        <v>8.19</v>
      </c>
      <c r="Q8" s="4">
        <v>8.6199999999999992</v>
      </c>
      <c r="R8" s="4">
        <v>8.9600000000000009</v>
      </c>
      <c r="S8" s="6">
        <v>10.73</v>
      </c>
      <c r="T8" s="4">
        <v>8.73</v>
      </c>
      <c r="U8" s="6">
        <v>12.46</v>
      </c>
      <c r="V8" s="4">
        <v>12.88</v>
      </c>
      <c r="W8" s="6">
        <v>19.97</v>
      </c>
      <c r="X8" s="9">
        <v>1.479452054794517E-2</v>
      </c>
      <c r="Y8" s="8">
        <v>0.1036717062634991</v>
      </c>
      <c r="Z8" s="10">
        <v>9.5890410958904049E-2</v>
      </c>
      <c r="AA8" s="8">
        <v>0.20624999999999979</v>
      </c>
    </row>
    <row r="9" spans="2:27" x14ac:dyDescent="0.3">
      <c r="B9" s="12" t="s">
        <v>225</v>
      </c>
      <c r="C9" s="3" t="s">
        <v>671</v>
      </c>
      <c r="D9" s="3" t="s">
        <v>676</v>
      </c>
      <c r="E9" s="3" t="s">
        <v>673</v>
      </c>
      <c r="F9" s="13">
        <v>18.100000000000001</v>
      </c>
      <c r="G9" s="4">
        <v>1938</v>
      </c>
      <c r="H9" s="4">
        <v>1607</v>
      </c>
      <c r="I9" s="4">
        <v>1740</v>
      </c>
      <c r="J9" s="4">
        <v>1770</v>
      </c>
      <c r="K9" s="4">
        <v>1626</v>
      </c>
      <c r="L9" s="4">
        <v>1568</v>
      </c>
      <c r="M9" s="4">
        <v>1420</v>
      </c>
      <c r="N9" s="4">
        <v>1477</v>
      </c>
      <c r="O9" s="4">
        <v>1429</v>
      </c>
      <c r="P9" s="4">
        <v>1421</v>
      </c>
      <c r="Q9" s="4">
        <v>1414</v>
      </c>
      <c r="R9" s="4">
        <v>588</v>
      </c>
      <c r="S9" s="4">
        <v>816</v>
      </c>
      <c r="T9" s="4">
        <v>1646</v>
      </c>
      <c r="U9" s="4">
        <v>1693</v>
      </c>
      <c r="V9" s="6">
        <v>1779</v>
      </c>
      <c r="W9" s="6">
        <v>1889</v>
      </c>
      <c r="X9" s="9">
        <v>5.3078556263269627E-2</v>
      </c>
      <c r="Y9" s="10">
        <v>6.25E-2</v>
      </c>
      <c r="Z9" s="8">
        <v>0.25110689437065159</v>
      </c>
      <c r="AA9" s="8">
        <v>0.18082237950792049</v>
      </c>
    </row>
    <row r="10" spans="2:27" x14ac:dyDescent="0.3">
      <c r="B10" s="12" t="s">
        <v>633</v>
      </c>
      <c r="C10" s="3" t="s">
        <v>671</v>
      </c>
      <c r="D10" s="3" t="s">
        <v>740</v>
      </c>
      <c r="E10" s="3" t="s">
        <v>673</v>
      </c>
      <c r="F10" s="13">
        <v>16.3</v>
      </c>
      <c r="G10" s="4">
        <v>4.16</v>
      </c>
      <c r="H10" s="4">
        <v>1.25</v>
      </c>
      <c r="I10" s="4">
        <v>4.29</v>
      </c>
      <c r="J10" s="4">
        <v>4.3099999999999996</v>
      </c>
      <c r="K10" s="6">
        <v>6.43</v>
      </c>
      <c r="L10" s="6">
        <v>8.56</v>
      </c>
      <c r="M10" s="6">
        <v>8.4700000000000006</v>
      </c>
      <c r="N10" s="6">
        <v>10.6</v>
      </c>
      <c r="O10" s="6">
        <v>16.43</v>
      </c>
      <c r="P10" s="4">
        <v>12.09</v>
      </c>
      <c r="Q10" s="4">
        <v>10.7</v>
      </c>
      <c r="R10" s="4">
        <v>10.27</v>
      </c>
      <c r="S10" s="4">
        <v>11.56</v>
      </c>
      <c r="T10" s="4">
        <v>11.17</v>
      </c>
      <c r="U10" s="4">
        <v>15.02</v>
      </c>
      <c r="V10" s="6">
        <v>17.13</v>
      </c>
      <c r="W10" s="6">
        <v>20.51</v>
      </c>
      <c r="X10" s="9">
        <v>-2.0618556701030851E-2</v>
      </c>
      <c r="Y10" s="10">
        <v>9.8855835240274414E-2</v>
      </c>
      <c r="Z10" s="8">
        <v>0.14285714285714279</v>
      </c>
      <c r="AA10" s="8">
        <v>0.16308309037900881</v>
      </c>
    </row>
    <row r="11" spans="2:27" x14ac:dyDescent="0.3">
      <c r="B11" s="12" t="s">
        <v>64</v>
      </c>
      <c r="C11" s="3" t="s">
        <v>671</v>
      </c>
      <c r="D11" s="3" t="s">
        <v>675</v>
      </c>
      <c r="E11" s="3" t="s">
        <v>673</v>
      </c>
      <c r="F11" s="13">
        <v>15.7</v>
      </c>
      <c r="G11" s="4">
        <v>258.54000000000002</v>
      </c>
      <c r="H11" s="4">
        <v>213.26</v>
      </c>
      <c r="I11" s="4">
        <v>224.82</v>
      </c>
      <c r="J11" s="4">
        <v>264.31</v>
      </c>
      <c r="K11" s="4">
        <v>335.04</v>
      </c>
      <c r="L11" s="6">
        <v>319.29000000000002</v>
      </c>
      <c r="M11" s="4">
        <v>318.75</v>
      </c>
      <c r="N11" s="6">
        <v>750.53</v>
      </c>
      <c r="O11" s="4">
        <v>439.72</v>
      </c>
      <c r="P11" s="4">
        <v>494.33</v>
      </c>
      <c r="Q11" s="6">
        <v>659.83</v>
      </c>
      <c r="R11" s="4">
        <v>500.92</v>
      </c>
      <c r="S11" s="4">
        <v>593.16999999999996</v>
      </c>
      <c r="T11" s="4">
        <v>594.19000000000005</v>
      </c>
      <c r="U11" s="4">
        <v>773.69</v>
      </c>
      <c r="V11" s="6">
        <v>1249</v>
      </c>
      <c r="W11" s="6">
        <v>1097</v>
      </c>
      <c r="X11" s="9">
        <v>4.4416768597798313E-2</v>
      </c>
      <c r="Y11" s="10">
        <v>4.849006222025376E-2</v>
      </c>
      <c r="Z11" s="8">
        <v>0.30385423055520572</v>
      </c>
      <c r="AA11" s="8">
        <v>0.15695394152739059</v>
      </c>
    </row>
    <row r="12" spans="2:27" x14ac:dyDescent="0.3">
      <c r="B12" s="12" t="s">
        <v>33</v>
      </c>
      <c r="C12" s="3" t="s">
        <v>671</v>
      </c>
      <c r="D12" s="3" t="s">
        <v>678</v>
      </c>
      <c r="E12" s="3" t="s">
        <v>673</v>
      </c>
      <c r="F12" s="13">
        <v>12.7</v>
      </c>
      <c r="G12" s="4">
        <v>951.53</v>
      </c>
      <c r="H12" s="4">
        <v>1326</v>
      </c>
      <c r="I12" s="4">
        <v>1581</v>
      </c>
      <c r="J12" s="4">
        <v>1450</v>
      </c>
      <c r="K12" s="4">
        <v>1385</v>
      </c>
      <c r="L12" s="4">
        <v>1510</v>
      </c>
      <c r="M12" s="4">
        <v>1718</v>
      </c>
      <c r="N12" s="4">
        <v>1642</v>
      </c>
      <c r="O12" s="4">
        <v>1757</v>
      </c>
      <c r="P12" s="4">
        <v>1830</v>
      </c>
      <c r="Q12" s="4">
        <v>2077</v>
      </c>
      <c r="R12" s="4">
        <v>2156</v>
      </c>
      <c r="S12" s="4">
        <v>2224</v>
      </c>
      <c r="T12" s="4">
        <v>2468</v>
      </c>
      <c r="U12" s="4">
        <v>2816</v>
      </c>
      <c r="V12" s="4">
        <v>3060</v>
      </c>
      <c r="W12" s="6">
        <v>3564</v>
      </c>
      <c r="X12" s="9">
        <v>7.6988053577893067E-2</v>
      </c>
      <c r="Y12" s="10">
        <v>8.2801120448179333E-2</v>
      </c>
      <c r="Z12" s="10">
        <v>9.35430463576159E-2</v>
      </c>
      <c r="AA12" s="8">
        <v>0.12679788039364109</v>
      </c>
    </row>
    <row r="13" spans="2:27" hidden="1" x14ac:dyDescent="0.3">
      <c r="B13" s="3">
        <v>2212</v>
      </c>
      <c r="C13" s="3" t="s">
        <v>737</v>
      </c>
      <c r="D13" s="3" t="s">
        <v>738</v>
      </c>
      <c r="E13" s="3" t="s">
        <v>743</v>
      </c>
      <c r="F13" s="5">
        <v>1.2</v>
      </c>
      <c r="G13" s="4">
        <v>249845</v>
      </c>
      <c r="H13" s="4">
        <v>290917</v>
      </c>
      <c r="I13" s="4">
        <v>259727</v>
      </c>
      <c r="J13" s="4">
        <v>268525</v>
      </c>
      <c r="K13" s="4">
        <v>263876</v>
      </c>
      <c r="L13" s="4">
        <v>284881</v>
      </c>
      <c r="M13" s="4">
        <v>276839</v>
      </c>
      <c r="N13" s="4">
        <v>287105</v>
      </c>
      <c r="O13" s="4">
        <v>282281</v>
      </c>
      <c r="P13" s="4">
        <v>329337</v>
      </c>
      <c r="Q13" s="4">
        <v>306658</v>
      </c>
      <c r="R13" s="4">
        <v>311089</v>
      </c>
      <c r="S13" s="4">
        <v>301846</v>
      </c>
      <c r="T13" s="4">
        <v>324895</v>
      </c>
      <c r="U13" s="4">
        <v>318735</v>
      </c>
      <c r="V13" s="4">
        <v>331898</v>
      </c>
      <c r="W13" s="4">
        <v>317467</v>
      </c>
      <c r="X13" s="9">
        <v>-3.556644487681448E-3</v>
      </c>
      <c r="Y13" s="10">
        <v>9.7043924891200284E-3</v>
      </c>
      <c r="Z13" s="10">
        <v>1.6560225694651761E-2</v>
      </c>
      <c r="AA13" s="10">
        <v>1.222899479713857E-2</v>
      </c>
    </row>
    <row r="14" spans="2:27" x14ac:dyDescent="0.3">
      <c r="B14" s="12" t="s">
        <v>282</v>
      </c>
      <c r="C14" s="3" t="s">
        <v>671</v>
      </c>
      <c r="D14" s="3" t="s">
        <v>677</v>
      </c>
      <c r="E14" s="3" t="s">
        <v>673</v>
      </c>
      <c r="F14" s="13">
        <v>12.7</v>
      </c>
      <c r="G14" s="4">
        <v>340.19</v>
      </c>
      <c r="H14" s="4">
        <v>539.5</v>
      </c>
      <c r="I14" s="4">
        <v>611.61</v>
      </c>
      <c r="J14" s="4">
        <v>533.61</v>
      </c>
      <c r="K14" s="6">
        <v>612.15</v>
      </c>
      <c r="L14" s="4">
        <v>680.88</v>
      </c>
      <c r="M14" s="4">
        <v>657.96</v>
      </c>
      <c r="N14" s="4">
        <v>564.52</v>
      </c>
      <c r="O14" s="4">
        <v>624.46</v>
      </c>
      <c r="P14" s="4">
        <v>546.69000000000005</v>
      </c>
      <c r="Q14" s="4">
        <v>490.72</v>
      </c>
      <c r="R14" s="4">
        <v>553.42999999999995</v>
      </c>
      <c r="S14" s="4">
        <v>573.16999999999996</v>
      </c>
      <c r="T14" s="6">
        <v>1017</v>
      </c>
      <c r="U14" s="6">
        <v>1102</v>
      </c>
      <c r="V14" s="6">
        <v>1003</v>
      </c>
      <c r="W14" s="6">
        <v>1042</v>
      </c>
      <c r="X14" s="7">
        <v>0.2173326370950224</v>
      </c>
      <c r="Y14" s="8">
        <v>0.23204470223814891</v>
      </c>
      <c r="Z14" s="8">
        <v>0.13851676115356179</v>
      </c>
      <c r="AA14" s="8">
        <v>0.1268764359961787</v>
      </c>
    </row>
    <row r="15" spans="2:27" x14ac:dyDescent="0.3">
      <c r="B15" s="12" t="s">
        <v>210</v>
      </c>
      <c r="C15" s="3" t="s">
        <v>671</v>
      </c>
      <c r="D15" s="3" t="s">
        <v>679</v>
      </c>
      <c r="E15" s="3" t="s">
        <v>673</v>
      </c>
      <c r="F15" s="13">
        <v>11.2</v>
      </c>
      <c r="G15" s="4">
        <v>49.74</v>
      </c>
      <c r="H15" s="4">
        <v>46.48</v>
      </c>
      <c r="I15" s="4">
        <v>47.55</v>
      </c>
      <c r="J15" s="4">
        <v>50.29</v>
      </c>
      <c r="K15" s="4">
        <v>51.81</v>
      </c>
      <c r="L15" s="4">
        <v>50.61</v>
      </c>
      <c r="M15" s="4">
        <v>51.55</v>
      </c>
      <c r="N15" s="4">
        <v>55.88</v>
      </c>
      <c r="O15" s="4">
        <v>59.73</v>
      </c>
      <c r="P15" s="4">
        <v>63.07</v>
      </c>
      <c r="Q15" s="4">
        <v>68.89</v>
      </c>
      <c r="R15" s="4">
        <v>77.38</v>
      </c>
      <c r="S15" s="6">
        <v>86.94</v>
      </c>
      <c r="T15" s="6">
        <v>96.62</v>
      </c>
      <c r="U15" s="6">
        <v>112.47</v>
      </c>
      <c r="V15" s="6">
        <v>132.44</v>
      </c>
      <c r="W15" s="6">
        <v>134.86000000000001</v>
      </c>
      <c r="X15" s="7">
        <v>0.1132374780612935</v>
      </c>
      <c r="Y15" s="8">
        <v>0.13212867234636019</v>
      </c>
      <c r="Z15" s="8">
        <v>0.1474518625639378</v>
      </c>
      <c r="AA15" s="8">
        <v>0.1118398020864937</v>
      </c>
    </row>
    <row r="16" spans="2:27" x14ac:dyDescent="0.3">
      <c r="B16" s="12" t="s">
        <v>123</v>
      </c>
      <c r="C16" s="3" t="s">
        <v>671</v>
      </c>
      <c r="D16" s="3" t="s">
        <v>680</v>
      </c>
      <c r="E16" s="3" t="s">
        <v>673</v>
      </c>
      <c r="F16" s="13">
        <v>10.9</v>
      </c>
      <c r="G16" s="4">
        <v>473.33</v>
      </c>
      <c r="H16" s="4">
        <v>417.21</v>
      </c>
      <c r="I16" s="4">
        <v>466.19</v>
      </c>
      <c r="J16" s="4">
        <v>501.94</v>
      </c>
      <c r="K16" s="6">
        <v>855.13</v>
      </c>
      <c r="L16" s="6">
        <v>769.65</v>
      </c>
      <c r="M16" s="6">
        <v>874.93</v>
      </c>
      <c r="N16" s="4">
        <v>789.96</v>
      </c>
      <c r="O16" s="6">
        <v>1231</v>
      </c>
      <c r="P16" s="6">
        <v>1175</v>
      </c>
      <c r="Q16" s="4">
        <v>1104</v>
      </c>
      <c r="R16" s="4">
        <v>1095</v>
      </c>
      <c r="S16" s="4">
        <v>1393</v>
      </c>
      <c r="T16" s="4">
        <v>1409</v>
      </c>
      <c r="U16" s="4">
        <v>1513</v>
      </c>
      <c r="V16" s="4">
        <v>1144</v>
      </c>
      <c r="W16" s="6">
        <v>1989</v>
      </c>
      <c r="X16" s="9">
        <v>4.9087476400251788E-2</v>
      </c>
      <c r="Y16" s="10">
        <v>8.1783643271345685E-2</v>
      </c>
      <c r="Z16" s="10">
        <v>9.057301293900144E-3</v>
      </c>
      <c r="AA16" s="8">
        <v>0.10917750503755271</v>
      </c>
    </row>
    <row r="17" spans="2:27" hidden="1" x14ac:dyDescent="0.3">
      <c r="B17" s="3">
        <v>2502</v>
      </c>
      <c r="C17" s="3" t="s">
        <v>737</v>
      </c>
      <c r="D17" s="3" t="s">
        <v>738</v>
      </c>
      <c r="E17" s="3" t="s">
        <v>749</v>
      </c>
      <c r="F17" s="5">
        <v>-1.1000000000000001</v>
      </c>
      <c r="G17" s="4">
        <v>576926</v>
      </c>
      <c r="H17" s="4">
        <v>586708</v>
      </c>
      <c r="I17" s="4">
        <v>615773</v>
      </c>
      <c r="J17" s="4">
        <v>496863</v>
      </c>
      <c r="K17" s="4">
        <v>654476</v>
      </c>
      <c r="L17" s="4">
        <v>698604</v>
      </c>
      <c r="M17" s="4">
        <v>661164</v>
      </c>
      <c r="N17" s="4">
        <v>556335</v>
      </c>
      <c r="O17" s="4">
        <v>696664</v>
      </c>
      <c r="P17" s="4">
        <v>770004</v>
      </c>
      <c r="Q17" s="4">
        <v>746087</v>
      </c>
      <c r="R17" s="4">
        <v>616614</v>
      </c>
      <c r="S17" s="4">
        <v>762352</v>
      </c>
      <c r="T17" s="4">
        <v>788986</v>
      </c>
      <c r="U17" s="4">
        <v>771470</v>
      </c>
      <c r="V17" s="4">
        <v>679776</v>
      </c>
      <c r="W17" s="4">
        <v>729128</v>
      </c>
      <c r="X17" s="9">
        <v>6.5566930115710242E-3</v>
      </c>
      <c r="Y17" s="10">
        <v>8.7105903524282713E-3</v>
      </c>
      <c r="Z17" s="10">
        <v>2.1487897960891681E-2</v>
      </c>
      <c r="AA17" s="10">
        <v>-1.1065135896281331E-2</v>
      </c>
    </row>
    <row r="18" spans="2:27" x14ac:dyDescent="0.3">
      <c r="B18" s="12" t="s">
        <v>328</v>
      </c>
      <c r="C18" s="3" t="s">
        <v>671</v>
      </c>
      <c r="D18" s="3" t="s">
        <v>681</v>
      </c>
      <c r="E18" s="3" t="s">
        <v>673</v>
      </c>
      <c r="F18" s="5">
        <v>7.6</v>
      </c>
      <c r="G18" s="4">
        <v>0</v>
      </c>
      <c r="H18" s="4">
        <v>352.53</v>
      </c>
      <c r="I18" s="4">
        <v>-318.39</v>
      </c>
      <c r="J18" s="4">
        <v>123.13</v>
      </c>
      <c r="K18" s="6">
        <v>159.54</v>
      </c>
      <c r="L18" s="4">
        <v>162.06</v>
      </c>
      <c r="M18" s="6">
        <v>0</v>
      </c>
      <c r="N18" s="4">
        <v>118.01</v>
      </c>
      <c r="O18" s="6">
        <v>314.16000000000003</v>
      </c>
      <c r="P18" s="6">
        <v>321.33</v>
      </c>
      <c r="Q18" s="6">
        <v>273.39999999999998</v>
      </c>
      <c r="R18" s="6">
        <v>227.91</v>
      </c>
      <c r="S18" s="4">
        <v>308.29000000000002</v>
      </c>
      <c r="T18" s="4">
        <v>280.57</v>
      </c>
      <c r="U18" s="4">
        <v>282.68</v>
      </c>
      <c r="V18" s="4">
        <v>262.51</v>
      </c>
      <c r="W18" s="4">
        <v>394.28</v>
      </c>
      <c r="X18" s="9">
        <v>-3.6041134287710053E-2</v>
      </c>
      <c r="Y18" s="10">
        <v>8.5124338405937472E-3</v>
      </c>
      <c r="Z18" s="10">
        <v>3.1470280594842803E-2</v>
      </c>
      <c r="AA18" s="10">
        <v>7.5825580882677102E-2</v>
      </c>
    </row>
    <row r="19" spans="2:27" x14ac:dyDescent="0.3">
      <c r="B19" s="12" t="s">
        <v>590</v>
      </c>
      <c r="C19" s="3" t="s">
        <v>671</v>
      </c>
      <c r="D19" s="3" t="s">
        <v>682</v>
      </c>
      <c r="E19" s="3" t="s">
        <v>673</v>
      </c>
      <c r="F19" s="5">
        <v>7.1</v>
      </c>
      <c r="G19" s="4">
        <v>11.43</v>
      </c>
      <c r="H19" s="4">
        <v>11.76</v>
      </c>
      <c r="I19" s="4">
        <v>14.82</v>
      </c>
      <c r="J19" s="4">
        <v>12.6</v>
      </c>
      <c r="K19" s="4">
        <v>11.2</v>
      </c>
      <c r="L19" s="4">
        <v>13.15</v>
      </c>
      <c r="M19" s="4">
        <v>14.73</v>
      </c>
      <c r="N19" s="4">
        <v>13.27</v>
      </c>
      <c r="O19" s="4">
        <v>12.5</v>
      </c>
      <c r="P19" s="4">
        <v>12.95</v>
      </c>
      <c r="Q19" s="4">
        <v>14.58</v>
      </c>
      <c r="R19" s="4">
        <v>14.71</v>
      </c>
      <c r="S19" s="4">
        <v>15.49</v>
      </c>
      <c r="T19" s="4">
        <v>16.53</v>
      </c>
      <c r="U19" s="4">
        <v>16.5</v>
      </c>
      <c r="V19" s="4">
        <v>17.41</v>
      </c>
      <c r="W19" s="4">
        <v>20.14</v>
      </c>
      <c r="X19" s="9">
        <v>6.2012818292049188E-2</v>
      </c>
      <c r="Y19" s="10">
        <v>3.1316261621268993E-2</v>
      </c>
      <c r="Z19" s="10">
        <v>4.2701249406927211E-2</v>
      </c>
      <c r="AA19" s="10">
        <v>7.0529349309873979E-2</v>
      </c>
    </row>
    <row r="20" spans="2:27" x14ac:dyDescent="0.3">
      <c r="B20" s="12" t="s">
        <v>287</v>
      </c>
      <c r="C20" s="3" t="s">
        <v>671</v>
      </c>
      <c r="D20" s="3" t="s">
        <v>683</v>
      </c>
      <c r="E20" s="3" t="s">
        <v>673</v>
      </c>
      <c r="F20" s="5">
        <v>7</v>
      </c>
      <c r="G20" s="4">
        <v>415.55</v>
      </c>
      <c r="H20" s="4">
        <v>378.67</v>
      </c>
      <c r="I20" s="4">
        <v>625.16999999999996</v>
      </c>
      <c r="J20" s="4">
        <v>390.18</v>
      </c>
      <c r="K20" s="4">
        <v>344.75</v>
      </c>
      <c r="L20" s="4">
        <v>509.67</v>
      </c>
      <c r="M20" s="4">
        <v>379.16</v>
      </c>
      <c r="N20" s="4">
        <v>423.49</v>
      </c>
      <c r="O20" s="4">
        <v>365</v>
      </c>
      <c r="P20" s="4">
        <v>503.51</v>
      </c>
      <c r="Q20" s="4">
        <v>396.52</v>
      </c>
      <c r="R20" s="4">
        <v>327.72</v>
      </c>
      <c r="S20" s="4">
        <v>297.47000000000003</v>
      </c>
      <c r="T20" s="4">
        <v>302.64</v>
      </c>
      <c r="U20" s="4">
        <v>296.12</v>
      </c>
      <c r="V20" s="4">
        <v>328.09</v>
      </c>
      <c r="W20" s="4">
        <v>383.19</v>
      </c>
      <c r="X20" s="9">
        <v>-0.13169903358204069</v>
      </c>
      <c r="Y20" s="10">
        <v>-7.5810775097217453E-2</v>
      </c>
      <c r="Z20" s="10">
        <v>3.0229993055264082E-4</v>
      </c>
      <c r="AA20" s="10">
        <v>7.0014375326711953E-2</v>
      </c>
    </row>
    <row r="21" spans="2:27" x14ac:dyDescent="0.3">
      <c r="B21" s="12" t="s">
        <v>306</v>
      </c>
      <c r="C21" s="3" t="s">
        <v>671</v>
      </c>
      <c r="D21" s="3" t="s">
        <v>675</v>
      </c>
      <c r="E21" s="3" t="s">
        <v>673</v>
      </c>
      <c r="F21" s="5">
        <v>6.7</v>
      </c>
      <c r="G21" s="4">
        <v>83.39</v>
      </c>
      <c r="H21" s="4">
        <v>79.94</v>
      </c>
      <c r="I21" s="4">
        <v>89.34</v>
      </c>
      <c r="J21" s="4">
        <v>90.7</v>
      </c>
      <c r="K21" s="4">
        <v>103.35</v>
      </c>
      <c r="L21" s="4">
        <v>100.5</v>
      </c>
      <c r="M21" s="4">
        <v>108.31</v>
      </c>
      <c r="N21" s="4">
        <v>98.05</v>
      </c>
      <c r="O21" s="4">
        <v>127.39</v>
      </c>
      <c r="P21" s="4">
        <v>108.83</v>
      </c>
      <c r="Q21" s="4">
        <v>147.03</v>
      </c>
      <c r="R21" s="4">
        <v>139.49</v>
      </c>
      <c r="S21" s="4">
        <v>164.88</v>
      </c>
      <c r="T21" s="4">
        <v>139.29</v>
      </c>
      <c r="U21" s="4">
        <v>166.5</v>
      </c>
      <c r="V21" s="4">
        <v>159.93</v>
      </c>
      <c r="W21" s="4">
        <v>207</v>
      </c>
      <c r="X21" s="9">
        <v>5.4370526390946639E-2</v>
      </c>
      <c r="Y21" s="10">
        <v>3.2961451861382329E-2</v>
      </c>
      <c r="Z21" s="10">
        <v>3.3499409990822127E-2</v>
      </c>
      <c r="AA21" s="10">
        <v>6.6793529971455712E-2</v>
      </c>
    </row>
    <row r="22" spans="2:27" x14ac:dyDescent="0.3">
      <c r="B22" s="12" t="s">
        <v>19</v>
      </c>
      <c r="C22" s="3" t="s">
        <v>671</v>
      </c>
      <c r="D22" s="3" t="s">
        <v>686</v>
      </c>
      <c r="E22" s="3" t="s">
        <v>673</v>
      </c>
      <c r="F22" s="5">
        <v>6.6</v>
      </c>
      <c r="G22" s="4">
        <v>824.46</v>
      </c>
      <c r="H22" s="4">
        <v>877.07</v>
      </c>
      <c r="I22" s="4">
        <v>1052</v>
      </c>
      <c r="J22" s="4">
        <v>1177</v>
      </c>
      <c r="K22" s="6">
        <v>1276</v>
      </c>
      <c r="L22" s="6">
        <v>1351</v>
      </c>
      <c r="M22" s="4">
        <v>1459</v>
      </c>
      <c r="N22" s="4">
        <v>1509</v>
      </c>
      <c r="O22" s="4">
        <v>1540</v>
      </c>
      <c r="P22" s="4">
        <v>1571</v>
      </c>
      <c r="Q22" s="4">
        <v>1690</v>
      </c>
      <c r="R22" s="4">
        <v>1811</v>
      </c>
      <c r="S22" s="4">
        <v>1930</v>
      </c>
      <c r="T22" s="4">
        <v>2005</v>
      </c>
      <c r="U22" s="4">
        <v>2205</v>
      </c>
      <c r="V22" s="4">
        <v>2308</v>
      </c>
      <c r="W22" s="4">
        <v>2488</v>
      </c>
      <c r="X22" s="9">
        <v>6.1982290774064593E-2</v>
      </c>
      <c r="Y22" s="10">
        <v>6.9257665411511571E-2</v>
      </c>
      <c r="Z22" s="10">
        <v>6.2507860646459523E-2</v>
      </c>
      <c r="AA22" s="10">
        <v>6.6051136363636465E-2</v>
      </c>
    </row>
    <row r="23" spans="2:27" hidden="1" x14ac:dyDescent="0.3">
      <c r="B23" s="3">
        <v>3659</v>
      </c>
      <c r="C23" s="3" t="s">
        <v>737</v>
      </c>
      <c r="D23" s="3" t="s">
        <v>738</v>
      </c>
      <c r="E23" s="3" t="s">
        <v>743</v>
      </c>
      <c r="F23" s="5">
        <v>-3.8</v>
      </c>
      <c r="G23" s="4">
        <v>75890</v>
      </c>
      <c r="H23" s="4">
        <v>54250</v>
      </c>
      <c r="I23" s="4">
        <v>87578</v>
      </c>
      <c r="J23" s="4">
        <v>84122</v>
      </c>
      <c r="K23" s="4">
        <v>97463</v>
      </c>
      <c r="L23" s="4">
        <v>81095</v>
      </c>
      <c r="M23" s="6">
        <v>124087</v>
      </c>
      <c r="N23" s="4">
        <v>94436</v>
      </c>
      <c r="O23" s="4">
        <v>120256</v>
      </c>
      <c r="P23" s="4">
        <v>84577</v>
      </c>
      <c r="Q23" s="4">
        <v>108418</v>
      </c>
      <c r="R23" s="4">
        <v>122474</v>
      </c>
      <c r="S23" s="4">
        <v>135593</v>
      </c>
      <c r="T23" s="4">
        <v>79726</v>
      </c>
      <c r="U23" s="4">
        <v>113934</v>
      </c>
      <c r="V23" s="4">
        <v>118850</v>
      </c>
      <c r="W23" s="4">
        <v>118719</v>
      </c>
      <c r="X23" s="9">
        <v>-1.0754619098926501E-2</v>
      </c>
      <c r="Y23" s="10">
        <v>1.236186467836964E-2</v>
      </c>
      <c r="Z23" s="10">
        <v>-8.022544589984637E-3</v>
      </c>
      <c r="AA23" s="10">
        <v>-3.7656520933803117E-2</v>
      </c>
    </row>
    <row r="24" spans="2:27" x14ac:dyDescent="0.3">
      <c r="B24" s="12" t="s">
        <v>278</v>
      </c>
      <c r="C24" s="3" t="s">
        <v>671</v>
      </c>
      <c r="D24" s="3" t="s">
        <v>684</v>
      </c>
      <c r="E24" s="3" t="s">
        <v>673</v>
      </c>
      <c r="F24" s="5">
        <v>6.6</v>
      </c>
      <c r="G24" s="4">
        <v>445.53</v>
      </c>
      <c r="H24" s="4">
        <v>492.16</v>
      </c>
      <c r="I24" s="4">
        <v>421.41</v>
      </c>
      <c r="J24" s="4">
        <v>402.07</v>
      </c>
      <c r="K24" s="4">
        <v>421.73</v>
      </c>
      <c r="L24" s="4">
        <v>517.13</v>
      </c>
      <c r="M24" s="4">
        <v>473.17</v>
      </c>
      <c r="N24" s="4">
        <v>461.91</v>
      </c>
      <c r="O24" s="4">
        <v>495.97</v>
      </c>
      <c r="P24" s="4">
        <v>558.48</v>
      </c>
      <c r="Q24" s="4">
        <v>529.21</v>
      </c>
      <c r="R24" s="4">
        <v>535.99</v>
      </c>
      <c r="S24" s="4">
        <v>548.07000000000005</v>
      </c>
      <c r="T24" s="4">
        <v>639.59</v>
      </c>
      <c r="U24" s="4">
        <v>750.2</v>
      </c>
      <c r="V24" s="4">
        <v>703.03</v>
      </c>
      <c r="W24" s="4">
        <v>723.33</v>
      </c>
      <c r="X24" s="9">
        <v>3.7347761022217263E-2</v>
      </c>
      <c r="Y24" s="10">
        <v>9.8093090560443352E-2</v>
      </c>
      <c r="Z24" s="10">
        <v>6.752228308102759E-2</v>
      </c>
      <c r="AA24" s="10">
        <v>6.6363990927300831E-2</v>
      </c>
    </row>
    <row r="25" spans="2:27" hidden="1" x14ac:dyDescent="0.3">
      <c r="B25" s="3">
        <v>3964</v>
      </c>
      <c r="C25" s="3" t="s">
        <v>737</v>
      </c>
      <c r="D25" s="3" t="s">
        <v>738</v>
      </c>
      <c r="E25" s="3" t="s">
        <v>743</v>
      </c>
      <c r="F25" s="5">
        <v>1.7</v>
      </c>
      <c r="G25" s="4">
        <v>8652</v>
      </c>
      <c r="H25" s="4">
        <v>9447</v>
      </c>
      <c r="I25" s="4">
        <v>10501</v>
      </c>
      <c r="J25" s="4">
        <v>10102</v>
      </c>
      <c r="K25" s="4">
        <v>9882</v>
      </c>
      <c r="L25" s="4">
        <v>9970</v>
      </c>
      <c r="M25" s="4">
        <v>10728</v>
      </c>
      <c r="N25" s="4">
        <v>11203</v>
      </c>
      <c r="O25" s="4">
        <v>10311</v>
      </c>
      <c r="P25" s="4">
        <v>11061</v>
      </c>
      <c r="Q25" s="4">
        <v>10988</v>
      </c>
      <c r="R25" s="6">
        <v>15583</v>
      </c>
      <c r="S25" s="4">
        <v>13872</v>
      </c>
      <c r="T25" s="4">
        <v>15467</v>
      </c>
      <c r="U25" s="4">
        <v>15978</v>
      </c>
      <c r="V25" s="4">
        <v>16554</v>
      </c>
      <c r="W25" s="4">
        <v>14949</v>
      </c>
      <c r="X25" s="9">
        <v>8.5546753650201923E-2</v>
      </c>
      <c r="Y25" s="10">
        <v>8.9250581291361097E-2</v>
      </c>
      <c r="Z25" s="10">
        <v>1.5944170771756919E-2</v>
      </c>
      <c r="AA25" s="10">
        <v>1.7407185919089629E-2</v>
      </c>
    </row>
    <row r="26" spans="2:27" x14ac:dyDescent="0.3">
      <c r="B26" s="12" t="s">
        <v>217</v>
      </c>
      <c r="C26" s="3" t="s">
        <v>671</v>
      </c>
      <c r="D26" s="3" t="s">
        <v>687</v>
      </c>
      <c r="E26" s="3" t="s">
        <v>673</v>
      </c>
      <c r="F26" s="5">
        <v>6.6</v>
      </c>
      <c r="G26" s="4">
        <v>140.08000000000001</v>
      </c>
      <c r="H26" s="4">
        <v>152.16</v>
      </c>
      <c r="I26" s="4">
        <v>186.38</v>
      </c>
      <c r="J26" s="4">
        <v>198.65</v>
      </c>
      <c r="K26" s="4">
        <v>201.83</v>
      </c>
      <c r="L26" s="4">
        <v>197.27</v>
      </c>
      <c r="M26" s="4">
        <v>249.88</v>
      </c>
      <c r="N26" s="4">
        <v>264.51</v>
      </c>
      <c r="O26" s="4">
        <v>254.12</v>
      </c>
      <c r="P26" s="4">
        <v>275.10000000000002</v>
      </c>
      <c r="Q26" s="4">
        <v>324.92</v>
      </c>
      <c r="R26" s="4">
        <v>338.21</v>
      </c>
      <c r="S26" s="4">
        <v>342.79</v>
      </c>
      <c r="T26" s="4">
        <v>355.15</v>
      </c>
      <c r="U26" s="4">
        <v>415.81</v>
      </c>
      <c r="V26" s="4">
        <v>423.58</v>
      </c>
      <c r="W26" s="4">
        <v>443.61</v>
      </c>
      <c r="X26" s="9">
        <v>6.2489266365864722E-2</v>
      </c>
      <c r="Y26" s="10">
        <v>6.6778343509150906E-2</v>
      </c>
      <c r="Z26" s="10">
        <v>5.8796385575360148E-2</v>
      </c>
      <c r="AA26" s="10">
        <v>6.5581234998341342E-2</v>
      </c>
    </row>
    <row r="27" spans="2:27" x14ac:dyDescent="0.3">
      <c r="B27" s="12" t="s">
        <v>520</v>
      </c>
      <c r="C27" s="3" t="s">
        <v>671</v>
      </c>
      <c r="D27" s="3" t="s">
        <v>685</v>
      </c>
      <c r="E27" s="3" t="s">
        <v>673</v>
      </c>
      <c r="F27" s="5">
        <v>6.6</v>
      </c>
      <c r="G27" s="4">
        <v>191.86</v>
      </c>
      <c r="H27" s="4">
        <v>197.76</v>
      </c>
      <c r="I27" s="4">
        <v>217.23</v>
      </c>
      <c r="J27" s="4">
        <v>206.69</v>
      </c>
      <c r="K27" s="4">
        <v>191.11</v>
      </c>
      <c r="L27" s="4">
        <v>179.37</v>
      </c>
      <c r="M27" s="4">
        <v>168.92</v>
      </c>
      <c r="N27" s="4">
        <v>150.80000000000001</v>
      </c>
      <c r="O27" s="4">
        <v>137.22999999999999</v>
      </c>
      <c r="P27" s="4">
        <v>107.61</v>
      </c>
      <c r="Q27" s="4">
        <v>104.7</v>
      </c>
      <c r="R27" s="4">
        <v>95.34</v>
      </c>
      <c r="S27" s="4">
        <v>94.12</v>
      </c>
      <c r="T27" s="4">
        <v>96.8</v>
      </c>
      <c r="U27" s="4">
        <v>107.68</v>
      </c>
      <c r="V27" s="4">
        <v>126.25</v>
      </c>
      <c r="W27" s="4">
        <v>122.23</v>
      </c>
      <c r="X27" s="9">
        <v>-2.6905941210145001E-2</v>
      </c>
      <c r="Y27" s="10">
        <v>7.6222631471249969E-3</v>
      </c>
      <c r="Z27" s="10">
        <v>7.8463725440422571E-2</v>
      </c>
      <c r="AA27" s="10">
        <v>6.6164528657173038E-2</v>
      </c>
    </row>
    <row r="28" spans="2:27" hidden="1" x14ac:dyDescent="0.3">
      <c r="B28" s="3">
        <v>4045</v>
      </c>
      <c r="C28" s="3" t="s">
        <v>737</v>
      </c>
      <c r="D28" s="3" t="s">
        <v>738</v>
      </c>
      <c r="E28" s="3" t="s">
        <v>743</v>
      </c>
      <c r="F28" s="5">
        <v>-1.4</v>
      </c>
      <c r="G28" s="4">
        <v>39231</v>
      </c>
      <c r="H28" s="4">
        <v>42918</v>
      </c>
      <c r="I28" s="4">
        <v>37750</v>
      </c>
      <c r="J28" s="4">
        <v>40227</v>
      </c>
      <c r="K28" s="4">
        <v>40740</v>
      </c>
      <c r="L28" s="4">
        <v>42108</v>
      </c>
      <c r="M28" s="4">
        <v>38198</v>
      </c>
      <c r="N28" s="4">
        <v>38749</v>
      </c>
      <c r="O28" s="4">
        <v>39202</v>
      </c>
      <c r="P28" s="4">
        <v>43222</v>
      </c>
      <c r="Q28" s="4">
        <v>39014</v>
      </c>
      <c r="R28" s="4">
        <v>42557</v>
      </c>
      <c r="S28" s="4">
        <v>41792</v>
      </c>
      <c r="T28" s="4">
        <v>44231</v>
      </c>
      <c r="U28" s="4">
        <v>39822</v>
      </c>
      <c r="V28" s="4">
        <v>40522</v>
      </c>
      <c r="W28" s="4">
        <v>39519</v>
      </c>
      <c r="X28" s="9">
        <v>6.0569679142778998E-3</v>
      </c>
      <c r="Y28" s="10">
        <v>4.8211749823978689E-3</v>
      </c>
      <c r="Z28" s="10">
        <v>-1.208417952280849E-2</v>
      </c>
      <c r="AA28" s="10">
        <v>-1.3662565292395731E-2</v>
      </c>
    </row>
    <row r="29" spans="2:27" hidden="1" x14ac:dyDescent="0.3">
      <c r="B29" s="3">
        <v>4293</v>
      </c>
      <c r="C29" s="3" t="s">
        <v>737</v>
      </c>
      <c r="D29" s="3" t="s">
        <v>738</v>
      </c>
      <c r="E29" s="3" t="s">
        <v>743</v>
      </c>
      <c r="F29" s="5">
        <v>0.6</v>
      </c>
      <c r="G29" s="4">
        <v>5473</v>
      </c>
      <c r="H29" s="4">
        <v>6572</v>
      </c>
      <c r="I29" s="4">
        <v>7885</v>
      </c>
      <c r="J29" s="4">
        <v>7109</v>
      </c>
      <c r="K29" s="4">
        <v>7252</v>
      </c>
      <c r="L29" s="4">
        <v>6973</v>
      </c>
      <c r="M29" s="4">
        <v>7566</v>
      </c>
      <c r="N29" s="4">
        <v>7097</v>
      </c>
      <c r="O29" s="4">
        <v>7470</v>
      </c>
      <c r="P29" s="4">
        <v>0</v>
      </c>
      <c r="Q29" s="4">
        <v>7291</v>
      </c>
      <c r="R29" s="4">
        <v>6697</v>
      </c>
      <c r="S29" s="4">
        <v>6898</v>
      </c>
      <c r="T29" s="6">
        <v>7397</v>
      </c>
      <c r="U29" s="4">
        <v>8206</v>
      </c>
      <c r="V29" s="4">
        <v>7001</v>
      </c>
      <c r="W29" s="4">
        <v>7081</v>
      </c>
      <c r="X29" s="7">
        <v>0.35416068179641869</v>
      </c>
      <c r="Y29" s="10">
        <v>3.2351589293922123E-2</v>
      </c>
      <c r="Z29" s="10">
        <v>1.041167203233107E-2</v>
      </c>
      <c r="AA29" s="10">
        <v>6.2029692902176858E-3</v>
      </c>
    </row>
    <row r="30" spans="2:27" x14ac:dyDescent="0.3">
      <c r="B30" s="12" t="s">
        <v>340</v>
      </c>
      <c r="C30" s="3" t="s">
        <v>671</v>
      </c>
      <c r="D30" s="3" t="s">
        <v>688</v>
      </c>
      <c r="E30" s="3" t="s">
        <v>673</v>
      </c>
      <c r="F30" s="5">
        <v>5.5</v>
      </c>
      <c r="G30" s="4">
        <v>147.91</v>
      </c>
      <c r="H30" s="4">
        <v>174.05</v>
      </c>
      <c r="I30" s="4">
        <v>405.07</v>
      </c>
      <c r="J30" s="4">
        <v>490</v>
      </c>
      <c r="K30" s="6">
        <v>493.76</v>
      </c>
      <c r="L30" s="6">
        <v>384.43</v>
      </c>
      <c r="M30" s="4">
        <v>329.3</v>
      </c>
      <c r="N30" s="4">
        <v>291.18</v>
      </c>
      <c r="O30" s="4">
        <v>336.31</v>
      </c>
      <c r="P30" s="4">
        <v>391.34</v>
      </c>
      <c r="Q30" s="4">
        <v>380.66</v>
      </c>
      <c r="R30" s="4">
        <v>267.99</v>
      </c>
      <c r="S30" s="4">
        <v>203.97</v>
      </c>
      <c r="T30" s="4">
        <v>213.98</v>
      </c>
      <c r="U30" s="4">
        <v>230.23</v>
      </c>
      <c r="V30" s="4">
        <v>241.36</v>
      </c>
      <c r="W30" s="4">
        <v>252.65</v>
      </c>
      <c r="X30" s="9">
        <v>-0.14257693173413941</v>
      </c>
      <c r="Y30" s="10">
        <v>-0.14103693980873799</v>
      </c>
      <c r="Z30" s="10">
        <v>-2.9066657934662791E-2</v>
      </c>
      <c r="AA30" s="10">
        <v>5.4724914000494618E-2</v>
      </c>
    </row>
    <row r="31" spans="2:27" x14ac:dyDescent="0.3">
      <c r="B31" s="12" t="s">
        <v>109</v>
      </c>
      <c r="C31" s="3" t="s">
        <v>671</v>
      </c>
      <c r="D31" s="3" t="s">
        <v>689</v>
      </c>
      <c r="E31" s="3" t="s">
        <v>673</v>
      </c>
      <c r="F31" s="5">
        <v>5</v>
      </c>
      <c r="G31" s="4">
        <v>512</v>
      </c>
      <c r="H31" s="4">
        <v>535</v>
      </c>
      <c r="I31" s="4">
        <v>675</v>
      </c>
      <c r="J31" s="4">
        <v>752</v>
      </c>
      <c r="K31" s="6">
        <v>768</v>
      </c>
      <c r="L31" s="6">
        <v>819</v>
      </c>
      <c r="M31" s="6">
        <v>978</v>
      </c>
      <c r="N31" s="4">
        <v>1032</v>
      </c>
      <c r="O31" s="4">
        <v>1036</v>
      </c>
      <c r="P31" s="4">
        <v>1075</v>
      </c>
      <c r="Q31" s="4">
        <v>1242</v>
      </c>
      <c r="R31" s="4">
        <v>1305</v>
      </c>
      <c r="S31" s="4">
        <v>1338</v>
      </c>
      <c r="T31" s="4">
        <v>1337</v>
      </c>
      <c r="U31" s="4">
        <v>1550</v>
      </c>
      <c r="V31" s="4">
        <v>1633</v>
      </c>
      <c r="W31" s="4">
        <v>1633</v>
      </c>
      <c r="X31" s="9">
        <v>5.282258064516121E-2</v>
      </c>
      <c r="Y31" s="10">
        <v>5.8981233243967868E-2</v>
      </c>
      <c r="Z31" s="10">
        <v>5.9312839059674438E-2</v>
      </c>
      <c r="AA31" s="10">
        <v>5.0358484124274572E-2</v>
      </c>
    </row>
    <row r="32" spans="2:27" hidden="1" x14ac:dyDescent="0.3">
      <c r="B32" s="3">
        <v>4755</v>
      </c>
      <c r="C32" s="3" t="s">
        <v>737</v>
      </c>
      <c r="D32" s="3" t="s">
        <v>738</v>
      </c>
      <c r="E32" s="3" t="s">
        <v>743</v>
      </c>
      <c r="F32" s="5">
        <v>2.6</v>
      </c>
      <c r="G32" s="4">
        <v>406903</v>
      </c>
      <c r="H32" s="4">
        <v>481183</v>
      </c>
      <c r="I32" s="4">
        <v>437127</v>
      </c>
      <c r="J32" s="4">
        <v>456471</v>
      </c>
      <c r="K32" s="4">
        <v>471110</v>
      </c>
      <c r="L32" s="4">
        <v>563170</v>
      </c>
      <c r="M32" s="4">
        <v>475635</v>
      </c>
      <c r="N32" s="4">
        <v>497165</v>
      </c>
      <c r="O32" s="4">
        <v>518439</v>
      </c>
      <c r="P32" s="4">
        <v>580076</v>
      </c>
      <c r="Q32" s="4">
        <v>513624</v>
      </c>
      <c r="R32" s="4">
        <v>537284</v>
      </c>
      <c r="S32" s="4">
        <v>566713</v>
      </c>
      <c r="T32" s="4">
        <v>661612</v>
      </c>
      <c r="U32" s="4">
        <v>562704</v>
      </c>
      <c r="V32" s="4">
        <v>596369</v>
      </c>
      <c r="W32" s="4">
        <v>628562</v>
      </c>
      <c r="X32" s="9">
        <v>3.7100655822891022E-2</v>
      </c>
      <c r="Y32" s="10">
        <v>2.1533559754531421E-2</v>
      </c>
      <c r="Z32" s="10">
        <v>2.5376742731754609E-2</v>
      </c>
      <c r="AA32" s="10">
        <v>2.5906447102661549E-2</v>
      </c>
    </row>
    <row r="33" spans="2:27" hidden="1" x14ac:dyDescent="0.3">
      <c r="B33" s="3">
        <v>4776</v>
      </c>
      <c r="C33" s="3" t="s">
        <v>737</v>
      </c>
      <c r="D33" s="3" t="s">
        <v>738</v>
      </c>
      <c r="E33" s="3" t="s">
        <v>743</v>
      </c>
      <c r="F33" s="5">
        <v>6.4</v>
      </c>
      <c r="G33" s="4">
        <v>4637</v>
      </c>
      <c r="H33" s="4">
        <v>4879</v>
      </c>
      <c r="I33" s="4">
        <v>5184</v>
      </c>
      <c r="J33" s="4">
        <v>5379</v>
      </c>
      <c r="K33" s="4">
        <v>5630</v>
      </c>
      <c r="L33" s="4">
        <v>5874</v>
      </c>
      <c r="M33" s="4">
        <v>6059</v>
      </c>
      <c r="N33" s="4">
        <v>6229</v>
      </c>
      <c r="O33" s="4">
        <v>6448</v>
      </c>
      <c r="P33" s="4">
        <v>6696</v>
      </c>
      <c r="Q33" s="4">
        <v>6907</v>
      </c>
      <c r="R33" s="4">
        <v>7180</v>
      </c>
      <c r="S33" s="4">
        <v>7381</v>
      </c>
      <c r="T33" s="4">
        <v>8207</v>
      </c>
      <c r="U33" s="4">
        <v>8759</v>
      </c>
      <c r="V33" s="4">
        <v>9140</v>
      </c>
      <c r="W33" s="4">
        <v>9514</v>
      </c>
      <c r="X33" s="9">
        <v>5.3650049708848117E-2</v>
      </c>
      <c r="Y33" s="10">
        <v>6.2409435551811221E-2</v>
      </c>
      <c r="Z33" s="10">
        <v>6.2168934564024392E-2</v>
      </c>
      <c r="AA33" s="10">
        <v>6.3696359781407752E-2</v>
      </c>
    </row>
    <row r="34" spans="2:27" hidden="1" x14ac:dyDescent="0.3">
      <c r="B34" s="3">
        <v>4784</v>
      </c>
      <c r="C34" s="3" t="s">
        <v>737</v>
      </c>
      <c r="D34" s="3" t="s">
        <v>738</v>
      </c>
      <c r="E34" s="3" t="s">
        <v>743</v>
      </c>
      <c r="F34" s="5">
        <v>37.299999999999997</v>
      </c>
      <c r="G34" s="4">
        <v>7747</v>
      </c>
      <c r="H34" s="4">
        <v>8770</v>
      </c>
      <c r="I34" s="4">
        <v>3986</v>
      </c>
      <c r="J34" s="4">
        <v>4400</v>
      </c>
      <c r="K34" s="4">
        <v>4240</v>
      </c>
      <c r="L34" s="4">
        <v>4003</v>
      </c>
      <c r="M34" s="4">
        <v>4269</v>
      </c>
      <c r="N34" s="4">
        <v>3876</v>
      </c>
      <c r="O34" s="4">
        <v>3461</v>
      </c>
      <c r="P34" s="4">
        <v>3297</v>
      </c>
      <c r="Q34" s="4">
        <v>3454</v>
      </c>
      <c r="R34" s="4">
        <v>3083</v>
      </c>
      <c r="S34" s="4">
        <v>3084</v>
      </c>
      <c r="T34" s="4">
        <v>3376</v>
      </c>
      <c r="U34" s="6">
        <v>19080</v>
      </c>
      <c r="V34" s="6">
        <v>19426</v>
      </c>
      <c r="W34" s="6">
        <v>19839</v>
      </c>
      <c r="X34" s="9">
        <v>6.1154977550703649E-3</v>
      </c>
      <c r="Y34" s="8">
        <v>1.202277448641994</v>
      </c>
      <c r="Z34" s="8">
        <v>0.57097439122384097</v>
      </c>
      <c r="AA34" s="8">
        <v>0.37261486456433751</v>
      </c>
    </row>
    <row r="35" spans="2:27" hidden="1" x14ac:dyDescent="0.3">
      <c r="B35" s="3">
        <v>4812</v>
      </c>
      <c r="C35" s="3" t="s">
        <v>737</v>
      </c>
      <c r="D35" s="3" t="s">
        <v>738</v>
      </c>
      <c r="E35" s="3" t="s">
        <v>743</v>
      </c>
      <c r="F35" s="5">
        <v>1.8</v>
      </c>
      <c r="G35" s="4">
        <v>25591</v>
      </c>
      <c r="H35" s="4">
        <v>32201</v>
      </c>
      <c r="I35" s="4">
        <v>29982</v>
      </c>
      <c r="J35" s="4">
        <v>31476</v>
      </c>
      <c r="K35" s="4">
        <v>32350</v>
      </c>
      <c r="L35" s="4">
        <v>35246</v>
      </c>
      <c r="M35" s="4">
        <v>34779</v>
      </c>
      <c r="N35" s="4">
        <v>35070</v>
      </c>
      <c r="O35" s="4">
        <v>35418</v>
      </c>
      <c r="P35" s="4">
        <v>37341</v>
      </c>
      <c r="Q35" s="4">
        <v>37099</v>
      </c>
      <c r="R35" s="4">
        <v>37136</v>
      </c>
      <c r="S35" s="4">
        <v>37996</v>
      </c>
      <c r="T35" s="4">
        <v>40411</v>
      </c>
      <c r="U35" s="4">
        <v>40244</v>
      </c>
      <c r="V35" s="4">
        <v>39995</v>
      </c>
      <c r="W35" s="4">
        <v>40912</v>
      </c>
      <c r="X35" s="9">
        <v>2.0525231995293321E-2</v>
      </c>
      <c r="Y35" s="10">
        <v>2.0603765673929741E-2</v>
      </c>
      <c r="Z35" s="10">
        <v>1.8351980588880989E-2</v>
      </c>
      <c r="AA35" s="10">
        <v>1.838054536515266E-2</v>
      </c>
    </row>
    <row r="36" spans="2:27" hidden="1" x14ac:dyDescent="0.3">
      <c r="B36" s="3">
        <v>4912</v>
      </c>
      <c r="C36" s="3" t="s">
        <v>737</v>
      </c>
      <c r="D36" s="3" t="s">
        <v>738</v>
      </c>
      <c r="E36" s="3" t="s">
        <v>743</v>
      </c>
      <c r="F36" s="5">
        <v>0.7</v>
      </c>
      <c r="G36" s="4">
        <v>94368</v>
      </c>
      <c r="H36" s="4">
        <v>98642</v>
      </c>
      <c r="I36" s="4">
        <v>87030</v>
      </c>
      <c r="J36" s="4">
        <v>98165</v>
      </c>
      <c r="K36" s="4">
        <v>100946</v>
      </c>
      <c r="L36" s="4">
        <v>103728</v>
      </c>
      <c r="M36" s="4">
        <v>90849</v>
      </c>
      <c r="N36" s="4">
        <v>102037</v>
      </c>
      <c r="O36" s="4">
        <v>103210</v>
      </c>
      <c r="P36" s="4">
        <v>106670</v>
      </c>
      <c r="Q36" s="4">
        <v>92965</v>
      </c>
      <c r="R36" s="4">
        <v>105668</v>
      </c>
      <c r="S36" s="4">
        <v>102525</v>
      </c>
      <c r="T36" s="4">
        <v>111784</v>
      </c>
      <c r="U36" s="4">
        <v>94237</v>
      </c>
      <c r="V36" s="4">
        <v>105222</v>
      </c>
      <c r="W36" s="4">
        <v>105486</v>
      </c>
      <c r="X36" s="9">
        <v>1.2539600027462461E-2</v>
      </c>
      <c r="Y36" s="10">
        <v>3.0803357372222169E-3</v>
      </c>
      <c r="Z36" s="10">
        <v>-1.07673811121789E-3</v>
      </c>
      <c r="AA36" s="10">
        <v>7.1561841418379402E-3</v>
      </c>
    </row>
    <row r="37" spans="2:27" hidden="1" x14ac:dyDescent="0.3">
      <c r="B37" s="3">
        <v>4922</v>
      </c>
      <c r="C37" s="3" t="s">
        <v>737</v>
      </c>
      <c r="D37" s="3" t="s">
        <v>738</v>
      </c>
      <c r="E37" s="3" t="s">
        <v>743</v>
      </c>
      <c r="F37" s="5">
        <v>0.1</v>
      </c>
      <c r="G37" s="4">
        <v>64163</v>
      </c>
      <c r="H37" s="4">
        <v>102050</v>
      </c>
      <c r="I37" s="4">
        <v>59013</v>
      </c>
      <c r="J37" s="4">
        <v>71591</v>
      </c>
      <c r="K37" s="4">
        <v>70283</v>
      </c>
      <c r="L37" s="4">
        <v>88249</v>
      </c>
      <c r="M37" s="4">
        <v>68158</v>
      </c>
      <c r="N37" s="4">
        <v>76137</v>
      </c>
      <c r="O37" s="4">
        <v>74666</v>
      </c>
      <c r="P37" s="4">
        <v>81445</v>
      </c>
      <c r="Q37" s="4">
        <v>77583</v>
      </c>
      <c r="R37" s="4">
        <v>81550</v>
      </c>
      <c r="S37" s="4">
        <v>79592</v>
      </c>
      <c r="T37" s="4">
        <v>84033</v>
      </c>
      <c r="U37" s="4">
        <v>78998</v>
      </c>
      <c r="V37" s="4">
        <v>81526</v>
      </c>
      <c r="W37" s="4">
        <v>79986</v>
      </c>
      <c r="X37" s="9">
        <v>8.0832057969204563E-3</v>
      </c>
      <c r="Y37" s="10">
        <v>4.3840896275226804E-3</v>
      </c>
      <c r="Z37" s="10">
        <v>-7.4034543284029475E-5</v>
      </c>
      <c r="AA37" s="10">
        <v>1.215490407189268E-3</v>
      </c>
    </row>
    <row r="38" spans="2:27" hidden="1" x14ac:dyDescent="0.3">
      <c r="B38" s="3">
        <v>4971</v>
      </c>
      <c r="C38" s="3" t="s">
        <v>737</v>
      </c>
      <c r="D38" s="3" t="s">
        <v>738</v>
      </c>
      <c r="E38" s="3" t="s">
        <v>743</v>
      </c>
      <c r="F38" s="5">
        <v>4.3</v>
      </c>
      <c r="G38" s="4">
        <v>4133</v>
      </c>
      <c r="H38" s="4">
        <v>3881</v>
      </c>
      <c r="I38" s="4">
        <v>3955</v>
      </c>
      <c r="J38" s="4">
        <v>4172</v>
      </c>
      <c r="K38" s="4">
        <v>4237</v>
      </c>
      <c r="L38" s="4">
        <v>3965</v>
      </c>
      <c r="M38" s="4">
        <v>2765</v>
      </c>
      <c r="N38" s="4">
        <v>3433</v>
      </c>
      <c r="O38" s="4">
        <v>3783</v>
      </c>
      <c r="P38" s="4">
        <v>4039</v>
      </c>
      <c r="Q38" s="6">
        <v>4354</v>
      </c>
      <c r="R38" s="4">
        <v>4528</v>
      </c>
      <c r="S38" s="4">
        <v>4800</v>
      </c>
      <c r="T38" s="4">
        <v>4552</v>
      </c>
      <c r="U38" s="4">
        <v>4424</v>
      </c>
      <c r="V38" s="4">
        <v>4963</v>
      </c>
      <c r="W38" s="4">
        <v>5601</v>
      </c>
      <c r="X38" s="9">
        <v>2.8948704926358589E-2</v>
      </c>
      <c r="Y38" s="10">
        <v>3.8389821213118398E-3</v>
      </c>
      <c r="Z38" s="10">
        <v>2.3765297202797301E-2</v>
      </c>
      <c r="AA38" s="10">
        <v>4.2745077111905561E-2</v>
      </c>
    </row>
    <row r="39" spans="2:27" x14ac:dyDescent="0.3">
      <c r="B39" s="12" t="s">
        <v>618</v>
      </c>
      <c r="C39" s="3" t="s">
        <v>671</v>
      </c>
      <c r="D39" s="3" t="s">
        <v>690</v>
      </c>
      <c r="E39" s="3" t="s">
        <v>673</v>
      </c>
      <c r="F39" s="5">
        <v>4.8</v>
      </c>
      <c r="G39" s="4">
        <v>133.35</v>
      </c>
      <c r="H39" s="4">
        <v>103.46</v>
      </c>
      <c r="I39" s="4">
        <v>98.23</v>
      </c>
      <c r="J39" s="4">
        <v>101.18</v>
      </c>
      <c r="K39" s="6">
        <v>221.57</v>
      </c>
      <c r="L39" s="4">
        <v>111.38</v>
      </c>
      <c r="M39" s="4">
        <v>133.96</v>
      </c>
      <c r="N39" s="4">
        <v>149.19</v>
      </c>
      <c r="O39" s="4">
        <v>264.35000000000002</v>
      </c>
      <c r="P39" s="4">
        <v>129.88</v>
      </c>
      <c r="Q39" s="4">
        <v>174.45</v>
      </c>
      <c r="R39" s="4">
        <v>198.2</v>
      </c>
      <c r="S39" s="4">
        <v>265.88</v>
      </c>
      <c r="T39" s="4">
        <v>168.46</v>
      </c>
      <c r="U39" s="4">
        <v>152.66</v>
      </c>
      <c r="V39" s="4">
        <v>219.9</v>
      </c>
      <c r="W39" s="4">
        <v>304.7</v>
      </c>
      <c r="X39" s="9">
        <v>5.0207571478767983E-2</v>
      </c>
      <c r="Y39" s="10">
        <v>-2.7001573749364849E-2</v>
      </c>
      <c r="Z39" s="10">
        <v>2.7636271013754321E-2</v>
      </c>
      <c r="AA39" s="10">
        <v>4.8110050811748677E-2</v>
      </c>
    </row>
    <row r="40" spans="2:27" x14ac:dyDescent="0.3">
      <c r="B40" s="12" t="s">
        <v>635</v>
      </c>
      <c r="C40" s="3" t="s">
        <v>671</v>
      </c>
      <c r="D40" s="3" t="s">
        <v>684</v>
      </c>
      <c r="E40" s="3" t="s">
        <v>691</v>
      </c>
      <c r="F40" s="5">
        <v>4.5</v>
      </c>
      <c r="G40" s="4">
        <v>335265</v>
      </c>
      <c r="H40" s="4">
        <v>335265</v>
      </c>
      <c r="I40" s="4">
        <v>59294</v>
      </c>
      <c r="J40" s="4">
        <v>59294</v>
      </c>
      <c r="K40" s="4">
        <v>29169</v>
      </c>
      <c r="L40" s="4">
        <v>29169</v>
      </c>
      <c r="M40" s="4">
        <v>26114</v>
      </c>
      <c r="N40" s="4">
        <v>37419</v>
      </c>
      <c r="O40" s="6">
        <v>59116</v>
      </c>
      <c r="P40" s="6">
        <v>101400</v>
      </c>
      <c r="Q40" s="6">
        <v>75300</v>
      </c>
      <c r="R40" s="6">
        <v>70348</v>
      </c>
      <c r="S40" s="6">
        <v>123104</v>
      </c>
      <c r="T40" s="4">
        <v>114579</v>
      </c>
      <c r="U40" s="4">
        <v>83989</v>
      </c>
      <c r="V40" s="6">
        <v>133105</v>
      </c>
      <c r="W40" s="4">
        <v>143455</v>
      </c>
      <c r="X40" s="9">
        <v>3.5604292290734703E-2</v>
      </c>
      <c r="Y40" s="10">
        <v>2.266709449535775E-2</v>
      </c>
      <c r="Z40" s="8">
        <v>0.16008622009081169</v>
      </c>
      <c r="AA40" s="10">
        <v>4.4749404653269709E-2</v>
      </c>
    </row>
    <row r="41" spans="2:27" hidden="1" x14ac:dyDescent="0.3">
      <c r="B41" s="3">
        <v>5301</v>
      </c>
      <c r="C41" s="3" t="s">
        <v>737</v>
      </c>
      <c r="D41" s="3" t="s">
        <v>738</v>
      </c>
      <c r="E41" s="3" t="s">
        <v>743</v>
      </c>
      <c r="F41" s="5">
        <v>-2.5</v>
      </c>
      <c r="G41" s="4">
        <v>67715</v>
      </c>
      <c r="H41" s="4">
        <v>73779</v>
      </c>
      <c r="I41" s="4">
        <v>69512</v>
      </c>
      <c r="J41" s="4">
        <v>87558</v>
      </c>
      <c r="K41" s="4">
        <v>89262</v>
      </c>
      <c r="L41" s="4">
        <v>94039</v>
      </c>
      <c r="M41" s="4">
        <v>86530</v>
      </c>
      <c r="N41" s="4">
        <v>91898</v>
      </c>
      <c r="O41" s="4">
        <v>89247</v>
      </c>
      <c r="P41" s="4">
        <v>96271</v>
      </c>
      <c r="Q41" s="4">
        <v>82161</v>
      </c>
      <c r="R41" s="4">
        <v>88761</v>
      </c>
      <c r="S41" s="4">
        <v>87737</v>
      </c>
      <c r="T41" s="4">
        <v>91455</v>
      </c>
      <c r="U41" s="4">
        <v>80346</v>
      </c>
      <c r="V41" s="4">
        <v>77730</v>
      </c>
      <c r="W41" s="4">
        <v>79260</v>
      </c>
      <c r="X41" s="9">
        <v>-1.3568872735468919E-2</v>
      </c>
      <c r="Y41" s="10">
        <v>-5.1840257744620866E-3</v>
      </c>
      <c r="Z41" s="10">
        <v>-3.1671064229297219E-2</v>
      </c>
      <c r="AA41" s="10">
        <v>-2.5134314551039538E-2</v>
      </c>
    </row>
    <row r="42" spans="2:27" x14ac:dyDescent="0.3">
      <c r="B42" s="12" t="s">
        <v>419</v>
      </c>
      <c r="C42" s="3" t="s">
        <v>671</v>
      </c>
      <c r="D42" s="3" t="s">
        <v>693</v>
      </c>
      <c r="E42" s="3" t="s">
        <v>673</v>
      </c>
      <c r="F42" s="5">
        <v>4.4000000000000004</v>
      </c>
      <c r="G42" s="4">
        <v>79.39</v>
      </c>
      <c r="H42" s="4">
        <v>77.209999999999994</v>
      </c>
      <c r="I42" s="4">
        <v>80.34</v>
      </c>
      <c r="J42" s="4">
        <v>76.84</v>
      </c>
      <c r="K42" s="4">
        <v>79.400000000000006</v>
      </c>
      <c r="L42" s="4">
        <v>83.23</v>
      </c>
      <c r="M42" s="4">
        <v>89.25</v>
      </c>
      <c r="N42" s="4">
        <v>87.85</v>
      </c>
      <c r="O42" s="4">
        <v>93.67</v>
      </c>
      <c r="P42" s="4">
        <v>97.43</v>
      </c>
      <c r="Q42" s="4">
        <v>98.02</v>
      </c>
      <c r="R42" s="4">
        <v>95.78</v>
      </c>
      <c r="S42" s="4">
        <v>97.31</v>
      </c>
      <c r="T42" s="4">
        <v>98.98</v>
      </c>
      <c r="U42" s="4">
        <v>112.97</v>
      </c>
      <c r="V42" s="4">
        <v>113.39</v>
      </c>
      <c r="W42" s="4">
        <v>115.99</v>
      </c>
      <c r="X42" s="9">
        <v>3.9892932516600874E-3</v>
      </c>
      <c r="Y42" s="10">
        <v>3.8324489220436193E-2</v>
      </c>
      <c r="Z42" s="10">
        <v>4.3477187438277547E-2</v>
      </c>
      <c r="AA42" s="10">
        <v>4.4197326392996672E-2</v>
      </c>
    </row>
    <row r="43" spans="2:27" x14ac:dyDescent="0.3">
      <c r="B43" s="12" t="s">
        <v>256</v>
      </c>
      <c r="C43" s="3" t="s">
        <v>671</v>
      </c>
      <c r="D43" s="3" t="s">
        <v>692</v>
      </c>
      <c r="E43" s="3" t="s">
        <v>673</v>
      </c>
      <c r="F43" s="5">
        <v>4.4000000000000004</v>
      </c>
      <c r="G43" s="4">
        <v>805.65</v>
      </c>
      <c r="H43" s="4">
        <v>653.89</v>
      </c>
      <c r="I43" s="4">
        <v>849.25</v>
      </c>
      <c r="J43" s="4">
        <v>1009</v>
      </c>
      <c r="K43" s="4">
        <v>789.21</v>
      </c>
      <c r="L43" s="4">
        <v>560.07000000000005</v>
      </c>
      <c r="M43" s="4">
        <v>898.55</v>
      </c>
      <c r="N43" s="4">
        <v>1117</v>
      </c>
      <c r="O43" s="4">
        <v>933.7</v>
      </c>
      <c r="P43" s="4">
        <v>672.28</v>
      </c>
      <c r="Q43" s="4">
        <v>1082</v>
      </c>
      <c r="R43" s="4">
        <v>1276</v>
      </c>
      <c r="S43" s="4">
        <v>977.3</v>
      </c>
      <c r="T43" s="4">
        <v>699.55</v>
      </c>
      <c r="U43" s="4">
        <v>1126</v>
      </c>
      <c r="V43" s="4">
        <v>1433</v>
      </c>
      <c r="W43" s="4">
        <v>1165</v>
      </c>
      <c r="X43" s="9">
        <v>6.8046052730077466E-3</v>
      </c>
      <c r="Y43" s="10">
        <v>1.090499027225289E-2</v>
      </c>
      <c r="Z43" s="10">
        <v>3.8491241403827203E-2</v>
      </c>
      <c r="AA43" s="10">
        <v>4.4312239574111352E-2</v>
      </c>
    </row>
    <row r="44" spans="2:27" x14ac:dyDescent="0.3">
      <c r="B44" s="12" t="s">
        <v>136</v>
      </c>
      <c r="C44" s="3" t="s">
        <v>671</v>
      </c>
      <c r="D44" s="3" t="s">
        <v>681</v>
      </c>
      <c r="E44" s="3" t="s">
        <v>673</v>
      </c>
      <c r="F44" s="5">
        <v>4.3</v>
      </c>
      <c r="G44" s="4">
        <v>865.33</v>
      </c>
      <c r="H44" s="4">
        <v>733.7</v>
      </c>
      <c r="I44" s="4">
        <v>764.41</v>
      </c>
      <c r="J44" s="4">
        <v>761.37</v>
      </c>
      <c r="K44" s="4">
        <v>867.06</v>
      </c>
      <c r="L44" s="4">
        <v>740.99</v>
      </c>
      <c r="M44" s="4">
        <v>847.19</v>
      </c>
      <c r="N44" s="4">
        <v>912.02</v>
      </c>
      <c r="O44" s="4">
        <v>984.43</v>
      </c>
      <c r="P44" s="4">
        <v>881.47</v>
      </c>
      <c r="Q44" s="4">
        <v>968.18</v>
      </c>
      <c r="R44" s="4">
        <v>1062</v>
      </c>
      <c r="S44" s="4">
        <v>1201</v>
      </c>
      <c r="T44" s="4">
        <v>1021</v>
      </c>
      <c r="U44" s="4">
        <v>1111</v>
      </c>
      <c r="V44" s="4">
        <v>1211</v>
      </c>
      <c r="W44" s="4">
        <v>1395</v>
      </c>
      <c r="X44" s="9">
        <v>3.3927030017142368E-2</v>
      </c>
      <c r="Y44" s="10">
        <v>3.3587477482138528E-2</v>
      </c>
      <c r="Z44" s="10">
        <v>3.3902161547212817E-2</v>
      </c>
      <c r="AA44" s="10">
        <v>4.2693661971830998E-2</v>
      </c>
    </row>
    <row r="45" spans="2:27" x14ac:dyDescent="0.3">
      <c r="B45" s="12" t="s">
        <v>304</v>
      </c>
      <c r="C45" s="3" t="s">
        <v>671</v>
      </c>
      <c r="D45" s="3" t="s">
        <v>685</v>
      </c>
      <c r="E45" s="3" t="s">
        <v>673</v>
      </c>
      <c r="F45" s="5">
        <v>4.2</v>
      </c>
      <c r="G45" s="4">
        <v>364.47</v>
      </c>
      <c r="H45" s="4">
        <v>369.98</v>
      </c>
      <c r="I45" s="4">
        <v>377.02</v>
      </c>
      <c r="J45" s="4">
        <v>349.01</v>
      </c>
      <c r="K45" s="4">
        <v>333.54</v>
      </c>
      <c r="L45" s="4">
        <v>347.17</v>
      </c>
      <c r="M45" s="4">
        <v>339.97</v>
      </c>
      <c r="N45" s="4">
        <v>301.39999999999998</v>
      </c>
      <c r="O45" s="4">
        <v>298.89</v>
      </c>
      <c r="P45" s="4">
        <v>252.01</v>
      </c>
      <c r="Q45" s="4">
        <v>257.64999999999998</v>
      </c>
      <c r="R45" s="4">
        <v>233.14</v>
      </c>
      <c r="S45" s="4">
        <v>234.34</v>
      </c>
      <c r="T45" s="4">
        <v>227.79</v>
      </c>
      <c r="U45" s="4">
        <v>250.72</v>
      </c>
      <c r="V45" s="4">
        <v>250.79</v>
      </c>
      <c r="W45" s="4">
        <v>274.47000000000003</v>
      </c>
      <c r="X45" s="9">
        <v>-2.4786622183105789E-2</v>
      </c>
      <c r="Y45" s="10">
        <v>-7.2723838307517941E-3</v>
      </c>
      <c r="Z45" s="10">
        <v>1.8657702512711479E-2</v>
      </c>
      <c r="AA45" s="10">
        <v>4.1644182474783083E-2</v>
      </c>
    </row>
    <row r="46" spans="2:27" x14ac:dyDescent="0.3">
      <c r="B46" s="12" t="s">
        <v>125</v>
      </c>
      <c r="C46" s="3" t="s">
        <v>671</v>
      </c>
      <c r="D46" s="3" t="s">
        <v>672</v>
      </c>
      <c r="E46" s="3" t="s">
        <v>673</v>
      </c>
      <c r="F46" s="5">
        <v>4.0999999999999996</v>
      </c>
      <c r="G46" s="4">
        <v>846.66</v>
      </c>
      <c r="H46" s="4">
        <v>574.89</v>
      </c>
      <c r="I46" s="4">
        <v>665.93</v>
      </c>
      <c r="J46" s="4">
        <v>684.55</v>
      </c>
      <c r="K46" s="4">
        <v>877.21</v>
      </c>
      <c r="L46" s="4">
        <v>602.58000000000004</v>
      </c>
      <c r="M46" s="4">
        <v>708.03</v>
      </c>
      <c r="N46" s="4">
        <v>763.2</v>
      </c>
      <c r="O46" s="4">
        <v>981.26</v>
      </c>
      <c r="P46" s="4">
        <v>739.98</v>
      </c>
      <c r="Q46" s="4">
        <v>853.68</v>
      </c>
      <c r="R46" s="4">
        <v>898.37</v>
      </c>
      <c r="S46" s="4">
        <v>1154</v>
      </c>
      <c r="T46" s="4">
        <v>854.99</v>
      </c>
      <c r="U46" s="4">
        <v>998.23</v>
      </c>
      <c r="V46" s="4">
        <v>1049</v>
      </c>
      <c r="W46" s="4">
        <v>1319</v>
      </c>
      <c r="X46" s="9">
        <v>3.1543898431993123E-2</v>
      </c>
      <c r="Y46" s="10">
        <v>3.8433518388530929E-2</v>
      </c>
      <c r="Z46" s="10">
        <v>3.8567796414882283E-2</v>
      </c>
      <c r="AA46" s="10">
        <v>4.0678266957906661E-2</v>
      </c>
    </row>
    <row r="47" spans="2:27" x14ac:dyDescent="0.3">
      <c r="B47" s="12" t="s">
        <v>394</v>
      </c>
      <c r="C47" s="3" t="s">
        <v>671</v>
      </c>
      <c r="D47" s="3" t="s">
        <v>694</v>
      </c>
      <c r="E47" s="3" t="s">
        <v>673</v>
      </c>
      <c r="F47" s="5">
        <v>4</v>
      </c>
      <c r="G47" s="4">
        <v>557.54</v>
      </c>
      <c r="H47" s="4">
        <v>551.19000000000005</v>
      </c>
      <c r="I47" s="4">
        <v>588.17999999999995</v>
      </c>
      <c r="J47" s="4">
        <v>616.67999999999995</v>
      </c>
      <c r="K47" s="4">
        <v>620.67999999999995</v>
      </c>
      <c r="L47" s="4">
        <v>608.21</v>
      </c>
      <c r="M47" s="4">
        <v>593.89</v>
      </c>
      <c r="N47" s="4">
        <v>602.79</v>
      </c>
      <c r="O47" s="4">
        <v>608.28</v>
      </c>
      <c r="P47" s="4">
        <v>605.66999999999996</v>
      </c>
      <c r="Q47" s="4">
        <v>607.19000000000005</v>
      </c>
      <c r="R47" s="4">
        <v>603.13</v>
      </c>
      <c r="S47" s="4">
        <v>607.72</v>
      </c>
      <c r="T47" s="4">
        <v>604.65</v>
      </c>
      <c r="U47" s="4">
        <v>636.16999999999996</v>
      </c>
      <c r="V47" s="4">
        <v>682.34</v>
      </c>
      <c r="W47" s="4">
        <v>707.7</v>
      </c>
      <c r="X47" s="9">
        <v>-4.2084242751816442E-4</v>
      </c>
      <c r="Y47" s="10">
        <v>1.196191010818559E-2</v>
      </c>
      <c r="Z47" s="10">
        <v>3.2308589655214659E-2</v>
      </c>
      <c r="AA47" s="10">
        <v>3.9504046023517432E-2</v>
      </c>
    </row>
    <row r="48" spans="2:27" x14ac:dyDescent="0.3">
      <c r="B48" s="12" t="s">
        <v>82</v>
      </c>
      <c r="C48" s="3" t="s">
        <v>671</v>
      </c>
      <c r="D48" s="3" t="s">
        <v>696</v>
      </c>
      <c r="E48" s="3" t="s">
        <v>673</v>
      </c>
      <c r="F48" s="5">
        <v>3.9</v>
      </c>
      <c r="G48" s="4">
        <v>1160</v>
      </c>
      <c r="H48" s="4">
        <v>1248</v>
      </c>
      <c r="I48" s="4">
        <v>1290</v>
      </c>
      <c r="J48" s="4">
        <v>1287</v>
      </c>
      <c r="K48" s="4">
        <v>1279</v>
      </c>
      <c r="L48" s="4">
        <v>1314</v>
      </c>
      <c r="M48" s="4">
        <v>1358</v>
      </c>
      <c r="N48" s="4">
        <v>1388</v>
      </c>
      <c r="O48" s="4">
        <v>1420</v>
      </c>
      <c r="P48" s="4">
        <v>1477</v>
      </c>
      <c r="Q48" s="4">
        <v>1534</v>
      </c>
      <c r="R48" s="4">
        <v>1557</v>
      </c>
      <c r="S48" s="4">
        <v>1581</v>
      </c>
      <c r="T48" s="4">
        <v>1593</v>
      </c>
      <c r="U48" s="4">
        <v>1712</v>
      </c>
      <c r="V48" s="4">
        <v>1754</v>
      </c>
      <c r="W48" s="4">
        <v>1843</v>
      </c>
      <c r="X48" s="9">
        <v>1.8864856074158439E-2</v>
      </c>
      <c r="Y48" s="10">
        <v>2.8411811652035102E-2</v>
      </c>
      <c r="Z48" s="10">
        <v>3.0575818717988531E-2</v>
      </c>
      <c r="AA48" s="10">
        <v>3.9457831325301118E-2</v>
      </c>
    </row>
    <row r="49" spans="2:27" x14ac:dyDescent="0.3">
      <c r="B49" s="12" t="s">
        <v>170</v>
      </c>
      <c r="C49" s="3" t="s">
        <v>671</v>
      </c>
      <c r="D49" s="3" t="s">
        <v>695</v>
      </c>
      <c r="E49" s="3" t="s">
        <v>673</v>
      </c>
      <c r="F49" s="5">
        <v>3.9</v>
      </c>
      <c r="G49" s="4">
        <v>183.6</v>
      </c>
      <c r="H49" s="4">
        <v>184.66</v>
      </c>
      <c r="I49" s="4">
        <v>183.88</v>
      </c>
      <c r="J49" s="4">
        <v>222.06</v>
      </c>
      <c r="K49" s="4">
        <v>248.21</v>
      </c>
      <c r="L49" s="4">
        <v>263.14999999999998</v>
      </c>
      <c r="M49" s="6">
        <v>295.77</v>
      </c>
      <c r="N49" s="4">
        <v>314.37</v>
      </c>
      <c r="O49" s="4">
        <v>351.17</v>
      </c>
      <c r="P49" s="4">
        <v>372.79</v>
      </c>
      <c r="Q49" s="4">
        <v>384.55</v>
      </c>
      <c r="R49" s="4">
        <v>418.06</v>
      </c>
      <c r="S49" s="4">
        <v>412.12</v>
      </c>
      <c r="T49" s="4">
        <v>423.4</v>
      </c>
      <c r="U49" s="4">
        <v>469.81</v>
      </c>
      <c r="V49" s="4">
        <v>497.51</v>
      </c>
      <c r="W49" s="4">
        <v>483.27</v>
      </c>
      <c r="X49" s="9">
        <v>3.1879913323926701E-2</v>
      </c>
      <c r="Y49" s="10">
        <v>5.2047151324986267E-2</v>
      </c>
      <c r="Z49" s="10">
        <v>4.6100998613198392E-2</v>
      </c>
      <c r="AA49" s="10">
        <v>3.9465509973153567E-2</v>
      </c>
    </row>
    <row r="50" spans="2:27" hidden="1" x14ac:dyDescent="0.3">
      <c r="B50" s="3">
        <v>6250</v>
      </c>
      <c r="C50" s="3" t="s">
        <v>737</v>
      </c>
      <c r="D50" s="3" t="s">
        <v>738</v>
      </c>
      <c r="E50" s="3" t="s">
        <v>743</v>
      </c>
      <c r="F50" s="5">
        <v>1.9</v>
      </c>
      <c r="G50" s="4">
        <v>36037</v>
      </c>
      <c r="H50" s="4">
        <v>29893</v>
      </c>
      <c r="I50" s="4">
        <v>35348</v>
      </c>
      <c r="J50" s="4">
        <v>44292</v>
      </c>
      <c r="K50" s="4">
        <v>41970</v>
      </c>
      <c r="L50" s="4">
        <v>34549</v>
      </c>
      <c r="M50" s="4">
        <v>38861</v>
      </c>
      <c r="N50" s="4">
        <v>41292</v>
      </c>
      <c r="O50" s="4">
        <v>37668</v>
      </c>
      <c r="P50" s="4">
        <v>33579</v>
      </c>
      <c r="Q50" s="4">
        <v>40805</v>
      </c>
      <c r="R50" s="4">
        <v>45601</v>
      </c>
      <c r="S50" s="4">
        <v>40745</v>
      </c>
      <c r="T50" s="4">
        <v>37687</v>
      </c>
      <c r="U50" s="4">
        <v>43785</v>
      </c>
      <c r="V50" s="4">
        <v>47503</v>
      </c>
      <c r="W50" s="4">
        <v>44029</v>
      </c>
      <c r="X50" s="9">
        <v>2.5558389846326079E-2</v>
      </c>
      <c r="Y50" s="10">
        <v>1.8078355718948339E-2</v>
      </c>
      <c r="Z50" s="10">
        <v>1.1333706753745121E-2</v>
      </c>
      <c r="AA50" s="10">
        <v>1.9349516851284498E-2</v>
      </c>
    </row>
    <row r="51" spans="2:27" hidden="1" x14ac:dyDescent="0.3">
      <c r="B51" s="3">
        <v>6268</v>
      </c>
      <c r="C51" s="3" t="s">
        <v>737</v>
      </c>
      <c r="D51" s="3" t="s">
        <v>738</v>
      </c>
      <c r="E51" s="3" t="s">
        <v>743</v>
      </c>
      <c r="F51" s="5">
        <v>-23</v>
      </c>
      <c r="G51" s="4">
        <v>68408</v>
      </c>
      <c r="H51" s="4">
        <v>85685</v>
      </c>
      <c r="I51" s="4">
        <v>70386</v>
      </c>
      <c r="J51" s="4">
        <v>71809</v>
      </c>
      <c r="K51" s="4">
        <v>76737</v>
      </c>
      <c r="L51" s="4">
        <v>89759</v>
      </c>
      <c r="M51" s="4">
        <v>82193</v>
      </c>
      <c r="N51" s="4">
        <v>80804</v>
      </c>
      <c r="O51" s="4">
        <v>80587</v>
      </c>
      <c r="P51" s="4">
        <v>90047</v>
      </c>
      <c r="Q51" s="4">
        <v>72181</v>
      </c>
      <c r="R51" s="4">
        <v>80309</v>
      </c>
      <c r="S51" s="4">
        <v>77339</v>
      </c>
      <c r="T51" s="4">
        <v>93554</v>
      </c>
      <c r="U51" s="4">
        <v>81698</v>
      </c>
      <c r="V51" s="4">
        <v>83918</v>
      </c>
      <c r="W51" s="4">
        <v>0</v>
      </c>
      <c r="X51" s="9">
        <v>1.0963623404069089E-2</v>
      </c>
      <c r="Y51" s="10">
        <v>2.9429500004638509E-2</v>
      </c>
      <c r="Z51" s="10">
        <v>1.0841093421447789E-2</v>
      </c>
      <c r="AA51" s="10">
        <v>-0.22982743403593961</v>
      </c>
    </row>
    <row r="52" spans="2:27" hidden="1" x14ac:dyDescent="0.3">
      <c r="B52" s="3">
        <v>6278</v>
      </c>
      <c r="C52" s="3" t="s">
        <v>737</v>
      </c>
      <c r="D52" s="3" t="s">
        <v>738</v>
      </c>
      <c r="E52" s="3" t="s">
        <v>743</v>
      </c>
      <c r="F52" s="5">
        <v>7.8</v>
      </c>
      <c r="G52" s="4">
        <v>7223</v>
      </c>
      <c r="H52" s="4">
        <v>7670</v>
      </c>
      <c r="I52" s="4">
        <v>7475</v>
      </c>
      <c r="J52" s="4">
        <v>7851</v>
      </c>
      <c r="K52" s="4">
        <v>7774</v>
      </c>
      <c r="L52" s="4">
        <v>5991</v>
      </c>
      <c r="M52" s="4">
        <v>5792</v>
      </c>
      <c r="N52" s="4">
        <v>6526</v>
      </c>
      <c r="O52" s="4">
        <v>6661</v>
      </c>
      <c r="P52" s="4">
        <v>6359</v>
      </c>
      <c r="Q52" s="4">
        <v>7423</v>
      </c>
      <c r="R52" s="4">
        <v>8371</v>
      </c>
      <c r="S52" s="4">
        <v>7031</v>
      </c>
      <c r="T52" s="6">
        <v>9781</v>
      </c>
      <c r="U52" s="4">
        <v>8802</v>
      </c>
      <c r="V52" s="4">
        <v>9445</v>
      </c>
      <c r="W52" s="4">
        <v>9768</v>
      </c>
      <c r="X52" s="7">
        <v>0.1172560307017543</v>
      </c>
      <c r="Y52" s="10">
        <v>4.2292829540575338E-2</v>
      </c>
      <c r="Z52" s="10">
        <v>3.1602177431219618E-2</v>
      </c>
      <c r="AA52" s="10">
        <v>7.8068398984568965E-2</v>
      </c>
    </row>
    <row r="53" spans="2:27" x14ac:dyDescent="0.3">
      <c r="B53" s="12" t="s">
        <v>221</v>
      </c>
      <c r="C53" s="3" t="s">
        <v>671</v>
      </c>
      <c r="D53" s="3" t="s">
        <v>697</v>
      </c>
      <c r="E53" s="3" t="s">
        <v>673</v>
      </c>
      <c r="F53" s="5">
        <v>3.7</v>
      </c>
      <c r="G53" s="4">
        <v>597.17999999999995</v>
      </c>
      <c r="H53" s="4">
        <v>596.66</v>
      </c>
      <c r="I53" s="4">
        <v>557.70000000000005</v>
      </c>
      <c r="J53" s="4">
        <v>561.33000000000004</v>
      </c>
      <c r="K53" s="4">
        <v>601.61</v>
      </c>
      <c r="L53" s="4">
        <v>636.14</v>
      </c>
      <c r="M53" s="4">
        <v>672.9</v>
      </c>
      <c r="N53" s="4">
        <v>659.36</v>
      </c>
      <c r="O53" s="4">
        <v>716.57</v>
      </c>
      <c r="P53" s="4">
        <v>663.31</v>
      </c>
      <c r="Q53" s="4">
        <v>667.29</v>
      </c>
      <c r="R53" s="4">
        <v>690.16</v>
      </c>
      <c r="S53" s="4">
        <v>712.9</v>
      </c>
      <c r="T53" s="4">
        <v>738.28</v>
      </c>
      <c r="U53" s="4">
        <v>731.7</v>
      </c>
      <c r="V53" s="4">
        <v>725.39</v>
      </c>
      <c r="W53" s="4">
        <v>820.38</v>
      </c>
      <c r="X53" s="9">
        <v>2.742477118588282E-2</v>
      </c>
      <c r="Y53" s="10">
        <v>2.293288898858159E-2</v>
      </c>
      <c r="Z53" s="10">
        <v>1.226227271461577E-2</v>
      </c>
      <c r="AA53" s="10">
        <v>3.6956678712774187E-2</v>
      </c>
    </row>
    <row r="54" spans="2:27" hidden="1" x14ac:dyDescent="0.3">
      <c r="B54" s="3">
        <v>6326</v>
      </c>
      <c r="C54" s="3" t="s">
        <v>737</v>
      </c>
      <c r="D54" s="3" t="s">
        <v>738</v>
      </c>
      <c r="E54" s="3" t="s">
        <v>743</v>
      </c>
      <c r="F54" s="5">
        <v>1.8</v>
      </c>
      <c r="G54" s="4">
        <v>540235</v>
      </c>
      <c r="H54" s="4">
        <v>555126</v>
      </c>
      <c r="I54" s="4">
        <v>593223</v>
      </c>
      <c r="J54" s="4">
        <v>667257</v>
      </c>
      <c r="K54" s="4">
        <v>693700</v>
      </c>
      <c r="L54" s="4">
        <v>724592</v>
      </c>
      <c r="M54" s="4">
        <v>781563</v>
      </c>
      <c r="N54" s="4">
        <v>738477</v>
      </c>
      <c r="O54" s="4">
        <v>738191</v>
      </c>
      <c r="P54" s="4">
        <v>762480</v>
      </c>
      <c r="Q54" s="4">
        <v>775232</v>
      </c>
      <c r="R54" s="4">
        <v>804367</v>
      </c>
      <c r="S54" s="4">
        <v>698326</v>
      </c>
      <c r="T54" s="4">
        <v>738356</v>
      </c>
      <c r="U54" s="4">
        <v>712556</v>
      </c>
      <c r="V54" s="4">
        <v>742377</v>
      </c>
      <c r="W54" s="4">
        <v>749349</v>
      </c>
      <c r="X54" s="9">
        <v>-7.9344692565628261E-3</v>
      </c>
      <c r="Y54" s="10">
        <v>-2.0779231112751151E-2</v>
      </c>
      <c r="Z54" s="10">
        <v>-2.098791138286937E-2</v>
      </c>
      <c r="AA54" s="10">
        <v>1.7645156772253531E-2</v>
      </c>
    </row>
    <row r="55" spans="2:27" hidden="1" x14ac:dyDescent="0.3">
      <c r="B55" s="3">
        <v>6383</v>
      </c>
      <c r="C55" s="3" t="s">
        <v>737</v>
      </c>
      <c r="D55" s="3" t="s">
        <v>738</v>
      </c>
      <c r="E55" s="3" t="s">
        <v>743</v>
      </c>
      <c r="F55" s="5">
        <v>0.3</v>
      </c>
      <c r="G55" s="4">
        <v>123202</v>
      </c>
      <c r="H55" s="4">
        <v>126058</v>
      </c>
      <c r="I55" s="4">
        <v>142788</v>
      </c>
      <c r="J55" s="4">
        <v>130211</v>
      </c>
      <c r="K55" s="4">
        <v>147571</v>
      </c>
      <c r="L55" s="4">
        <v>157907</v>
      </c>
      <c r="M55" s="4">
        <v>166233</v>
      </c>
      <c r="N55" s="4">
        <v>134552</v>
      </c>
      <c r="O55" s="4">
        <v>146715</v>
      </c>
      <c r="P55" s="4">
        <v>156122</v>
      </c>
      <c r="Q55" s="4">
        <v>174088</v>
      </c>
      <c r="R55" s="4">
        <v>145091</v>
      </c>
      <c r="S55" s="4">
        <v>157530</v>
      </c>
      <c r="T55" s="6">
        <v>260607</v>
      </c>
      <c r="U55" s="4">
        <v>160256</v>
      </c>
      <c r="V55" s="4">
        <v>166233</v>
      </c>
      <c r="W55" s="4">
        <v>159525</v>
      </c>
      <c r="X55" s="7">
        <v>0.16510727192568009</v>
      </c>
      <c r="Y55" s="10">
        <v>-1.8759934682008761E-2</v>
      </c>
      <c r="Z55" s="10">
        <v>2.922248453317566E-2</v>
      </c>
      <c r="AA55" s="10">
        <v>2.6791973420212671E-3</v>
      </c>
    </row>
    <row r="56" spans="2:27" hidden="1" x14ac:dyDescent="0.3">
      <c r="B56" s="3">
        <v>6481</v>
      </c>
      <c r="C56" s="3" t="s">
        <v>737</v>
      </c>
      <c r="D56" s="3" t="s">
        <v>738</v>
      </c>
      <c r="E56" s="3" t="s">
        <v>743</v>
      </c>
      <c r="F56" s="5">
        <v>1.9</v>
      </c>
      <c r="G56" s="4">
        <v>79106</v>
      </c>
      <c r="H56" s="4">
        <v>88042</v>
      </c>
      <c r="I56" s="4">
        <v>88097</v>
      </c>
      <c r="J56" s="4">
        <v>98572</v>
      </c>
      <c r="K56" s="4">
        <v>100865</v>
      </c>
      <c r="L56" s="4">
        <v>106151</v>
      </c>
      <c r="M56" s="4">
        <v>93537</v>
      </c>
      <c r="N56" s="4">
        <v>92056</v>
      </c>
      <c r="O56" s="4">
        <v>82526</v>
      </c>
      <c r="P56" s="4">
        <v>83820</v>
      </c>
      <c r="Q56" s="4">
        <v>85127</v>
      </c>
      <c r="R56" s="4">
        <v>94723</v>
      </c>
      <c r="S56" s="4">
        <v>85279</v>
      </c>
      <c r="T56" s="4">
        <v>87629</v>
      </c>
      <c r="U56" s="4">
        <v>84946</v>
      </c>
      <c r="V56" s="4">
        <v>91300</v>
      </c>
      <c r="W56" s="4">
        <v>91981</v>
      </c>
      <c r="X56" s="9">
        <v>1.0915635236094619E-2</v>
      </c>
      <c r="Y56" s="10">
        <v>-5.1309963204237974E-4</v>
      </c>
      <c r="Z56" s="10">
        <v>-9.7085175720480477E-3</v>
      </c>
      <c r="AA56" s="10">
        <v>1.9194968409355081E-2</v>
      </c>
    </row>
    <row r="57" spans="2:27" hidden="1" x14ac:dyDescent="0.3">
      <c r="B57" s="3">
        <v>6498</v>
      </c>
      <c r="C57" s="3" t="s">
        <v>737</v>
      </c>
      <c r="D57" s="3" t="s">
        <v>738</v>
      </c>
      <c r="E57" s="3" t="s">
        <v>743</v>
      </c>
      <c r="F57" s="5">
        <v>0.5</v>
      </c>
      <c r="G57" s="4">
        <v>34730</v>
      </c>
      <c r="H57" s="4">
        <v>37943</v>
      </c>
      <c r="I57" s="4">
        <v>36750</v>
      </c>
      <c r="J57" s="4">
        <v>40182</v>
      </c>
      <c r="K57" s="4">
        <v>41327</v>
      </c>
      <c r="L57" s="4">
        <v>41655</v>
      </c>
      <c r="M57" s="4">
        <v>39241</v>
      </c>
      <c r="N57" s="4">
        <v>42033</v>
      </c>
      <c r="O57" s="4">
        <v>42084</v>
      </c>
      <c r="P57" s="4">
        <v>43583</v>
      </c>
      <c r="Q57" s="4">
        <v>40211</v>
      </c>
      <c r="R57" s="4">
        <v>43586</v>
      </c>
      <c r="S57" s="4">
        <v>43498</v>
      </c>
      <c r="T57" s="4">
        <v>44747</v>
      </c>
      <c r="U57" s="4">
        <v>41740</v>
      </c>
      <c r="V57" s="4">
        <v>44640</v>
      </c>
      <c r="W57" s="4">
        <v>44436</v>
      </c>
      <c r="X57" s="9">
        <v>6.8118774798393567E-3</v>
      </c>
      <c r="Y57" s="10">
        <v>8.8873647132676759E-3</v>
      </c>
      <c r="Z57" s="10">
        <v>6.0724429772254229E-3</v>
      </c>
      <c r="AA57" s="10">
        <v>5.3715103793843264E-3</v>
      </c>
    </row>
    <row r="58" spans="2:27" x14ac:dyDescent="0.3">
      <c r="B58" s="12" t="s">
        <v>168</v>
      </c>
      <c r="C58" s="3" t="s">
        <v>671</v>
      </c>
      <c r="D58" s="3" t="s">
        <v>698</v>
      </c>
      <c r="E58" s="3" t="s">
        <v>673</v>
      </c>
      <c r="F58" s="5">
        <v>3.7</v>
      </c>
      <c r="G58" s="4">
        <v>146.1</v>
      </c>
      <c r="H58" s="4">
        <v>159.52000000000001</v>
      </c>
      <c r="I58" s="4">
        <v>172.21</v>
      </c>
      <c r="J58" s="4">
        <v>186.43</v>
      </c>
      <c r="K58" s="4">
        <v>202.05</v>
      </c>
      <c r="L58" s="4">
        <v>213.53</v>
      </c>
      <c r="M58" s="4">
        <v>228.54</v>
      </c>
      <c r="N58" s="4">
        <v>247.91</v>
      </c>
      <c r="O58" s="4">
        <v>260.04000000000002</v>
      </c>
      <c r="P58" s="4">
        <v>269.43</v>
      </c>
      <c r="Q58" s="4">
        <v>284.35000000000002</v>
      </c>
      <c r="R58" s="4">
        <v>295.89</v>
      </c>
      <c r="S58" s="4">
        <v>302.05</v>
      </c>
      <c r="T58" s="4">
        <v>310.63</v>
      </c>
      <c r="U58" s="4">
        <v>323.92</v>
      </c>
      <c r="V58" s="4">
        <v>338.85</v>
      </c>
      <c r="W58" s="4">
        <v>349.11</v>
      </c>
      <c r="X58" s="9">
        <v>3.5772583614072977E-2</v>
      </c>
      <c r="Y58" s="10">
        <v>3.3170707172316627E-2</v>
      </c>
      <c r="Z58" s="10">
        <v>3.485626658228469E-2</v>
      </c>
      <c r="AA58" s="10">
        <v>3.6896781528088063E-2</v>
      </c>
    </row>
    <row r="59" spans="2:27" hidden="1" x14ac:dyDescent="0.3">
      <c r="B59" s="3">
        <v>6524</v>
      </c>
      <c r="C59" s="3" t="s">
        <v>737</v>
      </c>
      <c r="D59" s="3" t="s">
        <v>738</v>
      </c>
      <c r="E59" s="3" t="s">
        <v>743</v>
      </c>
      <c r="F59" s="5">
        <v>1.1000000000000001</v>
      </c>
      <c r="G59" s="3"/>
      <c r="H59" s="4">
        <v>3951</v>
      </c>
      <c r="I59" s="4">
        <v>3954</v>
      </c>
      <c r="J59" s="4">
        <v>4004</v>
      </c>
      <c r="K59" s="4">
        <v>3943</v>
      </c>
      <c r="L59" s="4">
        <v>3772</v>
      </c>
      <c r="M59" s="4">
        <v>3521</v>
      </c>
      <c r="N59" s="4">
        <v>3502</v>
      </c>
      <c r="O59" s="4">
        <v>3332</v>
      </c>
      <c r="P59" s="4">
        <v>3117</v>
      </c>
      <c r="Q59" s="4">
        <v>3413</v>
      </c>
      <c r="R59" s="4">
        <v>4294</v>
      </c>
      <c r="S59" s="4">
        <v>4430</v>
      </c>
      <c r="T59" s="4">
        <v>3787</v>
      </c>
      <c r="U59" s="4">
        <v>3558</v>
      </c>
      <c r="V59" s="4">
        <v>4317</v>
      </c>
      <c r="W59" s="4">
        <v>4605</v>
      </c>
      <c r="X59" s="9">
        <v>4.3922905467418387E-2</v>
      </c>
      <c r="Y59" s="10">
        <v>9.1057523235367199E-3</v>
      </c>
      <c r="Z59" s="10">
        <v>1.4313274005850469E-3</v>
      </c>
      <c r="AA59" s="10">
        <v>1.0874968928660239E-2</v>
      </c>
    </row>
    <row r="60" spans="2:27" x14ac:dyDescent="0.3">
      <c r="B60" s="12" t="s">
        <v>280</v>
      </c>
      <c r="C60" s="3" t="s">
        <v>671</v>
      </c>
      <c r="D60" s="3" t="s">
        <v>679</v>
      </c>
      <c r="E60" s="3" t="s">
        <v>673</v>
      </c>
      <c r="F60" s="5">
        <v>3.6</v>
      </c>
      <c r="G60" s="4">
        <v>-30.94</v>
      </c>
      <c r="H60" s="4">
        <v>158</v>
      </c>
      <c r="I60" s="4">
        <v>153.43</v>
      </c>
      <c r="J60" s="4">
        <v>136.38</v>
      </c>
      <c r="K60" s="6">
        <v>84.14</v>
      </c>
      <c r="L60" s="4">
        <v>160.49</v>
      </c>
      <c r="M60" s="4">
        <v>160.51</v>
      </c>
      <c r="N60" s="4">
        <v>160.97999999999999</v>
      </c>
      <c r="O60" s="6">
        <v>162.63999999999999</v>
      </c>
      <c r="P60" s="4">
        <v>166.15</v>
      </c>
      <c r="Q60" s="4">
        <v>176.22</v>
      </c>
      <c r="R60" s="4">
        <v>178.22</v>
      </c>
      <c r="S60" s="4">
        <v>182.65</v>
      </c>
      <c r="T60" s="4">
        <v>183.76</v>
      </c>
      <c r="U60" s="4">
        <v>189.98</v>
      </c>
      <c r="V60" s="4">
        <v>191.26</v>
      </c>
      <c r="W60" s="4">
        <v>209.63</v>
      </c>
      <c r="X60" s="9">
        <v>2.5041237699789502E-2</v>
      </c>
      <c r="Y60" s="10">
        <v>1.908857598668234E-2</v>
      </c>
      <c r="Z60" s="10">
        <v>1.7750915451736349E-2</v>
      </c>
      <c r="AA60" s="10">
        <v>3.6086404066073767E-2</v>
      </c>
    </row>
    <row r="61" spans="2:27" x14ac:dyDescent="0.3">
      <c r="B61" s="12" t="s">
        <v>35</v>
      </c>
      <c r="C61" s="3" t="s">
        <v>671</v>
      </c>
      <c r="D61" s="3" t="s">
        <v>700</v>
      </c>
      <c r="E61" s="3" t="s">
        <v>673</v>
      </c>
      <c r="F61" s="5">
        <v>3.5</v>
      </c>
      <c r="G61" s="4">
        <v>1285</v>
      </c>
      <c r="H61" s="4">
        <v>1324</v>
      </c>
      <c r="I61" s="4">
        <v>1393</v>
      </c>
      <c r="J61" s="4">
        <v>1433</v>
      </c>
      <c r="K61" s="4">
        <v>1513</v>
      </c>
      <c r="L61" s="4">
        <v>1603</v>
      </c>
      <c r="M61" s="4">
        <v>1648</v>
      </c>
      <c r="N61" s="4">
        <v>1658</v>
      </c>
      <c r="O61" s="4">
        <v>1731</v>
      </c>
      <c r="P61" s="4">
        <v>1824</v>
      </c>
      <c r="Q61" s="4">
        <v>1880</v>
      </c>
      <c r="R61" s="4">
        <v>1835</v>
      </c>
      <c r="S61" s="4">
        <v>1891</v>
      </c>
      <c r="T61" s="4">
        <v>1942</v>
      </c>
      <c r="U61" s="4">
        <v>2053</v>
      </c>
      <c r="V61" s="4">
        <v>2089</v>
      </c>
      <c r="W61" s="4">
        <v>2168</v>
      </c>
      <c r="X61" s="9">
        <v>1.5881561238223482E-2</v>
      </c>
      <c r="Y61" s="10">
        <v>2.2919978802331761E-2</v>
      </c>
      <c r="Z61" s="10">
        <v>3.2897293096749047E-2</v>
      </c>
      <c r="AA61" s="10">
        <v>3.4733542319749233E-2</v>
      </c>
    </row>
    <row r="62" spans="2:27" x14ac:dyDescent="0.3">
      <c r="B62" s="12" t="s">
        <v>575</v>
      </c>
      <c r="C62" s="3" t="s">
        <v>671</v>
      </c>
      <c r="D62" s="3" t="s">
        <v>693</v>
      </c>
      <c r="E62" s="3" t="s">
        <v>673</v>
      </c>
      <c r="F62" s="5">
        <v>3.5</v>
      </c>
      <c r="G62" s="4">
        <v>36.020000000000003</v>
      </c>
      <c r="H62" s="4">
        <v>33.17</v>
      </c>
      <c r="I62" s="4">
        <v>35.47</v>
      </c>
      <c r="J62" s="4">
        <v>32.31</v>
      </c>
      <c r="K62" s="4">
        <v>27.35</v>
      </c>
      <c r="L62" s="4">
        <v>38.9</v>
      </c>
      <c r="M62" s="4">
        <v>47.57</v>
      </c>
      <c r="N62" s="6">
        <v>55.69</v>
      </c>
      <c r="O62" s="6">
        <v>58.36</v>
      </c>
      <c r="P62" s="4">
        <v>38.81</v>
      </c>
      <c r="Q62" s="4">
        <v>36.01</v>
      </c>
      <c r="R62" s="4">
        <v>39.97</v>
      </c>
      <c r="S62" s="4">
        <v>39.22</v>
      </c>
      <c r="T62" s="4">
        <v>37.15</v>
      </c>
      <c r="U62" s="4">
        <v>39.770000000000003</v>
      </c>
      <c r="V62" s="4">
        <v>38.44</v>
      </c>
      <c r="W62" s="4">
        <v>44.65</v>
      </c>
      <c r="X62" s="9">
        <v>-1.077852087526787E-2</v>
      </c>
      <c r="Y62" s="10">
        <v>2.468001312766677E-2</v>
      </c>
      <c r="Z62" s="10">
        <v>-9.8007815002243426E-3</v>
      </c>
      <c r="AA62" s="10">
        <v>3.5127442101177353E-2</v>
      </c>
    </row>
    <row r="63" spans="2:27" hidden="1" x14ac:dyDescent="0.3">
      <c r="B63" s="3">
        <v>6856</v>
      </c>
      <c r="C63" s="3" t="s">
        <v>737</v>
      </c>
      <c r="D63" s="3" t="s">
        <v>738</v>
      </c>
      <c r="E63" s="3" t="s">
        <v>743</v>
      </c>
      <c r="F63" s="5">
        <v>2.5</v>
      </c>
      <c r="G63" s="4">
        <v>52640</v>
      </c>
      <c r="H63" s="4">
        <v>70357</v>
      </c>
      <c r="I63" s="4">
        <v>55510</v>
      </c>
      <c r="J63" s="4">
        <v>59455</v>
      </c>
      <c r="K63" s="4">
        <v>70156</v>
      </c>
      <c r="L63" s="4">
        <v>85012</v>
      </c>
      <c r="M63" s="4">
        <v>65854</v>
      </c>
      <c r="N63" s="4">
        <v>65251</v>
      </c>
      <c r="O63" s="4">
        <v>69574</v>
      </c>
      <c r="P63" s="4">
        <v>89879</v>
      </c>
      <c r="Q63" s="4">
        <v>70252</v>
      </c>
      <c r="R63" s="4">
        <v>72468</v>
      </c>
      <c r="S63" s="4">
        <v>73159</v>
      </c>
      <c r="T63" s="4">
        <v>101490</v>
      </c>
      <c r="U63" s="4">
        <v>71877</v>
      </c>
      <c r="V63" s="4">
        <v>77066</v>
      </c>
      <c r="W63" s="4">
        <v>81302</v>
      </c>
      <c r="X63" s="9">
        <v>3.797447654681152E-2</v>
      </c>
      <c r="Y63" s="10">
        <v>5.1202228320976761E-3</v>
      </c>
      <c r="Z63" s="10">
        <v>1.4414064214373971E-2</v>
      </c>
      <c r="AA63" s="10">
        <v>2.5164404558827069E-2</v>
      </c>
    </row>
    <row r="64" spans="2:27" x14ac:dyDescent="0.3">
      <c r="B64" s="12" t="s">
        <v>227</v>
      </c>
      <c r="C64" s="3" t="s">
        <v>671</v>
      </c>
      <c r="D64" s="3" t="s">
        <v>699</v>
      </c>
      <c r="E64" s="3" t="s">
        <v>673</v>
      </c>
      <c r="F64" s="5">
        <v>3.5</v>
      </c>
      <c r="G64" s="4">
        <v>378.38</v>
      </c>
      <c r="H64" s="4">
        <v>386.68</v>
      </c>
      <c r="I64" s="4">
        <v>490.23</v>
      </c>
      <c r="J64" s="4">
        <v>407.55</v>
      </c>
      <c r="K64" s="4">
        <v>427.4</v>
      </c>
      <c r="L64" s="4">
        <v>447.51</v>
      </c>
      <c r="M64" s="4">
        <v>573.02</v>
      </c>
      <c r="N64" s="4">
        <v>487.35</v>
      </c>
      <c r="O64" s="4">
        <v>518.72</v>
      </c>
      <c r="P64" s="4">
        <v>537.89</v>
      </c>
      <c r="Q64" s="4">
        <v>680.25</v>
      </c>
      <c r="R64" s="4">
        <v>588.13</v>
      </c>
      <c r="S64" s="4">
        <v>649.41</v>
      </c>
      <c r="T64" s="4">
        <v>676.13</v>
      </c>
      <c r="U64" s="4">
        <v>840.86</v>
      </c>
      <c r="V64" s="4">
        <v>739.55</v>
      </c>
      <c r="W64" s="4">
        <v>751.21</v>
      </c>
      <c r="X64" s="9">
        <v>5.6293979671618637E-2</v>
      </c>
      <c r="Y64" s="10">
        <v>6.1917869479397807E-2</v>
      </c>
      <c r="Z64" s="10">
        <v>5.4971265515351142E-2</v>
      </c>
      <c r="AA64" s="10">
        <v>3.5031573151637303E-2</v>
      </c>
    </row>
    <row r="65" spans="2:27" x14ac:dyDescent="0.3">
      <c r="B65" s="12" t="s">
        <v>130</v>
      </c>
      <c r="C65" s="3" t="s">
        <v>671</v>
      </c>
      <c r="D65" s="3" t="s">
        <v>689</v>
      </c>
      <c r="E65" s="3" t="s">
        <v>673</v>
      </c>
      <c r="F65" s="5">
        <v>3.5</v>
      </c>
      <c r="G65" s="4">
        <v>842.74</v>
      </c>
      <c r="H65" s="4">
        <v>875.36</v>
      </c>
      <c r="I65" s="4">
        <v>943.35</v>
      </c>
      <c r="J65" s="4">
        <v>983.03</v>
      </c>
      <c r="K65" s="4">
        <v>1025</v>
      </c>
      <c r="L65" s="4">
        <v>1007</v>
      </c>
      <c r="M65" s="4">
        <v>1038</v>
      </c>
      <c r="N65" s="4">
        <v>1034</v>
      </c>
      <c r="O65" s="4">
        <v>1076</v>
      </c>
      <c r="P65" s="4">
        <v>1047</v>
      </c>
      <c r="Q65" s="4">
        <v>1083</v>
      </c>
      <c r="R65" s="4">
        <v>1134</v>
      </c>
      <c r="S65" s="4">
        <v>1195</v>
      </c>
      <c r="T65" s="4">
        <v>1172</v>
      </c>
      <c r="U65" s="4">
        <v>1228</v>
      </c>
      <c r="V65" s="4">
        <v>1300</v>
      </c>
      <c r="W65" s="4">
        <v>1366</v>
      </c>
      <c r="X65" s="9">
        <v>2.8033191298497458E-2</v>
      </c>
      <c r="Y65" s="10">
        <v>3.1631762652704953E-2</v>
      </c>
      <c r="Z65" s="10">
        <v>3.5102558680482072E-2</v>
      </c>
      <c r="AA65" s="10">
        <v>3.4933605720122607E-2</v>
      </c>
    </row>
    <row r="66" spans="2:27" x14ac:dyDescent="0.3">
      <c r="B66" s="12" t="s">
        <v>183</v>
      </c>
      <c r="C66" s="3" t="s">
        <v>671</v>
      </c>
      <c r="D66" s="3" t="s">
        <v>685</v>
      </c>
      <c r="E66" s="3" t="s">
        <v>673</v>
      </c>
      <c r="F66" s="5">
        <v>3.3</v>
      </c>
      <c r="G66" s="4">
        <v>121.52</v>
      </c>
      <c r="H66" s="4">
        <v>133.96</v>
      </c>
      <c r="I66" s="4">
        <v>141.63</v>
      </c>
      <c r="J66" s="4">
        <v>143.91</v>
      </c>
      <c r="K66" s="4">
        <v>151.24</v>
      </c>
      <c r="L66" s="4">
        <v>132.19</v>
      </c>
      <c r="M66" s="4">
        <v>122.7</v>
      </c>
      <c r="N66" s="4">
        <v>128.81</v>
      </c>
      <c r="O66" s="4">
        <v>134.22</v>
      </c>
      <c r="P66" s="4">
        <v>141.80000000000001</v>
      </c>
      <c r="Q66" s="4">
        <v>156.86000000000001</v>
      </c>
      <c r="R66" s="4">
        <v>178.97</v>
      </c>
      <c r="S66" s="4">
        <v>194.77</v>
      </c>
      <c r="T66" s="6">
        <v>213.36</v>
      </c>
      <c r="U66" s="4">
        <v>219.99</v>
      </c>
      <c r="V66" s="4">
        <v>224.61</v>
      </c>
      <c r="W66" s="4">
        <v>222.62</v>
      </c>
      <c r="X66" s="7">
        <v>0.10642474717430089</v>
      </c>
      <c r="Y66" s="10">
        <v>8.4856712726490757E-2</v>
      </c>
      <c r="Z66" s="10">
        <v>5.6548835941468763E-2</v>
      </c>
      <c r="AA66" s="10">
        <v>3.2659810256470363E-2</v>
      </c>
    </row>
    <row r="67" spans="2:27" x14ac:dyDescent="0.3">
      <c r="B67" s="12" t="s">
        <v>190</v>
      </c>
      <c r="C67" s="3" t="s">
        <v>671</v>
      </c>
      <c r="D67" s="3" t="s">
        <v>684</v>
      </c>
      <c r="E67" s="3" t="s">
        <v>673</v>
      </c>
      <c r="F67" s="5">
        <v>3.3</v>
      </c>
      <c r="G67" s="4">
        <v>3202</v>
      </c>
      <c r="H67" s="4">
        <v>3073</v>
      </c>
      <c r="I67" s="4">
        <v>3352</v>
      </c>
      <c r="J67" s="4">
        <v>3493</v>
      </c>
      <c r="K67" s="4">
        <v>3027</v>
      </c>
      <c r="L67" s="4">
        <v>2971</v>
      </c>
      <c r="M67" s="4">
        <v>3396</v>
      </c>
      <c r="N67" s="4">
        <v>3997</v>
      </c>
      <c r="O67" s="4">
        <v>3879</v>
      </c>
      <c r="P67" s="4">
        <v>3872</v>
      </c>
      <c r="Q67" s="4">
        <v>4016</v>
      </c>
      <c r="R67" s="4">
        <v>4120</v>
      </c>
      <c r="S67" s="4">
        <v>4244</v>
      </c>
      <c r="T67" s="4">
        <v>4167</v>
      </c>
      <c r="U67" s="4">
        <v>4280</v>
      </c>
      <c r="V67" s="4">
        <v>4519</v>
      </c>
      <c r="W67" s="4">
        <v>4808</v>
      </c>
      <c r="X67" s="9">
        <v>1.8151612109278851E-2</v>
      </c>
      <c r="Y67" s="10">
        <v>1.5954553695533891E-2</v>
      </c>
      <c r="Z67" s="10">
        <v>2.3734459580036841E-2</v>
      </c>
      <c r="AA67" s="10">
        <v>3.2771644392794792E-2</v>
      </c>
    </row>
    <row r="68" spans="2:27" x14ac:dyDescent="0.3">
      <c r="B68" s="12" t="s">
        <v>86</v>
      </c>
      <c r="C68" s="3" t="s">
        <v>671</v>
      </c>
      <c r="D68" s="3" t="s">
        <v>693</v>
      </c>
      <c r="E68" s="3" t="s">
        <v>673</v>
      </c>
      <c r="F68" s="5">
        <v>3.2</v>
      </c>
      <c r="G68" s="4">
        <v>698.2</v>
      </c>
      <c r="H68" s="4">
        <v>628.79999999999995</v>
      </c>
      <c r="I68" s="4">
        <v>696.2</v>
      </c>
      <c r="J68" s="4">
        <v>769.6</v>
      </c>
      <c r="K68" s="4">
        <v>815.2</v>
      </c>
      <c r="L68" s="4">
        <v>741.5</v>
      </c>
      <c r="M68" s="4">
        <v>871.3</v>
      </c>
      <c r="N68" s="4">
        <v>975</v>
      </c>
      <c r="O68" s="4">
        <v>1035</v>
      </c>
      <c r="P68" s="4">
        <v>921</v>
      </c>
      <c r="Q68" s="4">
        <v>1004</v>
      </c>
      <c r="R68" s="4">
        <v>994.2</v>
      </c>
      <c r="S68" s="4">
        <v>1114</v>
      </c>
      <c r="T68" s="4">
        <v>1036</v>
      </c>
      <c r="U68" s="4">
        <v>1157</v>
      </c>
      <c r="V68" s="4">
        <v>1209</v>
      </c>
      <c r="W68" s="4">
        <v>1260</v>
      </c>
      <c r="X68" s="9">
        <v>2.851333928394317E-2</v>
      </c>
      <c r="Y68" s="10">
        <v>3.6883467528084468E-2</v>
      </c>
      <c r="Z68" s="10">
        <v>4.9939551752999238E-2</v>
      </c>
      <c r="AA68" s="10">
        <v>3.2329495128432313E-2</v>
      </c>
    </row>
    <row r="69" spans="2:27" x14ac:dyDescent="0.3">
      <c r="B69" s="12" t="s">
        <v>54</v>
      </c>
      <c r="C69" s="3" t="s">
        <v>671</v>
      </c>
      <c r="D69" s="3" t="s">
        <v>701</v>
      </c>
      <c r="E69" s="3" t="s">
        <v>673</v>
      </c>
      <c r="F69" s="5">
        <v>3.1</v>
      </c>
      <c r="G69" s="4">
        <v>8550</v>
      </c>
      <c r="H69" s="4">
        <v>7333</v>
      </c>
      <c r="I69" s="4">
        <v>7771</v>
      </c>
      <c r="J69" s="4">
        <v>7530</v>
      </c>
      <c r="K69" s="4">
        <v>8194</v>
      </c>
      <c r="L69" s="4">
        <v>7411</v>
      </c>
      <c r="M69" s="4">
        <v>7720</v>
      </c>
      <c r="N69" s="4">
        <v>7868</v>
      </c>
      <c r="O69" s="4">
        <v>8950</v>
      </c>
      <c r="P69" s="4">
        <v>7935</v>
      </c>
      <c r="Q69" s="4">
        <v>8391</v>
      </c>
      <c r="R69" s="4">
        <v>9036</v>
      </c>
      <c r="S69" s="4">
        <v>10404</v>
      </c>
      <c r="T69" s="4">
        <v>8910</v>
      </c>
      <c r="U69" s="4">
        <v>9754</v>
      </c>
      <c r="V69" s="4">
        <v>10258</v>
      </c>
      <c r="W69" s="4">
        <v>11629</v>
      </c>
      <c r="X69" s="9">
        <v>2.7260526757255429E-2</v>
      </c>
      <c r="Y69" s="10">
        <v>3.7097520481206292E-2</v>
      </c>
      <c r="Z69" s="10">
        <v>3.2070123871509537E-2</v>
      </c>
      <c r="AA69" s="10">
        <v>3.1149875400498409E-2</v>
      </c>
    </row>
    <row r="70" spans="2:27" hidden="1" x14ac:dyDescent="0.3">
      <c r="B70" s="3">
        <v>7718</v>
      </c>
      <c r="C70" s="3" t="s">
        <v>737</v>
      </c>
      <c r="D70" s="3" t="s">
        <v>738</v>
      </c>
      <c r="E70" s="3" t="s">
        <v>743</v>
      </c>
      <c r="F70" s="5">
        <v>1.4</v>
      </c>
      <c r="G70" s="4">
        <v>17717</v>
      </c>
      <c r="H70" s="4">
        <v>18713</v>
      </c>
      <c r="I70" s="4">
        <v>17539</v>
      </c>
      <c r="J70" s="4">
        <v>21713</v>
      </c>
      <c r="K70" s="4">
        <v>22405</v>
      </c>
      <c r="L70" s="4">
        <v>25711</v>
      </c>
      <c r="M70" s="4">
        <v>21116</v>
      </c>
      <c r="N70" s="4">
        <v>21810</v>
      </c>
      <c r="O70" s="4">
        <v>17842</v>
      </c>
      <c r="P70" s="4">
        <v>17428</v>
      </c>
      <c r="Q70" s="4">
        <v>13920</v>
      </c>
      <c r="R70" s="4">
        <v>17066</v>
      </c>
      <c r="S70" s="4">
        <v>17062</v>
      </c>
      <c r="T70" s="4">
        <v>16946</v>
      </c>
      <c r="U70" s="4">
        <v>15629</v>
      </c>
      <c r="V70" s="4">
        <v>17972</v>
      </c>
      <c r="W70" s="4">
        <v>18041</v>
      </c>
      <c r="X70" s="9">
        <v>-7.3614759606573932E-3</v>
      </c>
      <c r="Y70" s="10">
        <v>2.6294734898606009E-2</v>
      </c>
      <c r="Z70" s="10">
        <v>1.3582597484371069E-2</v>
      </c>
      <c r="AA70" s="10">
        <v>1.448032066736671E-2</v>
      </c>
    </row>
    <row r="71" spans="2:27" x14ac:dyDescent="0.3">
      <c r="B71" s="12" t="s">
        <v>379</v>
      </c>
      <c r="C71" s="3" t="s">
        <v>671</v>
      </c>
      <c r="D71" s="3" t="s">
        <v>698</v>
      </c>
      <c r="E71" s="3" t="s">
        <v>673</v>
      </c>
      <c r="F71" s="5">
        <v>3.1</v>
      </c>
      <c r="G71" s="4">
        <v>1060</v>
      </c>
      <c r="H71" s="4">
        <v>829.8</v>
      </c>
      <c r="I71" s="4">
        <v>851.7</v>
      </c>
      <c r="J71" s="4">
        <v>810.4</v>
      </c>
      <c r="K71" s="4">
        <v>968.8</v>
      </c>
      <c r="L71" s="4">
        <v>858.1</v>
      </c>
      <c r="M71" s="4">
        <v>922.2</v>
      </c>
      <c r="N71" s="4">
        <v>943.4</v>
      </c>
      <c r="O71" s="4">
        <v>1037</v>
      </c>
      <c r="P71" s="4">
        <v>895.4</v>
      </c>
      <c r="Q71" s="4">
        <v>939.7</v>
      </c>
      <c r="R71" s="4">
        <v>927.1</v>
      </c>
      <c r="S71" s="4">
        <v>988.9</v>
      </c>
      <c r="T71" s="4">
        <v>841.1</v>
      </c>
      <c r="U71" s="4">
        <v>915.2</v>
      </c>
      <c r="V71" s="4">
        <v>945.2</v>
      </c>
      <c r="W71" s="4">
        <v>1104</v>
      </c>
      <c r="X71" s="9">
        <v>-1.447575377889143E-2</v>
      </c>
      <c r="Y71" s="10">
        <v>-6.6273533867128309E-3</v>
      </c>
      <c r="Z71" s="10">
        <v>4.928791220760731E-3</v>
      </c>
      <c r="AA71" s="10">
        <v>3.1189030999349669E-2</v>
      </c>
    </row>
    <row r="72" spans="2:27" hidden="1" x14ac:dyDescent="0.3">
      <c r="B72" s="3">
        <v>7976</v>
      </c>
      <c r="C72" s="3" t="s">
        <v>737</v>
      </c>
      <c r="D72" s="3" t="s">
        <v>738</v>
      </c>
      <c r="E72" s="3" t="s">
        <v>743</v>
      </c>
      <c r="F72" s="5">
        <v>0.4</v>
      </c>
      <c r="G72" s="4">
        <v>13965</v>
      </c>
      <c r="H72" s="4">
        <v>17310</v>
      </c>
      <c r="I72" s="4">
        <v>18106</v>
      </c>
      <c r="J72" s="4">
        <v>15775</v>
      </c>
      <c r="K72" s="4">
        <v>16242</v>
      </c>
      <c r="L72" s="4">
        <v>18874</v>
      </c>
      <c r="M72" s="4">
        <v>18955</v>
      </c>
      <c r="N72" s="4">
        <v>17285</v>
      </c>
      <c r="O72" s="4">
        <v>16889</v>
      </c>
      <c r="P72" s="4">
        <v>21672</v>
      </c>
      <c r="Q72" s="4">
        <v>20073</v>
      </c>
      <c r="R72" s="4">
        <v>22361</v>
      </c>
      <c r="S72" s="4">
        <v>20478</v>
      </c>
      <c r="T72" s="4">
        <v>25908</v>
      </c>
      <c r="U72" s="4">
        <v>22588</v>
      </c>
      <c r="V72" s="4">
        <v>20657</v>
      </c>
      <c r="W72" s="4">
        <v>20836</v>
      </c>
      <c r="X72" s="9">
        <v>5.0080393455026913E-2</v>
      </c>
      <c r="Y72" s="10">
        <v>2.8315694663364029E-2</v>
      </c>
      <c r="Z72" s="10">
        <v>-1.865659385777629E-2</v>
      </c>
      <c r="AA72" s="10">
        <v>3.9941538083920758E-3</v>
      </c>
    </row>
    <row r="73" spans="2:27" x14ac:dyDescent="0.3">
      <c r="B73" s="12" t="s">
        <v>366</v>
      </c>
      <c r="C73" s="3" t="s">
        <v>671</v>
      </c>
      <c r="D73" s="3" t="s">
        <v>702</v>
      </c>
      <c r="E73" s="3" t="s">
        <v>673</v>
      </c>
      <c r="F73" s="5">
        <v>3.1</v>
      </c>
      <c r="G73" s="4">
        <v>397.23</v>
      </c>
      <c r="H73" s="4">
        <v>449.05</v>
      </c>
      <c r="I73" s="4">
        <v>445.3</v>
      </c>
      <c r="J73" s="4">
        <v>428.19</v>
      </c>
      <c r="K73" s="4">
        <v>434.58</v>
      </c>
      <c r="L73" s="4">
        <v>442.53</v>
      </c>
      <c r="M73" s="4">
        <v>398.55</v>
      </c>
      <c r="N73" s="4">
        <v>403.07</v>
      </c>
      <c r="O73" s="4">
        <v>421.04</v>
      </c>
      <c r="P73" s="4">
        <v>385.29</v>
      </c>
      <c r="Q73" s="4">
        <v>425.87</v>
      </c>
      <c r="R73" s="4">
        <v>436.72</v>
      </c>
      <c r="S73" s="4">
        <v>436.87</v>
      </c>
      <c r="T73" s="4">
        <v>420.33</v>
      </c>
      <c r="U73" s="4">
        <v>431.66</v>
      </c>
      <c r="V73" s="4">
        <v>444.81</v>
      </c>
      <c r="W73" s="4">
        <v>489.75</v>
      </c>
      <c r="X73" s="9">
        <v>2.0798338032349099E-2</v>
      </c>
      <c r="Y73" s="10">
        <v>3.3666901191424792E-3</v>
      </c>
      <c r="Z73" s="10">
        <v>4.6882787236754986E-3</v>
      </c>
      <c r="AA73" s="10">
        <v>3.0501767925845021E-2</v>
      </c>
    </row>
    <row r="74" spans="2:27" x14ac:dyDescent="0.3">
      <c r="B74" s="12" t="s">
        <v>89</v>
      </c>
      <c r="C74" s="3" t="s">
        <v>671</v>
      </c>
      <c r="D74" s="3" t="s">
        <v>703</v>
      </c>
      <c r="E74" s="3" t="s">
        <v>673</v>
      </c>
      <c r="F74" s="5">
        <v>3</v>
      </c>
      <c r="G74" s="4">
        <v>2482</v>
      </c>
      <c r="H74" s="4">
        <v>3471</v>
      </c>
      <c r="I74" s="4">
        <v>2573</v>
      </c>
      <c r="J74" s="4">
        <v>3216</v>
      </c>
      <c r="K74" s="4">
        <v>3030</v>
      </c>
      <c r="L74" s="4">
        <v>3796</v>
      </c>
      <c r="M74" s="4">
        <v>2629</v>
      </c>
      <c r="N74" s="4">
        <v>2791</v>
      </c>
      <c r="O74" s="4">
        <v>2694</v>
      </c>
      <c r="P74" s="4">
        <v>3333</v>
      </c>
      <c r="Q74" s="4">
        <v>2534</v>
      </c>
      <c r="R74" s="4">
        <v>3063</v>
      </c>
      <c r="S74" s="4">
        <v>2971</v>
      </c>
      <c r="T74" s="4">
        <v>4118</v>
      </c>
      <c r="U74" s="4">
        <v>2838</v>
      </c>
      <c r="V74" s="4">
        <v>3221</v>
      </c>
      <c r="W74" s="4">
        <v>3370</v>
      </c>
      <c r="X74" s="9">
        <v>6.5960843626585941E-2</v>
      </c>
      <c r="Y74" s="10">
        <v>2.3963424247201551E-2</v>
      </c>
      <c r="Z74" s="10">
        <v>1.21632024634335E-2</v>
      </c>
      <c r="AA74" s="10">
        <v>3.034682080924855E-2</v>
      </c>
    </row>
    <row r="75" spans="2:27" x14ac:dyDescent="0.3">
      <c r="B75" s="12" t="s">
        <v>326</v>
      </c>
      <c r="C75" s="3" t="s">
        <v>671</v>
      </c>
      <c r="D75" s="3" t="s">
        <v>698</v>
      </c>
      <c r="E75" s="3" t="s">
        <v>673</v>
      </c>
      <c r="F75" s="5">
        <v>3</v>
      </c>
      <c r="G75" s="4">
        <v>102.76</v>
      </c>
      <c r="H75" s="4">
        <v>105.19</v>
      </c>
      <c r="I75" s="4">
        <v>109.18</v>
      </c>
      <c r="J75" s="4">
        <v>114.49</v>
      </c>
      <c r="K75" s="4">
        <v>122.02</v>
      </c>
      <c r="L75" s="4">
        <v>125.87</v>
      </c>
      <c r="M75" s="4">
        <v>130.41999999999999</v>
      </c>
      <c r="N75" s="4">
        <v>135.66</v>
      </c>
      <c r="O75" s="4">
        <v>144.97</v>
      </c>
      <c r="P75" s="4">
        <v>149.58000000000001</v>
      </c>
      <c r="Q75" s="4">
        <v>153.6</v>
      </c>
      <c r="R75" s="4">
        <v>163.69</v>
      </c>
      <c r="S75" s="4">
        <v>170.91</v>
      </c>
      <c r="T75" s="4">
        <v>181.55</v>
      </c>
      <c r="U75" s="4">
        <v>187.4</v>
      </c>
      <c r="V75" s="4">
        <v>189.9</v>
      </c>
      <c r="W75" s="4">
        <v>192.65</v>
      </c>
      <c r="X75" s="9">
        <v>5.0127003041801288E-2</v>
      </c>
      <c r="Y75" s="10">
        <v>5.04665920119447E-2</v>
      </c>
      <c r="Z75" s="10">
        <v>3.7253926515528502E-2</v>
      </c>
      <c r="AA75" s="10">
        <v>2.9790616092962189E-2</v>
      </c>
    </row>
    <row r="76" spans="2:27" hidden="1" x14ac:dyDescent="0.3">
      <c r="B76" s="3">
        <v>8113</v>
      </c>
      <c r="C76" s="3" t="s">
        <v>737</v>
      </c>
      <c r="D76" s="3" t="s">
        <v>738</v>
      </c>
      <c r="E76" s="3" t="s">
        <v>743</v>
      </c>
      <c r="F76" s="5">
        <v>-0.4</v>
      </c>
      <c r="G76" s="4">
        <v>194918</v>
      </c>
      <c r="H76" s="4">
        <v>210845</v>
      </c>
      <c r="I76" s="4">
        <v>204373</v>
      </c>
      <c r="J76" s="4">
        <v>217240</v>
      </c>
      <c r="K76" s="4">
        <v>232935</v>
      </c>
      <c r="L76" s="4">
        <v>243474</v>
      </c>
      <c r="M76" s="4">
        <v>220839</v>
      </c>
      <c r="N76" s="4">
        <v>233099</v>
      </c>
      <c r="O76" s="4">
        <v>233493</v>
      </c>
      <c r="P76" s="4">
        <v>254359</v>
      </c>
      <c r="Q76" s="4">
        <v>236281</v>
      </c>
      <c r="R76" s="4">
        <v>251448</v>
      </c>
      <c r="S76" s="4">
        <v>234323</v>
      </c>
      <c r="T76" s="4">
        <v>266929</v>
      </c>
      <c r="U76" s="4">
        <v>227520</v>
      </c>
      <c r="V76" s="4">
        <v>236650</v>
      </c>
      <c r="W76" s="4">
        <v>230055</v>
      </c>
      <c r="X76" s="9">
        <v>1.287367717078158E-2</v>
      </c>
      <c r="Y76" s="10">
        <v>-8.8586130572781974E-3</v>
      </c>
      <c r="Z76" s="10">
        <v>-1.509661096488546E-2</v>
      </c>
      <c r="AA76" s="10">
        <v>-4.4208646581495037E-3</v>
      </c>
    </row>
    <row r="77" spans="2:27" x14ac:dyDescent="0.3">
      <c r="B77" s="12" t="s">
        <v>138</v>
      </c>
      <c r="C77" s="3" t="s">
        <v>671</v>
      </c>
      <c r="D77" s="3" t="s">
        <v>704</v>
      </c>
      <c r="E77" s="3" t="s">
        <v>673</v>
      </c>
      <c r="F77" s="5">
        <v>3</v>
      </c>
      <c r="G77" s="4">
        <v>789.8</v>
      </c>
      <c r="H77" s="4">
        <v>921.3</v>
      </c>
      <c r="I77" s="4">
        <v>948.3</v>
      </c>
      <c r="J77" s="4">
        <v>938.2</v>
      </c>
      <c r="K77" s="4">
        <v>902.1</v>
      </c>
      <c r="L77" s="4">
        <v>940.3</v>
      </c>
      <c r="M77" s="4">
        <v>968</v>
      </c>
      <c r="N77" s="4">
        <v>968.7</v>
      </c>
      <c r="O77" s="4">
        <v>954.3</v>
      </c>
      <c r="P77" s="4">
        <v>1021</v>
      </c>
      <c r="Q77" s="4">
        <v>1041</v>
      </c>
      <c r="R77" s="4">
        <v>1085</v>
      </c>
      <c r="S77" s="4">
        <v>1037</v>
      </c>
      <c r="T77" s="4">
        <v>1096</v>
      </c>
      <c r="U77" s="4">
        <v>1140</v>
      </c>
      <c r="V77" s="4">
        <v>1170</v>
      </c>
      <c r="W77" s="4">
        <v>1171</v>
      </c>
      <c r="X77" s="9">
        <v>1.7925430210325111E-2</v>
      </c>
      <c r="Y77" s="10">
        <v>2.32448931674103E-2</v>
      </c>
      <c r="Z77" s="10">
        <v>1.9504359798072409E-2</v>
      </c>
      <c r="AA77" s="10">
        <v>3.015980193562906E-2</v>
      </c>
    </row>
    <row r="78" spans="2:27" x14ac:dyDescent="0.3">
      <c r="B78" s="12" t="s">
        <v>44</v>
      </c>
      <c r="C78" s="3" t="s">
        <v>671</v>
      </c>
      <c r="D78" s="3" t="s">
        <v>703</v>
      </c>
      <c r="E78" s="3" t="s">
        <v>673</v>
      </c>
      <c r="F78" s="5">
        <v>2.9</v>
      </c>
      <c r="G78" s="4">
        <v>4061</v>
      </c>
      <c r="H78" s="4">
        <v>4593</v>
      </c>
      <c r="I78" s="4">
        <v>4640</v>
      </c>
      <c r="J78" s="4">
        <v>5526</v>
      </c>
      <c r="K78" s="4">
        <v>4881</v>
      </c>
      <c r="L78" s="4">
        <v>4691</v>
      </c>
      <c r="M78" s="4">
        <v>4373</v>
      </c>
      <c r="N78" s="4">
        <v>5342</v>
      </c>
      <c r="O78" s="4">
        <v>4577</v>
      </c>
      <c r="P78" s="4">
        <v>5026</v>
      </c>
      <c r="Q78" s="4">
        <v>4579</v>
      </c>
      <c r="R78" s="4">
        <v>5420</v>
      </c>
      <c r="S78" s="4">
        <v>4696</v>
      </c>
      <c r="T78" s="4">
        <v>5463</v>
      </c>
      <c r="U78" s="4">
        <v>5087</v>
      </c>
      <c r="V78" s="4">
        <v>6010</v>
      </c>
      <c r="W78" s="4">
        <v>5315</v>
      </c>
      <c r="X78" s="9">
        <v>2.2159119720095429E-2</v>
      </c>
      <c r="Y78" s="10">
        <v>2.5200912788967189E-2</v>
      </c>
      <c r="Z78" s="10">
        <v>2.8549308042194799E-2</v>
      </c>
      <c r="AA78" s="10">
        <v>2.9121189311253289E-2</v>
      </c>
    </row>
    <row r="79" spans="2:27" x14ac:dyDescent="0.3">
      <c r="B79" s="12" t="s">
        <v>476</v>
      </c>
      <c r="C79" s="3" t="s">
        <v>671</v>
      </c>
      <c r="D79" s="3" t="s">
        <v>695</v>
      </c>
      <c r="E79" s="3" t="s">
        <v>673</v>
      </c>
      <c r="F79" s="5">
        <v>2.8</v>
      </c>
      <c r="G79" s="4">
        <v>194.38</v>
      </c>
      <c r="H79" s="4">
        <v>206</v>
      </c>
      <c r="I79" s="4">
        <v>219.41</v>
      </c>
      <c r="J79" s="4">
        <v>233.76</v>
      </c>
      <c r="K79" s="4">
        <v>246.01</v>
      </c>
      <c r="L79" s="4">
        <v>256.33</v>
      </c>
      <c r="M79" s="4">
        <v>270.57</v>
      </c>
      <c r="N79" s="4">
        <v>285.85000000000002</v>
      </c>
      <c r="O79" s="4">
        <v>295.86</v>
      </c>
      <c r="P79" s="4">
        <v>306.12</v>
      </c>
      <c r="Q79" s="4">
        <v>314.8</v>
      </c>
      <c r="R79" s="4">
        <v>327.45999999999998</v>
      </c>
      <c r="S79" s="4">
        <v>337.31</v>
      </c>
      <c r="T79" s="4">
        <v>341.98</v>
      </c>
      <c r="U79" s="4">
        <v>353.56</v>
      </c>
      <c r="V79" s="4">
        <v>366.92</v>
      </c>
      <c r="W79" s="4">
        <v>376.85</v>
      </c>
      <c r="X79" s="9">
        <v>2.78916379531613E-2</v>
      </c>
      <c r="Y79" s="10">
        <v>2.932919677651236E-2</v>
      </c>
      <c r="Z79" s="10">
        <v>2.90080937433379E-2</v>
      </c>
      <c r="AA79" s="10">
        <v>2.824749780321056E-2</v>
      </c>
    </row>
    <row r="80" spans="2:27" x14ac:dyDescent="0.3">
      <c r="B80" s="12" t="s">
        <v>132</v>
      </c>
      <c r="C80" s="3" t="s">
        <v>671</v>
      </c>
      <c r="D80" s="3" t="s">
        <v>705</v>
      </c>
      <c r="E80" s="3" t="s">
        <v>673</v>
      </c>
      <c r="F80" s="5">
        <v>2.7</v>
      </c>
      <c r="G80" s="4">
        <v>1467</v>
      </c>
      <c r="H80" s="4">
        <v>1432</v>
      </c>
      <c r="I80" s="4">
        <v>1468</v>
      </c>
      <c r="J80" s="4">
        <v>1378</v>
      </c>
      <c r="K80" s="4">
        <v>1503</v>
      </c>
      <c r="L80" s="4">
        <v>1405</v>
      </c>
      <c r="M80" s="4">
        <v>1214</v>
      </c>
      <c r="N80" s="4">
        <v>956</v>
      </c>
      <c r="O80" s="4">
        <v>1009</v>
      </c>
      <c r="P80" s="4">
        <v>1175</v>
      </c>
      <c r="Q80" s="4">
        <v>1217</v>
      </c>
      <c r="R80" s="4">
        <v>1255</v>
      </c>
      <c r="S80" s="4">
        <v>1334</v>
      </c>
      <c r="T80" s="4">
        <v>1308</v>
      </c>
      <c r="U80" s="4">
        <v>1293</v>
      </c>
      <c r="V80" s="4">
        <v>1320</v>
      </c>
      <c r="W80" s="4">
        <v>1475</v>
      </c>
      <c r="X80" s="9">
        <v>2.670146556916286E-2</v>
      </c>
      <c r="Y80" s="10">
        <v>1.486116542823623E-2</v>
      </c>
      <c r="Z80" s="10">
        <v>1.252408477842004E-2</v>
      </c>
      <c r="AA80" s="10">
        <v>2.6831588962892509E-2</v>
      </c>
    </row>
    <row r="81" spans="2:27" x14ac:dyDescent="0.3">
      <c r="B81" s="12" t="s">
        <v>68</v>
      </c>
      <c r="C81" s="3" t="s">
        <v>671</v>
      </c>
      <c r="D81" s="3" t="s">
        <v>706</v>
      </c>
      <c r="E81" s="3" t="s">
        <v>673</v>
      </c>
      <c r="F81" s="5">
        <v>2.6</v>
      </c>
      <c r="G81" s="4">
        <v>1419</v>
      </c>
      <c r="H81" s="4">
        <v>1337</v>
      </c>
      <c r="I81" s="4">
        <v>1440</v>
      </c>
      <c r="J81" s="4">
        <v>1516</v>
      </c>
      <c r="K81" s="4">
        <v>1624</v>
      </c>
      <c r="L81" s="4">
        <v>1629</v>
      </c>
      <c r="M81" s="4">
        <v>1687</v>
      </c>
      <c r="N81" s="4">
        <v>1739</v>
      </c>
      <c r="O81" s="4">
        <v>1821</v>
      </c>
      <c r="P81" s="4">
        <v>1670</v>
      </c>
      <c r="Q81" s="4">
        <v>1805</v>
      </c>
      <c r="R81" s="4">
        <v>1861</v>
      </c>
      <c r="S81" s="4">
        <v>1899</v>
      </c>
      <c r="T81" s="4">
        <v>1717</v>
      </c>
      <c r="U81" s="4">
        <v>1888</v>
      </c>
      <c r="V81" s="4">
        <v>1955</v>
      </c>
      <c r="W81" s="4">
        <v>2091</v>
      </c>
      <c r="X81" s="9">
        <v>6.4961990324809982E-3</v>
      </c>
      <c r="Y81" s="10">
        <v>1.1397967591321169E-2</v>
      </c>
      <c r="Z81" s="10">
        <v>1.276306856754927E-2</v>
      </c>
      <c r="AA81" s="10">
        <v>2.5740715913661338E-2</v>
      </c>
    </row>
    <row r="82" spans="2:27" hidden="1" x14ac:dyDescent="0.3">
      <c r="B82" s="3">
        <v>8804</v>
      </c>
      <c r="C82" s="3" t="s">
        <v>737</v>
      </c>
      <c r="D82" s="3" t="s">
        <v>738</v>
      </c>
      <c r="E82" s="3" t="s">
        <v>743</v>
      </c>
      <c r="F82" s="5">
        <v>2.1</v>
      </c>
      <c r="G82" s="4">
        <v>60586</v>
      </c>
      <c r="H82" s="4">
        <v>117301</v>
      </c>
      <c r="I82" s="4">
        <v>121684</v>
      </c>
      <c r="J82" s="4">
        <v>93382</v>
      </c>
      <c r="K82" s="4">
        <v>53389</v>
      </c>
      <c r="L82" s="4">
        <v>81485</v>
      </c>
      <c r="M82" s="4">
        <v>118393</v>
      </c>
      <c r="N82" s="4">
        <v>61277</v>
      </c>
      <c r="O82" s="4">
        <v>58529</v>
      </c>
      <c r="P82" s="6">
        <v>137747</v>
      </c>
      <c r="Q82" s="4">
        <v>116195</v>
      </c>
      <c r="R82" s="6">
        <v>161421</v>
      </c>
      <c r="S82" s="4">
        <v>82280</v>
      </c>
      <c r="T82" s="4">
        <v>103828</v>
      </c>
      <c r="U82" s="4">
        <v>104397</v>
      </c>
      <c r="V82" s="4">
        <v>82128</v>
      </c>
      <c r="W82" s="4">
        <v>90040</v>
      </c>
      <c r="X82" s="9">
        <v>-6.8159302954125756E-2</v>
      </c>
      <c r="Y82" s="10">
        <v>-2.5441857656709591E-2</v>
      </c>
      <c r="Z82" s="10">
        <v>-0.17545571620132491</v>
      </c>
      <c r="AA82" s="10">
        <v>2.082477934053073E-2</v>
      </c>
    </row>
    <row r="83" spans="2:27" x14ac:dyDescent="0.3">
      <c r="B83" s="12" t="s">
        <v>762</v>
      </c>
      <c r="C83" s="3" t="s">
        <v>671</v>
      </c>
      <c r="D83" s="3" t="s">
        <v>707</v>
      </c>
      <c r="E83" s="3" t="s">
        <v>673</v>
      </c>
      <c r="F83" s="5">
        <v>2.5</v>
      </c>
      <c r="G83" s="4">
        <v>1532</v>
      </c>
      <c r="H83" s="4">
        <v>1509</v>
      </c>
      <c r="I83" s="4">
        <v>2104</v>
      </c>
      <c r="J83" s="4">
        <v>2884</v>
      </c>
      <c r="K83" s="4">
        <v>1902</v>
      </c>
      <c r="L83" s="4">
        <v>1818</v>
      </c>
      <c r="M83" s="4">
        <v>2484</v>
      </c>
      <c r="N83" s="4">
        <v>3397</v>
      </c>
      <c r="O83" s="4">
        <v>2218</v>
      </c>
      <c r="P83" s="4">
        <v>2142</v>
      </c>
      <c r="Q83" s="4">
        <v>2748</v>
      </c>
      <c r="R83" s="4">
        <v>3732</v>
      </c>
      <c r="S83" s="4">
        <v>2480</v>
      </c>
      <c r="T83" s="4">
        <v>2272</v>
      </c>
      <c r="U83" s="4">
        <v>3096</v>
      </c>
      <c r="V83" s="4">
        <v>4095</v>
      </c>
      <c r="W83" s="4">
        <v>2778</v>
      </c>
      <c r="X83" s="9">
        <v>1.1709601873536309E-2</v>
      </c>
      <c r="Y83" s="10">
        <v>3.0982905982905869E-2</v>
      </c>
      <c r="Z83" s="10">
        <v>3.1347150259067418E-2</v>
      </c>
      <c r="AA83" s="10">
        <v>2.4951854642887069E-2</v>
      </c>
    </row>
    <row r="84" spans="2:27" x14ac:dyDescent="0.3">
      <c r="B84" s="12" t="s">
        <v>80</v>
      </c>
      <c r="C84" s="3" t="s">
        <v>671</v>
      </c>
      <c r="D84" s="3" t="s">
        <v>707</v>
      </c>
      <c r="E84" s="3" t="s">
        <v>673</v>
      </c>
      <c r="F84" s="5">
        <v>2.5</v>
      </c>
      <c r="G84" s="4">
        <v>2279</v>
      </c>
      <c r="H84" s="4">
        <v>2249</v>
      </c>
      <c r="I84" s="4">
        <v>3181</v>
      </c>
      <c r="J84" s="4">
        <v>3619</v>
      </c>
      <c r="K84" s="4">
        <v>2618</v>
      </c>
      <c r="L84" s="4">
        <v>2665</v>
      </c>
      <c r="M84" s="4">
        <v>3358</v>
      </c>
      <c r="N84" s="4">
        <v>3929</v>
      </c>
      <c r="O84" s="4">
        <v>2887</v>
      </c>
      <c r="P84" s="4">
        <v>2889</v>
      </c>
      <c r="Q84" s="4">
        <v>3558</v>
      </c>
      <c r="R84" s="4">
        <v>4060</v>
      </c>
      <c r="S84" s="4">
        <v>3184</v>
      </c>
      <c r="T84" s="4">
        <v>2988</v>
      </c>
      <c r="U84" s="4">
        <v>3786</v>
      </c>
      <c r="V84" s="4">
        <v>4412</v>
      </c>
      <c r="W84" s="4">
        <v>3547</v>
      </c>
      <c r="X84" s="9">
        <v>7.2310276824190112E-3</v>
      </c>
      <c r="Y84" s="10">
        <v>1.653372008701948E-2</v>
      </c>
      <c r="Z84" s="10">
        <v>2.5110572121558091E-2</v>
      </c>
      <c r="AA84" s="10">
        <v>2.5260960334029251E-2</v>
      </c>
    </row>
    <row r="85" spans="2:27" x14ac:dyDescent="0.3">
      <c r="B85" s="12" t="s">
        <v>358</v>
      </c>
      <c r="C85" s="3" t="s">
        <v>671</v>
      </c>
      <c r="D85" s="3" t="s">
        <v>708</v>
      </c>
      <c r="E85" s="3" t="s">
        <v>673</v>
      </c>
      <c r="F85" s="5">
        <v>2.4</v>
      </c>
      <c r="G85" s="4">
        <v>983.49</v>
      </c>
      <c r="H85" s="4">
        <v>1436</v>
      </c>
      <c r="I85" s="4">
        <v>1129</v>
      </c>
      <c r="J85" s="4">
        <v>1158</v>
      </c>
      <c r="K85" s="4">
        <v>1083</v>
      </c>
      <c r="L85" s="4">
        <v>1534</v>
      </c>
      <c r="M85" s="4">
        <v>1228</v>
      </c>
      <c r="N85" s="4">
        <v>1199</v>
      </c>
      <c r="O85" s="4">
        <v>1129</v>
      </c>
      <c r="P85" s="4">
        <v>1577</v>
      </c>
      <c r="Q85" s="4">
        <v>1225</v>
      </c>
      <c r="R85" s="4">
        <v>1191</v>
      </c>
      <c r="S85" s="4">
        <v>1111</v>
      </c>
      <c r="T85" s="4">
        <v>1554</v>
      </c>
      <c r="U85" s="4">
        <v>1243</v>
      </c>
      <c r="V85" s="4">
        <v>1227</v>
      </c>
      <c r="W85" s="4">
        <v>1233</v>
      </c>
      <c r="X85" s="9">
        <v>-4.506269592476464E-3</v>
      </c>
      <c r="Y85" s="10">
        <v>3.5426097224955382E-3</v>
      </c>
      <c r="Z85" s="10">
        <v>7.060207883898828E-3</v>
      </c>
      <c r="AA85" s="10">
        <v>2.375851996105172E-2</v>
      </c>
    </row>
    <row r="86" spans="2:27" x14ac:dyDescent="0.3">
      <c r="B86" s="12" t="s">
        <v>28</v>
      </c>
      <c r="C86" s="3" t="s">
        <v>671</v>
      </c>
      <c r="D86" s="3" t="s">
        <v>675</v>
      </c>
      <c r="E86" s="3" t="s">
        <v>673</v>
      </c>
      <c r="F86" s="5">
        <v>2.4</v>
      </c>
      <c r="G86" s="4">
        <v>2073</v>
      </c>
      <c r="H86" s="4">
        <v>2098</v>
      </c>
      <c r="I86" s="4">
        <v>2196</v>
      </c>
      <c r="J86" s="4">
        <v>2334</v>
      </c>
      <c r="K86" s="4">
        <v>2303</v>
      </c>
      <c r="L86" s="4">
        <v>2375</v>
      </c>
      <c r="M86" s="4">
        <v>2493</v>
      </c>
      <c r="N86" s="4">
        <v>2484</v>
      </c>
      <c r="O86" s="4">
        <v>2518</v>
      </c>
      <c r="P86" s="4">
        <v>2691</v>
      </c>
      <c r="Q86" s="4">
        <v>2646</v>
      </c>
      <c r="R86" s="4">
        <v>2772</v>
      </c>
      <c r="S86" s="4">
        <v>2912</v>
      </c>
      <c r="T86" s="4">
        <v>2770</v>
      </c>
      <c r="U86" s="4">
        <v>2965</v>
      </c>
      <c r="V86" s="4">
        <v>3076</v>
      </c>
      <c r="W86" s="4">
        <v>3190</v>
      </c>
      <c r="X86" s="9">
        <v>7.1681335631974541E-3</v>
      </c>
      <c r="Y86" s="10">
        <v>2.8738738738738778E-2</v>
      </c>
      <c r="Z86" s="10">
        <v>2.6622296173044901E-2</v>
      </c>
      <c r="AA86" s="10">
        <v>2.3714066365264849E-2</v>
      </c>
    </row>
    <row r="87" spans="2:27" x14ac:dyDescent="0.3">
      <c r="B87" s="12" t="s">
        <v>246</v>
      </c>
      <c r="C87" s="3" t="s">
        <v>671</v>
      </c>
      <c r="D87" s="3" t="s">
        <v>710</v>
      </c>
      <c r="E87" s="3" t="s">
        <v>673</v>
      </c>
      <c r="F87" s="5">
        <v>2.1</v>
      </c>
      <c r="G87" s="4">
        <v>462.66</v>
      </c>
      <c r="H87" s="4">
        <v>460.41</v>
      </c>
      <c r="I87" s="4">
        <v>490.34</v>
      </c>
      <c r="J87" s="4">
        <v>540.22</v>
      </c>
      <c r="K87" s="4">
        <v>529.52</v>
      </c>
      <c r="L87" s="4">
        <v>553.61</v>
      </c>
      <c r="M87" s="4">
        <v>603.22</v>
      </c>
      <c r="N87" s="4">
        <v>645.79</v>
      </c>
      <c r="O87" s="4">
        <v>615.65</v>
      </c>
      <c r="P87" s="4">
        <v>622.71</v>
      </c>
      <c r="Q87" s="4">
        <v>670.06</v>
      </c>
      <c r="R87" s="4">
        <v>719.1</v>
      </c>
      <c r="S87" s="4">
        <v>674.15</v>
      </c>
      <c r="T87" s="4">
        <v>665.53</v>
      </c>
      <c r="U87" s="4">
        <v>731.57</v>
      </c>
      <c r="V87" s="4">
        <v>802.81</v>
      </c>
      <c r="W87" s="4">
        <v>733.7</v>
      </c>
      <c r="X87" s="9">
        <v>1.5941802369304758E-2</v>
      </c>
      <c r="Y87" s="10">
        <v>2.254071327010743E-2</v>
      </c>
      <c r="Z87" s="10">
        <v>2.9999820811009489E-2</v>
      </c>
      <c r="AA87" s="10">
        <v>2.0719817957871589E-2</v>
      </c>
    </row>
    <row r="88" spans="2:27" x14ac:dyDescent="0.3">
      <c r="B88" s="12" t="s">
        <v>188</v>
      </c>
      <c r="C88" s="3" t="s">
        <v>671</v>
      </c>
      <c r="D88" s="3" t="s">
        <v>700</v>
      </c>
      <c r="E88" s="3" t="s">
        <v>709</v>
      </c>
      <c r="F88" s="5">
        <v>2.1</v>
      </c>
      <c r="G88" s="4">
        <v>814.9</v>
      </c>
      <c r="H88" s="4">
        <v>848.7</v>
      </c>
      <c r="I88" s="4">
        <v>955</v>
      </c>
      <c r="J88" s="4">
        <v>933.3</v>
      </c>
      <c r="K88" s="4">
        <v>0</v>
      </c>
      <c r="L88" s="4">
        <v>969.9</v>
      </c>
      <c r="M88" s="4">
        <v>1197</v>
      </c>
      <c r="N88" s="4">
        <v>1012</v>
      </c>
      <c r="O88" s="6">
        <v>1050</v>
      </c>
      <c r="P88" s="4">
        <v>1095</v>
      </c>
      <c r="Q88" s="4">
        <v>0</v>
      </c>
      <c r="R88" s="4">
        <v>1073</v>
      </c>
      <c r="S88" s="4">
        <v>1137</v>
      </c>
      <c r="T88" s="4">
        <v>1223</v>
      </c>
      <c r="U88" s="6">
        <v>1275</v>
      </c>
      <c r="V88" s="4">
        <v>1099</v>
      </c>
      <c r="W88" s="4">
        <v>1237</v>
      </c>
      <c r="X88" s="9">
        <v>3.8729198184568769E-2</v>
      </c>
      <c r="Y88" s="8">
        <v>0.37139528109525188</v>
      </c>
      <c r="Z88" s="10">
        <v>5.5225148683093472E-3</v>
      </c>
      <c r="AA88" s="10">
        <v>2.1123785382340499E-2</v>
      </c>
    </row>
    <row r="89" spans="2:27" x14ac:dyDescent="0.3">
      <c r="B89" s="12" t="s">
        <v>185</v>
      </c>
      <c r="C89" s="3" t="s">
        <v>671</v>
      </c>
      <c r="D89" s="3" t="s">
        <v>704</v>
      </c>
      <c r="E89" s="3" t="s">
        <v>673</v>
      </c>
      <c r="F89" s="5">
        <v>2.1</v>
      </c>
      <c r="G89" s="4">
        <v>462.2</v>
      </c>
      <c r="H89" s="4">
        <v>457</v>
      </c>
      <c r="I89" s="4">
        <v>470.4</v>
      </c>
      <c r="J89" s="4">
        <v>468.2</v>
      </c>
      <c r="K89" s="4">
        <v>475</v>
      </c>
      <c r="L89" s="4">
        <v>479.7</v>
      </c>
      <c r="M89" s="4">
        <v>504.7</v>
      </c>
      <c r="N89" s="4">
        <v>515.5</v>
      </c>
      <c r="O89" s="4">
        <v>538.70000000000005</v>
      </c>
      <c r="P89" s="4">
        <v>542.79999999999995</v>
      </c>
      <c r="Q89" s="4">
        <v>571.9</v>
      </c>
      <c r="R89" s="4">
        <v>569.4</v>
      </c>
      <c r="S89" s="4">
        <v>591</v>
      </c>
      <c r="T89" s="4">
        <v>581.9</v>
      </c>
      <c r="U89" s="4">
        <v>605.1</v>
      </c>
      <c r="V89" s="4">
        <v>617.4</v>
      </c>
      <c r="W89" s="4">
        <v>641.1</v>
      </c>
      <c r="X89" s="9">
        <v>1.7186057755703029E-2</v>
      </c>
      <c r="Y89" s="10">
        <v>1.4346210353469949E-2</v>
      </c>
      <c r="Z89" s="10">
        <v>2.0448155405980991E-2</v>
      </c>
      <c r="AA89" s="10">
        <v>2.0915087250563461E-2</v>
      </c>
    </row>
    <row r="90" spans="2:27" hidden="1" x14ac:dyDescent="0.3">
      <c r="B90" s="3">
        <v>9449</v>
      </c>
      <c r="C90" s="3" t="s">
        <v>737</v>
      </c>
      <c r="D90" s="3" t="s">
        <v>738</v>
      </c>
      <c r="E90" s="3" t="s">
        <v>743</v>
      </c>
      <c r="F90" s="5">
        <v>0.6</v>
      </c>
      <c r="G90" s="4">
        <v>56471</v>
      </c>
      <c r="H90" s="4">
        <v>64495</v>
      </c>
      <c r="I90" s="4">
        <v>56065</v>
      </c>
      <c r="J90" s="4">
        <v>69491</v>
      </c>
      <c r="K90" s="4">
        <v>57578</v>
      </c>
      <c r="L90" s="4">
        <v>62562</v>
      </c>
      <c r="M90" s="4">
        <v>65593</v>
      </c>
      <c r="N90" s="4">
        <v>64450</v>
      </c>
      <c r="O90" s="4">
        <v>62502</v>
      </c>
      <c r="P90" s="4">
        <v>66098</v>
      </c>
      <c r="Q90" s="4">
        <v>68861</v>
      </c>
      <c r="R90" s="4">
        <v>67619</v>
      </c>
      <c r="S90" s="4">
        <v>69624</v>
      </c>
      <c r="T90" s="4">
        <v>71303</v>
      </c>
      <c r="U90" s="4">
        <v>71547</v>
      </c>
      <c r="V90" s="4">
        <v>71004</v>
      </c>
      <c r="W90" s="4">
        <v>71264</v>
      </c>
      <c r="X90" s="9">
        <v>1.9121828641964319E-2</v>
      </c>
      <c r="Y90" s="10">
        <v>9.682524233346701E-3</v>
      </c>
      <c r="Z90" s="10">
        <v>1.208527167762141E-2</v>
      </c>
      <c r="AA90" s="10">
        <v>5.785281397498121E-3</v>
      </c>
    </row>
    <row r="91" spans="2:27" x14ac:dyDescent="0.3">
      <c r="B91" s="12" t="s">
        <v>158</v>
      </c>
      <c r="C91" s="3" t="s">
        <v>671</v>
      </c>
      <c r="D91" s="3" t="s">
        <v>712</v>
      </c>
      <c r="E91" s="3" t="s">
        <v>673</v>
      </c>
      <c r="F91" s="5">
        <v>2</v>
      </c>
      <c r="G91" s="4">
        <v>3514</v>
      </c>
      <c r="H91" s="4">
        <v>3558</v>
      </c>
      <c r="I91" s="4">
        <v>3594</v>
      </c>
      <c r="J91" s="4">
        <v>3609</v>
      </c>
      <c r="K91" s="4">
        <v>3745</v>
      </c>
      <c r="L91" s="4">
        <v>3513</v>
      </c>
      <c r="M91" s="4">
        <v>1522</v>
      </c>
      <c r="N91" s="4">
        <v>2599</v>
      </c>
      <c r="O91" s="4">
        <v>2726</v>
      </c>
      <c r="P91" s="4">
        <v>2490</v>
      </c>
      <c r="Q91" s="6">
        <v>2694</v>
      </c>
      <c r="R91" s="4">
        <v>2699</v>
      </c>
      <c r="S91" s="4">
        <v>2753</v>
      </c>
      <c r="T91" s="4">
        <v>2625</v>
      </c>
      <c r="U91" s="4">
        <v>2810</v>
      </c>
      <c r="V91" s="4">
        <v>2835</v>
      </c>
      <c r="W91" s="4">
        <v>2974</v>
      </c>
      <c r="X91" s="9">
        <v>1.2692741632192471E-2</v>
      </c>
      <c r="Y91" s="10">
        <v>1.0769659270262631E-2</v>
      </c>
      <c r="Z91" s="10">
        <v>1.24919628915221E-2</v>
      </c>
      <c r="AA91" s="10">
        <v>2.004898847863568E-2</v>
      </c>
    </row>
    <row r="92" spans="2:27" hidden="1" x14ac:dyDescent="0.3">
      <c r="B92" s="3">
        <v>9722</v>
      </c>
      <c r="C92" s="3" t="s">
        <v>737</v>
      </c>
      <c r="D92" s="3" t="s">
        <v>738</v>
      </c>
      <c r="E92" s="3" t="s">
        <v>743</v>
      </c>
      <c r="F92" s="5">
        <v>0.5</v>
      </c>
      <c r="G92" s="4">
        <v>7293</v>
      </c>
      <c r="H92" s="4">
        <v>9212</v>
      </c>
      <c r="I92" s="4">
        <v>7959</v>
      </c>
      <c r="J92" s="4">
        <v>10349</v>
      </c>
      <c r="K92" s="6">
        <v>11029</v>
      </c>
      <c r="L92" s="6">
        <v>14412</v>
      </c>
      <c r="M92" s="6">
        <v>13163</v>
      </c>
      <c r="N92" s="6">
        <v>15999</v>
      </c>
      <c r="O92" s="4">
        <v>16394</v>
      </c>
      <c r="P92" s="4">
        <v>18991</v>
      </c>
      <c r="Q92" s="4">
        <v>16985</v>
      </c>
      <c r="R92" s="4">
        <v>18897</v>
      </c>
      <c r="S92" s="4">
        <v>18296</v>
      </c>
      <c r="T92" s="4">
        <v>22033</v>
      </c>
      <c r="U92" s="4">
        <v>19978</v>
      </c>
      <c r="V92" s="4">
        <v>21190</v>
      </c>
      <c r="W92" s="4">
        <v>18691</v>
      </c>
      <c r="X92" s="9">
        <v>4.157498394128667E-2</v>
      </c>
      <c r="Y92" s="10">
        <v>3.9272545957932607E-2</v>
      </c>
      <c r="Z92" s="10">
        <v>2.8950558052623698E-2</v>
      </c>
      <c r="AA92" s="10">
        <v>4.8468041768408021E-3</v>
      </c>
    </row>
    <row r="93" spans="2:27" x14ac:dyDescent="0.3">
      <c r="B93" s="12" t="s">
        <v>262</v>
      </c>
      <c r="C93" s="3" t="s">
        <v>671</v>
      </c>
      <c r="D93" s="3" t="s">
        <v>705</v>
      </c>
      <c r="E93" s="3" t="s">
        <v>673</v>
      </c>
      <c r="F93" s="5">
        <v>2</v>
      </c>
      <c r="G93" s="4">
        <v>611.96</v>
      </c>
      <c r="H93" s="4">
        <v>610.37</v>
      </c>
      <c r="I93" s="4">
        <v>666.55</v>
      </c>
      <c r="J93" s="4">
        <v>670.49</v>
      </c>
      <c r="K93" s="4">
        <v>659.07</v>
      </c>
      <c r="L93" s="4">
        <v>641.79</v>
      </c>
      <c r="M93" s="4">
        <v>692.25</v>
      </c>
      <c r="N93" s="4">
        <v>626.80999999999995</v>
      </c>
      <c r="O93" s="4">
        <v>551.24</v>
      </c>
      <c r="P93" s="4">
        <v>535.67999999999995</v>
      </c>
      <c r="Q93" s="4">
        <v>604.34</v>
      </c>
      <c r="R93" s="4">
        <v>654.92999999999995</v>
      </c>
      <c r="S93" s="4">
        <v>666.04</v>
      </c>
      <c r="T93" s="4">
        <v>624.86</v>
      </c>
      <c r="U93" s="4">
        <v>671.99</v>
      </c>
      <c r="V93" s="4">
        <v>698.22</v>
      </c>
      <c r="W93" s="4">
        <v>720.12</v>
      </c>
      <c r="X93" s="9">
        <v>3.62374491566404E-2</v>
      </c>
      <c r="Y93" s="10">
        <v>2.6527643255155331E-2</v>
      </c>
      <c r="Z93" s="10">
        <v>1.6536660274579781E-2</v>
      </c>
      <c r="AA93" s="10">
        <v>2.0322346689915172E-2</v>
      </c>
    </row>
    <row r="94" spans="2:27" x14ac:dyDescent="0.3">
      <c r="B94" s="12" t="s">
        <v>196</v>
      </c>
      <c r="C94" s="3" t="s">
        <v>671</v>
      </c>
      <c r="D94" s="3" t="s">
        <v>713</v>
      </c>
      <c r="E94" s="3" t="s">
        <v>673</v>
      </c>
      <c r="F94" s="5">
        <v>2</v>
      </c>
      <c r="G94" s="4">
        <v>255.49</v>
      </c>
      <c r="H94" s="4">
        <v>256.97000000000003</v>
      </c>
      <c r="I94" s="4">
        <v>266.91000000000003</v>
      </c>
      <c r="J94" s="4">
        <v>275.32</v>
      </c>
      <c r="K94" s="4">
        <v>280.35000000000002</v>
      </c>
      <c r="L94" s="4">
        <v>273.58</v>
      </c>
      <c r="M94" s="4">
        <v>282.33999999999997</v>
      </c>
      <c r="N94" s="4">
        <v>287.92</v>
      </c>
      <c r="O94" s="4">
        <v>292.19</v>
      </c>
      <c r="P94" s="4">
        <v>291.36</v>
      </c>
      <c r="Q94" s="4">
        <v>296.95999999999998</v>
      </c>
      <c r="R94" s="4">
        <v>304.52</v>
      </c>
      <c r="S94" s="4">
        <v>309.62</v>
      </c>
      <c r="T94" s="4">
        <v>309.33</v>
      </c>
      <c r="U94" s="4">
        <v>312.43</v>
      </c>
      <c r="V94" s="4">
        <v>322.86</v>
      </c>
      <c r="W94" s="4">
        <v>334.36</v>
      </c>
      <c r="X94" s="9">
        <v>1.4944364053689711E-2</v>
      </c>
      <c r="Y94" s="10">
        <v>1.26758601476531E-2</v>
      </c>
      <c r="Z94" s="10">
        <v>1.4839388300024179E-2</v>
      </c>
      <c r="AA94" s="10">
        <v>1.9725092486286622E-2</v>
      </c>
    </row>
    <row r="95" spans="2:27" x14ac:dyDescent="0.3">
      <c r="B95" s="12" t="s">
        <v>322</v>
      </c>
      <c r="C95" s="3" t="s">
        <v>671</v>
      </c>
      <c r="D95" s="3" t="s">
        <v>711</v>
      </c>
      <c r="E95" s="3" t="s">
        <v>673</v>
      </c>
      <c r="F95" s="5">
        <v>2</v>
      </c>
      <c r="G95" s="4">
        <v>480.61</v>
      </c>
      <c r="H95" s="4">
        <v>474.95</v>
      </c>
      <c r="I95" s="4">
        <v>296.11</v>
      </c>
      <c r="J95" s="4">
        <v>241.84</v>
      </c>
      <c r="K95" s="4">
        <v>337.09</v>
      </c>
      <c r="L95" s="6">
        <v>716.48</v>
      </c>
      <c r="M95" s="6">
        <v>947.94</v>
      </c>
      <c r="N95" s="6">
        <v>1017</v>
      </c>
      <c r="O95" s="6">
        <v>1094</v>
      </c>
      <c r="P95" s="6">
        <v>1112</v>
      </c>
      <c r="Q95" s="4">
        <v>1160</v>
      </c>
      <c r="R95" s="4">
        <v>1175</v>
      </c>
      <c r="S95" s="4">
        <v>1191</v>
      </c>
      <c r="T95" s="4">
        <v>1232</v>
      </c>
      <c r="U95" s="4">
        <v>1328</v>
      </c>
      <c r="V95" s="4">
        <v>1310</v>
      </c>
      <c r="W95" s="4">
        <v>1293</v>
      </c>
      <c r="X95" s="9">
        <v>2.5873221216041301E-2</v>
      </c>
      <c r="Y95" s="10">
        <v>3.5308953341740328E-2</v>
      </c>
      <c r="Z95" s="10">
        <v>2.7405602923264331E-2</v>
      </c>
      <c r="AA95" s="10">
        <v>2.0154119739181912E-2</v>
      </c>
    </row>
    <row r="96" spans="2:27" x14ac:dyDescent="0.3">
      <c r="B96" s="12" t="s">
        <v>200</v>
      </c>
      <c r="C96" s="3" t="s">
        <v>671</v>
      </c>
      <c r="D96" s="3" t="s">
        <v>714</v>
      </c>
      <c r="E96" s="3" t="s">
        <v>715</v>
      </c>
      <c r="F96" s="5">
        <v>1.9</v>
      </c>
      <c r="G96" s="4">
        <v>271.27999999999997</v>
      </c>
      <c r="H96" s="4">
        <v>271.27999999999997</v>
      </c>
      <c r="I96" s="4">
        <v>378.67</v>
      </c>
      <c r="J96" s="4">
        <v>321.61</v>
      </c>
      <c r="K96" s="4">
        <v>248.49</v>
      </c>
      <c r="L96" s="6">
        <v>395.68</v>
      </c>
      <c r="M96" s="4">
        <v>473.2</v>
      </c>
      <c r="N96" s="4">
        <v>374.54</v>
      </c>
      <c r="O96" s="4">
        <v>302.92</v>
      </c>
      <c r="P96" s="4">
        <v>481.24</v>
      </c>
      <c r="Q96" s="4">
        <v>564.76</v>
      </c>
      <c r="R96" s="4">
        <v>455.76</v>
      </c>
      <c r="S96" s="4">
        <v>361.72</v>
      </c>
      <c r="T96" s="4">
        <v>574.33000000000004</v>
      </c>
      <c r="U96" s="4">
        <v>635.04</v>
      </c>
      <c r="V96" s="4">
        <v>526.34</v>
      </c>
      <c r="W96" s="4">
        <v>401.9</v>
      </c>
      <c r="X96" s="9">
        <v>4.995492304720206E-2</v>
      </c>
      <c r="Y96" s="10">
        <v>3.5920002862151579E-2</v>
      </c>
      <c r="Z96" s="10">
        <v>3.4822507832350968E-2</v>
      </c>
      <c r="AA96" s="10">
        <v>1.9156777580181309E-2</v>
      </c>
    </row>
    <row r="97" spans="2:27" hidden="1" x14ac:dyDescent="0.3">
      <c r="B97" s="3" t="s">
        <v>763</v>
      </c>
      <c r="C97" s="3" t="s">
        <v>751</v>
      </c>
      <c r="D97" s="3" t="s">
        <v>738</v>
      </c>
      <c r="E97" s="3" t="s">
        <v>752</v>
      </c>
      <c r="F97" s="5">
        <v>4.3</v>
      </c>
      <c r="G97" s="3"/>
      <c r="H97" s="3"/>
      <c r="I97" s="3"/>
      <c r="J97" s="3"/>
      <c r="K97" s="3"/>
      <c r="L97" s="3"/>
      <c r="M97" s="3"/>
      <c r="N97" s="4">
        <v>704</v>
      </c>
      <c r="O97" s="4">
        <v>824</v>
      </c>
      <c r="P97" s="4">
        <v>1380</v>
      </c>
      <c r="Q97" s="4">
        <v>1725</v>
      </c>
      <c r="R97" s="4">
        <v>0</v>
      </c>
      <c r="S97" s="6">
        <v>2402</v>
      </c>
      <c r="T97" s="4">
        <v>0</v>
      </c>
      <c r="U97" s="6">
        <v>2677</v>
      </c>
      <c r="V97" s="6">
        <v>2929</v>
      </c>
      <c r="W97" s="4">
        <v>2745</v>
      </c>
      <c r="X97" s="9">
        <v>-0.25059015798075179</v>
      </c>
      <c r="Y97" s="8">
        <v>0.23067603586140059</v>
      </c>
      <c r="Z97" s="8">
        <v>0.57668832447332141</v>
      </c>
      <c r="AA97" s="10">
        <v>4.2832167832167922E-2</v>
      </c>
    </row>
    <row r="98" spans="2:27" x14ac:dyDescent="0.3">
      <c r="B98" s="12" t="s">
        <v>99</v>
      </c>
      <c r="C98" s="3" t="s">
        <v>671</v>
      </c>
      <c r="D98" s="3" t="s">
        <v>687</v>
      </c>
      <c r="E98" s="3" t="s">
        <v>673</v>
      </c>
      <c r="F98" s="5">
        <v>1.8</v>
      </c>
      <c r="G98" s="4">
        <v>1546</v>
      </c>
      <c r="H98" s="4">
        <v>1451</v>
      </c>
      <c r="I98" s="4">
        <v>1639</v>
      </c>
      <c r="J98" s="4">
        <v>1726</v>
      </c>
      <c r="K98" s="4">
        <v>1689</v>
      </c>
      <c r="L98" s="4">
        <v>1590</v>
      </c>
      <c r="M98" s="4">
        <v>1775</v>
      </c>
      <c r="N98" s="4">
        <v>1837</v>
      </c>
      <c r="O98" s="4">
        <v>1820</v>
      </c>
      <c r="P98" s="4">
        <v>1739</v>
      </c>
      <c r="Q98" s="4">
        <v>2080</v>
      </c>
      <c r="R98" s="4">
        <v>2291</v>
      </c>
      <c r="S98" s="4">
        <v>2296</v>
      </c>
      <c r="T98" s="4">
        <v>2109</v>
      </c>
      <c r="U98" s="4">
        <v>2410</v>
      </c>
      <c r="V98" s="4">
        <v>2449</v>
      </c>
      <c r="W98" s="4">
        <v>2466</v>
      </c>
      <c r="X98" s="9">
        <v>4.4016178919819238E-2</v>
      </c>
      <c r="Y98" s="10">
        <v>3.7602552415679107E-2</v>
      </c>
      <c r="Z98" s="10">
        <v>1.7351197012958511E-2</v>
      </c>
      <c r="AA98" s="10">
        <v>1.8350604490500851E-2</v>
      </c>
    </row>
    <row r="99" spans="2:27" x14ac:dyDescent="0.3">
      <c r="B99" s="12" t="s">
        <v>368</v>
      </c>
      <c r="C99" s="3" t="s">
        <v>671</v>
      </c>
      <c r="D99" s="3" t="s">
        <v>690</v>
      </c>
      <c r="E99" s="3" t="s">
        <v>673</v>
      </c>
      <c r="F99" s="5">
        <v>1.6</v>
      </c>
      <c r="G99" s="3"/>
      <c r="H99" s="4">
        <v>842</v>
      </c>
      <c r="I99" s="4">
        <v>796</v>
      </c>
      <c r="J99" s="4">
        <v>859</v>
      </c>
      <c r="K99" s="4">
        <v>851</v>
      </c>
      <c r="L99" s="4">
        <v>835</v>
      </c>
      <c r="M99" s="4">
        <v>887</v>
      </c>
      <c r="N99" s="4">
        <v>896</v>
      </c>
      <c r="O99" s="4">
        <v>882</v>
      </c>
      <c r="P99" s="4">
        <v>863</v>
      </c>
      <c r="Q99" s="4">
        <v>868</v>
      </c>
      <c r="R99" s="4">
        <v>839</v>
      </c>
      <c r="S99" s="4">
        <v>833</v>
      </c>
      <c r="T99" s="4">
        <v>796</v>
      </c>
      <c r="U99" s="4">
        <v>890</v>
      </c>
      <c r="V99" s="4">
        <v>908</v>
      </c>
      <c r="W99" s="4">
        <v>889</v>
      </c>
      <c r="X99" s="9">
        <v>-1.9688510138113461E-2</v>
      </c>
      <c r="Y99" s="10">
        <v>6.5947242206234602E-3</v>
      </c>
      <c r="Z99" s="10">
        <v>2.0547945205479531E-2</v>
      </c>
      <c r="AA99" s="10">
        <v>1.6340822877151991E-2</v>
      </c>
    </row>
    <row r="100" spans="2:27" x14ac:dyDescent="0.3">
      <c r="B100" s="12" t="s">
        <v>107</v>
      </c>
      <c r="C100" s="3" t="s">
        <v>671</v>
      </c>
      <c r="D100" s="3" t="s">
        <v>689</v>
      </c>
      <c r="E100" s="3" t="s">
        <v>673</v>
      </c>
      <c r="F100" s="5">
        <v>1.5</v>
      </c>
      <c r="G100" s="4">
        <v>599.1</v>
      </c>
      <c r="H100" s="4">
        <v>542.70000000000005</v>
      </c>
      <c r="I100" s="4">
        <v>571.1</v>
      </c>
      <c r="J100" s="4">
        <v>577.6</v>
      </c>
      <c r="K100" s="4">
        <v>638.5</v>
      </c>
      <c r="L100" s="4">
        <v>566.20000000000005</v>
      </c>
      <c r="M100" s="4">
        <v>588.70000000000005</v>
      </c>
      <c r="N100" s="4">
        <v>596.29999999999995</v>
      </c>
      <c r="O100" s="4">
        <v>663.5</v>
      </c>
      <c r="P100" s="4">
        <v>598.79999999999995</v>
      </c>
      <c r="Q100" s="4">
        <v>627.4</v>
      </c>
      <c r="R100" s="4">
        <v>635.1</v>
      </c>
      <c r="S100" s="4">
        <v>703.7</v>
      </c>
      <c r="T100" s="4">
        <v>637.79999999999995</v>
      </c>
      <c r="U100" s="4">
        <v>665.2</v>
      </c>
      <c r="V100" s="4">
        <v>677.5</v>
      </c>
      <c r="W100" s="4">
        <v>744.9</v>
      </c>
      <c r="X100" s="9">
        <v>1.5204678362573E-2</v>
      </c>
      <c r="Y100" s="10">
        <v>1.451612903225818E-2</v>
      </c>
      <c r="Z100" s="10">
        <v>1.6049663108486541E-2</v>
      </c>
      <c r="AA100" s="10">
        <v>1.534907980031308E-2</v>
      </c>
    </row>
    <row r="101" spans="2:27" hidden="1" x14ac:dyDescent="0.3">
      <c r="B101" s="3" t="s">
        <v>313</v>
      </c>
      <c r="C101" s="3" t="s">
        <v>671</v>
      </c>
      <c r="D101" s="3" t="s">
        <v>695</v>
      </c>
      <c r="E101" s="3" t="s">
        <v>743</v>
      </c>
      <c r="F101" s="5">
        <v>0.4</v>
      </c>
      <c r="G101" s="4">
        <v>689.2</v>
      </c>
      <c r="H101" s="4">
        <v>689.2</v>
      </c>
      <c r="I101" s="4">
        <v>644.75</v>
      </c>
      <c r="J101" s="4">
        <v>644.75</v>
      </c>
      <c r="K101" s="4">
        <v>669.1</v>
      </c>
      <c r="L101" s="4">
        <v>748.8</v>
      </c>
      <c r="M101" s="4">
        <v>717.4</v>
      </c>
      <c r="N101" s="4">
        <v>712.1</v>
      </c>
      <c r="O101" s="4">
        <v>741.4</v>
      </c>
      <c r="P101" s="4">
        <v>733.8</v>
      </c>
      <c r="Q101" s="4">
        <v>741.5</v>
      </c>
      <c r="R101" s="4">
        <v>761.8</v>
      </c>
      <c r="S101" s="4">
        <v>784</v>
      </c>
      <c r="T101" s="4">
        <v>870.8</v>
      </c>
      <c r="U101" s="4">
        <v>778.3</v>
      </c>
      <c r="V101" s="4">
        <v>746.1</v>
      </c>
      <c r="W101" s="4">
        <v>796.4</v>
      </c>
      <c r="X101" s="9">
        <v>4.5347721028764283E-2</v>
      </c>
      <c r="Y101" s="10">
        <v>1.1652575915898741E-2</v>
      </c>
      <c r="Z101" s="10">
        <v>-4.914081817897209E-3</v>
      </c>
      <c r="AA101" s="10">
        <v>3.900352289884168E-3</v>
      </c>
    </row>
    <row r="102" spans="2:27" x14ac:dyDescent="0.3">
      <c r="B102" s="12" t="s">
        <v>344</v>
      </c>
      <c r="C102" s="3" t="s">
        <v>671</v>
      </c>
      <c r="D102" s="3" t="s">
        <v>689</v>
      </c>
      <c r="E102" s="3" t="s">
        <v>673</v>
      </c>
      <c r="F102" s="5">
        <v>1.5</v>
      </c>
      <c r="G102" s="4">
        <v>811.53</v>
      </c>
      <c r="H102" s="4">
        <v>718.5</v>
      </c>
      <c r="I102" s="4">
        <v>843.3</v>
      </c>
      <c r="J102" s="4">
        <v>931.3</v>
      </c>
      <c r="K102" s="4">
        <v>865.7</v>
      </c>
      <c r="L102" s="4">
        <v>787.2</v>
      </c>
      <c r="M102" s="4">
        <v>939.1</v>
      </c>
      <c r="N102" s="4">
        <v>1004</v>
      </c>
      <c r="O102" s="4">
        <v>957.7</v>
      </c>
      <c r="P102" s="4">
        <v>857</v>
      </c>
      <c r="Q102" s="4">
        <v>986.2</v>
      </c>
      <c r="R102" s="4">
        <v>1099</v>
      </c>
      <c r="S102" s="4">
        <v>1047</v>
      </c>
      <c r="T102" s="4">
        <v>915.5</v>
      </c>
      <c r="U102" s="4">
        <v>1074</v>
      </c>
      <c r="V102" s="4">
        <v>1146</v>
      </c>
      <c r="W102" s="4">
        <v>1109</v>
      </c>
      <c r="X102" s="9">
        <v>1.466459440489332E-2</v>
      </c>
      <c r="Y102" s="10">
        <v>2.1691330879264781E-2</v>
      </c>
      <c r="Z102" s="10">
        <v>1.1365010276870979E-2</v>
      </c>
      <c r="AA102" s="10">
        <v>1.482367005379559E-2</v>
      </c>
    </row>
    <row r="103" spans="2:27" x14ac:dyDescent="0.3">
      <c r="B103" s="12" t="s">
        <v>152</v>
      </c>
      <c r="C103" s="3" t="s">
        <v>671</v>
      </c>
      <c r="D103" s="3" t="s">
        <v>716</v>
      </c>
      <c r="E103" s="3" t="s">
        <v>673</v>
      </c>
      <c r="F103" s="5">
        <v>1.4</v>
      </c>
      <c r="G103" s="4">
        <v>844.25</v>
      </c>
      <c r="H103" s="4">
        <v>925.45</v>
      </c>
      <c r="I103" s="4">
        <v>969.59</v>
      </c>
      <c r="J103" s="4">
        <v>935.24</v>
      </c>
      <c r="K103" s="4">
        <v>930.93</v>
      </c>
      <c r="L103" s="4">
        <v>1039</v>
      </c>
      <c r="M103" s="4">
        <v>1061</v>
      </c>
      <c r="N103" s="4">
        <v>1033</v>
      </c>
      <c r="O103" s="4">
        <v>1059</v>
      </c>
      <c r="P103" s="4">
        <v>981.2</v>
      </c>
      <c r="Q103" s="4">
        <v>1022</v>
      </c>
      <c r="R103" s="4">
        <v>983.76</v>
      </c>
      <c r="S103" s="4">
        <v>1022</v>
      </c>
      <c r="T103" s="4">
        <v>1004</v>
      </c>
      <c r="U103" s="4">
        <v>1089</v>
      </c>
      <c r="V103" s="4">
        <v>1061</v>
      </c>
      <c r="W103" s="4">
        <v>1079</v>
      </c>
      <c r="X103" s="9">
        <v>5.687260536398453E-3</v>
      </c>
      <c r="Y103" s="10">
        <v>1.661805266186489E-2</v>
      </c>
      <c r="Z103" s="10">
        <v>1.8844723770115701E-2</v>
      </c>
      <c r="AA103" s="10">
        <v>1.3649425287356239E-2</v>
      </c>
    </row>
    <row r="104" spans="2:27" x14ac:dyDescent="0.3">
      <c r="B104" s="12" t="s">
        <v>91</v>
      </c>
      <c r="C104" s="3" t="s">
        <v>671</v>
      </c>
      <c r="D104" s="3" t="s">
        <v>703</v>
      </c>
      <c r="E104" s="3" t="s">
        <v>673</v>
      </c>
      <c r="F104" s="5">
        <v>1.1000000000000001</v>
      </c>
      <c r="G104" s="4">
        <v>2583</v>
      </c>
      <c r="H104" s="4">
        <v>2835</v>
      </c>
      <c r="I104" s="4">
        <v>2487</v>
      </c>
      <c r="J104" s="4">
        <v>2553</v>
      </c>
      <c r="K104" s="4">
        <v>3168</v>
      </c>
      <c r="L104" s="4">
        <v>3319</v>
      </c>
      <c r="M104" s="4">
        <v>2594</v>
      </c>
      <c r="N104" s="4">
        <v>2719</v>
      </c>
      <c r="O104" s="4">
        <v>2885</v>
      </c>
      <c r="P104" s="4">
        <v>3118</v>
      </c>
      <c r="Q104" s="4">
        <v>2670</v>
      </c>
      <c r="R104" s="4">
        <v>2771</v>
      </c>
      <c r="S104" s="4">
        <v>2949</v>
      </c>
      <c r="T104" s="4">
        <v>3338</v>
      </c>
      <c r="U104" s="4">
        <v>2815</v>
      </c>
      <c r="V104" s="4">
        <v>2938</v>
      </c>
      <c r="W104" s="4">
        <v>3079</v>
      </c>
      <c r="X104" s="9">
        <v>1.9117135905457161E-2</v>
      </c>
      <c r="Y104" s="10">
        <v>1.23635743519781E-2</v>
      </c>
      <c r="Z104" s="10">
        <v>1.4065526825570719E-2</v>
      </c>
      <c r="AA104" s="10">
        <v>1.0797342192691021E-2</v>
      </c>
    </row>
    <row r="105" spans="2:27" x14ac:dyDescent="0.3">
      <c r="B105" s="12" t="s">
        <v>253</v>
      </c>
      <c r="C105" s="3" t="s">
        <v>671</v>
      </c>
      <c r="D105" s="3" t="s">
        <v>717</v>
      </c>
      <c r="E105" s="3" t="s">
        <v>673</v>
      </c>
      <c r="F105" s="5">
        <v>1</v>
      </c>
      <c r="G105" s="4">
        <v>790.2</v>
      </c>
      <c r="H105" s="4">
        <v>748.1</v>
      </c>
      <c r="I105" s="4">
        <v>776.4</v>
      </c>
      <c r="J105" s="4">
        <v>788</v>
      </c>
      <c r="K105" s="4">
        <v>871.9</v>
      </c>
      <c r="L105" s="4">
        <v>776.4</v>
      </c>
      <c r="M105" s="4">
        <v>764.4</v>
      </c>
      <c r="N105" s="4">
        <v>765.4</v>
      </c>
      <c r="O105" s="4">
        <v>789</v>
      </c>
      <c r="P105" s="4">
        <v>755.8</v>
      </c>
      <c r="Q105" s="4">
        <v>696.4</v>
      </c>
      <c r="R105" s="4">
        <v>750</v>
      </c>
      <c r="S105" s="4">
        <v>776.8</v>
      </c>
      <c r="T105" s="4">
        <v>741.1</v>
      </c>
      <c r="U105" s="4">
        <v>773.5</v>
      </c>
      <c r="V105" s="4">
        <v>752.5</v>
      </c>
      <c r="W105" s="4">
        <v>808.5</v>
      </c>
      <c r="X105" s="9">
        <v>-4.9345417925478197E-3</v>
      </c>
      <c r="Y105" s="10">
        <v>2.6009513207165161E-2</v>
      </c>
      <c r="Z105" s="10">
        <v>8.219898730847941E-4</v>
      </c>
      <c r="AA105" s="10">
        <v>1.041427116528126E-2</v>
      </c>
    </row>
    <row r="106" spans="2:27" x14ac:dyDescent="0.3">
      <c r="B106" s="12" t="s">
        <v>30</v>
      </c>
      <c r="C106" s="3" t="s">
        <v>671</v>
      </c>
      <c r="D106" s="3" t="s">
        <v>718</v>
      </c>
      <c r="E106" s="3" t="s">
        <v>673</v>
      </c>
      <c r="F106" s="5">
        <v>0.9</v>
      </c>
      <c r="G106" s="4">
        <v>22420</v>
      </c>
      <c r="H106" s="4">
        <v>22725</v>
      </c>
      <c r="I106" s="4">
        <v>23820</v>
      </c>
      <c r="J106" s="4">
        <v>24351</v>
      </c>
      <c r="K106" s="4">
        <v>24486</v>
      </c>
      <c r="L106" s="4">
        <v>23726</v>
      </c>
      <c r="M106" s="4">
        <v>24069</v>
      </c>
      <c r="N106" s="4">
        <v>25250</v>
      </c>
      <c r="O106" s="4">
        <v>24947</v>
      </c>
      <c r="P106" s="4">
        <v>23593</v>
      </c>
      <c r="Q106" s="4">
        <v>23875</v>
      </c>
      <c r="R106" s="4">
        <v>20807</v>
      </c>
      <c r="S106" s="4">
        <v>20460</v>
      </c>
      <c r="T106" s="4">
        <v>18463</v>
      </c>
      <c r="U106" s="4">
        <v>18550</v>
      </c>
      <c r="V106" s="4">
        <v>19460</v>
      </c>
      <c r="W106" s="4">
        <v>21184</v>
      </c>
      <c r="X106" s="9">
        <v>-5.7812588043049562E-2</v>
      </c>
      <c r="Y106" s="10">
        <v>-6.3692362896955901E-2</v>
      </c>
      <c r="Z106" s="10">
        <v>-1.7207460398569241E-2</v>
      </c>
      <c r="AA106" s="10">
        <v>9.4107860086047879E-3</v>
      </c>
    </row>
    <row r="107" spans="2:27" hidden="1" x14ac:dyDescent="0.3">
      <c r="B107" s="3" t="s">
        <v>553</v>
      </c>
      <c r="C107" s="3" t="s">
        <v>671</v>
      </c>
      <c r="D107" s="3" t="s">
        <v>681</v>
      </c>
      <c r="E107" s="3" t="s">
        <v>743</v>
      </c>
      <c r="F107" s="5">
        <v>30.3</v>
      </c>
      <c r="G107" s="4">
        <v>23.08</v>
      </c>
      <c r="H107" s="4">
        <v>23.08</v>
      </c>
      <c r="I107" s="4">
        <v>17.28</v>
      </c>
      <c r="J107" s="4">
        <v>17.28</v>
      </c>
      <c r="K107" s="4">
        <v>15.6</v>
      </c>
      <c r="L107" s="4">
        <v>25.37</v>
      </c>
      <c r="M107" s="4">
        <v>19.89</v>
      </c>
      <c r="N107" s="4">
        <v>19.579999999999998</v>
      </c>
      <c r="O107" s="6">
        <v>113.02</v>
      </c>
      <c r="P107" s="6">
        <v>49.95</v>
      </c>
      <c r="Q107" s="4">
        <v>28.86</v>
      </c>
      <c r="R107" s="4">
        <v>16.510000000000002</v>
      </c>
      <c r="S107" s="4">
        <v>20.12</v>
      </c>
      <c r="T107" s="4">
        <v>31.03</v>
      </c>
      <c r="U107" s="6">
        <v>47.44</v>
      </c>
      <c r="V107" s="6">
        <v>87.64</v>
      </c>
      <c r="W107" s="6">
        <v>76.540000000000006</v>
      </c>
      <c r="X107" s="9">
        <v>-0.16389466389466381</v>
      </c>
      <c r="Y107" s="8">
        <v>0.19249896394529609</v>
      </c>
      <c r="Z107" s="8">
        <v>0.61798436142484792</v>
      </c>
      <c r="AA107" s="8">
        <v>0.30295870697524568</v>
      </c>
    </row>
    <row r="108" spans="2:27" x14ac:dyDescent="0.3">
      <c r="B108" s="12" t="s">
        <v>105</v>
      </c>
      <c r="C108" s="3" t="s">
        <v>671</v>
      </c>
      <c r="D108" s="3" t="s">
        <v>719</v>
      </c>
      <c r="E108" s="3" t="s">
        <v>673</v>
      </c>
      <c r="F108" s="5">
        <v>0.9</v>
      </c>
      <c r="G108" s="4">
        <v>31095</v>
      </c>
      <c r="H108" s="4">
        <v>29712</v>
      </c>
      <c r="I108" s="4">
        <v>29643</v>
      </c>
      <c r="J108" s="4">
        <v>30043</v>
      </c>
      <c r="K108" s="4">
        <v>31343</v>
      </c>
      <c r="L108" s="4">
        <v>30139</v>
      </c>
      <c r="M108" s="4">
        <v>29917</v>
      </c>
      <c r="N108" s="4">
        <v>30350</v>
      </c>
      <c r="O108" s="4">
        <v>32022</v>
      </c>
      <c r="P108" s="4">
        <v>30028</v>
      </c>
      <c r="Q108" s="4">
        <v>29797</v>
      </c>
      <c r="R108" s="4">
        <v>30213</v>
      </c>
      <c r="S108" s="4">
        <v>32298</v>
      </c>
      <c r="T108" s="4">
        <v>30626</v>
      </c>
      <c r="U108" s="4">
        <v>30847</v>
      </c>
      <c r="V108" s="4">
        <v>30709</v>
      </c>
      <c r="W108" s="4">
        <v>33466</v>
      </c>
      <c r="X108" s="9">
        <v>4.8881768244832813E-3</v>
      </c>
      <c r="Y108" s="10">
        <v>8.5411684318414949E-3</v>
      </c>
      <c r="Z108" s="10">
        <v>4.0005161956382373E-3</v>
      </c>
      <c r="AA108" s="10">
        <v>9.3830334190232456E-3</v>
      </c>
    </row>
    <row r="109" spans="2:27" x14ac:dyDescent="0.3">
      <c r="B109" s="12" t="s">
        <v>349</v>
      </c>
      <c r="C109" s="3" t="s">
        <v>671</v>
      </c>
      <c r="D109" s="3" t="s">
        <v>679</v>
      </c>
      <c r="E109" s="3" t="s">
        <v>673</v>
      </c>
      <c r="F109" s="5">
        <v>0.8</v>
      </c>
      <c r="G109" s="4">
        <v>483.21</v>
      </c>
      <c r="H109" s="4">
        <v>498.37</v>
      </c>
      <c r="I109" s="4">
        <v>517.92999999999995</v>
      </c>
      <c r="J109" s="4">
        <v>520.41</v>
      </c>
      <c r="K109" s="4">
        <v>524.47</v>
      </c>
      <c r="L109" s="4">
        <v>525.67999999999995</v>
      </c>
      <c r="M109" s="4">
        <v>545.42999999999995</v>
      </c>
      <c r="N109" s="4">
        <v>556.24</v>
      </c>
      <c r="O109" s="4">
        <v>553.65</v>
      </c>
      <c r="P109" s="4">
        <v>606.55999999999995</v>
      </c>
      <c r="Q109" s="4">
        <v>695.5</v>
      </c>
      <c r="R109" s="4">
        <v>700.4</v>
      </c>
      <c r="S109" s="4">
        <v>697.99</v>
      </c>
      <c r="T109" s="4">
        <v>702.89</v>
      </c>
      <c r="U109" s="4">
        <v>694.35</v>
      </c>
      <c r="V109" s="4">
        <v>705.87</v>
      </c>
      <c r="W109" s="4">
        <v>719.4</v>
      </c>
      <c r="X109" s="9">
        <v>3.5671832472365723E-2</v>
      </c>
      <c r="Y109" s="10">
        <v>-4.1118715093768632E-4</v>
      </c>
      <c r="Z109" s="10">
        <v>1.9566251614124841E-3</v>
      </c>
      <c r="AA109" s="10">
        <v>7.6434257970083852E-3</v>
      </c>
    </row>
    <row r="110" spans="2:27" x14ac:dyDescent="0.3">
      <c r="B110" s="12" t="s">
        <v>250</v>
      </c>
      <c r="C110" s="3" t="s">
        <v>671</v>
      </c>
      <c r="D110" s="3" t="s">
        <v>706</v>
      </c>
      <c r="E110" s="3" t="s">
        <v>673</v>
      </c>
      <c r="F110" s="5">
        <v>0.8</v>
      </c>
      <c r="G110" s="4">
        <v>815.6</v>
      </c>
      <c r="H110" s="4">
        <v>893.4</v>
      </c>
      <c r="I110" s="4">
        <v>906.8</v>
      </c>
      <c r="J110" s="4">
        <v>860.7</v>
      </c>
      <c r="K110" s="4">
        <v>893.3</v>
      </c>
      <c r="L110" s="4">
        <v>897.7</v>
      </c>
      <c r="M110" s="4">
        <v>936.3</v>
      </c>
      <c r="N110" s="4">
        <v>872.9</v>
      </c>
      <c r="O110" s="4">
        <v>863.3</v>
      </c>
      <c r="P110" s="4">
        <v>862.6</v>
      </c>
      <c r="Q110" s="4">
        <v>885.5</v>
      </c>
      <c r="R110" s="4">
        <v>830.7</v>
      </c>
      <c r="S110" s="4">
        <v>829.4</v>
      </c>
      <c r="T110" s="4">
        <v>847.6</v>
      </c>
      <c r="U110" s="4">
        <v>883.7</v>
      </c>
      <c r="V110" s="4">
        <v>855.7</v>
      </c>
      <c r="W110" s="4">
        <v>856.2</v>
      </c>
      <c r="X110" s="9">
        <v>-4.4011501672437392E-3</v>
      </c>
      <c r="Y110" s="10">
        <v>-5.3047271012607311E-4</v>
      </c>
      <c r="Z110" s="10">
        <v>7.3715869552397617E-3</v>
      </c>
      <c r="AA110" s="10">
        <v>7.8445146938297405E-3</v>
      </c>
    </row>
    <row r="111" spans="2:27" hidden="1" x14ac:dyDescent="0.3">
      <c r="B111" s="3" t="s">
        <v>93</v>
      </c>
      <c r="C111" s="3" t="s">
        <v>671</v>
      </c>
      <c r="D111" s="3" t="s">
        <v>676</v>
      </c>
      <c r="E111" s="3" t="s">
        <v>743</v>
      </c>
      <c r="F111" s="5">
        <v>3.6</v>
      </c>
      <c r="G111" s="4">
        <v>3543</v>
      </c>
      <c r="H111" s="4">
        <v>3972</v>
      </c>
      <c r="I111" s="4">
        <v>3620</v>
      </c>
      <c r="J111" s="4">
        <v>3666</v>
      </c>
      <c r="K111" s="4">
        <v>4027</v>
      </c>
      <c r="L111" s="4">
        <v>3874</v>
      </c>
      <c r="M111" s="4">
        <v>4035</v>
      </c>
      <c r="N111" s="4">
        <v>4029</v>
      </c>
      <c r="O111" s="4">
        <v>4034</v>
      </c>
      <c r="P111" s="4">
        <v>4084</v>
      </c>
      <c r="Q111" s="4">
        <v>4181</v>
      </c>
      <c r="R111" s="4">
        <v>4297</v>
      </c>
      <c r="S111" s="4">
        <v>4583</v>
      </c>
      <c r="T111" s="4">
        <v>4925</v>
      </c>
      <c r="U111" s="4">
        <v>4730</v>
      </c>
      <c r="V111" s="4">
        <v>5284</v>
      </c>
      <c r="W111" s="4">
        <v>5292</v>
      </c>
      <c r="X111" s="9">
        <v>4.905220180810721E-2</v>
      </c>
      <c r="Y111" s="10">
        <v>3.052374068720121E-2</v>
      </c>
      <c r="Z111" s="10">
        <v>5.3250606959805769E-2</v>
      </c>
      <c r="AA111" s="10">
        <v>3.6318000204897061E-2</v>
      </c>
    </row>
    <row r="112" spans="2:27" x14ac:dyDescent="0.3">
      <c r="B112" s="12" t="s">
        <v>143</v>
      </c>
      <c r="C112" s="3" t="s">
        <v>671</v>
      </c>
      <c r="D112" s="3" t="s">
        <v>713</v>
      </c>
      <c r="E112" s="3" t="s">
        <v>673</v>
      </c>
      <c r="F112" s="5">
        <v>0.8</v>
      </c>
      <c r="G112" s="4">
        <v>424.65</v>
      </c>
      <c r="H112" s="4">
        <v>427.25</v>
      </c>
      <c r="I112" s="4">
        <v>427.2</v>
      </c>
      <c r="J112" s="4">
        <v>433.4</v>
      </c>
      <c r="K112" s="4">
        <v>439.83</v>
      </c>
      <c r="L112" s="4">
        <v>442.89</v>
      </c>
      <c r="M112" s="4">
        <v>442.84</v>
      </c>
      <c r="N112" s="4">
        <v>446.07</v>
      </c>
      <c r="O112" s="4">
        <v>451.6</v>
      </c>
      <c r="P112" s="4">
        <v>503.75</v>
      </c>
      <c r="Q112" s="4">
        <v>500.23</v>
      </c>
      <c r="R112" s="4">
        <v>507.63</v>
      </c>
      <c r="S112" s="4">
        <v>525.4</v>
      </c>
      <c r="T112" s="4">
        <v>536.62</v>
      </c>
      <c r="U112" s="4">
        <v>525.17999999999995</v>
      </c>
      <c r="V112" s="4">
        <v>535.86</v>
      </c>
      <c r="W112" s="4">
        <v>542.46</v>
      </c>
      <c r="X112" s="9">
        <v>1.613639599216499E-2</v>
      </c>
      <c r="Y112" s="10">
        <v>1.2053838869886089E-2</v>
      </c>
      <c r="Z112" s="10">
        <v>1.347603385477592E-2</v>
      </c>
      <c r="AA112" s="10">
        <v>8.0355712980320071E-3</v>
      </c>
    </row>
    <row r="113" spans="2:27" x14ac:dyDescent="0.3">
      <c r="B113" s="12" t="s">
        <v>128</v>
      </c>
      <c r="C113" s="3" t="s">
        <v>671</v>
      </c>
      <c r="D113" s="3" t="s">
        <v>720</v>
      </c>
      <c r="E113" s="3" t="s">
        <v>673</v>
      </c>
      <c r="F113" s="5">
        <v>0.8</v>
      </c>
      <c r="G113" s="4">
        <v>7639</v>
      </c>
      <c r="H113" s="4">
        <v>7798</v>
      </c>
      <c r="I113" s="4">
        <v>8827</v>
      </c>
      <c r="J113" s="4">
        <v>8917</v>
      </c>
      <c r="K113" s="4">
        <v>8515</v>
      </c>
      <c r="L113" s="4">
        <v>8542</v>
      </c>
      <c r="M113" s="4">
        <v>9013</v>
      </c>
      <c r="N113" s="4">
        <v>9106</v>
      </c>
      <c r="O113" s="4">
        <v>8936</v>
      </c>
      <c r="P113" s="4">
        <v>8949</v>
      </c>
      <c r="Q113" s="4">
        <v>9709</v>
      </c>
      <c r="R113" s="4">
        <v>9728</v>
      </c>
      <c r="S113" s="4">
        <v>9491</v>
      </c>
      <c r="T113" s="4">
        <v>9351</v>
      </c>
      <c r="U113" s="4">
        <v>10082</v>
      </c>
      <c r="V113" s="4">
        <v>10191</v>
      </c>
      <c r="W113" s="4">
        <v>9800</v>
      </c>
      <c r="X113" s="9">
        <v>1.061330094780466E-2</v>
      </c>
      <c r="Y113" s="10">
        <v>9.7442461924293067E-3</v>
      </c>
      <c r="Z113" s="10">
        <v>1.197868156887094E-2</v>
      </c>
      <c r="AA113" s="10">
        <v>7.8997826920619296E-3</v>
      </c>
    </row>
    <row r="114" spans="2:27" x14ac:dyDescent="0.3">
      <c r="B114" s="12" t="s">
        <v>74</v>
      </c>
      <c r="C114" s="3" t="s">
        <v>671</v>
      </c>
      <c r="D114" s="3" t="s">
        <v>703</v>
      </c>
      <c r="E114" s="3" t="s">
        <v>673</v>
      </c>
      <c r="F114" s="5">
        <v>0.7</v>
      </c>
      <c r="G114" s="4">
        <v>5246</v>
      </c>
      <c r="H114" s="4">
        <v>5798</v>
      </c>
      <c r="I114" s="4">
        <v>5118</v>
      </c>
      <c r="J114" s="4">
        <v>5394</v>
      </c>
      <c r="K114" s="4">
        <v>5370</v>
      </c>
      <c r="L114" s="4">
        <v>6209</v>
      </c>
      <c r="M114" s="4">
        <v>5290</v>
      </c>
      <c r="N114" s="4">
        <v>5888</v>
      </c>
      <c r="O114" s="4">
        <v>7041</v>
      </c>
      <c r="P114" s="4">
        <v>5861</v>
      </c>
      <c r="Q114" s="4">
        <v>5986</v>
      </c>
      <c r="R114" s="4">
        <v>5941</v>
      </c>
      <c r="S114" s="4">
        <v>6631</v>
      </c>
      <c r="T114" s="4">
        <v>5983</v>
      </c>
      <c r="U114" s="4">
        <v>5898</v>
      </c>
      <c r="V114" s="4">
        <v>6250</v>
      </c>
      <c r="W114" s="4">
        <v>6804</v>
      </c>
      <c r="X114" s="9">
        <v>4.9961095867971927E-3</v>
      </c>
      <c r="Y114" s="10">
        <v>-3.585835948005434E-3</v>
      </c>
      <c r="Z114" s="10">
        <v>1.2636486320696919E-2</v>
      </c>
      <c r="AA114" s="10">
        <v>6.9865115903400277E-3</v>
      </c>
    </row>
    <row r="115" spans="2:27" x14ac:dyDescent="0.3">
      <c r="B115" s="12" t="s">
        <v>52</v>
      </c>
      <c r="C115" s="3" t="s">
        <v>671</v>
      </c>
      <c r="D115" s="3" t="s">
        <v>722</v>
      </c>
      <c r="E115" s="3" t="s">
        <v>673</v>
      </c>
      <c r="F115" s="5">
        <v>0.7</v>
      </c>
      <c r="G115" s="4">
        <v>946.33</v>
      </c>
      <c r="H115" s="4">
        <v>993.27</v>
      </c>
      <c r="I115" s="4">
        <v>1055</v>
      </c>
      <c r="J115" s="4">
        <v>1096</v>
      </c>
      <c r="K115" s="4">
        <v>1095</v>
      </c>
      <c r="L115" s="4">
        <v>1100</v>
      </c>
      <c r="M115" s="4">
        <v>1129</v>
      </c>
      <c r="N115" s="4">
        <v>1151</v>
      </c>
      <c r="O115" s="4">
        <v>1165</v>
      </c>
      <c r="P115" s="4">
        <v>1163</v>
      </c>
      <c r="Q115" s="4">
        <v>1180</v>
      </c>
      <c r="R115" s="4">
        <v>1191</v>
      </c>
      <c r="S115" s="4">
        <v>1182</v>
      </c>
      <c r="T115" s="4">
        <v>1187</v>
      </c>
      <c r="U115" s="4">
        <v>1199</v>
      </c>
      <c r="V115" s="4">
        <v>1228</v>
      </c>
      <c r="W115" s="4">
        <v>1216</v>
      </c>
      <c r="X115" s="9">
        <v>5.0890585241729616E-3</v>
      </c>
      <c r="Y115" s="10">
        <v>4.0084388185654962E-3</v>
      </c>
      <c r="Z115" s="10">
        <v>7.7747425929817196E-3</v>
      </c>
      <c r="AA115" s="10">
        <v>7.0892410341951706E-3</v>
      </c>
    </row>
    <row r="116" spans="2:27" hidden="1" x14ac:dyDescent="0.3">
      <c r="B116" s="3" t="s">
        <v>204</v>
      </c>
      <c r="C116" s="3" t="s">
        <v>671</v>
      </c>
      <c r="D116" s="3" t="s">
        <v>693</v>
      </c>
      <c r="E116" s="3" t="s">
        <v>743</v>
      </c>
      <c r="F116" s="5">
        <v>0.1</v>
      </c>
      <c r="G116" s="4">
        <v>747.05</v>
      </c>
      <c r="H116" s="4">
        <v>732.77</v>
      </c>
      <c r="I116" s="4">
        <v>700.06</v>
      </c>
      <c r="J116" s="4">
        <v>691.1</v>
      </c>
      <c r="K116" s="4">
        <v>680.8</v>
      </c>
      <c r="L116" s="4">
        <v>730.29</v>
      </c>
      <c r="M116" s="4">
        <v>676.84</v>
      </c>
      <c r="N116" s="4">
        <v>681.11</v>
      </c>
      <c r="O116" s="4">
        <v>632.12</v>
      </c>
      <c r="P116" s="4">
        <v>681.12</v>
      </c>
      <c r="Q116" s="4">
        <v>610.79999999999995</v>
      </c>
      <c r="R116" s="4">
        <v>638.5</v>
      </c>
      <c r="S116" s="4">
        <v>649.70000000000005</v>
      </c>
      <c r="T116" s="4">
        <v>667.48</v>
      </c>
      <c r="U116" s="4">
        <v>585.4</v>
      </c>
      <c r="V116" s="4">
        <v>651.6</v>
      </c>
      <c r="W116" s="4">
        <v>653</v>
      </c>
      <c r="X116" s="9">
        <v>-5.2865758181789291E-3</v>
      </c>
      <c r="Y116" s="10">
        <v>-9.8968236650978092E-3</v>
      </c>
      <c r="Z116" s="10">
        <v>5.1552883026115834E-3</v>
      </c>
      <c r="AA116" s="10">
        <v>1.291999780751452E-3</v>
      </c>
    </row>
    <row r="117" spans="2:27" x14ac:dyDescent="0.3">
      <c r="B117" s="12" t="s">
        <v>48</v>
      </c>
      <c r="C117" s="3" t="s">
        <v>671</v>
      </c>
      <c r="D117" s="3" t="s">
        <v>721</v>
      </c>
      <c r="E117" s="3" t="s">
        <v>673</v>
      </c>
      <c r="F117" s="5">
        <v>0.7</v>
      </c>
      <c r="G117" s="4">
        <v>1967</v>
      </c>
      <c r="H117" s="4">
        <v>1986</v>
      </c>
      <c r="I117" s="4">
        <v>2052</v>
      </c>
      <c r="J117" s="4">
        <v>2002</v>
      </c>
      <c r="K117" s="4">
        <v>2040</v>
      </c>
      <c r="L117" s="4">
        <v>2000</v>
      </c>
      <c r="M117" s="4">
        <v>2180</v>
      </c>
      <c r="N117" s="4">
        <v>2151</v>
      </c>
      <c r="O117" s="4">
        <v>2213</v>
      </c>
      <c r="P117" s="4">
        <v>2190</v>
      </c>
      <c r="Q117" s="4">
        <v>2361</v>
      </c>
      <c r="R117" s="4">
        <v>2388</v>
      </c>
      <c r="S117" s="4">
        <v>2317</v>
      </c>
      <c r="T117" s="4">
        <v>2220</v>
      </c>
      <c r="U117" s="4">
        <v>2460</v>
      </c>
      <c r="V117" s="4">
        <v>2400</v>
      </c>
      <c r="W117" s="4">
        <v>2387</v>
      </c>
      <c r="X117" s="9">
        <v>3.241140881590221E-3</v>
      </c>
      <c r="Y117" s="10">
        <v>1.066121042429469E-2</v>
      </c>
      <c r="Z117" s="10">
        <v>1.2786361214705E-3</v>
      </c>
      <c r="AA117" s="10">
        <v>7.4491859103968938E-3</v>
      </c>
    </row>
    <row r="118" spans="2:27" x14ac:dyDescent="0.3">
      <c r="B118" s="12" t="s">
        <v>208</v>
      </c>
      <c r="C118" s="3" t="s">
        <v>671</v>
      </c>
      <c r="D118" s="3" t="s">
        <v>723</v>
      </c>
      <c r="E118" s="3" t="s">
        <v>673</v>
      </c>
      <c r="F118" s="5">
        <v>0.6</v>
      </c>
      <c r="G118" s="4">
        <v>2761</v>
      </c>
      <c r="H118" s="4">
        <v>3016</v>
      </c>
      <c r="I118" s="4">
        <v>3153</v>
      </c>
      <c r="J118" s="4">
        <v>2918</v>
      </c>
      <c r="K118" s="4">
        <v>2651</v>
      </c>
      <c r="L118" s="4">
        <v>2806</v>
      </c>
      <c r="M118" s="4">
        <v>2951</v>
      </c>
      <c r="N118" s="4">
        <v>2766</v>
      </c>
      <c r="O118" s="4">
        <v>2612</v>
      </c>
      <c r="P118" s="4">
        <v>2679</v>
      </c>
      <c r="Q118" s="4">
        <v>2801</v>
      </c>
      <c r="R118" s="4">
        <v>2719</v>
      </c>
      <c r="S118" s="4">
        <v>2637</v>
      </c>
      <c r="T118" s="4">
        <v>2526</v>
      </c>
      <c r="U118" s="4">
        <v>2802</v>
      </c>
      <c r="V118" s="4">
        <v>2758</v>
      </c>
      <c r="W118" s="4">
        <v>2700</v>
      </c>
      <c r="X118" s="9">
        <v>-1.411960132890366E-2</v>
      </c>
      <c r="Y118" s="10">
        <v>9.3606664794521066E-5</v>
      </c>
      <c r="Z118" s="10">
        <v>3.6503182328715411E-3</v>
      </c>
      <c r="AA118" s="10">
        <v>5.8752214865243069E-3</v>
      </c>
    </row>
    <row r="119" spans="2:27" hidden="1" x14ac:dyDescent="0.3">
      <c r="B119" s="3" t="s">
        <v>445</v>
      </c>
      <c r="C119" s="3" t="s">
        <v>671</v>
      </c>
      <c r="D119" s="3" t="s">
        <v>676</v>
      </c>
      <c r="E119" s="3" t="s">
        <v>743</v>
      </c>
      <c r="F119" s="5">
        <v>0.7</v>
      </c>
      <c r="G119" s="4">
        <v>26.06</v>
      </c>
      <c r="H119" s="4">
        <v>29.4</v>
      </c>
      <c r="I119" s="4">
        <v>22.14</v>
      </c>
      <c r="J119" s="4">
        <v>36.090000000000003</v>
      </c>
      <c r="K119" s="6">
        <v>41.49</v>
      </c>
      <c r="L119" s="6">
        <v>47.43</v>
      </c>
      <c r="M119" s="6">
        <v>52.84</v>
      </c>
      <c r="N119" s="4">
        <v>52.69</v>
      </c>
      <c r="O119" s="6">
        <v>65.290000000000006</v>
      </c>
      <c r="P119" s="4">
        <v>67.83</v>
      </c>
      <c r="Q119" s="4">
        <v>69.56</v>
      </c>
      <c r="R119" s="4">
        <v>68.36</v>
      </c>
      <c r="S119" s="4">
        <v>74.040000000000006</v>
      </c>
      <c r="T119" s="4">
        <v>74.38</v>
      </c>
      <c r="U119" s="4">
        <v>72.73</v>
      </c>
      <c r="V119" s="4">
        <v>85.02</v>
      </c>
      <c r="W119" s="4">
        <v>76.3</v>
      </c>
      <c r="X119" s="9">
        <v>2.3410414954072811E-2</v>
      </c>
      <c r="Y119" s="10">
        <v>1.107075504644817E-2</v>
      </c>
      <c r="Z119" s="10">
        <v>5.7545507927187378E-2</v>
      </c>
      <c r="AA119" s="10">
        <v>7.3815200705489303E-3</v>
      </c>
    </row>
    <row r="120" spans="2:27" x14ac:dyDescent="0.3">
      <c r="B120" s="12" t="s">
        <v>353</v>
      </c>
      <c r="C120" s="3" t="s">
        <v>671</v>
      </c>
      <c r="D120" s="3" t="s">
        <v>724</v>
      </c>
      <c r="E120" s="3" t="s">
        <v>673</v>
      </c>
      <c r="F120" s="5">
        <v>0.4</v>
      </c>
      <c r="G120" s="4">
        <v>807</v>
      </c>
      <c r="H120" s="4">
        <v>892.2</v>
      </c>
      <c r="I120" s="4">
        <v>891</v>
      </c>
      <c r="J120" s="4">
        <v>823.3</v>
      </c>
      <c r="K120" s="4">
        <v>0</v>
      </c>
      <c r="L120" s="4">
        <v>845.7</v>
      </c>
      <c r="M120" s="4">
        <v>824.4</v>
      </c>
      <c r="N120" s="4">
        <v>753.7</v>
      </c>
      <c r="O120" s="6">
        <v>719</v>
      </c>
      <c r="P120" s="4">
        <v>829</v>
      </c>
      <c r="Q120" s="4">
        <v>849.7</v>
      </c>
      <c r="R120" s="4">
        <v>815.2</v>
      </c>
      <c r="S120" s="4">
        <v>746.5</v>
      </c>
      <c r="T120" s="4">
        <v>826.6</v>
      </c>
      <c r="U120" s="4">
        <v>866.5</v>
      </c>
      <c r="V120" s="4">
        <v>806.5</v>
      </c>
      <c r="W120" s="4">
        <v>760.6</v>
      </c>
      <c r="X120" s="9">
        <v>-7.4064930255524075E-4</v>
      </c>
      <c r="Y120" s="10">
        <v>5.1883878937617478E-3</v>
      </c>
      <c r="Z120" s="10">
        <v>-2.6729752980214632E-3</v>
      </c>
      <c r="AA120" s="10">
        <v>4.3436739471982566E-3</v>
      </c>
    </row>
    <row r="121" spans="2:27" x14ac:dyDescent="0.3">
      <c r="B121" s="12" t="s">
        <v>625</v>
      </c>
      <c r="C121" s="3" t="s">
        <v>671</v>
      </c>
      <c r="D121" s="3" t="s">
        <v>690</v>
      </c>
      <c r="E121" s="3" t="s">
        <v>673</v>
      </c>
      <c r="F121" s="5">
        <v>0.4</v>
      </c>
      <c r="G121" s="4">
        <v>601.35</v>
      </c>
      <c r="H121" s="4">
        <v>612.98</v>
      </c>
      <c r="I121" s="4">
        <v>605.91999999999996</v>
      </c>
      <c r="J121" s="4">
        <v>657.15</v>
      </c>
      <c r="K121" s="4">
        <v>649.34</v>
      </c>
      <c r="L121" s="4">
        <v>682.46</v>
      </c>
      <c r="M121" s="4">
        <v>723.74</v>
      </c>
      <c r="N121" s="4">
        <v>736.04</v>
      </c>
      <c r="O121" s="4">
        <v>673.64</v>
      </c>
      <c r="P121" s="4">
        <v>676.43</v>
      </c>
      <c r="Q121" s="4">
        <v>708.36</v>
      </c>
      <c r="R121" s="4">
        <v>685.35</v>
      </c>
      <c r="S121" s="4">
        <v>660.75</v>
      </c>
      <c r="T121" s="4">
        <v>667.07</v>
      </c>
      <c r="U121" s="4">
        <v>705.97</v>
      </c>
      <c r="V121" s="4">
        <v>695.5</v>
      </c>
      <c r="W121" s="4">
        <v>672.37</v>
      </c>
      <c r="X121" s="9">
        <v>-3.4274540534403601E-3</v>
      </c>
      <c r="Y121" s="10">
        <v>-8.7818249293591943E-4</v>
      </c>
      <c r="Z121" s="10">
        <v>3.7327978699146498E-3</v>
      </c>
      <c r="AA121" s="10">
        <v>4.2575175228722886E-3</v>
      </c>
    </row>
    <row r="122" spans="2:27" x14ac:dyDescent="0.3">
      <c r="B122" s="12" t="s">
        <v>154</v>
      </c>
      <c r="C122" s="3" t="s">
        <v>671</v>
      </c>
      <c r="D122" s="3" t="s">
        <v>711</v>
      </c>
      <c r="E122" s="3" t="s">
        <v>673</v>
      </c>
      <c r="F122" s="5">
        <v>0.4</v>
      </c>
      <c r="G122" s="4">
        <v>1042</v>
      </c>
      <c r="H122" s="4">
        <v>953.33</v>
      </c>
      <c r="I122" s="4">
        <v>908.83</v>
      </c>
      <c r="J122" s="4">
        <v>889.72</v>
      </c>
      <c r="K122" s="4">
        <v>1005</v>
      </c>
      <c r="L122" s="6">
        <v>1424</v>
      </c>
      <c r="M122" s="6">
        <v>1596</v>
      </c>
      <c r="N122" s="6">
        <v>1672</v>
      </c>
      <c r="O122" s="6">
        <v>1840</v>
      </c>
      <c r="P122" s="4">
        <v>1863</v>
      </c>
      <c r="Q122" s="4">
        <v>1733</v>
      </c>
      <c r="R122" s="4">
        <v>1693</v>
      </c>
      <c r="S122" s="4">
        <v>1839</v>
      </c>
      <c r="T122" s="4">
        <v>1700</v>
      </c>
      <c r="U122" s="4">
        <v>1738</v>
      </c>
      <c r="V122" s="4">
        <v>1834</v>
      </c>
      <c r="W122" s="4">
        <v>1866</v>
      </c>
      <c r="X122" s="9">
        <v>-2.2867564534231222E-2</v>
      </c>
      <c r="Y122" s="10">
        <v>7.1787508973431002E-4</v>
      </c>
      <c r="Z122" s="10">
        <v>2.0229555236728869E-2</v>
      </c>
      <c r="AA122" s="10">
        <v>3.7969343270989331E-3</v>
      </c>
    </row>
    <row r="123" spans="2:27" x14ac:dyDescent="0.3">
      <c r="B123" s="12" t="s">
        <v>78</v>
      </c>
      <c r="C123" s="3" t="s">
        <v>671</v>
      </c>
      <c r="D123" s="3" t="s">
        <v>725</v>
      </c>
      <c r="E123" s="3" t="s">
        <v>673</v>
      </c>
      <c r="F123" s="5">
        <v>0.2</v>
      </c>
      <c r="G123" s="4">
        <v>4277</v>
      </c>
      <c r="H123" s="4">
        <v>4284</v>
      </c>
      <c r="I123" s="4">
        <v>5074</v>
      </c>
      <c r="J123" s="4">
        <v>5357</v>
      </c>
      <c r="K123" s="4">
        <v>5582</v>
      </c>
      <c r="L123" s="4">
        <v>5677</v>
      </c>
      <c r="M123" s="4">
        <v>5798</v>
      </c>
      <c r="N123" s="4">
        <v>5804</v>
      </c>
      <c r="O123" s="4">
        <v>5739</v>
      </c>
      <c r="P123" s="4">
        <v>5804</v>
      </c>
      <c r="Q123" s="4">
        <v>5833</v>
      </c>
      <c r="R123" s="4">
        <v>5697</v>
      </c>
      <c r="S123" s="4">
        <v>5610</v>
      </c>
      <c r="T123" s="4">
        <v>5417</v>
      </c>
      <c r="U123" s="4">
        <v>5510</v>
      </c>
      <c r="V123" s="4">
        <v>5600</v>
      </c>
      <c r="W123" s="4">
        <v>5657</v>
      </c>
      <c r="X123" s="9">
        <v>-1.686715481171552E-2</v>
      </c>
      <c r="Y123" s="10">
        <v>-1.4319280046105391E-2</v>
      </c>
      <c r="Z123" s="10">
        <v>-4.3626877754789914E-3</v>
      </c>
      <c r="AA123" s="10">
        <v>2.1231422505307851E-3</v>
      </c>
    </row>
    <row r="124" spans="2:27" x14ac:dyDescent="0.3">
      <c r="B124" s="12" t="s">
        <v>391</v>
      </c>
      <c r="C124" s="3" t="s">
        <v>671</v>
      </c>
      <c r="D124" s="3" t="s">
        <v>726</v>
      </c>
      <c r="E124" s="3" t="s">
        <v>673</v>
      </c>
      <c r="F124" s="5">
        <v>0.2</v>
      </c>
      <c r="G124" s="4">
        <v>143.53</v>
      </c>
      <c r="H124" s="4">
        <v>114.5</v>
      </c>
      <c r="I124" s="4">
        <v>114.61</v>
      </c>
      <c r="J124" s="4">
        <v>131.07</v>
      </c>
      <c r="K124" s="4">
        <v>156.22999999999999</v>
      </c>
      <c r="L124" s="4">
        <v>134.29</v>
      </c>
      <c r="M124" s="4">
        <v>146.82</v>
      </c>
      <c r="N124" s="4">
        <v>153.63999999999999</v>
      </c>
      <c r="O124" s="4">
        <v>183.98</v>
      </c>
      <c r="P124" s="4">
        <v>141.01</v>
      </c>
      <c r="Q124" s="4">
        <v>153.1</v>
      </c>
      <c r="R124" s="4">
        <v>151.65</v>
      </c>
      <c r="S124" s="4">
        <v>165.02</v>
      </c>
      <c r="T124" s="4">
        <v>154.88</v>
      </c>
      <c r="U124" s="4">
        <v>172.91</v>
      </c>
      <c r="V124" s="4">
        <v>149</v>
      </c>
      <c r="W124" s="4">
        <v>166.03</v>
      </c>
      <c r="X124" s="9">
        <v>2.2708667605357169E-2</v>
      </c>
      <c r="Y124" s="10">
        <v>3.1713759705435107E-2</v>
      </c>
      <c r="Z124" s="10">
        <v>-4.11196971107608E-3</v>
      </c>
      <c r="AA124" s="10">
        <v>1.573674451940565E-3</v>
      </c>
    </row>
    <row r="125" spans="2:27" x14ac:dyDescent="0.3">
      <c r="B125" s="12" t="s">
        <v>396</v>
      </c>
      <c r="C125" s="3" t="s">
        <v>671</v>
      </c>
      <c r="D125" s="3" t="s">
        <v>719</v>
      </c>
      <c r="E125" s="3" t="s">
        <v>673</v>
      </c>
      <c r="F125" s="5">
        <v>0</v>
      </c>
      <c r="G125" s="4">
        <v>155.88999999999999</v>
      </c>
      <c r="H125" s="4">
        <v>168.22</v>
      </c>
      <c r="I125" s="4">
        <v>174.92</v>
      </c>
      <c r="J125" s="4">
        <v>184.06</v>
      </c>
      <c r="K125" s="4">
        <v>193.84</v>
      </c>
      <c r="L125" s="4">
        <v>205.27</v>
      </c>
      <c r="M125" s="4">
        <v>193.11</v>
      </c>
      <c r="N125" s="4">
        <v>197.6</v>
      </c>
      <c r="O125" s="4">
        <v>194.74</v>
      </c>
      <c r="P125" s="4">
        <v>203.85</v>
      </c>
      <c r="Q125" s="4">
        <v>201.07</v>
      </c>
      <c r="R125" s="4">
        <v>212.77</v>
      </c>
      <c r="S125" s="4">
        <v>212.99</v>
      </c>
      <c r="T125" s="4">
        <v>214.88</v>
      </c>
      <c r="U125" s="4">
        <v>216.91</v>
      </c>
      <c r="V125" s="4">
        <v>226.94</v>
      </c>
      <c r="W125" s="4">
        <v>212.94</v>
      </c>
      <c r="X125" s="9">
        <v>1.327827803727066E-2</v>
      </c>
      <c r="Y125" s="10">
        <v>1.881883308978138E-2</v>
      </c>
      <c r="Z125" s="10">
        <v>1.652381785318657E-2</v>
      </c>
      <c r="AA125" s="10">
        <v>-5.735786720517666E-5</v>
      </c>
    </row>
    <row r="126" spans="2:27" hidden="1" x14ac:dyDescent="0.3">
      <c r="B126" s="3" t="s">
        <v>351</v>
      </c>
      <c r="C126" s="3" t="s">
        <v>671</v>
      </c>
      <c r="D126" s="3" t="s">
        <v>748</v>
      </c>
      <c r="E126" s="3" t="s">
        <v>743</v>
      </c>
      <c r="F126" s="5">
        <v>-1.9</v>
      </c>
      <c r="G126" s="4">
        <v>856.5</v>
      </c>
      <c r="H126" s="4">
        <v>711.7</v>
      </c>
      <c r="I126" s="4">
        <v>1040</v>
      </c>
      <c r="J126" s="4">
        <v>1116</v>
      </c>
      <c r="K126" s="4">
        <v>988.5</v>
      </c>
      <c r="L126" s="4">
        <v>851.3</v>
      </c>
      <c r="M126" s="4">
        <v>1167</v>
      </c>
      <c r="N126" s="4">
        <v>1180</v>
      </c>
      <c r="O126" s="4">
        <v>1041</v>
      </c>
      <c r="P126" s="4">
        <v>897.1</v>
      </c>
      <c r="Q126" s="4">
        <v>1144</v>
      </c>
      <c r="R126" s="4">
        <v>1158</v>
      </c>
      <c r="S126" s="4">
        <v>1013</v>
      </c>
      <c r="T126" s="4">
        <v>924.4</v>
      </c>
      <c r="U126" s="4">
        <v>1092</v>
      </c>
      <c r="V126" s="4">
        <v>1111</v>
      </c>
      <c r="W126" s="4">
        <v>934</v>
      </c>
      <c r="X126" s="9">
        <v>6.4813276038078182E-3</v>
      </c>
      <c r="Y126" s="10">
        <v>-1.226588668207762E-2</v>
      </c>
      <c r="Z126" s="10">
        <v>-1.1224148636385319E-2</v>
      </c>
      <c r="AA126" s="10">
        <v>-1.9080282098347889E-2</v>
      </c>
    </row>
    <row r="127" spans="2:27" hidden="1" x14ac:dyDescent="0.3">
      <c r="B127" s="3" t="s">
        <v>176</v>
      </c>
      <c r="C127" s="3" t="s">
        <v>671</v>
      </c>
      <c r="D127" s="3" t="s">
        <v>745</v>
      </c>
      <c r="E127" s="3" t="s">
        <v>743</v>
      </c>
      <c r="F127" s="5">
        <v>2.5</v>
      </c>
      <c r="G127" s="4">
        <v>475</v>
      </c>
      <c r="H127" s="4">
        <v>475</v>
      </c>
      <c r="I127" s="4">
        <v>505</v>
      </c>
      <c r="J127" s="4">
        <v>621</v>
      </c>
      <c r="K127" s="4">
        <v>668</v>
      </c>
      <c r="L127" s="6">
        <v>757</v>
      </c>
      <c r="M127" s="4">
        <v>759</v>
      </c>
      <c r="N127" s="4">
        <v>716</v>
      </c>
      <c r="O127" s="4">
        <v>764</v>
      </c>
      <c r="P127" s="4">
        <v>803</v>
      </c>
      <c r="Q127" s="4">
        <v>820</v>
      </c>
      <c r="R127" s="4">
        <v>823</v>
      </c>
      <c r="S127" s="4">
        <v>852</v>
      </c>
      <c r="T127" s="4">
        <v>883</v>
      </c>
      <c r="U127" s="4">
        <v>897</v>
      </c>
      <c r="V127" s="4">
        <v>914</v>
      </c>
      <c r="W127" s="4">
        <v>939</v>
      </c>
      <c r="X127" s="9">
        <v>2.4257125530624531E-2</v>
      </c>
      <c r="Y127" s="10">
        <v>2.2794552989934939E-2</v>
      </c>
      <c r="Z127" s="10">
        <v>2.6338639652677239E-2</v>
      </c>
      <c r="AA127" s="10">
        <v>2.453468697123529E-2</v>
      </c>
    </row>
    <row r="128" spans="2:27" x14ac:dyDescent="0.3">
      <c r="B128" s="12" t="s">
        <v>447</v>
      </c>
      <c r="C128" s="3" t="s">
        <v>671</v>
      </c>
      <c r="D128" s="3" t="s">
        <v>707</v>
      </c>
      <c r="E128" s="3" t="s">
        <v>673</v>
      </c>
      <c r="F128" s="5">
        <v>0</v>
      </c>
      <c r="G128" s="4">
        <v>241</v>
      </c>
      <c r="H128" s="4">
        <v>262</v>
      </c>
      <c r="I128" s="4">
        <v>417</v>
      </c>
      <c r="J128" s="4">
        <v>459</v>
      </c>
      <c r="K128" s="4">
        <v>354</v>
      </c>
      <c r="L128" s="4">
        <v>371</v>
      </c>
      <c r="M128" s="4">
        <v>494</v>
      </c>
      <c r="N128" s="4">
        <v>533</v>
      </c>
      <c r="O128" s="4">
        <v>390</v>
      </c>
      <c r="P128" s="4">
        <v>395</v>
      </c>
      <c r="Q128" s="4">
        <v>497</v>
      </c>
      <c r="R128" s="4">
        <v>532</v>
      </c>
      <c r="S128" s="4">
        <v>411</v>
      </c>
      <c r="T128" s="4">
        <v>398</v>
      </c>
      <c r="U128" s="4">
        <v>529</v>
      </c>
      <c r="V128" s="4">
        <v>553</v>
      </c>
      <c r="W128" s="4">
        <v>411</v>
      </c>
      <c r="X128" s="9">
        <v>1.634877384196098E-3</v>
      </c>
      <c r="Y128" s="10">
        <v>1.7410228509249229E-2</v>
      </c>
      <c r="Z128" s="10">
        <v>1.122994652406417E-2</v>
      </c>
      <c r="AA128" s="10">
        <v>0</v>
      </c>
    </row>
    <row r="129" spans="2:27" x14ac:dyDescent="0.3">
      <c r="B129" s="12" t="s">
        <v>215</v>
      </c>
      <c r="C129" s="3" t="s">
        <v>671</v>
      </c>
      <c r="D129" s="3" t="s">
        <v>693</v>
      </c>
      <c r="E129" s="3" t="s">
        <v>673</v>
      </c>
      <c r="F129" s="5">
        <v>-0.1</v>
      </c>
      <c r="G129" s="4">
        <v>683.5</v>
      </c>
      <c r="H129" s="4">
        <v>595</v>
      </c>
      <c r="I129" s="4">
        <v>588.4</v>
      </c>
      <c r="J129" s="4">
        <v>638.9</v>
      </c>
      <c r="K129" s="4">
        <v>708.4</v>
      </c>
      <c r="L129" s="4">
        <v>685.3</v>
      </c>
      <c r="M129" s="4">
        <v>681.9</v>
      </c>
      <c r="N129" s="4">
        <v>742.8</v>
      </c>
      <c r="O129" s="4">
        <v>854.5</v>
      </c>
      <c r="P129" s="4">
        <v>721.7</v>
      </c>
      <c r="Q129" s="4">
        <v>800.7</v>
      </c>
      <c r="R129" s="4">
        <v>864.4</v>
      </c>
      <c r="S129" s="4">
        <v>979.6</v>
      </c>
      <c r="T129" s="4">
        <v>801.4</v>
      </c>
      <c r="U129" s="4">
        <v>797.4</v>
      </c>
      <c r="V129" s="4">
        <v>860.5</v>
      </c>
      <c r="W129" s="4">
        <v>977.2</v>
      </c>
      <c r="X129" s="9">
        <v>2.367514258555126E-2</v>
      </c>
      <c r="Y129" s="10">
        <v>-9.5760424828061907E-4</v>
      </c>
      <c r="Z129" s="10">
        <v>-1.1327988846288051E-3</v>
      </c>
      <c r="AA129" s="10">
        <v>-6.9789758352967191E-4</v>
      </c>
    </row>
    <row r="130" spans="2:27" x14ac:dyDescent="0.3">
      <c r="B130" s="12" t="s">
        <v>411</v>
      </c>
      <c r="C130" s="3" t="s">
        <v>671</v>
      </c>
      <c r="D130" s="3" t="s">
        <v>672</v>
      </c>
      <c r="E130" s="3" t="s">
        <v>673</v>
      </c>
      <c r="F130" s="5">
        <v>-0.1</v>
      </c>
      <c r="G130" s="4">
        <v>273.39999999999998</v>
      </c>
      <c r="H130" s="4">
        <v>276.63</v>
      </c>
      <c r="I130" s="4">
        <v>298.88</v>
      </c>
      <c r="J130" s="4">
        <v>308.89</v>
      </c>
      <c r="K130" s="4">
        <v>309.10000000000002</v>
      </c>
      <c r="L130" s="4">
        <v>312.44</v>
      </c>
      <c r="M130" s="4">
        <v>337.13</v>
      </c>
      <c r="N130" s="4">
        <v>345.12</v>
      </c>
      <c r="O130" s="4">
        <v>342.38</v>
      </c>
      <c r="P130" s="4">
        <v>332.75</v>
      </c>
      <c r="Q130" s="4">
        <v>357.02</v>
      </c>
      <c r="R130" s="4">
        <v>360.34</v>
      </c>
      <c r="S130" s="4">
        <v>361.95</v>
      </c>
      <c r="T130" s="4">
        <v>358.53</v>
      </c>
      <c r="U130" s="4">
        <v>370.39</v>
      </c>
      <c r="V130" s="4">
        <v>376.04</v>
      </c>
      <c r="W130" s="4">
        <v>359.99</v>
      </c>
      <c r="X130" s="9">
        <v>1.8257014574451391E-2</v>
      </c>
      <c r="Y130" s="10">
        <v>9.298670227563699E-3</v>
      </c>
      <c r="Z130" s="10">
        <v>1.081855830651657E-2</v>
      </c>
      <c r="AA130" s="10">
        <v>-1.336141958265924E-3</v>
      </c>
    </row>
    <row r="131" spans="2:27" x14ac:dyDescent="0.3">
      <c r="B131" s="12" t="s">
        <v>56</v>
      </c>
      <c r="C131" s="3" t="s">
        <v>671</v>
      </c>
      <c r="D131" s="3" t="s">
        <v>703</v>
      </c>
      <c r="E131" s="3" t="s">
        <v>673</v>
      </c>
      <c r="F131" s="5">
        <v>-0.2</v>
      </c>
      <c r="G131" s="4">
        <v>0</v>
      </c>
      <c r="H131" s="4">
        <v>5327</v>
      </c>
      <c r="I131" s="4">
        <v>4239</v>
      </c>
      <c r="J131" s="4">
        <v>4845</v>
      </c>
      <c r="K131" s="4">
        <v>0</v>
      </c>
      <c r="L131" s="4">
        <v>5563</v>
      </c>
      <c r="M131" s="4">
        <v>4818</v>
      </c>
      <c r="N131" s="4">
        <v>5980</v>
      </c>
      <c r="O131" s="6">
        <v>5367</v>
      </c>
      <c r="P131" s="4">
        <v>6043</v>
      </c>
      <c r="Q131" s="4">
        <v>5361</v>
      </c>
      <c r="R131" s="4">
        <v>6154</v>
      </c>
      <c r="S131" s="4">
        <v>5471</v>
      </c>
      <c r="T131" s="4">
        <v>6714</v>
      </c>
      <c r="U131" s="4">
        <v>5427</v>
      </c>
      <c r="V131" s="4">
        <v>6705</v>
      </c>
      <c r="W131" s="4">
        <v>5412</v>
      </c>
      <c r="X131" s="9">
        <v>2.91371748664726E-2</v>
      </c>
      <c r="Y131" s="10">
        <v>2.7848101265823821E-3</v>
      </c>
      <c r="Z131" s="10">
        <v>2.3184381048556801E-2</v>
      </c>
      <c r="AA131" s="10">
        <v>-2.42628613727025E-3</v>
      </c>
    </row>
    <row r="132" spans="2:27" x14ac:dyDescent="0.3">
      <c r="B132" s="12" t="s">
        <v>7</v>
      </c>
      <c r="C132" s="3" t="s">
        <v>671</v>
      </c>
      <c r="D132" s="3" t="s">
        <v>685</v>
      </c>
      <c r="E132" s="3" t="s">
        <v>715</v>
      </c>
      <c r="F132" s="5">
        <v>-0.5</v>
      </c>
      <c r="G132" s="4">
        <v>6271</v>
      </c>
      <c r="H132" s="4">
        <v>6245</v>
      </c>
      <c r="I132" s="4">
        <v>6520</v>
      </c>
      <c r="J132" s="4">
        <v>6749</v>
      </c>
      <c r="K132" s="4">
        <v>6739</v>
      </c>
      <c r="L132" s="4">
        <v>6630</v>
      </c>
      <c r="M132" s="4">
        <v>6425</v>
      </c>
      <c r="N132" s="4">
        <v>6723</v>
      </c>
      <c r="O132" s="4">
        <v>6707</v>
      </c>
      <c r="P132" s="4">
        <v>6646</v>
      </c>
      <c r="Q132" s="4">
        <v>6778</v>
      </c>
      <c r="R132" s="4">
        <v>7045</v>
      </c>
      <c r="S132" s="4">
        <v>7166</v>
      </c>
      <c r="T132" s="4">
        <v>7100</v>
      </c>
      <c r="U132" s="4">
        <v>7302</v>
      </c>
      <c r="V132" s="4">
        <v>6800</v>
      </c>
      <c r="W132" s="4">
        <v>7012</v>
      </c>
      <c r="X132" s="9">
        <v>1.6428442192871321E-2</v>
      </c>
      <c r="Y132" s="10">
        <v>1.8654989497668199E-2</v>
      </c>
      <c r="Z132" s="10">
        <v>-8.5625415021144402E-3</v>
      </c>
      <c r="AA132" s="10">
        <v>-5.4286520022560616E-3</v>
      </c>
    </row>
    <row r="133" spans="2:27" x14ac:dyDescent="0.3">
      <c r="B133" s="12" t="s">
        <v>234</v>
      </c>
      <c r="C133" s="3" t="s">
        <v>671</v>
      </c>
      <c r="D133" s="3" t="s">
        <v>727</v>
      </c>
      <c r="E133" s="3" t="s">
        <v>673</v>
      </c>
      <c r="F133" s="5">
        <v>-0.6</v>
      </c>
      <c r="G133" s="4">
        <v>0</v>
      </c>
      <c r="H133" s="4">
        <v>1140</v>
      </c>
      <c r="I133" s="4">
        <v>1255</v>
      </c>
      <c r="J133" s="4">
        <v>1196</v>
      </c>
      <c r="K133" s="4">
        <v>0</v>
      </c>
      <c r="L133" s="4">
        <v>1040</v>
      </c>
      <c r="M133" s="4">
        <v>1164</v>
      </c>
      <c r="N133" s="4">
        <v>1261</v>
      </c>
      <c r="O133" s="6">
        <v>1161</v>
      </c>
      <c r="P133" s="4">
        <v>1110</v>
      </c>
      <c r="Q133" s="4">
        <v>1240</v>
      </c>
      <c r="R133" s="4">
        <v>1155</v>
      </c>
      <c r="S133" s="4">
        <v>1104</v>
      </c>
      <c r="T133" s="4">
        <v>1033</v>
      </c>
      <c r="U133" s="4">
        <v>1203</v>
      </c>
      <c r="V133" s="4">
        <v>1149</v>
      </c>
      <c r="W133" s="4">
        <v>1078</v>
      </c>
      <c r="X133" s="9">
        <v>-1.6706443914081159E-2</v>
      </c>
      <c r="Y133" s="10">
        <v>-8.1641659311562087E-3</v>
      </c>
      <c r="Z133" s="10">
        <v>-1.3348164627363661E-3</v>
      </c>
      <c r="AA133" s="10">
        <v>-5.791935843172169E-3</v>
      </c>
    </row>
    <row r="134" spans="2:27" x14ac:dyDescent="0.3">
      <c r="B134" s="12" t="s">
        <v>299</v>
      </c>
      <c r="C134" s="3" t="s">
        <v>671</v>
      </c>
      <c r="D134" s="3" t="s">
        <v>728</v>
      </c>
      <c r="E134" s="3" t="s">
        <v>673</v>
      </c>
      <c r="F134" s="5">
        <v>-0.7</v>
      </c>
      <c r="G134" s="4">
        <v>8244</v>
      </c>
      <c r="H134" s="4">
        <v>9142</v>
      </c>
      <c r="I134" s="4">
        <v>14078</v>
      </c>
      <c r="J134" s="4">
        <v>12765</v>
      </c>
      <c r="K134" s="4">
        <v>10846</v>
      </c>
      <c r="L134" s="4">
        <v>9295</v>
      </c>
      <c r="M134" s="4">
        <v>9158</v>
      </c>
      <c r="N134" s="4">
        <v>10734</v>
      </c>
      <c r="O134" s="4">
        <v>9139</v>
      </c>
      <c r="P134" s="4">
        <v>8646</v>
      </c>
      <c r="Q134" s="4">
        <v>8736</v>
      </c>
      <c r="R134" s="4">
        <v>8382</v>
      </c>
      <c r="S134" s="4">
        <v>7351</v>
      </c>
      <c r="T134" s="4">
        <v>7066</v>
      </c>
      <c r="U134" s="4">
        <v>7475</v>
      </c>
      <c r="V134" s="4">
        <v>7651</v>
      </c>
      <c r="W134" s="4">
        <v>7140</v>
      </c>
      <c r="X134" s="9">
        <v>-4.7712516986260001E-2</v>
      </c>
      <c r="Y134" s="10">
        <v>-3.9987315680989337E-2</v>
      </c>
      <c r="Z134" s="10">
        <v>-2.41461319944507E-2</v>
      </c>
      <c r="AA134" s="10">
        <v>-7.1421318078732643E-3</v>
      </c>
    </row>
    <row r="135" spans="2:27" x14ac:dyDescent="0.3">
      <c r="B135" s="12" t="s">
        <v>285</v>
      </c>
      <c r="C135" s="3" t="s">
        <v>671</v>
      </c>
      <c r="D135" s="3" t="s">
        <v>729</v>
      </c>
      <c r="E135" s="3" t="s">
        <v>673</v>
      </c>
      <c r="F135" s="5">
        <v>-0.7</v>
      </c>
      <c r="G135" s="4">
        <v>2464</v>
      </c>
      <c r="H135" s="4">
        <v>2709</v>
      </c>
      <c r="I135" s="4">
        <v>2973</v>
      </c>
      <c r="J135" s="4">
        <v>2895</v>
      </c>
      <c r="K135" s="4">
        <v>2666</v>
      </c>
      <c r="L135" s="4">
        <v>2499</v>
      </c>
      <c r="M135" s="4">
        <v>2393</v>
      </c>
      <c r="N135" s="4">
        <v>2388</v>
      </c>
      <c r="O135" s="4">
        <v>2282</v>
      </c>
      <c r="P135" s="4">
        <v>2191</v>
      </c>
      <c r="Q135" s="4">
        <v>2209</v>
      </c>
      <c r="R135" s="4">
        <v>2218</v>
      </c>
      <c r="S135" s="4">
        <v>2482</v>
      </c>
      <c r="T135" s="4">
        <v>2316</v>
      </c>
      <c r="U135" s="4">
        <v>2480</v>
      </c>
      <c r="V135" s="4">
        <v>2540</v>
      </c>
      <c r="W135" s="4">
        <v>2410</v>
      </c>
      <c r="X135" s="9">
        <v>1.3736263736263689E-2</v>
      </c>
      <c r="Y135" s="10">
        <v>2.9376693766937741E-2</v>
      </c>
      <c r="Z135" s="10">
        <v>3.3909014321819697E-2</v>
      </c>
      <c r="AA135" s="10">
        <v>-7.3334691383173389E-3</v>
      </c>
    </row>
    <row r="136" spans="2:27" x14ac:dyDescent="0.3">
      <c r="B136" s="12" t="s">
        <v>266</v>
      </c>
      <c r="C136" s="3" t="s">
        <v>671</v>
      </c>
      <c r="D136" s="3" t="s">
        <v>714</v>
      </c>
      <c r="E136" s="3" t="s">
        <v>673</v>
      </c>
      <c r="F136" s="5">
        <v>-0.8</v>
      </c>
      <c r="G136" s="4">
        <v>586.63</v>
      </c>
      <c r="H136" s="4">
        <v>660.15</v>
      </c>
      <c r="I136" s="4">
        <v>964.58</v>
      </c>
      <c r="J136" s="4">
        <v>985.09</v>
      </c>
      <c r="K136" s="6">
        <v>945.16</v>
      </c>
      <c r="L136" s="4">
        <v>884.17</v>
      </c>
      <c r="M136" s="4">
        <v>1072</v>
      </c>
      <c r="N136" s="4">
        <v>1046</v>
      </c>
      <c r="O136" s="4">
        <v>960.1</v>
      </c>
      <c r="P136" s="4">
        <v>938.63</v>
      </c>
      <c r="Q136" s="4">
        <v>1112</v>
      </c>
      <c r="R136" s="4">
        <v>1062</v>
      </c>
      <c r="S136" s="4">
        <v>989.77</v>
      </c>
      <c r="T136" s="4">
        <v>937.33</v>
      </c>
      <c r="U136" s="4">
        <v>1149</v>
      </c>
      <c r="V136" s="4">
        <v>996.3</v>
      </c>
      <c r="W136" s="4">
        <v>957.64</v>
      </c>
      <c r="X136" s="9">
        <v>-3.1688767550686059E-4</v>
      </c>
      <c r="Y136" s="10">
        <v>9.021969715442113E-3</v>
      </c>
      <c r="Z136" s="10">
        <v>-1.587685169522246E-2</v>
      </c>
      <c r="AA136" s="10">
        <v>-7.8896964934682678E-3</v>
      </c>
    </row>
    <row r="137" spans="2:27" x14ac:dyDescent="0.3">
      <c r="B137" s="12" t="s">
        <v>401</v>
      </c>
      <c r="C137" s="3" t="s">
        <v>671</v>
      </c>
      <c r="D137" s="3" t="s">
        <v>730</v>
      </c>
      <c r="E137" s="3" t="s">
        <v>673</v>
      </c>
      <c r="F137" s="5">
        <v>-0.8</v>
      </c>
      <c r="G137" s="4">
        <v>472.2</v>
      </c>
      <c r="H137" s="4">
        <v>472.7</v>
      </c>
      <c r="I137" s="4">
        <v>416.8</v>
      </c>
      <c r="J137" s="4">
        <v>496.6</v>
      </c>
      <c r="K137" s="4">
        <v>591.20000000000005</v>
      </c>
      <c r="L137" s="4">
        <v>641.70000000000005</v>
      </c>
      <c r="M137" s="6">
        <v>722.4</v>
      </c>
      <c r="N137" s="6">
        <v>821.3</v>
      </c>
      <c r="O137" s="4">
        <v>797.9</v>
      </c>
      <c r="P137" s="4">
        <v>809.6</v>
      </c>
      <c r="Q137" s="4">
        <v>841.4</v>
      </c>
      <c r="R137" s="4">
        <v>798.8</v>
      </c>
      <c r="S137" s="4">
        <v>629.4</v>
      </c>
      <c r="T137" s="4">
        <v>585.4</v>
      </c>
      <c r="U137" s="4">
        <v>506.2</v>
      </c>
      <c r="V137" s="4">
        <v>454.1</v>
      </c>
      <c r="W137" s="4">
        <v>611.20000000000005</v>
      </c>
      <c r="X137" s="9">
        <v>-7.2811119771369115E-2</v>
      </c>
      <c r="Y137" s="10">
        <v>-0.1174080560420316</v>
      </c>
      <c r="Z137" s="10">
        <v>-0.13679657115644089</v>
      </c>
      <c r="AA137" s="10">
        <v>-8.3674313824650959E-3</v>
      </c>
    </row>
    <row r="138" spans="2:27" x14ac:dyDescent="0.3">
      <c r="B138" s="12" t="s">
        <v>95</v>
      </c>
      <c r="C138" s="3" t="s">
        <v>671</v>
      </c>
      <c r="D138" s="3" t="s">
        <v>753</v>
      </c>
      <c r="E138" s="3" t="s">
        <v>754</v>
      </c>
      <c r="F138" s="5">
        <v>-1.1000000000000001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4">
        <v>22992</v>
      </c>
      <c r="T138" s="4">
        <v>19423</v>
      </c>
      <c r="U138" s="4">
        <v>22101</v>
      </c>
      <c r="V138" s="4">
        <v>23436</v>
      </c>
      <c r="W138" s="4">
        <v>21981</v>
      </c>
      <c r="X138" s="11"/>
      <c r="Y138" s="3"/>
      <c r="Z138" s="3"/>
      <c r="AA138" s="10">
        <v>-1.149490631253414E-2</v>
      </c>
    </row>
    <row r="139" spans="2:27" x14ac:dyDescent="0.3">
      <c r="B139" s="12" t="s">
        <v>213</v>
      </c>
      <c r="C139" s="3" t="s">
        <v>671</v>
      </c>
      <c r="D139" s="3" t="s">
        <v>731</v>
      </c>
      <c r="E139" s="3" t="s">
        <v>673</v>
      </c>
      <c r="F139" s="5">
        <v>-1.2</v>
      </c>
      <c r="G139" s="4">
        <v>5235</v>
      </c>
      <c r="H139" s="4">
        <v>4720</v>
      </c>
      <c r="I139" s="4">
        <v>5577</v>
      </c>
      <c r="J139" s="4">
        <v>4672</v>
      </c>
      <c r="K139" s="4">
        <v>3841</v>
      </c>
      <c r="L139" s="4">
        <v>3819</v>
      </c>
      <c r="M139" s="4">
        <v>2951</v>
      </c>
      <c r="N139" s="4">
        <v>4229</v>
      </c>
      <c r="O139" s="4">
        <v>703</v>
      </c>
      <c r="P139" s="4">
        <v>4116</v>
      </c>
      <c r="Q139" s="6">
        <v>4605</v>
      </c>
      <c r="R139" s="4">
        <v>4201</v>
      </c>
      <c r="S139" s="6">
        <v>5046</v>
      </c>
      <c r="T139" s="4">
        <v>4719</v>
      </c>
      <c r="U139" s="4">
        <v>4068</v>
      </c>
      <c r="V139" s="4">
        <v>4594</v>
      </c>
      <c r="W139" s="4">
        <v>4832</v>
      </c>
      <c r="X139" s="9">
        <v>3.3559661620659043E-2</v>
      </c>
      <c r="Y139" s="10">
        <v>-2.8916051908890239E-2</v>
      </c>
      <c r="Z139" s="10">
        <v>2.179217034490399E-2</v>
      </c>
      <c r="AA139" s="10">
        <v>-1.161339339013401E-2</v>
      </c>
    </row>
    <row r="140" spans="2:27" hidden="1" x14ac:dyDescent="0.3">
      <c r="B140" s="3" t="s">
        <v>373</v>
      </c>
      <c r="C140" s="3" t="s">
        <v>671</v>
      </c>
      <c r="D140" s="3" t="s">
        <v>746</v>
      </c>
      <c r="E140" s="3" t="s">
        <v>743</v>
      </c>
      <c r="F140" s="5">
        <v>1.2</v>
      </c>
      <c r="G140" s="4">
        <v>439</v>
      </c>
      <c r="H140" s="4">
        <v>432</v>
      </c>
      <c r="I140" s="4">
        <v>473</v>
      </c>
      <c r="J140" s="4">
        <v>539</v>
      </c>
      <c r="K140" s="4">
        <v>577</v>
      </c>
      <c r="L140" s="4">
        <v>547</v>
      </c>
      <c r="M140" s="4">
        <v>584</v>
      </c>
      <c r="N140" s="4">
        <v>594</v>
      </c>
      <c r="O140" s="4">
        <v>588</v>
      </c>
      <c r="P140" s="4">
        <v>555</v>
      </c>
      <c r="Q140" s="4">
        <v>563</v>
      </c>
      <c r="R140" s="4">
        <v>633</v>
      </c>
      <c r="S140" s="4">
        <v>606</v>
      </c>
      <c r="T140" s="4">
        <v>571</v>
      </c>
      <c r="U140" s="4">
        <v>599</v>
      </c>
      <c r="V140" s="4">
        <v>628</v>
      </c>
      <c r="W140" s="4">
        <v>634</v>
      </c>
      <c r="X140" s="9">
        <v>6.7882901994060774E-3</v>
      </c>
      <c r="Y140" s="10">
        <v>1.51706700379266E-2</v>
      </c>
      <c r="Z140" s="10">
        <v>-2.0755500207555459E-3</v>
      </c>
      <c r="AA140" s="10">
        <v>1.1647254575707139E-2</v>
      </c>
    </row>
    <row r="141" spans="2:27" x14ac:dyDescent="0.3">
      <c r="B141" s="12" t="s">
        <v>408</v>
      </c>
      <c r="C141" s="3" t="s">
        <v>671</v>
      </c>
      <c r="D141" s="3" t="s">
        <v>732</v>
      </c>
      <c r="E141" s="3" t="s">
        <v>673</v>
      </c>
      <c r="F141" s="5">
        <v>-1.3</v>
      </c>
      <c r="G141" s="4">
        <v>1603</v>
      </c>
      <c r="H141" s="4">
        <v>1567</v>
      </c>
      <c r="I141" s="4">
        <v>1585</v>
      </c>
      <c r="J141" s="4">
        <v>1537</v>
      </c>
      <c r="K141" s="4">
        <v>1485</v>
      </c>
      <c r="L141" s="4">
        <v>1538</v>
      </c>
      <c r="M141" s="4">
        <v>1608</v>
      </c>
      <c r="N141" s="4">
        <v>1519</v>
      </c>
      <c r="O141" s="4">
        <v>1598</v>
      </c>
      <c r="P141" s="4">
        <v>1622</v>
      </c>
      <c r="Q141" s="4">
        <v>1607</v>
      </c>
      <c r="R141" s="4">
        <v>1582</v>
      </c>
      <c r="S141" s="4">
        <v>1592</v>
      </c>
      <c r="T141" s="4">
        <v>1513</v>
      </c>
      <c r="U141" s="4">
        <v>1594</v>
      </c>
      <c r="V141" s="4">
        <v>1602</v>
      </c>
      <c r="W141" s="4">
        <v>1507</v>
      </c>
      <c r="X141" s="9">
        <v>-1.7023270342027219E-2</v>
      </c>
      <c r="Y141" s="10">
        <v>-2.0654591674610372E-3</v>
      </c>
      <c r="Z141" s="10">
        <v>3.1842063365705719E-3</v>
      </c>
      <c r="AA141" s="10">
        <v>-1.348992223456591E-2</v>
      </c>
    </row>
    <row r="142" spans="2:27" x14ac:dyDescent="0.3">
      <c r="B142" s="12" t="s">
        <v>356</v>
      </c>
      <c r="C142" s="3" t="s">
        <v>671</v>
      </c>
      <c r="D142" s="3" t="s">
        <v>733</v>
      </c>
      <c r="E142" s="3" t="s">
        <v>673</v>
      </c>
      <c r="F142" s="5">
        <v>-1.8</v>
      </c>
      <c r="G142" s="4">
        <v>1232</v>
      </c>
      <c r="H142" s="4">
        <v>1218</v>
      </c>
      <c r="I142" s="4">
        <v>1200</v>
      </c>
      <c r="J142" s="4">
        <v>1241</v>
      </c>
      <c r="K142" s="4">
        <v>1226</v>
      </c>
      <c r="L142" s="4">
        <v>1246</v>
      </c>
      <c r="M142" s="4">
        <v>1209</v>
      </c>
      <c r="N142" s="4">
        <v>1222</v>
      </c>
      <c r="O142" s="4">
        <v>1245</v>
      </c>
      <c r="P142" s="4">
        <v>1264</v>
      </c>
      <c r="Q142" s="4">
        <v>1226</v>
      </c>
      <c r="R142" s="4">
        <v>1237</v>
      </c>
      <c r="S142" s="4">
        <v>1326</v>
      </c>
      <c r="T142" s="4">
        <v>1274</v>
      </c>
      <c r="U142" s="4">
        <v>1220</v>
      </c>
      <c r="V142" s="4">
        <v>1215</v>
      </c>
      <c r="W142" s="4">
        <v>1234</v>
      </c>
      <c r="X142" s="9">
        <v>1.9790223629527759E-3</v>
      </c>
      <c r="Y142" s="10">
        <v>-1.1850681414181661E-3</v>
      </c>
      <c r="Z142" s="10">
        <v>-4.350405378683031E-3</v>
      </c>
      <c r="AA142" s="10">
        <v>-1.8272095332671271E-2</v>
      </c>
    </row>
    <row r="143" spans="2:27" x14ac:dyDescent="0.3">
      <c r="B143" s="12" t="s">
        <v>240</v>
      </c>
      <c r="C143" s="3" t="s">
        <v>671</v>
      </c>
      <c r="D143" s="3" t="s">
        <v>679</v>
      </c>
      <c r="E143" s="3" t="s">
        <v>673</v>
      </c>
      <c r="F143" s="5">
        <v>-2</v>
      </c>
      <c r="G143" s="4">
        <v>135.88999999999999</v>
      </c>
      <c r="H143" s="4">
        <v>142.55000000000001</v>
      </c>
      <c r="I143" s="4">
        <v>144.97999999999999</v>
      </c>
      <c r="J143" s="4">
        <v>306.02999999999997</v>
      </c>
      <c r="K143" s="6">
        <v>338.46</v>
      </c>
      <c r="L143" s="6">
        <v>332.15</v>
      </c>
      <c r="M143" s="6">
        <v>338.13</v>
      </c>
      <c r="N143" s="4">
        <v>341.8</v>
      </c>
      <c r="O143" s="4">
        <v>330.01</v>
      </c>
      <c r="P143" s="4">
        <v>326.38</v>
      </c>
      <c r="Q143" s="4">
        <v>316.18</v>
      </c>
      <c r="R143" s="4">
        <v>315.63</v>
      </c>
      <c r="S143" s="4">
        <v>309.99</v>
      </c>
      <c r="T143" s="4">
        <v>298.98</v>
      </c>
      <c r="U143" s="4">
        <v>297.66000000000003</v>
      </c>
      <c r="V143" s="4">
        <v>298.05</v>
      </c>
      <c r="W143" s="4">
        <v>286.3</v>
      </c>
      <c r="X143" s="9">
        <v>-2.1605765743033412E-2</v>
      </c>
      <c r="Y143" s="10">
        <v>-1.492609487580387E-2</v>
      </c>
      <c r="Z143" s="10">
        <v>-1.4383191792253671E-2</v>
      </c>
      <c r="AA143" s="10">
        <v>-1.966497327091021E-2</v>
      </c>
    </row>
    <row r="144" spans="2:27" x14ac:dyDescent="0.3">
      <c r="B144" s="12" t="s">
        <v>432</v>
      </c>
      <c r="C144" s="3" t="s">
        <v>671</v>
      </c>
      <c r="D144" s="3" t="s">
        <v>734</v>
      </c>
      <c r="E144" s="3" t="s">
        <v>673</v>
      </c>
      <c r="F144" s="5">
        <v>-2.2999999999999998</v>
      </c>
      <c r="G144" s="4">
        <v>778</v>
      </c>
      <c r="H144" s="4">
        <v>821</v>
      </c>
      <c r="I144" s="4">
        <v>912</v>
      </c>
      <c r="J144" s="4">
        <v>968</v>
      </c>
      <c r="K144" s="4">
        <v>927</v>
      </c>
      <c r="L144" s="4">
        <v>941</v>
      </c>
      <c r="M144" s="4">
        <v>919</v>
      </c>
      <c r="N144" s="4">
        <v>897</v>
      </c>
      <c r="O144" s="4">
        <v>964</v>
      </c>
      <c r="P144" s="4">
        <v>905</v>
      </c>
      <c r="Q144" s="4">
        <v>933</v>
      </c>
      <c r="R144" s="4">
        <v>965</v>
      </c>
      <c r="S144" s="4">
        <v>970</v>
      </c>
      <c r="T144" s="4">
        <v>821</v>
      </c>
      <c r="U144" s="4">
        <v>794</v>
      </c>
      <c r="V144" s="4">
        <v>846</v>
      </c>
      <c r="W144" s="4">
        <v>890</v>
      </c>
      <c r="X144" s="9">
        <v>-2.2263450834879461E-2</v>
      </c>
      <c r="Y144" s="10">
        <v>-3.7679587964217998E-2</v>
      </c>
      <c r="Z144" s="10">
        <v>-3.3521126760563402E-2</v>
      </c>
      <c r="AA144" s="10">
        <v>-2.3316817254444792E-2</v>
      </c>
    </row>
    <row r="145" spans="2:27" x14ac:dyDescent="0.3">
      <c r="B145" s="12" t="s">
        <v>291</v>
      </c>
      <c r="C145" s="3" t="s">
        <v>671</v>
      </c>
      <c r="D145" s="3" t="s">
        <v>718</v>
      </c>
      <c r="E145" s="3" t="s">
        <v>673</v>
      </c>
      <c r="F145" s="5">
        <v>-3.7</v>
      </c>
      <c r="G145" s="4">
        <v>29.79</v>
      </c>
      <c r="H145" s="4">
        <v>31.2</v>
      </c>
      <c r="I145" s="4">
        <v>25.91</v>
      </c>
      <c r="J145" s="4">
        <v>33.06</v>
      </c>
      <c r="K145" s="4">
        <v>21.21</v>
      </c>
      <c r="L145" s="4">
        <v>30</v>
      </c>
      <c r="M145" s="4">
        <v>33.630000000000003</v>
      </c>
      <c r="N145" s="4">
        <v>36.76</v>
      </c>
      <c r="O145" s="6">
        <v>36.64</v>
      </c>
      <c r="P145" s="4">
        <v>41.92</v>
      </c>
      <c r="Q145" s="4">
        <v>39.19</v>
      </c>
      <c r="R145" s="4">
        <v>21.33</v>
      </c>
      <c r="S145" s="4">
        <v>37.74</v>
      </c>
      <c r="T145" s="4">
        <v>28.45</v>
      </c>
      <c r="U145" s="4">
        <v>4.9000000000000004</v>
      </c>
      <c r="V145" s="4">
        <v>28.56</v>
      </c>
      <c r="W145" s="4">
        <v>34.04</v>
      </c>
      <c r="X145" s="9">
        <v>-9.6090740476530212E-2</v>
      </c>
      <c r="Y145" s="10">
        <v>-0.27061794649198961</v>
      </c>
      <c r="Z145" s="10">
        <v>7.8229820385198101E-2</v>
      </c>
      <c r="AA145" s="10">
        <v>-3.7129954841946811E-2</v>
      </c>
    </row>
    <row r="146" spans="2:27" x14ac:dyDescent="0.3">
      <c r="B146" s="12" t="s">
        <v>461</v>
      </c>
      <c r="C146" s="3" t="s">
        <v>671</v>
      </c>
      <c r="D146" s="3" t="s">
        <v>682</v>
      </c>
      <c r="E146" s="3" t="s">
        <v>673</v>
      </c>
      <c r="F146" s="5">
        <v>-3.9</v>
      </c>
      <c r="G146" s="4">
        <v>451.9</v>
      </c>
      <c r="H146" s="4">
        <v>412.81</v>
      </c>
      <c r="I146" s="4">
        <v>312.61</v>
      </c>
      <c r="J146" s="4">
        <v>213.63</v>
      </c>
      <c r="K146" s="4">
        <v>262.29000000000002</v>
      </c>
      <c r="L146" s="4">
        <v>244.2</v>
      </c>
      <c r="M146" s="4">
        <v>235.03</v>
      </c>
      <c r="N146" s="4">
        <v>238.52</v>
      </c>
      <c r="O146" s="4">
        <v>227.68</v>
      </c>
      <c r="P146" s="4">
        <v>207.55</v>
      </c>
      <c r="Q146" s="4">
        <v>239.62</v>
      </c>
      <c r="R146" s="4">
        <v>222.41</v>
      </c>
      <c r="S146" s="4">
        <v>237.22</v>
      </c>
      <c r="T146" s="4">
        <v>215.13</v>
      </c>
      <c r="U146" s="4">
        <v>214.8</v>
      </c>
      <c r="V146" s="4">
        <v>199.16</v>
      </c>
      <c r="W146" s="4">
        <v>203.08</v>
      </c>
      <c r="X146" s="9">
        <v>8.3590648434053172E-3</v>
      </c>
      <c r="Y146" s="10">
        <v>-2.7144075767186578E-2</v>
      </c>
      <c r="Z146" s="10">
        <v>-2.6136516929718079E-2</v>
      </c>
      <c r="AA146" s="10">
        <v>-3.9408525816393543E-2</v>
      </c>
    </row>
    <row r="147" spans="2:27" hidden="1" x14ac:dyDescent="0.3">
      <c r="B147" s="3" t="s">
        <v>60</v>
      </c>
      <c r="C147" s="3" t="s">
        <v>671</v>
      </c>
      <c r="D147" s="3" t="s">
        <v>703</v>
      </c>
      <c r="E147" s="3" t="s">
        <v>743</v>
      </c>
      <c r="F147" s="5">
        <v>3.4</v>
      </c>
      <c r="G147" s="4">
        <v>3354</v>
      </c>
      <c r="H147" s="4">
        <v>2722</v>
      </c>
      <c r="I147" s="4">
        <v>2878</v>
      </c>
      <c r="J147" s="4">
        <v>3395</v>
      </c>
      <c r="K147" s="4">
        <v>4219</v>
      </c>
      <c r="L147" s="4">
        <v>3273</v>
      </c>
      <c r="M147" s="4">
        <v>2981</v>
      </c>
      <c r="N147" s="4">
        <v>2846</v>
      </c>
      <c r="O147" s="4">
        <v>3596</v>
      </c>
      <c r="P147" s="4">
        <v>2725</v>
      </c>
      <c r="Q147" s="4">
        <v>2795</v>
      </c>
      <c r="R147" s="4">
        <v>2954</v>
      </c>
      <c r="S147" s="4">
        <v>3389</v>
      </c>
      <c r="T147" s="4">
        <v>2742</v>
      </c>
      <c r="U147" s="4">
        <v>2847</v>
      </c>
      <c r="V147" s="4">
        <v>3329</v>
      </c>
      <c r="W147" s="4">
        <v>3812</v>
      </c>
      <c r="X147" s="9">
        <v>1.4330270589226759E-3</v>
      </c>
      <c r="Y147" s="10">
        <v>4.3771043771043683E-3</v>
      </c>
      <c r="Z147" s="10">
        <v>3.1428092524304452E-2</v>
      </c>
      <c r="AA147" s="10">
        <v>3.4370683350938513E-2</v>
      </c>
    </row>
    <row r="148" spans="2:27" x14ac:dyDescent="0.3">
      <c r="B148" s="12" t="s">
        <v>342</v>
      </c>
      <c r="C148" s="3" t="s">
        <v>671</v>
      </c>
      <c r="D148" s="3" t="s">
        <v>722</v>
      </c>
      <c r="E148" s="3" t="s">
        <v>673</v>
      </c>
      <c r="F148" s="5">
        <v>-3.9</v>
      </c>
      <c r="G148" s="4">
        <v>86.48</v>
      </c>
      <c r="H148" s="4">
        <v>80.28</v>
      </c>
      <c r="I148" s="4">
        <v>79.78</v>
      </c>
      <c r="J148" s="4">
        <v>80.09</v>
      </c>
      <c r="K148" s="4">
        <v>81.099999999999994</v>
      </c>
      <c r="L148" s="4">
        <v>85.08</v>
      </c>
      <c r="M148" s="4">
        <v>87.05</v>
      </c>
      <c r="N148" s="4">
        <v>85.42</v>
      </c>
      <c r="O148" s="4">
        <v>82.96</v>
      </c>
      <c r="P148" s="4">
        <v>86.25</v>
      </c>
      <c r="Q148" s="4">
        <v>85.79</v>
      </c>
      <c r="R148" s="4">
        <v>85.57</v>
      </c>
      <c r="S148" s="4">
        <v>100.85</v>
      </c>
      <c r="T148" s="4">
        <v>88.86</v>
      </c>
      <c r="U148" s="4">
        <v>87.72</v>
      </c>
      <c r="V148" s="4">
        <v>86.9</v>
      </c>
      <c r="W148" s="4">
        <v>86.74</v>
      </c>
      <c r="X148" s="9">
        <v>7.2811471293867669E-3</v>
      </c>
      <c r="Y148" s="10">
        <v>5.3452239177997907E-3</v>
      </c>
      <c r="Z148" s="10">
        <v>3.6639118457300062E-3</v>
      </c>
      <c r="AA148" s="10">
        <v>-3.8728625147530948E-2</v>
      </c>
    </row>
    <row r="149" spans="2:27" x14ac:dyDescent="0.3">
      <c r="B149" s="12" t="s">
        <v>58</v>
      </c>
      <c r="C149" s="3" t="s">
        <v>671</v>
      </c>
      <c r="D149" s="3" t="s">
        <v>704</v>
      </c>
      <c r="E149" s="3" t="s">
        <v>673</v>
      </c>
      <c r="F149" s="5">
        <v>-6</v>
      </c>
      <c r="G149" s="4">
        <v>2498</v>
      </c>
      <c r="H149" s="4">
        <v>1165</v>
      </c>
      <c r="I149" s="4">
        <v>802.65</v>
      </c>
      <c r="J149" s="4">
        <v>576.38</v>
      </c>
      <c r="K149" s="4">
        <v>605.57000000000005</v>
      </c>
      <c r="L149" s="4">
        <v>736.4</v>
      </c>
      <c r="M149" s="4">
        <v>662.5</v>
      </c>
      <c r="N149" s="4">
        <v>623</v>
      </c>
      <c r="O149" s="6">
        <v>904.64</v>
      </c>
      <c r="P149" s="6">
        <v>1588</v>
      </c>
      <c r="Q149" s="6">
        <v>1380</v>
      </c>
      <c r="R149" s="6">
        <v>1129</v>
      </c>
      <c r="S149" s="6">
        <v>2468</v>
      </c>
      <c r="T149" s="4">
        <v>1960</v>
      </c>
      <c r="U149" s="4">
        <v>1420</v>
      </c>
      <c r="V149" s="4">
        <v>1793</v>
      </c>
      <c r="W149" s="4">
        <v>2008</v>
      </c>
      <c r="X149" s="9">
        <v>5.6664127951256749E-2</v>
      </c>
      <c r="Y149" s="10">
        <v>5.7661813464033873E-3</v>
      </c>
      <c r="Z149" s="10">
        <v>9.5169843772394902E-2</v>
      </c>
      <c r="AA149" s="10">
        <v>-6.0201544300484189E-2</v>
      </c>
    </row>
    <row r="150" spans="2:27" x14ac:dyDescent="0.3">
      <c r="B150" s="12" t="s">
        <v>103</v>
      </c>
      <c r="C150" s="3" t="s">
        <v>671</v>
      </c>
      <c r="D150" s="3" t="s">
        <v>735</v>
      </c>
      <c r="E150" s="3" t="s">
        <v>673</v>
      </c>
      <c r="F150" s="5">
        <v>-7.7</v>
      </c>
      <c r="G150" s="4">
        <v>54</v>
      </c>
      <c r="H150" s="4">
        <v>95</v>
      </c>
      <c r="I150" s="4">
        <v>364</v>
      </c>
      <c r="J150" s="4">
        <v>536</v>
      </c>
      <c r="K150" s="6">
        <v>663</v>
      </c>
      <c r="L150" s="6">
        <v>661</v>
      </c>
      <c r="M150" s="6">
        <v>1121</v>
      </c>
      <c r="N150" s="6">
        <v>1337</v>
      </c>
      <c r="O150" s="6">
        <v>1315</v>
      </c>
      <c r="P150" s="6">
        <v>1204</v>
      </c>
      <c r="Q150" s="4">
        <v>1158</v>
      </c>
      <c r="R150" s="4">
        <v>874</v>
      </c>
      <c r="S150" s="4">
        <v>1734</v>
      </c>
      <c r="T150" s="4">
        <v>1240</v>
      </c>
      <c r="U150" s="4">
        <v>1303</v>
      </c>
      <c r="V150" s="6">
        <v>1558</v>
      </c>
      <c r="W150" s="4">
        <v>1286</v>
      </c>
      <c r="X150" s="9">
        <v>7.2434607645874838E-3</v>
      </c>
      <c r="Y150" s="10">
        <v>2.8965241709947961E-2</v>
      </c>
      <c r="Z150" s="8">
        <v>0.13278974956319159</v>
      </c>
      <c r="AA150" s="10">
        <v>-7.6778063410454123E-2</v>
      </c>
    </row>
    <row r="151" spans="2:27" x14ac:dyDescent="0.3">
      <c r="B151" s="12" t="s">
        <v>405</v>
      </c>
      <c r="C151" s="3" t="s">
        <v>671</v>
      </c>
      <c r="D151" s="3" t="s">
        <v>688</v>
      </c>
      <c r="E151" s="3" t="s">
        <v>673</v>
      </c>
      <c r="F151" s="5">
        <v>-14.9</v>
      </c>
      <c r="G151" s="4">
        <v>581.58000000000004</v>
      </c>
      <c r="H151" s="4">
        <v>631.95000000000005</v>
      </c>
      <c r="I151" s="4">
        <v>721.73</v>
      </c>
      <c r="J151" s="4">
        <v>721.25</v>
      </c>
      <c r="K151" s="4">
        <v>714.04</v>
      </c>
      <c r="L151" s="4">
        <v>790.61</v>
      </c>
      <c r="M151" s="4">
        <v>804.66</v>
      </c>
      <c r="N151" s="4">
        <v>807.62</v>
      </c>
      <c r="O151" s="4">
        <v>774.1</v>
      </c>
      <c r="P151" s="4">
        <v>434.45</v>
      </c>
      <c r="Q151" s="4">
        <v>430.18</v>
      </c>
      <c r="R151" s="4">
        <v>397.29</v>
      </c>
      <c r="S151" s="4">
        <v>725.55</v>
      </c>
      <c r="T151" s="4">
        <v>398.31</v>
      </c>
      <c r="U151" s="4">
        <v>377.35</v>
      </c>
      <c r="V151" s="4">
        <v>414</v>
      </c>
      <c r="W151" s="4">
        <v>440.76</v>
      </c>
      <c r="X151" s="9">
        <v>-1.8183922273040661E-2</v>
      </c>
      <c r="Y151" s="10">
        <v>-2.707384194369988E-2</v>
      </c>
      <c r="Z151" s="10">
        <v>8.8016855412167416E-3</v>
      </c>
      <c r="AA151" s="10">
        <v>-0.14869909827120789</v>
      </c>
    </row>
    <row r="152" spans="2:27" x14ac:dyDescent="0.3">
      <c r="B152" s="12" t="s">
        <v>149</v>
      </c>
      <c r="C152" s="3" t="s">
        <v>671</v>
      </c>
      <c r="D152" s="3" t="s">
        <v>736</v>
      </c>
      <c r="E152" s="3" t="s">
        <v>673</v>
      </c>
      <c r="F152" s="5">
        <v>-18.8</v>
      </c>
      <c r="G152" s="4">
        <v>4945</v>
      </c>
      <c r="H152" s="4">
        <v>278</v>
      </c>
      <c r="I152" s="4">
        <v>1280</v>
      </c>
      <c r="J152" s="4">
        <v>1376</v>
      </c>
      <c r="K152" s="4">
        <v>1375</v>
      </c>
      <c r="L152" s="6">
        <v>1175</v>
      </c>
      <c r="M152" s="6">
        <v>1974</v>
      </c>
      <c r="N152" s="4">
        <v>1534</v>
      </c>
      <c r="O152" s="6">
        <v>2229</v>
      </c>
      <c r="P152" s="6">
        <v>2485</v>
      </c>
      <c r="Q152" s="6">
        <v>2902</v>
      </c>
      <c r="R152" s="6">
        <v>2969</v>
      </c>
      <c r="S152" s="6">
        <v>5747</v>
      </c>
      <c r="T152" s="4">
        <v>2618</v>
      </c>
      <c r="U152" s="4">
        <v>3037</v>
      </c>
      <c r="V152" s="4">
        <v>2926</v>
      </c>
      <c r="W152" s="4">
        <v>3054</v>
      </c>
      <c r="X152" s="9">
        <v>9.4306175990923613E-3</v>
      </c>
      <c r="Y152" s="10">
        <v>9.4830008429334089E-3</v>
      </c>
      <c r="Z152" s="10">
        <v>-2.9921369424535942E-3</v>
      </c>
      <c r="AA152" s="10">
        <v>-0.18795365717476281</v>
      </c>
    </row>
    <row r="153" spans="2:27" x14ac:dyDescent="0.3">
      <c r="B153" s="21" t="s">
        <v>381</v>
      </c>
      <c r="C153" s="22" t="s">
        <v>671</v>
      </c>
      <c r="D153" s="22" t="s">
        <v>684</v>
      </c>
      <c r="E153" s="22" t="s">
        <v>755</v>
      </c>
      <c r="F153" s="23">
        <v>-37.6</v>
      </c>
      <c r="G153" s="22"/>
      <c r="H153" s="22"/>
      <c r="I153" s="22"/>
      <c r="J153" s="22"/>
      <c r="K153" s="22"/>
      <c r="L153" s="22"/>
      <c r="M153" s="22"/>
      <c r="N153" s="24">
        <v>8.2200000000000006</v>
      </c>
      <c r="O153" s="24">
        <v>3.21</v>
      </c>
      <c r="P153" s="24">
        <v>4.6100000000000003</v>
      </c>
      <c r="Q153" s="24">
        <v>5.16</v>
      </c>
      <c r="R153" s="24">
        <v>4.54</v>
      </c>
      <c r="S153" s="25">
        <v>7.15</v>
      </c>
      <c r="T153" s="24">
        <v>0.89</v>
      </c>
      <c r="U153" s="24">
        <v>1.84</v>
      </c>
      <c r="V153" s="24">
        <v>1.49</v>
      </c>
      <c r="W153" s="24">
        <v>2.87</v>
      </c>
      <c r="X153" s="26">
        <v>-0.1733457595526561</v>
      </c>
      <c r="Y153" s="27">
        <v>-0.18714768883878249</v>
      </c>
      <c r="Z153" s="27">
        <v>-0.211511789181692</v>
      </c>
      <c r="AA153" s="27">
        <v>-0.3764291996481971</v>
      </c>
    </row>
    <row r="154" spans="2:27" hidden="1" x14ac:dyDescent="0.3">
      <c r="B154" s="3" t="s">
        <v>219</v>
      </c>
      <c r="C154" s="3" t="s">
        <v>671</v>
      </c>
      <c r="D154" s="3" t="s">
        <v>698</v>
      </c>
      <c r="E154" s="3" t="s">
        <v>743</v>
      </c>
      <c r="F154" s="5">
        <v>5.9</v>
      </c>
      <c r="G154" s="4">
        <v>53.7</v>
      </c>
      <c r="H154" s="4">
        <v>59.24</v>
      </c>
      <c r="I154" s="4">
        <v>63.7</v>
      </c>
      <c r="J154" s="4">
        <v>67.81</v>
      </c>
      <c r="K154" s="4">
        <v>71.989999999999995</v>
      </c>
      <c r="L154" s="4">
        <v>76.55</v>
      </c>
      <c r="M154" s="4">
        <v>79.819999999999993</v>
      </c>
      <c r="N154" s="4">
        <v>84.17</v>
      </c>
      <c r="O154" s="4">
        <v>88.64</v>
      </c>
      <c r="P154" s="4">
        <v>97.26</v>
      </c>
      <c r="Q154" s="4">
        <v>100.31</v>
      </c>
      <c r="R154" s="4">
        <v>103.04</v>
      </c>
      <c r="S154" s="4">
        <v>109.06</v>
      </c>
      <c r="T154" s="4">
        <v>116.08</v>
      </c>
      <c r="U154" s="4">
        <v>122.41</v>
      </c>
      <c r="V154" s="4">
        <v>127.22</v>
      </c>
      <c r="W154" s="4">
        <v>136.91</v>
      </c>
      <c r="X154" s="9">
        <v>4.5939414650816517E-2</v>
      </c>
      <c r="Y154" s="10">
        <v>5.1576466195243809E-2</v>
      </c>
      <c r="Z154" s="10">
        <v>5.366297521027974E-2</v>
      </c>
      <c r="AA154" s="10">
        <v>5.8659982728479047E-2</v>
      </c>
    </row>
    <row r="155" spans="2:27" x14ac:dyDescent="0.3">
      <c r="B155" s="12" t="s">
        <v>430</v>
      </c>
      <c r="C155" s="3" t="s">
        <v>742</v>
      </c>
      <c r="D155" s="3" t="str">
        <f>VLOOKUP(B155, 기업리스트!B:G,2,FALSE)</f>
        <v>AQ Group AB (publ)</v>
      </c>
      <c r="E155" s="3" t="s">
        <v>673</v>
      </c>
      <c r="F155" s="5">
        <v>3.7</v>
      </c>
      <c r="G155" s="4">
        <v>1497</v>
      </c>
      <c r="H155" s="4">
        <v>1646</v>
      </c>
      <c r="I155" s="4">
        <v>1721</v>
      </c>
      <c r="J155" s="4">
        <v>1711</v>
      </c>
      <c r="K155" s="4">
        <v>1975</v>
      </c>
      <c r="L155" s="4">
        <v>2253</v>
      </c>
      <c r="M155" s="4">
        <v>2345</v>
      </c>
      <c r="N155" s="4">
        <v>2149</v>
      </c>
      <c r="O155" s="4">
        <v>2221</v>
      </c>
      <c r="P155" s="4">
        <v>2225</v>
      </c>
      <c r="Q155" s="4">
        <v>2254</v>
      </c>
      <c r="R155" s="4">
        <v>1949</v>
      </c>
      <c r="S155" s="4">
        <v>2127</v>
      </c>
      <c r="T155" s="4">
        <v>2290</v>
      </c>
      <c r="U155" s="4">
        <v>2344</v>
      </c>
      <c r="V155" s="4">
        <v>2114</v>
      </c>
      <c r="W155" s="4">
        <v>2456</v>
      </c>
      <c r="X155" s="9">
        <v>7.5978959672706736E-3</v>
      </c>
      <c r="Y155" s="10">
        <v>1.0440835266821271E-2</v>
      </c>
      <c r="Z155" s="10">
        <v>1.8943742824339749E-2</v>
      </c>
      <c r="AA155" s="10">
        <v>3.70704225352112E-2</v>
      </c>
    </row>
    <row r="156" spans="2:27" x14ac:dyDescent="0.3">
      <c r="B156" s="12" t="s">
        <v>547</v>
      </c>
      <c r="C156" s="3" t="s">
        <v>742</v>
      </c>
      <c r="D156" s="3" t="str">
        <f>VLOOKUP(B156, 기업리스트!B:G,2,FALSE)</f>
        <v>Volati AB (publ)</v>
      </c>
      <c r="E156" s="3" t="s">
        <v>673</v>
      </c>
      <c r="F156" s="5">
        <v>0.2</v>
      </c>
      <c r="G156" s="4">
        <v>0</v>
      </c>
      <c r="H156" s="4">
        <v>1665</v>
      </c>
      <c r="I156" s="4">
        <v>2180</v>
      </c>
      <c r="J156" s="4">
        <v>1977</v>
      </c>
      <c r="K156" s="6">
        <v>1929</v>
      </c>
      <c r="L156" s="4">
        <v>1890</v>
      </c>
      <c r="M156" s="4">
        <v>2251</v>
      </c>
      <c r="N156" s="4">
        <v>1847</v>
      </c>
      <c r="O156" s="4">
        <v>1809</v>
      </c>
      <c r="P156" s="4">
        <v>1747</v>
      </c>
      <c r="Q156" s="4">
        <v>2195</v>
      </c>
      <c r="R156" s="4">
        <v>1917</v>
      </c>
      <c r="S156" s="4">
        <v>2007</v>
      </c>
      <c r="T156" s="4">
        <v>2001</v>
      </c>
      <c r="U156" s="4">
        <v>2317</v>
      </c>
      <c r="V156" s="4">
        <v>2082</v>
      </c>
      <c r="W156" s="4">
        <v>2020</v>
      </c>
      <c r="X156" s="9">
        <v>3.2290872107805679E-2</v>
      </c>
      <c r="Y156" s="10">
        <v>1.502463054187197E-2</v>
      </c>
      <c r="Z156" s="10">
        <v>2.0019412763892189E-2</v>
      </c>
      <c r="AA156" s="10">
        <v>1.5463304389200521E-3</v>
      </c>
    </row>
    <row r="157" spans="2:27" x14ac:dyDescent="0.3">
      <c r="B157" s="21" t="s">
        <v>613</v>
      </c>
      <c r="C157" s="22" t="s">
        <v>742</v>
      </c>
      <c r="D157" s="22" t="str">
        <f>VLOOKUP(B157, 기업리스트!B:G,2,FALSE)</f>
        <v>Nederman Holding AB (publ)</v>
      </c>
      <c r="E157" s="22" t="s">
        <v>673</v>
      </c>
      <c r="F157" s="23">
        <v>-2</v>
      </c>
      <c r="G157" s="24">
        <v>1152</v>
      </c>
      <c r="H157" s="24">
        <v>1094</v>
      </c>
      <c r="I157" s="24">
        <v>1172</v>
      </c>
      <c r="J157" s="24">
        <v>1398</v>
      </c>
      <c r="K157" s="24">
        <v>1515</v>
      </c>
      <c r="L157" s="24">
        <v>1482</v>
      </c>
      <c r="M157" s="24">
        <v>1631</v>
      </c>
      <c r="N157" s="24">
        <v>1574</v>
      </c>
      <c r="O157" s="24">
        <v>1501</v>
      </c>
      <c r="P157" s="24">
        <v>1397</v>
      </c>
      <c r="Q157" s="24">
        <v>1467</v>
      </c>
      <c r="R157" s="24">
        <v>1416</v>
      </c>
      <c r="S157" s="24">
        <v>1620</v>
      </c>
      <c r="T157" s="24">
        <v>1406</v>
      </c>
      <c r="U157" s="24">
        <v>1439</v>
      </c>
      <c r="V157" s="24">
        <v>1434</v>
      </c>
      <c r="W157" s="24">
        <v>1504</v>
      </c>
      <c r="X157" s="26">
        <v>1.525423728813591E-3</v>
      </c>
      <c r="Y157" s="27">
        <v>-4.7385344389914152E-3</v>
      </c>
      <c r="Z157" s="27">
        <v>3.0607039619112708E-3</v>
      </c>
      <c r="AA157" s="27">
        <v>-1.9664349889811809E-2</v>
      </c>
    </row>
    <row r="158" spans="2:27" hidden="1" x14ac:dyDescent="0.3">
      <c r="B158" s="3" t="s">
        <v>592</v>
      </c>
      <c r="C158" s="3" t="s">
        <v>671</v>
      </c>
      <c r="D158" s="3" t="s">
        <v>678</v>
      </c>
      <c r="E158" s="3" t="s">
        <v>743</v>
      </c>
      <c r="F158" s="5">
        <v>13.9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31.7</v>
      </c>
      <c r="R158" s="6">
        <v>63.96</v>
      </c>
      <c r="S158" s="6">
        <v>71.13</v>
      </c>
      <c r="T158" s="6">
        <v>64.55</v>
      </c>
      <c r="U158" s="6">
        <v>76.59</v>
      </c>
      <c r="V158" s="6">
        <v>97.3</v>
      </c>
      <c r="W158" s="6">
        <v>114.2</v>
      </c>
      <c r="X158" s="7">
        <v>0.38701360992865302</v>
      </c>
      <c r="Y158" s="8">
        <v>0.1940433993256678</v>
      </c>
      <c r="Z158" s="8">
        <v>0.12069652101509611</v>
      </c>
      <c r="AA158" s="8">
        <v>0.13912846852085159</v>
      </c>
    </row>
    <row r="159" spans="2:27" x14ac:dyDescent="0.3">
      <c r="B159" s="12">
        <v>8698</v>
      </c>
      <c r="C159" s="3" t="s">
        <v>737</v>
      </c>
      <c r="D159" s="3" t="str">
        <f>VLOOKUP(B159, 기업리스트!B:G,2,FALSE)</f>
        <v>Monex Group, Inc.</v>
      </c>
      <c r="E159" s="3" t="s">
        <v>709</v>
      </c>
      <c r="F159" s="13">
        <v>29.8</v>
      </c>
      <c r="G159" s="4">
        <v>20745</v>
      </c>
      <c r="H159" s="4">
        <v>19161</v>
      </c>
      <c r="I159" s="4">
        <v>21004</v>
      </c>
      <c r="J159" s="4">
        <v>17728</v>
      </c>
      <c r="K159" s="4">
        <v>18568</v>
      </c>
      <c r="L159" s="4">
        <v>18183</v>
      </c>
      <c r="M159" s="4">
        <v>21989</v>
      </c>
      <c r="N159" s="4">
        <v>20222</v>
      </c>
      <c r="O159" s="4">
        <v>0</v>
      </c>
      <c r="P159" s="4">
        <v>14557</v>
      </c>
      <c r="Q159" s="4">
        <v>19869</v>
      </c>
      <c r="R159" s="4">
        <v>16962</v>
      </c>
      <c r="S159" s="4">
        <v>0</v>
      </c>
      <c r="T159" s="4">
        <v>18175</v>
      </c>
      <c r="U159" s="4">
        <v>19975</v>
      </c>
      <c r="V159" s="4">
        <v>18594</v>
      </c>
      <c r="W159" s="6">
        <v>16924</v>
      </c>
      <c r="X159" s="9">
        <v>7.0405542149918343E-2</v>
      </c>
      <c r="Y159" s="10">
        <v>1.927062502272481E-3</v>
      </c>
      <c r="Z159" s="10">
        <v>2.9612425606038609E-2</v>
      </c>
      <c r="AA159" s="8">
        <v>0.29825179754687731</v>
      </c>
    </row>
    <row r="160" spans="2:27" x14ac:dyDescent="0.3">
      <c r="B160" s="12" t="s">
        <v>758</v>
      </c>
      <c r="C160" s="3" t="s">
        <v>737</v>
      </c>
      <c r="D160" s="3" t="str">
        <f>VLOOKUP(B160, 기업리스트!B:G,2,FALSE)</f>
        <v>TRIAL Holdings, Inc.</v>
      </c>
      <c r="E160" s="3" t="s">
        <v>715</v>
      </c>
      <c r="F160" s="13">
        <v>16.2</v>
      </c>
      <c r="G160" s="3"/>
      <c r="H160" s="3"/>
      <c r="I160" s="3"/>
      <c r="J160" s="3"/>
      <c r="K160" s="4">
        <v>168743</v>
      </c>
      <c r="L160" s="4">
        <v>168743</v>
      </c>
      <c r="M160" s="4">
        <v>158996</v>
      </c>
      <c r="N160" s="4">
        <v>158996</v>
      </c>
      <c r="O160" s="4">
        <v>182281</v>
      </c>
      <c r="P160" s="4">
        <v>182281</v>
      </c>
      <c r="Q160" s="4">
        <v>174536</v>
      </c>
      <c r="R160" s="4">
        <v>181343</v>
      </c>
      <c r="S160" s="4">
        <v>195834</v>
      </c>
      <c r="T160" s="4">
        <v>209258</v>
      </c>
      <c r="U160" s="4">
        <v>196296</v>
      </c>
      <c r="V160" s="4">
        <v>206553</v>
      </c>
      <c r="W160" s="6">
        <v>326617</v>
      </c>
      <c r="X160" s="9">
        <v>3.6753706433567679E-2</v>
      </c>
      <c r="Y160" s="10">
        <v>2.8595045014855991E-2</v>
      </c>
      <c r="Z160" s="10">
        <v>3.2207744423052187E-2</v>
      </c>
      <c r="AA160" s="8">
        <v>0.16187196837392831</v>
      </c>
    </row>
    <row r="161" spans="2:27" x14ac:dyDescent="0.3">
      <c r="B161" s="12">
        <v>3076</v>
      </c>
      <c r="C161" s="3" t="s">
        <v>737</v>
      </c>
      <c r="D161" s="3" t="str">
        <f>VLOOKUP(B161, 기업리스트!B:G,2,FALSE)</f>
        <v>Ai Holdings Corporation</v>
      </c>
      <c r="E161" s="3" t="s">
        <v>715</v>
      </c>
      <c r="F161" s="13">
        <v>13.7</v>
      </c>
      <c r="G161" s="4">
        <v>11499</v>
      </c>
      <c r="H161" s="4">
        <v>11459</v>
      </c>
      <c r="I161" s="4">
        <v>12125</v>
      </c>
      <c r="J161" s="4">
        <v>11976</v>
      </c>
      <c r="K161" s="4">
        <v>10796</v>
      </c>
      <c r="L161" s="4">
        <v>12522</v>
      </c>
      <c r="M161" s="4">
        <v>12510</v>
      </c>
      <c r="N161" s="4">
        <v>10568</v>
      </c>
      <c r="O161" s="4">
        <v>11973</v>
      </c>
      <c r="P161" s="4">
        <v>12791</v>
      </c>
      <c r="Q161" s="4">
        <v>12952</v>
      </c>
      <c r="R161" s="4">
        <v>12096</v>
      </c>
      <c r="S161" s="4">
        <v>11222</v>
      </c>
      <c r="T161" s="6">
        <v>21097</v>
      </c>
      <c r="U161" s="4">
        <v>18238</v>
      </c>
      <c r="V161" s="4">
        <v>15640</v>
      </c>
      <c r="W161" s="6">
        <v>20270</v>
      </c>
      <c r="X161" s="7">
        <v>0.16929944354986651</v>
      </c>
      <c r="Y161" s="10">
        <v>9.2143566858995607E-2</v>
      </c>
      <c r="Z161" s="10">
        <v>5.6565527588463338E-2</v>
      </c>
      <c r="AA161" s="8">
        <v>0.136682931250661</v>
      </c>
    </row>
    <row r="162" spans="2:27" x14ac:dyDescent="0.3">
      <c r="B162" s="12">
        <v>3993</v>
      </c>
      <c r="C162" s="3" t="s">
        <v>737</v>
      </c>
      <c r="D162" s="3" t="str">
        <f>VLOOKUP(B162, 기업리스트!B:G,2,FALSE)</f>
        <v>PKSHA Technology Inc.</v>
      </c>
      <c r="E162" s="3" t="s">
        <v>673</v>
      </c>
      <c r="F162" s="5">
        <v>9</v>
      </c>
      <c r="G162" s="4">
        <v>2616</v>
      </c>
      <c r="H162" s="4">
        <v>2657</v>
      </c>
      <c r="I162" s="4">
        <v>3028</v>
      </c>
      <c r="J162" s="4">
        <v>2865</v>
      </c>
      <c r="K162" s="4">
        <v>2959</v>
      </c>
      <c r="L162" s="4">
        <v>3199</v>
      </c>
      <c r="M162" s="4">
        <v>3462</v>
      </c>
      <c r="N162" s="4">
        <v>3478</v>
      </c>
      <c r="O162" s="4">
        <v>3769</v>
      </c>
      <c r="P162" s="4">
        <v>3864</v>
      </c>
      <c r="Q162" s="4">
        <v>4258</v>
      </c>
      <c r="R162" s="4">
        <v>4179</v>
      </c>
      <c r="S162" s="4">
        <v>4591</v>
      </c>
      <c r="T162" s="4">
        <v>4864</v>
      </c>
      <c r="U162" s="4">
        <v>5208</v>
      </c>
      <c r="V162" s="4">
        <v>5316</v>
      </c>
      <c r="W162" s="4">
        <v>6383</v>
      </c>
      <c r="X162" s="9">
        <v>5.9199621122424828E-2</v>
      </c>
      <c r="Y162" s="10">
        <v>5.3096355913257343E-2</v>
      </c>
      <c r="Z162" s="10">
        <v>6.0343912535824273E-2</v>
      </c>
      <c r="AA162" s="10">
        <v>8.9694178887832265E-2</v>
      </c>
    </row>
    <row r="163" spans="2:27" x14ac:dyDescent="0.3">
      <c r="B163" s="12">
        <v>5831</v>
      </c>
      <c r="C163" s="3" t="s">
        <v>737</v>
      </c>
      <c r="D163" s="3" t="str">
        <f>VLOOKUP(B163, 기업리스트!B:G,2,FALSE)</f>
        <v>Shizuoka Financial Group,Inc.</v>
      </c>
      <c r="E163" s="3" t="s">
        <v>709</v>
      </c>
      <c r="F163" s="5">
        <v>7.2</v>
      </c>
      <c r="G163" s="4">
        <v>55795</v>
      </c>
      <c r="H163" s="4">
        <v>55296</v>
      </c>
      <c r="I163" s="4">
        <v>63805</v>
      </c>
      <c r="J163" s="4">
        <v>67158</v>
      </c>
      <c r="K163" s="4">
        <v>56413</v>
      </c>
      <c r="L163" s="4">
        <v>60002</v>
      </c>
      <c r="M163" s="4">
        <v>59166</v>
      </c>
      <c r="N163" s="4">
        <v>61948</v>
      </c>
      <c r="O163" s="4">
        <v>78816</v>
      </c>
      <c r="P163" s="4">
        <v>56762</v>
      </c>
      <c r="Q163" s="4">
        <v>66321</v>
      </c>
      <c r="R163" s="4">
        <v>63845</v>
      </c>
      <c r="S163" s="4">
        <v>58820</v>
      </c>
      <c r="T163" s="4">
        <v>60087</v>
      </c>
      <c r="U163" s="4">
        <v>80080</v>
      </c>
      <c r="V163" s="4">
        <v>71508</v>
      </c>
      <c r="W163" s="4">
        <v>78251</v>
      </c>
      <c r="X163" s="9">
        <v>1.3530120285821351E-2</v>
      </c>
      <c r="Y163" s="10">
        <v>5.5240833008796557E-2</v>
      </c>
      <c r="Z163" s="10">
        <v>2.915550617885199E-2</v>
      </c>
      <c r="AA163" s="10">
        <v>7.1834969223091072E-2</v>
      </c>
    </row>
    <row r="164" spans="2:27" x14ac:dyDescent="0.3">
      <c r="B164" s="12">
        <v>4478</v>
      </c>
      <c r="C164" s="3" t="s">
        <v>737</v>
      </c>
      <c r="D164" s="3" t="str">
        <f>VLOOKUP(B164, 기업리스트!B:G,2,FALSE)</f>
        <v>freee K.K.</v>
      </c>
      <c r="E164" s="3" t="s">
        <v>715</v>
      </c>
      <c r="F164" s="5">
        <v>7.1</v>
      </c>
      <c r="G164" s="4">
        <v>3392</v>
      </c>
      <c r="H164" s="4">
        <v>3464</v>
      </c>
      <c r="I164" s="4">
        <v>3651</v>
      </c>
      <c r="J164" s="4">
        <v>3873</v>
      </c>
      <c r="K164" s="4">
        <v>4238</v>
      </c>
      <c r="L164" s="4">
        <v>4480</v>
      </c>
      <c r="M164" s="4">
        <v>5095</v>
      </c>
      <c r="N164" s="4">
        <v>5406</v>
      </c>
      <c r="O164" s="4">
        <v>5720</v>
      </c>
      <c r="P164" s="4">
        <v>6051</v>
      </c>
      <c r="Q164" s="4">
        <v>6652</v>
      </c>
      <c r="R164" s="4">
        <v>7007</v>
      </c>
      <c r="S164" s="4">
        <v>7377</v>
      </c>
      <c r="T164" s="4">
        <v>7873</v>
      </c>
      <c r="U164" s="4">
        <v>8600</v>
      </c>
      <c r="V164" s="4">
        <v>9419</v>
      </c>
      <c r="W164" s="4">
        <v>9744</v>
      </c>
      <c r="X164" s="9">
        <v>6.7264739542954199E-2</v>
      </c>
      <c r="Y164" s="10">
        <v>6.7383859697671911E-2</v>
      </c>
      <c r="Z164" s="10">
        <v>7.816702855105806E-2</v>
      </c>
      <c r="AA164" s="10">
        <v>7.1147314316631016E-2</v>
      </c>
    </row>
    <row r="165" spans="2:27" x14ac:dyDescent="0.3">
      <c r="B165" s="12">
        <v>6525</v>
      </c>
      <c r="C165" s="3" t="s">
        <v>737</v>
      </c>
      <c r="D165" s="3" t="str">
        <f>VLOOKUP(B165, 기업리스트!B:G,2,FALSE)</f>
        <v>Kokusai Electric Corporation</v>
      </c>
      <c r="E165" s="3" t="s">
        <v>709</v>
      </c>
      <c r="F165" s="5">
        <v>7.1</v>
      </c>
      <c r="G165" s="3"/>
      <c r="H165" s="3"/>
      <c r="I165" s="3"/>
      <c r="J165" s="3"/>
      <c r="K165" s="3"/>
      <c r="L165" s="3"/>
      <c r="M165" s="4">
        <v>60085</v>
      </c>
      <c r="N165" s="4">
        <v>32710</v>
      </c>
      <c r="O165" s="4">
        <v>44995</v>
      </c>
      <c r="P165" s="4">
        <v>53956</v>
      </c>
      <c r="Q165" s="4">
        <v>49177</v>
      </c>
      <c r="R165" s="6">
        <v>65224</v>
      </c>
      <c r="S165" s="4">
        <v>49324</v>
      </c>
      <c r="T165" s="4">
        <v>60117</v>
      </c>
      <c r="U165" s="4">
        <v>64268</v>
      </c>
      <c r="V165" s="4">
        <v>51789</v>
      </c>
      <c r="W165" s="4">
        <v>65416</v>
      </c>
      <c r="X165" s="9">
        <v>2.8302883577344898E-2</v>
      </c>
      <c r="Y165" s="10">
        <v>6.7418089545304261E-2</v>
      </c>
      <c r="Z165" s="10">
        <v>-5.6229152105401907E-2</v>
      </c>
      <c r="AA165" s="10">
        <v>7.1362051991591846E-2</v>
      </c>
    </row>
    <row r="166" spans="2:27" x14ac:dyDescent="0.3">
      <c r="B166" s="12">
        <v>8136</v>
      </c>
      <c r="C166" s="3" t="s">
        <v>737</v>
      </c>
      <c r="D166" s="3" t="str">
        <f>VLOOKUP(B166, 기업리스트!B:G,2,FALSE)</f>
        <v>Sanrio Company, Ltd.</v>
      </c>
      <c r="E166" s="3" t="s">
        <v>709</v>
      </c>
      <c r="F166" s="5">
        <v>6.7</v>
      </c>
      <c r="G166" s="4">
        <v>12991</v>
      </c>
      <c r="H166" s="4">
        <v>14769</v>
      </c>
      <c r="I166" s="4">
        <v>14201</v>
      </c>
      <c r="J166" s="4">
        <v>13829</v>
      </c>
      <c r="K166" s="4">
        <v>16801</v>
      </c>
      <c r="L166" s="6">
        <v>20995</v>
      </c>
      <c r="M166" s="6">
        <v>20999</v>
      </c>
      <c r="N166" s="4">
        <v>20315</v>
      </c>
      <c r="O166" s="4">
        <v>23615</v>
      </c>
      <c r="P166" s="4">
        <v>28495</v>
      </c>
      <c r="Q166" s="4">
        <v>27556</v>
      </c>
      <c r="R166" s="4">
        <v>28911</v>
      </c>
      <c r="S166" s="4">
        <v>33896</v>
      </c>
      <c r="T166" s="6">
        <v>41979</v>
      </c>
      <c r="U166" s="4">
        <v>40118</v>
      </c>
      <c r="V166" s="4">
        <v>43097</v>
      </c>
      <c r="W166" s="4">
        <v>44579</v>
      </c>
      <c r="X166" s="7">
        <v>0.11344629726227939</v>
      </c>
      <c r="Y166" s="10">
        <v>9.4920735669704159E-2</v>
      </c>
      <c r="Z166" s="10">
        <v>9.7899298846132687E-2</v>
      </c>
      <c r="AA166" s="10">
        <v>6.715066943239667E-2</v>
      </c>
    </row>
    <row r="167" spans="2:27" x14ac:dyDescent="0.3">
      <c r="B167" s="12" t="s">
        <v>759</v>
      </c>
      <c r="C167" s="3" t="s">
        <v>737</v>
      </c>
      <c r="D167" s="3" t="str">
        <f>VLOOKUP(B167, 기업리스트!B:G,2,FALSE)</f>
        <v>Kioxia Holdings Corporation</v>
      </c>
      <c r="E167" s="3" t="s">
        <v>691</v>
      </c>
      <c r="F167" s="5">
        <v>5.9</v>
      </c>
      <c r="G167" s="4">
        <v>402700</v>
      </c>
      <c r="H167" s="4">
        <v>393795</v>
      </c>
      <c r="I167" s="4">
        <v>367300</v>
      </c>
      <c r="J167" s="4">
        <v>391400</v>
      </c>
      <c r="K167" s="4">
        <v>278200</v>
      </c>
      <c r="L167" s="4">
        <v>245201</v>
      </c>
      <c r="M167" s="4">
        <v>251100</v>
      </c>
      <c r="N167" s="4">
        <v>241400</v>
      </c>
      <c r="O167" s="4">
        <v>262000</v>
      </c>
      <c r="P167" s="4">
        <v>322084</v>
      </c>
      <c r="Q167" s="6">
        <v>428500</v>
      </c>
      <c r="R167" s="6">
        <v>480908</v>
      </c>
      <c r="S167" s="6">
        <v>449958</v>
      </c>
      <c r="T167" s="4">
        <v>347094</v>
      </c>
      <c r="U167" s="4">
        <v>342799</v>
      </c>
      <c r="V167" s="4">
        <v>448346</v>
      </c>
      <c r="W167" s="4">
        <v>543631</v>
      </c>
      <c r="X167" s="9">
        <v>1.487406702548388E-2</v>
      </c>
      <c r="Y167" s="10">
        <v>-5.0221511198621727E-2</v>
      </c>
      <c r="Z167" s="10">
        <v>-2.009058718785461E-2</v>
      </c>
      <c r="AA167" s="10">
        <v>5.8980718386950848E-2</v>
      </c>
    </row>
    <row r="168" spans="2:27" x14ac:dyDescent="0.3">
      <c r="B168" s="12">
        <v>7222</v>
      </c>
      <c r="C168" s="3" t="s">
        <v>737</v>
      </c>
      <c r="D168" s="3" t="str">
        <f>VLOOKUP(B168, 기업리스트!B:G,2,FALSE)</f>
        <v>Nissan Shatai Co., Ltd.</v>
      </c>
      <c r="E168" s="3" t="s">
        <v>709</v>
      </c>
      <c r="F168" s="5">
        <v>4.4000000000000004</v>
      </c>
      <c r="G168" s="4">
        <v>58574</v>
      </c>
      <c r="H168" s="4">
        <v>30300</v>
      </c>
      <c r="I168" s="4">
        <v>69908</v>
      </c>
      <c r="J168" s="4">
        <v>55063</v>
      </c>
      <c r="K168" s="4">
        <v>75882</v>
      </c>
      <c r="L168" s="6">
        <v>87792</v>
      </c>
      <c r="M168" s="4">
        <v>88784</v>
      </c>
      <c r="N168" s="4">
        <v>70032</v>
      </c>
      <c r="O168" s="4">
        <v>75547</v>
      </c>
      <c r="P168" s="4">
        <v>86522</v>
      </c>
      <c r="Q168" s="4">
        <v>68970</v>
      </c>
      <c r="R168" s="4">
        <v>65097</v>
      </c>
      <c r="S168" s="4">
        <v>81709</v>
      </c>
      <c r="T168" s="4">
        <v>104315</v>
      </c>
      <c r="U168" s="4">
        <v>99387</v>
      </c>
      <c r="V168" s="4">
        <v>87882</v>
      </c>
      <c r="W168" s="4">
        <v>98306</v>
      </c>
      <c r="X168" s="9">
        <v>5.8859138995295927E-2</v>
      </c>
      <c r="Y168" s="10">
        <v>9.5026101952257358E-2</v>
      </c>
      <c r="Z168" s="10">
        <v>6.5005648943818661E-2</v>
      </c>
      <c r="AA168" s="10">
        <v>4.4461053381660072E-2</v>
      </c>
    </row>
    <row r="169" spans="2:27" hidden="1" x14ac:dyDescent="0.3">
      <c r="B169" s="3" t="s">
        <v>311</v>
      </c>
      <c r="C169" s="3" t="s">
        <v>671</v>
      </c>
      <c r="D169" s="3" t="s">
        <v>718</v>
      </c>
      <c r="E169" s="3" t="s">
        <v>743</v>
      </c>
      <c r="F169" s="5">
        <v>2.5</v>
      </c>
      <c r="G169" s="4">
        <v>70.19</v>
      </c>
      <c r="H169" s="4">
        <v>72.47</v>
      </c>
      <c r="I169" s="4">
        <v>65.16</v>
      </c>
      <c r="J169" s="4">
        <v>72.12</v>
      </c>
      <c r="K169" s="4">
        <v>84.23</v>
      </c>
      <c r="L169" s="4">
        <v>100.19</v>
      </c>
      <c r="M169" s="6">
        <v>105.09</v>
      </c>
      <c r="N169" s="6">
        <v>116.23</v>
      </c>
      <c r="O169" s="4">
        <v>116.74</v>
      </c>
      <c r="P169" s="4">
        <v>122.6</v>
      </c>
      <c r="Q169" s="4">
        <v>121.55</v>
      </c>
      <c r="R169" s="4">
        <v>125.01</v>
      </c>
      <c r="S169" s="4">
        <v>125.25</v>
      </c>
      <c r="T169" s="4">
        <v>121.78</v>
      </c>
      <c r="U169" s="4">
        <v>119.51</v>
      </c>
      <c r="V169" s="4">
        <v>137.46</v>
      </c>
      <c r="W169" s="4">
        <v>138.09</v>
      </c>
      <c r="X169" s="9">
        <v>-1.658542505208138E-3</v>
      </c>
      <c r="Y169" s="10">
        <v>-4.1329848659819044E-3</v>
      </c>
      <c r="Z169" s="10">
        <v>2.532804394263044E-2</v>
      </c>
      <c r="AA169" s="10">
        <v>2.547619047619043E-2</v>
      </c>
    </row>
    <row r="170" spans="2:27" x14ac:dyDescent="0.3">
      <c r="B170" s="12">
        <v>5741</v>
      </c>
      <c r="C170" s="3" t="s">
        <v>737</v>
      </c>
      <c r="D170" s="3" t="str">
        <f>VLOOKUP(B170, 기업리스트!B:G,2,FALSE)</f>
        <v>UACJ Corporation</v>
      </c>
      <c r="E170" s="3" t="s">
        <v>709</v>
      </c>
      <c r="F170" s="5">
        <v>3.8</v>
      </c>
      <c r="G170" s="4">
        <v>191253</v>
      </c>
      <c r="H170" s="4">
        <v>197616</v>
      </c>
      <c r="I170" s="4">
        <v>220259</v>
      </c>
      <c r="J170" s="4">
        <v>247266</v>
      </c>
      <c r="K170" s="4">
        <v>242492</v>
      </c>
      <c r="L170" s="4">
        <v>238568</v>
      </c>
      <c r="M170" s="4">
        <v>234559</v>
      </c>
      <c r="N170" s="4">
        <v>211103</v>
      </c>
      <c r="O170" s="4">
        <v>223840</v>
      </c>
      <c r="P170" s="4">
        <v>225334</v>
      </c>
      <c r="Q170" s="4">
        <v>232504</v>
      </c>
      <c r="R170" s="4">
        <v>247568</v>
      </c>
      <c r="S170" s="4">
        <v>239533</v>
      </c>
      <c r="T170" s="4">
        <v>251260</v>
      </c>
      <c r="U170" s="4">
        <v>260420</v>
      </c>
      <c r="V170" s="4">
        <v>261959</v>
      </c>
      <c r="W170" s="4">
        <v>278166</v>
      </c>
      <c r="X170" s="9">
        <v>2.7436691680627009E-2</v>
      </c>
      <c r="Y170" s="10">
        <v>2.8753740221348911E-2</v>
      </c>
      <c r="Z170" s="10">
        <v>1.4408564039564141E-2</v>
      </c>
      <c r="AA170" s="10">
        <v>3.813074186811316E-2</v>
      </c>
    </row>
    <row r="171" spans="2:27" hidden="1" x14ac:dyDescent="0.3">
      <c r="B171" s="3" t="s">
        <v>336</v>
      </c>
      <c r="C171" s="3" t="s">
        <v>671</v>
      </c>
      <c r="D171" s="3" t="s">
        <v>675</v>
      </c>
      <c r="E171" s="3" t="s">
        <v>743</v>
      </c>
      <c r="F171" s="5">
        <v>2969</v>
      </c>
      <c r="G171" s="4">
        <v>8.98</v>
      </c>
      <c r="H171" s="4">
        <v>2.96</v>
      </c>
      <c r="I171" s="4">
        <v>11.36</v>
      </c>
      <c r="J171" s="4">
        <v>5.85</v>
      </c>
      <c r="K171" s="6">
        <v>29.7</v>
      </c>
      <c r="L171" s="4">
        <v>4.0199999999999996</v>
      </c>
      <c r="M171" s="4">
        <v>7.88</v>
      </c>
      <c r="N171" s="4">
        <v>3.54</v>
      </c>
      <c r="O171" s="4">
        <v>8.0399999999999991</v>
      </c>
      <c r="P171" s="4">
        <v>3.92</v>
      </c>
      <c r="Q171" s="4">
        <v>0</v>
      </c>
      <c r="R171" s="4">
        <v>0</v>
      </c>
      <c r="S171" s="4">
        <v>0</v>
      </c>
      <c r="T171" s="6">
        <v>7</v>
      </c>
      <c r="U171" s="4">
        <v>0</v>
      </c>
      <c r="V171" s="4">
        <v>0</v>
      </c>
      <c r="W171" s="6">
        <v>207.83</v>
      </c>
      <c r="X171" s="7">
        <v>0.78571428571428581</v>
      </c>
      <c r="Y171" s="10">
        <v>0</v>
      </c>
      <c r="Z171" s="10">
        <v>0</v>
      </c>
      <c r="AA171" s="8">
        <v>29.69</v>
      </c>
    </row>
    <row r="172" spans="2:27" x14ac:dyDescent="0.3">
      <c r="B172" s="12">
        <v>3465</v>
      </c>
      <c r="C172" s="3" t="s">
        <v>737</v>
      </c>
      <c r="D172" s="3" t="str">
        <f>VLOOKUP(B172, 기업리스트!B:G,2,FALSE)</f>
        <v>Ki-Star Real Estate Co.,Ltd</v>
      </c>
      <c r="E172" s="3" t="s">
        <v>709</v>
      </c>
      <c r="F172" s="5">
        <v>3.7</v>
      </c>
      <c r="G172" s="4">
        <v>48226</v>
      </c>
      <c r="H172" s="4">
        <v>44625</v>
      </c>
      <c r="I172" s="4">
        <v>48276</v>
      </c>
      <c r="J172" s="4">
        <v>50035</v>
      </c>
      <c r="K172" s="4">
        <v>53417</v>
      </c>
      <c r="L172" s="4">
        <v>56757</v>
      </c>
      <c r="M172" s="6">
        <v>81670</v>
      </c>
      <c r="N172" s="4">
        <v>61096</v>
      </c>
      <c r="O172" s="4">
        <v>64388</v>
      </c>
      <c r="P172" s="4">
        <v>72138</v>
      </c>
      <c r="Q172" s="4">
        <v>85462</v>
      </c>
      <c r="R172" s="4">
        <v>67568</v>
      </c>
      <c r="S172" s="4">
        <v>83367</v>
      </c>
      <c r="T172" s="4">
        <v>81899</v>
      </c>
      <c r="U172" s="4">
        <v>109719</v>
      </c>
      <c r="V172" s="4">
        <v>84574</v>
      </c>
      <c r="W172" s="4">
        <v>96616</v>
      </c>
      <c r="X172" s="9">
        <v>3.1636605247378657E-2</v>
      </c>
      <c r="Y172" s="10">
        <v>7.6208937592681103E-2</v>
      </c>
      <c r="Z172" s="10">
        <v>4.9644872472288881E-2</v>
      </c>
      <c r="AA172" s="10">
        <v>3.6847916475460263E-2</v>
      </c>
    </row>
    <row r="173" spans="2:27" x14ac:dyDescent="0.3">
      <c r="B173" s="12">
        <v>4527</v>
      </c>
      <c r="C173" s="3" t="s">
        <v>737</v>
      </c>
      <c r="D173" s="3" t="str">
        <f>VLOOKUP(B173, 기업리스트!B:G,2,FALSE)</f>
        <v>Rohto Pharmaceutical Co.,Ltd.</v>
      </c>
      <c r="E173" s="3" t="s">
        <v>709</v>
      </c>
      <c r="F173" s="5">
        <v>3.6</v>
      </c>
      <c r="G173" s="4">
        <v>48704</v>
      </c>
      <c r="H173" s="4">
        <v>53003</v>
      </c>
      <c r="I173" s="4">
        <v>55624</v>
      </c>
      <c r="J173" s="4">
        <v>52255</v>
      </c>
      <c r="K173" s="4">
        <v>58058</v>
      </c>
      <c r="L173" s="4">
        <v>65950</v>
      </c>
      <c r="M173" s="4">
        <v>62401</v>
      </c>
      <c r="N173" s="4">
        <v>61171</v>
      </c>
      <c r="O173" s="4">
        <v>66698</v>
      </c>
      <c r="P173" s="4">
        <v>73294</v>
      </c>
      <c r="Q173" s="4">
        <v>69677</v>
      </c>
      <c r="R173" s="4">
        <v>68356</v>
      </c>
      <c r="S173" s="4">
        <v>70726</v>
      </c>
      <c r="T173" s="4">
        <v>86813</v>
      </c>
      <c r="U173" s="4">
        <v>82730</v>
      </c>
      <c r="V173" s="4">
        <v>81964</v>
      </c>
      <c r="W173" s="4">
        <v>82293</v>
      </c>
      <c r="X173" s="9">
        <v>4.7930708058414602E-2</v>
      </c>
      <c r="Y173" s="10">
        <v>4.4161828589988288E-2</v>
      </c>
      <c r="Z173" s="10">
        <v>4.4092345078979411E-2</v>
      </c>
      <c r="AA173" s="10">
        <v>3.5896385534690767E-2</v>
      </c>
    </row>
    <row r="174" spans="2:27" x14ac:dyDescent="0.3">
      <c r="B174" s="12">
        <v>5036</v>
      </c>
      <c r="C174" s="3" t="s">
        <v>737</v>
      </c>
      <c r="D174" s="3" t="str">
        <f>VLOOKUP(B174, 기업리스트!B:G,2,FALSE)</f>
        <v>Japan Business Systems, Inc.</v>
      </c>
      <c r="E174" s="3" t="s">
        <v>673</v>
      </c>
      <c r="F174" s="5">
        <v>3.5</v>
      </c>
      <c r="G174" s="3"/>
      <c r="H174" s="3"/>
      <c r="I174" s="3"/>
      <c r="J174" s="3"/>
      <c r="K174" s="3"/>
      <c r="L174" s="4">
        <v>23154</v>
      </c>
      <c r="M174" s="4">
        <v>23460</v>
      </c>
      <c r="N174" s="4">
        <v>35698</v>
      </c>
      <c r="O174" s="4">
        <v>30488</v>
      </c>
      <c r="P174" s="4">
        <v>25883</v>
      </c>
      <c r="Q174" s="4">
        <v>28054</v>
      </c>
      <c r="R174" s="6">
        <v>52210</v>
      </c>
      <c r="S174" s="4">
        <v>34711</v>
      </c>
      <c r="T174" s="4">
        <v>27920</v>
      </c>
      <c r="U174" s="4">
        <v>34770</v>
      </c>
      <c r="V174" s="6">
        <v>69420</v>
      </c>
      <c r="W174" s="4">
        <v>40470</v>
      </c>
      <c r="X174" s="9">
        <v>1.446137244600942E-2</v>
      </c>
      <c r="Y174" s="10">
        <v>4.6999545120543162E-2</v>
      </c>
      <c r="Z174" s="8">
        <v>0.11503164874240519</v>
      </c>
      <c r="AA174" s="10">
        <v>3.4522032597814389E-2</v>
      </c>
    </row>
    <row r="175" spans="2:27" x14ac:dyDescent="0.3">
      <c r="B175" s="12">
        <v>9031</v>
      </c>
      <c r="C175" s="3" t="s">
        <v>737</v>
      </c>
      <c r="D175" s="3" t="str">
        <f>VLOOKUP(B175, 기업리스트!B:G,2,FALSE)</f>
        <v>Nishi-Nippon Railroad Co., Ltd.</v>
      </c>
      <c r="E175" s="3" t="s">
        <v>709</v>
      </c>
      <c r="F175" s="5">
        <v>2.7</v>
      </c>
      <c r="G175" s="4">
        <v>98749</v>
      </c>
      <c r="H175" s="4">
        <v>113286</v>
      </c>
      <c r="I175" s="4">
        <v>126146</v>
      </c>
      <c r="J175" s="4">
        <v>119950</v>
      </c>
      <c r="K175" s="4">
        <v>133565</v>
      </c>
      <c r="L175" s="4">
        <v>125600</v>
      </c>
      <c r="M175" s="4">
        <v>115528</v>
      </c>
      <c r="N175" s="4">
        <v>96816</v>
      </c>
      <c r="O175" s="4">
        <v>100340</v>
      </c>
      <c r="P175" s="4">
        <v>106593</v>
      </c>
      <c r="Q175" s="4">
        <v>107900</v>
      </c>
      <c r="R175" s="4">
        <v>101634</v>
      </c>
      <c r="S175" s="4">
        <v>106484</v>
      </c>
      <c r="T175" s="4">
        <v>108616</v>
      </c>
      <c r="U175" s="4">
        <v>126761</v>
      </c>
      <c r="V175" s="4">
        <v>103628</v>
      </c>
      <c r="W175" s="4">
        <v>118630</v>
      </c>
      <c r="X175" s="9">
        <v>4.7869080549252097E-3</v>
      </c>
      <c r="Y175" s="10">
        <v>4.4417074468836582E-2</v>
      </c>
      <c r="Z175" s="10">
        <v>4.4961048038874019E-3</v>
      </c>
      <c r="AA175" s="10">
        <v>2.7264421792681851E-2</v>
      </c>
    </row>
    <row r="176" spans="2:27" x14ac:dyDescent="0.3">
      <c r="B176" s="12">
        <v>9409</v>
      </c>
      <c r="C176" s="3" t="s">
        <v>737</v>
      </c>
      <c r="D176" s="3" t="str">
        <f>VLOOKUP(B176, 기업리스트!B:G,2,FALSE)</f>
        <v>TV Asahi Holdings Corporation</v>
      </c>
      <c r="E176" s="3" t="s">
        <v>709</v>
      </c>
      <c r="F176" s="5">
        <v>2.7</v>
      </c>
      <c r="G176" s="4">
        <v>71942</v>
      </c>
      <c r="H176" s="4">
        <v>78605</v>
      </c>
      <c r="I176" s="4">
        <v>76053</v>
      </c>
      <c r="J176" s="4">
        <v>72152</v>
      </c>
      <c r="K176" s="4">
        <v>72623</v>
      </c>
      <c r="L176" s="4">
        <v>81392</v>
      </c>
      <c r="M176" s="4">
        <v>78399</v>
      </c>
      <c r="N176" s="4">
        <v>71589</v>
      </c>
      <c r="O176" s="4">
        <v>75240</v>
      </c>
      <c r="P176" s="4">
        <v>80801</v>
      </c>
      <c r="Q176" s="4">
        <v>80268</v>
      </c>
      <c r="R176" s="4">
        <v>77586</v>
      </c>
      <c r="S176" s="4">
        <v>76249</v>
      </c>
      <c r="T176" s="4">
        <v>84210</v>
      </c>
      <c r="U176" s="4">
        <v>86011</v>
      </c>
      <c r="V176" s="4">
        <v>80478</v>
      </c>
      <c r="W176" s="4">
        <v>85085</v>
      </c>
      <c r="X176" s="9">
        <v>1.082552142875293E-2</v>
      </c>
      <c r="Y176" s="10">
        <v>1.80419901166462E-2</v>
      </c>
      <c r="Z176" s="10">
        <v>8.9243834398993194E-3</v>
      </c>
      <c r="AA176" s="10">
        <v>2.702570439335927E-2</v>
      </c>
    </row>
    <row r="177" spans="2:27" x14ac:dyDescent="0.3">
      <c r="B177" s="12">
        <v>3769</v>
      </c>
      <c r="C177" s="3" t="s">
        <v>737</v>
      </c>
      <c r="D177" s="3" t="str">
        <f>VLOOKUP(B177, 기업리스트!B:G,2,FALSE)</f>
        <v>GMO Payment Gateway, Inc.</v>
      </c>
      <c r="E177" s="3" t="s">
        <v>673</v>
      </c>
      <c r="F177" s="5">
        <v>2.4</v>
      </c>
      <c r="G177" s="4">
        <v>11132</v>
      </c>
      <c r="H177" s="4">
        <v>11857</v>
      </c>
      <c r="I177" s="4">
        <v>12201</v>
      </c>
      <c r="J177" s="4">
        <v>12897</v>
      </c>
      <c r="K177" s="4">
        <v>13342</v>
      </c>
      <c r="L177" s="4">
        <v>14813</v>
      </c>
      <c r="M177" s="4">
        <v>15641</v>
      </c>
      <c r="N177" s="4">
        <v>16546</v>
      </c>
      <c r="O177" s="4">
        <v>16119</v>
      </c>
      <c r="P177" s="4">
        <v>17785</v>
      </c>
      <c r="Q177" s="4">
        <v>18313</v>
      </c>
      <c r="R177" s="4">
        <v>18097</v>
      </c>
      <c r="S177" s="4">
        <v>19589</v>
      </c>
      <c r="T177" s="4">
        <v>20295</v>
      </c>
      <c r="U177" s="4">
        <v>20462</v>
      </c>
      <c r="V177" s="4">
        <v>20245</v>
      </c>
      <c r="W177" s="4">
        <v>21496</v>
      </c>
      <c r="X177" s="9">
        <v>3.4018215331237167E-2</v>
      </c>
      <c r="Y177" s="10">
        <v>2.816735260964176E-2</v>
      </c>
      <c r="Z177" s="10">
        <v>2.7382940479073969E-2</v>
      </c>
      <c r="AA177" s="10">
        <v>2.366269186385583E-2</v>
      </c>
    </row>
    <row r="178" spans="2:27" hidden="1" x14ac:dyDescent="0.3">
      <c r="B178" s="3" t="s">
        <v>623</v>
      </c>
      <c r="C178" s="3" t="s">
        <v>742</v>
      </c>
      <c r="D178" s="3" t="s">
        <v>738</v>
      </c>
      <c r="E178" s="3" t="s">
        <v>743</v>
      </c>
      <c r="F178" s="5">
        <v>1.1000000000000001</v>
      </c>
      <c r="G178" s="4">
        <v>103.9</v>
      </c>
      <c r="H178" s="4">
        <v>143.6</v>
      </c>
      <c r="I178" s="4">
        <v>153.19999999999999</v>
      </c>
      <c r="J178" s="4">
        <v>158.69999999999999</v>
      </c>
      <c r="K178" s="4">
        <v>157</v>
      </c>
      <c r="L178" s="4">
        <v>152</v>
      </c>
      <c r="M178" s="4">
        <v>153.9</v>
      </c>
      <c r="N178" s="4">
        <v>155.69999999999999</v>
      </c>
      <c r="O178" s="4">
        <v>154.5</v>
      </c>
      <c r="P178" s="4">
        <v>146.30000000000001</v>
      </c>
      <c r="Q178" s="4">
        <v>157.5</v>
      </c>
      <c r="R178" s="4">
        <v>161.30000000000001</v>
      </c>
      <c r="S178" s="4">
        <v>161.4</v>
      </c>
      <c r="T178" s="4">
        <v>162.5</v>
      </c>
      <c r="U178" s="4">
        <v>165.4</v>
      </c>
      <c r="V178" s="4">
        <v>170.3</v>
      </c>
      <c r="W178" s="4">
        <v>168.7</v>
      </c>
      <c r="X178" s="9">
        <v>2.585794094173988E-2</v>
      </c>
      <c r="Y178" s="10">
        <v>1.2291893573984639E-2</v>
      </c>
      <c r="Z178" s="10">
        <v>1.383338456809091E-2</v>
      </c>
      <c r="AA178" s="10">
        <v>1.1067313523347441E-2</v>
      </c>
    </row>
    <row r="179" spans="2:27" x14ac:dyDescent="0.3">
      <c r="B179" s="12">
        <v>1762</v>
      </c>
      <c r="C179" s="3" t="s">
        <v>737</v>
      </c>
      <c r="D179" s="3" t="str">
        <f>VLOOKUP(B179, 기업리스트!B:G,2,FALSE)</f>
        <v>Takamatsu Construction Group Co., Ltd.</v>
      </c>
      <c r="E179" s="3" t="s">
        <v>709</v>
      </c>
      <c r="F179" s="5">
        <v>2.2999999999999998</v>
      </c>
      <c r="G179" s="4">
        <v>64603</v>
      </c>
      <c r="H179" s="4">
        <v>64659</v>
      </c>
      <c r="I179" s="4">
        <v>73268</v>
      </c>
      <c r="J179" s="4">
        <v>60427</v>
      </c>
      <c r="K179" s="4">
        <v>68380</v>
      </c>
      <c r="L179" s="4">
        <v>74840</v>
      </c>
      <c r="M179" s="4">
        <v>78848</v>
      </c>
      <c r="N179" s="4">
        <v>65613</v>
      </c>
      <c r="O179" s="4">
        <v>77685</v>
      </c>
      <c r="P179" s="4">
        <v>80411</v>
      </c>
      <c r="Q179" s="4">
        <v>88971</v>
      </c>
      <c r="R179" s="4">
        <v>78130</v>
      </c>
      <c r="S179" s="4">
        <v>84003</v>
      </c>
      <c r="T179" s="4">
        <v>85630</v>
      </c>
      <c r="U179" s="4">
        <v>98922</v>
      </c>
      <c r="V179" s="4">
        <v>79081</v>
      </c>
      <c r="W179" s="4">
        <v>91831</v>
      </c>
      <c r="X179" s="9">
        <v>1.574287739619629E-2</v>
      </c>
      <c r="Y179" s="10">
        <v>2.9551515439486309E-2</v>
      </c>
      <c r="Z179" s="10">
        <v>2.743124161703081E-3</v>
      </c>
      <c r="AA179" s="10">
        <v>2.251780598096853E-2</v>
      </c>
    </row>
    <row r="180" spans="2:27" x14ac:dyDescent="0.3">
      <c r="B180" s="12">
        <v>8061</v>
      </c>
      <c r="C180" s="3" t="s">
        <v>737</v>
      </c>
      <c r="D180" s="3" t="str">
        <f>VLOOKUP(B180, 기업리스트!B:G,2,FALSE)</f>
        <v>Seika Corporation</v>
      </c>
      <c r="E180" s="3" t="s">
        <v>709</v>
      </c>
      <c r="F180" s="5">
        <v>2.2999999999999998</v>
      </c>
      <c r="G180" s="4">
        <v>20731</v>
      </c>
      <c r="H180" s="4">
        <v>20803</v>
      </c>
      <c r="I180" s="4">
        <v>24052</v>
      </c>
      <c r="J180" s="4">
        <v>20597</v>
      </c>
      <c r="K180" s="4">
        <v>19855</v>
      </c>
      <c r="L180" s="4">
        <v>23069</v>
      </c>
      <c r="M180" s="4">
        <v>29790</v>
      </c>
      <c r="N180" s="4">
        <v>19053</v>
      </c>
      <c r="O180" s="4">
        <v>20990</v>
      </c>
      <c r="P180" s="4">
        <v>20587</v>
      </c>
      <c r="Q180" s="4">
        <v>26155</v>
      </c>
      <c r="R180" s="4">
        <v>20487</v>
      </c>
      <c r="S180" s="4">
        <v>24027</v>
      </c>
      <c r="T180" s="4">
        <v>23221</v>
      </c>
      <c r="U180" s="4">
        <v>25999</v>
      </c>
      <c r="V180" s="4">
        <v>25569</v>
      </c>
      <c r="W180" s="4">
        <v>26266</v>
      </c>
      <c r="X180" s="9">
        <v>2.886385552730775E-2</v>
      </c>
      <c r="Y180" s="10">
        <v>-1.661518798594108E-3</v>
      </c>
      <c r="Z180" s="10">
        <v>5.4217253077858629E-2</v>
      </c>
      <c r="AA180" s="10">
        <v>2.2658273963730661E-2</v>
      </c>
    </row>
    <row r="181" spans="2:27" x14ac:dyDescent="0.3">
      <c r="B181" s="12">
        <v>9984</v>
      </c>
      <c r="C181" s="3" t="s">
        <v>737</v>
      </c>
      <c r="D181" s="3" t="str">
        <f>VLOOKUP(B181, 기업리스트!B:G,2,FALSE)</f>
        <v>SoftBank Group Corp.</v>
      </c>
      <c r="E181" s="3" t="s">
        <v>691</v>
      </c>
      <c r="F181" s="5">
        <v>2</v>
      </c>
      <c r="G181" s="4">
        <v>1597336</v>
      </c>
      <c r="H181" s="4">
        <v>1640694</v>
      </c>
      <c r="I181" s="4">
        <v>1572030</v>
      </c>
      <c r="J181" s="4">
        <v>1610447</v>
      </c>
      <c r="K181" s="4">
        <v>1693296</v>
      </c>
      <c r="L181" s="4">
        <v>1694666</v>
      </c>
      <c r="M181" s="4">
        <v>1557507</v>
      </c>
      <c r="N181" s="4">
        <v>1669553</v>
      </c>
      <c r="O181" s="4">
        <v>1774841</v>
      </c>
      <c r="P181" s="4">
        <v>1754599</v>
      </c>
      <c r="Q181" s="4">
        <v>1701747</v>
      </c>
      <c r="R181" s="4">
        <v>1768175</v>
      </c>
      <c r="S181" s="4">
        <v>1832654</v>
      </c>
      <c r="T181" s="4">
        <v>1941176</v>
      </c>
      <c r="U181" s="4">
        <v>1820341</v>
      </c>
      <c r="V181" s="4">
        <v>1916502</v>
      </c>
      <c r="W181" s="4">
        <v>1982404</v>
      </c>
      <c r="X181" s="9">
        <v>2.6437916021637479E-2</v>
      </c>
      <c r="Y181" s="10">
        <v>1.6371902295937209E-2</v>
      </c>
      <c r="Z181" s="10">
        <v>2.0146703238342889E-2</v>
      </c>
      <c r="AA181" s="10">
        <v>1.9938293146299909E-2</v>
      </c>
    </row>
    <row r="182" spans="2:27" x14ac:dyDescent="0.3">
      <c r="B182" s="12">
        <v>6005</v>
      </c>
      <c r="C182" s="3" t="s">
        <v>737</v>
      </c>
      <c r="D182" s="3" t="str">
        <f>VLOOKUP(B182, 기업리스트!B:G,2,FALSE)</f>
        <v>Miura Co., Ltd.</v>
      </c>
      <c r="E182" s="3" t="s">
        <v>709</v>
      </c>
      <c r="F182" s="5">
        <v>1.8</v>
      </c>
      <c r="G182" s="4">
        <v>38777</v>
      </c>
      <c r="H182" s="4">
        <v>33676</v>
      </c>
      <c r="I182" s="4">
        <v>43650</v>
      </c>
      <c r="J182" s="4">
        <v>29256</v>
      </c>
      <c r="K182" s="4">
        <v>39978</v>
      </c>
      <c r="L182" s="4">
        <v>36491</v>
      </c>
      <c r="M182" s="4">
        <v>52652</v>
      </c>
      <c r="N182" s="4">
        <v>29714</v>
      </c>
      <c r="O182" s="4">
        <v>40434</v>
      </c>
      <c r="P182" s="4">
        <v>37809</v>
      </c>
      <c r="Q182" s="4">
        <v>51738</v>
      </c>
      <c r="R182" s="4">
        <v>44509</v>
      </c>
      <c r="S182" s="6">
        <v>66865</v>
      </c>
      <c r="T182" s="6">
        <v>63846</v>
      </c>
      <c r="U182" s="6">
        <v>76121</v>
      </c>
      <c r="V182" s="4">
        <v>52514</v>
      </c>
      <c r="W182" s="4">
        <v>71412</v>
      </c>
      <c r="X182" s="7">
        <v>0.12958824612658709</v>
      </c>
      <c r="Y182" s="8">
        <v>0.1074339745679818</v>
      </c>
      <c r="Z182" s="10">
        <v>3.1849161099860357E-2</v>
      </c>
      <c r="AA182" s="10">
        <v>1.753256267688719E-2</v>
      </c>
    </row>
    <row r="183" spans="2:27" x14ac:dyDescent="0.3">
      <c r="B183" s="12">
        <v>1808</v>
      </c>
      <c r="C183" s="3" t="s">
        <v>737</v>
      </c>
      <c r="D183" s="3" t="str">
        <f>VLOOKUP(B183, 기업리스트!B:G,2,FALSE)</f>
        <v>HASEKO Corporation</v>
      </c>
      <c r="E183" s="3" t="s">
        <v>691</v>
      </c>
      <c r="F183" s="5">
        <v>1.6</v>
      </c>
      <c r="G183" s="4">
        <v>211228</v>
      </c>
      <c r="H183" s="4">
        <v>283656</v>
      </c>
      <c r="I183" s="4">
        <v>234088</v>
      </c>
      <c r="J183" s="4">
        <v>212360</v>
      </c>
      <c r="K183" s="4">
        <v>260074</v>
      </c>
      <c r="L183" s="4">
        <v>320755</v>
      </c>
      <c r="M183" s="4">
        <v>263919</v>
      </c>
      <c r="N183" s="4">
        <v>259087</v>
      </c>
      <c r="O183" s="4">
        <v>245846</v>
      </c>
      <c r="P183" s="4">
        <v>325569</v>
      </c>
      <c r="Q183" s="4">
        <v>284774</v>
      </c>
      <c r="R183" s="4">
        <v>273980</v>
      </c>
      <c r="S183" s="4">
        <v>277984</v>
      </c>
      <c r="T183" s="4">
        <v>340614</v>
      </c>
      <c r="U183" s="4">
        <v>285906</v>
      </c>
      <c r="V183" s="4">
        <v>309560</v>
      </c>
      <c r="W183" s="4">
        <v>297630</v>
      </c>
      <c r="X183" s="9">
        <v>1.2944084480262189E-2</v>
      </c>
      <c r="Y183" s="10">
        <v>9.6147965943904623E-4</v>
      </c>
      <c r="Z183" s="10">
        <v>3.0191330556885051E-2</v>
      </c>
      <c r="AA183" s="10">
        <v>1.618201346881221E-2</v>
      </c>
    </row>
    <row r="184" spans="2:27" x14ac:dyDescent="0.3">
      <c r="B184" s="12">
        <v>7202</v>
      </c>
      <c r="C184" s="3" t="s">
        <v>737</v>
      </c>
      <c r="D184" s="3" t="str">
        <f>VLOOKUP(B184, 기업리스트!B:G,2,FALSE)</f>
        <v>Isuzu Motors Limited</v>
      </c>
      <c r="E184" s="3" t="s">
        <v>691</v>
      </c>
      <c r="F184" s="5">
        <v>1.6</v>
      </c>
      <c r="G184" s="4">
        <v>638751</v>
      </c>
      <c r="H184" s="4">
        <v>730490</v>
      </c>
      <c r="I184" s="4">
        <v>688201</v>
      </c>
      <c r="J184" s="4">
        <v>805131</v>
      </c>
      <c r="K184" s="4">
        <v>850652</v>
      </c>
      <c r="L184" s="4">
        <v>851553</v>
      </c>
      <c r="M184" s="4">
        <v>775466</v>
      </c>
      <c r="N184" s="4">
        <v>862513</v>
      </c>
      <c r="O184" s="4">
        <v>903553</v>
      </c>
      <c r="P184" s="4">
        <v>845144</v>
      </c>
      <c r="Q184" s="4">
        <v>747953</v>
      </c>
      <c r="R184" s="4">
        <v>788352</v>
      </c>
      <c r="S184" s="4">
        <v>819467</v>
      </c>
      <c r="T184" s="4">
        <v>879876</v>
      </c>
      <c r="U184" s="4">
        <v>779854</v>
      </c>
      <c r="V184" s="4">
        <v>857455</v>
      </c>
      <c r="W184" s="4">
        <v>874212</v>
      </c>
      <c r="X184" s="9">
        <v>1.0850644003154161E-2</v>
      </c>
      <c r="Y184" s="10">
        <v>9.8592306703324528E-3</v>
      </c>
      <c r="Z184" s="10">
        <v>2.114826740165188E-2</v>
      </c>
      <c r="AA184" s="10">
        <v>1.6407165026499641E-2</v>
      </c>
    </row>
    <row r="185" spans="2:27" x14ac:dyDescent="0.3">
      <c r="B185" s="12">
        <v>6113</v>
      </c>
      <c r="C185" s="3" t="s">
        <v>737</v>
      </c>
      <c r="D185" s="3" t="str">
        <f>VLOOKUP(B185, 기업리스트!B:G,2,FALSE)</f>
        <v>Amada Co., Ltd.</v>
      </c>
      <c r="E185" s="3" t="s">
        <v>709</v>
      </c>
      <c r="F185" s="5">
        <v>1.4</v>
      </c>
      <c r="G185" s="4">
        <v>79716</v>
      </c>
      <c r="H185" s="4">
        <v>75262</v>
      </c>
      <c r="I185" s="4">
        <v>95500</v>
      </c>
      <c r="J185" s="4">
        <v>74031</v>
      </c>
      <c r="K185" s="4">
        <v>95372</v>
      </c>
      <c r="L185" s="4">
        <v>89502</v>
      </c>
      <c r="M185" s="4">
        <v>106782</v>
      </c>
      <c r="N185" s="4">
        <v>86522</v>
      </c>
      <c r="O185" s="4">
        <v>100528</v>
      </c>
      <c r="P185" s="4">
        <v>98166</v>
      </c>
      <c r="Q185" s="4">
        <v>118283</v>
      </c>
      <c r="R185" s="4">
        <v>83093</v>
      </c>
      <c r="S185" s="4">
        <v>101440</v>
      </c>
      <c r="T185" s="4">
        <v>90298</v>
      </c>
      <c r="U185" s="4">
        <v>121839</v>
      </c>
      <c r="V185" s="4">
        <v>77273</v>
      </c>
      <c r="W185" s="4">
        <v>107007</v>
      </c>
      <c r="X185" s="9">
        <v>-1.9621828411250371E-2</v>
      </c>
      <c r="Y185" s="10">
        <v>9.0457221060558091E-3</v>
      </c>
      <c r="Z185" s="10">
        <v>-1.467214561222174E-2</v>
      </c>
      <c r="AA185" s="10">
        <v>1.424331585007033E-2</v>
      </c>
    </row>
    <row r="186" spans="2:27" x14ac:dyDescent="0.3">
      <c r="B186" s="12">
        <v>1820</v>
      </c>
      <c r="C186" s="3" t="s">
        <v>737</v>
      </c>
      <c r="D186" s="3" t="str">
        <f>VLOOKUP(B186, 기업리스트!B:G,2,FALSE)</f>
        <v>Nishimatsu Construction Co., Ltd.</v>
      </c>
      <c r="E186" s="3" t="s">
        <v>709</v>
      </c>
      <c r="F186" s="5">
        <v>1.3</v>
      </c>
      <c r="G186" s="4">
        <v>79820</v>
      </c>
      <c r="H186" s="4">
        <v>82449</v>
      </c>
      <c r="I186" s="4">
        <v>88345</v>
      </c>
      <c r="J186" s="4">
        <v>69722</v>
      </c>
      <c r="K186" s="4">
        <v>87551</v>
      </c>
      <c r="L186" s="4">
        <v>87792</v>
      </c>
      <c r="M186" s="4">
        <v>94692</v>
      </c>
      <c r="N186" s="4">
        <v>84194</v>
      </c>
      <c r="O186" s="4">
        <v>106770</v>
      </c>
      <c r="P186" s="4">
        <v>103879</v>
      </c>
      <c r="Q186" s="4">
        <v>106790</v>
      </c>
      <c r="R186" s="4">
        <v>84141</v>
      </c>
      <c r="S186" s="4">
        <v>89732</v>
      </c>
      <c r="T186" s="4">
        <v>90857</v>
      </c>
      <c r="U186" s="4">
        <v>102081</v>
      </c>
      <c r="V186" s="4">
        <v>82907</v>
      </c>
      <c r="W186" s="4">
        <v>94411</v>
      </c>
      <c r="X186" s="9">
        <v>-3.3863661186554372E-2</v>
      </c>
      <c r="Y186" s="10">
        <v>-1.267495693367782E-2</v>
      </c>
      <c r="Z186" s="10">
        <v>-3.364130301435897E-3</v>
      </c>
      <c r="AA186" s="10">
        <v>1.27989452290489E-2</v>
      </c>
    </row>
    <row r="187" spans="2:27" x14ac:dyDescent="0.3">
      <c r="B187" s="12">
        <v>6287</v>
      </c>
      <c r="C187" s="3" t="s">
        <v>737</v>
      </c>
      <c r="D187" s="3" t="str">
        <f>VLOOKUP(B187, 기업리스트!B:G,2,FALSE)</f>
        <v>Sato Corporation</v>
      </c>
      <c r="E187" s="3" t="s">
        <v>709</v>
      </c>
      <c r="F187" s="5">
        <v>1.3</v>
      </c>
      <c r="G187" s="4">
        <v>30084</v>
      </c>
      <c r="H187" s="4">
        <v>32127</v>
      </c>
      <c r="I187" s="4">
        <v>32395</v>
      </c>
      <c r="J187" s="4">
        <v>33686</v>
      </c>
      <c r="K187" s="4">
        <v>36777</v>
      </c>
      <c r="L187" s="4">
        <v>37871</v>
      </c>
      <c r="M187" s="4">
        <v>34490</v>
      </c>
      <c r="N187" s="4">
        <v>33989</v>
      </c>
      <c r="O187" s="4">
        <v>35797</v>
      </c>
      <c r="P187" s="4">
        <v>37629</v>
      </c>
      <c r="Q187" s="4">
        <v>36031</v>
      </c>
      <c r="R187" s="4">
        <v>37674</v>
      </c>
      <c r="S187" s="4">
        <v>38416</v>
      </c>
      <c r="T187" s="4">
        <v>40121</v>
      </c>
      <c r="U187" s="4">
        <v>38596</v>
      </c>
      <c r="V187" s="4">
        <v>37829</v>
      </c>
      <c r="W187" s="4">
        <v>40419</v>
      </c>
      <c r="X187" s="9">
        <v>1.6641068447412311E-2</v>
      </c>
      <c r="Y187" s="10">
        <v>1.6848175930426649E-2</v>
      </c>
      <c r="Z187" s="10">
        <v>1.0012467136499841E-3</v>
      </c>
      <c r="AA187" s="10">
        <v>1.29257495385966E-2</v>
      </c>
    </row>
    <row r="188" spans="2:27" hidden="1" x14ac:dyDescent="0.3">
      <c r="B188" s="3" t="s">
        <v>609</v>
      </c>
      <c r="C188" s="3" t="s">
        <v>671</v>
      </c>
      <c r="D188" s="3" t="s">
        <v>711</v>
      </c>
      <c r="E188" s="3" t="s">
        <v>743</v>
      </c>
      <c r="F188" s="5">
        <v>1.2</v>
      </c>
      <c r="G188" s="4">
        <v>18.72</v>
      </c>
      <c r="H188" s="4">
        <v>28.38</v>
      </c>
      <c r="I188" s="4">
        <v>11.99</v>
      </c>
      <c r="J188" s="4">
        <v>-1.89</v>
      </c>
      <c r="K188" s="4">
        <v>-2.79</v>
      </c>
      <c r="L188" s="4">
        <v>4.24</v>
      </c>
      <c r="M188" s="6">
        <v>51.47</v>
      </c>
      <c r="N188" s="6">
        <v>115.23</v>
      </c>
      <c r="O188" s="6">
        <v>137.59</v>
      </c>
      <c r="P188" s="6">
        <v>141.25</v>
      </c>
      <c r="Q188" s="6">
        <v>150.16</v>
      </c>
      <c r="R188" s="4">
        <v>161.5</v>
      </c>
      <c r="S188" s="4">
        <v>174.63</v>
      </c>
      <c r="T188" s="4">
        <v>152.86000000000001</v>
      </c>
      <c r="U188" s="4">
        <v>161.72</v>
      </c>
      <c r="V188" s="4">
        <v>190.05</v>
      </c>
      <c r="W188" s="4">
        <v>182.51</v>
      </c>
      <c r="X188" s="9">
        <v>1.850081269719861E-2</v>
      </c>
      <c r="Y188" s="10">
        <v>1.808652116091691E-2</v>
      </c>
      <c r="Z188" s="10">
        <v>4.387515175731127E-2</v>
      </c>
      <c r="AA188" s="10">
        <v>1.160085975914971E-2</v>
      </c>
    </row>
    <row r="189" spans="2:27" x14ac:dyDescent="0.3">
      <c r="B189" s="12">
        <v>8876</v>
      </c>
      <c r="C189" s="3" t="s">
        <v>737</v>
      </c>
      <c r="D189" s="3" t="str">
        <f>VLOOKUP(B189, 기업리스트!B:G,2,FALSE)</f>
        <v>Relo Group, Inc.</v>
      </c>
      <c r="E189" s="3" t="s">
        <v>709</v>
      </c>
      <c r="F189" s="5">
        <v>1.2</v>
      </c>
      <c r="G189" s="4">
        <v>37950</v>
      </c>
      <c r="H189" s="4">
        <v>39740</v>
      </c>
      <c r="I189" s="4">
        <v>40568</v>
      </c>
      <c r="J189" s="4">
        <v>28352</v>
      </c>
      <c r="K189" s="4">
        <v>30722</v>
      </c>
      <c r="L189" s="4">
        <v>30007</v>
      </c>
      <c r="M189" s="4">
        <v>34616</v>
      </c>
      <c r="N189" s="4">
        <v>30675</v>
      </c>
      <c r="O189" s="4">
        <v>32513</v>
      </c>
      <c r="P189" s="4">
        <v>31240</v>
      </c>
      <c r="Q189" s="4">
        <v>38151</v>
      </c>
      <c r="R189" s="4">
        <v>34626</v>
      </c>
      <c r="S189" s="4">
        <v>35447</v>
      </c>
      <c r="T189" s="4">
        <v>34745</v>
      </c>
      <c r="U189" s="4">
        <v>38089</v>
      </c>
      <c r="V189" s="4">
        <v>35745</v>
      </c>
      <c r="W189" s="4">
        <v>37184</v>
      </c>
      <c r="X189" s="9">
        <v>2.513193368898059E-2</v>
      </c>
      <c r="Y189" s="10">
        <v>-4.3366044387249669E-4</v>
      </c>
      <c r="Z189" s="10">
        <v>7.8302672367343007E-3</v>
      </c>
      <c r="AA189" s="10">
        <v>1.206032244178123E-2</v>
      </c>
    </row>
    <row r="190" spans="2:27" x14ac:dyDescent="0.3">
      <c r="B190" s="12">
        <v>9025</v>
      </c>
      <c r="C190" s="3" t="s">
        <v>737</v>
      </c>
      <c r="D190" s="3" t="str">
        <f>VLOOKUP(B190, 기업리스트!B:G,2,FALSE)</f>
        <v>Konoike Transport Co.,Ltd.</v>
      </c>
      <c r="E190" s="3" t="s">
        <v>709</v>
      </c>
      <c r="F190" s="5">
        <v>1.2</v>
      </c>
      <c r="G190" s="4">
        <v>73489</v>
      </c>
      <c r="H190" s="4">
        <v>77857</v>
      </c>
      <c r="I190" s="4">
        <v>78118</v>
      </c>
      <c r="J190" s="4">
        <v>76471</v>
      </c>
      <c r="K190" s="4">
        <v>79089</v>
      </c>
      <c r="L190" s="4">
        <v>81559</v>
      </c>
      <c r="M190" s="4">
        <v>74721</v>
      </c>
      <c r="N190" s="4">
        <v>76923</v>
      </c>
      <c r="O190" s="4">
        <v>78619</v>
      </c>
      <c r="P190" s="4">
        <v>80333</v>
      </c>
      <c r="Q190" s="4">
        <v>79154</v>
      </c>
      <c r="R190" s="4">
        <v>83706</v>
      </c>
      <c r="S190" s="4">
        <v>85983</v>
      </c>
      <c r="T190" s="4">
        <v>88731</v>
      </c>
      <c r="U190" s="4">
        <v>86567</v>
      </c>
      <c r="V190" s="4">
        <v>89290</v>
      </c>
      <c r="W190" s="4">
        <v>90032</v>
      </c>
      <c r="X190" s="9">
        <v>2.5512188008846248E-2</v>
      </c>
      <c r="Y190" s="10">
        <v>2.1959629592326339E-2</v>
      </c>
      <c r="Z190" s="10">
        <v>1.6186117158037749E-2</v>
      </c>
      <c r="AA190" s="10">
        <v>1.1549728870899219E-2</v>
      </c>
    </row>
    <row r="191" spans="2:27" x14ac:dyDescent="0.3">
      <c r="B191" s="12">
        <v>9989</v>
      </c>
      <c r="C191" s="3" t="s">
        <v>737</v>
      </c>
      <c r="D191" s="3" t="str">
        <f>VLOOKUP(B191, 기업리스트!B:G,2,FALSE)</f>
        <v>Sundrug Co.,Ltd.</v>
      </c>
      <c r="E191" s="3" t="s">
        <v>709</v>
      </c>
      <c r="F191" s="5">
        <v>1.2</v>
      </c>
      <c r="G191" s="4">
        <v>162557</v>
      </c>
      <c r="H191" s="4">
        <v>164905</v>
      </c>
      <c r="I191" s="4">
        <v>157075</v>
      </c>
      <c r="J191" s="4">
        <v>166455</v>
      </c>
      <c r="K191" s="4">
        <v>172768</v>
      </c>
      <c r="L191" s="4">
        <v>180330</v>
      </c>
      <c r="M191" s="4">
        <v>170909</v>
      </c>
      <c r="N191" s="4">
        <v>182146</v>
      </c>
      <c r="O191" s="4">
        <v>189561</v>
      </c>
      <c r="P191" s="4">
        <v>194265</v>
      </c>
      <c r="Q191" s="4">
        <v>185805</v>
      </c>
      <c r="R191" s="4">
        <v>194565</v>
      </c>
      <c r="S191" s="4">
        <v>201020</v>
      </c>
      <c r="T191" s="4">
        <v>208009</v>
      </c>
      <c r="U191" s="4">
        <v>198217</v>
      </c>
      <c r="V191" s="4">
        <v>207698</v>
      </c>
      <c r="W191" s="4">
        <v>210739</v>
      </c>
      <c r="X191" s="9">
        <v>1.771921795127995E-2</v>
      </c>
      <c r="Y191" s="10">
        <v>1.5723354095964041E-2</v>
      </c>
      <c r="Z191" s="10">
        <v>1.6379171650176879E-2</v>
      </c>
      <c r="AA191" s="10">
        <v>1.19259728275809E-2</v>
      </c>
    </row>
    <row r="192" spans="2:27" hidden="1" x14ac:dyDescent="0.3">
      <c r="B192" s="3" t="s">
        <v>276</v>
      </c>
      <c r="C192" s="3" t="s">
        <v>671</v>
      </c>
      <c r="D192" s="3" t="s">
        <v>738</v>
      </c>
      <c r="E192" s="3" t="s">
        <v>743</v>
      </c>
      <c r="F192" s="5">
        <v>1.7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4">
        <v>961.9</v>
      </c>
      <c r="S192" s="4">
        <v>985.8</v>
      </c>
      <c r="T192" s="4">
        <v>982.1</v>
      </c>
      <c r="U192" s="4">
        <v>965.9</v>
      </c>
      <c r="V192" s="4">
        <v>1041</v>
      </c>
      <c r="W192" s="4">
        <v>1053</v>
      </c>
      <c r="X192" s="11"/>
      <c r="Y192" s="3"/>
      <c r="Z192" s="10">
        <v>2.0304438226762981E-2</v>
      </c>
      <c r="AA192" s="10">
        <v>1.6906511019422421E-2</v>
      </c>
    </row>
    <row r="193" spans="2:27" x14ac:dyDescent="0.3">
      <c r="B193" s="12">
        <v>2587</v>
      </c>
      <c r="C193" s="3" t="s">
        <v>737</v>
      </c>
      <c r="D193" s="3" t="str">
        <f>VLOOKUP(B193, 기업리스트!B:G,2,FALSE)</f>
        <v>Suntory Beverage &amp; Food Limited</v>
      </c>
      <c r="E193" s="3" t="s">
        <v>673</v>
      </c>
      <c r="F193" s="5">
        <v>1.1000000000000001</v>
      </c>
      <c r="G193" s="4">
        <v>327096</v>
      </c>
      <c r="H193" s="4">
        <v>296010</v>
      </c>
      <c r="I193" s="4">
        <v>382999</v>
      </c>
      <c r="J193" s="4">
        <v>402384</v>
      </c>
      <c r="K193" s="4">
        <v>369003</v>
      </c>
      <c r="L193" s="4">
        <v>337217</v>
      </c>
      <c r="M193" s="4">
        <v>411918</v>
      </c>
      <c r="N193" s="4">
        <v>444265</v>
      </c>
      <c r="O193" s="4">
        <v>398321</v>
      </c>
      <c r="P193" s="4">
        <v>371657</v>
      </c>
      <c r="Q193" s="4">
        <v>445703</v>
      </c>
      <c r="R193" s="4">
        <v>460304</v>
      </c>
      <c r="S193" s="4">
        <v>419101</v>
      </c>
      <c r="T193" s="4">
        <v>365782</v>
      </c>
      <c r="U193" s="4">
        <v>440629</v>
      </c>
      <c r="V193" s="4">
        <v>471669</v>
      </c>
      <c r="W193" s="4">
        <v>437358</v>
      </c>
      <c r="X193" s="9">
        <v>-3.462471232020925E-3</v>
      </c>
      <c r="Y193" s="10">
        <v>-3.000786568020386E-3</v>
      </c>
      <c r="Z193" s="10">
        <v>6.7415423747312353E-3</v>
      </c>
      <c r="AA193" s="10">
        <v>1.075724981601844E-2</v>
      </c>
    </row>
    <row r="194" spans="2:27" hidden="1" x14ac:dyDescent="0.3">
      <c r="B194" s="3" t="s">
        <v>449</v>
      </c>
      <c r="C194" s="3" t="s">
        <v>671</v>
      </c>
      <c r="D194" s="3" t="s">
        <v>747</v>
      </c>
      <c r="E194" s="3" t="s">
        <v>743</v>
      </c>
      <c r="F194" s="5">
        <v>0.5</v>
      </c>
      <c r="G194" s="4">
        <v>227.96</v>
      </c>
      <c r="H194" s="4">
        <v>268.14999999999998</v>
      </c>
      <c r="I194" s="4">
        <v>236.62</v>
      </c>
      <c r="J194" s="4">
        <v>280.66000000000003</v>
      </c>
      <c r="K194" s="4">
        <v>322.39</v>
      </c>
      <c r="L194" s="4">
        <v>370.86</v>
      </c>
      <c r="M194" s="4">
        <v>309.52</v>
      </c>
      <c r="N194" s="4">
        <v>346.94</v>
      </c>
      <c r="O194" s="4">
        <v>323.18</v>
      </c>
      <c r="P194" s="4">
        <v>327.25</v>
      </c>
      <c r="Q194" s="4">
        <v>318.56</v>
      </c>
      <c r="R194" s="4">
        <v>342.16</v>
      </c>
      <c r="S194" s="4">
        <v>340.84</v>
      </c>
      <c r="T194" s="4">
        <v>332.52</v>
      </c>
      <c r="U194" s="4">
        <v>304.11</v>
      </c>
      <c r="V194" s="4">
        <v>327.56</v>
      </c>
      <c r="W194" s="4">
        <v>346.92</v>
      </c>
      <c r="X194" s="9">
        <v>3.9659545006434094E-3</v>
      </c>
      <c r="Y194" s="10">
        <v>-1.083143439673773E-2</v>
      </c>
      <c r="Z194" s="10">
        <v>-1.1063707251275029E-2</v>
      </c>
      <c r="AA194" s="10">
        <v>4.6588967303435869E-3</v>
      </c>
    </row>
    <row r="195" spans="2:27" hidden="1" x14ac:dyDescent="0.3">
      <c r="B195" s="3" t="s">
        <v>116</v>
      </c>
      <c r="C195" s="3" t="s">
        <v>739</v>
      </c>
      <c r="D195" s="3" t="s">
        <v>689</v>
      </c>
      <c r="E195" s="3" t="s">
        <v>743</v>
      </c>
      <c r="F195" s="5">
        <v>-11.5</v>
      </c>
      <c r="G195" s="4">
        <v>0.28000000000000003</v>
      </c>
      <c r="H195" s="4">
        <v>0.02</v>
      </c>
      <c r="I195" s="4">
        <v>1.2</v>
      </c>
      <c r="J195" s="4">
        <v>1.42</v>
      </c>
      <c r="K195" s="4">
        <v>0.5</v>
      </c>
      <c r="L195" s="6">
        <v>0.8</v>
      </c>
      <c r="M195" s="4">
        <v>0.83</v>
      </c>
      <c r="N195" s="4">
        <v>0.8</v>
      </c>
      <c r="O195" s="6">
        <v>1.03</v>
      </c>
      <c r="P195" s="6">
        <v>1.21</v>
      </c>
      <c r="Q195" s="4">
        <v>1.05</v>
      </c>
      <c r="R195" s="4">
        <v>1.1100000000000001</v>
      </c>
      <c r="S195" s="6">
        <v>1.61</v>
      </c>
      <c r="T195" s="6">
        <v>1.91</v>
      </c>
      <c r="U195" s="4">
        <v>1.54</v>
      </c>
      <c r="V195" s="4">
        <v>1.2</v>
      </c>
      <c r="W195" s="4">
        <v>0.89</v>
      </c>
      <c r="X195" s="7">
        <v>0.14056224899598371</v>
      </c>
      <c r="Y195" s="10">
        <v>8.6267605633802757E-2</v>
      </c>
      <c r="Z195" s="10">
        <v>1.458670988654776E-2</v>
      </c>
      <c r="AA195" s="10">
        <v>-0.11501597444089449</v>
      </c>
    </row>
    <row r="196" spans="2:27" x14ac:dyDescent="0.3">
      <c r="B196" s="12">
        <v>7762</v>
      </c>
      <c r="C196" s="3" t="s">
        <v>737</v>
      </c>
      <c r="D196" s="3" t="str">
        <f>VLOOKUP(B196, 기업리스트!B:G,2,FALSE)</f>
        <v>Citizen Watch Co., Ltd.</v>
      </c>
      <c r="E196" s="3" t="s">
        <v>709</v>
      </c>
      <c r="F196" s="5">
        <v>1.1000000000000001</v>
      </c>
      <c r="G196" s="4">
        <v>69978</v>
      </c>
      <c r="H196" s="4">
        <v>79871</v>
      </c>
      <c r="I196" s="4">
        <v>65809</v>
      </c>
      <c r="J196" s="4">
        <v>71358</v>
      </c>
      <c r="K196" s="4">
        <v>76337</v>
      </c>
      <c r="L196" s="4">
        <v>82483</v>
      </c>
      <c r="M196" s="4">
        <v>71188</v>
      </c>
      <c r="N196" s="4">
        <v>72695</v>
      </c>
      <c r="O196" s="4">
        <v>80229</v>
      </c>
      <c r="P196" s="4">
        <v>85970</v>
      </c>
      <c r="Q196" s="4">
        <v>73936</v>
      </c>
      <c r="R196" s="4">
        <v>75888</v>
      </c>
      <c r="S196" s="4">
        <v>80628</v>
      </c>
      <c r="T196" s="4">
        <v>85193</v>
      </c>
      <c r="U196" s="4">
        <v>75176</v>
      </c>
      <c r="V196" s="4">
        <v>75282</v>
      </c>
      <c r="W196" s="4">
        <v>83968</v>
      </c>
      <c r="X196" s="9">
        <v>-2.4555814703149941E-3</v>
      </c>
      <c r="Y196" s="10">
        <v>3.9284639389187692E-3</v>
      </c>
      <c r="Z196" s="10">
        <v>-1.912365684712092E-3</v>
      </c>
      <c r="AA196" s="10">
        <v>1.056029644712431E-2</v>
      </c>
    </row>
    <row r="197" spans="2:27" x14ac:dyDescent="0.3">
      <c r="B197" s="12">
        <v>9435</v>
      </c>
      <c r="C197" s="3" t="s">
        <v>737</v>
      </c>
      <c r="D197" s="3" t="str">
        <f>VLOOKUP(B197, 기업리스트!B:G,2,FALSE)</f>
        <v>Hikari Tsushin, Inc.</v>
      </c>
      <c r="E197" s="3" t="s">
        <v>691</v>
      </c>
      <c r="F197" s="5">
        <v>1.1000000000000001</v>
      </c>
      <c r="G197" s="4">
        <v>143477</v>
      </c>
      <c r="H197" s="4">
        <v>160880</v>
      </c>
      <c r="I197" s="4">
        <v>143469</v>
      </c>
      <c r="J197" s="4">
        <v>166533</v>
      </c>
      <c r="K197" s="4">
        <v>160512</v>
      </c>
      <c r="L197" s="4">
        <v>173470</v>
      </c>
      <c r="M197" s="4">
        <v>140140</v>
      </c>
      <c r="N197" s="4">
        <v>156339</v>
      </c>
      <c r="O197" s="4">
        <v>150209</v>
      </c>
      <c r="P197" s="4">
        <v>155260</v>
      </c>
      <c r="Q197" s="4">
        <v>146154</v>
      </c>
      <c r="R197" s="4">
        <v>179629</v>
      </c>
      <c r="S197" s="4">
        <v>173031</v>
      </c>
      <c r="T197" s="4">
        <v>187739</v>
      </c>
      <c r="U197" s="4">
        <v>167172</v>
      </c>
      <c r="V197" s="4">
        <v>194523</v>
      </c>
      <c r="W197" s="4">
        <v>180805</v>
      </c>
      <c r="X197" s="9">
        <v>4.9656460889746512E-2</v>
      </c>
      <c r="Y197" s="10">
        <v>3.061380548916115E-2</v>
      </c>
      <c r="Z197" s="10">
        <v>2.1049477720257E-2</v>
      </c>
      <c r="AA197" s="10">
        <v>1.076038285591685E-2</v>
      </c>
    </row>
    <row r="198" spans="2:27" hidden="1" x14ac:dyDescent="0.3">
      <c r="B198" s="3" t="s">
        <v>15</v>
      </c>
      <c r="C198" s="3" t="s">
        <v>671</v>
      </c>
      <c r="D198" s="3" t="s">
        <v>678</v>
      </c>
      <c r="E198" s="3" t="s">
        <v>743</v>
      </c>
      <c r="F198" s="5">
        <v>13.4</v>
      </c>
      <c r="G198" s="4">
        <v>39.57</v>
      </c>
      <c r="H198" s="4">
        <v>40.04</v>
      </c>
      <c r="I198" s="4">
        <v>40.6</v>
      </c>
      <c r="J198" s="4">
        <v>40.020000000000003</v>
      </c>
      <c r="K198" s="4">
        <v>39.08</v>
      </c>
      <c r="L198" s="4">
        <v>45.75</v>
      </c>
      <c r="M198" s="4">
        <v>44.04</v>
      </c>
      <c r="N198" s="4">
        <v>45.69</v>
      </c>
      <c r="O198" s="4">
        <v>45.88</v>
      </c>
      <c r="P198" s="4">
        <v>45.3</v>
      </c>
      <c r="Q198" s="4">
        <v>45.05</v>
      </c>
      <c r="R198" s="4">
        <v>47.39</v>
      </c>
      <c r="S198" s="4">
        <v>41.98</v>
      </c>
      <c r="T198" s="6">
        <v>64.069999999999993</v>
      </c>
      <c r="U198" s="4">
        <v>54.92</v>
      </c>
      <c r="V198" s="4">
        <v>60.36</v>
      </c>
      <c r="W198" s="6">
        <v>71.63</v>
      </c>
      <c r="X198" s="7">
        <v>0.1044402403739149</v>
      </c>
      <c r="Y198" s="10">
        <v>4.9725426973651121E-2</v>
      </c>
      <c r="Z198" s="10">
        <v>6.2248032251871699E-2</v>
      </c>
      <c r="AA198" s="8">
        <v>0.13396286088645909</v>
      </c>
    </row>
    <row r="199" spans="2:27" x14ac:dyDescent="0.3">
      <c r="B199" s="12">
        <v>1719</v>
      </c>
      <c r="C199" s="3" t="s">
        <v>737</v>
      </c>
      <c r="D199" s="3" t="str">
        <f>VLOOKUP(B199, 기업리스트!B:G,2,FALSE)</f>
        <v>Hazama Ando Corporation</v>
      </c>
      <c r="E199" s="3" t="s">
        <v>709</v>
      </c>
      <c r="F199" s="5">
        <v>1</v>
      </c>
      <c r="G199" s="4">
        <v>85174</v>
      </c>
      <c r="H199" s="4">
        <v>86243</v>
      </c>
      <c r="I199" s="4">
        <v>95148</v>
      </c>
      <c r="J199" s="4">
        <v>72444</v>
      </c>
      <c r="K199" s="4">
        <v>91859</v>
      </c>
      <c r="L199" s="4">
        <v>94735</v>
      </c>
      <c r="M199" s="4">
        <v>113108</v>
      </c>
      <c r="N199" s="4">
        <v>81794</v>
      </c>
      <c r="O199" s="4">
        <v>97944</v>
      </c>
      <c r="P199" s="4">
        <v>100188</v>
      </c>
      <c r="Q199" s="4">
        <v>114202</v>
      </c>
      <c r="R199" s="4">
        <v>83705</v>
      </c>
      <c r="S199" s="4">
        <v>103160</v>
      </c>
      <c r="T199" s="4">
        <v>109019</v>
      </c>
      <c r="U199" s="4">
        <v>129276</v>
      </c>
      <c r="V199" s="4">
        <v>93489</v>
      </c>
      <c r="W199" s="4">
        <v>107534</v>
      </c>
      <c r="X199" s="9">
        <v>2.2008448492853772E-2</v>
      </c>
      <c r="Y199" s="10">
        <v>3.6758143413820443E-2</v>
      </c>
      <c r="Z199" s="10">
        <v>2.3012512936306351E-2</v>
      </c>
      <c r="AA199" s="10">
        <v>1.005646703943497E-2</v>
      </c>
    </row>
    <row r="200" spans="2:27" x14ac:dyDescent="0.3">
      <c r="B200" s="12">
        <v>7532</v>
      </c>
      <c r="C200" s="3" t="s">
        <v>737</v>
      </c>
      <c r="D200" s="3" t="str">
        <f>VLOOKUP(B200, 기업리스트!B:G,2,FALSE)</f>
        <v>Pan Pacific International Holdings Corporation</v>
      </c>
      <c r="E200" s="3" t="s">
        <v>715</v>
      </c>
      <c r="F200" s="5">
        <v>1</v>
      </c>
      <c r="G200" s="4">
        <v>445474</v>
      </c>
      <c r="H200" s="4">
        <v>472206</v>
      </c>
      <c r="I200" s="4">
        <v>452799</v>
      </c>
      <c r="J200" s="4">
        <v>460801</v>
      </c>
      <c r="K200" s="4">
        <v>473694</v>
      </c>
      <c r="L200" s="4">
        <v>504755</v>
      </c>
      <c r="M200" s="4">
        <v>478755</v>
      </c>
      <c r="N200" s="4">
        <v>479579</v>
      </c>
      <c r="O200" s="4">
        <v>509329</v>
      </c>
      <c r="P200" s="4">
        <v>538265</v>
      </c>
      <c r="Q200" s="4">
        <v>519780</v>
      </c>
      <c r="R200" s="4">
        <v>527703</v>
      </c>
      <c r="S200" s="4">
        <v>550591</v>
      </c>
      <c r="T200" s="4">
        <v>578023</v>
      </c>
      <c r="U200" s="4">
        <v>559593</v>
      </c>
      <c r="V200" s="4">
        <v>558551</v>
      </c>
      <c r="W200" s="4">
        <v>573283</v>
      </c>
      <c r="X200" s="9">
        <v>1.8610342272457722E-2</v>
      </c>
      <c r="Y200" s="10">
        <v>1.829559987445406E-2</v>
      </c>
      <c r="Z200" s="10">
        <v>1.3921143006710549E-2</v>
      </c>
      <c r="AA200" s="10">
        <v>1.0099886147061589E-2</v>
      </c>
    </row>
    <row r="201" spans="2:27" x14ac:dyDescent="0.3">
      <c r="B201" s="12">
        <v>8129</v>
      </c>
      <c r="C201" s="3" t="s">
        <v>737</v>
      </c>
      <c r="D201" s="3" t="str">
        <f>VLOOKUP(B201, 기업리스트!B:G,2,FALSE)</f>
        <v>Toho Holdings Co., Ltd.</v>
      </c>
      <c r="E201" s="3" t="s">
        <v>709</v>
      </c>
      <c r="F201" s="5">
        <v>0.7</v>
      </c>
      <c r="G201" s="4">
        <v>312017</v>
      </c>
      <c r="H201" s="4">
        <v>329374</v>
      </c>
      <c r="I201" s="4">
        <v>315952</v>
      </c>
      <c r="J201" s="4">
        <v>323397</v>
      </c>
      <c r="K201" s="4">
        <v>356322</v>
      </c>
      <c r="L201" s="4">
        <v>378095</v>
      </c>
      <c r="M201" s="4">
        <v>330751</v>
      </c>
      <c r="N201" s="4">
        <v>351179</v>
      </c>
      <c r="O201" s="4">
        <v>383667</v>
      </c>
      <c r="P201" s="4">
        <v>384703</v>
      </c>
      <c r="Q201" s="4">
        <v>357163</v>
      </c>
      <c r="R201" s="4">
        <v>373044</v>
      </c>
      <c r="S201" s="4">
        <v>381930</v>
      </c>
      <c r="T201" s="4">
        <v>407078</v>
      </c>
      <c r="U201" s="4">
        <v>356443</v>
      </c>
      <c r="V201" s="4">
        <v>375813</v>
      </c>
      <c r="W201" s="4">
        <v>392086</v>
      </c>
      <c r="X201" s="9">
        <v>1.4948157451698311E-2</v>
      </c>
      <c r="Y201" s="10">
        <v>-4.7392896989562061E-4</v>
      </c>
      <c r="Z201" s="10">
        <v>1.8235160471387071E-3</v>
      </c>
      <c r="AA201" s="10">
        <v>6.6760273036106099E-3</v>
      </c>
    </row>
    <row r="202" spans="2:27" x14ac:dyDescent="0.3">
      <c r="B202" s="12">
        <v>6744</v>
      </c>
      <c r="C202" s="3" t="s">
        <v>737</v>
      </c>
      <c r="D202" s="3" t="str">
        <f>VLOOKUP(B202, 기업리스트!B:G,2,FALSE)</f>
        <v>Nohmi Bosai Ltd.</v>
      </c>
      <c r="E202" s="3" t="s">
        <v>709</v>
      </c>
      <c r="F202" s="5">
        <v>0.6</v>
      </c>
      <c r="G202" s="4">
        <v>26422</v>
      </c>
      <c r="H202" s="4">
        <v>27741</v>
      </c>
      <c r="I202" s="4">
        <v>35173</v>
      </c>
      <c r="J202" s="4">
        <v>20302</v>
      </c>
      <c r="K202" s="4">
        <v>23616</v>
      </c>
      <c r="L202" s="4">
        <v>26928</v>
      </c>
      <c r="M202" s="4">
        <v>34691</v>
      </c>
      <c r="N202" s="4">
        <v>21666</v>
      </c>
      <c r="O202" s="4">
        <v>27066</v>
      </c>
      <c r="P202" s="4">
        <v>30145</v>
      </c>
      <c r="Q202" s="4">
        <v>39629</v>
      </c>
      <c r="R202" s="4">
        <v>24067</v>
      </c>
      <c r="S202" s="4">
        <v>30471</v>
      </c>
      <c r="T202" s="4">
        <v>33980</v>
      </c>
      <c r="U202" s="4">
        <v>45178</v>
      </c>
      <c r="V202" s="4">
        <v>25678</v>
      </c>
      <c r="W202" s="4">
        <v>31342</v>
      </c>
      <c r="X202" s="9">
        <v>3.0849797284252519E-2</v>
      </c>
      <c r="Y202" s="10">
        <v>4.3301833051105458E-2</v>
      </c>
      <c r="Z202" s="10">
        <v>1.204972474868349E-2</v>
      </c>
      <c r="AA202" s="10">
        <v>6.4372131523129372E-3</v>
      </c>
    </row>
    <row r="203" spans="2:27" x14ac:dyDescent="0.3">
      <c r="B203" s="12">
        <v>8051</v>
      </c>
      <c r="C203" s="3" t="s">
        <v>737</v>
      </c>
      <c r="D203" s="3" t="str">
        <f>VLOOKUP(B203, 기업리스트!B:G,2,FALSE)</f>
        <v>Yamazen Corporation</v>
      </c>
      <c r="E203" s="3" t="s">
        <v>709</v>
      </c>
      <c r="F203" s="5">
        <v>0.6</v>
      </c>
      <c r="G203" s="4">
        <v>121983</v>
      </c>
      <c r="H203" s="4">
        <v>129748</v>
      </c>
      <c r="I203" s="4">
        <v>133572</v>
      </c>
      <c r="J203" s="4">
        <v>126863</v>
      </c>
      <c r="K203" s="4">
        <v>134954</v>
      </c>
      <c r="L203" s="4">
        <v>132174</v>
      </c>
      <c r="M203" s="4">
        <v>133272</v>
      </c>
      <c r="N203" s="4">
        <v>119957</v>
      </c>
      <c r="O203" s="4">
        <v>128723</v>
      </c>
      <c r="P203" s="4">
        <v>129450</v>
      </c>
      <c r="Q203" s="4">
        <v>128736</v>
      </c>
      <c r="R203" s="4">
        <v>118577</v>
      </c>
      <c r="S203" s="4">
        <v>130347</v>
      </c>
      <c r="T203" s="4">
        <v>133655</v>
      </c>
      <c r="U203" s="4">
        <v>133547</v>
      </c>
      <c r="V203" s="4">
        <v>126136</v>
      </c>
      <c r="W203" s="4">
        <v>133708</v>
      </c>
      <c r="X203" s="9">
        <v>8.2920865295497137E-3</v>
      </c>
      <c r="Y203" s="10">
        <v>9.4090726851354667E-3</v>
      </c>
      <c r="Z203" s="10">
        <v>1.4645648543185169E-2</v>
      </c>
      <c r="AA203" s="10">
        <v>6.4179802744015468E-3</v>
      </c>
    </row>
    <row r="204" spans="2:27" x14ac:dyDescent="0.3">
      <c r="B204" s="12">
        <v>8066</v>
      </c>
      <c r="C204" s="3" t="s">
        <v>737</v>
      </c>
      <c r="D204" s="3" t="str">
        <f>VLOOKUP(B204, 기업리스트!B:G,2,FALSE)</f>
        <v>Mitani Corporation</v>
      </c>
      <c r="E204" s="3" t="s">
        <v>709</v>
      </c>
      <c r="F204" s="5">
        <v>0.5</v>
      </c>
      <c r="G204" s="4">
        <v>68248</v>
      </c>
      <c r="H204" s="4">
        <v>78785</v>
      </c>
      <c r="I204" s="4">
        <v>87374</v>
      </c>
      <c r="J204" s="4">
        <v>73177</v>
      </c>
      <c r="K204" s="4">
        <v>77098</v>
      </c>
      <c r="L204" s="4">
        <v>85457</v>
      </c>
      <c r="M204" s="4">
        <v>84549</v>
      </c>
      <c r="N204" s="4">
        <v>75277</v>
      </c>
      <c r="O204" s="4">
        <v>81377</v>
      </c>
      <c r="P204" s="4">
        <v>84522</v>
      </c>
      <c r="Q204" s="4">
        <v>83595</v>
      </c>
      <c r="R204" s="4">
        <v>76749</v>
      </c>
      <c r="S204" s="4">
        <v>81296</v>
      </c>
      <c r="T204" s="4">
        <v>88301</v>
      </c>
      <c r="U204" s="4">
        <v>92659</v>
      </c>
      <c r="V204" s="4">
        <v>76820</v>
      </c>
      <c r="W204" s="4">
        <v>82970</v>
      </c>
      <c r="X204" s="9">
        <v>1.158626694709985E-2</v>
      </c>
      <c r="Y204" s="10">
        <v>2.74715782518693E-2</v>
      </c>
      <c r="Z204" s="10">
        <v>2.0943643899062889E-4</v>
      </c>
      <c r="AA204" s="10">
        <v>4.936946289327393E-3</v>
      </c>
    </row>
    <row r="205" spans="2:27" x14ac:dyDescent="0.3">
      <c r="B205" s="12">
        <v>8117</v>
      </c>
      <c r="C205" s="3" t="s">
        <v>737</v>
      </c>
      <c r="D205" s="3" t="str">
        <f>VLOOKUP(B205, 기업리스트!B:G,2,FALSE)</f>
        <v>Central Automotive Products Ltd.</v>
      </c>
      <c r="E205" s="3" t="s">
        <v>709</v>
      </c>
      <c r="F205" s="5">
        <v>0.5</v>
      </c>
      <c r="G205" s="4">
        <v>7293</v>
      </c>
      <c r="H205" s="4">
        <v>7796</v>
      </c>
      <c r="I205" s="4">
        <v>8518</v>
      </c>
      <c r="J205" s="4">
        <v>7224</v>
      </c>
      <c r="K205" s="4">
        <v>8932</v>
      </c>
      <c r="L205" s="4">
        <v>9754</v>
      </c>
      <c r="M205" s="4">
        <v>9968</v>
      </c>
      <c r="N205" s="4">
        <v>8927</v>
      </c>
      <c r="O205" s="4">
        <v>10325</v>
      </c>
      <c r="P205" s="4">
        <v>10243</v>
      </c>
      <c r="Q205" s="4">
        <v>9836</v>
      </c>
      <c r="R205" s="4">
        <v>8993</v>
      </c>
      <c r="S205" s="4">
        <v>10446</v>
      </c>
      <c r="T205" s="4">
        <v>10923</v>
      </c>
      <c r="U205" s="4">
        <v>11196</v>
      </c>
      <c r="V205" s="4">
        <v>9795</v>
      </c>
      <c r="W205" s="4">
        <v>10654</v>
      </c>
      <c r="X205" s="9">
        <v>1.720734855002792E-2</v>
      </c>
      <c r="Y205" s="10">
        <v>3.3832528981541321E-2</v>
      </c>
      <c r="Z205" s="10">
        <v>1.929833004475667E-2</v>
      </c>
      <c r="AA205" s="10">
        <v>4.9102927289896847E-3</v>
      </c>
    </row>
    <row r="206" spans="2:27" x14ac:dyDescent="0.3">
      <c r="B206" s="12">
        <v>9006</v>
      </c>
      <c r="C206" s="3" t="s">
        <v>737</v>
      </c>
      <c r="D206" s="3" t="str">
        <f>VLOOKUP(B206, 기업리스트!B:G,2,FALSE)</f>
        <v>Keikyu Corporation</v>
      </c>
      <c r="E206" s="3" t="s">
        <v>709</v>
      </c>
      <c r="F206" s="5">
        <v>0.5</v>
      </c>
      <c r="G206" s="4">
        <v>53472</v>
      </c>
      <c r="H206" s="4">
        <v>65428</v>
      </c>
      <c r="I206" s="4">
        <v>93624</v>
      </c>
      <c r="J206" s="4">
        <v>59512</v>
      </c>
      <c r="K206" s="4">
        <v>60883</v>
      </c>
      <c r="L206" s="4">
        <v>65804</v>
      </c>
      <c r="M206" s="4">
        <v>66806</v>
      </c>
      <c r="N206" s="4">
        <v>62041</v>
      </c>
      <c r="O206" s="4">
        <v>65985</v>
      </c>
      <c r="P206" s="4">
        <v>72511</v>
      </c>
      <c r="Q206" s="4">
        <v>80087</v>
      </c>
      <c r="R206" s="4">
        <v>72860</v>
      </c>
      <c r="S206" s="4">
        <v>68097</v>
      </c>
      <c r="T206" s="4">
        <v>70228</v>
      </c>
      <c r="U206" s="4">
        <v>82675</v>
      </c>
      <c r="V206" s="4">
        <v>73118</v>
      </c>
      <c r="W206" s="4">
        <v>69447</v>
      </c>
      <c r="X206" s="9">
        <v>-7.7770775493518629E-3</v>
      </c>
      <c r="Y206" s="10">
        <v>8.8851657557198482E-3</v>
      </c>
      <c r="Z206" s="10">
        <v>8.7796910093240754E-4</v>
      </c>
      <c r="AA206" s="10">
        <v>4.5899944920066993E-3</v>
      </c>
    </row>
    <row r="207" spans="2:27" x14ac:dyDescent="0.3">
      <c r="B207" s="12">
        <v>9987</v>
      </c>
      <c r="C207" s="3" t="s">
        <v>737</v>
      </c>
      <c r="D207" s="3" t="str">
        <f>VLOOKUP(B207, 기업리스트!B:G,2,FALSE)</f>
        <v>Suzuken Co., Ltd.</v>
      </c>
      <c r="E207" s="3" t="s">
        <v>709</v>
      </c>
      <c r="F207" s="5">
        <v>0.5</v>
      </c>
      <c r="G207" s="4">
        <v>558428</v>
      </c>
      <c r="H207" s="4">
        <v>586548</v>
      </c>
      <c r="I207" s="4">
        <v>548655</v>
      </c>
      <c r="J207" s="4">
        <v>553754</v>
      </c>
      <c r="K207" s="4">
        <v>584556</v>
      </c>
      <c r="L207" s="4">
        <v>619615</v>
      </c>
      <c r="M207" s="4">
        <v>556903</v>
      </c>
      <c r="N207" s="4">
        <v>573644</v>
      </c>
      <c r="O207" s="4">
        <v>620828</v>
      </c>
      <c r="P207" s="4">
        <v>619850</v>
      </c>
      <c r="Q207" s="4">
        <v>572171</v>
      </c>
      <c r="R207" s="4">
        <v>582196</v>
      </c>
      <c r="S207" s="4">
        <v>615127</v>
      </c>
      <c r="T207" s="4">
        <v>641347</v>
      </c>
      <c r="U207" s="4">
        <v>561282</v>
      </c>
      <c r="V207" s="4">
        <v>592872</v>
      </c>
      <c r="W207" s="4">
        <v>626568</v>
      </c>
      <c r="X207" s="9">
        <v>8.9970301471868908E-3</v>
      </c>
      <c r="Y207" s="10">
        <v>-4.5166811083766634E-3</v>
      </c>
      <c r="Z207" s="10">
        <v>4.4484223017793312E-3</v>
      </c>
      <c r="AA207" s="10">
        <v>4.7460661703091489E-3</v>
      </c>
    </row>
    <row r="208" spans="2:27" x14ac:dyDescent="0.3">
      <c r="B208" s="12">
        <v>6523</v>
      </c>
      <c r="C208" s="3" t="s">
        <v>737</v>
      </c>
      <c r="D208" s="3" t="str">
        <f>VLOOKUP(B208, 기업리스트!B:G,2,FALSE)</f>
        <v>PHC Holdings Corporation</v>
      </c>
      <c r="E208" s="3" t="s">
        <v>709</v>
      </c>
      <c r="F208" s="5">
        <v>0.2</v>
      </c>
      <c r="G208" s="4">
        <v>85142</v>
      </c>
      <c r="H208" s="4">
        <v>86317</v>
      </c>
      <c r="I208" s="4">
        <v>88084</v>
      </c>
      <c r="J208" s="4">
        <v>81502</v>
      </c>
      <c r="K208" s="4">
        <v>89081</v>
      </c>
      <c r="L208" s="4">
        <v>94517</v>
      </c>
      <c r="M208" s="4">
        <v>91332</v>
      </c>
      <c r="N208" s="4">
        <v>81325</v>
      </c>
      <c r="O208" s="4">
        <v>85493</v>
      </c>
      <c r="P208" s="4">
        <v>89864</v>
      </c>
      <c r="Q208" s="4">
        <v>97217</v>
      </c>
      <c r="R208" s="4">
        <v>85187</v>
      </c>
      <c r="S208" s="4">
        <v>88676</v>
      </c>
      <c r="T208" s="4">
        <v>93047</v>
      </c>
      <c r="U208" s="4">
        <v>94683</v>
      </c>
      <c r="V208" s="4">
        <v>83856</v>
      </c>
      <c r="W208" s="4">
        <v>89519</v>
      </c>
      <c r="X208" s="9">
        <v>8.8185424885853791E-3</v>
      </c>
      <c r="Y208" s="10">
        <v>-6.9591104202654241E-3</v>
      </c>
      <c r="Z208" s="10">
        <v>-3.6809340888789288E-3</v>
      </c>
      <c r="AA208" s="10">
        <v>2.3399636930900858E-3</v>
      </c>
    </row>
    <row r="209" spans="2:27" x14ac:dyDescent="0.3">
      <c r="B209" s="12">
        <v>2269</v>
      </c>
      <c r="C209" s="3" t="s">
        <v>737</v>
      </c>
      <c r="D209" s="3" t="str">
        <f>VLOOKUP(B209, 기업리스트!B:G,2,FALSE)</f>
        <v>Meiji Holdings Co., Ltd.</v>
      </c>
      <c r="E209" s="3" t="s">
        <v>691</v>
      </c>
      <c r="F209" s="5">
        <v>0.1</v>
      </c>
      <c r="G209" s="4">
        <v>269247</v>
      </c>
      <c r="H209" s="4">
        <v>243133</v>
      </c>
      <c r="I209" s="4">
        <v>247131</v>
      </c>
      <c r="J209" s="4">
        <v>270389</v>
      </c>
      <c r="K209" s="4">
        <v>280563</v>
      </c>
      <c r="L209" s="4">
        <v>264074</v>
      </c>
      <c r="M209" s="4">
        <v>262734</v>
      </c>
      <c r="N209" s="4">
        <v>283313</v>
      </c>
      <c r="O209" s="4">
        <v>286956</v>
      </c>
      <c r="P209" s="4">
        <v>272491</v>
      </c>
      <c r="Q209" s="4">
        <v>278704</v>
      </c>
      <c r="R209" s="4">
        <v>290302</v>
      </c>
      <c r="S209" s="4">
        <v>306020</v>
      </c>
      <c r="T209" s="4">
        <v>279048</v>
      </c>
      <c r="U209" s="4">
        <v>273569</v>
      </c>
      <c r="V209" s="4">
        <v>301316</v>
      </c>
      <c r="W209" s="4">
        <v>307442</v>
      </c>
      <c r="X209" s="9">
        <v>5.7140765670573579E-3</v>
      </c>
      <c r="Y209" s="10">
        <v>-4.4494547143424379E-3</v>
      </c>
      <c r="Z209" s="10">
        <v>9.5862356487159683E-3</v>
      </c>
      <c r="AA209" s="10">
        <v>1.225911739527463E-3</v>
      </c>
    </row>
    <row r="210" spans="2:27" x14ac:dyDescent="0.3">
      <c r="B210" s="12">
        <v>9024</v>
      </c>
      <c r="C210" s="3" t="s">
        <v>737</v>
      </c>
      <c r="D210" s="3" t="str">
        <f>VLOOKUP(B210, 기업리스트!B:G,2,FALSE)</f>
        <v>Seibu Holdings Inc.</v>
      </c>
      <c r="E210" s="3" t="s">
        <v>691</v>
      </c>
      <c r="F210" s="5">
        <v>0</v>
      </c>
      <c r="G210" s="4">
        <v>105374</v>
      </c>
      <c r="H210" s="4">
        <v>96574</v>
      </c>
      <c r="I210" s="4">
        <v>103432</v>
      </c>
      <c r="J210" s="4">
        <v>109163</v>
      </c>
      <c r="K210" s="4">
        <v>107928</v>
      </c>
      <c r="L210" s="4">
        <v>107964</v>
      </c>
      <c r="M210" s="4">
        <v>116212</v>
      </c>
      <c r="N210" s="4">
        <v>122670</v>
      </c>
      <c r="O210" s="4">
        <v>121594</v>
      </c>
      <c r="P210" s="4">
        <v>117122</v>
      </c>
      <c r="Q210" s="4">
        <v>125412</v>
      </c>
      <c r="R210" s="4">
        <v>126857</v>
      </c>
      <c r="S210" s="4">
        <v>128813</v>
      </c>
      <c r="T210" s="6">
        <v>520049</v>
      </c>
      <c r="U210" s="4">
        <v>132399</v>
      </c>
      <c r="V210" s="4">
        <v>127188</v>
      </c>
      <c r="W210" s="4">
        <v>128631</v>
      </c>
      <c r="X210" s="7">
        <v>0.80875906255268926</v>
      </c>
      <c r="Y210" s="10">
        <v>7.7535896556659711E-3</v>
      </c>
      <c r="Z210" s="10">
        <v>3.6449007728078803E-4</v>
      </c>
      <c r="AA210" s="10">
        <v>-2.0034146110570189E-4</v>
      </c>
    </row>
    <row r="211" spans="2:27" x14ac:dyDescent="0.3">
      <c r="B211" s="12">
        <v>2264</v>
      </c>
      <c r="C211" s="3" t="s">
        <v>737</v>
      </c>
      <c r="D211" s="3" t="str">
        <f>VLOOKUP(B211, 기업리스트!B:G,2,FALSE)</f>
        <v>Morinaga Milk Industry Co., Ltd.</v>
      </c>
      <c r="E211" s="3" t="s">
        <v>709</v>
      </c>
      <c r="F211" s="5">
        <v>-0.1</v>
      </c>
      <c r="G211" s="4">
        <v>133151</v>
      </c>
      <c r="H211" s="4">
        <v>127072</v>
      </c>
      <c r="I211" s="4">
        <v>114936</v>
      </c>
      <c r="J211" s="4">
        <v>130300</v>
      </c>
      <c r="K211" s="4">
        <v>139662</v>
      </c>
      <c r="L211" s="4">
        <v>135262</v>
      </c>
      <c r="M211" s="4">
        <v>120379</v>
      </c>
      <c r="N211" s="4">
        <v>139738</v>
      </c>
      <c r="O211" s="4">
        <v>146842</v>
      </c>
      <c r="P211" s="4">
        <v>136661</v>
      </c>
      <c r="Q211" s="4">
        <v>123818</v>
      </c>
      <c r="R211" s="4">
        <v>140637</v>
      </c>
      <c r="S211" s="4">
        <v>149962</v>
      </c>
      <c r="T211" s="4">
        <v>135287</v>
      </c>
      <c r="U211" s="4">
        <v>130452</v>
      </c>
      <c r="V211" s="4">
        <v>143678</v>
      </c>
      <c r="W211" s="4">
        <v>149652</v>
      </c>
      <c r="X211" s="9">
        <v>-2.4932949600601222E-3</v>
      </c>
      <c r="Y211" s="10">
        <v>1.206831312851997E-2</v>
      </c>
      <c r="Z211" s="10">
        <v>5.4661015425874204E-3</v>
      </c>
      <c r="AA211" s="10">
        <v>-5.5418598123990748E-4</v>
      </c>
    </row>
    <row r="212" spans="2:27" x14ac:dyDescent="0.3">
      <c r="B212" s="12">
        <v>5947</v>
      </c>
      <c r="C212" s="3" t="s">
        <v>737</v>
      </c>
      <c r="D212" s="3" t="str">
        <f>VLOOKUP(B212, 기업리스트!B:G,2,FALSE)</f>
        <v>Rinnai Corporation</v>
      </c>
      <c r="E212" s="3" t="s">
        <v>709</v>
      </c>
      <c r="F212" s="5">
        <v>-0.1</v>
      </c>
      <c r="G212" s="4">
        <v>95214</v>
      </c>
      <c r="H212" s="4">
        <v>94042</v>
      </c>
      <c r="I212" s="4">
        <v>92422</v>
      </c>
      <c r="J212" s="4">
        <v>95006</v>
      </c>
      <c r="K212" s="4">
        <v>99341</v>
      </c>
      <c r="L212" s="4">
        <v>119746</v>
      </c>
      <c r="M212" s="4">
        <v>111136</v>
      </c>
      <c r="N212" s="4">
        <v>89853</v>
      </c>
      <c r="O212" s="4">
        <v>102841</v>
      </c>
      <c r="P212" s="4">
        <v>117468</v>
      </c>
      <c r="Q212" s="4">
        <v>120024</v>
      </c>
      <c r="R212" s="4">
        <v>98185</v>
      </c>
      <c r="S212" s="4">
        <v>113939</v>
      </c>
      <c r="T212" s="4">
        <v>120195</v>
      </c>
      <c r="U212" s="4">
        <v>128000</v>
      </c>
      <c r="V212" s="4">
        <v>102749</v>
      </c>
      <c r="W212" s="4">
        <v>113666</v>
      </c>
      <c r="X212" s="9">
        <v>6.0651756165261972E-3</v>
      </c>
      <c r="Y212" s="10">
        <v>1.7632637180192919E-2</v>
      </c>
      <c r="Z212" s="10">
        <v>9.9148633882155668E-3</v>
      </c>
      <c r="AA212" s="10">
        <v>-5.8724453249525688E-4</v>
      </c>
    </row>
    <row r="213" spans="2:27" x14ac:dyDescent="0.3">
      <c r="B213" s="12">
        <v>4041</v>
      </c>
      <c r="C213" s="3" t="s">
        <v>737</v>
      </c>
      <c r="D213" s="3" t="str">
        <f>VLOOKUP(B213, 기업리스트!B:G,2,FALSE)</f>
        <v>Nippon Soda Co., Ltd.</v>
      </c>
      <c r="E213" s="3" t="s">
        <v>709</v>
      </c>
      <c r="F213" s="5">
        <v>-0.3</v>
      </c>
      <c r="G213" s="4">
        <v>32608</v>
      </c>
      <c r="H213" s="4">
        <v>36169</v>
      </c>
      <c r="I213" s="4">
        <v>51933</v>
      </c>
      <c r="J213" s="4">
        <v>40441</v>
      </c>
      <c r="K213" s="4">
        <v>40301</v>
      </c>
      <c r="L213" s="4">
        <v>43511</v>
      </c>
      <c r="M213" s="4">
        <v>48558</v>
      </c>
      <c r="N213" s="4">
        <v>35892</v>
      </c>
      <c r="O213" s="4">
        <v>33010</v>
      </c>
      <c r="P213" s="4">
        <v>36453</v>
      </c>
      <c r="Q213" s="4">
        <v>49074</v>
      </c>
      <c r="R213" s="4">
        <v>32195</v>
      </c>
      <c r="S213" s="4">
        <v>34884</v>
      </c>
      <c r="T213" s="4">
        <v>44060</v>
      </c>
      <c r="U213" s="4">
        <v>47895</v>
      </c>
      <c r="V213" s="4">
        <v>32639</v>
      </c>
      <c r="W213" s="4">
        <v>34430</v>
      </c>
      <c r="X213" s="9">
        <v>4.9847319240396759E-2</v>
      </c>
      <c r="Y213" s="10">
        <v>-7.3589533932951756E-3</v>
      </c>
      <c r="Z213" s="10">
        <v>2.7918558295709768E-3</v>
      </c>
      <c r="AA213" s="10">
        <v>-2.846787644690818E-3</v>
      </c>
    </row>
    <row r="214" spans="2:27" x14ac:dyDescent="0.3">
      <c r="B214" s="12">
        <v>5991</v>
      </c>
      <c r="C214" s="3" t="s">
        <v>737</v>
      </c>
      <c r="D214" s="3" t="str">
        <f>VLOOKUP(B214, 기업리스트!B:G,2,FALSE)</f>
        <v>NHK Spring Co., Ltd.</v>
      </c>
      <c r="E214" s="3" t="s">
        <v>709</v>
      </c>
      <c r="F214" s="5">
        <v>-0.4</v>
      </c>
      <c r="G214" s="4">
        <v>137265</v>
      </c>
      <c r="H214" s="4">
        <v>148844</v>
      </c>
      <c r="I214" s="4">
        <v>159132</v>
      </c>
      <c r="J214" s="4">
        <v>155036</v>
      </c>
      <c r="K214" s="4">
        <v>177576</v>
      </c>
      <c r="L214" s="4">
        <v>178720</v>
      </c>
      <c r="M214" s="4">
        <v>181914</v>
      </c>
      <c r="N214" s="4">
        <v>179293</v>
      </c>
      <c r="O214" s="4">
        <v>182902</v>
      </c>
      <c r="P214" s="4">
        <v>200093</v>
      </c>
      <c r="Q214" s="4">
        <v>204646</v>
      </c>
      <c r="R214" s="4">
        <v>193783</v>
      </c>
      <c r="S214" s="4">
        <v>197447</v>
      </c>
      <c r="T214" s="4">
        <v>201443</v>
      </c>
      <c r="U214" s="4">
        <v>209025</v>
      </c>
      <c r="V214" s="4">
        <v>199953</v>
      </c>
      <c r="W214" s="4">
        <v>193977</v>
      </c>
      <c r="X214" s="9">
        <v>1.696045951538272E-3</v>
      </c>
      <c r="Y214" s="10">
        <v>5.49215558640892E-3</v>
      </c>
      <c r="Z214" s="10">
        <v>7.6961648900208957E-3</v>
      </c>
      <c r="AA214" s="10">
        <v>-4.2952561557085822E-3</v>
      </c>
    </row>
    <row r="215" spans="2:27" x14ac:dyDescent="0.3">
      <c r="B215" s="12">
        <v>9468</v>
      </c>
      <c r="C215" s="3" t="s">
        <v>737</v>
      </c>
      <c r="D215" s="3" t="str">
        <f>VLOOKUP(B215, 기업리스트!B:G,2,FALSE)</f>
        <v>Kadokawa Corporation</v>
      </c>
      <c r="E215" s="3" t="s">
        <v>709</v>
      </c>
      <c r="F215" s="5">
        <v>-0.5</v>
      </c>
      <c r="G215" s="4">
        <v>52777</v>
      </c>
      <c r="H215" s="4">
        <v>52830</v>
      </c>
      <c r="I215" s="4">
        <v>63567</v>
      </c>
      <c r="J215" s="4">
        <v>64264</v>
      </c>
      <c r="K215" s="4">
        <v>58375</v>
      </c>
      <c r="L215" s="4">
        <v>67088</v>
      </c>
      <c r="M215" s="4">
        <v>65702</v>
      </c>
      <c r="N215" s="4">
        <v>58835</v>
      </c>
      <c r="O215" s="4">
        <v>65372</v>
      </c>
      <c r="P215" s="4">
        <v>62817</v>
      </c>
      <c r="Q215" s="4">
        <v>71085</v>
      </c>
      <c r="R215" s="4">
        <v>65860</v>
      </c>
      <c r="S215" s="4">
        <v>70460</v>
      </c>
      <c r="T215" s="4">
        <v>70267</v>
      </c>
      <c r="U215" s="4">
        <v>71328</v>
      </c>
      <c r="V215" s="4">
        <v>64844</v>
      </c>
      <c r="W215" s="4">
        <v>69089</v>
      </c>
      <c r="X215" s="9">
        <v>2.7569923988424391E-2</v>
      </c>
      <c r="Y215" s="10">
        <v>8.7513325074195514E-4</v>
      </c>
      <c r="Z215" s="10">
        <v>-3.6557940377454079E-3</v>
      </c>
      <c r="AA215" s="10">
        <v>-4.9512638182153124E-3</v>
      </c>
    </row>
    <row r="216" spans="2:27" x14ac:dyDescent="0.3">
      <c r="B216" s="12">
        <v>6869</v>
      </c>
      <c r="C216" s="3" t="s">
        <v>737</v>
      </c>
      <c r="D216" s="3" t="str">
        <f>VLOOKUP(B216, 기업리스트!B:G,2,FALSE)</f>
        <v>Sysmex Corporation</v>
      </c>
      <c r="E216" s="3" t="s">
        <v>709</v>
      </c>
      <c r="F216" s="5">
        <v>-0.7</v>
      </c>
      <c r="G216" s="4">
        <v>89390</v>
      </c>
      <c r="H216" s="4">
        <v>90148</v>
      </c>
      <c r="I216" s="4">
        <v>104879</v>
      </c>
      <c r="J216" s="4">
        <v>86029</v>
      </c>
      <c r="K216" s="4">
        <v>107992</v>
      </c>
      <c r="L216" s="4">
        <v>104721</v>
      </c>
      <c r="M216" s="4">
        <v>111759</v>
      </c>
      <c r="N216" s="4">
        <v>95351</v>
      </c>
      <c r="O216" s="4">
        <v>117347</v>
      </c>
      <c r="P216" s="4">
        <v>113826</v>
      </c>
      <c r="Q216" s="4">
        <v>134985</v>
      </c>
      <c r="R216" s="4">
        <v>111946</v>
      </c>
      <c r="S216" s="4">
        <v>130533</v>
      </c>
      <c r="T216" s="4">
        <v>124387</v>
      </c>
      <c r="U216" s="4">
        <v>141777</v>
      </c>
      <c r="V216" s="4">
        <v>105731</v>
      </c>
      <c r="W216" s="4">
        <v>126796</v>
      </c>
      <c r="X216" s="9">
        <v>2.1496468480937999E-2</v>
      </c>
      <c r="Y216" s="10">
        <v>1.3533897511412761E-2</v>
      </c>
      <c r="Z216" s="10">
        <v>-1.221878606409599E-2</v>
      </c>
      <c r="AA216" s="10">
        <v>-7.4378816467235431E-3</v>
      </c>
    </row>
    <row r="217" spans="2:27" x14ac:dyDescent="0.3">
      <c r="B217" s="12">
        <v>7201</v>
      </c>
      <c r="C217" s="3" t="s">
        <v>737</v>
      </c>
      <c r="D217" s="3" t="str">
        <f>VLOOKUP(B217, 기업리스트!B:G,2,FALSE)</f>
        <v>Nissan Motor Co., Ltd.</v>
      </c>
      <c r="E217" s="3" t="s">
        <v>709</v>
      </c>
      <c r="F217" s="5">
        <v>-0.9</v>
      </c>
      <c r="G217" s="4">
        <v>1938750</v>
      </c>
      <c r="H217" s="4">
        <v>2207034</v>
      </c>
      <c r="I217" s="4">
        <v>2270554</v>
      </c>
      <c r="J217" s="4">
        <v>2137311</v>
      </c>
      <c r="K217" s="4">
        <v>2524939</v>
      </c>
      <c r="L217" s="4">
        <v>2837441</v>
      </c>
      <c r="M217" s="4">
        <v>3097004</v>
      </c>
      <c r="N217" s="4">
        <v>2917660</v>
      </c>
      <c r="O217" s="4">
        <v>3145686</v>
      </c>
      <c r="P217" s="4">
        <v>3108060</v>
      </c>
      <c r="Q217" s="4">
        <v>3514310</v>
      </c>
      <c r="R217" s="4">
        <v>2998395</v>
      </c>
      <c r="S217" s="4">
        <v>2985826</v>
      </c>
      <c r="T217" s="4">
        <v>3158986</v>
      </c>
      <c r="U217" s="4">
        <v>3490007</v>
      </c>
      <c r="V217" s="4">
        <v>2706906</v>
      </c>
      <c r="W217" s="4">
        <v>2871781</v>
      </c>
      <c r="X217" s="9">
        <v>4.0396329190024449E-3</v>
      </c>
      <c r="Y217" s="10">
        <v>-1.9200448239571339E-3</v>
      </c>
      <c r="Z217" s="10">
        <v>-2.307322586318894E-2</v>
      </c>
      <c r="AA217" s="10">
        <v>-9.2406045346172805E-3</v>
      </c>
    </row>
    <row r="218" spans="2:27" hidden="1" x14ac:dyDescent="0.3">
      <c r="B218" s="3" t="s">
        <v>223</v>
      </c>
      <c r="C218" s="3" t="s">
        <v>671</v>
      </c>
      <c r="D218" s="3" t="s">
        <v>672</v>
      </c>
      <c r="E218" s="3" t="s">
        <v>743</v>
      </c>
      <c r="F218" s="5">
        <v>1.5</v>
      </c>
      <c r="G218" s="3"/>
      <c r="H218" s="3"/>
      <c r="I218" s="3"/>
      <c r="J218" s="3"/>
      <c r="K218" s="3"/>
      <c r="L218" s="3"/>
      <c r="M218" s="3"/>
      <c r="N218" s="4">
        <v>298.49</v>
      </c>
      <c r="O218" s="4">
        <v>359.27</v>
      </c>
      <c r="P218" s="4">
        <v>354.98</v>
      </c>
      <c r="Q218" s="4">
        <v>354.98</v>
      </c>
      <c r="R218" s="4">
        <v>360.14</v>
      </c>
      <c r="S218" s="4">
        <v>443.31</v>
      </c>
      <c r="T218" s="4">
        <v>433.78</v>
      </c>
      <c r="U218" s="4">
        <v>397.61</v>
      </c>
      <c r="V218" s="4">
        <v>430.3</v>
      </c>
      <c r="W218" s="4">
        <v>468.11</v>
      </c>
      <c r="X218" s="9">
        <v>5.2067846783092397E-2</v>
      </c>
      <c r="Y218" s="10">
        <v>2.6774106430684341E-2</v>
      </c>
      <c r="Z218" s="10">
        <v>4.2915514668102173E-2</v>
      </c>
      <c r="AA218" s="10">
        <v>1.4545454545454421E-2</v>
      </c>
    </row>
    <row r="219" spans="2:27" x14ac:dyDescent="0.3">
      <c r="B219" s="12">
        <v>5970</v>
      </c>
      <c r="C219" s="3" t="s">
        <v>737</v>
      </c>
      <c r="D219" s="3" t="str">
        <f>VLOOKUP(B219, 기업리스트!B:G,2,FALSE)</f>
        <v>G-Tekt Corporation</v>
      </c>
      <c r="E219" s="3" t="s">
        <v>709</v>
      </c>
      <c r="F219" s="5">
        <v>-1</v>
      </c>
      <c r="G219" s="4">
        <v>49398</v>
      </c>
      <c r="H219" s="4">
        <v>61756</v>
      </c>
      <c r="I219" s="4">
        <v>69610</v>
      </c>
      <c r="J219" s="4">
        <v>67454</v>
      </c>
      <c r="K219" s="6">
        <v>87342</v>
      </c>
      <c r="L219" s="4">
        <v>80913</v>
      </c>
      <c r="M219" s="4">
        <v>78603</v>
      </c>
      <c r="N219" s="4">
        <v>78818</v>
      </c>
      <c r="O219" s="4">
        <v>86419</v>
      </c>
      <c r="P219" s="4">
        <v>94725</v>
      </c>
      <c r="Q219" s="4">
        <v>84639</v>
      </c>
      <c r="R219" s="4">
        <v>86837</v>
      </c>
      <c r="S219" s="4">
        <v>80558</v>
      </c>
      <c r="T219" s="4">
        <v>87238</v>
      </c>
      <c r="U219" s="4">
        <v>84600</v>
      </c>
      <c r="V219" s="4">
        <v>77329</v>
      </c>
      <c r="W219" s="4">
        <v>77181</v>
      </c>
      <c r="X219" s="9">
        <v>-2.159136460769584E-2</v>
      </c>
      <c r="Y219" s="10">
        <v>-1.149520149025252E-4</v>
      </c>
      <c r="Z219" s="10">
        <v>-2.8027933603157699E-2</v>
      </c>
      <c r="AA219" s="10">
        <v>-1.0241868223519581E-2</v>
      </c>
    </row>
    <row r="220" spans="2:27" hidden="1" x14ac:dyDescent="0.3">
      <c r="B220" s="3" t="s">
        <v>413</v>
      </c>
      <c r="C220" s="3" t="s">
        <v>671</v>
      </c>
      <c r="D220" s="3" t="s">
        <v>744</v>
      </c>
      <c r="E220" s="3" t="s">
        <v>743</v>
      </c>
      <c r="F220" s="5">
        <v>6</v>
      </c>
      <c r="G220" s="4">
        <v>32878</v>
      </c>
      <c r="H220" s="4">
        <v>67667</v>
      </c>
      <c r="I220" s="4">
        <v>72313</v>
      </c>
      <c r="J220" s="4">
        <v>106694</v>
      </c>
      <c r="K220" s="6">
        <v>74752</v>
      </c>
      <c r="L220" s="6">
        <v>258583</v>
      </c>
      <c r="M220" s="6">
        <v>213602</v>
      </c>
      <c r="N220" s="6">
        <v>261793</v>
      </c>
      <c r="O220" s="6">
        <v>230337</v>
      </c>
      <c r="P220" s="4">
        <v>280322</v>
      </c>
      <c r="Q220" s="6">
        <v>316208</v>
      </c>
      <c r="R220" s="6">
        <v>408461</v>
      </c>
      <c r="S220" s="4">
        <v>337928</v>
      </c>
      <c r="T220" s="4">
        <v>413753</v>
      </c>
      <c r="U220" s="4">
        <v>342594</v>
      </c>
      <c r="V220" s="4">
        <v>387082</v>
      </c>
      <c r="W220" s="4">
        <v>426518</v>
      </c>
      <c r="X220" s="9">
        <v>9.9358933785284043E-2</v>
      </c>
      <c r="Y220" s="10">
        <v>1.7872455718494829E-2</v>
      </c>
      <c r="Z220" s="10">
        <v>-1.42267171346131E-2</v>
      </c>
      <c r="AA220" s="10">
        <v>5.9803274970179343E-2</v>
      </c>
    </row>
    <row r="221" spans="2:27" x14ac:dyDescent="0.3">
      <c r="B221" s="12">
        <v>8795</v>
      </c>
      <c r="C221" s="3" t="s">
        <v>737</v>
      </c>
      <c r="D221" s="3" t="str">
        <f>VLOOKUP(B221, 기업리스트!B:G,2,FALSE)</f>
        <v>T&amp;D Holdings, Inc.</v>
      </c>
      <c r="E221" s="3" t="s">
        <v>709</v>
      </c>
      <c r="F221" s="5">
        <v>-1.2</v>
      </c>
      <c r="G221" s="4">
        <v>533802</v>
      </c>
      <c r="H221" s="4">
        <v>568045</v>
      </c>
      <c r="I221" s="4">
        <v>80624</v>
      </c>
      <c r="J221" s="4">
        <v>624454</v>
      </c>
      <c r="K221" s="4">
        <v>614478</v>
      </c>
      <c r="L221" s="4">
        <v>499211</v>
      </c>
      <c r="M221" s="6">
        <v>501376</v>
      </c>
      <c r="N221" s="4">
        <v>592834</v>
      </c>
      <c r="O221" s="4">
        <v>545948</v>
      </c>
      <c r="P221" s="4">
        <v>681324</v>
      </c>
      <c r="Q221" s="4">
        <v>672780</v>
      </c>
      <c r="R221" s="4">
        <v>776945</v>
      </c>
      <c r="S221" s="4">
        <v>609411</v>
      </c>
      <c r="T221" s="4">
        <v>687485</v>
      </c>
      <c r="U221" s="4">
        <v>435872</v>
      </c>
      <c r="V221" s="4">
        <v>851115</v>
      </c>
      <c r="W221" s="4">
        <v>578645</v>
      </c>
      <c r="X221" s="9">
        <v>2.2481627172079581E-3</v>
      </c>
      <c r="Y221" s="10">
        <v>-8.6254346704550788E-2</v>
      </c>
      <c r="Z221" s="10">
        <v>2.9553179985121861E-2</v>
      </c>
      <c r="AA221" s="10">
        <v>-1.190688587679856E-2</v>
      </c>
    </row>
    <row r="222" spans="2:27" x14ac:dyDescent="0.3">
      <c r="B222" s="12">
        <v>1605</v>
      </c>
      <c r="C222" s="3" t="s">
        <v>737</v>
      </c>
      <c r="D222" s="3" t="str">
        <f>VLOOKUP(B222, 기업리스트!B:G,2,FALSE)</f>
        <v>Inpex Corporation</v>
      </c>
      <c r="E222" s="3" t="s">
        <v>673</v>
      </c>
      <c r="F222" s="5">
        <v>-1.4</v>
      </c>
      <c r="G222" s="4">
        <v>395155</v>
      </c>
      <c r="H222" s="4">
        <v>485391</v>
      </c>
      <c r="I222" s="4">
        <v>613085</v>
      </c>
      <c r="J222" s="4">
        <v>600267</v>
      </c>
      <c r="K222" s="6">
        <v>625917</v>
      </c>
      <c r="L222" s="4">
        <v>578476</v>
      </c>
      <c r="M222" s="4">
        <v>500313</v>
      </c>
      <c r="N222" s="4">
        <v>523046</v>
      </c>
      <c r="O222" s="4">
        <v>562681</v>
      </c>
      <c r="P222" s="4">
        <v>596800</v>
      </c>
      <c r="Q222" s="4">
        <v>594061</v>
      </c>
      <c r="R222" s="4">
        <v>556696</v>
      </c>
      <c r="S222" s="4">
        <v>518280</v>
      </c>
      <c r="T222" s="4">
        <v>536899</v>
      </c>
      <c r="U222" s="4">
        <v>511968</v>
      </c>
      <c r="V222" s="4">
        <v>471780</v>
      </c>
      <c r="W222" s="4">
        <v>490704</v>
      </c>
      <c r="X222" s="9">
        <v>-2.6436588333582641E-2</v>
      </c>
      <c r="Y222" s="10">
        <v>-3.721458827454649E-2</v>
      </c>
      <c r="Z222" s="10">
        <v>-3.9982239741826457E-2</v>
      </c>
      <c r="AA222" s="10">
        <v>-1.3524760817822281E-2</v>
      </c>
    </row>
    <row r="223" spans="2:27" x14ac:dyDescent="0.3">
      <c r="B223" s="12">
        <v>3105</v>
      </c>
      <c r="C223" s="3" t="s">
        <v>737</v>
      </c>
      <c r="D223" s="3" t="str">
        <f>VLOOKUP(B223, 기업리스트!B:G,2,FALSE)</f>
        <v>WIN Semiconductors Corp.</v>
      </c>
      <c r="E223" s="3" t="s">
        <v>673</v>
      </c>
      <c r="F223" s="5">
        <v>-1.4</v>
      </c>
      <c r="G223" s="4">
        <v>129563</v>
      </c>
      <c r="H223" s="4">
        <v>138909</v>
      </c>
      <c r="I223" s="4">
        <v>117956</v>
      </c>
      <c r="J223" s="4">
        <v>124950</v>
      </c>
      <c r="K223" s="4">
        <v>134270</v>
      </c>
      <c r="L223" s="4">
        <v>144004</v>
      </c>
      <c r="M223" s="4">
        <v>125363</v>
      </c>
      <c r="N223" s="4">
        <v>128645</v>
      </c>
      <c r="O223" s="4">
        <v>143199</v>
      </c>
      <c r="P223" s="4">
        <v>130754</v>
      </c>
      <c r="Q223" s="4">
        <v>109268</v>
      </c>
      <c r="R223" s="4">
        <v>109782</v>
      </c>
      <c r="S223" s="4">
        <v>144942</v>
      </c>
      <c r="T223" s="4">
        <v>151164</v>
      </c>
      <c r="U223" s="4">
        <v>103557</v>
      </c>
      <c r="V223" s="4">
        <v>109847</v>
      </c>
      <c r="W223" s="4">
        <v>137771</v>
      </c>
      <c r="X223" s="9">
        <v>4.1253491690685713E-2</v>
      </c>
      <c r="Y223" s="10">
        <v>-1.108596231044578E-2</v>
      </c>
      <c r="Z223" s="10">
        <v>1.2758982814631281E-4</v>
      </c>
      <c r="AA223" s="10">
        <v>-1.4074306686816749E-2</v>
      </c>
    </row>
    <row r="224" spans="2:27" x14ac:dyDescent="0.3">
      <c r="B224" s="12">
        <v>7014</v>
      </c>
      <c r="C224" s="3" t="s">
        <v>737</v>
      </c>
      <c r="D224" s="3" t="str">
        <f>VLOOKUP(B224, 기업리스트!B:G,2,FALSE)</f>
        <v>Namura Shipbuilding Co., Ltd.</v>
      </c>
      <c r="E224" s="3" t="s">
        <v>709</v>
      </c>
      <c r="F224" s="5">
        <v>-1.5</v>
      </c>
      <c r="G224" s="4">
        <v>16153</v>
      </c>
      <c r="H224" s="4">
        <v>19668</v>
      </c>
      <c r="I224" s="4">
        <v>26576</v>
      </c>
      <c r="J224" s="4">
        <v>36133</v>
      </c>
      <c r="K224" s="6">
        <v>30270</v>
      </c>
      <c r="L224" s="4">
        <v>26542</v>
      </c>
      <c r="M224" s="4">
        <v>31135</v>
      </c>
      <c r="N224" s="4">
        <v>29813</v>
      </c>
      <c r="O224" s="4">
        <v>30806</v>
      </c>
      <c r="P224" s="4">
        <v>36336</v>
      </c>
      <c r="Q224" s="4">
        <v>38051</v>
      </c>
      <c r="R224" s="4">
        <v>39760</v>
      </c>
      <c r="S224" s="4">
        <v>38521</v>
      </c>
      <c r="T224" s="4">
        <v>42440</v>
      </c>
      <c r="U224" s="4">
        <v>38506</v>
      </c>
      <c r="V224" s="4">
        <v>36487</v>
      </c>
      <c r="W224" s="4">
        <v>36123</v>
      </c>
      <c r="X224" s="9">
        <v>3.9982183561715567E-2</v>
      </c>
      <c r="Y224" s="10">
        <v>2.8657445897262161E-3</v>
      </c>
      <c r="Z224" s="10">
        <v>-2.0555559044634349E-2</v>
      </c>
      <c r="AA224" s="10">
        <v>-1.537632891750129E-2</v>
      </c>
    </row>
    <row r="225" spans="2:27" x14ac:dyDescent="0.3">
      <c r="B225" s="12">
        <v>2146</v>
      </c>
      <c r="C225" s="3" t="s">
        <v>737</v>
      </c>
      <c r="D225" s="3" t="str">
        <f>VLOOKUP(B225, 기업리스트!B:G,2,FALSE)</f>
        <v>UT Group Co.,Ltd.</v>
      </c>
      <c r="E225" s="3" t="s">
        <v>709</v>
      </c>
      <c r="F225" s="5">
        <v>-1.9</v>
      </c>
      <c r="G225" s="4">
        <v>37363</v>
      </c>
      <c r="H225" s="4">
        <v>41417</v>
      </c>
      <c r="I225" s="4">
        <v>42774</v>
      </c>
      <c r="J225" s="4">
        <v>41567</v>
      </c>
      <c r="K225" s="4">
        <v>42717</v>
      </c>
      <c r="L225" s="4">
        <v>43808</v>
      </c>
      <c r="M225" s="4">
        <v>42539</v>
      </c>
      <c r="N225" s="4">
        <v>41220</v>
      </c>
      <c r="O225" s="4">
        <v>40983</v>
      </c>
      <c r="P225" s="4">
        <v>42921</v>
      </c>
      <c r="Q225" s="4">
        <v>41906</v>
      </c>
      <c r="R225" s="4">
        <v>44164</v>
      </c>
      <c r="S225" s="4">
        <v>45233</v>
      </c>
      <c r="T225" s="4">
        <v>47485</v>
      </c>
      <c r="U225" s="4">
        <v>57866</v>
      </c>
      <c r="V225" s="4">
        <v>41756</v>
      </c>
      <c r="W225" s="4">
        <v>41539</v>
      </c>
      <c r="X225" s="9">
        <v>2.619616126366053E-2</v>
      </c>
      <c r="Y225" s="10">
        <v>8.9267736089670535E-2</v>
      </c>
      <c r="Z225" s="10">
        <v>-1.2364696941688741E-2</v>
      </c>
      <c r="AA225" s="10">
        <v>-1.920557346365814E-2</v>
      </c>
    </row>
    <row r="226" spans="2:27" x14ac:dyDescent="0.3">
      <c r="B226" s="12">
        <v>1879</v>
      </c>
      <c r="C226" s="3" t="s">
        <v>737</v>
      </c>
      <c r="D226" s="3" t="str">
        <f>VLOOKUP(B226, 기업리스트!B:G,2,FALSE)</f>
        <v>Shinnihon Corporation</v>
      </c>
      <c r="E226" s="3" t="s">
        <v>709</v>
      </c>
      <c r="F226" s="5">
        <v>-2.1</v>
      </c>
      <c r="G226" s="4">
        <v>24858</v>
      </c>
      <c r="H226" s="4">
        <v>28544</v>
      </c>
      <c r="I226" s="4">
        <v>37390</v>
      </c>
      <c r="J226" s="4">
        <v>16971</v>
      </c>
      <c r="K226" s="4">
        <v>28037</v>
      </c>
      <c r="L226" s="4">
        <v>25281</v>
      </c>
      <c r="M226" s="4">
        <v>43436</v>
      </c>
      <c r="N226" s="4">
        <v>20424</v>
      </c>
      <c r="O226" s="4">
        <v>29124</v>
      </c>
      <c r="P226" s="4">
        <v>30981</v>
      </c>
      <c r="Q226" s="4">
        <v>52988</v>
      </c>
      <c r="R226" s="4">
        <v>21347</v>
      </c>
      <c r="S226" s="4">
        <v>33272</v>
      </c>
      <c r="T226" s="4">
        <v>29292</v>
      </c>
      <c r="U226" s="4">
        <v>47751</v>
      </c>
      <c r="V226" s="4">
        <v>25609</v>
      </c>
      <c r="W226" s="4">
        <v>30401</v>
      </c>
      <c r="X226" s="9">
        <v>-1.218720235518223E-2</v>
      </c>
      <c r="Y226" s="10">
        <v>-3.8254479579836187E-2</v>
      </c>
      <c r="Z226" s="10">
        <v>3.2370767571508807E-2</v>
      </c>
      <c r="AA226" s="10">
        <v>-2.1122097642800371E-2</v>
      </c>
    </row>
    <row r="227" spans="2:27" x14ac:dyDescent="0.3">
      <c r="B227" s="12">
        <v>5161</v>
      </c>
      <c r="C227" s="3" t="s">
        <v>737</v>
      </c>
      <c r="D227" s="3" t="str">
        <f>VLOOKUP(B227, 기업리스트!B:G,2,FALSE)</f>
        <v>Nishikawa Rubber Co., Ltd.</v>
      </c>
      <c r="E227" s="3" t="s">
        <v>709</v>
      </c>
      <c r="F227" s="5">
        <v>-2.2000000000000002</v>
      </c>
      <c r="G227" s="4">
        <v>18664</v>
      </c>
      <c r="H227" s="4">
        <v>19917</v>
      </c>
      <c r="I227" s="4">
        <v>23632</v>
      </c>
      <c r="J227" s="4">
        <v>22478</v>
      </c>
      <c r="K227" s="4">
        <v>23659</v>
      </c>
      <c r="L227" s="4">
        <v>27567</v>
      </c>
      <c r="M227" s="4">
        <v>24463</v>
      </c>
      <c r="N227" s="4">
        <v>27309</v>
      </c>
      <c r="O227" s="4">
        <v>29839</v>
      </c>
      <c r="P227" s="4">
        <v>32805</v>
      </c>
      <c r="Q227" s="4">
        <v>27951</v>
      </c>
      <c r="R227" s="4">
        <v>30164</v>
      </c>
      <c r="S227" s="4">
        <v>31052</v>
      </c>
      <c r="T227" s="4">
        <v>25194</v>
      </c>
      <c r="U227" s="4">
        <v>34229</v>
      </c>
      <c r="V227" s="4">
        <v>28943</v>
      </c>
      <c r="W227" s="4">
        <v>28406</v>
      </c>
      <c r="X227" s="9">
        <v>-6.2399567113763821E-2</v>
      </c>
      <c r="Y227" s="10">
        <v>5.4896337037976251E-2</v>
      </c>
      <c r="Z227" s="10">
        <v>-1.012110511526121E-2</v>
      </c>
      <c r="AA227" s="10">
        <v>-2.2157463698939891E-2</v>
      </c>
    </row>
    <row r="228" spans="2:27" x14ac:dyDescent="0.3">
      <c r="B228" s="12">
        <v>5711</v>
      </c>
      <c r="C228" s="3" t="s">
        <v>737</v>
      </c>
      <c r="D228" s="3" t="str">
        <f>VLOOKUP(B228, 기업리스트!B:G,2,FALSE)</f>
        <v>Mitsubishi Materials Corporation</v>
      </c>
      <c r="E228" s="3" t="s">
        <v>691</v>
      </c>
      <c r="F228" s="5">
        <v>-2.2000000000000002</v>
      </c>
      <c r="G228" s="4">
        <v>453999</v>
      </c>
      <c r="H228" s="4">
        <v>497734</v>
      </c>
      <c r="I228" s="4">
        <v>422628</v>
      </c>
      <c r="J228" s="4">
        <v>409353</v>
      </c>
      <c r="K228" s="4">
        <v>411584</v>
      </c>
      <c r="L228" s="4">
        <v>382368</v>
      </c>
      <c r="M228" s="4">
        <v>362660</v>
      </c>
      <c r="N228" s="4">
        <v>353539</v>
      </c>
      <c r="O228" s="4">
        <v>365386</v>
      </c>
      <c r="P228" s="4">
        <v>459057</v>
      </c>
      <c r="Q228" s="4">
        <v>513701</v>
      </c>
      <c r="R228" s="4">
        <v>475891</v>
      </c>
      <c r="S228" s="4">
        <v>494103</v>
      </c>
      <c r="T228" s="4">
        <v>478381</v>
      </c>
      <c r="U228" s="4">
        <v>431402</v>
      </c>
      <c r="V228" s="4">
        <v>398512</v>
      </c>
      <c r="W228" s="4">
        <v>454566</v>
      </c>
      <c r="X228" s="9">
        <v>9.9467147633871544E-3</v>
      </c>
      <c r="Y228" s="10">
        <v>-4.1944858405077112E-2</v>
      </c>
      <c r="Z228" s="10">
        <v>-4.1163925295394033E-2</v>
      </c>
      <c r="AA228" s="10">
        <v>-2.1935776670857329E-2</v>
      </c>
    </row>
    <row r="229" spans="2:27" x14ac:dyDescent="0.3">
      <c r="B229" s="12">
        <v>1662</v>
      </c>
      <c r="C229" s="3" t="s">
        <v>737</v>
      </c>
      <c r="D229" s="3" t="str">
        <f>VLOOKUP(B229, 기업리스트!B:G,2,FALSE)</f>
        <v>Japan Petroleum Exploration Co., Ltd.</v>
      </c>
      <c r="E229" s="3" t="s">
        <v>709</v>
      </c>
      <c r="F229" s="5">
        <v>-2.2999999999999998</v>
      </c>
      <c r="G229" s="4">
        <v>68424</v>
      </c>
      <c r="H229" s="4">
        <v>52857</v>
      </c>
      <c r="I229" s="4">
        <v>77776</v>
      </c>
      <c r="J229" s="4">
        <v>58617</v>
      </c>
      <c r="K229" s="4">
        <v>62091</v>
      </c>
      <c r="L229" s="6">
        <v>104397</v>
      </c>
      <c r="M229" s="6">
        <v>111387</v>
      </c>
      <c r="N229" s="4">
        <v>61321</v>
      </c>
      <c r="O229" s="4">
        <v>89387</v>
      </c>
      <c r="P229" s="4">
        <v>79230</v>
      </c>
      <c r="Q229" s="4">
        <v>95925</v>
      </c>
      <c r="R229" s="4">
        <v>89465</v>
      </c>
      <c r="S229" s="4">
        <v>94141</v>
      </c>
      <c r="T229" s="4">
        <v>91214</v>
      </c>
      <c r="U229" s="4">
        <v>114262</v>
      </c>
      <c r="V229" s="4">
        <v>82844</v>
      </c>
      <c r="W229" s="4">
        <v>85296</v>
      </c>
      <c r="X229" s="9">
        <v>3.3403853819116369E-2</v>
      </c>
      <c r="Y229" s="10">
        <v>4.9459871340139523E-2</v>
      </c>
      <c r="Z229" s="10">
        <v>-1.7016978426141579E-2</v>
      </c>
      <c r="AA229" s="10">
        <v>-2.312654100679545E-2</v>
      </c>
    </row>
    <row r="230" spans="2:27" x14ac:dyDescent="0.3">
      <c r="B230" s="12">
        <v>2433</v>
      </c>
      <c r="C230" s="3" t="s">
        <v>737</v>
      </c>
      <c r="D230" s="3" t="str">
        <f>VLOOKUP(B230, 기업리스트!B:G,2,FALSE)</f>
        <v>Hakuhodo DY Holdings Inc</v>
      </c>
      <c r="E230" s="3" t="s">
        <v>709</v>
      </c>
      <c r="F230" s="5">
        <v>-3.4</v>
      </c>
      <c r="G230" s="4">
        <v>198524</v>
      </c>
      <c r="H230" s="4">
        <v>211700</v>
      </c>
      <c r="I230" s="4">
        <v>312478</v>
      </c>
      <c r="J230" s="4">
        <v>195636</v>
      </c>
      <c r="K230" s="4">
        <v>223746</v>
      </c>
      <c r="L230" s="4">
        <v>233650</v>
      </c>
      <c r="M230" s="4">
        <v>338105</v>
      </c>
      <c r="N230" s="4">
        <v>201466</v>
      </c>
      <c r="O230" s="4">
        <v>198092</v>
      </c>
      <c r="P230" s="4">
        <v>246751</v>
      </c>
      <c r="Q230" s="4">
        <v>300467</v>
      </c>
      <c r="R230" s="4">
        <v>200361</v>
      </c>
      <c r="S230" s="4">
        <v>227492</v>
      </c>
      <c r="T230" s="4">
        <v>231659</v>
      </c>
      <c r="U230" s="4">
        <v>293804</v>
      </c>
      <c r="V230" s="4">
        <v>169820</v>
      </c>
      <c r="W230" s="4">
        <v>196311</v>
      </c>
      <c r="X230" s="9">
        <v>-1.547784725419998E-2</v>
      </c>
      <c r="Y230" s="10">
        <v>-6.9407768294931227E-3</v>
      </c>
      <c r="Z230" s="10">
        <v>-3.2036596469586121E-2</v>
      </c>
      <c r="AA230" s="10">
        <v>-3.3790468965890892E-2</v>
      </c>
    </row>
    <row r="231" spans="2:27" hidden="1" x14ac:dyDescent="0.3">
      <c r="B231" s="3" t="s">
        <v>543</v>
      </c>
      <c r="C231" s="3" t="s">
        <v>671</v>
      </c>
      <c r="D231" s="3" t="s">
        <v>708</v>
      </c>
      <c r="E231" s="3" t="s">
        <v>743</v>
      </c>
      <c r="F231" s="5">
        <v>0.9</v>
      </c>
      <c r="G231" s="4">
        <v>312.68</v>
      </c>
      <c r="H231" s="4">
        <v>300.93</v>
      </c>
      <c r="I231" s="4">
        <v>340.77</v>
      </c>
      <c r="J231" s="4">
        <v>350.15</v>
      </c>
      <c r="K231" s="4">
        <v>362.82</v>
      </c>
      <c r="L231" s="4">
        <v>354.67</v>
      </c>
      <c r="M231" s="4">
        <v>351.43</v>
      </c>
      <c r="N231" s="4">
        <v>362.85</v>
      </c>
      <c r="O231" s="4">
        <v>371.85</v>
      </c>
      <c r="P231" s="4">
        <v>352.1</v>
      </c>
      <c r="Q231" s="4">
        <v>346.52</v>
      </c>
      <c r="R231" s="4">
        <v>356.2</v>
      </c>
      <c r="S231" s="4">
        <v>365.5</v>
      </c>
      <c r="T231" s="4">
        <v>341.05</v>
      </c>
      <c r="U231" s="4">
        <v>352.08</v>
      </c>
      <c r="V231" s="4">
        <v>366.7</v>
      </c>
      <c r="W231" s="4">
        <v>377.8</v>
      </c>
      <c r="X231" s="9">
        <v>-7.779936915624619E-3</v>
      </c>
      <c r="Y231" s="10">
        <v>3.9453050160720426E-3</v>
      </c>
      <c r="Z231" s="10">
        <v>7.4213863149636961E-3</v>
      </c>
      <c r="AA231" s="10">
        <v>8.6295805181959562E-3</v>
      </c>
    </row>
    <row r="232" spans="2:27" x14ac:dyDescent="0.3">
      <c r="B232" s="21">
        <v>6740</v>
      </c>
      <c r="C232" s="22" t="s">
        <v>737</v>
      </c>
      <c r="D232" s="22" t="str">
        <f>VLOOKUP(B232, 기업리스트!B:G,2,FALSE)</f>
        <v>Japan Display Inc.</v>
      </c>
      <c r="E232" s="22" t="s">
        <v>709</v>
      </c>
      <c r="F232" s="23">
        <v>-7.9</v>
      </c>
      <c r="G232" s="24">
        <v>71898</v>
      </c>
      <c r="H232" s="24">
        <v>71657</v>
      </c>
      <c r="I232" s="24">
        <v>86428</v>
      </c>
      <c r="J232" s="24">
        <v>57099</v>
      </c>
      <c r="K232" s="24">
        <v>81196</v>
      </c>
      <c r="L232" s="24">
        <v>69735</v>
      </c>
      <c r="M232" s="24">
        <v>62714</v>
      </c>
      <c r="N232" s="24">
        <v>52996</v>
      </c>
      <c r="O232" s="24">
        <v>66886</v>
      </c>
      <c r="P232" s="24">
        <v>60492</v>
      </c>
      <c r="Q232" s="24">
        <v>58779</v>
      </c>
      <c r="R232" s="24">
        <v>55917</v>
      </c>
      <c r="S232" s="24">
        <v>46996</v>
      </c>
      <c r="T232" s="24">
        <v>40547</v>
      </c>
      <c r="U232" s="24">
        <v>44552</v>
      </c>
      <c r="V232" s="24">
        <v>32443</v>
      </c>
      <c r="W232" s="24">
        <v>33987</v>
      </c>
      <c r="X232" s="26">
        <v>-8.9767940085694775E-2</v>
      </c>
      <c r="Y232" s="27">
        <v>-7.0347460183248556E-2</v>
      </c>
      <c r="Z232" s="27">
        <v>-0.12485373274046339</v>
      </c>
      <c r="AA232" s="27">
        <v>-7.9063802890517731E-2</v>
      </c>
    </row>
    <row r="233" spans="2:27" x14ac:dyDescent="0.3">
      <c r="B233" s="12" t="s">
        <v>238</v>
      </c>
      <c r="C233" s="3" t="s">
        <v>741</v>
      </c>
      <c r="D233" s="3" t="str">
        <f>VLOOKUP(B233, 기업리스트!B:G,2,FALSE)</f>
        <v>Indian Railway Catering &amp; Tourism Corporation Limited</v>
      </c>
      <c r="E233" s="3" t="s">
        <v>691</v>
      </c>
      <c r="F233" s="5">
        <v>6.1</v>
      </c>
      <c r="G233" s="4">
        <v>5402</v>
      </c>
      <c r="H233" s="4">
        <v>6901</v>
      </c>
      <c r="I233" s="4">
        <v>8526</v>
      </c>
      <c r="J233" s="4">
        <v>8058</v>
      </c>
      <c r="K233" s="6">
        <v>9181</v>
      </c>
      <c r="L233" s="4">
        <v>9650</v>
      </c>
      <c r="M233" s="4">
        <v>10018</v>
      </c>
      <c r="N233" s="4">
        <v>9953</v>
      </c>
      <c r="O233" s="4">
        <v>11183</v>
      </c>
      <c r="P233" s="4">
        <v>11448</v>
      </c>
      <c r="Q233" s="4">
        <v>11202</v>
      </c>
      <c r="R233" s="4">
        <v>10640</v>
      </c>
      <c r="S233" s="4">
        <v>12247</v>
      </c>
      <c r="T233" s="4">
        <v>12685</v>
      </c>
      <c r="U233" s="4">
        <v>11597</v>
      </c>
      <c r="V233" s="4">
        <v>11460</v>
      </c>
      <c r="W233" s="4">
        <v>15192</v>
      </c>
      <c r="X233" s="9">
        <v>2.7164723192129481E-2</v>
      </c>
      <c r="Y233" s="10">
        <v>8.4448625304656133E-3</v>
      </c>
      <c r="Z233" s="10">
        <v>1.7384299009942868E-2</v>
      </c>
      <c r="AA233" s="10">
        <v>6.136823021942539E-2</v>
      </c>
    </row>
    <row r="234" spans="2:27" x14ac:dyDescent="0.3">
      <c r="B234" s="12" t="s">
        <v>440</v>
      </c>
      <c r="C234" s="3" t="s">
        <v>741</v>
      </c>
      <c r="D234" s="3" t="str">
        <f>VLOOKUP(B234, 기업리스트!B:G,2,FALSE)</f>
        <v>NATCO Pharma Limited</v>
      </c>
      <c r="E234" s="3" t="s">
        <v>691</v>
      </c>
      <c r="F234" s="5">
        <v>5.3</v>
      </c>
      <c r="G234" s="4">
        <v>5605</v>
      </c>
      <c r="H234" s="4">
        <v>5982</v>
      </c>
      <c r="I234" s="4">
        <v>8846</v>
      </c>
      <c r="J234" s="4">
        <v>4321</v>
      </c>
      <c r="K234" s="4">
        <v>4925</v>
      </c>
      <c r="L234" s="6">
        <v>8993</v>
      </c>
      <c r="M234" s="4">
        <v>11405</v>
      </c>
      <c r="N234" s="6">
        <v>10314</v>
      </c>
      <c r="O234" s="4">
        <v>7586</v>
      </c>
      <c r="P234" s="4">
        <v>10715</v>
      </c>
      <c r="Q234" s="4">
        <v>13626</v>
      </c>
      <c r="R234" s="4">
        <v>13711</v>
      </c>
      <c r="S234" s="4">
        <v>4748</v>
      </c>
      <c r="T234" s="4">
        <v>12234</v>
      </c>
      <c r="U234" s="4">
        <v>13289</v>
      </c>
      <c r="V234" s="4">
        <v>13630</v>
      </c>
      <c r="W234" s="4">
        <v>7054</v>
      </c>
      <c r="X234" s="9">
        <v>3.5490654205607493E-2</v>
      </c>
      <c r="Y234" s="10">
        <v>-7.6039621832622029E-3</v>
      </c>
      <c r="Z234" s="10">
        <v>-1.84166249829476E-3</v>
      </c>
      <c r="AA234" s="10">
        <v>5.252727728297768E-2</v>
      </c>
    </row>
    <row r="235" spans="2:27" hidden="1" x14ac:dyDescent="0.3">
      <c r="B235" s="3" t="s">
        <v>101</v>
      </c>
      <c r="C235" s="3" t="s">
        <v>671</v>
      </c>
      <c r="D235" s="3" t="s">
        <v>712</v>
      </c>
      <c r="E235" s="3" t="s">
        <v>743</v>
      </c>
      <c r="F235" s="5">
        <v>1.9</v>
      </c>
      <c r="G235" s="4">
        <v>706.5</v>
      </c>
      <c r="H235" s="4">
        <v>730.8</v>
      </c>
      <c r="I235" s="4">
        <v>720</v>
      </c>
      <c r="J235" s="4">
        <v>771.3</v>
      </c>
      <c r="K235" s="4">
        <v>686.9</v>
      </c>
      <c r="L235" s="4">
        <v>708.7</v>
      </c>
      <c r="M235" s="4">
        <v>716.6</v>
      </c>
      <c r="N235" s="4">
        <v>753.8</v>
      </c>
      <c r="O235" s="4">
        <v>747.4</v>
      </c>
      <c r="P235" s="4">
        <v>732</v>
      </c>
      <c r="Q235" s="4">
        <v>695.4</v>
      </c>
      <c r="R235" s="4">
        <v>702.1</v>
      </c>
      <c r="S235" s="4">
        <v>746.9</v>
      </c>
      <c r="T235" s="4">
        <v>748.8</v>
      </c>
      <c r="U235" s="4">
        <v>698</v>
      </c>
      <c r="V235" s="4">
        <v>766.5</v>
      </c>
      <c r="W235" s="4">
        <v>804.6</v>
      </c>
      <c r="X235" s="9">
        <v>5.8406341259906744E-3</v>
      </c>
      <c r="Y235" s="10">
        <v>8.9865892437446249E-4</v>
      </c>
      <c r="Z235" s="10">
        <v>2.2239104910559911E-2</v>
      </c>
      <c r="AA235" s="10">
        <v>1.9491926221201439E-2</v>
      </c>
    </row>
    <row r="236" spans="2:27" hidden="1" x14ac:dyDescent="0.3">
      <c r="B236" s="3" t="s">
        <v>578</v>
      </c>
      <c r="C236" s="3" t="s">
        <v>739</v>
      </c>
      <c r="D236" s="3" t="s">
        <v>698</v>
      </c>
      <c r="E236" s="3" t="s">
        <v>743</v>
      </c>
      <c r="F236" s="5">
        <v>12.6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4">
        <v>8.17</v>
      </c>
      <c r="R236" s="4">
        <v>12.59</v>
      </c>
      <c r="S236" s="4">
        <v>12.28</v>
      </c>
      <c r="T236" s="4">
        <v>14.92</v>
      </c>
      <c r="U236" s="6">
        <v>16.77</v>
      </c>
      <c r="V236" s="6">
        <v>18.66</v>
      </c>
      <c r="W236" s="6">
        <v>20.18</v>
      </c>
      <c r="X236" s="11"/>
      <c r="Y236" s="8">
        <v>0.17931609674728949</v>
      </c>
      <c r="Z236" s="8">
        <v>0.10731966053748219</v>
      </c>
      <c r="AA236" s="8">
        <v>0.12613763372185871</v>
      </c>
    </row>
    <row r="237" spans="2:27" x14ac:dyDescent="0.3">
      <c r="B237" s="12" t="s">
        <v>76</v>
      </c>
      <c r="C237" s="3" t="s">
        <v>741</v>
      </c>
      <c r="D237" s="3" t="str">
        <f>VLOOKUP(B237, 기업리스트!B:G,2,FALSE)</f>
        <v>Coal India Limited</v>
      </c>
      <c r="E237" s="3" t="s">
        <v>691</v>
      </c>
      <c r="F237" s="5">
        <v>3.6</v>
      </c>
      <c r="G237" s="4">
        <v>259910</v>
      </c>
      <c r="H237" s="4">
        <v>391383</v>
      </c>
      <c r="I237" s="4">
        <v>324980</v>
      </c>
      <c r="J237" s="4">
        <v>275386</v>
      </c>
      <c r="K237" s="4">
        <v>324295</v>
      </c>
      <c r="L237" s="4">
        <v>396439</v>
      </c>
      <c r="M237" s="4">
        <v>330726</v>
      </c>
      <c r="N237" s="4">
        <v>299780</v>
      </c>
      <c r="O237" s="4">
        <v>330111</v>
      </c>
      <c r="P237" s="4">
        <v>392097</v>
      </c>
      <c r="Q237" s="4">
        <v>331701</v>
      </c>
      <c r="R237" s="4">
        <v>272713</v>
      </c>
      <c r="S237" s="4">
        <v>323590</v>
      </c>
      <c r="T237" s="4">
        <v>399951</v>
      </c>
      <c r="U237" s="4">
        <v>318800</v>
      </c>
      <c r="V237" s="4">
        <v>323272</v>
      </c>
      <c r="W237" s="4">
        <v>373158</v>
      </c>
      <c r="X237" s="9">
        <v>5.9495447696804593E-3</v>
      </c>
      <c r="Y237" s="10">
        <v>-9.7149376296636891E-3</v>
      </c>
      <c r="Z237" s="10">
        <v>3.8446329960594827E-2</v>
      </c>
      <c r="AA237" s="10">
        <v>3.6297252589130302E-2</v>
      </c>
    </row>
    <row r="238" spans="2:27" x14ac:dyDescent="0.3">
      <c r="B238" s="12" t="s">
        <v>248</v>
      </c>
      <c r="C238" s="3" t="s">
        <v>741</v>
      </c>
      <c r="D238" s="3" t="str">
        <f>VLOOKUP(B238, 기업리스트!B:G,2,FALSE)</f>
        <v>Biocon Limited</v>
      </c>
      <c r="E238" s="3" t="s">
        <v>691</v>
      </c>
      <c r="F238" s="5">
        <v>2.8</v>
      </c>
      <c r="G238" s="4">
        <v>21742</v>
      </c>
      <c r="H238" s="4">
        <v>24088</v>
      </c>
      <c r="I238" s="4">
        <v>21395</v>
      </c>
      <c r="J238" s="4">
        <v>23197</v>
      </c>
      <c r="K238" s="4">
        <v>29411</v>
      </c>
      <c r="L238" s="6">
        <v>37739</v>
      </c>
      <c r="M238" s="6">
        <v>34226</v>
      </c>
      <c r="N238" s="4">
        <v>34623</v>
      </c>
      <c r="O238" s="4">
        <v>39537</v>
      </c>
      <c r="P238" s="4">
        <v>39171</v>
      </c>
      <c r="Q238" s="4">
        <v>34329</v>
      </c>
      <c r="R238" s="4">
        <v>35904</v>
      </c>
      <c r="S238" s="4">
        <v>38214</v>
      </c>
      <c r="T238" s="4">
        <v>44170</v>
      </c>
      <c r="U238" s="4">
        <v>39419</v>
      </c>
      <c r="V238" s="4">
        <v>42955</v>
      </c>
      <c r="W238" s="4">
        <v>42903</v>
      </c>
      <c r="X238" s="9">
        <v>3.3864433876627409E-2</v>
      </c>
      <c r="Y238" s="10">
        <v>3.3351461501667679E-2</v>
      </c>
      <c r="Z238" s="10">
        <v>4.4709492920415712E-2</v>
      </c>
      <c r="AA238" s="10">
        <v>2.845992303863842E-2</v>
      </c>
    </row>
    <row r="239" spans="2:27" x14ac:dyDescent="0.3">
      <c r="B239" s="12" t="s">
        <v>270</v>
      </c>
      <c r="C239" s="3" t="s">
        <v>741</v>
      </c>
      <c r="D239" s="3" t="str">
        <f>VLOOKUP(B239, 기업리스트!B:G,2,FALSE)</f>
        <v>Gujarat Fluorochemicals Limited</v>
      </c>
      <c r="E239" s="3" t="s">
        <v>709</v>
      </c>
      <c r="F239" s="5">
        <v>0.5</v>
      </c>
      <c r="G239" s="4">
        <v>9640</v>
      </c>
      <c r="H239" s="4">
        <v>10075</v>
      </c>
      <c r="I239" s="4">
        <v>10702</v>
      </c>
      <c r="J239" s="4">
        <v>13340</v>
      </c>
      <c r="K239" s="6">
        <v>14613</v>
      </c>
      <c r="L239" s="4">
        <v>14179</v>
      </c>
      <c r="M239" s="4">
        <v>14714</v>
      </c>
      <c r="N239" s="4">
        <v>12093</v>
      </c>
      <c r="O239" s="4">
        <v>9468</v>
      </c>
      <c r="P239" s="4">
        <v>9917</v>
      </c>
      <c r="Q239" s="4">
        <v>11330</v>
      </c>
      <c r="R239" s="4">
        <v>11750</v>
      </c>
      <c r="S239" s="4">
        <v>11880</v>
      </c>
      <c r="T239" s="4">
        <v>11480</v>
      </c>
      <c r="U239" s="4">
        <v>12255</v>
      </c>
      <c r="V239" s="4">
        <v>12810</v>
      </c>
      <c r="W239" s="4">
        <v>12100</v>
      </c>
      <c r="X239" s="9">
        <v>3.4828531318938483E-2</v>
      </c>
      <c r="Y239" s="10">
        <v>1.991817398794149E-2</v>
      </c>
      <c r="Z239" s="10">
        <v>2.2379394067349349E-2</v>
      </c>
      <c r="AA239" s="10">
        <v>4.5431078988125151E-3</v>
      </c>
    </row>
    <row r="240" spans="2:27" x14ac:dyDescent="0.3">
      <c r="B240" s="12" t="s">
        <v>494</v>
      </c>
      <c r="C240" s="3" t="s">
        <v>741</v>
      </c>
      <c r="D240" s="3" t="str">
        <f>VLOOKUP(B240, 기업리스트!B:G,2,FALSE)</f>
        <v>Ingersoll-Rand (India) Limited</v>
      </c>
      <c r="E240" s="3" t="s">
        <v>709</v>
      </c>
      <c r="F240" s="5">
        <v>0</v>
      </c>
      <c r="G240" s="4">
        <v>2489</v>
      </c>
      <c r="H240" s="4">
        <v>2450</v>
      </c>
      <c r="I240" s="4">
        <v>2218</v>
      </c>
      <c r="J240" s="4">
        <v>2732</v>
      </c>
      <c r="K240" s="4">
        <v>2539</v>
      </c>
      <c r="L240" s="4">
        <v>3192</v>
      </c>
      <c r="M240" s="4">
        <v>3044</v>
      </c>
      <c r="N240" s="4">
        <v>3045</v>
      </c>
      <c r="O240" s="4">
        <v>2763</v>
      </c>
      <c r="P240" s="4">
        <v>3292</v>
      </c>
      <c r="Q240" s="4">
        <v>2881</v>
      </c>
      <c r="R240" s="4">
        <v>3177</v>
      </c>
      <c r="S240" s="4">
        <v>3221</v>
      </c>
      <c r="T240" s="4">
        <v>3853</v>
      </c>
      <c r="U240" s="4">
        <v>3111</v>
      </c>
      <c r="V240" s="4">
        <v>3153</v>
      </c>
      <c r="W240" s="4">
        <v>3219</v>
      </c>
      <c r="X240" s="9">
        <v>4.4626521358682718E-2</v>
      </c>
      <c r="Y240" s="10">
        <v>1.7514468473956771E-2</v>
      </c>
      <c r="Z240" s="10">
        <v>-1.7961383026493529E-3</v>
      </c>
      <c r="AA240" s="10">
        <v>-1.499475183686094E-4</v>
      </c>
    </row>
    <row r="241" spans="1:27" x14ac:dyDescent="0.3">
      <c r="A241" s="28"/>
      <c r="B241" s="21" t="s">
        <v>258</v>
      </c>
      <c r="C241" s="22" t="s">
        <v>741</v>
      </c>
      <c r="D241" s="22" t="str">
        <f>VLOOKUP(B241, 기업리스트!B:G,2,FALSE)</f>
        <v>Petronet LNG Limited</v>
      </c>
      <c r="E241" s="22" t="s">
        <v>691</v>
      </c>
      <c r="F241" s="23">
        <v>-1.8</v>
      </c>
      <c r="G241" s="24">
        <v>125972</v>
      </c>
      <c r="H241" s="24">
        <v>111604</v>
      </c>
      <c r="I241" s="24">
        <v>142638</v>
      </c>
      <c r="J241" s="24">
        <v>159857</v>
      </c>
      <c r="K241" s="24">
        <v>157759</v>
      </c>
      <c r="L241" s="24">
        <v>138739</v>
      </c>
      <c r="M241" s="24">
        <v>116564</v>
      </c>
      <c r="N241" s="24">
        <v>125326</v>
      </c>
      <c r="O241" s="24">
        <v>147472</v>
      </c>
      <c r="P241" s="24">
        <v>137932</v>
      </c>
      <c r="Q241" s="24">
        <v>134151</v>
      </c>
      <c r="R241" s="24">
        <v>130243</v>
      </c>
      <c r="S241" s="24">
        <v>122269</v>
      </c>
      <c r="T241" s="24">
        <v>123158</v>
      </c>
      <c r="U241" s="24">
        <v>118799</v>
      </c>
      <c r="V241" s="24">
        <v>110091</v>
      </c>
      <c r="W241" s="24">
        <v>113774</v>
      </c>
      <c r="X241" s="26">
        <v>-2.816267787531335E-2</v>
      </c>
      <c r="Y241" s="27">
        <v>-3.0112529691793791E-2</v>
      </c>
      <c r="Z241" s="27">
        <v>-4.0754829928670973E-2</v>
      </c>
      <c r="AA241" s="27">
        <v>-1.7909963168092239E-2</v>
      </c>
    </row>
  </sheetData>
  <autoFilter ref="B2:AA241" xr:uid="{00000000-0009-0000-0000-000001000000}">
    <filterColumn colId="3">
      <filters>
        <filter val="Dec'25"/>
        <filter val="FY 2025"/>
        <filter val="H1 2026"/>
        <filter val="Jun'26"/>
        <filter val="Mar'26"/>
        <filter val="Sep'26"/>
      </filters>
    </filterColumn>
    <sortState xmlns:xlrd2="http://schemas.microsoft.com/office/spreadsheetml/2017/richdata2" ref="B4:AA241">
      <sortCondition descending="1" ref="C2:C241"/>
    </sortState>
  </autoFilter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2:AA243"/>
  <sheetViews>
    <sheetView workbookViewId="0">
      <selection activeCell="P211" sqref="P211"/>
    </sheetView>
  </sheetViews>
  <sheetFormatPr defaultRowHeight="16.5" x14ac:dyDescent="0.3"/>
  <cols>
    <col min="1" max="1" width="3" customWidth="1"/>
    <col min="2" max="2" width="12" style="15" customWidth="1"/>
    <col min="3" max="3" width="14" customWidth="1"/>
    <col min="4" max="4" width="44.25" bestFit="1" customWidth="1"/>
    <col min="5" max="6" width="12" customWidth="1"/>
    <col min="7" max="23" width="9" customWidth="1"/>
    <col min="24" max="27" width="10" customWidth="1"/>
  </cols>
  <sheetData>
    <row r="2" spans="2:27" x14ac:dyDescent="0.3">
      <c r="B2" s="14" t="s">
        <v>1</v>
      </c>
      <c r="C2" s="14" t="s">
        <v>650</v>
      </c>
      <c r="D2" s="14" t="s">
        <v>651</v>
      </c>
      <c r="E2" s="14" t="s">
        <v>652</v>
      </c>
      <c r="F2" s="14" t="s">
        <v>653</v>
      </c>
      <c r="G2" s="14" t="s">
        <v>654</v>
      </c>
      <c r="H2" s="14" t="s">
        <v>655</v>
      </c>
      <c r="I2" s="14" t="s">
        <v>656</v>
      </c>
      <c r="J2" s="14" t="s">
        <v>657</v>
      </c>
      <c r="K2" s="14" t="s">
        <v>658</v>
      </c>
      <c r="L2" s="14" t="s">
        <v>659</v>
      </c>
      <c r="M2" s="14" t="s">
        <v>660</v>
      </c>
      <c r="N2" s="14" t="s">
        <v>661</v>
      </c>
      <c r="O2" s="14" t="s">
        <v>662</v>
      </c>
      <c r="P2" s="14" t="s">
        <v>663</v>
      </c>
      <c r="Q2" s="14" t="s">
        <v>664</v>
      </c>
      <c r="R2" s="14" t="s">
        <v>665</v>
      </c>
      <c r="S2" s="14" t="s">
        <v>666</v>
      </c>
      <c r="T2" s="14" t="s">
        <v>667</v>
      </c>
      <c r="U2" s="14" t="s">
        <v>668</v>
      </c>
      <c r="V2" s="14" t="s">
        <v>669</v>
      </c>
      <c r="W2" s="14" t="s">
        <v>670</v>
      </c>
      <c r="X2" s="14" t="s">
        <v>667</v>
      </c>
      <c r="Y2" s="14" t="s">
        <v>668</v>
      </c>
      <c r="Z2" s="14" t="s">
        <v>669</v>
      </c>
      <c r="AA2" s="14" t="s">
        <v>670</v>
      </c>
    </row>
    <row r="3" spans="2:27" hidden="1" x14ac:dyDescent="0.3">
      <c r="B3" s="3" t="s">
        <v>578</v>
      </c>
      <c r="C3" s="3" t="s">
        <v>671</v>
      </c>
      <c r="D3" s="3" t="s">
        <v>698</v>
      </c>
      <c r="E3" s="3" t="s">
        <v>743</v>
      </c>
      <c r="F3" s="13">
        <v>143.4</v>
      </c>
      <c r="G3" s="3"/>
      <c r="H3" s="3"/>
      <c r="I3" s="3"/>
      <c r="J3" s="3"/>
      <c r="K3" s="3"/>
      <c r="L3" s="3"/>
      <c r="M3" s="3"/>
      <c r="N3" s="3"/>
      <c r="O3" s="3"/>
      <c r="P3" s="3"/>
      <c r="Q3" s="4">
        <v>0.93</v>
      </c>
      <c r="R3" s="4">
        <v>2.41</v>
      </c>
      <c r="S3" s="4">
        <v>-0.85</v>
      </c>
      <c r="T3" s="4">
        <v>-1.55</v>
      </c>
      <c r="U3" s="6">
        <v>2.04</v>
      </c>
      <c r="V3" s="4">
        <v>-9.16</v>
      </c>
      <c r="W3" s="6">
        <v>-14.5</v>
      </c>
      <c r="X3" s="11"/>
      <c r="Y3" s="8">
        <v>1.1808510638297871</v>
      </c>
      <c r="Z3" s="10">
        <v>-5.643902439024389</v>
      </c>
      <c r="AA3" s="8">
        <v>1.4338235294117649</v>
      </c>
    </row>
    <row r="4" spans="2:27" x14ac:dyDescent="0.3">
      <c r="B4" s="12" t="s">
        <v>287</v>
      </c>
      <c r="C4" s="3" t="s">
        <v>671</v>
      </c>
      <c r="D4" s="3" t="s">
        <v>683</v>
      </c>
      <c r="E4" s="3" t="s">
        <v>673</v>
      </c>
      <c r="F4" s="13">
        <v>520.5</v>
      </c>
      <c r="G4" s="51">
        <v>191.74</v>
      </c>
      <c r="H4" s="51">
        <v>193.54</v>
      </c>
      <c r="I4" s="51">
        <v>378.82</v>
      </c>
      <c r="J4" s="51">
        <v>131.54</v>
      </c>
      <c r="K4" s="51">
        <v>120.98</v>
      </c>
      <c r="L4" s="51">
        <v>213.88</v>
      </c>
      <c r="M4" s="51">
        <v>93.98</v>
      </c>
      <c r="N4" s="51">
        <v>108.1</v>
      </c>
      <c r="O4" s="51">
        <v>133.75</v>
      </c>
      <c r="P4" s="51">
        <v>149.08000000000001</v>
      </c>
      <c r="Q4" s="51">
        <v>70.900000000000006</v>
      </c>
      <c r="R4" s="51">
        <v>39.119999999999997</v>
      </c>
      <c r="S4" s="51">
        <v>-3.69</v>
      </c>
      <c r="T4" s="51">
        <v>-17.38</v>
      </c>
      <c r="U4" s="51">
        <v>7.72</v>
      </c>
      <c r="V4" s="51">
        <v>20.72</v>
      </c>
      <c r="W4" s="52">
        <v>34.67</v>
      </c>
      <c r="X4" s="9">
        <v>-0.65173642378920171</v>
      </c>
      <c r="Y4" s="10">
        <v>-0.71028667790893762</v>
      </c>
      <c r="Z4" s="10">
        <v>-0.71400853705859535</v>
      </c>
      <c r="AA4" s="8">
        <v>5.2048846675712364</v>
      </c>
    </row>
    <row r="5" spans="2:27" x14ac:dyDescent="0.3">
      <c r="B5" s="12" t="s">
        <v>64</v>
      </c>
      <c r="C5" s="3" t="s">
        <v>671</v>
      </c>
      <c r="D5" s="3" t="s">
        <v>675</v>
      </c>
      <c r="E5" s="3" t="s">
        <v>673</v>
      </c>
      <c r="F5" s="13">
        <v>89.5</v>
      </c>
      <c r="G5" s="51">
        <v>-194.56</v>
      </c>
      <c r="H5" s="51">
        <v>-146.72999999999999</v>
      </c>
      <c r="I5" s="51">
        <v>-191.69</v>
      </c>
      <c r="J5" s="51">
        <v>-258.04000000000002</v>
      </c>
      <c r="K5" s="51">
        <v>-188.61</v>
      </c>
      <c r="L5" s="51">
        <v>-149.81</v>
      </c>
      <c r="M5" s="51">
        <v>-229.83</v>
      </c>
      <c r="N5" s="51">
        <v>213.87</v>
      </c>
      <c r="O5" s="51">
        <v>-116.4</v>
      </c>
      <c r="P5" s="51">
        <v>-43.44</v>
      </c>
      <c r="Q5" s="51">
        <v>48.61</v>
      </c>
      <c r="R5" s="51">
        <v>-76.91</v>
      </c>
      <c r="S5" s="51">
        <v>-105.16</v>
      </c>
      <c r="T5" s="51">
        <v>18.079999999999998</v>
      </c>
      <c r="U5" s="52">
        <v>-16.2</v>
      </c>
      <c r="V5" s="51">
        <v>367.98</v>
      </c>
      <c r="W5" s="52">
        <v>131.72</v>
      </c>
      <c r="X5" s="9">
        <v>-0.347767100056529</v>
      </c>
      <c r="Y5" s="8">
        <v>0.56170913503206799</v>
      </c>
      <c r="Z5" s="10">
        <v>-2.4690049392308122</v>
      </c>
      <c r="AA5" s="8">
        <v>0.89489988666414799</v>
      </c>
    </row>
    <row r="6" spans="2:27" x14ac:dyDescent="0.3">
      <c r="B6" s="12" t="s">
        <v>225</v>
      </c>
      <c r="C6" s="3" t="s">
        <v>671</v>
      </c>
      <c r="D6" s="3" t="s">
        <v>676</v>
      </c>
      <c r="E6" s="3" t="s">
        <v>673</v>
      </c>
      <c r="F6" s="13">
        <v>85.4</v>
      </c>
      <c r="G6" s="51">
        <v>768</v>
      </c>
      <c r="H6" s="51">
        <v>537</v>
      </c>
      <c r="I6" s="51">
        <v>662</v>
      </c>
      <c r="J6" s="51">
        <v>664</v>
      </c>
      <c r="K6" s="51">
        <v>470</v>
      </c>
      <c r="L6" s="51">
        <v>392</v>
      </c>
      <c r="M6" s="51">
        <v>344</v>
      </c>
      <c r="N6" s="51">
        <v>367</v>
      </c>
      <c r="O6" s="51">
        <v>57</v>
      </c>
      <c r="P6" s="51">
        <v>278</v>
      </c>
      <c r="Q6" s="51">
        <v>335</v>
      </c>
      <c r="R6" s="51">
        <v>-506</v>
      </c>
      <c r="S6" s="51">
        <v>-413</v>
      </c>
      <c r="T6" s="51">
        <v>515</v>
      </c>
      <c r="U6" s="51">
        <v>539</v>
      </c>
      <c r="V6" s="52">
        <v>602</v>
      </c>
      <c r="W6" s="52">
        <v>648</v>
      </c>
      <c r="X6" s="9">
        <v>-0.77450980392156865</v>
      </c>
      <c r="Y6" s="10">
        <v>-2.956521739130435</v>
      </c>
      <c r="Z6" s="8">
        <v>8.2074074074074073</v>
      </c>
      <c r="AA6" s="8">
        <v>0.85358004827031375</v>
      </c>
    </row>
    <row r="7" spans="2:27" x14ac:dyDescent="0.3">
      <c r="B7" s="12" t="s">
        <v>240</v>
      </c>
      <c r="C7" s="3" t="s">
        <v>671</v>
      </c>
      <c r="D7" s="3" t="s">
        <v>679</v>
      </c>
      <c r="E7" s="3" t="s">
        <v>673</v>
      </c>
      <c r="F7" s="13">
        <v>58.9</v>
      </c>
      <c r="G7" s="51">
        <v>20.75</v>
      </c>
      <c r="H7" s="51">
        <v>18.71</v>
      </c>
      <c r="I7" s="51">
        <v>20.39</v>
      </c>
      <c r="J7" s="51">
        <v>18.420000000000002</v>
      </c>
      <c r="K7" s="51">
        <v>21.36</v>
      </c>
      <c r="L7" s="51">
        <v>10.4</v>
      </c>
      <c r="M7" s="51">
        <v>13.41</v>
      </c>
      <c r="N7" s="51">
        <v>13.01</v>
      </c>
      <c r="O7" s="51">
        <v>13.69</v>
      </c>
      <c r="P7" s="51">
        <v>12</v>
      </c>
      <c r="Q7" s="51">
        <v>10.55</v>
      </c>
      <c r="R7" s="51">
        <v>11.33</v>
      </c>
      <c r="S7" s="51">
        <v>-0.54</v>
      </c>
      <c r="T7" s="52">
        <v>18.510000000000002</v>
      </c>
      <c r="U7" s="52">
        <v>15.91</v>
      </c>
      <c r="V7" s="52">
        <v>24.86</v>
      </c>
      <c r="W7" s="52">
        <v>34.08</v>
      </c>
      <c r="X7" s="7">
        <v>0.1952609478104379</v>
      </c>
      <c r="Y7" s="8">
        <v>0.13450439146800511</v>
      </c>
      <c r="Z7" s="8">
        <v>0.2992700729927007</v>
      </c>
      <c r="AA7" s="8">
        <v>0.58937691521961177</v>
      </c>
    </row>
    <row r="8" spans="2:27" hidden="1" x14ac:dyDescent="0.3">
      <c r="B8" s="3" t="s">
        <v>116</v>
      </c>
      <c r="C8" s="3" t="s">
        <v>671</v>
      </c>
      <c r="D8" s="3" t="s">
        <v>689</v>
      </c>
      <c r="E8" s="3" t="s">
        <v>743</v>
      </c>
      <c r="F8" s="5">
        <v>6.1</v>
      </c>
      <c r="G8" s="4">
        <v>-7.03</v>
      </c>
      <c r="H8" s="4">
        <v>-14.16</v>
      </c>
      <c r="I8" s="4">
        <v>-16.05</v>
      </c>
      <c r="J8" s="4">
        <v>-17.02</v>
      </c>
      <c r="K8" s="6">
        <v>-17.940000000000001</v>
      </c>
      <c r="L8" s="4">
        <v>-13.64</v>
      </c>
      <c r="M8" s="4">
        <v>-13.95</v>
      </c>
      <c r="N8" s="4">
        <v>-15.03</v>
      </c>
      <c r="O8" s="4">
        <v>-14.62</v>
      </c>
      <c r="P8" s="6">
        <v>-19.93</v>
      </c>
      <c r="Q8" s="4">
        <v>-16.149999999999999</v>
      </c>
      <c r="R8" s="4">
        <v>-15.33</v>
      </c>
      <c r="S8" s="4">
        <v>-13.85</v>
      </c>
      <c r="T8" s="4">
        <v>-14.77</v>
      </c>
      <c r="U8" s="4">
        <v>-17</v>
      </c>
      <c r="V8" s="4">
        <v>-17.239999999999998</v>
      </c>
      <c r="W8" s="4">
        <v>-17.670000000000002</v>
      </c>
      <c r="X8" s="9">
        <v>-7.9068342016549109E-2</v>
      </c>
      <c r="Y8" s="10">
        <v>1.4143094841930329E-2</v>
      </c>
      <c r="Z8" s="10">
        <v>3.1337161607875252E-2</v>
      </c>
      <c r="AA8" s="10">
        <v>6.0769965001590931E-2</v>
      </c>
    </row>
    <row r="9" spans="2:27" x14ac:dyDescent="0.3">
      <c r="B9" s="12" t="s">
        <v>633</v>
      </c>
      <c r="C9" s="3" t="s">
        <v>671</v>
      </c>
      <c r="D9" s="3" t="s">
        <v>740</v>
      </c>
      <c r="E9" s="3" t="s">
        <v>673</v>
      </c>
      <c r="F9" s="13">
        <v>42.8</v>
      </c>
      <c r="G9" s="51">
        <v>-1.36</v>
      </c>
      <c r="H9" s="51">
        <v>-1.57</v>
      </c>
      <c r="I9" s="51">
        <v>-1.36</v>
      </c>
      <c r="J9" s="51">
        <v>-1.0900000000000001</v>
      </c>
      <c r="K9" s="52">
        <v>-3.24</v>
      </c>
      <c r="L9" s="51">
        <v>-0.8</v>
      </c>
      <c r="M9" s="51">
        <v>-0.68</v>
      </c>
      <c r="N9" s="51">
        <v>0.9</v>
      </c>
      <c r="O9" s="51">
        <v>1.8</v>
      </c>
      <c r="P9" s="52">
        <v>-0.1</v>
      </c>
      <c r="Q9" s="52">
        <v>0.7</v>
      </c>
      <c r="R9" s="51">
        <v>-0.57999999999999996</v>
      </c>
      <c r="S9" s="51">
        <v>0.71</v>
      </c>
      <c r="T9" s="51">
        <v>-0.19</v>
      </c>
      <c r="U9" s="52">
        <v>1.4</v>
      </c>
      <c r="V9" s="52">
        <v>1.96</v>
      </c>
      <c r="W9" s="52">
        <v>2.37</v>
      </c>
      <c r="X9" s="9">
        <v>-0.1232876712328769</v>
      </c>
      <c r="Y9" s="8">
        <v>1.09375</v>
      </c>
      <c r="Z9" s="8">
        <v>1.8955223880597021</v>
      </c>
      <c r="AA9" s="8">
        <v>0.42783505154639179</v>
      </c>
    </row>
    <row r="10" spans="2:27" x14ac:dyDescent="0.3">
      <c r="B10" s="12" t="s">
        <v>130</v>
      </c>
      <c r="C10" s="3" t="s">
        <v>671</v>
      </c>
      <c r="D10" s="3" t="s">
        <v>689</v>
      </c>
      <c r="E10" s="3" t="s">
        <v>673</v>
      </c>
      <c r="F10" s="13">
        <v>42</v>
      </c>
      <c r="G10" s="51">
        <v>-276.18</v>
      </c>
      <c r="H10" s="51">
        <v>-217.15</v>
      </c>
      <c r="I10" s="51">
        <v>-310.10000000000002</v>
      </c>
      <c r="J10" s="51">
        <v>-286.7</v>
      </c>
      <c r="K10" s="51">
        <v>-211.76</v>
      </c>
      <c r="L10" s="51">
        <v>-118.12</v>
      </c>
      <c r="M10" s="51">
        <v>-114.5</v>
      </c>
      <c r="N10" s="51">
        <v>-102.12</v>
      </c>
      <c r="O10" s="51">
        <v>-50.01</v>
      </c>
      <c r="P10" s="51">
        <v>-43.5</v>
      </c>
      <c r="Q10" s="51">
        <v>-19.04</v>
      </c>
      <c r="R10" s="51">
        <v>-4.8899999999999997</v>
      </c>
      <c r="S10" s="51">
        <v>13.67</v>
      </c>
      <c r="T10" s="51">
        <v>23.08</v>
      </c>
      <c r="U10" s="52">
        <v>36.99</v>
      </c>
      <c r="V10" s="52">
        <v>40.950000000000003</v>
      </c>
      <c r="W10" s="52">
        <v>61.83</v>
      </c>
      <c r="X10" s="9">
        <v>-1.2384672619047621</v>
      </c>
      <c r="Y10" s="8">
        <v>4.370514820592823</v>
      </c>
      <c r="Z10" s="8">
        <v>0.66579520697167771</v>
      </c>
      <c r="AA10" s="8">
        <v>0.41991455227134011</v>
      </c>
    </row>
    <row r="11" spans="2:27" x14ac:dyDescent="0.3">
      <c r="B11" s="12" t="s">
        <v>555</v>
      </c>
      <c r="C11" s="3" t="s">
        <v>671</v>
      </c>
      <c r="D11" s="3" t="s">
        <v>675</v>
      </c>
      <c r="E11" s="3" t="s">
        <v>715</v>
      </c>
      <c r="F11" s="13">
        <v>38</v>
      </c>
      <c r="G11" s="51">
        <v>-4.72</v>
      </c>
      <c r="H11" s="51">
        <v>-4.38</v>
      </c>
      <c r="I11" s="51">
        <v>-2.65</v>
      </c>
      <c r="J11" s="51">
        <v>-2.97</v>
      </c>
      <c r="K11" s="51">
        <v>-2.2599999999999998</v>
      </c>
      <c r="L11" s="51">
        <v>-1.96</v>
      </c>
      <c r="M11" s="51">
        <v>-1.43</v>
      </c>
      <c r="N11" s="51">
        <v>-1.55</v>
      </c>
      <c r="O11" s="51">
        <v>-1.62</v>
      </c>
      <c r="P11" s="51">
        <v>-0.47</v>
      </c>
      <c r="Q11" s="51">
        <v>0.25</v>
      </c>
      <c r="R11" s="51">
        <v>-0.77</v>
      </c>
      <c r="S11" s="51">
        <v>-1.58</v>
      </c>
      <c r="T11" s="52">
        <v>-3.24</v>
      </c>
      <c r="U11" s="52">
        <v>-3.03</v>
      </c>
      <c r="V11" s="52">
        <v>-5.76</v>
      </c>
      <c r="W11" s="52">
        <v>-6.75</v>
      </c>
      <c r="X11" s="7">
        <v>1.077821011673151</v>
      </c>
      <c r="Y11" s="8">
        <v>0.61423220973782788</v>
      </c>
      <c r="Z11" s="8">
        <v>0.57888631090487208</v>
      </c>
      <c r="AA11" s="8">
        <v>0.37986774430565767</v>
      </c>
    </row>
    <row r="12" spans="2:27" x14ac:dyDescent="0.3">
      <c r="B12" s="12" t="s">
        <v>125</v>
      </c>
      <c r="C12" s="3" t="s">
        <v>671</v>
      </c>
      <c r="D12" s="3" t="s">
        <v>672</v>
      </c>
      <c r="E12" s="3" t="s">
        <v>673</v>
      </c>
      <c r="F12" s="13">
        <v>30.2</v>
      </c>
      <c r="G12" s="51">
        <v>179.45</v>
      </c>
      <c r="H12" s="51">
        <v>-3.67</v>
      </c>
      <c r="I12" s="51">
        <v>-34.51</v>
      </c>
      <c r="J12" s="51">
        <v>-69.38</v>
      </c>
      <c r="K12" s="51">
        <v>15.27</v>
      </c>
      <c r="L12" s="52">
        <v>-243.69</v>
      </c>
      <c r="M12" s="52">
        <v>-73.239999999999995</v>
      </c>
      <c r="N12" s="51">
        <v>-5</v>
      </c>
      <c r="O12" s="51">
        <v>196.25</v>
      </c>
      <c r="P12" s="51">
        <v>-54.42</v>
      </c>
      <c r="Q12" s="52">
        <v>-21.44</v>
      </c>
      <c r="R12" s="52">
        <v>28.73</v>
      </c>
      <c r="S12" s="52">
        <v>226.94</v>
      </c>
      <c r="T12" s="52">
        <v>-35.479999999999997</v>
      </c>
      <c r="U12" s="51">
        <v>-4.33</v>
      </c>
      <c r="V12" s="52">
        <v>58.52</v>
      </c>
      <c r="W12" s="52">
        <v>301.17</v>
      </c>
      <c r="X12" s="7">
        <v>0.10533340748567931</v>
      </c>
      <c r="Y12" s="10">
        <v>8.6088050314465425E-2</v>
      </c>
      <c r="Z12" s="8">
        <v>0.13800611507458529</v>
      </c>
      <c r="AA12" s="8">
        <v>0.30217789537960499</v>
      </c>
    </row>
    <row r="13" spans="2:27" x14ac:dyDescent="0.3">
      <c r="B13" s="12" t="s">
        <v>33</v>
      </c>
      <c r="C13" s="3" t="s">
        <v>671</v>
      </c>
      <c r="D13" s="3" t="s">
        <v>678</v>
      </c>
      <c r="E13" s="3" t="s">
        <v>673</v>
      </c>
      <c r="F13" s="13">
        <v>24.8</v>
      </c>
      <c r="G13" s="51">
        <v>263.10000000000002</v>
      </c>
      <c r="H13" s="51">
        <v>406.78</v>
      </c>
      <c r="I13" s="51">
        <v>523.08000000000004</v>
      </c>
      <c r="J13" s="51">
        <v>225.88</v>
      </c>
      <c r="K13" s="52">
        <v>472.8</v>
      </c>
      <c r="L13" s="51">
        <v>445.88</v>
      </c>
      <c r="M13" s="51">
        <v>526.74</v>
      </c>
      <c r="N13" s="51">
        <v>315.01</v>
      </c>
      <c r="O13" s="51">
        <v>164.03</v>
      </c>
      <c r="P13" s="51">
        <v>532.71</v>
      </c>
      <c r="Q13" s="52">
        <v>792.35</v>
      </c>
      <c r="R13" s="52">
        <v>876.22</v>
      </c>
      <c r="S13" s="52">
        <v>804.98</v>
      </c>
      <c r="T13" s="52">
        <v>1236</v>
      </c>
      <c r="U13" s="52">
        <v>1650</v>
      </c>
      <c r="V13" s="52">
        <v>1625</v>
      </c>
      <c r="W13" s="52">
        <v>2123</v>
      </c>
      <c r="X13" s="7">
        <v>0.2339418413577001</v>
      </c>
      <c r="Y13" s="8">
        <v>0.23120054993193229</v>
      </c>
      <c r="Z13" s="8">
        <v>0.16394727623051319</v>
      </c>
      <c r="AA13" s="8">
        <v>0.24793547003562841</v>
      </c>
    </row>
    <row r="14" spans="2:27" x14ac:dyDescent="0.3">
      <c r="B14" s="12" t="s">
        <v>476</v>
      </c>
      <c r="C14" s="3" t="s">
        <v>671</v>
      </c>
      <c r="D14" s="3" t="s">
        <v>695</v>
      </c>
      <c r="E14" s="3" t="s">
        <v>673</v>
      </c>
      <c r="F14" s="13">
        <v>20.7</v>
      </c>
      <c r="G14" s="51">
        <v>-5.74</v>
      </c>
      <c r="H14" s="51">
        <v>-9.0500000000000007</v>
      </c>
      <c r="I14" s="51">
        <v>-12.73</v>
      </c>
      <c r="J14" s="51">
        <v>-11.66</v>
      </c>
      <c r="K14" s="51">
        <v>-8.94</v>
      </c>
      <c r="L14" s="52">
        <v>-20.309999999999999</v>
      </c>
      <c r="M14" s="51">
        <v>-12.95</v>
      </c>
      <c r="N14" s="51">
        <v>-3.49</v>
      </c>
      <c r="O14" s="51">
        <v>0.49</v>
      </c>
      <c r="P14" s="51">
        <v>-6.03</v>
      </c>
      <c r="Q14" s="51">
        <v>-5.42</v>
      </c>
      <c r="R14" s="51">
        <v>1.78</v>
      </c>
      <c r="S14" s="51">
        <v>5.65</v>
      </c>
      <c r="T14" s="51">
        <v>-1.17</v>
      </c>
      <c r="U14" s="52">
        <v>2.31</v>
      </c>
      <c r="V14" s="52">
        <v>5.86</v>
      </c>
      <c r="W14" s="52">
        <v>8.27</v>
      </c>
      <c r="X14" s="9">
        <v>-1.208955223880597</v>
      </c>
      <c r="Y14" s="8">
        <v>9.2023809523809472</v>
      </c>
      <c r="Z14" s="8">
        <v>0.47607934655775952</v>
      </c>
      <c r="AA14" s="8">
        <v>0.2071146245059288</v>
      </c>
    </row>
    <row r="15" spans="2:27" x14ac:dyDescent="0.3">
      <c r="B15" s="12" t="s">
        <v>109</v>
      </c>
      <c r="C15" s="3" t="s">
        <v>671</v>
      </c>
      <c r="D15" s="3" t="s">
        <v>689</v>
      </c>
      <c r="E15" s="3" t="s">
        <v>673</v>
      </c>
      <c r="F15" s="13">
        <v>20.6</v>
      </c>
      <c r="G15" s="51">
        <v>-111</v>
      </c>
      <c r="H15" s="51">
        <v>-101</v>
      </c>
      <c r="I15" s="51">
        <v>-99</v>
      </c>
      <c r="J15" s="51">
        <v>-85</v>
      </c>
      <c r="K15" s="51">
        <v>-99</v>
      </c>
      <c r="L15" s="51">
        <v>-92</v>
      </c>
      <c r="M15" s="51">
        <v>-80</v>
      </c>
      <c r="N15" s="51">
        <v>-59</v>
      </c>
      <c r="O15" s="51">
        <v>-42</v>
      </c>
      <c r="P15" s="51">
        <v>-15</v>
      </c>
      <c r="Q15" s="51">
        <v>9</v>
      </c>
      <c r="R15" s="51">
        <v>34</v>
      </c>
      <c r="S15" s="51">
        <v>37</v>
      </c>
      <c r="T15" s="52">
        <v>50</v>
      </c>
      <c r="U15" s="52">
        <v>81</v>
      </c>
      <c r="V15" s="52">
        <v>84</v>
      </c>
      <c r="W15" s="52">
        <v>89</v>
      </c>
      <c r="X15" s="7">
        <v>1</v>
      </c>
      <c r="Y15" s="8">
        <v>0.55384615384615388</v>
      </c>
      <c r="Z15" s="8">
        <v>0.24752475247524749</v>
      </c>
      <c r="AA15" s="8">
        <v>0.20634920634920631</v>
      </c>
    </row>
    <row r="16" spans="2:27" x14ac:dyDescent="0.3">
      <c r="B16" s="12" t="s">
        <v>86</v>
      </c>
      <c r="C16" s="3" t="s">
        <v>671</v>
      </c>
      <c r="D16" s="3" t="s">
        <v>693</v>
      </c>
      <c r="E16" s="3" t="s">
        <v>673</v>
      </c>
      <c r="F16" s="13">
        <v>17.2</v>
      </c>
      <c r="G16" s="51">
        <v>0.6</v>
      </c>
      <c r="H16" s="51">
        <v>41.3</v>
      </c>
      <c r="I16" s="51">
        <v>77</v>
      </c>
      <c r="J16" s="51">
        <v>147.5</v>
      </c>
      <c r="K16" s="52">
        <v>125.4</v>
      </c>
      <c r="L16" s="51">
        <v>47.2</v>
      </c>
      <c r="M16" s="52">
        <v>128.1</v>
      </c>
      <c r="N16" s="52">
        <v>205.5</v>
      </c>
      <c r="O16" s="52">
        <v>216.9</v>
      </c>
      <c r="P16" s="51">
        <v>101.1</v>
      </c>
      <c r="Q16" s="51">
        <v>158</v>
      </c>
      <c r="R16" s="51">
        <v>152</v>
      </c>
      <c r="S16" s="51">
        <v>188.9</v>
      </c>
      <c r="T16" s="51">
        <v>133.69999999999999</v>
      </c>
      <c r="U16" s="51">
        <v>212.6</v>
      </c>
      <c r="V16" s="52">
        <v>242.5</v>
      </c>
      <c r="W16" s="52">
        <v>323</v>
      </c>
      <c r="X16" s="9">
        <v>5.4333333333333338E-2</v>
      </c>
      <c r="Y16" s="10">
        <v>8.6310464748656335E-2</v>
      </c>
      <c r="Z16" s="8">
        <v>0.13169383003492441</v>
      </c>
      <c r="AA16" s="8">
        <v>0.17243152886717231</v>
      </c>
    </row>
    <row r="17" spans="2:27" x14ac:dyDescent="0.3">
      <c r="B17" s="12" t="s">
        <v>340</v>
      </c>
      <c r="C17" s="3" t="s">
        <v>671</v>
      </c>
      <c r="D17" s="3" t="s">
        <v>688</v>
      </c>
      <c r="E17" s="3" t="s">
        <v>673</v>
      </c>
      <c r="F17" s="13">
        <v>17.100000000000001</v>
      </c>
      <c r="G17" s="51">
        <v>-10.06</v>
      </c>
      <c r="H17" s="51">
        <v>20.91</v>
      </c>
      <c r="I17" s="51">
        <v>231.04</v>
      </c>
      <c r="J17" s="51">
        <v>303</v>
      </c>
      <c r="K17" s="52">
        <v>296.54000000000002</v>
      </c>
      <c r="L17" s="52">
        <v>231.24</v>
      </c>
      <c r="M17" s="51">
        <v>170.78</v>
      </c>
      <c r="N17" s="51">
        <v>134.28</v>
      </c>
      <c r="O17" s="51">
        <v>167.34</v>
      </c>
      <c r="P17" s="51">
        <v>233.64</v>
      </c>
      <c r="Q17" s="51">
        <v>210.42</v>
      </c>
      <c r="R17" s="51">
        <v>101.76</v>
      </c>
      <c r="S17" s="51">
        <v>42.25</v>
      </c>
      <c r="T17" s="51">
        <v>60.41</v>
      </c>
      <c r="U17" s="51">
        <v>79.08</v>
      </c>
      <c r="V17" s="51">
        <v>82.64</v>
      </c>
      <c r="W17" s="52">
        <v>87.57</v>
      </c>
      <c r="X17" s="9">
        <v>-0.29457377523083977</v>
      </c>
      <c r="Y17" s="10">
        <v>-0.31660399190049171</v>
      </c>
      <c r="Z17" s="10">
        <v>-6.7442680776014119E-2</v>
      </c>
      <c r="AA17" s="8">
        <v>0.17141992586428631</v>
      </c>
    </row>
    <row r="18" spans="2:27" hidden="1" x14ac:dyDescent="0.3">
      <c r="B18" s="3" t="s">
        <v>457</v>
      </c>
      <c r="C18" s="3" t="s">
        <v>671</v>
      </c>
      <c r="D18" s="3" t="s">
        <v>756</v>
      </c>
      <c r="E18" s="3" t="s">
        <v>743</v>
      </c>
      <c r="F18" s="13">
        <v>22.1</v>
      </c>
      <c r="G18" s="4">
        <v>-0.31</v>
      </c>
      <c r="H18" s="4">
        <v>-0.85</v>
      </c>
      <c r="I18" s="4">
        <v>-0.42</v>
      </c>
      <c r="J18" s="4">
        <v>-0.31</v>
      </c>
      <c r="K18" s="6">
        <v>-1.28</v>
      </c>
      <c r="L18" s="6">
        <v>-4.1399999999999997</v>
      </c>
      <c r="M18" s="6">
        <v>-23.19</v>
      </c>
      <c r="N18" s="6">
        <v>-22.31</v>
      </c>
      <c r="O18" s="6">
        <v>-23.07</v>
      </c>
      <c r="P18" s="6">
        <v>-25.1</v>
      </c>
      <c r="Q18" s="6">
        <v>-153.63</v>
      </c>
      <c r="R18" s="6">
        <v>-62.24</v>
      </c>
      <c r="S18" s="6">
        <v>-54.61</v>
      </c>
      <c r="T18" s="4">
        <v>-53.84</v>
      </c>
      <c r="U18" s="4">
        <v>-56.36</v>
      </c>
      <c r="V18" s="6">
        <v>-128.88999999999999</v>
      </c>
      <c r="W18" s="6">
        <v>-119.38</v>
      </c>
      <c r="X18" s="9">
        <v>9.7232559713106514E-2</v>
      </c>
      <c r="Y18" s="10">
        <v>-0.2999198322644302</v>
      </c>
      <c r="Z18" s="8">
        <v>0.2935476767231886</v>
      </c>
      <c r="AA18" s="8">
        <v>0.22053115423901939</v>
      </c>
    </row>
    <row r="19" spans="2:27" x14ac:dyDescent="0.3">
      <c r="B19" s="12" t="s">
        <v>84</v>
      </c>
      <c r="C19" s="3" t="s">
        <v>671</v>
      </c>
      <c r="D19" s="3" t="s">
        <v>672</v>
      </c>
      <c r="E19" s="3" t="s">
        <v>673</v>
      </c>
      <c r="F19" s="13">
        <v>16.399999999999999</v>
      </c>
      <c r="G19" s="51">
        <v>-29.25</v>
      </c>
      <c r="H19" s="51">
        <v>-151.04</v>
      </c>
      <c r="I19" s="51">
        <v>160.47999999999999</v>
      </c>
      <c r="J19" s="51">
        <v>178.46</v>
      </c>
      <c r="K19" s="52">
        <v>121.66</v>
      </c>
      <c r="L19" s="52">
        <v>25.42</v>
      </c>
      <c r="M19" s="51">
        <v>141.12</v>
      </c>
      <c r="N19" s="51">
        <v>123.64</v>
      </c>
      <c r="O19" s="51">
        <v>0</v>
      </c>
      <c r="P19" s="51">
        <v>-80.849999999999994</v>
      </c>
      <c r="Q19" s="51">
        <v>-95.8</v>
      </c>
      <c r="R19" s="52">
        <v>-80.599999999999994</v>
      </c>
      <c r="S19" s="52">
        <v>-149.30000000000001</v>
      </c>
      <c r="T19" s="52">
        <v>-129.5</v>
      </c>
      <c r="U19" s="51">
        <v>-111.2</v>
      </c>
      <c r="V19" s="52">
        <v>-130.19999999999999</v>
      </c>
      <c r="W19" s="52">
        <v>-234.5</v>
      </c>
      <c r="X19" s="7">
        <v>0.1196654778010084</v>
      </c>
      <c r="Y19" s="10">
        <v>3.3831282952548447E-2</v>
      </c>
      <c r="Z19" s="8">
        <v>0.10539736506587349</v>
      </c>
      <c r="AA19" s="8">
        <v>0.16378316032295251</v>
      </c>
    </row>
    <row r="20" spans="2:27" x14ac:dyDescent="0.3">
      <c r="B20" s="12" t="s">
        <v>422</v>
      </c>
      <c r="C20" s="3" t="s">
        <v>671</v>
      </c>
      <c r="D20" s="3" t="s">
        <v>714</v>
      </c>
      <c r="E20" s="3" t="s">
        <v>673</v>
      </c>
      <c r="F20" s="13">
        <v>14.4</v>
      </c>
      <c r="G20" s="51">
        <v>-0.05</v>
      </c>
      <c r="H20" s="51">
        <v>0.21</v>
      </c>
      <c r="I20" s="51">
        <v>-0.32</v>
      </c>
      <c r="J20" s="51">
        <v>-0.39</v>
      </c>
      <c r="K20" s="51">
        <v>0</v>
      </c>
      <c r="L20" s="52">
        <v>-0.13</v>
      </c>
      <c r="M20" s="51">
        <v>-0.09</v>
      </c>
      <c r="N20" s="51">
        <v>0.15</v>
      </c>
      <c r="O20" s="51">
        <v>0.23</v>
      </c>
      <c r="P20" s="51">
        <v>-0.36</v>
      </c>
      <c r="Q20" s="52">
        <v>-0.62</v>
      </c>
      <c r="R20" s="52">
        <v>-0.46</v>
      </c>
      <c r="S20" s="52">
        <v>-0.51</v>
      </c>
      <c r="T20" s="52">
        <v>-0.67</v>
      </c>
      <c r="U20" s="52">
        <v>-1.82</v>
      </c>
      <c r="V20" s="52">
        <v>-2.56</v>
      </c>
      <c r="W20" s="52">
        <v>-1.31</v>
      </c>
      <c r="X20" s="7">
        <v>0.1589743589743591</v>
      </c>
      <c r="Y20" s="8">
        <v>0.53097345132743357</v>
      </c>
      <c r="Z20" s="8">
        <v>0.60693641618497129</v>
      </c>
      <c r="AA20" s="8">
        <v>0.1438848920863309</v>
      </c>
    </row>
    <row r="21" spans="2:27" hidden="1" x14ac:dyDescent="0.3">
      <c r="B21" s="3" t="s">
        <v>592</v>
      </c>
      <c r="C21" s="3" t="s">
        <v>671</v>
      </c>
      <c r="D21" s="3" t="s">
        <v>678</v>
      </c>
      <c r="E21" s="3" t="s">
        <v>743</v>
      </c>
      <c r="F21" s="13">
        <v>19.7</v>
      </c>
      <c r="G21" s="4">
        <v>-2.81</v>
      </c>
      <c r="H21" s="4">
        <v>-3.23</v>
      </c>
      <c r="I21" s="4">
        <v>-2.89</v>
      </c>
      <c r="J21" s="4">
        <v>-2.06</v>
      </c>
      <c r="K21" s="4">
        <v>-3.77</v>
      </c>
      <c r="L21" s="6">
        <v>-5.42</v>
      </c>
      <c r="M21" s="6">
        <v>-5.26</v>
      </c>
      <c r="N21" s="4">
        <v>-3.62</v>
      </c>
      <c r="O21" s="4">
        <v>-2.95</v>
      </c>
      <c r="P21" s="4">
        <v>-5.46</v>
      </c>
      <c r="Q21" s="4">
        <v>-2.11</v>
      </c>
      <c r="R21" s="4">
        <v>14.23</v>
      </c>
      <c r="S21" s="6">
        <v>22.32</v>
      </c>
      <c r="T21" s="6">
        <v>16.14</v>
      </c>
      <c r="U21" s="6">
        <v>8.7899999999999991</v>
      </c>
      <c r="V21" s="6">
        <v>30.57</v>
      </c>
      <c r="W21" s="6">
        <v>37.65</v>
      </c>
      <c r="X21" s="7">
        <v>0.74534161490683215</v>
      </c>
      <c r="Y21" s="8">
        <v>0.21550019770660361</v>
      </c>
      <c r="Z21" s="8">
        <v>0.26577748861418332</v>
      </c>
      <c r="AA21" s="8">
        <v>0.1969930609097921</v>
      </c>
    </row>
    <row r="22" spans="2:27" hidden="1" x14ac:dyDescent="0.3">
      <c r="B22" s="3" t="s">
        <v>553</v>
      </c>
      <c r="C22" s="3" t="s">
        <v>671</v>
      </c>
      <c r="D22" s="3" t="s">
        <v>681</v>
      </c>
      <c r="E22" s="3" t="s">
        <v>743</v>
      </c>
      <c r="F22" s="13">
        <v>18</v>
      </c>
      <c r="G22" s="4">
        <v>3.18</v>
      </c>
      <c r="H22" s="4">
        <v>3.18</v>
      </c>
      <c r="I22" s="4">
        <v>-5.65</v>
      </c>
      <c r="J22" s="4">
        <v>-5.65</v>
      </c>
      <c r="K22" s="6">
        <v>-2.62</v>
      </c>
      <c r="L22" s="6">
        <v>-0.49</v>
      </c>
      <c r="M22" s="4">
        <v>-2.2400000000000002</v>
      </c>
      <c r="N22" s="6">
        <v>-12.44</v>
      </c>
      <c r="O22" s="4">
        <v>27.2</v>
      </c>
      <c r="P22" s="4">
        <v>-4.3600000000000003</v>
      </c>
      <c r="Q22" s="4">
        <v>-19.59</v>
      </c>
      <c r="R22" s="6">
        <v>-23.23</v>
      </c>
      <c r="S22" s="6">
        <v>-15.14</v>
      </c>
      <c r="T22" s="6">
        <v>-30.19</v>
      </c>
      <c r="U22" s="6">
        <v>-33.700000000000003</v>
      </c>
      <c r="V22" s="4">
        <v>-21.44</v>
      </c>
      <c r="W22" s="6">
        <v>-33.19</v>
      </c>
      <c r="X22" s="7">
        <v>0.41447368421052633</v>
      </c>
      <c r="Y22" s="8">
        <v>0.16006806579693711</v>
      </c>
      <c r="Z22" s="10">
        <v>-1.7504400547623811E-2</v>
      </c>
      <c r="AA22" s="8">
        <v>0.17965561859261481</v>
      </c>
    </row>
    <row r="23" spans="2:27" x14ac:dyDescent="0.3">
      <c r="B23" s="12" t="s">
        <v>419</v>
      </c>
      <c r="C23" s="3" t="s">
        <v>671</v>
      </c>
      <c r="D23" s="3" t="s">
        <v>693</v>
      </c>
      <c r="E23" s="3" t="s">
        <v>673</v>
      </c>
      <c r="F23" s="13">
        <v>12.9</v>
      </c>
      <c r="G23" s="51">
        <v>-4.78</v>
      </c>
      <c r="H23" s="51">
        <v>-0.16</v>
      </c>
      <c r="I23" s="51">
        <v>1.34</v>
      </c>
      <c r="J23" s="51">
        <v>-3.71</v>
      </c>
      <c r="K23" s="51">
        <v>-0.18</v>
      </c>
      <c r="L23" s="51">
        <v>0.96</v>
      </c>
      <c r="M23" s="51">
        <v>4.33</v>
      </c>
      <c r="N23" s="52">
        <v>4.9800000000000004</v>
      </c>
      <c r="O23" s="52">
        <v>4.78</v>
      </c>
      <c r="P23" s="52">
        <v>7.84</v>
      </c>
      <c r="Q23" s="52">
        <v>8.31</v>
      </c>
      <c r="R23" s="52">
        <v>7.89</v>
      </c>
      <c r="S23" s="51">
        <v>3.85</v>
      </c>
      <c r="T23" s="51">
        <v>-0.69</v>
      </c>
      <c r="U23" s="52">
        <v>10.98</v>
      </c>
      <c r="V23" s="52">
        <v>11.64</v>
      </c>
      <c r="W23" s="52">
        <v>7.18</v>
      </c>
      <c r="X23" s="9">
        <v>-0.30584438866977409</v>
      </c>
      <c r="Y23" s="8">
        <v>0.13791322314049601</v>
      </c>
      <c r="Z23" s="8">
        <v>0.17022242396731729</v>
      </c>
      <c r="AA23" s="8">
        <v>0.12916989914662519</v>
      </c>
    </row>
    <row r="24" spans="2:27" x14ac:dyDescent="0.3">
      <c r="B24" s="12" t="s">
        <v>210</v>
      </c>
      <c r="C24" s="3" t="s">
        <v>671</v>
      </c>
      <c r="D24" s="3" t="s">
        <v>679</v>
      </c>
      <c r="E24" s="3" t="s">
        <v>673</v>
      </c>
      <c r="F24" s="13">
        <v>12.8</v>
      </c>
      <c r="G24" s="51">
        <v>23.84</v>
      </c>
      <c r="H24" s="51">
        <v>21.98</v>
      </c>
      <c r="I24" s="51">
        <v>28.67</v>
      </c>
      <c r="J24" s="51">
        <v>28.38</v>
      </c>
      <c r="K24" s="51">
        <v>33.409999999999997</v>
      </c>
      <c r="L24" s="51">
        <v>31.46</v>
      </c>
      <c r="M24" s="51">
        <v>32.07</v>
      </c>
      <c r="N24" s="51">
        <v>33.92</v>
      </c>
      <c r="O24" s="51">
        <v>37.72</v>
      </c>
      <c r="P24" s="51">
        <v>40.32</v>
      </c>
      <c r="Q24" s="52">
        <v>46.66</v>
      </c>
      <c r="R24" s="52">
        <v>51.12</v>
      </c>
      <c r="S24" s="51">
        <v>53.98</v>
      </c>
      <c r="T24" s="52">
        <v>67.59</v>
      </c>
      <c r="U24" s="52">
        <v>75.650000000000006</v>
      </c>
      <c r="V24" s="52">
        <v>87.73</v>
      </c>
      <c r="W24" s="52">
        <v>90.49</v>
      </c>
      <c r="X24" s="7">
        <v>0.14197209496043331</v>
      </c>
      <c r="Y24" s="8">
        <v>0.13216320948256219</v>
      </c>
      <c r="Z24" s="8">
        <v>0.14741886123862449</v>
      </c>
      <c r="AA24" s="8">
        <v>0.12812774170907201</v>
      </c>
    </row>
    <row r="25" spans="2:27" x14ac:dyDescent="0.3">
      <c r="B25" s="12" t="s">
        <v>291</v>
      </c>
      <c r="C25" s="3" t="s">
        <v>671</v>
      </c>
      <c r="D25" s="3" t="s">
        <v>718</v>
      </c>
      <c r="E25" s="3" t="s">
        <v>673</v>
      </c>
      <c r="F25" s="13">
        <v>10.6</v>
      </c>
      <c r="G25" s="51">
        <v>11.57</v>
      </c>
      <c r="H25" s="51">
        <v>9.14</v>
      </c>
      <c r="I25" s="51">
        <v>-3.74</v>
      </c>
      <c r="J25" s="51">
        <v>11.97</v>
      </c>
      <c r="K25" s="51">
        <v>0.63</v>
      </c>
      <c r="L25" s="51">
        <v>3.61</v>
      </c>
      <c r="M25" s="52">
        <v>9.67</v>
      </c>
      <c r="N25" s="51">
        <v>13.76</v>
      </c>
      <c r="O25" s="52">
        <v>14.37</v>
      </c>
      <c r="P25" s="52">
        <v>12.19</v>
      </c>
      <c r="Q25" s="51">
        <v>10.42</v>
      </c>
      <c r="R25" s="51">
        <v>-2.88</v>
      </c>
      <c r="S25" s="51">
        <v>6.22</v>
      </c>
      <c r="T25" s="51">
        <v>-5.91</v>
      </c>
      <c r="U25" s="51">
        <v>-19.73</v>
      </c>
      <c r="V25" s="52">
        <v>-5.16</v>
      </c>
      <c r="W25" s="52">
        <v>3.61</v>
      </c>
      <c r="X25" s="9">
        <v>-0.69749518304431601</v>
      </c>
      <c r="Y25" s="10">
        <v>-3.8407643312101909</v>
      </c>
      <c r="Z25" s="8">
        <v>0.1022421524663677</v>
      </c>
      <c r="AA25" s="8">
        <v>0.1061838893409275</v>
      </c>
    </row>
    <row r="26" spans="2:27" hidden="1" x14ac:dyDescent="0.3">
      <c r="B26" s="3" t="s">
        <v>609</v>
      </c>
      <c r="C26" s="3" t="s">
        <v>671</v>
      </c>
      <c r="D26" s="3" t="s">
        <v>711</v>
      </c>
      <c r="E26" s="3" t="s">
        <v>743</v>
      </c>
      <c r="F26" s="13">
        <v>13.6</v>
      </c>
      <c r="G26" s="4">
        <v>-55.72</v>
      </c>
      <c r="H26" s="4">
        <v>-38.94</v>
      </c>
      <c r="I26" s="4">
        <v>-61.89</v>
      </c>
      <c r="J26" s="4">
        <v>-72.8</v>
      </c>
      <c r="K26" s="4">
        <v>-72.540000000000006</v>
      </c>
      <c r="L26" s="6">
        <v>-64.19</v>
      </c>
      <c r="M26" s="4">
        <v>-26.92</v>
      </c>
      <c r="N26" s="4">
        <v>-18.649999999999999</v>
      </c>
      <c r="O26" s="4">
        <v>3.21</v>
      </c>
      <c r="P26" s="4">
        <v>13.34</v>
      </c>
      <c r="Q26" s="4">
        <v>16.16</v>
      </c>
      <c r="R26" s="6">
        <v>2.97</v>
      </c>
      <c r="S26" s="6">
        <v>15.98</v>
      </c>
      <c r="T26" s="4">
        <v>3.92</v>
      </c>
      <c r="U26" s="4">
        <v>15.27</v>
      </c>
      <c r="V26" s="6">
        <v>23.07</v>
      </c>
      <c r="W26" s="6">
        <v>23.92</v>
      </c>
      <c r="X26" s="9">
        <v>-0.19442724458204341</v>
      </c>
      <c r="Y26" s="10">
        <v>-2.2802972072764601E-2</v>
      </c>
      <c r="Z26" s="8">
        <v>0.5270057682223388</v>
      </c>
      <c r="AA26" s="8">
        <v>0.13633241758241771</v>
      </c>
    </row>
    <row r="27" spans="2:27" hidden="1" x14ac:dyDescent="0.3">
      <c r="B27" s="3" t="s">
        <v>15</v>
      </c>
      <c r="C27" s="3" t="s">
        <v>671</v>
      </c>
      <c r="D27" s="3" t="s">
        <v>678</v>
      </c>
      <c r="E27" s="3" t="s">
        <v>743</v>
      </c>
      <c r="F27" s="13">
        <v>13</v>
      </c>
      <c r="G27" s="4">
        <v>22.44</v>
      </c>
      <c r="H27" s="4">
        <v>22.34</v>
      </c>
      <c r="I27" s="4">
        <v>23.99</v>
      </c>
      <c r="J27" s="4">
        <v>23.09</v>
      </c>
      <c r="K27" s="4">
        <v>20.91</v>
      </c>
      <c r="L27" s="4">
        <v>25.55</v>
      </c>
      <c r="M27" s="4">
        <v>25.38</v>
      </c>
      <c r="N27" s="4">
        <v>21.17</v>
      </c>
      <c r="O27" s="4">
        <v>7.62</v>
      </c>
      <c r="P27" s="4">
        <v>9.41</v>
      </c>
      <c r="Q27" s="4">
        <v>29.59</v>
      </c>
      <c r="R27" s="4">
        <v>-17.579999999999998</v>
      </c>
      <c r="S27" s="6">
        <v>27.43</v>
      </c>
      <c r="T27" s="6">
        <v>41.33</v>
      </c>
      <c r="U27" s="6">
        <v>38.520000000000003</v>
      </c>
      <c r="V27" s="6">
        <v>41.43</v>
      </c>
      <c r="W27" s="6">
        <v>46.69</v>
      </c>
      <c r="X27" s="7">
        <v>0.65342886386898646</v>
      </c>
      <c r="Y27" s="8">
        <v>0.1105608518014114</v>
      </c>
      <c r="Z27" s="8">
        <v>0.65785953177257528</v>
      </c>
      <c r="AA27" s="8">
        <v>0.12951381884204149</v>
      </c>
    </row>
    <row r="28" spans="2:27" x14ac:dyDescent="0.3">
      <c r="B28" s="12" t="s">
        <v>326</v>
      </c>
      <c r="C28" s="3" t="s">
        <v>671</v>
      </c>
      <c r="D28" s="3" t="s">
        <v>698</v>
      </c>
      <c r="E28" s="3" t="s">
        <v>673</v>
      </c>
      <c r="F28" s="5">
        <v>9.1999999999999993</v>
      </c>
      <c r="G28" s="51">
        <v>15.37</v>
      </c>
      <c r="H28" s="51">
        <v>16.510000000000002</v>
      </c>
      <c r="I28" s="51">
        <v>15.97</v>
      </c>
      <c r="J28" s="51">
        <v>19.690000000000001</v>
      </c>
      <c r="K28" s="51">
        <v>19.010000000000002</v>
      </c>
      <c r="L28" s="51">
        <v>16.73</v>
      </c>
      <c r="M28" s="51">
        <v>17.03</v>
      </c>
      <c r="N28" s="51">
        <v>20.6</v>
      </c>
      <c r="O28" s="51">
        <v>22.89</v>
      </c>
      <c r="P28" s="51">
        <v>15.4</v>
      </c>
      <c r="Q28" s="51">
        <v>23.17</v>
      </c>
      <c r="R28" s="51">
        <v>25.57</v>
      </c>
      <c r="S28" s="51">
        <v>24.74</v>
      </c>
      <c r="T28" s="52">
        <v>25.96</v>
      </c>
      <c r="U28" s="51">
        <v>26.47</v>
      </c>
      <c r="V28" s="51">
        <v>31.19</v>
      </c>
      <c r="W28" s="51">
        <v>34.69</v>
      </c>
      <c r="X28" s="7">
        <v>0.1188118811881189</v>
      </c>
      <c r="Y28" s="10">
        <v>3.3185840707964598E-2</v>
      </c>
      <c r="Z28" s="10">
        <v>5.4701187463500167E-2</v>
      </c>
      <c r="AA28" s="10">
        <v>9.1823551125876701E-2</v>
      </c>
    </row>
    <row r="29" spans="2:27" x14ac:dyDescent="0.3">
      <c r="B29" s="12" t="s">
        <v>217</v>
      </c>
      <c r="C29" s="3" t="s">
        <v>671</v>
      </c>
      <c r="D29" s="3" t="s">
        <v>687</v>
      </c>
      <c r="E29" s="3" t="s">
        <v>673</v>
      </c>
      <c r="F29" s="5">
        <v>9</v>
      </c>
      <c r="G29" s="51">
        <v>-7.09</v>
      </c>
      <c r="H29" s="51">
        <v>-13.03</v>
      </c>
      <c r="I29" s="51">
        <v>2.67</v>
      </c>
      <c r="J29" s="51">
        <v>5.18</v>
      </c>
      <c r="K29" s="51">
        <v>5.56</v>
      </c>
      <c r="L29" s="52">
        <v>-0.08</v>
      </c>
      <c r="M29" s="52">
        <v>21.76</v>
      </c>
      <c r="N29" s="52">
        <v>24.92</v>
      </c>
      <c r="O29" s="51">
        <v>4.7300000000000004</v>
      </c>
      <c r="P29" s="52">
        <v>28.28</v>
      </c>
      <c r="Q29" s="52">
        <v>38.880000000000003</v>
      </c>
      <c r="R29" s="52">
        <v>36.71</v>
      </c>
      <c r="S29" s="52">
        <v>20.14</v>
      </c>
      <c r="T29" s="51">
        <v>32.299999999999997</v>
      </c>
      <c r="U29" s="52">
        <v>56.42</v>
      </c>
      <c r="V29" s="51">
        <v>44.14</v>
      </c>
      <c r="W29" s="51">
        <v>33.96</v>
      </c>
      <c r="X29" s="9">
        <v>3.2416740585436532E-2</v>
      </c>
      <c r="Y29" s="8">
        <v>0.13699914082636869</v>
      </c>
      <c r="Z29" s="10">
        <v>5.1040736415470363E-2</v>
      </c>
      <c r="AA29" s="10">
        <v>9.0326797385620772E-2</v>
      </c>
    </row>
    <row r="30" spans="2:27" hidden="1" x14ac:dyDescent="0.3">
      <c r="B30" s="3" t="s">
        <v>313</v>
      </c>
      <c r="C30" s="3" t="s">
        <v>671</v>
      </c>
      <c r="D30" s="3" t="s">
        <v>695</v>
      </c>
      <c r="E30" s="3" t="s">
        <v>743</v>
      </c>
      <c r="F30" s="13">
        <v>11</v>
      </c>
      <c r="G30" s="4">
        <v>-33.65</v>
      </c>
      <c r="H30" s="4">
        <v>-23.95</v>
      </c>
      <c r="I30" s="4">
        <v>35.950000000000003</v>
      </c>
      <c r="J30" s="4">
        <v>35.950000000000003</v>
      </c>
      <c r="K30" s="4">
        <v>-111.9</v>
      </c>
      <c r="L30" s="4">
        <v>117.7</v>
      </c>
      <c r="M30" s="6">
        <v>146.05000000000001</v>
      </c>
      <c r="N30" s="6">
        <v>140.75</v>
      </c>
      <c r="O30" s="6">
        <v>96.5</v>
      </c>
      <c r="P30" s="4">
        <v>84.6</v>
      </c>
      <c r="Q30" s="4">
        <v>133.4</v>
      </c>
      <c r="R30" s="4">
        <v>92.2</v>
      </c>
      <c r="S30" s="4">
        <v>92.5</v>
      </c>
      <c r="T30" s="6">
        <v>168.9</v>
      </c>
      <c r="U30" s="4">
        <v>69.099999999999994</v>
      </c>
      <c r="V30" s="4">
        <v>98.9</v>
      </c>
      <c r="W30" s="6">
        <v>139.80000000000001</v>
      </c>
      <c r="X30" s="7">
        <v>0.2093369754159424</v>
      </c>
      <c r="Y30" s="10">
        <v>-0.13203285420944569</v>
      </c>
      <c r="Z30" s="10">
        <v>1.5850484977525389E-2</v>
      </c>
      <c r="AA30" s="8">
        <v>0.1101537028411739</v>
      </c>
    </row>
    <row r="31" spans="2:27" x14ac:dyDescent="0.3">
      <c r="B31" s="12" t="s">
        <v>322</v>
      </c>
      <c r="C31" s="3" t="s">
        <v>671</v>
      </c>
      <c r="D31" s="3" t="s">
        <v>711</v>
      </c>
      <c r="E31" s="3" t="s">
        <v>673</v>
      </c>
      <c r="F31" s="5">
        <v>8.3000000000000007</v>
      </c>
      <c r="G31" s="51">
        <v>-78.42</v>
      </c>
      <c r="H31" s="51">
        <v>-135.9</v>
      </c>
      <c r="I31" s="51">
        <v>-209.18</v>
      </c>
      <c r="J31" s="51">
        <v>-198.55</v>
      </c>
      <c r="K31" s="52">
        <v>-195.89</v>
      </c>
      <c r="L31" s="51">
        <v>0.36</v>
      </c>
      <c r="M31" s="51">
        <v>64.290000000000006</v>
      </c>
      <c r="N31" s="51">
        <v>94.7</v>
      </c>
      <c r="O31" s="51">
        <v>113.23</v>
      </c>
      <c r="P31" s="52">
        <v>125.35</v>
      </c>
      <c r="Q31" s="52">
        <v>123.74</v>
      </c>
      <c r="R31" s="51">
        <v>138.59</v>
      </c>
      <c r="S31" s="51">
        <v>100.27</v>
      </c>
      <c r="T31" s="51">
        <v>144.87</v>
      </c>
      <c r="U31" s="51">
        <v>124.66</v>
      </c>
      <c r="V31" s="51">
        <v>184.51</v>
      </c>
      <c r="W31" s="51">
        <v>146.38999999999999</v>
      </c>
      <c r="X31" s="9">
        <v>4.0004098780612951E-2</v>
      </c>
      <c r="Y31" s="10">
        <v>1.812915049165476E-3</v>
      </c>
      <c r="Z31" s="10">
        <v>9.0324357284761625E-2</v>
      </c>
      <c r="AA31" s="10">
        <v>8.3202540094892807E-2</v>
      </c>
    </row>
    <row r="32" spans="2:27" x14ac:dyDescent="0.3">
      <c r="B32" s="12" t="s">
        <v>35</v>
      </c>
      <c r="C32" s="3" t="s">
        <v>671</v>
      </c>
      <c r="D32" s="3" t="s">
        <v>700</v>
      </c>
      <c r="E32" s="3" t="s">
        <v>673</v>
      </c>
      <c r="F32" s="5">
        <v>7.6</v>
      </c>
      <c r="G32" s="51">
        <v>203</v>
      </c>
      <c r="H32" s="51">
        <v>233</v>
      </c>
      <c r="I32" s="51">
        <v>246</v>
      </c>
      <c r="J32" s="51">
        <v>253</v>
      </c>
      <c r="K32" s="51">
        <v>263</v>
      </c>
      <c r="L32" s="51">
        <v>283</v>
      </c>
      <c r="M32" s="51">
        <v>276</v>
      </c>
      <c r="N32" s="51">
        <v>305</v>
      </c>
      <c r="O32" s="51">
        <v>321</v>
      </c>
      <c r="P32" s="51">
        <v>362</v>
      </c>
      <c r="Q32" s="52">
        <v>405</v>
      </c>
      <c r="R32" s="51">
        <v>412</v>
      </c>
      <c r="S32" s="51">
        <v>428</v>
      </c>
      <c r="T32" s="51">
        <v>484</v>
      </c>
      <c r="U32" s="51">
        <v>514</v>
      </c>
      <c r="V32" s="51">
        <v>536</v>
      </c>
      <c r="W32" s="51">
        <v>577</v>
      </c>
      <c r="X32" s="9">
        <v>7.5917859365276952E-2</v>
      </c>
      <c r="Y32" s="10">
        <v>6.3042220936957882E-2</v>
      </c>
      <c r="Z32" s="10">
        <v>6.7464635473340584E-2</v>
      </c>
      <c r="AA32" s="10">
        <v>7.5942915392456678E-2</v>
      </c>
    </row>
    <row r="33" spans="2:27" x14ac:dyDescent="0.3">
      <c r="B33" s="12" t="s">
        <v>147</v>
      </c>
      <c r="C33" s="3" t="s">
        <v>671</v>
      </c>
      <c r="D33" s="3" t="s">
        <v>674</v>
      </c>
      <c r="E33" s="3" t="s">
        <v>673</v>
      </c>
      <c r="F33" s="5">
        <v>7.4</v>
      </c>
      <c r="G33" s="51">
        <v>-33</v>
      </c>
      <c r="H33" s="51">
        <v>22</v>
      </c>
      <c r="I33" s="51">
        <v>170</v>
      </c>
      <c r="J33" s="51">
        <v>145</v>
      </c>
      <c r="K33" s="52">
        <v>61</v>
      </c>
      <c r="L33" s="52">
        <v>80</v>
      </c>
      <c r="M33" s="51">
        <v>113</v>
      </c>
      <c r="N33" s="51">
        <v>114</v>
      </c>
      <c r="O33" s="51">
        <v>22</v>
      </c>
      <c r="P33" s="51">
        <v>48</v>
      </c>
      <c r="Q33" s="52">
        <v>160</v>
      </c>
      <c r="R33" s="51">
        <v>112</v>
      </c>
      <c r="S33" s="52">
        <v>96</v>
      </c>
      <c r="T33" s="52">
        <v>126</v>
      </c>
      <c r="U33" s="51">
        <v>140</v>
      </c>
      <c r="V33" s="51">
        <v>123</v>
      </c>
      <c r="W33" s="51">
        <v>132</v>
      </c>
      <c r="X33" s="7">
        <v>0.1875</v>
      </c>
      <c r="Y33" s="10">
        <v>-4.0485829959514219E-2</v>
      </c>
      <c r="Z33" s="10">
        <v>2.320675105485237E-2</v>
      </c>
      <c r="AA33" s="10">
        <v>7.4226804123711299E-2</v>
      </c>
    </row>
    <row r="34" spans="2:27" x14ac:dyDescent="0.3">
      <c r="B34" s="12" t="s">
        <v>185</v>
      </c>
      <c r="C34" s="3" t="s">
        <v>671</v>
      </c>
      <c r="D34" s="3" t="s">
        <v>704</v>
      </c>
      <c r="E34" s="3" t="s">
        <v>673</v>
      </c>
      <c r="F34" s="5">
        <v>6.9</v>
      </c>
      <c r="G34" s="51">
        <v>79.3</v>
      </c>
      <c r="H34" s="51">
        <v>63.5</v>
      </c>
      <c r="I34" s="51">
        <v>53.9</v>
      </c>
      <c r="J34" s="51">
        <v>22.9</v>
      </c>
      <c r="K34" s="51">
        <v>53.4</v>
      </c>
      <c r="L34" s="51">
        <v>24.5</v>
      </c>
      <c r="M34" s="51">
        <v>41.7</v>
      </c>
      <c r="N34" s="52">
        <v>70</v>
      </c>
      <c r="O34" s="52">
        <v>94.4</v>
      </c>
      <c r="P34" s="52">
        <v>92.6</v>
      </c>
      <c r="Q34" s="52">
        <v>108.5</v>
      </c>
      <c r="R34" s="52">
        <v>115.5</v>
      </c>
      <c r="S34" s="51">
        <v>104.2</v>
      </c>
      <c r="T34" s="51">
        <v>114.1</v>
      </c>
      <c r="U34" s="51">
        <v>125.1</v>
      </c>
      <c r="V34" s="51">
        <v>127.8</v>
      </c>
      <c r="W34" s="51">
        <v>136.9</v>
      </c>
      <c r="X34" s="9">
        <v>5.1093155893536142E-2</v>
      </c>
      <c r="Y34" s="10">
        <v>3.753108749717371E-2</v>
      </c>
      <c r="Z34" s="10">
        <v>2.680322510350841E-2</v>
      </c>
      <c r="AA34" s="10">
        <v>6.9397283531409171E-2</v>
      </c>
    </row>
    <row r="35" spans="2:27" x14ac:dyDescent="0.3">
      <c r="B35" s="12" t="s">
        <v>19</v>
      </c>
      <c r="C35" s="3" t="s">
        <v>671</v>
      </c>
      <c r="D35" s="3" t="s">
        <v>686</v>
      </c>
      <c r="E35" s="3" t="s">
        <v>673</v>
      </c>
      <c r="F35" s="5">
        <v>6.4</v>
      </c>
      <c r="G35" s="51">
        <v>265.79000000000002</v>
      </c>
      <c r="H35" s="51">
        <v>277.99</v>
      </c>
      <c r="I35" s="51">
        <v>362.85</v>
      </c>
      <c r="J35" s="51">
        <v>417.35</v>
      </c>
      <c r="K35" s="52">
        <v>468.92</v>
      </c>
      <c r="L35" s="52">
        <v>484.58</v>
      </c>
      <c r="M35" s="51">
        <v>530.05999999999995</v>
      </c>
      <c r="N35" s="51">
        <v>602.70000000000005</v>
      </c>
      <c r="O35" s="51">
        <v>639.91</v>
      </c>
      <c r="P35" s="51">
        <v>660.2</v>
      </c>
      <c r="Q35" s="51">
        <v>699.6</v>
      </c>
      <c r="R35" s="51">
        <v>785.3</v>
      </c>
      <c r="S35" s="51">
        <v>799.65</v>
      </c>
      <c r="T35" s="51">
        <v>858.8</v>
      </c>
      <c r="U35" s="51">
        <v>986.2</v>
      </c>
      <c r="V35" s="51">
        <v>978.2</v>
      </c>
      <c r="W35" s="51">
        <v>1033</v>
      </c>
      <c r="X35" s="9">
        <v>6.7442057899651964E-2</v>
      </c>
      <c r="Y35" s="10">
        <v>9.1176610940556957E-2</v>
      </c>
      <c r="Z35" s="10">
        <v>5.6239886878817417E-2</v>
      </c>
      <c r="AA35" s="10">
        <v>6.4410615951529859E-2</v>
      </c>
    </row>
    <row r="36" spans="2:27" x14ac:dyDescent="0.3">
      <c r="B36" s="12" t="s">
        <v>349</v>
      </c>
      <c r="C36" s="3" t="s">
        <v>671</v>
      </c>
      <c r="D36" s="3" t="s">
        <v>679</v>
      </c>
      <c r="E36" s="3" t="s">
        <v>673</v>
      </c>
      <c r="F36" s="5">
        <v>6.2</v>
      </c>
      <c r="G36" s="51">
        <v>77.69</v>
      </c>
      <c r="H36" s="51">
        <v>89.27</v>
      </c>
      <c r="I36" s="51">
        <v>97.01</v>
      </c>
      <c r="J36" s="51">
        <v>101.73</v>
      </c>
      <c r="K36" s="51">
        <v>96.2</v>
      </c>
      <c r="L36" s="51">
        <v>96.39</v>
      </c>
      <c r="M36" s="51">
        <v>99.45</v>
      </c>
      <c r="N36" s="51">
        <v>115.82</v>
      </c>
      <c r="O36" s="51">
        <v>113.65</v>
      </c>
      <c r="P36" s="51">
        <v>29.42</v>
      </c>
      <c r="Q36" s="51">
        <v>110.7</v>
      </c>
      <c r="R36" s="51">
        <v>115.75</v>
      </c>
      <c r="S36" s="51">
        <v>113.32</v>
      </c>
      <c r="T36" s="52">
        <v>132.5</v>
      </c>
      <c r="U36" s="51">
        <v>124.27</v>
      </c>
      <c r="V36" s="51">
        <v>131.31</v>
      </c>
      <c r="W36" s="51">
        <v>144.36000000000001</v>
      </c>
      <c r="X36" s="7">
        <v>0.27920582897694951</v>
      </c>
      <c r="Y36" s="10">
        <v>2.8733563427700171E-2</v>
      </c>
      <c r="Z36" s="10">
        <v>3.202700477523468E-2</v>
      </c>
      <c r="AA36" s="10">
        <v>6.1906661348225089E-2</v>
      </c>
    </row>
    <row r="37" spans="2:27" x14ac:dyDescent="0.3">
      <c r="B37" s="12" t="s">
        <v>405</v>
      </c>
      <c r="C37" s="3" t="s">
        <v>671</v>
      </c>
      <c r="D37" s="3" t="s">
        <v>688</v>
      </c>
      <c r="E37" s="3" t="s">
        <v>673</v>
      </c>
      <c r="F37" s="5">
        <v>6.1</v>
      </c>
      <c r="G37" s="51">
        <v>-12.59</v>
      </c>
      <c r="H37" s="51">
        <v>51.67</v>
      </c>
      <c r="I37" s="51">
        <v>61.92</v>
      </c>
      <c r="J37" s="51">
        <v>75.099999999999994</v>
      </c>
      <c r="K37" s="52">
        <v>91.66</v>
      </c>
      <c r="L37" s="51">
        <v>49.38</v>
      </c>
      <c r="M37" s="52">
        <v>102.86</v>
      </c>
      <c r="N37" s="52">
        <v>111.69</v>
      </c>
      <c r="O37" s="51">
        <v>65.56</v>
      </c>
      <c r="P37" s="51">
        <v>58.06</v>
      </c>
      <c r="Q37" s="51">
        <v>49.82</v>
      </c>
      <c r="R37" s="51">
        <v>48.58</v>
      </c>
      <c r="S37" s="51">
        <v>75.099999999999994</v>
      </c>
      <c r="T37" s="51">
        <v>21.97</v>
      </c>
      <c r="U37" s="51">
        <v>68.03</v>
      </c>
      <c r="V37" s="52">
        <v>78.59</v>
      </c>
      <c r="W37" s="51">
        <v>89.91</v>
      </c>
      <c r="X37" s="9">
        <v>-0.15585593366730011</v>
      </c>
      <c r="Y37" s="10">
        <v>9.3160075714943558E-2</v>
      </c>
      <c r="Z37" s="8">
        <v>0.14044365406214901</v>
      </c>
      <c r="AA37" s="10">
        <v>6.0773934096598037E-2</v>
      </c>
    </row>
    <row r="38" spans="2:27" x14ac:dyDescent="0.3">
      <c r="B38" s="12" t="s">
        <v>82</v>
      </c>
      <c r="C38" s="3" t="s">
        <v>671</v>
      </c>
      <c r="D38" s="3" t="s">
        <v>696</v>
      </c>
      <c r="E38" s="3" t="s">
        <v>673</v>
      </c>
      <c r="F38" s="5">
        <v>6.1</v>
      </c>
      <c r="G38" s="51">
        <v>244.77</v>
      </c>
      <c r="H38" s="51">
        <v>237.09</v>
      </c>
      <c r="I38" s="51">
        <v>259.41000000000003</v>
      </c>
      <c r="J38" s="51">
        <v>280.52999999999997</v>
      </c>
      <c r="K38" s="51">
        <v>269.26</v>
      </c>
      <c r="L38" s="51">
        <v>266.11</v>
      </c>
      <c r="M38" s="51">
        <v>258.12</v>
      </c>
      <c r="N38" s="51">
        <v>282.19</v>
      </c>
      <c r="O38" s="51">
        <v>303.63</v>
      </c>
      <c r="P38" s="51">
        <v>294.58999999999997</v>
      </c>
      <c r="Q38" s="51">
        <v>289.10000000000002</v>
      </c>
      <c r="R38" s="51">
        <v>304.8</v>
      </c>
      <c r="S38" s="51">
        <v>324.43</v>
      </c>
      <c r="T38" s="51">
        <v>320.43</v>
      </c>
      <c r="U38" s="51">
        <v>314.08999999999997</v>
      </c>
      <c r="V38" s="51">
        <v>364.7</v>
      </c>
      <c r="W38" s="51">
        <v>404.69</v>
      </c>
      <c r="X38" s="9">
        <v>2.1303960689905251E-2</v>
      </c>
      <c r="Y38" s="10">
        <v>2.0173399205657191E-2</v>
      </c>
      <c r="Z38" s="10">
        <v>4.7398615232443257E-2</v>
      </c>
      <c r="AA38" s="10">
        <v>6.0635364333471609E-2</v>
      </c>
    </row>
    <row r="39" spans="2:27" x14ac:dyDescent="0.3">
      <c r="B39" s="12" t="s">
        <v>170</v>
      </c>
      <c r="C39" s="3" t="s">
        <v>671</v>
      </c>
      <c r="D39" s="3" t="s">
        <v>695</v>
      </c>
      <c r="E39" s="3" t="s">
        <v>673</v>
      </c>
      <c r="F39" s="5">
        <v>6</v>
      </c>
      <c r="G39" s="51">
        <v>60.32</v>
      </c>
      <c r="H39" s="51">
        <v>39.130000000000003</v>
      </c>
      <c r="I39" s="51">
        <v>32.78</v>
      </c>
      <c r="J39" s="51">
        <v>41.82</v>
      </c>
      <c r="K39" s="52">
        <v>86.13</v>
      </c>
      <c r="L39" s="52">
        <v>70.959999999999994</v>
      </c>
      <c r="M39" s="52">
        <v>92.83</v>
      </c>
      <c r="N39" s="52">
        <v>98.07</v>
      </c>
      <c r="O39" s="52">
        <v>132.46</v>
      </c>
      <c r="P39" s="52">
        <v>118.29</v>
      </c>
      <c r="Q39" s="51">
        <v>118.36</v>
      </c>
      <c r="R39" s="52">
        <v>146.99</v>
      </c>
      <c r="S39" s="51">
        <v>141.21</v>
      </c>
      <c r="T39" s="51">
        <v>114.85</v>
      </c>
      <c r="U39" s="52">
        <v>170.85</v>
      </c>
      <c r="V39" s="51">
        <v>181.45</v>
      </c>
      <c r="W39" s="51">
        <v>177.81</v>
      </c>
      <c r="X39" s="9">
        <v>-6.5542535962657134E-3</v>
      </c>
      <c r="Y39" s="8">
        <v>0.10066933890796111</v>
      </c>
      <c r="Z39" s="10">
        <v>6.0045304059940907E-2</v>
      </c>
      <c r="AA39" s="10">
        <v>6.0161746334407303E-2</v>
      </c>
    </row>
    <row r="40" spans="2:27" x14ac:dyDescent="0.3">
      <c r="B40" s="12" t="s">
        <v>394</v>
      </c>
      <c r="C40" s="3" t="s">
        <v>671</v>
      </c>
      <c r="D40" s="3" t="s">
        <v>694</v>
      </c>
      <c r="E40" s="3" t="s">
        <v>673</v>
      </c>
      <c r="F40" s="5">
        <v>5.7</v>
      </c>
      <c r="G40" s="51">
        <v>76.02</v>
      </c>
      <c r="H40" s="51">
        <v>81.53</v>
      </c>
      <c r="I40" s="51">
        <v>95.07</v>
      </c>
      <c r="J40" s="51">
        <v>98.12</v>
      </c>
      <c r="K40" s="51">
        <v>109.22</v>
      </c>
      <c r="L40" s="51">
        <v>92.66</v>
      </c>
      <c r="M40" s="51">
        <v>92.38</v>
      </c>
      <c r="N40" s="51">
        <v>83.59</v>
      </c>
      <c r="O40" s="51">
        <v>83.76</v>
      </c>
      <c r="P40" s="51">
        <v>79.56</v>
      </c>
      <c r="Q40" s="51">
        <v>80.150000000000006</v>
      </c>
      <c r="R40" s="51">
        <v>82.37</v>
      </c>
      <c r="S40" s="51">
        <v>67.900000000000006</v>
      </c>
      <c r="T40" s="51">
        <v>60.98</v>
      </c>
      <c r="U40" s="51">
        <v>71.97</v>
      </c>
      <c r="V40" s="51">
        <v>78.3</v>
      </c>
      <c r="W40" s="51">
        <v>83.83</v>
      </c>
      <c r="X40" s="9">
        <v>-5.9939350925866108E-2</v>
      </c>
      <c r="Y40" s="10">
        <v>-2.8071379547014441E-2</v>
      </c>
      <c r="Z40" s="10">
        <v>-1.437045406397874E-2</v>
      </c>
      <c r="AA40" s="10">
        <v>5.7066093498119308E-2</v>
      </c>
    </row>
    <row r="41" spans="2:27" x14ac:dyDescent="0.3">
      <c r="B41" s="12" t="s">
        <v>103</v>
      </c>
      <c r="C41" s="3" t="s">
        <v>671</v>
      </c>
      <c r="D41" s="3" t="s">
        <v>735</v>
      </c>
      <c r="E41" s="3" t="s">
        <v>673</v>
      </c>
      <c r="F41" s="5">
        <v>5</v>
      </c>
      <c r="G41" s="51">
        <v>-2454</v>
      </c>
      <c r="H41" s="51">
        <v>-1579</v>
      </c>
      <c r="I41" s="51">
        <v>-1708</v>
      </c>
      <c r="J41" s="51">
        <v>-1774</v>
      </c>
      <c r="K41" s="51">
        <v>-1795</v>
      </c>
      <c r="L41" s="51">
        <v>-1433</v>
      </c>
      <c r="M41" s="51">
        <v>-1285</v>
      </c>
      <c r="N41" s="51">
        <v>-1440</v>
      </c>
      <c r="O41" s="51">
        <v>-1581</v>
      </c>
      <c r="P41" s="51">
        <v>-1484</v>
      </c>
      <c r="Q41" s="51">
        <v>-1375</v>
      </c>
      <c r="R41" s="51">
        <v>-1169</v>
      </c>
      <c r="S41" s="51">
        <v>-661</v>
      </c>
      <c r="T41" s="51">
        <v>-655</v>
      </c>
      <c r="U41" s="51">
        <v>-1114</v>
      </c>
      <c r="V41" s="51">
        <v>-983</v>
      </c>
      <c r="W41" s="51">
        <v>-833</v>
      </c>
      <c r="X41" s="9">
        <v>-0.1767967583706547</v>
      </c>
      <c r="Y41" s="10">
        <v>-6.7616580310880803E-2</v>
      </c>
      <c r="Z41" s="10">
        <v>-5.1681022506251728E-2</v>
      </c>
      <c r="AA41" s="10">
        <v>5.039554644008204E-2</v>
      </c>
    </row>
    <row r="42" spans="2:27" x14ac:dyDescent="0.3">
      <c r="B42" s="12" t="s">
        <v>80</v>
      </c>
      <c r="C42" s="3" t="s">
        <v>671</v>
      </c>
      <c r="D42" s="3" t="s">
        <v>707</v>
      </c>
      <c r="E42" s="3" t="s">
        <v>673</v>
      </c>
      <c r="F42" s="5">
        <v>4.8</v>
      </c>
      <c r="G42" s="51">
        <v>184</v>
      </c>
      <c r="H42" s="51">
        <v>-114</v>
      </c>
      <c r="I42" s="51">
        <v>376</v>
      </c>
      <c r="J42" s="51">
        <v>799</v>
      </c>
      <c r="K42" s="51">
        <v>128</v>
      </c>
      <c r="L42" s="51">
        <v>-116</v>
      </c>
      <c r="M42" s="51">
        <v>444</v>
      </c>
      <c r="N42" s="51">
        <v>919</v>
      </c>
      <c r="O42" s="51">
        <v>220</v>
      </c>
      <c r="P42" s="51">
        <v>-42</v>
      </c>
      <c r="Q42" s="51">
        <v>490</v>
      </c>
      <c r="R42" s="51">
        <v>860</v>
      </c>
      <c r="S42" s="51">
        <v>356</v>
      </c>
      <c r="T42" s="51">
        <v>-44</v>
      </c>
      <c r="U42" s="51">
        <v>531</v>
      </c>
      <c r="V42" s="52">
        <v>1128</v>
      </c>
      <c r="W42" s="51">
        <v>451</v>
      </c>
      <c r="X42" s="9">
        <v>-1.2019230769231279E-3</v>
      </c>
      <c r="Y42" s="10">
        <v>2.466907340553548E-2</v>
      </c>
      <c r="Z42" s="8">
        <v>0.1573693482090428</v>
      </c>
      <c r="AA42" s="10">
        <v>4.8198883815322217E-2</v>
      </c>
    </row>
    <row r="43" spans="2:27" x14ac:dyDescent="0.3">
      <c r="B43" s="12" t="s">
        <v>221</v>
      </c>
      <c r="C43" s="3" t="s">
        <v>671</v>
      </c>
      <c r="D43" s="3" t="s">
        <v>697</v>
      </c>
      <c r="E43" s="3" t="s">
        <v>673</v>
      </c>
      <c r="F43" s="5">
        <v>4.5</v>
      </c>
      <c r="G43" s="51">
        <v>318.04000000000002</v>
      </c>
      <c r="H43" s="51">
        <v>331.11</v>
      </c>
      <c r="I43" s="51">
        <v>277.33999999999997</v>
      </c>
      <c r="J43" s="51">
        <v>273.35000000000002</v>
      </c>
      <c r="K43" s="51">
        <v>297.08</v>
      </c>
      <c r="L43" s="51">
        <v>322.95</v>
      </c>
      <c r="M43" s="51">
        <v>349.77</v>
      </c>
      <c r="N43" s="51">
        <v>340.48</v>
      </c>
      <c r="O43" s="51">
        <v>382.37</v>
      </c>
      <c r="P43" s="51">
        <v>330.03</v>
      </c>
      <c r="Q43" s="51">
        <v>331.04</v>
      </c>
      <c r="R43" s="51">
        <v>347.7</v>
      </c>
      <c r="S43" s="51">
        <v>361.31</v>
      </c>
      <c r="T43" s="51">
        <v>362.3</v>
      </c>
      <c r="U43" s="51">
        <v>364.88</v>
      </c>
      <c r="V43" s="51">
        <v>361.52</v>
      </c>
      <c r="W43" s="51">
        <v>425.91</v>
      </c>
      <c r="X43" s="9">
        <v>2.3553369146327219E-2</v>
      </c>
      <c r="Y43" s="10">
        <v>2.413092309337905E-2</v>
      </c>
      <c r="Z43" s="10">
        <v>9.6226822356373365E-3</v>
      </c>
      <c r="AA43" s="10">
        <v>4.4551416886780222E-2</v>
      </c>
    </row>
    <row r="44" spans="2:27" hidden="1" x14ac:dyDescent="0.3">
      <c r="B44" s="3" t="s">
        <v>176</v>
      </c>
      <c r="C44" s="3" t="s">
        <v>671</v>
      </c>
      <c r="D44" s="3" t="s">
        <v>745</v>
      </c>
      <c r="E44" s="3" t="s">
        <v>743</v>
      </c>
      <c r="F44" s="5">
        <v>5.5</v>
      </c>
      <c r="G44" s="4">
        <v>-43</v>
      </c>
      <c r="H44" s="4">
        <v>-40</v>
      </c>
      <c r="I44" s="4">
        <v>-81</v>
      </c>
      <c r="J44" s="4">
        <v>9</v>
      </c>
      <c r="K44" s="4">
        <v>40</v>
      </c>
      <c r="L44" s="4">
        <v>98</v>
      </c>
      <c r="M44" s="6">
        <v>151</v>
      </c>
      <c r="N44" s="6">
        <v>114</v>
      </c>
      <c r="O44" s="4">
        <v>-2457</v>
      </c>
      <c r="P44" s="4">
        <v>46</v>
      </c>
      <c r="Q44" s="4">
        <v>162</v>
      </c>
      <c r="R44" s="4">
        <v>52</v>
      </c>
      <c r="S44" s="4">
        <v>139</v>
      </c>
      <c r="T44" s="6">
        <v>156</v>
      </c>
      <c r="U44" s="4">
        <v>110</v>
      </c>
      <c r="V44" s="6">
        <v>123</v>
      </c>
      <c r="W44" s="4">
        <v>168</v>
      </c>
      <c r="X44" s="7">
        <v>0.27568922305764421</v>
      </c>
      <c r="Y44" s="10">
        <v>-0.1021611001964636</v>
      </c>
      <c r="Z44" s="8">
        <v>0.1553610503282277</v>
      </c>
      <c r="AA44" s="10">
        <v>5.4924242424242431E-2</v>
      </c>
    </row>
    <row r="45" spans="2:27" hidden="1" x14ac:dyDescent="0.3">
      <c r="B45" s="3" t="s">
        <v>413</v>
      </c>
      <c r="C45" s="3" t="s">
        <v>671</v>
      </c>
      <c r="D45" s="3" t="s">
        <v>744</v>
      </c>
      <c r="E45" s="3" t="s">
        <v>743</v>
      </c>
      <c r="F45" s="5">
        <v>5.4</v>
      </c>
      <c r="G45" s="4">
        <v>9398</v>
      </c>
      <c r="H45" s="4">
        <v>25590</v>
      </c>
      <c r="I45" s="4">
        <v>31108</v>
      </c>
      <c r="J45" s="4">
        <v>37719</v>
      </c>
      <c r="K45" s="4">
        <v>17644</v>
      </c>
      <c r="L45" s="6">
        <v>77880</v>
      </c>
      <c r="M45" s="6">
        <v>64790</v>
      </c>
      <c r="N45" s="6">
        <v>70740</v>
      </c>
      <c r="O45" s="6">
        <v>53375</v>
      </c>
      <c r="P45" s="4">
        <v>64605</v>
      </c>
      <c r="Q45" s="6">
        <v>108176</v>
      </c>
      <c r="R45" s="6">
        <v>196343</v>
      </c>
      <c r="S45" s="6">
        <v>138304</v>
      </c>
      <c r="T45" s="6">
        <v>185475</v>
      </c>
      <c r="U45" s="4">
        <v>149401</v>
      </c>
      <c r="V45" s="4">
        <v>128946</v>
      </c>
      <c r="W45" s="4">
        <v>170700</v>
      </c>
      <c r="X45" s="7">
        <v>0.23820128175820021</v>
      </c>
      <c r="Y45" s="10">
        <v>6.5613769262356403E-2</v>
      </c>
      <c r="Z45" s="10">
        <v>-0.10066420421703209</v>
      </c>
      <c r="AA45" s="10">
        <v>5.3802692459717687E-2</v>
      </c>
    </row>
    <row r="46" spans="2:27" x14ac:dyDescent="0.3">
      <c r="B46" s="12" t="s">
        <v>590</v>
      </c>
      <c r="C46" s="3" t="s">
        <v>671</v>
      </c>
      <c r="D46" s="3" t="s">
        <v>682</v>
      </c>
      <c r="E46" s="3" t="s">
        <v>673</v>
      </c>
      <c r="F46" s="5">
        <v>4.3</v>
      </c>
      <c r="G46" s="51">
        <v>-7.28</v>
      </c>
      <c r="H46" s="51">
        <v>-6.62</v>
      </c>
      <c r="I46" s="51">
        <v>-5.43</v>
      </c>
      <c r="J46" s="51">
        <v>-7.75</v>
      </c>
      <c r="K46" s="51">
        <v>-8.56</v>
      </c>
      <c r="L46" s="51">
        <v>-8.76</v>
      </c>
      <c r="M46" s="52">
        <v>-8.68</v>
      </c>
      <c r="N46" s="51">
        <v>-8.4499999999999993</v>
      </c>
      <c r="O46" s="51">
        <v>-9.25</v>
      </c>
      <c r="P46" s="51">
        <v>-9.1300000000000008</v>
      </c>
      <c r="Q46" s="51">
        <v>-7.44</v>
      </c>
      <c r="R46" s="51">
        <v>-7.92</v>
      </c>
      <c r="S46" s="51">
        <v>-7.1</v>
      </c>
      <c r="T46" s="51">
        <v>-7.71</v>
      </c>
      <c r="U46" s="51">
        <v>-8.25</v>
      </c>
      <c r="V46" s="51">
        <v>-8.7100000000000009</v>
      </c>
      <c r="W46" s="51">
        <v>-8.4700000000000006</v>
      </c>
      <c r="X46" s="9">
        <v>-4.4950933839822627E-2</v>
      </c>
      <c r="Y46" s="10">
        <v>2.6847862114683489E-2</v>
      </c>
      <c r="Z46" s="10">
        <v>2.5500322788896131E-2</v>
      </c>
      <c r="AA46" s="10">
        <v>4.3122442555870277E-2</v>
      </c>
    </row>
    <row r="47" spans="2:27" x14ac:dyDescent="0.3">
      <c r="B47" s="12" t="s">
        <v>138</v>
      </c>
      <c r="C47" s="3" t="s">
        <v>671</v>
      </c>
      <c r="D47" s="3" t="s">
        <v>704</v>
      </c>
      <c r="E47" s="3" t="s">
        <v>673</v>
      </c>
      <c r="F47" s="5">
        <v>3.9</v>
      </c>
      <c r="G47" s="51">
        <v>115.2</v>
      </c>
      <c r="H47" s="51">
        <v>135</v>
      </c>
      <c r="I47" s="51">
        <v>182.5</v>
      </c>
      <c r="J47" s="51">
        <v>169.4</v>
      </c>
      <c r="K47" s="51">
        <v>167.8</v>
      </c>
      <c r="L47" s="51">
        <v>145.19999999999999</v>
      </c>
      <c r="M47" s="51">
        <v>158.4</v>
      </c>
      <c r="N47" s="51">
        <v>177.8</v>
      </c>
      <c r="O47" s="51">
        <v>136.6</v>
      </c>
      <c r="P47" s="51">
        <v>175.3</v>
      </c>
      <c r="Q47" s="51">
        <v>190.4</v>
      </c>
      <c r="R47" s="51">
        <v>197</v>
      </c>
      <c r="S47" s="51">
        <v>170.7</v>
      </c>
      <c r="T47" s="52">
        <v>310.39999999999998</v>
      </c>
      <c r="U47" s="51">
        <v>192.1</v>
      </c>
      <c r="V47" s="51">
        <v>212.8</v>
      </c>
      <c r="W47" s="51">
        <v>205.3</v>
      </c>
      <c r="X47" s="7">
        <v>0.1842105263157896</v>
      </c>
      <c r="Y47" s="10">
        <v>1.9573978123199609E-3</v>
      </c>
      <c r="Z47" s="10">
        <v>1.8156745575729879E-2</v>
      </c>
      <c r="AA47" s="10">
        <v>3.9051918735891762E-2</v>
      </c>
    </row>
    <row r="48" spans="2:27" x14ac:dyDescent="0.3">
      <c r="B48" s="12" t="s">
        <v>128</v>
      </c>
      <c r="C48" s="3" t="s">
        <v>671</v>
      </c>
      <c r="D48" s="3" t="s">
        <v>720</v>
      </c>
      <c r="E48" s="3" t="s">
        <v>673</v>
      </c>
      <c r="F48" s="5">
        <v>3.6</v>
      </c>
      <c r="G48" s="51">
        <v>146</v>
      </c>
      <c r="H48" s="51">
        <v>40</v>
      </c>
      <c r="I48" s="51">
        <v>155</v>
      </c>
      <c r="J48" s="51">
        <v>219</v>
      </c>
      <c r="K48" s="52">
        <v>237</v>
      </c>
      <c r="L48" s="52">
        <v>188</v>
      </c>
      <c r="M48" s="52">
        <v>324</v>
      </c>
      <c r="N48" s="51">
        <v>231</v>
      </c>
      <c r="O48" s="51">
        <v>300</v>
      </c>
      <c r="P48" s="51">
        <v>176</v>
      </c>
      <c r="Q48" s="51">
        <v>351</v>
      </c>
      <c r="R48" s="51">
        <v>287</v>
      </c>
      <c r="S48" s="51">
        <v>310</v>
      </c>
      <c r="T48" s="51">
        <v>229</v>
      </c>
      <c r="U48" s="51">
        <v>374</v>
      </c>
      <c r="V48" s="51">
        <v>295</v>
      </c>
      <c r="W48" s="51">
        <v>353</v>
      </c>
      <c r="X48" s="9">
        <v>4.7153024911032133E-2</v>
      </c>
      <c r="Y48" s="10">
        <v>1.954120645709434E-2</v>
      </c>
      <c r="Z48" s="10">
        <v>6.6666666666665986E-3</v>
      </c>
      <c r="AA48" s="10">
        <v>3.5596026490066317E-2</v>
      </c>
    </row>
    <row r="49" spans="2:27" hidden="1" x14ac:dyDescent="0.3">
      <c r="B49" s="3" t="s">
        <v>93</v>
      </c>
      <c r="C49" s="3" t="s">
        <v>671</v>
      </c>
      <c r="D49" s="3" t="s">
        <v>676</v>
      </c>
      <c r="E49" s="3" t="s">
        <v>743</v>
      </c>
      <c r="F49" s="5">
        <v>4.4000000000000004</v>
      </c>
      <c r="G49" s="4">
        <v>1618</v>
      </c>
      <c r="H49" s="4">
        <v>1559</v>
      </c>
      <c r="I49" s="4">
        <v>1746</v>
      </c>
      <c r="J49" s="4">
        <v>1684</v>
      </c>
      <c r="K49" s="4">
        <v>1930</v>
      </c>
      <c r="L49" s="4">
        <v>1511</v>
      </c>
      <c r="M49" s="4">
        <v>1908</v>
      </c>
      <c r="N49" s="4">
        <v>1934</v>
      </c>
      <c r="O49" s="4">
        <v>1719</v>
      </c>
      <c r="P49" s="4">
        <v>1287</v>
      </c>
      <c r="Q49" s="4">
        <v>2071</v>
      </c>
      <c r="R49" s="4">
        <v>1887</v>
      </c>
      <c r="S49" s="4">
        <v>2112</v>
      </c>
      <c r="T49" s="4">
        <v>1756</v>
      </c>
      <c r="U49" s="4">
        <v>2519</v>
      </c>
      <c r="V49" s="4">
        <v>2561</v>
      </c>
      <c r="W49" s="4">
        <v>2507</v>
      </c>
      <c r="X49" s="9">
        <v>6.3748810656517607E-2</v>
      </c>
      <c r="Y49" s="10">
        <v>5.7245080500894392E-2</v>
      </c>
      <c r="Z49" s="10">
        <v>8.1459995165579002E-2</v>
      </c>
      <c r="AA49" s="10">
        <v>4.4143942780509697E-2</v>
      </c>
    </row>
    <row r="50" spans="2:27" x14ac:dyDescent="0.3">
      <c r="B50" s="12" t="s">
        <v>74</v>
      </c>
      <c r="C50" s="3" t="s">
        <v>671</v>
      </c>
      <c r="D50" s="3" t="s">
        <v>703</v>
      </c>
      <c r="E50" s="3" t="s">
        <v>673</v>
      </c>
      <c r="F50" s="5">
        <v>3.4</v>
      </c>
      <c r="G50" s="51">
        <v>884</v>
      </c>
      <c r="H50" s="51">
        <v>805</v>
      </c>
      <c r="I50" s="51">
        <v>860</v>
      </c>
      <c r="J50" s="51">
        <v>1082</v>
      </c>
      <c r="K50" s="51">
        <v>468</v>
      </c>
      <c r="L50" s="51">
        <v>781</v>
      </c>
      <c r="M50" s="51">
        <v>658</v>
      </c>
      <c r="N50" s="51">
        <v>624</v>
      </c>
      <c r="O50" s="52">
        <v>1385</v>
      </c>
      <c r="P50" s="52">
        <v>1400</v>
      </c>
      <c r="Q50" s="52">
        <v>1256</v>
      </c>
      <c r="R50" s="52">
        <v>1290</v>
      </c>
      <c r="S50" s="51">
        <v>1165</v>
      </c>
      <c r="T50" s="51">
        <v>1381</v>
      </c>
      <c r="U50" s="51">
        <v>1290</v>
      </c>
      <c r="V50" s="51">
        <v>1332</v>
      </c>
      <c r="W50" s="51">
        <v>1340</v>
      </c>
      <c r="X50" s="9">
        <v>-3.7174721189591202E-3</v>
      </c>
      <c r="Y50" s="10">
        <v>6.6771406127259514E-3</v>
      </c>
      <c r="Z50" s="10">
        <v>8.1935232149823456E-3</v>
      </c>
      <c r="AA50" s="10">
        <v>3.3862229102167067E-2</v>
      </c>
    </row>
    <row r="51" spans="2:27" x14ac:dyDescent="0.3">
      <c r="B51" s="12" t="s">
        <v>28</v>
      </c>
      <c r="C51" s="3" t="s">
        <v>671</v>
      </c>
      <c r="D51" s="3" t="s">
        <v>675</v>
      </c>
      <c r="E51" s="3" t="s">
        <v>673</v>
      </c>
      <c r="F51" s="5">
        <v>3.3</v>
      </c>
      <c r="G51" s="51">
        <v>1002</v>
      </c>
      <c r="H51" s="51">
        <v>1035</v>
      </c>
      <c r="I51" s="51">
        <v>1132</v>
      </c>
      <c r="J51" s="51">
        <v>1153</v>
      </c>
      <c r="K51" s="51">
        <v>1058</v>
      </c>
      <c r="L51" s="51">
        <v>1124</v>
      </c>
      <c r="M51" s="51">
        <v>1136</v>
      </c>
      <c r="N51" s="51">
        <v>1091</v>
      </c>
      <c r="O51" s="51">
        <v>956</v>
      </c>
      <c r="P51" s="51">
        <v>1216</v>
      </c>
      <c r="Q51" s="51">
        <v>934.9</v>
      </c>
      <c r="R51" s="51">
        <v>1132</v>
      </c>
      <c r="S51" s="51">
        <v>1112</v>
      </c>
      <c r="T51" s="51">
        <v>1031</v>
      </c>
      <c r="U51" s="51">
        <v>1154</v>
      </c>
      <c r="V51" s="51">
        <v>1239</v>
      </c>
      <c r="W51" s="51">
        <v>1263</v>
      </c>
      <c r="X51" s="9">
        <v>-4.2094245602857898E-2</v>
      </c>
      <c r="Y51" s="10">
        <v>5.2043991543742292E-2</v>
      </c>
      <c r="Z51" s="10">
        <v>2.4158952359448978E-2</v>
      </c>
      <c r="AA51" s="10">
        <v>3.3289241622574961E-2</v>
      </c>
    </row>
    <row r="52" spans="2:27" x14ac:dyDescent="0.3">
      <c r="B52" s="12" t="s">
        <v>190</v>
      </c>
      <c r="C52" s="3" t="s">
        <v>671</v>
      </c>
      <c r="D52" s="3" t="s">
        <v>684</v>
      </c>
      <c r="E52" s="3" t="s">
        <v>673</v>
      </c>
      <c r="F52" s="5">
        <v>2.8</v>
      </c>
      <c r="G52" s="51">
        <v>1133</v>
      </c>
      <c r="H52" s="51">
        <v>874.1</v>
      </c>
      <c r="I52" s="51">
        <v>869.1</v>
      </c>
      <c r="J52" s="51">
        <v>984.04</v>
      </c>
      <c r="K52" s="51">
        <v>744.93</v>
      </c>
      <c r="L52" s="51">
        <v>797.59</v>
      </c>
      <c r="M52" s="51">
        <v>982.6</v>
      </c>
      <c r="N52" s="51">
        <v>1152</v>
      </c>
      <c r="O52" s="51">
        <v>1009</v>
      </c>
      <c r="P52" s="51">
        <v>1116</v>
      </c>
      <c r="Q52" s="51">
        <v>1341</v>
      </c>
      <c r="R52" s="51">
        <v>1211</v>
      </c>
      <c r="S52" s="51">
        <v>1335</v>
      </c>
      <c r="T52" s="51">
        <v>1272</v>
      </c>
      <c r="U52" s="51">
        <v>1307</v>
      </c>
      <c r="V52" s="51">
        <v>1314</v>
      </c>
      <c r="W52" s="51">
        <v>1483</v>
      </c>
      <c r="X52" s="9">
        <v>3.1181291225264921E-2</v>
      </c>
      <c r="Y52" s="10">
        <v>-6.5904245008722162E-3</v>
      </c>
      <c r="Z52" s="10">
        <v>2.009756097560977E-2</v>
      </c>
      <c r="AA52" s="10">
        <v>2.8309104820198879E-2</v>
      </c>
    </row>
    <row r="53" spans="2:27" x14ac:dyDescent="0.3">
      <c r="B53" s="12" t="s">
        <v>44</v>
      </c>
      <c r="C53" s="3" t="s">
        <v>671</v>
      </c>
      <c r="D53" s="3" t="s">
        <v>703</v>
      </c>
      <c r="E53" s="3" t="s">
        <v>673</v>
      </c>
      <c r="F53" s="5">
        <v>2.2000000000000002</v>
      </c>
      <c r="G53" s="51">
        <v>725</v>
      </c>
      <c r="H53" s="51">
        <v>1035</v>
      </c>
      <c r="I53" s="51">
        <v>1004</v>
      </c>
      <c r="J53" s="51">
        <v>1197</v>
      </c>
      <c r="K53" s="51">
        <v>731</v>
      </c>
      <c r="L53" s="51">
        <v>872.3</v>
      </c>
      <c r="M53" s="51">
        <v>929.9</v>
      </c>
      <c r="N53" s="51">
        <v>1409</v>
      </c>
      <c r="O53" s="51">
        <v>744.9</v>
      </c>
      <c r="P53" s="51">
        <v>1218</v>
      </c>
      <c r="Q53" s="51">
        <v>863.8</v>
      </c>
      <c r="R53" s="51">
        <v>1398</v>
      </c>
      <c r="S53" s="51">
        <v>1094</v>
      </c>
      <c r="T53" s="51">
        <v>1319</v>
      </c>
      <c r="U53" s="52">
        <v>1434</v>
      </c>
      <c r="V53" s="51">
        <v>1556</v>
      </c>
      <c r="W53" s="51">
        <v>1214</v>
      </c>
      <c r="X53" s="9">
        <v>2.2082294809567578E-2</v>
      </c>
      <c r="Y53" s="8">
        <v>0.12197313254042939</v>
      </c>
      <c r="Z53" s="10">
        <v>3.0123927550047561E-2</v>
      </c>
      <c r="AA53" s="10">
        <v>2.220988339811214E-2</v>
      </c>
    </row>
    <row r="54" spans="2:27" x14ac:dyDescent="0.3">
      <c r="B54" s="12" t="s">
        <v>183</v>
      </c>
      <c r="C54" s="3" t="s">
        <v>671</v>
      </c>
      <c r="D54" s="3" t="s">
        <v>685</v>
      </c>
      <c r="E54" s="3" t="s">
        <v>673</v>
      </c>
      <c r="F54" s="5">
        <v>2.1</v>
      </c>
      <c r="G54" s="51">
        <v>29.89</v>
      </c>
      <c r="H54" s="51">
        <v>39.71</v>
      </c>
      <c r="I54" s="51">
        <v>37.33</v>
      </c>
      <c r="J54" s="51">
        <v>38.94</v>
      </c>
      <c r="K54" s="51">
        <v>36.56</v>
      </c>
      <c r="L54" s="51">
        <v>35.74</v>
      </c>
      <c r="M54" s="51">
        <v>28.72</v>
      </c>
      <c r="N54" s="51">
        <v>34.15</v>
      </c>
      <c r="O54" s="51">
        <v>33.659999999999997</v>
      </c>
      <c r="P54" s="51">
        <v>37.22</v>
      </c>
      <c r="Q54" s="52">
        <v>46.54</v>
      </c>
      <c r="R54" s="51">
        <v>49.23</v>
      </c>
      <c r="S54" s="52">
        <v>55.47</v>
      </c>
      <c r="T54" s="52">
        <v>64.58</v>
      </c>
      <c r="U54" s="51">
        <v>67.41</v>
      </c>
      <c r="V54" s="51">
        <v>63.86</v>
      </c>
      <c r="W54" s="51">
        <v>60.73</v>
      </c>
      <c r="X54" s="7">
        <v>0.1451766953199618</v>
      </c>
      <c r="Y54" s="10">
        <v>9.6700954499119751E-2</v>
      </c>
      <c r="Z54" s="10">
        <v>6.1810807385187287E-2</v>
      </c>
      <c r="AA54" s="10">
        <v>2.092949228075747E-2</v>
      </c>
    </row>
    <row r="55" spans="2:27" hidden="1" x14ac:dyDescent="0.3">
      <c r="B55" s="3" t="s">
        <v>373</v>
      </c>
      <c r="C55" s="3" t="s">
        <v>671</v>
      </c>
      <c r="D55" s="3" t="s">
        <v>746</v>
      </c>
      <c r="E55" s="3" t="s">
        <v>743</v>
      </c>
      <c r="F55" s="5">
        <v>3</v>
      </c>
      <c r="G55" s="4">
        <v>10</v>
      </c>
      <c r="H55" s="4">
        <v>10</v>
      </c>
      <c r="I55" s="4">
        <v>23</v>
      </c>
      <c r="J55" s="4">
        <v>39</v>
      </c>
      <c r="K55" s="6">
        <v>44</v>
      </c>
      <c r="L55" s="6">
        <v>45</v>
      </c>
      <c r="M55" s="4">
        <v>35</v>
      </c>
      <c r="N55" s="4">
        <v>36</v>
      </c>
      <c r="O55" s="4">
        <v>37</v>
      </c>
      <c r="P55" s="4">
        <v>39</v>
      </c>
      <c r="Q55" s="4">
        <v>31</v>
      </c>
      <c r="R55" s="4">
        <v>38</v>
      </c>
      <c r="S55" s="4">
        <v>33</v>
      </c>
      <c r="T55" s="4">
        <v>30</v>
      </c>
      <c r="U55" s="4">
        <v>33</v>
      </c>
      <c r="V55" s="4">
        <v>38</v>
      </c>
      <c r="W55" s="4">
        <v>37</v>
      </c>
      <c r="X55" s="9">
        <v>-6.3829787234042534E-2</v>
      </c>
      <c r="Y55" s="10">
        <v>1.515151515151514E-2</v>
      </c>
      <c r="Z55" s="10">
        <v>0</v>
      </c>
      <c r="AA55" s="10">
        <v>2.9850746268656799E-2</v>
      </c>
    </row>
    <row r="56" spans="2:27" x14ac:dyDescent="0.3">
      <c r="B56" s="12" t="s">
        <v>56</v>
      </c>
      <c r="C56" s="3" t="s">
        <v>671</v>
      </c>
      <c r="D56" s="3" t="s">
        <v>703</v>
      </c>
      <c r="E56" s="3" t="s">
        <v>673</v>
      </c>
      <c r="F56" s="5">
        <v>1.9</v>
      </c>
      <c r="G56" s="51">
        <v>0</v>
      </c>
      <c r="H56" s="51">
        <v>941</v>
      </c>
      <c r="I56" s="51">
        <v>694</v>
      </c>
      <c r="J56" s="51">
        <v>1072</v>
      </c>
      <c r="K56" s="51">
        <v>0</v>
      </c>
      <c r="L56" s="51">
        <v>1105</v>
      </c>
      <c r="M56" s="51">
        <v>712</v>
      </c>
      <c r="N56" s="51">
        <v>1124</v>
      </c>
      <c r="O56" s="52">
        <v>1085</v>
      </c>
      <c r="P56" s="51">
        <v>1105</v>
      </c>
      <c r="Q56" s="51">
        <v>917</v>
      </c>
      <c r="R56" s="51">
        <v>1180</v>
      </c>
      <c r="S56" s="51">
        <v>1089</v>
      </c>
      <c r="T56" s="51">
        <v>1524</v>
      </c>
      <c r="U56" s="51">
        <v>938</v>
      </c>
      <c r="V56" s="51">
        <v>1487</v>
      </c>
      <c r="W56" s="51">
        <v>1183</v>
      </c>
      <c r="X56" s="9">
        <v>9.7646236308552847E-2</v>
      </c>
      <c r="Y56" s="10">
        <v>4.4585987261147597E-3</v>
      </c>
      <c r="Z56" s="10">
        <v>6.4891143521454309E-2</v>
      </c>
      <c r="AA56" s="10">
        <v>1.8658197697499102E-2</v>
      </c>
    </row>
    <row r="57" spans="2:27" hidden="1" x14ac:dyDescent="0.3">
      <c r="B57" s="3" t="s">
        <v>311</v>
      </c>
      <c r="C57" s="3" t="s">
        <v>671</v>
      </c>
      <c r="D57" s="3" t="s">
        <v>718</v>
      </c>
      <c r="E57" s="3" t="s">
        <v>743</v>
      </c>
      <c r="F57" s="5">
        <v>2.4</v>
      </c>
      <c r="G57" s="4">
        <v>52.83</v>
      </c>
      <c r="H57" s="4">
        <v>54.46</v>
      </c>
      <c r="I57" s="4">
        <v>49.28</v>
      </c>
      <c r="J57" s="4">
        <v>54.32</v>
      </c>
      <c r="K57" s="4">
        <v>66.680000000000007</v>
      </c>
      <c r="L57" s="6">
        <v>80.13</v>
      </c>
      <c r="M57" s="6">
        <v>84.45</v>
      </c>
      <c r="N57" s="6">
        <v>95.35</v>
      </c>
      <c r="O57" s="4">
        <v>95.75</v>
      </c>
      <c r="P57" s="4">
        <v>105.96</v>
      </c>
      <c r="Q57" s="4">
        <v>99.18</v>
      </c>
      <c r="R57" s="4">
        <v>103.87</v>
      </c>
      <c r="S57" s="4">
        <v>105.53</v>
      </c>
      <c r="T57" s="4">
        <v>103.21</v>
      </c>
      <c r="U57" s="4">
        <v>99.55</v>
      </c>
      <c r="V57" s="4">
        <v>114.41</v>
      </c>
      <c r="W57" s="4">
        <v>115.75</v>
      </c>
      <c r="X57" s="9">
        <v>-6.6338592174458588E-3</v>
      </c>
      <c r="Y57" s="10">
        <v>8.9851623400272196E-4</v>
      </c>
      <c r="Z57" s="10">
        <v>2.5572593167701999E-2</v>
      </c>
      <c r="AA57" s="10">
        <v>2.417790395079256E-2</v>
      </c>
    </row>
    <row r="58" spans="2:27" x14ac:dyDescent="0.3">
      <c r="B58" s="12" t="s">
        <v>196</v>
      </c>
      <c r="C58" s="3" t="s">
        <v>671</v>
      </c>
      <c r="D58" s="3" t="s">
        <v>713</v>
      </c>
      <c r="E58" s="3" t="s">
        <v>673</v>
      </c>
      <c r="F58" s="5">
        <v>1.8</v>
      </c>
      <c r="G58" s="51">
        <v>76.3</v>
      </c>
      <c r="H58" s="51">
        <v>86.18</v>
      </c>
      <c r="I58" s="51">
        <v>96.41</v>
      </c>
      <c r="J58" s="51">
        <v>93.5</v>
      </c>
      <c r="K58" s="51">
        <v>91.63</v>
      </c>
      <c r="L58" s="51">
        <v>94.62</v>
      </c>
      <c r="M58" s="51">
        <v>103.47</v>
      </c>
      <c r="N58" s="51">
        <v>101.4</v>
      </c>
      <c r="O58" s="51">
        <v>100.97</v>
      </c>
      <c r="P58" s="51">
        <v>100.23</v>
      </c>
      <c r="Q58" s="51">
        <v>105.64</v>
      </c>
      <c r="R58" s="51">
        <v>106.72</v>
      </c>
      <c r="S58" s="51">
        <v>105.73</v>
      </c>
      <c r="T58" s="51">
        <v>107.14</v>
      </c>
      <c r="U58" s="51">
        <v>127.15</v>
      </c>
      <c r="V58" s="51">
        <v>111.27</v>
      </c>
      <c r="W58" s="51">
        <v>113.95</v>
      </c>
      <c r="X58" s="9">
        <v>1.6518454771466962E-2</v>
      </c>
      <c r="Y58" s="10">
        <v>5.0584389624438453E-2</v>
      </c>
      <c r="Z58" s="10">
        <v>1.018489501723607E-2</v>
      </c>
      <c r="AA58" s="10">
        <v>1.8214451904540189E-2</v>
      </c>
    </row>
    <row r="59" spans="2:27" x14ac:dyDescent="0.3">
      <c r="B59" s="12" t="s">
        <v>143</v>
      </c>
      <c r="C59" s="3" t="s">
        <v>671</v>
      </c>
      <c r="D59" s="3" t="s">
        <v>713</v>
      </c>
      <c r="E59" s="3" t="s">
        <v>673</v>
      </c>
      <c r="F59" s="5">
        <v>1.8</v>
      </c>
      <c r="G59" s="51">
        <v>132.03</v>
      </c>
      <c r="H59" s="51">
        <v>139.38999999999999</v>
      </c>
      <c r="I59" s="51">
        <v>144.68</v>
      </c>
      <c r="J59" s="51">
        <v>147.36000000000001</v>
      </c>
      <c r="K59" s="51">
        <v>140.65</v>
      </c>
      <c r="L59" s="51">
        <v>145.08000000000001</v>
      </c>
      <c r="M59" s="51">
        <v>144.02000000000001</v>
      </c>
      <c r="N59" s="51">
        <v>135.71</v>
      </c>
      <c r="O59" s="51">
        <v>158.08000000000001</v>
      </c>
      <c r="P59" s="51">
        <v>159.32</v>
      </c>
      <c r="Q59" s="51">
        <v>160.84</v>
      </c>
      <c r="R59" s="51">
        <v>171.12</v>
      </c>
      <c r="S59" s="51">
        <v>166.26</v>
      </c>
      <c r="T59" s="51">
        <v>180.13</v>
      </c>
      <c r="U59" s="51">
        <v>174.54</v>
      </c>
      <c r="V59" s="51">
        <v>183.96</v>
      </c>
      <c r="W59" s="51">
        <v>179.05</v>
      </c>
      <c r="X59" s="9">
        <v>3.1648264744350341E-2</v>
      </c>
      <c r="Y59" s="10">
        <v>2.0196063978771939E-2</v>
      </c>
      <c r="Z59" s="10">
        <v>1.855357271873426E-2</v>
      </c>
      <c r="AA59" s="10">
        <v>1.8144675055682621E-2</v>
      </c>
    </row>
    <row r="60" spans="2:27" x14ac:dyDescent="0.3">
      <c r="B60" s="12" t="s">
        <v>48</v>
      </c>
      <c r="C60" s="3" t="s">
        <v>671</v>
      </c>
      <c r="D60" s="3" t="s">
        <v>721</v>
      </c>
      <c r="E60" s="3" t="s">
        <v>673</v>
      </c>
      <c r="F60" s="5">
        <v>1.8</v>
      </c>
      <c r="G60" s="51">
        <v>598</v>
      </c>
      <c r="H60" s="51">
        <v>789</v>
      </c>
      <c r="I60" s="51">
        <v>726</v>
      </c>
      <c r="J60" s="51">
        <v>723</v>
      </c>
      <c r="K60" s="51">
        <v>698</v>
      </c>
      <c r="L60" s="51">
        <v>728</v>
      </c>
      <c r="M60" s="51">
        <v>834</v>
      </c>
      <c r="N60" s="51">
        <v>798</v>
      </c>
      <c r="O60" s="51">
        <v>712</v>
      </c>
      <c r="P60" s="51">
        <v>801</v>
      </c>
      <c r="Q60" s="51">
        <v>906</v>
      </c>
      <c r="R60" s="51">
        <v>920</v>
      </c>
      <c r="S60" s="51">
        <v>766</v>
      </c>
      <c r="T60" s="51">
        <v>846</v>
      </c>
      <c r="U60" s="51">
        <v>1000</v>
      </c>
      <c r="V60" s="51">
        <v>944</v>
      </c>
      <c r="W60" s="51">
        <v>830</v>
      </c>
      <c r="X60" s="9">
        <v>1.326259946949593E-2</v>
      </c>
      <c r="Y60" s="10">
        <v>2.7341477603257669E-2</v>
      </c>
      <c r="Z60" s="10">
        <v>6.7950169875423683E-3</v>
      </c>
      <c r="AA60" s="10">
        <v>1.7997750281214749E-2</v>
      </c>
    </row>
    <row r="61" spans="2:27" x14ac:dyDescent="0.3">
      <c r="B61" s="12" t="s">
        <v>188</v>
      </c>
      <c r="C61" s="3" t="s">
        <v>671</v>
      </c>
      <c r="D61" s="3" t="s">
        <v>700</v>
      </c>
      <c r="E61" s="3" t="s">
        <v>709</v>
      </c>
      <c r="F61" s="5">
        <v>1.6</v>
      </c>
      <c r="G61" s="51">
        <v>77.3</v>
      </c>
      <c r="H61" s="51">
        <v>97.1</v>
      </c>
      <c r="I61" s="51">
        <v>80</v>
      </c>
      <c r="J61" s="51">
        <v>46.2</v>
      </c>
      <c r="K61" s="51">
        <v>0</v>
      </c>
      <c r="L61" s="52">
        <v>126.7</v>
      </c>
      <c r="M61" s="52">
        <v>174.1</v>
      </c>
      <c r="N61" s="52">
        <v>122.9</v>
      </c>
      <c r="O61" s="52">
        <v>120.4</v>
      </c>
      <c r="P61" s="51">
        <v>123.1</v>
      </c>
      <c r="Q61" s="51">
        <v>0</v>
      </c>
      <c r="R61" s="51">
        <v>110.2</v>
      </c>
      <c r="S61" s="51">
        <v>129</v>
      </c>
      <c r="T61" s="52">
        <v>171.1</v>
      </c>
      <c r="U61" s="52">
        <v>227.9</v>
      </c>
      <c r="V61" s="51">
        <v>126.2</v>
      </c>
      <c r="W61" s="51">
        <v>139.4</v>
      </c>
      <c r="X61" s="7">
        <v>0.13248688931824451</v>
      </c>
      <c r="Y61" s="8">
        <v>0.55544723373141602</v>
      </c>
      <c r="Z61" s="10">
        <v>2.507051081165779E-2</v>
      </c>
      <c r="AA61" s="10">
        <v>1.5897279119535309E-2</v>
      </c>
    </row>
    <row r="62" spans="2:27" x14ac:dyDescent="0.3">
      <c r="B62" s="12" t="s">
        <v>89</v>
      </c>
      <c r="C62" s="3" t="s">
        <v>671</v>
      </c>
      <c r="D62" s="3" t="s">
        <v>703</v>
      </c>
      <c r="E62" s="3" t="s">
        <v>673</v>
      </c>
      <c r="F62" s="5">
        <v>1.3</v>
      </c>
      <c r="G62" s="51">
        <v>493.32</v>
      </c>
      <c r="H62" s="51">
        <v>717.36</v>
      </c>
      <c r="I62" s="51">
        <v>510.47</v>
      </c>
      <c r="J62" s="51">
        <v>612.59</v>
      </c>
      <c r="K62" s="51">
        <v>577.54</v>
      </c>
      <c r="L62" s="51">
        <v>784.37</v>
      </c>
      <c r="M62" s="51">
        <v>593.96</v>
      </c>
      <c r="N62" s="51">
        <v>559.04999999999995</v>
      </c>
      <c r="O62" s="51">
        <v>594.85</v>
      </c>
      <c r="P62" s="51">
        <v>873.77</v>
      </c>
      <c r="Q62" s="51">
        <v>632.5</v>
      </c>
      <c r="R62" s="51">
        <v>644</v>
      </c>
      <c r="S62" s="51">
        <v>670.84</v>
      </c>
      <c r="T62" s="51">
        <v>958.99</v>
      </c>
      <c r="U62" s="51">
        <v>698.55</v>
      </c>
      <c r="V62" s="51">
        <v>724.28</v>
      </c>
      <c r="W62" s="51">
        <v>710.46</v>
      </c>
      <c r="X62" s="9">
        <v>3.020796778572965E-2</v>
      </c>
      <c r="Y62" s="10">
        <v>2.272625613746548E-2</v>
      </c>
      <c r="Z62" s="10">
        <v>2.7008659727221881E-2</v>
      </c>
      <c r="AA62" s="10">
        <v>1.2978844679721879E-2</v>
      </c>
    </row>
    <row r="63" spans="2:27" x14ac:dyDescent="0.3">
      <c r="B63" s="12" t="s">
        <v>396</v>
      </c>
      <c r="C63" s="3" t="s">
        <v>671</v>
      </c>
      <c r="D63" s="3" t="s">
        <v>719</v>
      </c>
      <c r="E63" s="3" t="s">
        <v>673</v>
      </c>
      <c r="F63" s="5">
        <v>1.3</v>
      </c>
      <c r="G63" s="51">
        <v>10.67</v>
      </c>
      <c r="H63" s="51">
        <v>19.23</v>
      </c>
      <c r="I63" s="51">
        <v>20.8</v>
      </c>
      <c r="J63" s="51">
        <v>17.87</v>
      </c>
      <c r="K63" s="52">
        <v>18.77</v>
      </c>
      <c r="L63" s="51">
        <v>23.15</v>
      </c>
      <c r="M63" s="51">
        <v>21.53</v>
      </c>
      <c r="N63" s="52">
        <v>28.16</v>
      </c>
      <c r="O63" s="52">
        <v>46.3</v>
      </c>
      <c r="P63" s="52">
        <v>51.27</v>
      </c>
      <c r="Q63" s="52">
        <v>43.65</v>
      </c>
      <c r="R63" s="52">
        <v>54.85</v>
      </c>
      <c r="S63" s="51">
        <v>52.12</v>
      </c>
      <c r="T63" s="51">
        <v>60.39</v>
      </c>
      <c r="U63" s="51">
        <v>50.26</v>
      </c>
      <c r="V63" s="51">
        <v>70.09</v>
      </c>
      <c r="W63" s="51">
        <v>55.25</v>
      </c>
      <c r="X63" s="9">
        <v>4.5173114072019523E-2</v>
      </c>
      <c r="Y63" s="10">
        <v>3.1325529595753743E-2</v>
      </c>
      <c r="Z63" s="10">
        <v>7.0030328094844219E-2</v>
      </c>
      <c r="AA63" s="10">
        <v>1.3441552864382089E-2</v>
      </c>
    </row>
    <row r="64" spans="2:27" x14ac:dyDescent="0.3">
      <c r="B64" s="12" t="s">
        <v>105</v>
      </c>
      <c r="C64" s="3" t="s">
        <v>671</v>
      </c>
      <c r="D64" s="3" t="s">
        <v>719</v>
      </c>
      <c r="E64" s="3" t="s">
        <v>673</v>
      </c>
      <c r="F64" s="5">
        <v>1.1000000000000001</v>
      </c>
      <c r="G64" s="51">
        <v>7002</v>
      </c>
      <c r="H64" s="51">
        <v>7681</v>
      </c>
      <c r="I64" s="51">
        <v>7905</v>
      </c>
      <c r="J64" s="51">
        <v>8363</v>
      </c>
      <c r="K64" s="51">
        <v>4400</v>
      </c>
      <c r="L64" s="51">
        <v>6799</v>
      </c>
      <c r="M64" s="51">
        <v>7279</v>
      </c>
      <c r="N64" s="51">
        <v>7209</v>
      </c>
      <c r="O64" s="51">
        <v>5247</v>
      </c>
      <c r="P64" s="51">
        <v>6604</v>
      </c>
      <c r="Q64" s="51">
        <v>6837</v>
      </c>
      <c r="R64" s="51">
        <v>7136</v>
      </c>
      <c r="S64" s="51">
        <v>5873</v>
      </c>
      <c r="T64" s="51">
        <v>6766</v>
      </c>
      <c r="U64" s="51">
        <v>7010</v>
      </c>
      <c r="V64" s="51">
        <v>6627</v>
      </c>
      <c r="W64" s="51">
        <v>6163</v>
      </c>
      <c r="X64" s="9">
        <v>6.1247637051040638E-3</v>
      </c>
      <c r="Y64" s="10">
        <v>6.5008266947241822E-3</v>
      </c>
      <c r="Z64" s="10">
        <v>-1.900317341795776E-2</v>
      </c>
      <c r="AA64" s="10">
        <v>1.103668747145692E-2</v>
      </c>
    </row>
    <row r="65" spans="2:27" hidden="1" x14ac:dyDescent="0.3">
      <c r="B65" s="3" t="s">
        <v>101</v>
      </c>
      <c r="C65" s="3" t="s">
        <v>671</v>
      </c>
      <c r="D65" s="3" t="s">
        <v>712</v>
      </c>
      <c r="E65" s="3" t="s">
        <v>743</v>
      </c>
      <c r="F65" s="5">
        <v>1.5</v>
      </c>
      <c r="G65" s="4">
        <v>184.6</v>
      </c>
      <c r="H65" s="4">
        <v>191.6</v>
      </c>
      <c r="I65" s="4">
        <v>189.4</v>
      </c>
      <c r="J65" s="4">
        <v>226.2</v>
      </c>
      <c r="K65" s="4">
        <v>137.6</v>
      </c>
      <c r="L65" s="4">
        <v>210.6</v>
      </c>
      <c r="M65" s="4">
        <v>167.8</v>
      </c>
      <c r="N65" s="4">
        <v>187.1</v>
      </c>
      <c r="O65" s="4">
        <v>183.3</v>
      </c>
      <c r="P65" s="4">
        <v>168</v>
      </c>
      <c r="Q65" s="4">
        <v>125.6</v>
      </c>
      <c r="R65" s="4">
        <v>129.5</v>
      </c>
      <c r="S65" s="4">
        <v>166.7</v>
      </c>
      <c r="T65" s="4">
        <v>171.8</v>
      </c>
      <c r="U65" s="4">
        <v>128.69999999999999</v>
      </c>
      <c r="V65" s="4">
        <v>160</v>
      </c>
      <c r="W65" s="4">
        <v>175.8</v>
      </c>
      <c r="X65" s="9">
        <v>6.4428619871144122E-3</v>
      </c>
      <c r="Y65" s="10">
        <v>5.2223719676549596E-3</v>
      </c>
      <c r="Z65" s="10">
        <v>5.1114462879168647E-2</v>
      </c>
      <c r="AA65" s="10">
        <v>1.4508928571428379E-2</v>
      </c>
    </row>
    <row r="66" spans="2:27" x14ac:dyDescent="0.3">
      <c r="B66" s="12" t="s">
        <v>200</v>
      </c>
      <c r="C66" s="3" t="s">
        <v>671</v>
      </c>
      <c r="D66" s="3" t="s">
        <v>714</v>
      </c>
      <c r="E66" s="3" t="s">
        <v>715</v>
      </c>
      <c r="F66" s="5">
        <v>1</v>
      </c>
      <c r="G66" s="51">
        <v>82.62</v>
      </c>
      <c r="H66" s="51">
        <v>82.62</v>
      </c>
      <c r="I66" s="51">
        <v>104.88</v>
      </c>
      <c r="J66" s="51">
        <v>71.75</v>
      </c>
      <c r="K66" s="51">
        <v>45.07</v>
      </c>
      <c r="L66" s="52">
        <v>124.41</v>
      </c>
      <c r="M66" s="51">
        <v>126.85</v>
      </c>
      <c r="N66" s="51">
        <v>30.28</v>
      </c>
      <c r="O66" s="51">
        <v>54.52</v>
      </c>
      <c r="P66" s="51">
        <v>137.99</v>
      </c>
      <c r="Q66" s="51">
        <v>159.63</v>
      </c>
      <c r="R66" s="52">
        <v>104.23</v>
      </c>
      <c r="S66" s="51">
        <v>76</v>
      </c>
      <c r="T66" s="51">
        <v>172.75</v>
      </c>
      <c r="U66" s="51">
        <v>188.53</v>
      </c>
      <c r="V66" s="51">
        <v>116.02</v>
      </c>
      <c r="W66" s="51">
        <v>81.569999999999993</v>
      </c>
      <c r="X66" s="9">
        <v>7.2742492413937487E-2</v>
      </c>
      <c r="Y66" s="10">
        <v>5.6378143227794997E-2</v>
      </c>
      <c r="Z66" s="10">
        <v>2.1772451108936108E-2</v>
      </c>
      <c r="AA66" s="10">
        <v>1.006687149828323E-2</v>
      </c>
    </row>
    <row r="67" spans="2:27" x14ac:dyDescent="0.3">
      <c r="B67" s="12" t="s">
        <v>256</v>
      </c>
      <c r="C67" s="3" t="s">
        <v>671</v>
      </c>
      <c r="D67" s="3" t="s">
        <v>692</v>
      </c>
      <c r="E67" s="3" t="s">
        <v>673</v>
      </c>
      <c r="F67" s="5">
        <v>0.8</v>
      </c>
      <c r="G67" s="51">
        <v>-18.170000000000002</v>
      </c>
      <c r="H67" s="51">
        <v>-16.309999999999999</v>
      </c>
      <c r="I67" s="51">
        <v>20.83</v>
      </c>
      <c r="J67" s="51">
        <v>48.75</v>
      </c>
      <c r="K67" s="52">
        <v>17.690000000000001</v>
      </c>
      <c r="L67" s="51">
        <v>-45.29</v>
      </c>
      <c r="M67" s="52">
        <v>36.92</v>
      </c>
      <c r="N67" s="52">
        <v>85.01</v>
      </c>
      <c r="O67" s="51">
        <v>4.58</v>
      </c>
      <c r="P67" s="52">
        <v>-33.71</v>
      </c>
      <c r="Q67" s="52">
        <v>94.66</v>
      </c>
      <c r="R67" s="52">
        <v>111.3</v>
      </c>
      <c r="S67" s="52">
        <v>58.63</v>
      </c>
      <c r="T67" s="51">
        <v>-32.06</v>
      </c>
      <c r="U67" s="51">
        <v>113.21</v>
      </c>
      <c r="V67" s="52">
        <v>158.9</v>
      </c>
      <c r="W67" s="51">
        <v>60.88</v>
      </c>
      <c r="X67" s="9">
        <v>7.1465696465695672E-3</v>
      </c>
      <c r="Y67" s="10">
        <v>7.9774652732980567E-2</v>
      </c>
      <c r="Z67" s="8">
        <v>0.18958101003664171</v>
      </c>
      <c r="AA67" s="10">
        <v>7.5331458417033934E-3</v>
      </c>
    </row>
    <row r="68" spans="2:27" x14ac:dyDescent="0.3">
      <c r="B68" s="12" t="s">
        <v>30</v>
      </c>
      <c r="C68" s="3" t="s">
        <v>671</v>
      </c>
      <c r="D68" s="3" t="s">
        <v>718</v>
      </c>
      <c r="E68" s="3" t="s">
        <v>673</v>
      </c>
      <c r="F68" s="5">
        <v>0.7</v>
      </c>
      <c r="G68" s="51">
        <v>4020</v>
      </c>
      <c r="H68" s="51">
        <v>3997</v>
      </c>
      <c r="I68" s="51">
        <v>3953</v>
      </c>
      <c r="J68" s="51">
        <v>4553</v>
      </c>
      <c r="K68" s="51">
        <v>4246</v>
      </c>
      <c r="L68" s="51">
        <v>3892</v>
      </c>
      <c r="M68" s="51">
        <v>4140</v>
      </c>
      <c r="N68" s="51">
        <v>4146</v>
      </c>
      <c r="O68" s="51">
        <v>4336</v>
      </c>
      <c r="P68" s="51">
        <v>4530</v>
      </c>
      <c r="Q68" s="51">
        <v>4704</v>
      </c>
      <c r="R68" s="51">
        <v>5443</v>
      </c>
      <c r="S68" s="51">
        <v>6046</v>
      </c>
      <c r="T68" s="51">
        <v>4995</v>
      </c>
      <c r="U68" s="51">
        <v>4615</v>
      </c>
      <c r="V68" s="51">
        <v>4810</v>
      </c>
      <c r="W68" s="51">
        <v>6186</v>
      </c>
      <c r="X68" s="9">
        <v>2.2438836075857841E-2</v>
      </c>
      <c r="Y68" s="10">
        <v>-4.2004908438738608E-3</v>
      </c>
      <c r="Z68" s="10">
        <v>-3.0001421868334991E-2</v>
      </c>
      <c r="AA68" s="10">
        <v>6.8406137007719359E-3</v>
      </c>
    </row>
    <row r="69" spans="2:27" x14ac:dyDescent="0.3">
      <c r="B69" s="12" t="s">
        <v>368</v>
      </c>
      <c r="C69" s="3" t="s">
        <v>671</v>
      </c>
      <c r="D69" s="3" t="s">
        <v>690</v>
      </c>
      <c r="E69" s="3" t="s">
        <v>673</v>
      </c>
      <c r="F69" s="5">
        <v>0.6</v>
      </c>
      <c r="G69" s="51"/>
      <c r="H69" s="51">
        <v>82</v>
      </c>
      <c r="I69" s="51">
        <v>77</v>
      </c>
      <c r="J69" s="51">
        <v>127</v>
      </c>
      <c r="K69" s="51">
        <v>101</v>
      </c>
      <c r="L69" s="51">
        <v>80</v>
      </c>
      <c r="M69" s="51">
        <v>100</v>
      </c>
      <c r="N69" s="51">
        <v>75</v>
      </c>
      <c r="O69" s="51">
        <v>79</v>
      </c>
      <c r="P69" s="51">
        <v>90</v>
      </c>
      <c r="Q69" s="51">
        <v>76</v>
      </c>
      <c r="R69" s="51">
        <v>80</v>
      </c>
      <c r="S69" s="51">
        <v>72</v>
      </c>
      <c r="T69" s="51">
        <v>79</v>
      </c>
      <c r="U69" s="51">
        <v>97</v>
      </c>
      <c r="V69" s="51">
        <v>92</v>
      </c>
      <c r="W69" s="51">
        <v>74</v>
      </c>
      <c r="X69" s="9">
        <v>-3.4591194968553451E-2</v>
      </c>
      <c r="Y69" s="10">
        <v>6.8403908794788304E-2</v>
      </c>
      <c r="Z69" s="10">
        <v>3.6585365853658569E-2</v>
      </c>
      <c r="AA69" s="10">
        <v>5.8823529411764497E-3</v>
      </c>
    </row>
    <row r="70" spans="2:27" hidden="1" x14ac:dyDescent="0.3">
      <c r="B70" s="3" t="s">
        <v>445</v>
      </c>
      <c r="C70" s="3" t="s">
        <v>671</v>
      </c>
      <c r="D70" s="3" t="s">
        <v>676</v>
      </c>
      <c r="E70" s="3" t="s">
        <v>743</v>
      </c>
      <c r="F70" s="5">
        <v>0.9</v>
      </c>
      <c r="G70" s="4">
        <v>15.73</v>
      </c>
      <c r="H70" s="4">
        <v>20.07</v>
      </c>
      <c r="I70" s="4">
        <v>11.12</v>
      </c>
      <c r="J70" s="4">
        <v>23.02</v>
      </c>
      <c r="K70" s="6">
        <v>26.87</v>
      </c>
      <c r="L70" s="6">
        <v>31.03</v>
      </c>
      <c r="M70" s="6">
        <v>36.950000000000003</v>
      </c>
      <c r="N70" s="6">
        <v>37.07</v>
      </c>
      <c r="O70" s="6">
        <v>45.75</v>
      </c>
      <c r="P70" s="6">
        <v>46.39</v>
      </c>
      <c r="Q70" s="4">
        <v>51.27</v>
      </c>
      <c r="R70" s="4">
        <v>50.12</v>
      </c>
      <c r="S70" s="4">
        <v>52.99</v>
      </c>
      <c r="T70" s="4">
        <v>51.49</v>
      </c>
      <c r="U70" s="4">
        <v>51.73</v>
      </c>
      <c r="V70" s="4">
        <v>64.180000000000007</v>
      </c>
      <c r="W70" s="4">
        <v>54.97</v>
      </c>
      <c r="X70" s="9">
        <v>2.540220152413197E-2</v>
      </c>
      <c r="Y70" s="10">
        <v>2.234419779472363E-3</v>
      </c>
      <c r="Z70" s="10">
        <v>6.8143265642417683E-2</v>
      </c>
      <c r="AA70" s="10">
        <v>8.9840736875539395E-3</v>
      </c>
    </row>
    <row r="71" spans="2:27" hidden="1" x14ac:dyDescent="0.3">
      <c r="B71" s="3" t="s">
        <v>204</v>
      </c>
      <c r="C71" s="3" t="s">
        <v>671</v>
      </c>
      <c r="D71" s="3" t="s">
        <v>693</v>
      </c>
      <c r="E71" s="3" t="s">
        <v>743</v>
      </c>
      <c r="F71" s="5">
        <v>0.8</v>
      </c>
      <c r="G71" s="4">
        <v>155.80000000000001</v>
      </c>
      <c r="H71" s="4">
        <v>185.19</v>
      </c>
      <c r="I71" s="4">
        <v>146.41</v>
      </c>
      <c r="J71" s="4">
        <v>122.79</v>
      </c>
      <c r="K71" s="4">
        <v>94.55</v>
      </c>
      <c r="L71" s="4">
        <v>123.07</v>
      </c>
      <c r="M71" s="4">
        <v>61.91</v>
      </c>
      <c r="N71" s="4">
        <v>89.92</v>
      </c>
      <c r="O71" s="4">
        <v>91.15</v>
      </c>
      <c r="P71" s="4">
        <v>94.92</v>
      </c>
      <c r="Q71" s="4">
        <v>51.7</v>
      </c>
      <c r="R71" s="4">
        <v>100.5</v>
      </c>
      <c r="S71" s="4">
        <v>66</v>
      </c>
      <c r="T71" s="4">
        <v>57.93</v>
      </c>
      <c r="U71" s="4">
        <v>56.9</v>
      </c>
      <c r="V71" s="4">
        <v>79.599999999999994</v>
      </c>
      <c r="W71" s="4">
        <v>68</v>
      </c>
      <c r="X71" s="9">
        <v>-0.118133622892182</v>
      </c>
      <c r="Y71" s="10">
        <v>1.8831709701951919E-2</v>
      </c>
      <c r="Z71" s="10">
        <v>-7.4289979739096346E-2</v>
      </c>
      <c r="AA71" s="10">
        <v>7.6796068041316001E-3</v>
      </c>
    </row>
    <row r="72" spans="2:27" x14ac:dyDescent="0.3">
      <c r="B72" s="12" t="s">
        <v>68</v>
      </c>
      <c r="C72" s="3" t="s">
        <v>671</v>
      </c>
      <c r="D72" s="3" t="s">
        <v>706</v>
      </c>
      <c r="E72" s="3" t="s">
        <v>673</v>
      </c>
      <c r="F72" s="5">
        <v>0.5</v>
      </c>
      <c r="G72" s="51">
        <v>159.30000000000001</v>
      </c>
      <c r="H72" s="51">
        <v>175.8</v>
      </c>
      <c r="I72" s="51">
        <v>211.6</v>
      </c>
      <c r="J72" s="51">
        <v>203.6</v>
      </c>
      <c r="K72" s="52">
        <v>288.39999999999998</v>
      </c>
      <c r="L72" s="51">
        <v>263.3</v>
      </c>
      <c r="M72" s="51">
        <v>293.60000000000002</v>
      </c>
      <c r="N72" s="52">
        <v>331.4</v>
      </c>
      <c r="O72" s="51">
        <v>361.6</v>
      </c>
      <c r="P72" s="51">
        <v>317.89999999999998</v>
      </c>
      <c r="Q72" s="51">
        <v>360.8</v>
      </c>
      <c r="R72" s="51">
        <v>385.2</v>
      </c>
      <c r="S72" s="51">
        <v>390.8</v>
      </c>
      <c r="T72" s="51">
        <v>326.2</v>
      </c>
      <c r="U72" s="51">
        <v>365.3</v>
      </c>
      <c r="V72" s="51">
        <v>400.3</v>
      </c>
      <c r="W72" s="51">
        <v>397.8</v>
      </c>
      <c r="X72" s="9">
        <v>5.7056437753488787E-3</v>
      </c>
      <c r="Y72" s="10">
        <v>3.0758714969241212E-3</v>
      </c>
      <c r="Z72" s="10">
        <v>1.0289608177171949E-2</v>
      </c>
      <c r="AA72" s="10">
        <v>4.7214353163360654E-3</v>
      </c>
    </row>
    <row r="73" spans="2:27" x14ac:dyDescent="0.3">
      <c r="B73" s="12" t="s">
        <v>262</v>
      </c>
      <c r="C73" s="3" t="s">
        <v>671</v>
      </c>
      <c r="D73" s="3" t="s">
        <v>705</v>
      </c>
      <c r="E73" s="3" t="s">
        <v>673</v>
      </c>
      <c r="F73" s="5">
        <v>0.4</v>
      </c>
      <c r="G73" s="51">
        <v>85.84</v>
      </c>
      <c r="H73" s="51">
        <v>77.7</v>
      </c>
      <c r="I73" s="51">
        <v>84.17</v>
      </c>
      <c r="J73" s="51">
        <v>96.42</v>
      </c>
      <c r="K73" s="51">
        <v>81.78</v>
      </c>
      <c r="L73" s="51">
        <v>86.03</v>
      </c>
      <c r="M73" s="51">
        <v>93.24</v>
      </c>
      <c r="N73" s="51">
        <v>83.7</v>
      </c>
      <c r="O73" s="51">
        <v>63.01</v>
      </c>
      <c r="P73" s="51">
        <v>53.25</v>
      </c>
      <c r="Q73" s="51">
        <v>69.14</v>
      </c>
      <c r="R73" s="51">
        <v>75.64</v>
      </c>
      <c r="S73" s="51">
        <v>85.04</v>
      </c>
      <c r="T73" s="51">
        <v>72.19</v>
      </c>
      <c r="U73" s="51">
        <v>78.87</v>
      </c>
      <c r="V73" s="51">
        <v>75.89</v>
      </c>
      <c r="W73" s="51">
        <v>86.35</v>
      </c>
      <c r="X73" s="9">
        <v>6.690924506305862E-2</v>
      </c>
      <c r="Y73" s="10">
        <v>3.221747624250848E-2</v>
      </c>
      <c r="Z73" s="10">
        <v>8.0195034323482517E-4</v>
      </c>
      <c r="AA73" s="10">
        <v>4.1988525273246591E-3</v>
      </c>
    </row>
    <row r="74" spans="2:27" x14ac:dyDescent="0.3">
      <c r="B74" s="12" t="s">
        <v>52</v>
      </c>
      <c r="C74" s="3" t="s">
        <v>671</v>
      </c>
      <c r="D74" s="3" t="s">
        <v>722</v>
      </c>
      <c r="E74" s="3" t="s">
        <v>673</v>
      </c>
      <c r="F74" s="5">
        <v>0.3</v>
      </c>
      <c r="G74" s="51">
        <v>481.93</v>
      </c>
      <c r="H74" s="51">
        <v>487.06</v>
      </c>
      <c r="I74" s="51">
        <v>552.33000000000004</v>
      </c>
      <c r="J74" s="51">
        <v>569</v>
      </c>
      <c r="K74" s="51">
        <v>597.17999999999995</v>
      </c>
      <c r="L74" s="51">
        <v>567.85</v>
      </c>
      <c r="M74" s="51">
        <v>604.41</v>
      </c>
      <c r="N74" s="51">
        <v>597.55999999999995</v>
      </c>
      <c r="O74" s="51">
        <v>562.39</v>
      </c>
      <c r="P74" s="51">
        <v>528.57000000000005</v>
      </c>
      <c r="Q74" s="51">
        <v>565.82000000000005</v>
      </c>
      <c r="R74" s="51">
        <v>559.87</v>
      </c>
      <c r="S74" s="51">
        <v>551.23</v>
      </c>
      <c r="T74" s="51">
        <v>543.47</v>
      </c>
      <c r="U74" s="51">
        <v>570.39</v>
      </c>
      <c r="V74" s="51">
        <v>576.38</v>
      </c>
      <c r="W74" s="51">
        <v>557.23</v>
      </c>
      <c r="X74" s="9">
        <v>6.7558683104436126E-3</v>
      </c>
      <c r="Y74" s="10">
        <v>2.0581969834125862E-3</v>
      </c>
      <c r="Z74" s="10">
        <v>7.4203581187977097E-3</v>
      </c>
      <c r="AA74" s="10">
        <v>2.676814768879376E-3</v>
      </c>
    </row>
    <row r="75" spans="2:27" x14ac:dyDescent="0.3">
      <c r="B75" s="12" t="s">
        <v>152</v>
      </c>
      <c r="C75" s="3" t="s">
        <v>671</v>
      </c>
      <c r="D75" s="3" t="s">
        <v>716</v>
      </c>
      <c r="E75" s="3" t="s">
        <v>673</v>
      </c>
      <c r="F75" s="5">
        <v>0.1</v>
      </c>
      <c r="G75" s="51">
        <v>118.35</v>
      </c>
      <c r="H75" s="51">
        <v>161.31</v>
      </c>
      <c r="I75" s="51">
        <v>169.56</v>
      </c>
      <c r="J75" s="51">
        <v>156.53</v>
      </c>
      <c r="K75" s="51">
        <v>134.68</v>
      </c>
      <c r="L75" s="51">
        <v>162.41</v>
      </c>
      <c r="M75" s="51">
        <v>179.15</v>
      </c>
      <c r="N75" s="51">
        <v>190.07</v>
      </c>
      <c r="O75" s="51">
        <v>171.19</v>
      </c>
      <c r="P75" s="51">
        <v>173.03</v>
      </c>
      <c r="Q75" s="51">
        <v>182.78</v>
      </c>
      <c r="R75" s="51">
        <v>166.65</v>
      </c>
      <c r="S75" s="51">
        <v>189.83</v>
      </c>
      <c r="T75" s="51">
        <v>161.11000000000001</v>
      </c>
      <c r="U75" s="51">
        <v>181.49</v>
      </c>
      <c r="V75" s="51">
        <v>184.45</v>
      </c>
      <c r="W75" s="51">
        <v>190.3</v>
      </c>
      <c r="X75" s="9">
        <v>-1.673475691080872E-2</v>
      </c>
      <c r="Y75" s="10">
        <v>-1.841883575824155E-3</v>
      </c>
      <c r="Z75" s="10">
        <v>2.5462035818504258E-2</v>
      </c>
      <c r="AA75" s="10">
        <v>6.5561879254549815E-4</v>
      </c>
    </row>
    <row r="76" spans="2:27" x14ac:dyDescent="0.3">
      <c r="B76" s="12" t="s">
        <v>91</v>
      </c>
      <c r="C76" s="3" t="s">
        <v>671</v>
      </c>
      <c r="D76" s="3" t="s">
        <v>703</v>
      </c>
      <c r="E76" s="3" t="s">
        <v>673</v>
      </c>
      <c r="F76" s="5">
        <v>0</v>
      </c>
      <c r="G76" s="51">
        <v>654</v>
      </c>
      <c r="H76" s="51">
        <v>700</v>
      </c>
      <c r="I76" s="51">
        <v>639</v>
      </c>
      <c r="J76" s="51">
        <v>716</v>
      </c>
      <c r="K76" s="51">
        <v>777</v>
      </c>
      <c r="L76" s="51">
        <v>846</v>
      </c>
      <c r="M76" s="51">
        <v>670</v>
      </c>
      <c r="N76" s="51">
        <v>836</v>
      </c>
      <c r="O76" s="51">
        <v>794</v>
      </c>
      <c r="P76" s="51">
        <v>894</v>
      </c>
      <c r="Q76" s="51">
        <v>756</v>
      </c>
      <c r="R76" s="51">
        <v>833</v>
      </c>
      <c r="S76" s="51">
        <v>809</v>
      </c>
      <c r="T76" s="51">
        <v>972</v>
      </c>
      <c r="U76" s="51">
        <v>820</v>
      </c>
      <c r="V76" s="51">
        <v>890</v>
      </c>
      <c r="W76" s="51">
        <v>810</v>
      </c>
      <c r="X76" s="9">
        <v>2.3693803159173799E-2</v>
      </c>
      <c r="Y76" s="10">
        <v>1.8991097922848699E-2</v>
      </c>
      <c r="Z76" s="10">
        <v>1.6598718695398858E-2</v>
      </c>
      <c r="AA76" s="10">
        <v>2.8645087367507038E-4</v>
      </c>
    </row>
    <row r="77" spans="2:27" x14ac:dyDescent="0.3">
      <c r="B77" s="12" t="s">
        <v>358</v>
      </c>
      <c r="C77" s="3" t="s">
        <v>671</v>
      </c>
      <c r="D77" s="3" t="s">
        <v>708</v>
      </c>
      <c r="E77" s="3" t="s">
        <v>673</v>
      </c>
      <c r="F77" s="5">
        <v>-0.1</v>
      </c>
      <c r="G77" s="51">
        <v>59.53</v>
      </c>
      <c r="H77" s="51">
        <v>122.27</v>
      </c>
      <c r="I77" s="51">
        <v>87.25</v>
      </c>
      <c r="J77" s="51">
        <v>87.69</v>
      </c>
      <c r="K77" s="51">
        <v>69.73</v>
      </c>
      <c r="L77" s="51">
        <v>107.49</v>
      </c>
      <c r="M77" s="51">
        <v>98.19</v>
      </c>
      <c r="N77" s="51">
        <v>85.27</v>
      </c>
      <c r="O77" s="51">
        <v>59.35</v>
      </c>
      <c r="P77" s="51">
        <v>111.33</v>
      </c>
      <c r="Q77" s="51">
        <v>106.75</v>
      </c>
      <c r="R77" s="51">
        <v>96.1</v>
      </c>
      <c r="S77" s="51">
        <v>65.41</v>
      </c>
      <c r="T77" s="51">
        <v>112.86</v>
      </c>
      <c r="U77" s="51">
        <v>97.94</v>
      </c>
      <c r="V77" s="51">
        <v>78.33</v>
      </c>
      <c r="W77" s="51">
        <v>64.989999999999995</v>
      </c>
      <c r="X77" s="9">
        <v>4.0306646645065216E-3</v>
      </c>
      <c r="Y77" s="10">
        <v>-2.3116078925272902E-2</v>
      </c>
      <c r="Z77" s="10">
        <v>-4.7729043001799698E-2</v>
      </c>
      <c r="AA77" s="10">
        <v>-1.184633609747743E-3</v>
      </c>
    </row>
    <row r="78" spans="2:27" hidden="1" x14ac:dyDescent="0.3">
      <c r="B78" s="3" t="s">
        <v>60</v>
      </c>
      <c r="C78" s="3" t="s">
        <v>671</v>
      </c>
      <c r="D78" s="3" t="s">
        <v>703</v>
      </c>
      <c r="E78" s="3" t="s">
        <v>743</v>
      </c>
      <c r="F78" s="5">
        <v>0.1</v>
      </c>
      <c r="G78" s="4">
        <v>828.85</v>
      </c>
      <c r="H78" s="4">
        <v>276.17</v>
      </c>
      <c r="I78" s="4">
        <v>568.04999999999995</v>
      </c>
      <c r="J78" s="4">
        <v>-79.61</v>
      </c>
      <c r="K78" s="4">
        <v>924</v>
      </c>
      <c r="L78" s="6">
        <v>503.22</v>
      </c>
      <c r="M78" s="4">
        <v>469.31</v>
      </c>
      <c r="N78" s="6">
        <v>763.46</v>
      </c>
      <c r="O78" s="6">
        <v>1191</v>
      </c>
      <c r="P78" s="4">
        <v>272.88</v>
      </c>
      <c r="Q78" s="4">
        <v>386.43</v>
      </c>
      <c r="R78" s="4">
        <v>635.52</v>
      </c>
      <c r="S78" s="4">
        <v>1141</v>
      </c>
      <c r="T78" s="6">
        <v>659.92</v>
      </c>
      <c r="U78" s="6">
        <v>708.63</v>
      </c>
      <c r="V78" s="4">
        <v>849.83</v>
      </c>
      <c r="W78" s="4">
        <v>1146</v>
      </c>
      <c r="X78" s="7">
        <v>0.15889450413206169</v>
      </c>
      <c r="Y78" s="8">
        <v>0.1141391562487821</v>
      </c>
      <c r="Z78" s="10">
        <v>6.814156759626977E-2</v>
      </c>
      <c r="AA78" s="10">
        <v>1.4883698777750089E-3</v>
      </c>
    </row>
    <row r="79" spans="2:27" x14ac:dyDescent="0.3">
      <c r="B79" s="12" t="s">
        <v>381</v>
      </c>
      <c r="C79" s="3" t="s">
        <v>671</v>
      </c>
      <c r="D79" s="3" t="s">
        <v>684</v>
      </c>
      <c r="E79" s="3" t="s">
        <v>755</v>
      </c>
      <c r="F79" s="30">
        <v>-0.11490125673249563</v>
      </c>
      <c r="G79" s="51">
        <v>0.91</v>
      </c>
      <c r="H79" s="53"/>
      <c r="I79" s="51">
        <v>2.67</v>
      </c>
      <c r="J79" s="53"/>
      <c r="K79" s="51">
        <v>1.84</v>
      </c>
      <c r="L79" s="53"/>
      <c r="M79" s="51">
        <v>1.59</v>
      </c>
      <c r="N79" s="53"/>
      <c r="O79" s="60">
        <v>3.59</v>
      </c>
      <c r="P79" s="61"/>
      <c r="Q79" s="60">
        <v>-2.6</v>
      </c>
      <c r="R79" s="61"/>
      <c r="S79" s="60">
        <v>-0.45</v>
      </c>
      <c r="T79" s="61"/>
      <c r="U79" s="60">
        <v>-5.12</v>
      </c>
      <c r="V79" s="61"/>
      <c r="W79" s="60">
        <v>0.19</v>
      </c>
      <c r="X79" s="9">
        <v>-0.80888030888030893</v>
      </c>
      <c r="Y79" s="10">
        <v>-4.0808080808080813</v>
      </c>
      <c r="Z79" s="59">
        <v>0.82622950819672125</v>
      </c>
      <c r="AA79" s="58">
        <v>-0.11490125673249563</v>
      </c>
    </row>
    <row r="80" spans="2:27" x14ac:dyDescent="0.3">
      <c r="B80" s="12" t="s">
        <v>250</v>
      </c>
      <c r="C80" s="3" t="s">
        <v>671</v>
      </c>
      <c r="D80" s="3" t="s">
        <v>706</v>
      </c>
      <c r="E80" s="3" t="s">
        <v>673</v>
      </c>
      <c r="F80" s="5">
        <v>-0.5</v>
      </c>
      <c r="G80" s="51">
        <v>77.400000000000006</v>
      </c>
      <c r="H80" s="51">
        <v>71.599999999999994</v>
      </c>
      <c r="I80" s="51">
        <v>119</v>
      </c>
      <c r="J80" s="51">
        <v>111.3</v>
      </c>
      <c r="K80" s="51">
        <v>88</v>
      </c>
      <c r="L80" s="51">
        <v>105.5</v>
      </c>
      <c r="M80" s="51">
        <v>133.69999999999999</v>
      </c>
      <c r="N80" s="51">
        <v>130.6</v>
      </c>
      <c r="O80" s="51">
        <v>122.6</v>
      </c>
      <c r="P80" s="51">
        <v>119.2</v>
      </c>
      <c r="Q80" s="51">
        <v>136.69999999999999</v>
      </c>
      <c r="R80" s="51">
        <v>121.3</v>
      </c>
      <c r="S80" s="51">
        <v>118.3</v>
      </c>
      <c r="T80" s="51">
        <v>129.6</v>
      </c>
      <c r="U80" s="51">
        <v>132.80000000000001</v>
      </c>
      <c r="V80" s="51">
        <v>127.8</v>
      </c>
      <c r="W80" s="51">
        <v>115.8</v>
      </c>
      <c r="X80" s="9">
        <v>2.098890010090804E-2</v>
      </c>
      <c r="Y80" s="10">
        <v>-7.7090334058114163E-3</v>
      </c>
      <c r="Z80" s="10">
        <v>1.294820717131473E-2</v>
      </c>
      <c r="AA80" s="10">
        <v>-4.9164208456243808E-3</v>
      </c>
    </row>
    <row r="81" spans="2:27" x14ac:dyDescent="0.3">
      <c r="B81" s="12" t="s">
        <v>453</v>
      </c>
      <c r="C81" s="3" t="s">
        <v>671</v>
      </c>
      <c r="D81" s="3" t="s">
        <v>675</v>
      </c>
      <c r="E81" s="3" t="s">
        <v>673</v>
      </c>
      <c r="F81" s="5">
        <v>-0.7</v>
      </c>
      <c r="G81" s="51">
        <v>-104.83</v>
      </c>
      <c r="H81" s="51">
        <v>-101.15</v>
      </c>
      <c r="I81" s="51">
        <v>-97.64</v>
      </c>
      <c r="J81" s="51">
        <v>-91.09</v>
      </c>
      <c r="K81" s="51">
        <v>-99.17</v>
      </c>
      <c r="L81" s="51">
        <v>-90.61</v>
      </c>
      <c r="M81" s="51">
        <v>-93.7</v>
      </c>
      <c r="N81" s="51">
        <v>-100.9</v>
      </c>
      <c r="O81" s="51">
        <v>-106.28</v>
      </c>
      <c r="P81" s="51">
        <v>-92.07</v>
      </c>
      <c r="Q81" s="51">
        <v>-105.82</v>
      </c>
      <c r="R81" s="51">
        <v>-102.81</v>
      </c>
      <c r="S81" s="51">
        <v>-125.04</v>
      </c>
      <c r="T81" s="51">
        <v>-106.63</v>
      </c>
      <c r="U81" s="51">
        <v>-127.06</v>
      </c>
      <c r="V81" s="51">
        <v>-116.87</v>
      </c>
      <c r="W81" s="51">
        <v>-121.58</v>
      </c>
      <c r="X81" s="9">
        <v>3.4199276553765312E-2</v>
      </c>
      <c r="Y81" s="10">
        <v>4.8239836475130637E-2</v>
      </c>
      <c r="Z81" s="10">
        <v>3.0463231789227271E-2</v>
      </c>
      <c r="AA81" s="10">
        <v>-7.2750210260723591E-3</v>
      </c>
    </row>
    <row r="82" spans="2:27" x14ac:dyDescent="0.3">
      <c r="B82" s="12" t="s">
        <v>132</v>
      </c>
      <c r="C82" s="3" t="s">
        <v>671</v>
      </c>
      <c r="D82" s="3" t="s">
        <v>705</v>
      </c>
      <c r="E82" s="3" t="s">
        <v>673</v>
      </c>
      <c r="F82" s="5">
        <v>-0.7</v>
      </c>
      <c r="G82" s="51">
        <v>244</v>
      </c>
      <c r="H82" s="51">
        <v>216</v>
      </c>
      <c r="I82" s="51">
        <v>243</v>
      </c>
      <c r="J82" s="51">
        <v>205</v>
      </c>
      <c r="K82" s="51">
        <v>272</v>
      </c>
      <c r="L82" s="51">
        <v>235</v>
      </c>
      <c r="M82" s="51">
        <v>210</v>
      </c>
      <c r="N82" s="51">
        <v>48</v>
      </c>
      <c r="O82" s="51">
        <v>92</v>
      </c>
      <c r="P82" s="51">
        <v>170</v>
      </c>
      <c r="Q82" s="51">
        <v>171</v>
      </c>
      <c r="R82" s="52">
        <v>196</v>
      </c>
      <c r="S82" s="52">
        <v>228</v>
      </c>
      <c r="T82" s="51">
        <v>198</v>
      </c>
      <c r="U82" s="51">
        <v>187</v>
      </c>
      <c r="V82" s="51">
        <v>193</v>
      </c>
      <c r="W82" s="51">
        <v>222</v>
      </c>
      <c r="X82" s="9">
        <v>3.6601307189542583E-2</v>
      </c>
      <c r="Y82" s="10">
        <v>2.0176544766708601E-2</v>
      </c>
      <c r="Z82" s="10">
        <v>-3.7082818294190689E-3</v>
      </c>
      <c r="AA82" s="10">
        <v>-7.4441687344912744E-3</v>
      </c>
    </row>
    <row r="83" spans="2:27" x14ac:dyDescent="0.3">
      <c r="B83" s="12" t="s">
        <v>7</v>
      </c>
      <c r="C83" s="3" t="s">
        <v>671</v>
      </c>
      <c r="D83" s="3" t="s">
        <v>685</v>
      </c>
      <c r="E83" s="3" t="s">
        <v>715</v>
      </c>
      <c r="F83" s="5">
        <v>-0.9</v>
      </c>
      <c r="G83" s="51">
        <v>1972</v>
      </c>
      <c r="H83" s="51">
        <v>1894</v>
      </c>
      <c r="I83" s="51">
        <v>1924</v>
      </c>
      <c r="J83" s="51">
        <v>1994</v>
      </c>
      <c r="K83" s="51">
        <v>1970</v>
      </c>
      <c r="L83" s="51">
        <v>1911</v>
      </c>
      <c r="M83" s="51">
        <v>1802</v>
      </c>
      <c r="N83" s="51">
        <v>1971</v>
      </c>
      <c r="O83" s="51">
        <v>1967</v>
      </c>
      <c r="P83" s="51">
        <v>1912</v>
      </c>
      <c r="Q83" s="51">
        <v>1942</v>
      </c>
      <c r="R83" s="51">
        <v>2046</v>
      </c>
      <c r="S83" s="51">
        <v>2175</v>
      </c>
      <c r="T83" s="51">
        <v>2169</v>
      </c>
      <c r="U83" s="51">
        <v>2233</v>
      </c>
      <c r="V83" s="51">
        <v>1934</v>
      </c>
      <c r="W83" s="51">
        <v>2096</v>
      </c>
      <c r="X83" s="9">
        <v>3.1826625386996987E-2</v>
      </c>
      <c r="Y83" s="10">
        <v>3.4925588094095072E-2</v>
      </c>
      <c r="Z83" s="10">
        <v>-1.298851907688736E-2</v>
      </c>
      <c r="AA83" s="10">
        <v>-9.2821055105157813E-3</v>
      </c>
    </row>
    <row r="84" spans="2:27" x14ac:dyDescent="0.3">
      <c r="B84" s="12" t="s">
        <v>306</v>
      </c>
      <c r="C84" s="3" t="s">
        <v>671</v>
      </c>
      <c r="D84" s="3" t="s">
        <v>675</v>
      </c>
      <c r="E84" s="3" t="s">
        <v>673</v>
      </c>
      <c r="F84" s="5">
        <v>-1.5</v>
      </c>
      <c r="G84" s="51">
        <v>-102.56</v>
      </c>
      <c r="H84" s="51">
        <v>-136.63</v>
      </c>
      <c r="I84" s="51">
        <v>-141.59</v>
      </c>
      <c r="J84" s="51">
        <v>-225.07</v>
      </c>
      <c r="K84" s="51">
        <v>-145.63</v>
      </c>
      <c r="L84" s="51">
        <v>-154.11000000000001</v>
      </c>
      <c r="M84" s="51">
        <v>-147.96</v>
      </c>
      <c r="N84" s="51">
        <v>-145.1</v>
      </c>
      <c r="O84" s="51">
        <v>-122.05</v>
      </c>
      <c r="P84" s="51">
        <v>-165.35</v>
      </c>
      <c r="Q84" s="51">
        <v>-116.36</v>
      </c>
      <c r="R84" s="51">
        <v>-131.99</v>
      </c>
      <c r="S84" s="51">
        <v>-122.28</v>
      </c>
      <c r="T84" s="51">
        <v>-142.94</v>
      </c>
      <c r="U84" s="51">
        <v>-107.89</v>
      </c>
      <c r="V84" s="51">
        <v>-170.89</v>
      </c>
      <c r="W84" s="51">
        <v>-114</v>
      </c>
      <c r="X84" s="9">
        <v>-4.1811261614239308E-2</v>
      </c>
      <c r="Y84" s="10">
        <v>-1.649239636271593E-2</v>
      </c>
      <c r="Z84" s="10">
        <v>7.7014452583646698E-2</v>
      </c>
      <c r="AA84" s="10">
        <v>-1.522058823529404E-2</v>
      </c>
    </row>
    <row r="85" spans="2:27" x14ac:dyDescent="0.3">
      <c r="B85" s="12" t="s">
        <v>401</v>
      </c>
      <c r="C85" s="3" t="s">
        <v>671</v>
      </c>
      <c r="D85" s="3" t="s">
        <v>730</v>
      </c>
      <c r="E85" s="3" t="s">
        <v>673</v>
      </c>
      <c r="F85" s="5">
        <v>-1.8</v>
      </c>
      <c r="G85" s="51">
        <v>53.4</v>
      </c>
      <c r="H85" s="51">
        <v>29.3</v>
      </c>
      <c r="I85" s="51">
        <v>46.1</v>
      </c>
      <c r="J85" s="51">
        <v>53.1</v>
      </c>
      <c r="K85" s="51">
        <v>53.1</v>
      </c>
      <c r="L85" s="52">
        <v>53.3</v>
      </c>
      <c r="M85" s="52">
        <v>66.900000000000006</v>
      </c>
      <c r="N85" s="52">
        <v>92.7</v>
      </c>
      <c r="O85" s="52">
        <v>111.6</v>
      </c>
      <c r="P85" s="52">
        <v>112.4</v>
      </c>
      <c r="Q85" s="52">
        <v>117.7</v>
      </c>
      <c r="R85" s="51">
        <v>109</v>
      </c>
      <c r="S85" s="51">
        <v>92.7</v>
      </c>
      <c r="T85" s="51">
        <v>92.2</v>
      </c>
      <c r="U85" s="51">
        <v>84</v>
      </c>
      <c r="V85" s="51">
        <v>96.2</v>
      </c>
      <c r="W85" s="51">
        <v>86</v>
      </c>
      <c r="X85" s="9">
        <v>-4.6780917091245877E-2</v>
      </c>
      <c r="Y85" s="10">
        <v>-8.1875607385811566E-2</v>
      </c>
      <c r="Z85" s="10">
        <v>-3.3871394548822382E-2</v>
      </c>
      <c r="AA85" s="10">
        <v>-1.835113667488375E-2</v>
      </c>
    </row>
    <row r="86" spans="2:27" x14ac:dyDescent="0.3">
      <c r="B86" s="12" t="s">
        <v>253</v>
      </c>
      <c r="C86" s="3" t="s">
        <v>671</v>
      </c>
      <c r="D86" s="3" t="s">
        <v>717</v>
      </c>
      <c r="E86" s="3" t="s">
        <v>673</v>
      </c>
      <c r="F86" s="5">
        <v>-1.8</v>
      </c>
      <c r="G86" s="51">
        <v>174</v>
      </c>
      <c r="H86" s="51">
        <v>134.80000000000001</v>
      </c>
      <c r="I86" s="51">
        <v>136.5</v>
      </c>
      <c r="J86" s="51">
        <v>150.19999999999999</v>
      </c>
      <c r="K86" s="51">
        <v>167.9</v>
      </c>
      <c r="L86" s="51">
        <v>133.80000000000001</v>
      </c>
      <c r="M86" s="51">
        <v>120.6</v>
      </c>
      <c r="N86" s="51">
        <v>142.6</v>
      </c>
      <c r="O86" s="51">
        <v>171.6</v>
      </c>
      <c r="P86" s="51">
        <v>146.80000000000001</v>
      </c>
      <c r="Q86" s="51">
        <v>114.1</v>
      </c>
      <c r="R86" s="51">
        <v>131.5</v>
      </c>
      <c r="S86" s="51">
        <v>162.80000000000001</v>
      </c>
      <c r="T86" s="51">
        <v>134.4</v>
      </c>
      <c r="U86" s="51">
        <v>136.4</v>
      </c>
      <c r="V86" s="51">
        <v>142.4</v>
      </c>
      <c r="W86" s="51">
        <v>152.69999999999999</v>
      </c>
      <c r="X86" s="9">
        <v>-2.2334293948126919E-2</v>
      </c>
      <c r="Y86" s="10">
        <v>4.1083271923360483E-2</v>
      </c>
      <c r="Z86" s="10">
        <v>1.9288621482923322E-2</v>
      </c>
      <c r="AA86" s="10">
        <v>-1.7534722222222299E-2</v>
      </c>
    </row>
    <row r="87" spans="2:27" x14ac:dyDescent="0.3">
      <c r="B87" s="12" t="s">
        <v>379</v>
      </c>
      <c r="C87" s="3" t="s">
        <v>671</v>
      </c>
      <c r="D87" s="3" t="s">
        <v>698</v>
      </c>
      <c r="E87" s="3" t="s">
        <v>673</v>
      </c>
      <c r="F87" s="5">
        <v>-2.2999999999999998</v>
      </c>
      <c r="G87" s="51">
        <v>68.2</v>
      </c>
      <c r="H87" s="51">
        <v>-29</v>
      </c>
      <c r="I87" s="51">
        <v>-7.2</v>
      </c>
      <c r="J87" s="51">
        <v>26.7</v>
      </c>
      <c r="K87" s="51">
        <v>28.8</v>
      </c>
      <c r="L87" s="52">
        <v>14.4</v>
      </c>
      <c r="M87" s="52">
        <v>15.8</v>
      </c>
      <c r="N87" s="52">
        <v>50</v>
      </c>
      <c r="O87" s="52">
        <v>69.8</v>
      </c>
      <c r="P87" s="52">
        <v>60.5</v>
      </c>
      <c r="Q87" s="52">
        <v>81.3</v>
      </c>
      <c r="R87" s="52">
        <v>80.3</v>
      </c>
      <c r="S87" s="51">
        <v>89.1</v>
      </c>
      <c r="T87" s="51">
        <v>49.6</v>
      </c>
      <c r="U87" s="51">
        <v>72.5</v>
      </c>
      <c r="V87" s="51">
        <v>86.4</v>
      </c>
      <c r="W87" s="51">
        <v>82.4</v>
      </c>
      <c r="X87" s="9">
        <v>-3.5025706940873917E-2</v>
      </c>
      <c r="Y87" s="10">
        <v>-2.9304029304029311E-2</v>
      </c>
      <c r="Z87" s="10">
        <v>2.0926243567753081E-2</v>
      </c>
      <c r="AA87" s="10">
        <v>-2.2513440860215009E-2</v>
      </c>
    </row>
    <row r="88" spans="2:27" x14ac:dyDescent="0.3">
      <c r="B88" s="12" t="s">
        <v>227</v>
      </c>
      <c r="C88" s="3" t="s">
        <v>671</v>
      </c>
      <c r="D88" s="3" t="s">
        <v>699</v>
      </c>
      <c r="E88" s="3" t="s">
        <v>673</v>
      </c>
      <c r="F88" s="5">
        <v>-2.2999999999999998</v>
      </c>
      <c r="G88" s="51">
        <v>68.47</v>
      </c>
      <c r="H88" s="51">
        <v>53.5</v>
      </c>
      <c r="I88" s="51">
        <v>115.53</v>
      </c>
      <c r="J88" s="51">
        <v>65.459999999999994</v>
      </c>
      <c r="K88" s="51">
        <v>74.540000000000006</v>
      </c>
      <c r="L88" s="51">
        <v>68.040000000000006</v>
      </c>
      <c r="M88" s="51">
        <v>135.25</v>
      </c>
      <c r="N88" s="51">
        <v>81.430000000000007</v>
      </c>
      <c r="O88" s="51">
        <v>97.04</v>
      </c>
      <c r="P88" s="51">
        <v>103.48</v>
      </c>
      <c r="Q88" s="52">
        <v>177.45</v>
      </c>
      <c r="R88" s="51">
        <v>107.49</v>
      </c>
      <c r="S88" s="51">
        <v>120.19</v>
      </c>
      <c r="T88" s="51">
        <v>104.27</v>
      </c>
      <c r="U88" s="51">
        <v>200.48</v>
      </c>
      <c r="V88" s="51">
        <v>134.54</v>
      </c>
      <c r="W88" s="51">
        <v>107.52</v>
      </c>
      <c r="X88" s="9">
        <v>1.5532529836219671E-3</v>
      </c>
      <c r="Y88" s="10">
        <v>4.5210051040439618E-2</v>
      </c>
      <c r="Z88" s="10">
        <v>5.0804800631069069E-2</v>
      </c>
      <c r="AA88" s="10">
        <v>-2.2646028454994079E-2</v>
      </c>
    </row>
    <row r="89" spans="2:27" hidden="1" x14ac:dyDescent="0.3">
      <c r="B89" s="3" t="s">
        <v>351</v>
      </c>
      <c r="C89" s="3" t="s">
        <v>671</v>
      </c>
      <c r="D89" s="3" t="s">
        <v>748</v>
      </c>
      <c r="E89" s="3" t="s">
        <v>743</v>
      </c>
      <c r="F89" s="5">
        <v>-1.9</v>
      </c>
      <c r="G89" s="4">
        <v>76</v>
      </c>
      <c r="H89" s="4">
        <v>-67.099999999999994</v>
      </c>
      <c r="I89" s="4">
        <v>94.3</v>
      </c>
      <c r="J89" s="4">
        <v>129</v>
      </c>
      <c r="K89" s="4">
        <v>68.2</v>
      </c>
      <c r="L89" s="6">
        <v>-29.2</v>
      </c>
      <c r="M89" s="4">
        <v>80.5</v>
      </c>
      <c r="N89" s="4">
        <v>116</v>
      </c>
      <c r="O89" s="4">
        <v>73.8</v>
      </c>
      <c r="P89" s="4">
        <v>-18.600000000000001</v>
      </c>
      <c r="Q89" s="4">
        <v>66.900000000000006</v>
      </c>
      <c r="R89" s="4">
        <v>109.3</v>
      </c>
      <c r="S89" s="4">
        <v>33.700000000000003</v>
      </c>
      <c r="T89" s="4">
        <v>-8.4</v>
      </c>
      <c r="U89" s="4">
        <v>81.2</v>
      </c>
      <c r="V89" s="4">
        <v>116.4</v>
      </c>
      <c r="W89" s="4">
        <v>29.5</v>
      </c>
      <c r="X89" s="9">
        <v>5.3319393622582201E-2</v>
      </c>
      <c r="Y89" s="10">
        <v>7.0967741935483941E-2</v>
      </c>
      <c r="Z89" s="10">
        <v>3.2900834105653358E-2</v>
      </c>
      <c r="AA89" s="10">
        <v>-1.8842530282637941E-2</v>
      </c>
    </row>
    <row r="90" spans="2:27" x14ac:dyDescent="0.3">
      <c r="B90" s="12" t="s">
        <v>107</v>
      </c>
      <c r="C90" s="3" t="s">
        <v>671</v>
      </c>
      <c r="D90" s="3" t="s">
        <v>689</v>
      </c>
      <c r="E90" s="3" t="s">
        <v>673</v>
      </c>
      <c r="F90" s="5">
        <v>-2.5</v>
      </c>
      <c r="G90" s="51">
        <v>245.9</v>
      </c>
      <c r="H90" s="51">
        <v>200.2</v>
      </c>
      <c r="I90" s="51">
        <v>208.8</v>
      </c>
      <c r="J90" s="51">
        <v>221.3</v>
      </c>
      <c r="K90" s="51">
        <v>254</v>
      </c>
      <c r="L90" s="51">
        <v>199.8</v>
      </c>
      <c r="M90" s="51">
        <v>221.4</v>
      </c>
      <c r="N90" s="51">
        <v>226.1</v>
      </c>
      <c r="O90" s="51">
        <v>251.8</v>
      </c>
      <c r="P90" s="51">
        <v>193.9</v>
      </c>
      <c r="Q90" s="51">
        <v>209.3</v>
      </c>
      <c r="R90" s="51">
        <v>218.5</v>
      </c>
      <c r="S90" s="51">
        <v>254.3</v>
      </c>
      <c r="T90" s="51">
        <v>195.5</v>
      </c>
      <c r="U90" s="51">
        <v>203.6</v>
      </c>
      <c r="V90" s="51">
        <v>199.1</v>
      </c>
      <c r="W90" s="51">
        <v>232.9</v>
      </c>
      <c r="X90" s="9">
        <v>1.8264840182649069E-3</v>
      </c>
      <c r="Y90" s="10">
        <v>-6.4949863263445984E-3</v>
      </c>
      <c r="Z90" s="10">
        <v>-2.2250258057116671E-2</v>
      </c>
      <c r="AA90" s="10">
        <v>-2.5102639296187609E-2</v>
      </c>
    </row>
    <row r="91" spans="2:27" x14ac:dyDescent="0.3">
      <c r="B91" s="12" t="s">
        <v>149</v>
      </c>
      <c r="C91" s="3" t="s">
        <v>671</v>
      </c>
      <c r="D91" s="3" t="s">
        <v>736</v>
      </c>
      <c r="E91" s="3" t="s">
        <v>673</v>
      </c>
      <c r="F91" s="5">
        <v>-2.9</v>
      </c>
      <c r="G91" s="51">
        <v>-41</v>
      </c>
      <c r="H91" s="51">
        <v>154</v>
      </c>
      <c r="I91" s="51">
        <v>-15</v>
      </c>
      <c r="J91" s="51">
        <v>164</v>
      </c>
      <c r="K91" s="52">
        <v>206</v>
      </c>
      <c r="L91" s="51">
        <v>31</v>
      </c>
      <c r="M91" s="52">
        <v>389</v>
      </c>
      <c r="N91" s="51">
        <v>185</v>
      </c>
      <c r="O91" s="51">
        <v>251</v>
      </c>
      <c r="P91" s="52">
        <v>421</v>
      </c>
      <c r="Q91" s="51">
        <v>348</v>
      </c>
      <c r="R91" s="52">
        <v>480</v>
      </c>
      <c r="S91" s="51">
        <v>326</v>
      </c>
      <c r="T91" s="51">
        <v>265</v>
      </c>
      <c r="U91" s="52">
        <v>774</v>
      </c>
      <c r="V91" s="52">
        <v>994</v>
      </c>
      <c r="W91" s="51">
        <v>257</v>
      </c>
      <c r="X91" s="9">
        <v>-9.9047619047619051E-2</v>
      </c>
      <c r="Y91" s="8">
        <v>0.30021141649048633</v>
      </c>
      <c r="Z91" s="8">
        <v>0.27859078590785907</v>
      </c>
      <c r="AA91" s="10">
        <v>-2.9249682068673181E-2</v>
      </c>
    </row>
    <row r="92" spans="2:27" x14ac:dyDescent="0.3">
      <c r="B92" s="12" t="s">
        <v>78</v>
      </c>
      <c r="C92" s="3" t="s">
        <v>671</v>
      </c>
      <c r="D92" s="3" t="s">
        <v>725</v>
      </c>
      <c r="E92" s="3" t="s">
        <v>673</v>
      </c>
      <c r="F92" s="5">
        <v>-2.9</v>
      </c>
      <c r="G92" s="51">
        <v>514</v>
      </c>
      <c r="H92" s="51">
        <v>511</v>
      </c>
      <c r="I92" s="51">
        <v>374</v>
      </c>
      <c r="J92" s="51">
        <v>846</v>
      </c>
      <c r="K92" s="52">
        <v>906</v>
      </c>
      <c r="L92" s="52">
        <v>977</v>
      </c>
      <c r="M92" s="52">
        <v>1011</v>
      </c>
      <c r="N92" s="51">
        <v>1037</v>
      </c>
      <c r="O92" s="51">
        <v>1058</v>
      </c>
      <c r="P92" s="51">
        <v>987</v>
      </c>
      <c r="Q92" s="51">
        <v>1032</v>
      </c>
      <c r="R92" s="51">
        <v>975</v>
      </c>
      <c r="S92" s="51">
        <v>932</v>
      </c>
      <c r="T92" s="51">
        <v>695</v>
      </c>
      <c r="U92" s="51">
        <v>727</v>
      </c>
      <c r="V92" s="51">
        <v>720</v>
      </c>
      <c r="W92" s="51">
        <v>843</v>
      </c>
      <c r="X92" s="9">
        <v>-7.4375955170657204E-2</v>
      </c>
      <c r="Y92" s="10">
        <v>-8.3929554210236623E-2</v>
      </c>
      <c r="Z92" s="10">
        <v>-7.6599579453289324E-2</v>
      </c>
      <c r="AA92" s="10">
        <v>-2.8952504879635629E-2</v>
      </c>
    </row>
    <row r="93" spans="2:27" x14ac:dyDescent="0.3">
      <c r="B93" s="12" t="s">
        <v>411</v>
      </c>
      <c r="C93" s="3" t="s">
        <v>671</v>
      </c>
      <c r="D93" s="3" t="s">
        <v>672</v>
      </c>
      <c r="E93" s="3" t="s">
        <v>673</v>
      </c>
      <c r="F93" s="5">
        <v>-3</v>
      </c>
      <c r="G93" s="51">
        <v>19.59</v>
      </c>
      <c r="H93" s="51">
        <v>-4.46</v>
      </c>
      <c r="I93" s="51">
        <v>16</v>
      </c>
      <c r="J93" s="51">
        <v>23.89</v>
      </c>
      <c r="K93" s="52">
        <v>33.380000000000003</v>
      </c>
      <c r="L93" s="51">
        <v>-3.03</v>
      </c>
      <c r="M93" s="52">
        <v>29.74</v>
      </c>
      <c r="N93" s="52">
        <v>41.87</v>
      </c>
      <c r="O93" s="52">
        <v>45.02</v>
      </c>
      <c r="P93" s="52">
        <v>11.22</v>
      </c>
      <c r="Q93" s="51">
        <v>39.75</v>
      </c>
      <c r="R93" s="51">
        <v>52.57</v>
      </c>
      <c r="S93" s="51">
        <v>54.7</v>
      </c>
      <c r="T93" s="52">
        <v>30</v>
      </c>
      <c r="U93" s="51">
        <v>53.35</v>
      </c>
      <c r="V93" s="51">
        <v>52.66</v>
      </c>
      <c r="W93" s="51">
        <v>48.89</v>
      </c>
      <c r="X93" s="7">
        <v>0.11868048533872599</v>
      </c>
      <c r="Y93" s="10">
        <v>7.6827477121229171E-2</v>
      </c>
      <c r="Z93" s="10">
        <v>4.7214353163371753E-4</v>
      </c>
      <c r="AA93" s="10">
        <v>-3.046510408473602E-2</v>
      </c>
    </row>
    <row r="94" spans="2:27" x14ac:dyDescent="0.3">
      <c r="B94" s="12" t="s">
        <v>95</v>
      </c>
      <c r="C94" s="3" t="s">
        <v>671</v>
      </c>
      <c r="D94" s="3" t="s">
        <v>753</v>
      </c>
      <c r="E94" s="3" t="s">
        <v>754</v>
      </c>
      <c r="F94" s="5">
        <v>-3.4</v>
      </c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>
        <v>15199</v>
      </c>
      <c r="T94" s="51">
        <v>11604</v>
      </c>
      <c r="U94" s="51">
        <v>13199</v>
      </c>
      <c r="V94" s="51">
        <v>14778</v>
      </c>
      <c r="W94" s="51">
        <v>13361</v>
      </c>
      <c r="X94" s="11"/>
      <c r="Y94" s="3"/>
      <c r="Z94" s="3"/>
      <c r="AA94" s="10">
        <v>-3.3552391383716677E-2</v>
      </c>
    </row>
    <row r="95" spans="2:27" x14ac:dyDescent="0.3">
      <c r="B95" s="12" t="s">
        <v>344</v>
      </c>
      <c r="C95" s="3" t="s">
        <v>671</v>
      </c>
      <c r="D95" s="3" t="s">
        <v>689</v>
      </c>
      <c r="E95" s="3" t="s">
        <v>673</v>
      </c>
      <c r="F95" s="5">
        <v>-3.9</v>
      </c>
      <c r="G95" s="51">
        <v>67.59</v>
      </c>
      <c r="H95" s="51">
        <v>36.700000000000003</v>
      </c>
      <c r="I95" s="51">
        <v>101.1</v>
      </c>
      <c r="J95" s="51">
        <v>168.5</v>
      </c>
      <c r="K95" s="51">
        <v>79.099999999999994</v>
      </c>
      <c r="L95" s="51">
        <v>45.6</v>
      </c>
      <c r="M95" s="51">
        <v>122.6</v>
      </c>
      <c r="N95" s="51">
        <v>167</v>
      </c>
      <c r="O95" s="51">
        <v>97.4</v>
      </c>
      <c r="P95" s="51">
        <v>64</v>
      </c>
      <c r="Q95" s="51">
        <v>134.30000000000001</v>
      </c>
      <c r="R95" s="51">
        <v>182.2</v>
      </c>
      <c r="S95" s="51">
        <v>122.7</v>
      </c>
      <c r="T95" s="51">
        <v>79.7</v>
      </c>
      <c r="U95" s="51">
        <v>163.1</v>
      </c>
      <c r="V95" s="51">
        <v>195</v>
      </c>
      <c r="W95" s="51">
        <v>101</v>
      </c>
      <c r="X95" s="9">
        <v>3.1200317965023761E-2</v>
      </c>
      <c r="Y95" s="10">
        <v>5.5502023511273979E-2</v>
      </c>
      <c r="Z95" s="10">
        <v>2.337045828008022E-2</v>
      </c>
      <c r="AA95" s="10">
        <v>-3.8715432649420227E-2</v>
      </c>
    </row>
    <row r="96" spans="2:27" x14ac:dyDescent="0.3">
      <c r="B96" s="12" t="s">
        <v>408</v>
      </c>
      <c r="C96" s="3" t="s">
        <v>671</v>
      </c>
      <c r="D96" s="3" t="s">
        <v>732</v>
      </c>
      <c r="E96" s="3" t="s">
        <v>673</v>
      </c>
      <c r="F96" s="5">
        <v>-4.4000000000000004</v>
      </c>
      <c r="G96" s="51">
        <v>418</v>
      </c>
      <c r="H96" s="51">
        <v>539</v>
      </c>
      <c r="I96" s="51">
        <v>468</v>
      </c>
      <c r="J96" s="51">
        <v>419</v>
      </c>
      <c r="K96" s="51">
        <v>290</v>
      </c>
      <c r="L96" s="51">
        <v>394</v>
      </c>
      <c r="M96" s="51">
        <v>389</v>
      </c>
      <c r="N96" s="51">
        <v>232</v>
      </c>
      <c r="O96" s="51">
        <v>394</v>
      </c>
      <c r="P96" s="51">
        <v>414</v>
      </c>
      <c r="Q96" s="51">
        <v>386</v>
      </c>
      <c r="R96" s="52">
        <v>390</v>
      </c>
      <c r="S96" s="51">
        <v>294</v>
      </c>
      <c r="T96" s="51">
        <v>334</v>
      </c>
      <c r="U96" s="51">
        <v>336</v>
      </c>
      <c r="V96" s="51">
        <v>370</v>
      </c>
      <c r="W96" s="51">
        <v>235</v>
      </c>
      <c r="X96" s="9">
        <v>-5.3908355795148299E-2</v>
      </c>
      <c r="Y96" s="10">
        <v>-3.5612535612535627E-2</v>
      </c>
      <c r="Z96" s="10">
        <v>-1.4771048744460891E-2</v>
      </c>
      <c r="AA96" s="10">
        <v>-4.4227886056971477E-2</v>
      </c>
    </row>
    <row r="97" spans="2:27" x14ac:dyDescent="0.3">
      <c r="B97" s="12" t="s">
        <v>266</v>
      </c>
      <c r="C97" s="3" t="s">
        <v>671</v>
      </c>
      <c r="D97" s="3" t="s">
        <v>714</v>
      </c>
      <c r="E97" s="3" t="s">
        <v>673</v>
      </c>
      <c r="F97" s="5">
        <v>-5.8</v>
      </c>
      <c r="G97" s="51">
        <v>160.29</v>
      </c>
      <c r="H97" s="51">
        <v>167.18</v>
      </c>
      <c r="I97" s="51">
        <v>282.26</v>
      </c>
      <c r="J97" s="51">
        <v>264.06</v>
      </c>
      <c r="K97" s="51">
        <v>172.1</v>
      </c>
      <c r="L97" s="51">
        <v>234.93</v>
      </c>
      <c r="M97" s="51">
        <v>318.49</v>
      </c>
      <c r="N97" s="51">
        <v>273.85000000000002</v>
      </c>
      <c r="O97" s="51">
        <v>219.2</v>
      </c>
      <c r="P97" s="51">
        <v>250.51</v>
      </c>
      <c r="Q97" s="51">
        <v>325.74</v>
      </c>
      <c r="R97" s="51">
        <v>269.83</v>
      </c>
      <c r="S97" s="51">
        <v>200.92</v>
      </c>
      <c r="T97" s="51">
        <v>222.97</v>
      </c>
      <c r="U97" s="51">
        <v>310.60000000000002</v>
      </c>
      <c r="V97" s="51">
        <v>207.66</v>
      </c>
      <c r="W97" s="51">
        <v>146.4</v>
      </c>
      <c r="X97" s="9">
        <v>-2.6303724928366749E-2</v>
      </c>
      <c r="Y97" s="10">
        <v>-1.4850999548780769E-2</v>
      </c>
      <c r="Z97" s="10">
        <v>-6.1902580850724857E-2</v>
      </c>
      <c r="AA97" s="10">
        <v>-5.786764315660986E-2</v>
      </c>
    </row>
    <row r="98" spans="2:27" x14ac:dyDescent="0.3">
      <c r="B98" s="12" t="s">
        <v>762</v>
      </c>
      <c r="C98" s="3" t="s">
        <v>671</v>
      </c>
      <c r="D98" s="3" t="s">
        <v>707</v>
      </c>
      <c r="E98" s="3" t="s">
        <v>673</v>
      </c>
      <c r="F98" s="5">
        <v>-6</v>
      </c>
      <c r="G98" s="51">
        <v>76.17</v>
      </c>
      <c r="H98" s="51">
        <v>-5</v>
      </c>
      <c r="I98" s="51">
        <v>458</v>
      </c>
      <c r="J98" s="51">
        <v>1203</v>
      </c>
      <c r="K98" s="51">
        <v>237</v>
      </c>
      <c r="L98" s="51">
        <v>-5</v>
      </c>
      <c r="M98" s="51">
        <v>523</v>
      </c>
      <c r="N98" s="52">
        <v>1496</v>
      </c>
      <c r="O98" s="51">
        <v>-496</v>
      </c>
      <c r="P98" s="51">
        <v>101</v>
      </c>
      <c r="Q98" s="51">
        <v>497</v>
      </c>
      <c r="R98" s="51">
        <v>1525</v>
      </c>
      <c r="S98" s="52">
        <v>430</v>
      </c>
      <c r="T98" s="51">
        <v>38</v>
      </c>
      <c r="U98" s="51">
        <v>612</v>
      </c>
      <c r="V98" s="51">
        <v>1625</v>
      </c>
      <c r="W98" s="51">
        <v>269</v>
      </c>
      <c r="X98" s="9">
        <v>-2.467685076380732E-2</v>
      </c>
      <c r="Y98" s="10">
        <v>4.6184738955823201E-2</v>
      </c>
      <c r="Z98" s="10">
        <v>3.8387715930902067E-2</v>
      </c>
      <c r="AA98" s="10">
        <v>-5.9519408502772597E-2</v>
      </c>
    </row>
    <row r="99" spans="2:27" x14ac:dyDescent="0.3">
      <c r="B99" s="12" t="s">
        <v>154</v>
      </c>
      <c r="C99" s="3" t="s">
        <v>671</v>
      </c>
      <c r="D99" s="3" t="s">
        <v>711</v>
      </c>
      <c r="E99" s="3" t="s">
        <v>673</v>
      </c>
      <c r="F99" s="5">
        <v>-6.2</v>
      </c>
      <c r="G99" s="51">
        <v>-85.72</v>
      </c>
      <c r="H99" s="51">
        <v>-51.87</v>
      </c>
      <c r="I99" s="51">
        <v>-26.63</v>
      </c>
      <c r="J99" s="51">
        <v>-49.99</v>
      </c>
      <c r="K99" s="51">
        <v>-42.68</v>
      </c>
      <c r="L99" s="51">
        <v>171.72</v>
      </c>
      <c r="M99" s="52">
        <v>264.54000000000002</v>
      </c>
      <c r="N99" s="52">
        <v>268.08999999999997</v>
      </c>
      <c r="O99" s="52">
        <v>354.23</v>
      </c>
      <c r="P99" s="52">
        <v>379.44</v>
      </c>
      <c r="Q99" s="51">
        <v>245.06</v>
      </c>
      <c r="R99" s="51">
        <v>155.13999999999999</v>
      </c>
      <c r="S99" s="51">
        <v>350.5</v>
      </c>
      <c r="T99" s="51">
        <v>279.19</v>
      </c>
      <c r="U99" s="51">
        <v>274.7</v>
      </c>
      <c r="V99" s="52">
        <v>310.49</v>
      </c>
      <c r="W99" s="51">
        <v>274.70999999999998</v>
      </c>
      <c r="X99" s="9">
        <v>-8.8705824057196514E-2</v>
      </c>
      <c r="Y99" s="10">
        <v>2.8779772597073539E-2</v>
      </c>
      <c r="Z99" s="8">
        <v>0.14662161524449521</v>
      </c>
      <c r="AA99" s="10">
        <v>-6.23847622810485E-2</v>
      </c>
    </row>
    <row r="100" spans="2:27" x14ac:dyDescent="0.3">
      <c r="B100" s="12" t="s">
        <v>280</v>
      </c>
      <c r="C100" s="3" t="s">
        <v>671</v>
      </c>
      <c r="D100" s="3" t="s">
        <v>679</v>
      </c>
      <c r="E100" s="3" t="s">
        <v>673</v>
      </c>
      <c r="F100" s="5">
        <v>-7.2</v>
      </c>
      <c r="G100" s="51">
        <v>-120.18</v>
      </c>
      <c r="H100" s="51">
        <v>63.76</v>
      </c>
      <c r="I100" s="51">
        <v>61</v>
      </c>
      <c r="J100" s="51">
        <v>37.67</v>
      </c>
      <c r="K100" s="52">
        <v>-20.59</v>
      </c>
      <c r="L100" s="51">
        <v>49.56</v>
      </c>
      <c r="M100" s="51">
        <v>57.68</v>
      </c>
      <c r="N100" s="52">
        <v>57.83</v>
      </c>
      <c r="O100" s="52">
        <v>53.56</v>
      </c>
      <c r="P100" s="51">
        <v>57.49</v>
      </c>
      <c r="Q100" s="51">
        <v>67.11</v>
      </c>
      <c r="R100" s="51">
        <v>64.64</v>
      </c>
      <c r="S100" s="51">
        <v>68.16</v>
      </c>
      <c r="T100" s="51">
        <v>67.78</v>
      </c>
      <c r="U100" s="51">
        <v>73.010000000000005</v>
      </c>
      <c r="V100" s="51">
        <v>59.41</v>
      </c>
      <c r="W100" s="51">
        <v>48.83</v>
      </c>
      <c r="X100" s="9">
        <v>3.9976689976690023E-2</v>
      </c>
      <c r="Y100" s="10">
        <v>2.2040419888677221E-2</v>
      </c>
      <c r="Z100" s="10">
        <v>-1.911619576738921E-2</v>
      </c>
      <c r="AA100" s="10">
        <v>-7.2030108809062465E-2</v>
      </c>
    </row>
    <row r="101" spans="2:27" x14ac:dyDescent="0.3">
      <c r="B101" s="12" t="s">
        <v>575</v>
      </c>
      <c r="C101" s="3" t="s">
        <v>671</v>
      </c>
      <c r="D101" s="3" t="s">
        <v>693</v>
      </c>
      <c r="E101" s="3" t="s">
        <v>673</v>
      </c>
      <c r="F101" s="5">
        <v>-8</v>
      </c>
      <c r="G101" s="51">
        <v>-63.13</v>
      </c>
      <c r="H101" s="51">
        <v>-78.59</v>
      </c>
      <c r="I101" s="51">
        <v>-73.41</v>
      </c>
      <c r="J101" s="51">
        <v>-70.34</v>
      </c>
      <c r="K101" s="51">
        <v>-78.78</v>
      </c>
      <c r="L101" s="51">
        <v>-79</v>
      </c>
      <c r="M101" s="51">
        <v>-71.2</v>
      </c>
      <c r="N101" s="51">
        <v>-73.78</v>
      </c>
      <c r="O101" s="51">
        <v>-86.39</v>
      </c>
      <c r="P101" s="51">
        <v>-81.430000000000007</v>
      </c>
      <c r="Q101" s="51">
        <v>-81.650000000000006</v>
      </c>
      <c r="R101" s="51">
        <v>-62.91</v>
      </c>
      <c r="S101" s="51">
        <v>-89.38</v>
      </c>
      <c r="T101" s="52">
        <v>-432.63</v>
      </c>
      <c r="U101" s="51">
        <v>-44.83</v>
      </c>
      <c r="V101" s="51">
        <v>-38.799999999999997</v>
      </c>
      <c r="W101" s="51">
        <v>-41.19</v>
      </c>
      <c r="X101" s="7">
        <v>1.1136125820464851</v>
      </c>
      <c r="Y101" s="10">
        <v>-5.5238009511379027E-2</v>
      </c>
      <c r="Z101" s="10">
        <v>-3.828503374354908E-2</v>
      </c>
      <c r="AA101" s="10">
        <v>-7.9568720692160255E-2</v>
      </c>
    </row>
    <row r="102" spans="2:27" hidden="1" x14ac:dyDescent="0.3">
      <c r="B102" s="3" t="s">
        <v>219</v>
      </c>
      <c r="C102" s="3" t="s">
        <v>671</v>
      </c>
      <c r="D102" s="3" t="s">
        <v>698</v>
      </c>
      <c r="E102" s="3" t="s">
        <v>743</v>
      </c>
      <c r="F102" s="5">
        <v>-7.8</v>
      </c>
      <c r="G102" s="4">
        <v>-17.82</v>
      </c>
      <c r="H102" s="4">
        <v>-17.04</v>
      </c>
      <c r="I102" s="4">
        <v>-16.37</v>
      </c>
      <c r="J102" s="4">
        <v>-19.95</v>
      </c>
      <c r="K102" s="4">
        <v>-20.89</v>
      </c>
      <c r="L102" s="4">
        <v>-21.7</v>
      </c>
      <c r="M102" s="4">
        <v>-20.13</v>
      </c>
      <c r="N102" s="4">
        <v>-16.09</v>
      </c>
      <c r="O102" s="4">
        <v>-16.760000000000002</v>
      </c>
      <c r="P102" s="4">
        <v>-14.97</v>
      </c>
      <c r="Q102" s="4">
        <v>-16.11</v>
      </c>
      <c r="R102" s="4">
        <v>-17.93</v>
      </c>
      <c r="S102" s="6">
        <v>-27.57</v>
      </c>
      <c r="T102" s="6">
        <v>-23.74</v>
      </c>
      <c r="U102" s="4">
        <v>-21.31</v>
      </c>
      <c r="V102" s="4">
        <v>-24.32</v>
      </c>
      <c r="W102" s="4">
        <v>-20.010000000000002</v>
      </c>
      <c r="X102" s="7">
        <v>0.1145207626012013</v>
      </c>
      <c r="Y102" s="10">
        <v>6.092560046865847E-2</v>
      </c>
      <c r="Z102" s="10">
        <v>7.0568746548868022E-2</v>
      </c>
      <c r="AA102" s="10">
        <v>-7.7986383329894826E-2</v>
      </c>
    </row>
    <row r="103" spans="2:27" x14ac:dyDescent="0.3">
      <c r="B103" s="12" t="s">
        <v>234</v>
      </c>
      <c r="C103" s="3" t="s">
        <v>671</v>
      </c>
      <c r="D103" s="3" t="s">
        <v>727</v>
      </c>
      <c r="E103" s="3" t="s">
        <v>673</v>
      </c>
      <c r="F103" s="5">
        <v>-8.4</v>
      </c>
      <c r="G103" s="51">
        <v>0</v>
      </c>
      <c r="H103" s="51">
        <v>180.4</v>
      </c>
      <c r="I103" s="51">
        <v>220.5</v>
      </c>
      <c r="J103" s="51">
        <v>213.3</v>
      </c>
      <c r="K103" s="51">
        <v>0</v>
      </c>
      <c r="L103" s="51">
        <v>134.9</v>
      </c>
      <c r="M103" s="51">
        <v>174.8</v>
      </c>
      <c r="N103" s="51">
        <v>200.5</v>
      </c>
      <c r="O103" s="52">
        <v>193.4</v>
      </c>
      <c r="P103" s="51">
        <v>158.19999999999999</v>
      </c>
      <c r="Q103" s="51">
        <v>217.1</v>
      </c>
      <c r="R103" s="51">
        <v>217.6</v>
      </c>
      <c r="S103" s="51">
        <v>188</v>
      </c>
      <c r="T103" s="51">
        <v>121.8</v>
      </c>
      <c r="U103" s="51">
        <v>198.9</v>
      </c>
      <c r="V103" s="51">
        <v>205.3</v>
      </c>
      <c r="W103" s="51">
        <v>128.19999999999999</v>
      </c>
      <c r="X103" s="9">
        <v>-4.6612882571391963E-2</v>
      </c>
      <c r="Y103" s="10">
        <v>-2.4445936870382878E-2</v>
      </c>
      <c r="Z103" s="10">
        <v>-1.6935150764146981E-2</v>
      </c>
      <c r="AA103" s="10">
        <v>-8.3753501400560149E-2</v>
      </c>
    </row>
    <row r="104" spans="2:27" x14ac:dyDescent="0.3">
      <c r="B104" s="12" t="s">
        <v>99</v>
      </c>
      <c r="C104" s="3" t="s">
        <v>671</v>
      </c>
      <c r="D104" s="3" t="s">
        <v>687</v>
      </c>
      <c r="E104" s="3" t="s">
        <v>673</v>
      </c>
      <c r="F104" s="5">
        <v>-8.6999999999999993</v>
      </c>
      <c r="G104" s="51">
        <v>491</v>
      </c>
      <c r="H104" s="51">
        <v>449</v>
      </c>
      <c r="I104" s="51">
        <v>530</v>
      </c>
      <c r="J104" s="51">
        <v>555</v>
      </c>
      <c r="K104" s="51">
        <v>489</v>
      </c>
      <c r="L104" s="51">
        <v>485</v>
      </c>
      <c r="M104" s="51">
        <v>559</v>
      </c>
      <c r="N104" s="51">
        <v>601</v>
      </c>
      <c r="O104" s="51">
        <v>492</v>
      </c>
      <c r="P104" s="51">
        <v>526</v>
      </c>
      <c r="Q104" s="51">
        <v>612</v>
      </c>
      <c r="R104" s="51">
        <v>628</v>
      </c>
      <c r="S104" s="51">
        <v>558</v>
      </c>
      <c r="T104" s="51">
        <v>517</v>
      </c>
      <c r="U104" s="51">
        <v>645</v>
      </c>
      <c r="V104" s="51">
        <v>679</v>
      </c>
      <c r="W104" s="51">
        <v>350</v>
      </c>
      <c r="X104" s="9">
        <v>-3.8726333907056491E-3</v>
      </c>
      <c r="Y104" s="10">
        <v>1.4254859611231069E-2</v>
      </c>
      <c r="Z104" s="10">
        <v>2.1720613287904641E-2</v>
      </c>
      <c r="AA104" s="10">
        <v>-8.6702792830345987E-2</v>
      </c>
    </row>
    <row r="105" spans="2:27" x14ac:dyDescent="0.3">
      <c r="B105" s="12" t="s">
        <v>54</v>
      </c>
      <c r="C105" s="3" t="s">
        <v>671</v>
      </c>
      <c r="D105" s="3" t="s">
        <v>701</v>
      </c>
      <c r="E105" s="3" t="s">
        <v>673</v>
      </c>
      <c r="F105" s="5">
        <v>-9.1999999999999993</v>
      </c>
      <c r="G105" s="51">
        <v>516.51</v>
      </c>
      <c r="H105" s="51">
        <v>373.83</v>
      </c>
      <c r="I105" s="51">
        <v>384.57</v>
      </c>
      <c r="J105" s="51">
        <v>400.14</v>
      </c>
      <c r="K105" s="51">
        <v>292.27999999999997</v>
      </c>
      <c r="L105" s="51">
        <v>173</v>
      </c>
      <c r="M105" s="51">
        <v>297</v>
      </c>
      <c r="N105" s="51">
        <v>273</v>
      </c>
      <c r="O105" s="51">
        <v>381</v>
      </c>
      <c r="P105" s="51">
        <v>191</v>
      </c>
      <c r="Q105" s="51">
        <v>259</v>
      </c>
      <c r="R105" s="52">
        <v>391</v>
      </c>
      <c r="S105" s="51">
        <v>364</v>
      </c>
      <c r="T105" s="51">
        <v>276</v>
      </c>
      <c r="U105" s="52">
        <v>430</v>
      </c>
      <c r="V105" s="51">
        <v>505</v>
      </c>
      <c r="W105" s="51">
        <v>219</v>
      </c>
      <c r="X105" s="9">
        <v>7.0539419087136901E-2</v>
      </c>
      <c r="Y105" s="8">
        <v>0.1325581395348838</v>
      </c>
      <c r="Z105" s="10">
        <v>7.8028747433264822E-2</v>
      </c>
      <c r="AA105" s="10">
        <v>-9.2063492063492069E-2</v>
      </c>
    </row>
    <row r="106" spans="2:27" x14ac:dyDescent="0.3">
      <c r="B106" s="12" t="s">
        <v>246</v>
      </c>
      <c r="C106" s="3" t="s">
        <v>671</v>
      </c>
      <c r="D106" s="3" t="s">
        <v>710</v>
      </c>
      <c r="E106" s="3" t="s">
        <v>673</v>
      </c>
      <c r="F106" s="5">
        <v>-9.3000000000000007</v>
      </c>
      <c r="G106" s="51">
        <v>34.53</v>
      </c>
      <c r="H106" s="51">
        <v>5.86</v>
      </c>
      <c r="I106" s="51">
        <v>26.42</v>
      </c>
      <c r="J106" s="51">
        <v>23.85</v>
      </c>
      <c r="K106" s="51">
        <v>36.72</v>
      </c>
      <c r="L106" s="51">
        <v>9.0500000000000007</v>
      </c>
      <c r="M106" s="51">
        <v>32.03</v>
      </c>
      <c r="N106" s="52">
        <v>53.62</v>
      </c>
      <c r="O106" s="52">
        <v>65.790000000000006</v>
      </c>
      <c r="P106" s="52">
        <v>42.24</v>
      </c>
      <c r="Q106" s="52">
        <v>69.06</v>
      </c>
      <c r="R106" s="52">
        <v>89.4</v>
      </c>
      <c r="S106" s="51">
        <v>77.89</v>
      </c>
      <c r="T106" s="51">
        <v>62.27</v>
      </c>
      <c r="U106" s="51">
        <v>86.05</v>
      </c>
      <c r="V106" s="51">
        <v>120.85</v>
      </c>
      <c r="W106" s="51">
        <v>45.5</v>
      </c>
      <c r="X106" s="9">
        <v>7.1897770917836112E-2</v>
      </c>
      <c r="Y106" s="10">
        <v>5.6895050565936689E-2</v>
      </c>
      <c r="Z106" s="10">
        <v>9.9648300117233246E-2</v>
      </c>
      <c r="AA106" s="10">
        <v>-9.3326802282026167E-2</v>
      </c>
    </row>
    <row r="107" spans="2:27" x14ac:dyDescent="0.3">
      <c r="B107" s="12" t="s">
        <v>353</v>
      </c>
      <c r="C107" s="3" t="s">
        <v>671</v>
      </c>
      <c r="D107" s="3" t="s">
        <v>724</v>
      </c>
      <c r="E107" s="3" t="s">
        <v>673</v>
      </c>
      <c r="F107" s="5">
        <v>-9.8000000000000007</v>
      </c>
      <c r="G107" s="51">
        <v>68.2</v>
      </c>
      <c r="H107" s="51">
        <v>101.6</v>
      </c>
      <c r="I107" s="51">
        <v>100.1</v>
      </c>
      <c r="J107" s="51">
        <v>40.6</v>
      </c>
      <c r="K107" s="51">
        <v>0</v>
      </c>
      <c r="L107" s="51">
        <v>57.1</v>
      </c>
      <c r="M107" s="51">
        <v>75.3</v>
      </c>
      <c r="N107" s="52">
        <v>72.400000000000006</v>
      </c>
      <c r="O107" s="52">
        <v>100.7</v>
      </c>
      <c r="P107" s="52">
        <v>98</v>
      </c>
      <c r="Q107" s="51">
        <v>94.3</v>
      </c>
      <c r="R107" s="51">
        <v>79.599999999999994</v>
      </c>
      <c r="S107" s="51">
        <v>71.599999999999994</v>
      </c>
      <c r="T107" s="51">
        <v>77.2</v>
      </c>
      <c r="U107" s="51">
        <v>97.9</v>
      </c>
      <c r="V107" s="51">
        <v>79.900000000000006</v>
      </c>
      <c r="W107" s="51">
        <v>39.6</v>
      </c>
      <c r="X107" s="9">
        <v>-6.0553129548762803E-2</v>
      </c>
      <c r="Y107" s="10">
        <v>1.115587232723891E-2</v>
      </c>
      <c r="Z107" s="10">
        <v>9.1939932577389527E-4</v>
      </c>
      <c r="AA107" s="10">
        <v>-9.7979179424372287E-2</v>
      </c>
    </row>
    <row r="108" spans="2:27" hidden="1" x14ac:dyDescent="0.3">
      <c r="B108" s="3" t="s">
        <v>449</v>
      </c>
      <c r="C108" s="3" t="s">
        <v>671</v>
      </c>
      <c r="D108" s="3" t="s">
        <v>747</v>
      </c>
      <c r="E108" s="3" t="s">
        <v>743</v>
      </c>
      <c r="F108" s="5">
        <v>-9.5</v>
      </c>
      <c r="G108" s="4">
        <v>107.15</v>
      </c>
      <c r="H108" s="4">
        <v>104.69</v>
      </c>
      <c r="I108" s="4">
        <v>80.010000000000005</v>
      </c>
      <c r="J108" s="4">
        <v>117.42</v>
      </c>
      <c r="K108" s="4">
        <v>114.21</v>
      </c>
      <c r="L108" s="4">
        <v>135.72999999999999</v>
      </c>
      <c r="M108" s="4">
        <v>93.33</v>
      </c>
      <c r="N108" s="4">
        <v>128.68</v>
      </c>
      <c r="O108" s="4">
        <v>108.16</v>
      </c>
      <c r="P108" s="4">
        <v>105.62</v>
      </c>
      <c r="Q108" s="4">
        <v>94.36</v>
      </c>
      <c r="R108" s="4">
        <v>117.53</v>
      </c>
      <c r="S108" s="4">
        <v>122.54</v>
      </c>
      <c r="T108" s="4">
        <v>104.65</v>
      </c>
      <c r="U108" s="4">
        <v>74.89</v>
      </c>
      <c r="V108" s="4">
        <v>91.85</v>
      </c>
      <c r="W108" s="4">
        <v>85</v>
      </c>
      <c r="X108" s="9">
        <v>-2.2042949664810019E-3</v>
      </c>
      <c r="Y108" s="10">
        <v>-4.4342716589232063E-2</v>
      </c>
      <c r="Z108" s="10">
        <v>-6.1199685422177803E-2</v>
      </c>
      <c r="AA108" s="10">
        <v>-9.5296118599751289E-2</v>
      </c>
    </row>
    <row r="109" spans="2:27" x14ac:dyDescent="0.3">
      <c r="B109" s="12" t="s">
        <v>432</v>
      </c>
      <c r="C109" s="3" t="s">
        <v>671</v>
      </c>
      <c r="D109" s="3" t="s">
        <v>734</v>
      </c>
      <c r="E109" s="3" t="s">
        <v>673</v>
      </c>
      <c r="F109" s="5">
        <v>-9.8000000000000007</v>
      </c>
      <c r="G109" s="51">
        <v>75</v>
      </c>
      <c r="H109" s="51">
        <v>98</v>
      </c>
      <c r="I109" s="51">
        <v>134</v>
      </c>
      <c r="J109" s="51">
        <v>165</v>
      </c>
      <c r="K109" s="52">
        <v>139</v>
      </c>
      <c r="L109" s="51">
        <v>148</v>
      </c>
      <c r="M109" s="51">
        <v>82</v>
      </c>
      <c r="N109" s="51">
        <v>100</v>
      </c>
      <c r="O109" s="51">
        <v>86</v>
      </c>
      <c r="P109" s="51">
        <v>69</v>
      </c>
      <c r="Q109" s="52">
        <v>122</v>
      </c>
      <c r="R109" s="52">
        <v>146</v>
      </c>
      <c r="S109" s="51">
        <v>107</v>
      </c>
      <c r="T109" s="51">
        <v>42</v>
      </c>
      <c r="U109" s="51">
        <v>30</v>
      </c>
      <c r="V109" s="51">
        <v>97</v>
      </c>
      <c r="W109" s="51">
        <v>80</v>
      </c>
      <c r="X109" s="9">
        <v>-6.0810810810810863E-2</v>
      </c>
      <c r="Y109" s="10">
        <v>-0.2206235011990407</v>
      </c>
      <c r="Z109" s="10">
        <v>-0.15076923076923079</v>
      </c>
      <c r="AA109" s="10">
        <v>-9.7826086956521729E-2</v>
      </c>
    </row>
    <row r="110" spans="2:27" x14ac:dyDescent="0.3">
      <c r="B110" s="12" t="s">
        <v>447</v>
      </c>
      <c r="C110" s="3" t="s">
        <v>671</v>
      </c>
      <c r="D110" s="3" t="s">
        <v>707</v>
      </c>
      <c r="E110" s="3" t="s">
        <v>673</v>
      </c>
      <c r="F110" s="5">
        <v>-10</v>
      </c>
      <c r="G110" s="51">
        <v>-28</v>
      </c>
      <c r="H110" s="51">
        <v>-20</v>
      </c>
      <c r="I110" s="51">
        <v>63</v>
      </c>
      <c r="J110" s="51">
        <v>70</v>
      </c>
      <c r="K110" s="52">
        <v>-12</v>
      </c>
      <c r="L110" s="51">
        <v>-11</v>
      </c>
      <c r="M110" s="51">
        <v>44</v>
      </c>
      <c r="N110" s="52">
        <v>82</v>
      </c>
      <c r="O110" s="52">
        <v>33</v>
      </c>
      <c r="P110" s="51">
        <v>-4</v>
      </c>
      <c r="Q110" s="51">
        <v>50</v>
      </c>
      <c r="R110" s="51">
        <v>69</v>
      </c>
      <c r="S110" s="51">
        <v>12</v>
      </c>
      <c r="T110" s="51">
        <v>-5</v>
      </c>
      <c r="U110" s="52">
        <v>63</v>
      </c>
      <c r="V110" s="51">
        <v>70</v>
      </c>
      <c r="W110" s="51">
        <v>-2</v>
      </c>
      <c r="X110" s="9">
        <v>-7.8740157480314821E-3</v>
      </c>
      <c r="Y110" s="8">
        <v>0.10317460317460329</v>
      </c>
      <c r="Z110" s="10">
        <v>7.194244604316502E-3</v>
      </c>
      <c r="AA110" s="10">
        <v>-9.9999999999999978E-2</v>
      </c>
    </row>
    <row r="111" spans="2:27" x14ac:dyDescent="0.3">
      <c r="B111" s="12" t="s">
        <v>213</v>
      </c>
      <c r="C111" s="3" t="s">
        <v>671</v>
      </c>
      <c r="D111" s="3" t="s">
        <v>731</v>
      </c>
      <c r="E111" s="3" t="s">
        <v>673</v>
      </c>
      <c r="F111" s="5">
        <v>-11</v>
      </c>
      <c r="G111" s="51">
        <v>943</v>
      </c>
      <c r="H111" s="51">
        <v>614</v>
      </c>
      <c r="I111" s="51">
        <v>1706</v>
      </c>
      <c r="J111" s="51">
        <v>517</v>
      </c>
      <c r="K111" s="51">
        <v>-507</v>
      </c>
      <c r="L111" s="51">
        <v>-587</v>
      </c>
      <c r="M111" s="51">
        <v>-1446</v>
      </c>
      <c r="N111" s="52">
        <v>-151</v>
      </c>
      <c r="O111" s="52">
        <v>-1015</v>
      </c>
      <c r="P111" s="51">
        <v>-309</v>
      </c>
      <c r="Q111" s="51">
        <v>358</v>
      </c>
      <c r="R111" s="51">
        <v>-8</v>
      </c>
      <c r="S111" s="51">
        <v>908</v>
      </c>
      <c r="T111" s="52">
        <v>366</v>
      </c>
      <c r="U111" s="51">
        <v>-193</v>
      </c>
      <c r="V111" s="52">
        <v>261</v>
      </c>
      <c r="W111" s="51">
        <v>760</v>
      </c>
      <c r="X111" s="7">
        <v>0.71127502634351947</v>
      </c>
      <c r="Y111" s="10">
        <v>-0.3392857142857143</v>
      </c>
      <c r="Z111" s="8">
        <v>0.25069897483690601</v>
      </c>
      <c r="AA111" s="10">
        <v>-0.1102831594634873</v>
      </c>
    </row>
    <row r="112" spans="2:27" x14ac:dyDescent="0.3">
      <c r="B112" s="12" t="s">
        <v>356</v>
      </c>
      <c r="C112" s="3" t="s">
        <v>671</v>
      </c>
      <c r="D112" s="3" t="s">
        <v>733</v>
      </c>
      <c r="E112" s="3" t="s">
        <v>673</v>
      </c>
      <c r="F112" s="5">
        <v>-11</v>
      </c>
      <c r="G112" s="51">
        <v>98</v>
      </c>
      <c r="H112" s="51">
        <v>214</v>
      </c>
      <c r="I112" s="51">
        <v>126</v>
      </c>
      <c r="J112" s="51">
        <v>134</v>
      </c>
      <c r="K112" s="51">
        <v>62</v>
      </c>
      <c r="L112" s="51">
        <v>174</v>
      </c>
      <c r="M112" s="51">
        <v>104</v>
      </c>
      <c r="N112" s="51">
        <v>119</v>
      </c>
      <c r="O112" s="51">
        <v>89</v>
      </c>
      <c r="P112" s="51">
        <v>122</v>
      </c>
      <c r="Q112" s="51">
        <v>80</v>
      </c>
      <c r="R112" s="51">
        <v>58</v>
      </c>
      <c r="S112" s="51">
        <v>27</v>
      </c>
      <c r="T112" s="51">
        <v>112</v>
      </c>
      <c r="U112" s="51">
        <v>50</v>
      </c>
      <c r="V112" s="51">
        <v>48</v>
      </c>
      <c r="W112" s="51">
        <v>1</v>
      </c>
      <c r="X112" s="9">
        <v>-3.4843205574912939E-2</v>
      </c>
      <c r="Y112" s="10">
        <v>-0.1083032490974729</v>
      </c>
      <c r="Z112" s="10">
        <v>-4.0485829959514219E-2</v>
      </c>
      <c r="AA112" s="10">
        <v>-0.109704641350211</v>
      </c>
    </row>
    <row r="113" spans="2:27" x14ac:dyDescent="0.3">
      <c r="B113" s="12" t="s">
        <v>208</v>
      </c>
      <c r="C113" s="3" t="s">
        <v>671</v>
      </c>
      <c r="D113" s="3" t="s">
        <v>723</v>
      </c>
      <c r="E113" s="3" t="s">
        <v>673</v>
      </c>
      <c r="F113" s="5">
        <v>-11.2</v>
      </c>
      <c r="G113" s="51">
        <v>259.39999999999998</v>
      </c>
      <c r="H113" s="51">
        <v>322.72000000000003</v>
      </c>
      <c r="I113" s="51">
        <v>369.83</v>
      </c>
      <c r="J113" s="51">
        <v>224.72</v>
      </c>
      <c r="K113" s="51">
        <v>161.47999999999999</v>
      </c>
      <c r="L113" s="51">
        <v>157.9</v>
      </c>
      <c r="M113" s="51">
        <v>194.8</v>
      </c>
      <c r="N113" s="51">
        <v>189.5</v>
      </c>
      <c r="O113" s="52">
        <v>271.7</v>
      </c>
      <c r="P113" s="51">
        <v>154.5</v>
      </c>
      <c r="Q113" s="51">
        <v>255.4</v>
      </c>
      <c r="R113" s="51">
        <v>231.8</v>
      </c>
      <c r="S113" s="51">
        <v>165.3</v>
      </c>
      <c r="T113" s="51">
        <v>121.3</v>
      </c>
      <c r="U113" s="51">
        <v>218.1</v>
      </c>
      <c r="V113" s="51">
        <v>183.8</v>
      </c>
      <c r="W113" s="51">
        <v>88.2</v>
      </c>
      <c r="X113" s="9">
        <v>-4.1140024783147378E-2</v>
      </c>
      <c r="Y113" s="10">
        <v>-4.8203670199017952E-2</v>
      </c>
      <c r="Z113" s="10">
        <v>-6.517311608961307E-2</v>
      </c>
      <c r="AA113" s="10">
        <v>-0.1119825708061003</v>
      </c>
    </row>
    <row r="114" spans="2:27" x14ac:dyDescent="0.3">
      <c r="B114" s="12" t="s">
        <v>299</v>
      </c>
      <c r="C114" s="3" t="s">
        <v>671</v>
      </c>
      <c r="D114" s="3" t="s">
        <v>728</v>
      </c>
      <c r="E114" s="3" t="s">
        <v>673</v>
      </c>
      <c r="F114" s="5">
        <v>-14</v>
      </c>
      <c r="G114" s="51">
        <v>296.60000000000002</v>
      </c>
      <c r="H114" s="51">
        <v>143.6</v>
      </c>
      <c r="I114" s="51">
        <v>1787</v>
      </c>
      <c r="J114" s="51">
        <v>1405</v>
      </c>
      <c r="K114" s="52">
        <v>875.8</v>
      </c>
      <c r="L114" s="51">
        <v>514.79999999999995</v>
      </c>
      <c r="M114" s="51">
        <v>404</v>
      </c>
      <c r="N114" s="51">
        <v>1131</v>
      </c>
      <c r="O114" s="51">
        <v>-24.7</v>
      </c>
      <c r="P114" s="51">
        <v>152.4</v>
      </c>
      <c r="Q114" s="51">
        <v>-61.4</v>
      </c>
      <c r="R114" s="51">
        <v>-201.9</v>
      </c>
      <c r="S114" s="52">
        <v>-532.5</v>
      </c>
      <c r="T114" s="52">
        <v>-493.9</v>
      </c>
      <c r="U114" s="51">
        <v>-141.6</v>
      </c>
      <c r="V114" s="51">
        <v>-23.4</v>
      </c>
      <c r="W114" s="51">
        <v>-366</v>
      </c>
      <c r="X114" s="7">
        <v>1.0045073049424931</v>
      </c>
      <c r="Y114" s="10">
        <v>6.2185004264557753E-2</v>
      </c>
      <c r="Z114" s="10">
        <v>-0.13030148185998991</v>
      </c>
      <c r="AA114" s="10">
        <v>-0.13975155279503099</v>
      </c>
    </row>
    <row r="115" spans="2:27" x14ac:dyDescent="0.3">
      <c r="B115" s="12" t="s">
        <v>625</v>
      </c>
      <c r="C115" s="3" t="s">
        <v>671</v>
      </c>
      <c r="D115" s="3" t="s">
        <v>690</v>
      </c>
      <c r="E115" s="3" t="s">
        <v>673</v>
      </c>
      <c r="F115" s="5">
        <v>-14.2</v>
      </c>
      <c r="G115" s="51">
        <v>-31.45</v>
      </c>
      <c r="H115" s="51">
        <v>-32.619999999999997</v>
      </c>
      <c r="I115" s="51">
        <v>-39.119999999999997</v>
      </c>
      <c r="J115" s="51">
        <v>-8.42</v>
      </c>
      <c r="K115" s="51">
        <v>1.95</v>
      </c>
      <c r="L115" s="51">
        <v>-13.81</v>
      </c>
      <c r="M115" s="51">
        <v>19.670000000000002</v>
      </c>
      <c r="N115" s="51">
        <v>53.27</v>
      </c>
      <c r="O115" s="51">
        <v>2.11</v>
      </c>
      <c r="P115" s="52">
        <v>3.35</v>
      </c>
      <c r="Q115" s="52">
        <v>28.24</v>
      </c>
      <c r="R115" s="51">
        <v>24.29</v>
      </c>
      <c r="S115" s="52">
        <v>29.65</v>
      </c>
      <c r="T115" s="52">
        <v>23.58</v>
      </c>
      <c r="U115" s="52">
        <v>39.270000000000003</v>
      </c>
      <c r="V115" s="51">
        <v>29.1</v>
      </c>
      <c r="W115" s="51">
        <v>12.35</v>
      </c>
      <c r="X115" s="7">
        <v>0.23652519583771769</v>
      </c>
      <c r="Y115" s="8">
        <v>0.1042927382753405</v>
      </c>
      <c r="Z115" s="10">
        <v>4.118503296515108E-2</v>
      </c>
      <c r="AA115" s="10">
        <v>-0.1422697368421052</v>
      </c>
    </row>
    <row r="116" spans="2:27" x14ac:dyDescent="0.3">
      <c r="B116" s="12" t="s">
        <v>520</v>
      </c>
      <c r="C116" s="3" t="s">
        <v>671</v>
      </c>
      <c r="D116" s="3" t="s">
        <v>685</v>
      </c>
      <c r="E116" s="3" t="s">
        <v>673</v>
      </c>
      <c r="F116" s="5">
        <v>-15.2</v>
      </c>
      <c r="G116" s="51">
        <v>19.54</v>
      </c>
      <c r="H116" s="51">
        <v>28.27</v>
      </c>
      <c r="I116" s="51">
        <v>36.92</v>
      </c>
      <c r="J116" s="51">
        <v>33.72</v>
      </c>
      <c r="K116" s="51">
        <v>21.97</v>
      </c>
      <c r="L116" s="51">
        <v>21.17</v>
      </c>
      <c r="M116" s="51">
        <v>16.18</v>
      </c>
      <c r="N116" s="51">
        <v>8.14</v>
      </c>
      <c r="O116" s="51">
        <v>-1.98</v>
      </c>
      <c r="P116" s="51">
        <v>-17.760000000000002</v>
      </c>
      <c r="Q116" s="51">
        <v>-16.29</v>
      </c>
      <c r="R116" s="52">
        <v>-15.26</v>
      </c>
      <c r="S116" s="52">
        <v>-24.61</v>
      </c>
      <c r="T116" s="51">
        <v>-22</v>
      </c>
      <c r="U116" s="51">
        <v>-15.93</v>
      </c>
      <c r="V116" s="51">
        <v>-9.2100000000000009</v>
      </c>
      <c r="W116" s="51">
        <v>-13.7</v>
      </c>
      <c r="X116" s="9">
        <v>5.7359307359307277E-2</v>
      </c>
      <c r="Y116" s="10">
        <v>-4.6059365404298447E-3</v>
      </c>
      <c r="Z116" s="10">
        <v>-7.7763496143958832E-2</v>
      </c>
      <c r="AA116" s="10">
        <v>-0.15205574912891981</v>
      </c>
    </row>
    <row r="117" spans="2:27" x14ac:dyDescent="0.3">
      <c r="B117" s="12" t="s">
        <v>168</v>
      </c>
      <c r="C117" s="3" t="s">
        <v>671</v>
      </c>
      <c r="D117" s="3" t="s">
        <v>698</v>
      </c>
      <c r="E117" s="3" t="s">
        <v>673</v>
      </c>
      <c r="F117" s="5">
        <v>-16.2</v>
      </c>
      <c r="G117" s="51">
        <v>-68.08</v>
      </c>
      <c r="H117" s="51">
        <v>-68.790000000000006</v>
      </c>
      <c r="I117" s="51">
        <v>-69.92</v>
      </c>
      <c r="J117" s="51">
        <v>-69.48</v>
      </c>
      <c r="K117" s="51">
        <v>-71.52</v>
      </c>
      <c r="L117" s="51">
        <v>-62.37</v>
      </c>
      <c r="M117" s="51">
        <v>-57.98</v>
      </c>
      <c r="N117" s="51">
        <v>-49.65</v>
      </c>
      <c r="O117" s="51">
        <v>-36.79</v>
      </c>
      <c r="P117" s="51">
        <v>-14.27</v>
      </c>
      <c r="Q117" s="51">
        <v>-13.21</v>
      </c>
      <c r="R117" s="51">
        <v>-36.450000000000003</v>
      </c>
      <c r="S117" s="52">
        <v>-66.02</v>
      </c>
      <c r="T117" s="52">
        <v>-34.17</v>
      </c>
      <c r="U117" s="52">
        <v>-29.27</v>
      </c>
      <c r="V117" s="51">
        <v>-13.96</v>
      </c>
      <c r="W117" s="51">
        <v>-42.8</v>
      </c>
      <c r="X117" s="7">
        <v>0.15313582146979621</v>
      </c>
      <c r="Y117" s="8">
        <v>0.1071738405071738</v>
      </c>
      <c r="Z117" s="10">
        <v>-0.13555542161412809</v>
      </c>
      <c r="AA117" s="10">
        <v>-0.161902105703528</v>
      </c>
    </row>
    <row r="118" spans="2:27" x14ac:dyDescent="0.3">
      <c r="B118" s="12" t="s">
        <v>285</v>
      </c>
      <c r="C118" s="3" t="s">
        <v>671</v>
      </c>
      <c r="D118" s="3" t="s">
        <v>729</v>
      </c>
      <c r="E118" s="3" t="s">
        <v>673</v>
      </c>
      <c r="F118" s="5">
        <v>-17</v>
      </c>
      <c r="G118" s="51">
        <v>77</v>
      </c>
      <c r="H118" s="51">
        <v>146</v>
      </c>
      <c r="I118" s="51">
        <v>192</v>
      </c>
      <c r="J118" s="51">
        <v>155</v>
      </c>
      <c r="K118" s="52">
        <v>162</v>
      </c>
      <c r="L118" s="51">
        <v>-63</v>
      </c>
      <c r="M118" s="51">
        <v>-4</v>
      </c>
      <c r="N118" s="51">
        <v>67</v>
      </c>
      <c r="O118" s="51">
        <v>-80</v>
      </c>
      <c r="P118" s="51">
        <v>-20</v>
      </c>
      <c r="Q118" s="51">
        <v>30</v>
      </c>
      <c r="R118" s="52">
        <v>32</v>
      </c>
      <c r="S118" s="51">
        <v>114</v>
      </c>
      <c r="T118" s="52">
        <v>38</v>
      </c>
      <c r="U118" s="52">
        <v>52</v>
      </c>
      <c r="V118" s="52">
        <v>84</v>
      </c>
      <c r="W118" s="51">
        <v>65</v>
      </c>
      <c r="X118" s="7">
        <v>0.37179487179487181</v>
      </c>
      <c r="Y118" s="8">
        <v>0.1028037383177569</v>
      </c>
      <c r="Z118" s="8">
        <v>0.22033898305084751</v>
      </c>
      <c r="AA118" s="10">
        <v>-0.17013888888888881</v>
      </c>
    </row>
    <row r="119" spans="2:27" x14ac:dyDescent="0.3">
      <c r="B119" s="12" t="s">
        <v>366</v>
      </c>
      <c r="C119" s="3" t="s">
        <v>671</v>
      </c>
      <c r="D119" s="3" t="s">
        <v>702</v>
      </c>
      <c r="E119" s="3" t="s">
        <v>673</v>
      </c>
      <c r="F119" s="5">
        <v>-20.8</v>
      </c>
      <c r="G119" s="51">
        <v>16.670000000000002</v>
      </c>
      <c r="H119" s="51">
        <v>21.51</v>
      </c>
      <c r="I119" s="51">
        <v>34.049999999999997</v>
      </c>
      <c r="J119" s="51">
        <v>31.01</v>
      </c>
      <c r="K119" s="52">
        <v>28.81</v>
      </c>
      <c r="L119" s="52">
        <v>38.130000000000003</v>
      </c>
      <c r="M119" s="51">
        <v>37.68</v>
      </c>
      <c r="N119" s="51">
        <v>38.92</v>
      </c>
      <c r="O119" s="51">
        <v>28.47</v>
      </c>
      <c r="P119" s="51">
        <v>24.94</v>
      </c>
      <c r="Q119" s="51">
        <v>35.85</v>
      </c>
      <c r="R119" s="51">
        <v>34.11</v>
      </c>
      <c r="S119" s="52">
        <v>41.32</v>
      </c>
      <c r="T119" s="51">
        <v>29.64</v>
      </c>
      <c r="U119" s="51">
        <v>37.07</v>
      </c>
      <c r="V119" s="51">
        <v>36.22</v>
      </c>
      <c r="W119" s="51">
        <v>11.27</v>
      </c>
      <c r="X119" s="9">
        <v>3.4503009837028482E-2</v>
      </c>
      <c r="Y119" s="10">
        <v>8.657394266250229E-3</v>
      </c>
      <c r="Z119" s="10">
        <v>1.4844519487829061E-2</v>
      </c>
      <c r="AA119" s="10">
        <v>-0.20831889081455801</v>
      </c>
    </row>
    <row r="120" spans="2:27" x14ac:dyDescent="0.3">
      <c r="B120" s="12" t="s">
        <v>391</v>
      </c>
      <c r="C120" s="3" t="s">
        <v>671</v>
      </c>
      <c r="D120" s="3" t="s">
        <v>726</v>
      </c>
      <c r="E120" s="3" t="s">
        <v>673</v>
      </c>
      <c r="F120" s="5">
        <v>-22.5</v>
      </c>
      <c r="G120" s="51">
        <v>-1.1299999999999999</v>
      </c>
      <c r="H120" s="51">
        <v>-41.74</v>
      </c>
      <c r="I120" s="51">
        <v>-63.12</v>
      </c>
      <c r="J120" s="51">
        <v>-40</v>
      </c>
      <c r="K120" s="52">
        <v>-18.899999999999999</v>
      </c>
      <c r="L120" s="51">
        <v>-51.99</v>
      </c>
      <c r="M120" s="51">
        <v>-60.56</v>
      </c>
      <c r="N120" s="51">
        <v>-53.39</v>
      </c>
      <c r="O120" s="51">
        <v>-33.799999999999997</v>
      </c>
      <c r="P120" s="51">
        <v>-59.4</v>
      </c>
      <c r="Q120" s="51">
        <v>-41.74</v>
      </c>
      <c r="R120" s="51">
        <v>-41.49</v>
      </c>
      <c r="S120" s="51">
        <v>-49.84</v>
      </c>
      <c r="T120" s="51">
        <v>-48.53</v>
      </c>
      <c r="U120" s="51">
        <v>-4.55</v>
      </c>
      <c r="V120" s="51">
        <v>-31.54</v>
      </c>
      <c r="W120" s="51">
        <v>-19.54</v>
      </c>
      <c r="X120" s="9">
        <v>-5.6476333974125659E-2</v>
      </c>
      <c r="Y120" s="10">
        <v>-0.20479074889867849</v>
      </c>
      <c r="Z120" s="10">
        <v>-6.8901045633958824E-2</v>
      </c>
      <c r="AA120" s="10">
        <v>-0.22534582775546641</v>
      </c>
    </row>
    <row r="121" spans="2:27" x14ac:dyDescent="0.3">
      <c r="B121" s="12" t="s">
        <v>215</v>
      </c>
      <c r="C121" s="3" t="s">
        <v>671</v>
      </c>
      <c r="D121" s="3" t="s">
        <v>693</v>
      </c>
      <c r="E121" s="3" t="s">
        <v>673</v>
      </c>
      <c r="F121" s="5">
        <v>-23.4</v>
      </c>
      <c r="G121" s="51">
        <v>128.69999999999999</v>
      </c>
      <c r="H121" s="51">
        <v>101.9</v>
      </c>
      <c r="I121" s="51">
        <v>85.6</v>
      </c>
      <c r="J121" s="51">
        <v>133.1</v>
      </c>
      <c r="K121" s="51">
        <v>135.9</v>
      </c>
      <c r="L121" s="51">
        <v>126.1</v>
      </c>
      <c r="M121" s="51">
        <v>89.9</v>
      </c>
      <c r="N121" s="51">
        <v>130.9</v>
      </c>
      <c r="O121" s="51">
        <v>142.19999999999999</v>
      </c>
      <c r="P121" s="51">
        <v>80.3</v>
      </c>
      <c r="Q121" s="51">
        <v>81.8</v>
      </c>
      <c r="R121" s="51">
        <v>95.4</v>
      </c>
      <c r="S121" s="51">
        <v>163.80000000000001</v>
      </c>
      <c r="T121" s="51">
        <v>69.099999999999994</v>
      </c>
      <c r="U121" s="51">
        <v>28.8</v>
      </c>
      <c r="V121" s="51">
        <v>111.5</v>
      </c>
      <c r="W121" s="51">
        <v>76.3</v>
      </c>
      <c r="X121" s="9">
        <v>-2.6584381675765489E-2</v>
      </c>
      <c r="Y121" s="10">
        <v>-0.1292367715191417</v>
      </c>
      <c r="Z121" s="10">
        <v>4.508541024922974E-2</v>
      </c>
      <c r="AA121" s="10">
        <v>-0.23445873526259381</v>
      </c>
    </row>
    <row r="122" spans="2:27" x14ac:dyDescent="0.3">
      <c r="B122" s="12" t="s">
        <v>278</v>
      </c>
      <c r="C122" s="3" t="s">
        <v>671</v>
      </c>
      <c r="D122" s="3" t="s">
        <v>684</v>
      </c>
      <c r="E122" s="3" t="s">
        <v>673</v>
      </c>
      <c r="F122" s="5">
        <v>-24.7</v>
      </c>
      <c r="G122" s="51">
        <v>-42.45</v>
      </c>
      <c r="H122" s="51">
        <v>50.87</v>
      </c>
      <c r="I122" s="51">
        <v>32.31</v>
      </c>
      <c r="J122" s="51">
        <v>9.15</v>
      </c>
      <c r="K122" s="52">
        <v>2.71</v>
      </c>
      <c r="L122" s="51">
        <v>36.700000000000003</v>
      </c>
      <c r="M122" s="51">
        <v>-33.18</v>
      </c>
      <c r="N122" s="52">
        <v>22.11</v>
      </c>
      <c r="O122" s="52">
        <v>18.829999999999998</v>
      </c>
      <c r="P122" s="51">
        <v>-3.75</v>
      </c>
      <c r="Q122" s="52">
        <v>54.11</v>
      </c>
      <c r="R122" s="51">
        <v>18.47</v>
      </c>
      <c r="S122" s="51">
        <v>-15.92</v>
      </c>
      <c r="T122" s="52">
        <v>69.989999999999995</v>
      </c>
      <c r="U122" s="52">
        <v>80.72</v>
      </c>
      <c r="V122" s="51">
        <v>31.44</v>
      </c>
      <c r="W122" s="51">
        <v>-56.99</v>
      </c>
      <c r="X122" s="7">
        <v>1.3936873936873939</v>
      </c>
      <c r="Y122" s="8">
        <v>0.21010659297275969</v>
      </c>
      <c r="Z122" s="10">
        <v>8.4627430510244128E-2</v>
      </c>
      <c r="AA122" s="10">
        <v>-0.24706731636888651</v>
      </c>
    </row>
    <row r="123" spans="2:27" x14ac:dyDescent="0.3">
      <c r="B123" s="12" t="s">
        <v>342</v>
      </c>
      <c r="C123" s="3" t="s">
        <v>671</v>
      </c>
      <c r="D123" s="3" t="s">
        <v>722</v>
      </c>
      <c r="E123" s="3" t="s">
        <v>673</v>
      </c>
      <c r="F123" s="5">
        <v>-25.5</v>
      </c>
      <c r="G123" s="51">
        <v>15.8</v>
      </c>
      <c r="H123" s="51">
        <v>10.42</v>
      </c>
      <c r="I123" s="51">
        <v>11.58</v>
      </c>
      <c r="J123" s="51">
        <v>12.12</v>
      </c>
      <c r="K123" s="51">
        <v>8.6999999999999993</v>
      </c>
      <c r="L123" s="52">
        <v>14.77</v>
      </c>
      <c r="M123" s="52">
        <v>16.41</v>
      </c>
      <c r="N123" s="51">
        <v>16.54</v>
      </c>
      <c r="O123" s="52">
        <v>14.55</v>
      </c>
      <c r="P123" s="51">
        <v>14.07</v>
      </c>
      <c r="Q123" s="51">
        <v>12.2</v>
      </c>
      <c r="R123" s="51">
        <v>11.14</v>
      </c>
      <c r="S123" s="52">
        <v>29</v>
      </c>
      <c r="T123" s="51">
        <v>10.83</v>
      </c>
      <c r="U123" s="51">
        <v>12.81</v>
      </c>
      <c r="V123" s="51">
        <v>13.11</v>
      </c>
      <c r="W123" s="51">
        <v>12.23</v>
      </c>
      <c r="X123" s="9">
        <v>-4.878783315765689E-2</v>
      </c>
      <c r="Y123" s="10">
        <v>9.6564825075193816E-3</v>
      </c>
      <c r="Z123" s="10">
        <v>3.0887425525242929E-2</v>
      </c>
      <c r="AA123" s="10">
        <v>-0.25505703422053227</v>
      </c>
    </row>
    <row r="124" spans="2:27" x14ac:dyDescent="0.3">
      <c r="B124" s="12" t="s">
        <v>304</v>
      </c>
      <c r="C124" s="3" t="s">
        <v>671</v>
      </c>
      <c r="D124" s="3" t="s">
        <v>685</v>
      </c>
      <c r="E124" s="3" t="s">
        <v>673</v>
      </c>
      <c r="F124" s="5">
        <v>-25.8</v>
      </c>
      <c r="G124" s="51">
        <v>77.66</v>
      </c>
      <c r="H124" s="51">
        <v>87.33</v>
      </c>
      <c r="I124" s="51">
        <v>89.32</v>
      </c>
      <c r="J124" s="51">
        <v>71.790000000000006</v>
      </c>
      <c r="K124" s="51">
        <v>-17.04</v>
      </c>
      <c r="L124" s="51">
        <v>72.95</v>
      </c>
      <c r="M124" s="51">
        <v>74.33</v>
      </c>
      <c r="N124" s="51">
        <v>54.99</v>
      </c>
      <c r="O124" s="52">
        <v>29.29</v>
      </c>
      <c r="P124" s="51">
        <v>14</v>
      </c>
      <c r="Q124" s="51">
        <v>14.61</v>
      </c>
      <c r="R124" s="51">
        <v>-27.98</v>
      </c>
      <c r="S124" s="51">
        <v>13.85</v>
      </c>
      <c r="T124" s="51">
        <v>4.24</v>
      </c>
      <c r="U124" s="51">
        <v>3.2</v>
      </c>
      <c r="V124" s="51">
        <v>9.7799999999999994</v>
      </c>
      <c r="W124" s="51">
        <v>5.84</v>
      </c>
      <c r="X124" s="9">
        <v>-0.67403314917127077</v>
      </c>
      <c r="Y124" s="10">
        <v>-2.417372881355933</v>
      </c>
      <c r="Z124" s="10">
        <v>-5.6442451420029904</v>
      </c>
      <c r="AA124" s="10">
        <v>-0.25780495654972652</v>
      </c>
    </row>
    <row r="125" spans="2:27" x14ac:dyDescent="0.3">
      <c r="B125" s="12" t="s">
        <v>618</v>
      </c>
      <c r="C125" s="3" t="s">
        <v>671</v>
      </c>
      <c r="D125" s="3" t="s">
        <v>690</v>
      </c>
      <c r="E125" s="3" t="s">
        <v>673</v>
      </c>
      <c r="F125" s="5">
        <v>-25.9</v>
      </c>
      <c r="G125" s="51">
        <v>-46.7</v>
      </c>
      <c r="H125" s="51">
        <v>-48.94</v>
      </c>
      <c r="I125" s="51">
        <v>-54.85</v>
      </c>
      <c r="J125" s="51">
        <v>-31.82</v>
      </c>
      <c r="K125" s="52">
        <v>-105</v>
      </c>
      <c r="L125" s="51">
        <v>-31.15</v>
      </c>
      <c r="M125" s="51">
        <v>-22.41</v>
      </c>
      <c r="N125" s="51">
        <v>-32.950000000000003</v>
      </c>
      <c r="O125" s="51">
        <v>-40.98</v>
      </c>
      <c r="P125" s="51">
        <v>-35.58</v>
      </c>
      <c r="Q125" s="51">
        <v>-32.049999999999997</v>
      </c>
      <c r="R125" s="51">
        <v>-42.6</v>
      </c>
      <c r="S125" s="51">
        <v>-11.86</v>
      </c>
      <c r="T125" s="51">
        <v>-24.65</v>
      </c>
      <c r="U125" s="51">
        <v>-40.130000000000003</v>
      </c>
      <c r="V125" s="51">
        <v>3.3</v>
      </c>
      <c r="W125" s="51">
        <v>7.1</v>
      </c>
      <c r="X125" s="9">
        <v>-8.9524121549676483E-2</v>
      </c>
      <c r="Y125" s="10">
        <v>7.2688017272400263E-2</v>
      </c>
      <c r="Z125" s="10">
        <v>-0.38493794028849382</v>
      </c>
      <c r="AA125" s="10">
        <v>-0.25852195254976817</v>
      </c>
    </row>
    <row r="126" spans="2:27" x14ac:dyDescent="0.3">
      <c r="B126" s="12" t="s">
        <v>461</v>
      </c>
      <c r="C126" s="3" t="s">
        <v>671</v>
      </c>
      <c r="D126" s="3" t="s">
        <v>682</v>
      </c>
      <c r="E126" s="3" t="s">
        <v>673</v>
      </c>
      <c r="F126" s="5">
        <v>-26.9</v>
      </c>
      <c r="G126" s="51">
        <v>177.95</v>
      </c>
      <c r="H126" s="51">
        <v>142.35</v>
      </c>
      <c r="I126" s="51">
        <v>83.76</v>
      </c>
      <c r="J126" s="51">
        <v>3.95</v>
      </c>
      <c r="K126" s="51">
        <v>27.53</v>
      </c>
      <c r="L126" s="51">
        <v>17.579999999999998</v>
      </c>
      <c r="M126" s="51">
        <v>-2.14</v>
      </c>
      <c r="N126" s="52">
        <v>11.09</v>
      </c>
      <c r="O126" s="51">
        <v>16.68</v>
      </c>
      <c r="P126" s="51">
        <v>10.029999999999999</v>
      </c>
      <c r="Q126" s="52">
        <v>29.26</v>
      </c>
      <c r="R126" s="51">
        <v>5.86</v>
      </c>
      <c r="S126" s="52">
        <v>23.08</v>
      </c>
      <c r="T126" s="52">
        <v>19.809999999999999</v>
      </c>
      <c r="U126" s="51">
        <v>18.11</v>
      </c>
      <c r="V126" s="51">
        <v>-0.62</v>
      </c>
      <c r="W126" s="51">
        <v>6.83</v>
      </c>
      <c r="X126" s="7">
        <v>0.1433387073134984</v>
      </c>
      <c r="Y126" s="10">
        <v>-0.14293039353928991</v>
      </c>
      <c r="Z126" s="10">
        <v>-9.6918935088244118E-2</v>
      </c>
      <c r="AA126" s="10">
        <v>-0.26912885061278569</v>
      </c>
    </row>
    <row r="127" spans="2:27" x14ac:dyDescent="0.3">
      <c r="B127" s="12" t="s">
        <v>158</v>
      </c>
      <c r="C127" s="3" t="s">
        <v>671</v>
      </c>
      <c r="D127" s="3" t="s">
        <v>712</v>
      </c>
      <c r="E127" s="3" t="s">
        <v>673</v>
      </c>
      <c r="F127" s="5">
        <v>-41.2</v>
      </c>
      <c r="G127" s="51">
        <v>611</v>
      </c>
      <c r="H127" s="51">
        <v>374</v>
      </c>
      <c r="I127" s="51">
        <v>343</v>
      </c>
      <c r="J127" s="51">
        <v>406</v>
      </c>
      <c r="K127" s="51">
        <v>428</v>
      </c>
      <c r="L127" s="51">
        <v>287</v>
      </c>
      <c r="M127" s="51">
        <v>98</v>
      </c>
      <c r="N127" s="51">
        <v>269</v>
      </c>
      <c r="O127" s="51">
        <v>323</v>
      </c>
      <c r="P127" s="51">
        <v>162</v>
      </c>
      <c r="Q127" s="52">
        <v>369</v>
      </c>
      <c r="R127" s="51">
        <v>241</v>
      </c>
      <c r="S127" s="51">
        <v>270</v>
      </c>
      <c r="T127" s="51">
        <v>256</v>
      </c>
      <c r="U127" s="51">
        <v>434</v>
      </c>
      <c r="V127" s="51">
        <v>287</v>
      </c>
      <c r="W127" s="51">
        <v>-244</v>
      </c>
      <c r="X127" s="9">
        <v>9.0211132437620023E-2</v>
      </c>
      <c r="Y127" s="10">
        <v>5.7218309859154992E-2</v>
      </c>
      <c r="Z127" s="10">
        <v>3.8301415487093982E-2</v>
      </c>
      <c r="AA127" s="10">
        <v>-0.41218925421010422</v>
      </c>
    </row>
    <row r="128" spans="2:27" x14ac:dyDescent="0.3">
      <c r="B128" s="16" t="s">
        <v>328</v>
      </c>
      <c r="C128" s="17" t="s">
        <v>671</v>
      </c>
      <c r="D128" s="17" t="s">
        <v>681</v>
      </c>
      <c r="E128" s="17" t="s">
        <v>673</v>
      </c>
      <c r="F128" s="18">
        <v>-42.3</v>
      </c>
      <c r="G128" s="54">
        <v>0</v>
      </c>
      <c r="H128" s="54">
        <v>15.18</v>
      </c>
      <c r="I128" s="54">
        <v>-97.99</v>
      </c>
      <c r="J128" s="54">
        <v>-53.05</v>
      </c>
      <c r="K128" s="55">
        <v>-42.66</v>
      </c>
      <c r="L128" s="55">
        <v>-83.19</v>
      </c>
      <c r="M128" s="54">
        <v>0</v>
      </c>
      <c r="N128" s="54">
        <v>-67.900000000000006</v>
      </c>
      <c r="O128" s="54">
        <v>-41.79</v>
      </c>
      <c r="P128" s="54">
        <v>-36.04</v>
      </c>
      <c r="Q128" s="55">
        <v>-65.98</v>
      </c>
      <c r="R128" s="55">
        <v>-113.03</v>
      </c>
      <c r="S128" s="55">
        <v>-77.489999999999995</v>
      </c>
      <c r="T128" s="55">
        <v>-76.61</v>
      </c>
      <c r="U128" s="54">
        <v>-45.94</v>
      </c>
      <c r="V128" s="54">
        <v>-58.63</v>
      </c>
      <c r="W128" s="54">
        <v>31.82</v>
      </c>
      <c r="X128" s="7">
        <v>0.1386818896561153</v>
      </c>
      <c r="Y128" s="20">
        <v>-6.016030740596201E-2</v>
      </c>
      <c r="Z128" s="20">
        <v>-0.1737630561855176</v>
      </c>
      <c r="AA128" s="20">
        <v>-0.42258476050566351</v>
      </c>
    </row>
    <row r="129" spans="2:27" hidden="1" x14ac:dyDescent="0.3">
      <c r="B129" s="3" t="s">
        <v>543</v>
      </c>
      <c r="C129" s="3" t="s">
        <v>671</v>
      </c>
      <c r="D129" s="3" t="s">
        <v>708</v>
      </c>
      <c r="E129" s="3" t="s">
        <v>743</v>
      </c>
      <c r="F129" s="5">
        <v>-41.9</v>
      </c>
      <c r="G129" s="4">
        <v>3.92</v>
      </c>
      <c r="H129" s="4">
        <v>-5.88</v>
      </c>
      <c r="I129" s="4">
        <v>0.15</v>
      </c>
      <c r="J129" s="4">
        <v>3.92</v>
      </c>
      <c r="K129" s="6">
        <v>11.83</v>
      </c>
      <c r="L129" s="6">
        <v>5.76</v>
      </c>
      <c r="M129" s="4">
        <v>-1.59</v>
      </c>
      <c r="N129" s="6">
        <v>11.84</v>
      </c>
      <c r="O129" s="4">
        <v>13.77</v>
      </c>
      <c r="P129" s="6">
        <v>11.25</v>
      </c>
      <c r="Q129" s="6">
        <v>10.130000000000001</v>
      </c>
      <c r="R129" s="6">
        <v>20.100000000000001</v>
      </c>
      <c r="S129" s="6">
        <v>21</v>
      </c>
      <c r="T129" s="4">
        <v>7.72</v>
      </c>
      <c r="U129" s="4">
        <v>5.0199999999999996</v>
      </c>
      <c r="V129" s="4">
        <v>7.3</v>
      </c>
      <c r="W129" s="4">
        <v>3.8</v>
      </c>
      <c r="X129" s="9">
        <v>-5.6498079385403299E-2</v>
      </c>
      <c r="Y129" s="10">
        <v>-8.6683630195080519E-2</v>
      </c>
      <c r="Z129" s="10">
        <v>-0.23774145616641909</v>
      </c>
      <c r="AA129" s="10">
        <v>-0.41910331384015598</v>
      </c>
    </row>
    <row r="130" spans="2:27" x14ac:dyDescent="0.3">
      <c r="B130" s="12" t="s">
        <v>58</v>
      </c>
      <c r="C130" s="3" t="s">
        <v>671</v>
      </c>
      <c r="D130" s="3" t="s">
        <v>704</v>
      </c>
      <c r="E130" s="3" t="s">
        <v>673</v>
      </c>
      <c r="F130" s="5">
        <v>-56.6</v>
      </c>
      <c r="G130" s="51">
        <v>961.83</v>
      </c>
      <c r="H130" s="51">
        <v>-550.14</v>
      </c>
      <c r="I130" s="51">
        <v>-569.21</v>
      </c>
      <c r="J130" s="51">
        <v>-559.42999999999995</v>
      </c>
      <c r="K130" s="52">
        <v>-439.66</v>
      </c>
      <c r="L130" s="51">
        <v>-12.99</v>
      </c>
      <c r="M130" s="51">
        <v>-120.02</v>
      </c>
      <c r="N130" s="51">
        <v>-126.22</v>
      </c>
      <c r="O130" s="51">
        <v>61.71</v>
      </c>
      <c r="P130" s="51">
        <v>1407</v>
      </c>
      <c r="Q130" s="52">
        <v>273.43</v>
      </c>
      <c r="R130" s="52">
        <v>92.92</v>
      </c>
      <c r="S130" s="52">
        <v>1230</v>
      </c>
      <c r="T130" s="51">
        <v>28.99</v>
      </c>
      <c r="U130" s="51">
        <v>204.89</v>
      </c>
      <c r="V130" s="52">
        <v>452.8</v>
      </c>
      <c r="W130" s="51">
        <v>145.91999999999999</v>
      </c>
      <c r="X130" s="9">
        <v>-0.45882431285065017</v>
      </c>
      <c r="Y130" s="10">
        <v>-4.2169638352590799E-2</v>
      </c>
      <c r="Z130" s="8">
        <v>0.23116649537512851</v>
      </c>
      <c r="AA130" s="10">
        <v>-0.56560302189202161</v>
      </c>
    </row>
    <row r="131" spans="2:27" hidden="1" x14ac:dyDescent="0.3">
      <c r="B131" s="3" t="s">
        <v>336</v>
      </c>
      <c r="C131" s="3" t="s">
        <v>671</v>
      </c>
      <c r="D131" s="3" t="s">
        <v>675</v>
      </c>
      <c r="E131" s="3" t="s">
        <v>743</v>
      </c>
      <c r="F131" s="5">
        <v>-45.6</v>
      </c>
      <c r="G131" s="4">
        <v>-11.71</v>
      </c>
      <c r="H131" s="4">
        <v>-18.37</v>
      </c>
      <c r="I131" s="4">
        <v>-14.22</v>
      </c>
      <c r="J131" s="4">
        <v>-22.5</v>
      </c>
      <c r="K131" s="4">
        <v>0.66</v>
      </c>
      <c r="L131" s="6">
        <v>-26.44</v>
      </c>
      <c r="M131" s="6">
        <v>-26.28</v>
      </c>
      <c r="N131" s="6">
        <v>-32.71</v>
      </c>
      <c r="O131" s="6">
        <v>-33.53</v>
      </c>
      <c r="P131" s="6">
        <v>-41.92</v>
      </c>
      <c r="Q131" s="6">
        <v>-51.02</v>
      </c>
      <c r="R131" s="6">
        <v>-64.930000000000007</v>
      </c>
      <c r="S131" s="6">
        <v>-66.89</v>
      </c>
      <c r="T131" s="6">
        <v>-144.13999999999999</v>
      </c>
      <c r="U131" s="6">
        <v>-84.39</v>
      </c>
      <c r="V131" s="4">
        <v>-88.81</v>
      </c>
      <c r="W131" s="4">
        <v>108.45</v>
      </c>
      <c r="X131" s="7">
        <v>0.45479622708667011</v>
      </c>
      <c r="Y131" s="8">
        <v>0.1020551715701266</v>
      </c>
      <c r="Z131" s="10">
        <v>6.6268905231025466E-2</v>
      </c>
      <c r="AA131" s="10">
        <v>-0.45634125393644442</v>
      </c>
    </row>
    <row r="132" spans="2:27" hidden="1" x14ac:dyDescent="0.3">
      <c r="B132" s="3" t="s">
        <v>276</v>
      </c>
      <c r="C132" s="3" t="s">
        <v>671</v>
      </c>
      <c r="D132" s="3" t="s">
        <v>738</v>
      </c>
      <c r="E132" s="3" t="s">
        <v>743</v>
      </c>
      <c r="F132" s="5">
        <v>-54.5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4">
        <v>-22.5</v>
      </c>
      <c r="S132" s="4">
        <v>11.8</v>
      </c>
      <c r="T132" s="4">
        <v>-0.7</v>
      </c>
      <c r="U132" s="4">
        <v>21.9</v>
      </c>
      <c r="V132" s="6">
        <v>42</v>
      </c>
      <c r="W132" s="4">
        <v>-29.1</v>
      </c>
      <c r="X132" s="11"/>
      <c r="Y132" s="3"/>
      <c r="Z132" s="8">
        <v>6.1428571428571432</v>
      </c>
      <c r="AA132" s="10">
        <v>-0.54533333333333345</v>
      </c>
    </row>
    <row r="133" spans="2:27" x14ac:dyDescent="0.3">
      <c r="B133" s="12" t="s">
        <v>123</v>
      </c>
      <c r="C133" s="3" t="s">
        <v>671</v>
      </c>
      <c r="D133" s="3" t="s">
        <v>680</v>
      </c>
      <c r="E133" s="3" t="s">
        <v>673</v>
      </c>
      <c r="F133" s="5">
        <v>-95.5</v>
      </c>
      <c r="G133" s="51">
        <v>-343.44</v>
      </c>
      <c r="H133" s="51">
        <v>-515.58000000000004</v>
      </c>
      <c r="I133" s="51">
        <v>-298.42</v>
      </c>
      <c r="J133" s="51">
        <v>-437.72</v>
      </c>
      <c r="K133" s="51">
        <v>-246.5</v>
      </c>
      <c r="L133" s="51">
        <v>-387.22</v>
      </c>
      <c r="M133" s="51">
        <v>-64.91</v>
      </c>
      <c r="N133" s="51">
        <v>-282.01</v>
      </c>
      <c r="O133" s="51">
        <v>-52.45</v>
      </c>
      <c r="P133" s="51">
        <v>-124.61</v>
      </c>
      <c r="Q133" s="51">
        <v>-21.99</v>
      </c>
      <c r="R133" s="51">
        <v>-278.14999999999998</v>
      </c>
      <c r="S133" s="52">
        <v>-184</v>
      </c>
      <c r="T133" s="51">
        <v>-46.33</v>
      </c>
      <c r="U133" s="51">
        <v>150.63999999999999</v>
      </c>
      <c r="V133" s="51">
        <v>-271.89</v>
      </c>
      <c r="W133" s="51">
        <v>151.76</v>
      </c>
      <c r="X133" s="9">
        <v>-0.12859137577002039</v>
      </c>
      <c r="Y133" s="10">
        <v>-0.32542839368861592</v>
      </c>
      <c r="Z133" s="10">
        <v>-1.7493852000894261E-2</v>
      </c>
      <c r="AA133" s="10">
        <v>-0.95500312873314752</v>
      </c>
    </row>
    <row r="134" spans="2:27" x14ac:dyDescent="0.3">
      <c r="B134" s="12" t="s">
        <v>136</v>
      </c>
      <c r="C134" s="3" t="s">
        <v>671</v>
      </c>
      <c r="D134" s="3" t="s">
        <v>681</v>
      </c>
      <c r="E134" s="3" t="s">
        <v>673</v>
      </c>
      <c r="F134" s="5">
        <v>-102</v>
      </c>
      <c r="G134" s="51">
        <v>25.26</v>
      </c>
      <c r="H134" s="51">
        <v>-23.49</v>
      </c>
      <c r="I134" s="51">
        <v>-110.51</v>
      </c>
      <c r="J134" s="51">
        <v>-146.99</v>
      </c>
      <c r="K134" s="52">
        <v>-211.76</v>
      </c>
      <c r="L134" s="52">
        <v>-181.19</v>
      </c>
      <c r="M134" s="51">
        <v>-125.91</v>
      </c>
      <c r="N134" s="51">
        <v>-66.739999999999995</v>
      </c>
      <c r="O134" s="51">
        <v>-62.44</v>
      </c>
      <c r="P134" s="51">
        <v>-70.239999999999995</v>
      </c>
      <c r="Q134" s="51">
        <v>-60.56</v>
      </c>
      <c r="R134" s="51">
        <v>-17.239999999999998</v>
      </c>
      <c r="S134" s="51">
        <v>-39.130000000000003</v>
      </c>
      <c r="T134" s="51">
        <v>-54.67</v>
      </c>
      <c r="U134" s="51">
        <v>-19.64</v>
      </c>
      <c r="V134" s="51">
        <v>10.37</v>
      </c>
      <c r="W134" s="51">
        <v>65.97</v>
      </c>
      <c r="X134" s="9">
        <v>-8.3186408078217644E-2</v>
      </c>
      <c r="Y134" s="10">
        <v>-0.23846153846153839</v>
      </c>
      <c r="Z134" s="10">
        <v>-0.21127946127946129</v>
      </c>
      <c r="AA134" s="10">
        <v>-1.0196953526729411</v>
      </c>
    </row>
    <row r="135" spans="2:27" x14ac:dyDescent="0.3">
      <c r="B135" s="12" t="s">
        <v>635</v>
      </c>
      <c r="C135" s="3" t="s">
        <v>671</v>
      </c>
      <c r="D135" s="3" t="s">
        <v>684</v>
      </c>
      <c r="E135" s="3" t="s">
        <v>691</v>
      </c>
      <c r="F135" s="5">
        <v>-105.5</v>
      </c>
      <c r="G135" s="51">
        <v>-146</v>
      </c>
      <c r="H135" s="51">
        <v>-146</v>
      </c>
      <c r="I135" s="51">
        <v>75</v>
      </c>
      <c r="J135" s="51">
        <v>75</v>
      </c>
      <c r="K135" s="52">
        <v>-434.5</v>
      </c>
      <c r="L135" s="52">
        <v>-434.5</v>
      </c>
      <c r="M135" s="52">
        <v>-412</v>
      </c>
      <c r="N135" s="52">
        <v>-85</v>
      </c>
      <c r="O135" s="51">
        <v>598</v>
      </c>
      <c r="P135" s="51">
        <v>2405</v>
      </c>
      <c r="Q135" s="52">
        <v>823</v>
      </c>
      <c r="R135" s="51">
        <v>24</v>
      </c>
      <c r="S135" s="51">
        <v>-1636</v>
      </c>
      <c r="T135" s="51">
        <v>-11</v>
      </c>
      <c r="U135" s="52">
        <v>-727</v>
      </c>
      <c r="V135" s="51">
        <v>516</v>
      </c>
      <c r="W135" s="51">
        <v>324</v>
      </c>
      <c r="X135" s="9">
        <v>-1.495049504950495</v>
      </c>
      <c r="Y135" s="8">
        <v>1.9375</v>
      </c>
      <c r="Z135" s="10">
        <v>-0.20936170212765959</v>
      </c>
      <c r="AA135" s="10">
        <v>-1.054897739504844</v>
      </c>
    </row>
    <row r="136" spans="2:27" x14ac:dyDescent="0.3">
      <c r="B136" s="16" t="s">
        <v>363</v>
      </c>
      <c r="C136" s="17" t="s">
        <v>671</v>
      </c>
      <c r="D136" s="17" t="s">
        <v>698</v>
      </c>
      <c r="E136" s="17" t="s">
        <v>673</v>
      </c>
      <c r="F136" s="18">
        <v>-153.6</v>
      </c>
      <c r="G136" s="54">
        <v>-6.87</v>
      </c>
      <c r="H136" s="54">
        <v>-3.29</v>
      </c>
      <c r="I136" s="54">
        <v>-8.66</v>
      </c>
      <c r="J136" s="54">
        <v>-24.67</v>
      </c>
      <c r="K136" s="55">
        <v>-24.06</v>
      </c>
      <c r="L136" s="55">
        <v>-10.210000000000001</v>
      </c>
      <c r="M136" s="54">
        <v>-9.76</v>
      </c>
      <c r="N136" s="54">
        <v>-4.4800000000000004</v>
      </c>
      <c r="O136" s="54">
        <v>1.32</v>
      </c>
      <c r="P136" s="54">
        <v>0.5</v>
      </c>
      <c r="Q136" s="54">
        <v>-1.99</v>
      </c>
      <c r="R136" s="55">
        <v>-53.59</v>
      </c>
      <c r="S136" s="55">
        <v>-514.55999999999995</v>
      </c>
      <c r="T136" s="54">
        <v>416.24</v>
      </c>
      <c r="U136" s="55">
        <v>-76.13</v>
      </c>
      <c r="V136" s="55">
        <v>-231.64</v>
      </c>
      <c r="W136" s="54">
        <v>109.35</v>
      </c>
      <c r="X136" s="9">
        <v>-0.729829365915315</v>
      </c>
      <c r="Y136" s="19">
        <v>0.48174139051332032</v>
      </c>
      <c r="Z136" s="19">
        <v>0.78078407296965469</v>
      </c>
      <c r="AA136" s="20">
        <v>-1.5363835602945159</v>
      </c>
    </row>
    <row r="137" spans="2:27" x14ac:dyDescent="0.3">
      <c r="B137" s="21" t="s">
        <v>282</v>
      </c>
      <c r="C137" s="22" t="s">
        <v>671</v>
      </c>
      <c r="D137" s="22" t="s">
        <v>677</v>
      </c>
      <c r="E137" s="22" t="s">
        <v>673</v>
      </c>
      <c r="F137" s="23">
        <v>-566.9</v>
      </c>
      <c r="G137" s="56">
        <v>154.63999999999999</v>
      </c>
      <c r="H137" s="56">
        <v>1.32</v>
      </c>
      <c r="I137" s="56">
        <v>162.84</v>
      </c>
      <c r="J137" s="56">
        <v>176.08</v>
      </c>
      <c r="K137" s="57">
        <v>246.61</v>
      </c>
      <c r="L137" s="57">
        <v>275.89999999999998</v>
      </c>
      <c r="M137" s="56">
        <v>210.13</v>
      </c>
      <c r="N137" s="56">
        <v>123.72</v>
      </c>
      <c r="O137" s="56">
        <v>161.25</v>
      </c>
      <c r="P137" s="56">
        <v>113.56</v>
      </c>
      <c r="Q137" s="56">
        <v>67.45</v>
      </c>
      <c r="R137" s="56">
        <v>112.82</v>
      </c>
      <c r="S137" s="56">
        <v>94.81</v>
      </c>
      <c r="T137" s="56">
        <v>-16.75</v>
      </c>
      <c r="U137" s="56">
        <v>-25.79</v>
      </c>
      <c r="V137" s="56">
        <v>-18.37</v>
      </c>
      <c r="W137" s="56">
        <v>-97.36</v>
      </c>
      <c r="X137" s="26">
        <v>-0.33529744750926299</v>
      </c>
      <c r="Y137" s="27">
        <v>-0.36093368946696081</v>
      </c>
      <c r="Z137" s="27">
        <v>-0.79465745956750866</v>
      </c>
      <c r="AA137" s="27">
        <v>-5.6687315634218276</v>
      </c>
    </row>
    <row r="138" spans="2:27" hidden="1" x14ac:dyDescent="0.3">
      <c r="B138" s="3" t="s">
        <v>223</v>
      </c>
      <c r="C138" s="3" t="s">
        <v>671</v>
      </c>
      <c r="D138" s="3" t="s">
        <v>672</v>
      </c>
      <c r="E138" s="3" t="s">
        <v>743</v>
      </c>
      <c r="F138" s="5">
        <v>-1203.9000000000001</v>
      </c>
      <c r="G138" s="3"/>
      <c r="H138" s="3"/>
      <c r="I138" s="3"/>
      <c r="J138" s="3"/>
      <c r="K138" s="3"/>
      <c r="L138" s="3"/>
      <c r="M138" s="3"/>
      <c r="N138" s="4">
        <v>35.89</v>
      </c>
      <c r="O138" s="4">
        <v>61.26</v>
      </c>
      <c r="P138" s="4">
        <v>81.12</v>
      </c>
      <c r="Q138" s="4">
        <v>81.12</v>
      </c>
      <c r="R138" s="4">
        <v>0.12</v>
      </c>
      <c r="S138" s="4">
        <v>53.94</v>
      </c>
      <c r="T138" s="4">
        <v>12.15</v>
      </c>
      <c r="U138" s="4">
        <v>26.96</v>
      </c>
      <c r="V138" s="6">
        <v>25.06</v>
      </c>
      <c r="W138" s="4">
        <v>-1368</v>
      </c>
      <c r="X138" s="9">
        <v>-0.31886269070735079</v>
      </c>
      <c r="Y138" s="10">
        <v>-0.36761012692594858</v>
      </c>
      <c r="Z138" s="8">
        <v>0.2676827304926479</v>
      </c>
      <c r="AA138" s="10">
        <v>-12.03911607823216</v>
      </c>
    </row>
    <row r="139" spans="2:27" hidden="1" x14ac:dyDescent="0.3">
      <c r="B139" s="3" t="s">
        <v>623</v>
      </c>
      <c r="C139" s="3" t="s">
        <v>742</v>
      </c>
      <c r="D139" s="3" t="s">
        <v>738</v>
      </c>
      <c r="E139" s="3" t="s">
        <v>743</v>
      </c>
      <c r="F139" s="5">
        <v>1.5</v>
      </c>
      <c r="G139" s="4">
        <v>59.7</v>
      </c>
      <c r="H139" s="4">
        <v>62.4</v>
      </c>
      <c r="I139" s="4">
        <v>77.5</v>
      </c>
      <c r="J139" s="4">
        <v>93</v>
      </c>
      <c r="K139" s="6">
        <v>98.1</v>
      </c>
      <c r="L139" s="4">
        <v>70.2</v>
      </c>
      <c r="M139" s="4">
        <v>90.5</v>
      </c>
      <c r="N139" s="4">
        <v>99.1</v>
      </c>
      <c r="O139" s="4">
        <v>109</v>
      </c>
      <c r="P139" s="4">
        <v>87.7</v>
      </c>
      <c r="Q139" s="4">
        <v>89.8</v>
      </c>
      <c r="R139" s="4">
        <v>109.3</v>
      </c>
      <c r="S139" s="4">
        <v>112.3</v>
      </c>
      <c r="T139" s="4">
        <v>97.9</v>
      </c>
      <c r="U139" s="4">
        <v>97.8</v>
      </c>
      <c r="V139" s="4">
        <v>116.5</v>
      </c>
      <c r="W139" s="4">
        <v>118.5</v>
      </c>
      <c r="X139" s="9">
        <v>2.5557504384865929E-2</v>
      </c>
      <c r="Y139" s="10">
        <v>1.9545565599804471E-2</v>
      </c>
      <c r="Z139" s="10">
        <v>1.7253774263120029E-2</v>
      </c>
      <c r="AA139" s="10">
        <v>1.460541813898697E-2</v>
      </c>
    </row>
    <row r="140" spans="2:27" x14ac:dyDescent="0.3">
      <c r="B140" s="12" t="s">
        <v>547</v>
      </c>
      <c r="C140" s="3" t="s">
        <v>742</v>
      </c>
      <c r="D140" s="3" t="str">
        <f>VLOOKUP(B140,기업리스트!B:G,2,FALSE)</f>
        <v>Volati AB (publ)</v>
      </c>
      <c r="E140" s="3" t="s">
        <v>673</v>
      </c>
      <c r="F140" s="5">
        <v>1.2</v>
      </c>
      <c r="G140" s="51">
        <v>0</v>
      </c>
      <c r="H140" s="51">
        <v>85</v>
      </c>
      <c r="I140" s="51">
        <v>205</v>
      </c>
      <c r="J140" s="51">
        <v>178</v>
      </c>
      <c r="K140" s="52">
        <v>158</v>
      </c>
      <c r="L140" s="51">
        <v>135</v>
      </c>
      <c r="M140" s="51">
        <v>226</v>
      </c>
      <c r="N140" s="51">
        <v>168</v>
      </c>
      <c r="O140" s="51">
        <v>106</v>
      </c>
      <c r="P140" s="51">
        <v>64</v>
      </c>
      <c r="Q140" s="51">
        <v>215</v>
      </c>
      <c r="R140" s="51">
        <v>156</v>
      </c>
      <c r="S140" s="51">
        <v>101</v>
      </c>
      <c r="T140" s="51">
        <v>101</v>
      </c>
      <c r="U140" s="51">
        <v>211</v>
      </c>
      <c r="V140" s="51">
        <v>171</v>
      </c>
      <c r="W140" s="51">
        <v>108</v>
      </c>
      <c r="X140" s="9">
        <v>6.9029850746268551E-2</v>
      </c>
      <c r="Y140" s="10">
        <v>-6.9808027923211613E-3</v>
      </c>
      <c r="Z140" s="10">
        <v>2.6362038664323299E-2</v>
      </c>
      <c r="AA140" s="10">
        <v>1.1986301369863121E-2</v>
      </c>
    </row>
    <row r="141" spans="2:27" x14ac:dyDescent="0.3">
      <c r="B141" s="12" t="s">
        <v>430</v>
      </c>
      <c r="C141" s="3" t="s">
        <v>742</v>
      </c>
      <c r="D141" s="3" t="str">
        <f>VLOOKUP(B141,기업리스트!B:G,2,FALSE)</f>
        <v>AQ Group AB (publ)</v>
      </c>
      <c r="E141" s="3" t="s">
        <v>673</v>
      </c>
      <c r="F141" s="5">
        <v>0.4</v>
      </c>
      <c r="G141" s="51">
        <v>80.099999999999994</v>
      </c>
      <c r="H141" s="51">
        <v>112</v>
      </c>
      <c r="I141" s="51">
        <v>105</v>
      </c>
      <c r="J141" s="51">
        <v>123</v>
      </c>
      <c r="K141" s="52">
        <v>146</v>
      </c>
      <c r="L141" s="52">
        <v>194</v>
      </c>
      <c r="M141" s="52">
        <v>203</v>
      </c>
      <c r="N141" s="52">
        <v>200</v>
      </c>
      <c r="O141" s="52">
        <v>221</v>
      </c>
      <c r="P141" s="51">
        <v>223</v>
      </c>
      <c r="Q141" s="51">
        <v>221</v>
      </c>
      <c r="R141" s="51">
        <v>188</v>
      </c>
      <c r="S141" s="51">
        <v>208</v>
      </c>
      <c r="T141" s="51">
        <v>214</v>
      </c>
      <c r="U141" s="51">
        <v>219</v>
      </c>
      <c r="V141" s="51">
        <v>191</v>
      </c>
      <c r="W141" s="51">
        <v>211</v>
      </c>
      <c r="X141" s="9">
        <v>-1.071428571428568E-2</v>
      </c>
      <c r="Y141" s="10">
        <v>-2.4067388688326918E-3</v>
      </c>
      <c r="Z141" s="10">
        <v>3.6188178528346882E-3</v>
      </c>
      <c r="AA141" s="10">
        <v>3.605769230769162E-3</v>
      </c>
    </row>
    <row r="142" spans="2:27" x14ac:dyDescent="0.3">
      <c r="B142" s="21" t="s">
        <v>613</v>
      </c>
      <c r="C142" s="22" t="s">
        <v>742</v>
      </c>
      <c r="D142" s="22" t="str">
        <f>VLOOKUP(B142,기업리스트!B:G,2,FALSE)</f>
        <v>Nederman Holding AB (publ)</v>
      </c>
      <c r="E142" s="22" t="s">
        <v>673</v>
      </c>
      <c r="F142" s="23">
        <v>-3.9</v>
      </c>
      <c r="G142" s="56">
        <v>124.2</v>
      </c>
      <c r="H142" s="56">
        <v>98.2</v>
      </c>
      <c r="I142" s="56">
        <v>107.2</v>
      </c>
      <c r="J142" s="56">
        <v>138</v>
      </c>
      <c r="K142" s="56">
        <v>117.6</v>
      </c>
      <c r="L142" s="57">
        <v>147.1</v>
      </c>
      <c r="M142" s="57">
        <v>168.5</v>
      </c>
      <c r="N142" s="56">
        <v>148</v>
      </c>
      <c r="O142" s="56">
        <v>154.19999999999999</v>
      </c>
      <c r="P142" s="56">
        <v>146.6</v>
      </c>
      <c r="Q142" s="56">
        <v>159.6</v>
      </c>
      <c r="R142" s="56">
        <v>126.8</v>
      </c>
      <c r="S142" s="56">
        <v>149</v>
      </c>
      <c r="T142" s="56">
        <v>109.2</v>
      </c>
      <c r="U142" s="56">
        <v>127</v>
      </c>
      <c r="V142" s="56">
        <v>137.9</v>
      </c>
      <c r="W142" s="56">
        <v>128.6</v>
      </c>
      <c r="X142" s="26">
        <v>-6.4261168384879719E-2</v>
      </c>
      <c r="Y142" s="27">
        <v>-5.9860448035255247E-2</v>
      </c>
      <c r="Z142" s="27">
        <v>2.1679687500000041E-2</v>
      </c>
      <c r="AA142" s="27">
        <v>-3.8998279487669762E-2</v>
      </c>
    </row>
    <row r="143" spans="2:27" hidden="1" x14ac:dyDescent="0.3">
      <c r="B143" s="3">
        <v>4755</v>
      </c>
      <c r="C143" s="3" t="s">
        <v>737</v>
      </c>
      <c r="D143" s="3" t="str">
        <f>VLOOKUP(B143,기업리스트!B:G,2,FALSE)</f>
        <v>Rakuten Group, Inc.</v>
      </c>
      <c r="E143" s="3" t="s">
        <v>743</v>
      </c>
      <c r="F143" s="13">
        <v>561.5</v>
      </c>
      <c r="G143" s="4">
        <v>-7473</v>
      </c>
      <c r="H143" s="4">
        <v>-176374</v>
      </c>
      <c r="I143" s="4">
        <v>-112604</v>
      </c>
      <c r="J143" s="4">
        <v>-84471</v>
      </c>
      <c r="K143" s="6">
        <v>-90018</v>
      </c>
      <c r="L143" s="4">
        <v>-49217</v>
      </c>
      <c r="M143" s="4">
        <v>-76194</v>
      </c>
      <c r="N143" s="4">
        <v>-48893</v>
      </c>
      <c r="O143" s="4">
        <v>-54491</v>
      </c>
      <c r="P143" s="4">
        <v>4431</v>
      </c>
      <c r="Q143" s="4">
        <v>-33272</v>
      </c>
      <c r="R143" s="4">
        <v>-18331</v>
      </c>
      <c r="S143" s="4">
        <v>537</v>
      </c>
      <c r="T143" s="4">
        <v>12510</v>
      </c>
      <c r="U143" s="4">
        <v>-10427</v>
      </c>
      <c r="V143" s="4">
        <v>3817</v>
      </c>
      <c r="W143" s="6">
        <v>36682</v>
      </c>
      <c r="X143" s="9">
        <v>-0.1732389835960115</v>
      </c>
      <c r="Y143" s="10">
        <v>-0.59251478369125432</v>
      </c>
      <c r="Z143" s="10">
        <v>-1.409712939978359</v>
      </c>
      <c r="AA143" s="8">
        <v>5.615193413080628</v>
      </c>
    </row>
    <row r="144" spans="2:27" hidden="1" x14ac:dyDescent="0.3">
      <c r="B144" s="3">
        <v>4784</v>
      </c>
      <c r="C144" s="3" t="s">
        <v>737</v>
      </c>
      <c r="D144" s="3" t="str">
        <f>VLOOKUP(B144,기업리스트!B:G,2,FALSE)</f>
        <v>GMO internet, Inc.</v>
      </c>
      <c r="E144" s="3" t="s">
        <v>743</v>
      </c>
      <c r="F144" s="13">
        <v>65</v>
      </c>
      <c r="G144" s="4">
        <v>6</v>
      </c>
      <c r="H144" s="4">
        <v>104</v>
      </c>
      <c r="I144" s="4">
        <v>303</v>
      </c>
      <c r="J144" s="4">
        <v>219</v>
      </c>
      <c r="K144" s="6">
        <v>207</v>
      </c>
      <c r="L144" s="4">
        <v>-18</v>
      </c>
      <c r="M144" s="4">
        <v>107</v>
      </c>
      <c r="N144" s="4">
        <v>-29</v>
      </c>
      <c r="O144" s="4">
        <v>-91</v>
      </c>
      <c r="P144" s="4">
        <v>-13</v>
      </c>
      <c r="Q144" s="6">
        <v>71</v>
      </c>
      <c r="R144" s="6">
        <v>-192</v>
      </c>
      <c r="S144" s="4">
        <v>83</v>
      </c>
      <c r="T144" s="4">
        <v>178</v>
      </c>
      <c r="U144" s="6">
        <v>1633</v>
      </c>
      <c r="V144" s="6">
        <v>1628</v>
      </c>
      <c r="W144" s="6">
        <v>2373</v>
      </c>
      <c r="X144" s="9">
        <v>-3.7450980392156858</v>
      </c>
      <c r="Y144" s="8">
        <v>11.15714285714286</v>
      </c>
      <c r="Z144" s="8">
        <v>1.069330199764982</v>
      </c>
      <c r="AA144" s="8">
        <v>0.65019875070982391</v>
      </c>
    </row>
    <row r="145" spans="2:27" x14ac:dyDescent="0.3">
      <c r="B145" s="12">
        <v>5711</v>
      </c>
      <c r="C145" s="3" t="s">
        <v>737</v>
      </c>
      <c r="D145" s="3" t="str">
        <f>VLOOKUP(B145,기업리스트!B:G,2,FALSE)</f>
        <v>Mitsubishi Materials Corporation</v>
      </c>
      <c r="E145" s="3" t="s">
        <v>691</v>
      </c>
      <c r="F145" s="13">
        <v>57.2</v>
      </c>
      <c r="G145" s="51">
        <v>10281</v>
      </c>
      <c r="H145" s="51">
        <v>13389</v>
      </c>
      <c r="I145" s="51">
        <v>13925</v>
      </c>
      <c r="J145" s="51">
        <v>15635</v>
      </c>
      <c r="K145" s="51">
        <v>8415</v>
      </c>
      <c r="L145" s="51">
        <v>12101</v>
      </c>
      <c r="M145" s="51">
        <v>3792</v>
      </c>
      <c r="N145" s="51">
        <v>8160</v>
      </c>
      <c r="O145" s="51">
        <v>3459</v>
      </c>
      <c r="P145" s="51">
        <v>7866</v>
      </c>
      <c r="Q145" s="52">
        <v>12811</v>
      </c>
      <c r="R145" s="52">
        <v>14771</v>
      </c>
      <c r="S145" s="51">
        <v>4715</v>
      </c>
      <c r="T145" s="51">
        <v>4822</v>
      </c>
      <c r="U145" s="51">
        <v>-2641</v>
      </c>
      <c r="V145" s="51">
        <v>13591</v>
      </c>
      <c r="W145" s="52">
        <v>16430</v>
      </c>
      <c r="X145" s="9">
        <v>-7.5791151059432793E-2</v>
      </c>
      <c r="Y145" s="10">
        <v>-0.41628276623831462</v>
      </c>
      <c r="Z145" s="10">
        <v>-5.446070060460606E-2</v>
      </c>
      <c r="AA145" s="8">
        <v>0.57182603602284376</v>
      </c>
    </row>
    <row r="146" spans="2:27" x14ac:dyDescent="0.3">
      <c r="B146" s="12">
        <v>7222</v>
      </c>
      <c r="C146" s="3" t="s">
        <v>737</v>
      </c>
      <c r="D146" s="3" t="str">
        <f>VLOOKUP(B146,기업리스트!B:G,2,FALSE)</f>
        <v>Nissan Shatai Co., Ltd.</v>
      </c>
      <c r="E146" s="3" t="s">
        <v>709</v>
      </c>
      <c r="F146" s="13">
        <v>38.1</v>
      </c>
      <c r="G146" s="51">
        <v>-596</v>
      </c>
      <c r="H146" s="51">
        <v>-4283</v>
      </c>
      <c r="I146" s="51">
        <v>1283</v>
      </c>
      <c r="J146" s="51">
        <v>-1759</v>
      </c>
      <c r="K146" s="51">
        <v>719</v>
      </c>
      <c r="L146" s="51">
        <v>2577</v>
      </c>
      <c r="M146" s="52">
        <v>2847</v>
      </c>
      <c r="N146" s="52">
        <v>60</v>
      </c>
      <c r="O146" s="51">
        <v>430</v>
      </c>
      <c r="P146" s="51">
        <v>2503</v>
      </c>
      <c r="Q146" s="51">
        <v>-2025</v>
      </c>
      <c r="R146" s="51">
        <v>-2023</v>
      </c>
      <c r="S146" s="52">
        <v>-247</v>
      </c>
      <c r="T146" s="51">
        <v>4497</v>
      </c>
      <c r="U146" s="52">
        <v>2877</v>
      </c>
      <c r="V146" s="52">
        <v>2208</v>
      </c>
      <c r="W146" s="52">
        <v>3309</v>
      </c>
      <c r="X146" s="9">
        <v>-1.112723214285714</v>
      </c>
      <c r="Y146" s="8">
        <v>24.267326732673268</v>
      </c>
      <c r="Z146" s="8">
        <v>0.82895768025078365</v>
      </c>
      <c r="AA146" s="8">
        <v>0.38093197643277987</v>
      </c>
    </row>
    <row r="147" spans="2:27" hidden="1" x14ac:dyDescent="0.3">
      <c r="B147" s="3">
        <v>4912</v>
      </c>
      <c r="C147" s="3" t="s">
        <v>737</v>
      </c>
      <c r="D147" s="3" t="str">
        <f>VLOOKUP(B147,기업리스트!B:G,2,FALSE)</f>
        <v>Lion Corporation</v>
      </c>
      <c r="E147" s="3" t="s">
        <v>743</v>
      </c>
      <c r="F147" s="13">
        <v>37.9</v>
      </c>
      <c r="G147" s="4">
        <v>11291</v>
      </c>
      <c r="H147" s="4">
        <v>6332</v>
      </c>
      <c r="I147" s="4">
        <v>10491</v>
      </c>
      <c r="J147" s="4">
        <v>3779</v>
      </c>
      <c r="K147" s="4">
        <v>8130</v>
      </c>
      <c r="L147" s="4">
        <v>2341</v>
      </c>
      <c r="M147" s="4">
        <v>2363</v>
      </c>
      <c r="N147" s="4">
        <v>3884</v>
      </c>
      <c r="O147" s="4">
        <v>6268</v>
      </c>
      <c r="P147" s="6">
        <v>9600</v>
      </c>
      <c r="Q147" s="6">
        <v>4894</v>
      </c>
      <c r="R147" s="6">
        <v>8465</v>
      </c>
      <c r="S147" s="4">
        <v>3752</v>
      </c>
      <c r="T147" s="4">
        <v>11080</v>
      </c>
      <c r="U147" s="4">
        <v>5636</v>
      </c>
      <c r="V147" s="4">
        <v>7744</v>
      </c>
      <c r="W147" s="6">
        <v>14449</v>
      </c>
      <c r="X147" s="9">
        <v>5.5407884392197897E-2</v>
      </c>
      <c r="Y147" s="10">
        <v>2.6320456883402569E-2</v>
      </c>
      <c r="Z147" s="10">
        <v>-2.4919641931358649E-2</v>
      </c>
      <c r="AA147" s="8">
        <v>0.37916489437118961</v>
      </c>
    </row>
    <row r="148" spans="2:27" x14ac:dyDescent="0.3">
      <c r="B148" s="12">
        <v>1762</v>
      </c>
      <c r="C148" s="3" t="s">
        <v>737</v>
      </c>
      <c r="D148" s="3" t="str">
        <f>VLOOKUP(B148,기업리스트!B:G,2,FALSE)</f>
        <v>Takamatsu Construction Group Co., Ltd.</v>
      </c>
      <c r="E148" s="3" t="s">
        <v>709</v>
      </c>
      <c r="F148" s="13">
        <v>34.299999999999997</v>
      </c>
      <c r="G148" s="51">
        <v>1692</v>
      </c>
      <c r="H148" s="51">
        <v>3670</v>
      </c>
      <c r="I148" s="51">
        <v>4426</v>
      </c>
      <c r="J148" s="51">
        <v>391</v>
      </c>
      <c r="K148" s="51">
        <v>2440</v>
      </c>
      <c r="L148" s="51">
        <v>4041</v>
      </c>
      <c r="M148" s="51">
        <v>5168</v>
      </c>
      <c r="N148" s="51">
        <v>808</v>
      </c>
      <c r="O148" s="51">
        <v>2531</v>
      </c>
      <c r="P148" s="51">
        <v>3257</v>
      </c>
      <c r="Q148" s="51">
        <v>5056</v>
      </c>
      <c r="R148" s="51">
        <v>983</v>
      </c>
      <c r="S148" s="51">
        <v>1606</v>
      </c>
      <c r="T148" s="51">
        <v>4251</v>
      </c>
      <c r="U148" s="51">
        <v>4620</v>
      </c>
      <c r="V148" s="51">
        <v>1998</v>
      </c>
      <c r="W148" s="52">
        <v>5882</v>
      </c>
      <c r="X148" s="9">
        <v>9.1175931021830747E-2</v>
      </c>
      <c r="Y148" s="10">
        <v>-3.6650975117686668E-2</v>
      </c>
      <c r="Z148" s="10">
        <v>8.8568935427574269E-2</v>
      </c>
      <c r="AA148" s="8">
        <v>0.34276553106212432</v>
      </c>
    </row>
    <row r="149" spans="2:27" x14ac:dyDescent="0.3">
      <c r="B149" s="12">
        <v>9409</v>
      </c>
      <c r="C149" s="3" t="s">
        <v>737</v>
      </c>
      <c r="D149" s="3" t="str">
        <f>VLOOKUP(B149,기업리스트!B:G,2,FALSE)</f>
        <v>TV Asahi Holdings Corporation</v>
      </c>
      <c r="E149" s="3" t="s">
        <v>709</v>
      </c>
      <c r="F149" s="13">
        <v>26.9</v>
      </c>
      <c r="G149" s="51">
        <v>1190</v>
      </c>
      <c r="H149" s="51">
        <v>7950</v>
      </c>
      <c r="I149" s="51">
        <v>5079</v>
      </c>
      <c r="J149" s="51">
        <v>5315</v>
      </c>
      <c r="K149" s="51">
        <v>2026</v>
      </c>
      <c r="L149" s="51">
        <v>5883</v>
      </c>
      <c r="M149" s="51">
        <v>1280</v>
      </c>
      <c r="N149" s="51">
        <v>3708</v>
      </c>
      <c r="O149" s="51">
        <v>629</v>
      </c>
      <c r="P149" s="51">
        <v>4914</v>
      </c>
      <c r="Q149" s="52">
        <v>3087</v>
      </c>
      <c r="R149" s="51">
        <v>4765</v>
      </c>
      <c r="S149" s="51">
        <v>1283</v>
      </c>
      <c r="T149" s="52">
        <v>7071</v>
      </c>
      <c r="U149" s="52">
        <v>6586</v>
      </c>
      <c r="V149" s="52">
        <v>7297</v>
      </c>
      <c r="W149" s="52">
        <v>7273</v>
      </c>
      <c r="X149" s="7">
        <v>0.1535340593636558</v>
      </c>
      <c r="Y149" s="8">
        <v>0.2159076885104283</v>
      </c>
      <c r="Z149" s="8">
        <v>0.12849530575995941</v>
      </c>
      <c r="AA149" s="8">
        <v>0.26937086837253221</v>
      </c>
    </row>
    <row r="150" spans="2:27" hidden="1" x14ac:dyDescent="0.3">
      <c r="B150" s="3">
        <v>4776</v>
      </c>
      <c r="C150" s="3" t="s">
        <v>737</v>
      </c>
      <c r="D150" s="3" t="str">
        <f>VLOOKUP(B150,기업리스트!B:G,2,FALSE)</f>
        <v>Cybozu, Inc.</v>
      </c>
      <c r="E150" s="3" t="s">
        <v>743</v>
      </c>
      <c r="F150" s="13">
        <v>20.399999999999999</v>
      </c>
      <c r="G150" s="4">
        <v>438</v>
      </c>
      <c r="H150" s="4">
        <v>-418</v>
      </c>
      <c r="I150" s="4">
        <v>314</v>
      </c>
      <c r="J150" s="4">
        <v>9</v>
      </c>
      <c r="K150" s="6">
        <v>531</v>
      </c>
      <c r="L150" s="6">
        <v>-243</v>
      </c>
      <c r="M150" s="6">
        <v>1240</v>
      </c>
      <c r="N150" s="6">
        <v>792</v>
      </c>
      <c r="O150" s="6">
        <v>1092</v>
      </c>
      <c r="P150" s="6">
        <v>270</v>
      </c>
      <c r="Q150" s="4">
        <v>1311</v>
      </c>
      <c r="R150" s="4">
        <v>937</v>
      </c>
      <c r="S150" s="4">
        <v>1211</v>
      </c>
      <c r="T150" s="6">
        <v>1434</v>
      </c>
      <c r="U150" s="6">
        <v>2615</v>
      </c>
      <c r="V150" s="6">
        <v>2549</v>
      </c>
      <c r="W150" s="6">
        <v>2805</v>
      </c>
      <c r="X150" s="7">
        <v>0.3121480289621883</v>
      </c>
      <c r="Y150" s="8">
        <v>0.26650316779072147</v>
      </c>
      <c r="Z150" s="8">
        <v>0.26012586735517179</v>
      </c>
      <c r="AA150" s="8">
        <v>0.2041234473043925</v>
      </c>
    </row>
    <row r="151" spans="2:27" hidden="1" x14ac:dyDescent="0.3">
      <c r="B151" s="3">
        <v>6278</v>
      </c>
      <c r="C151" s="3" t="s">
        <v>737</v>
      </c>
      <c r="D151" s="3" t="str">
        <f>VLOOKUP(B151,기업리스트!B:G,2,FALSE)</f>
        <v>Union Tool Co.</v>
      </c>
      <c r="E151" s="3" t="s">
        <v>743</v>
      </c>
      <c r="F151" s="13">
        <v>16.100000000000001</v>
      </c>
      <c r="G151" s="4">
        <v>1602</v>
      </c>
      <c r="H151" s="4">
        <v>1528</v>
      </c>
      <c r="I151" s="4">
        <v>1557</v>
      </c>
      <c r="J151" s="4">
        <v>1943</v>
      </c>
      <c r="K151" s="4">
        <v>1984</v>
      </c>
      <c r="L151" s="4">
        <v>663</v>
      </c>
      <c r="M151" s="4">
        <v>944</v>
      </c>
      <c r="N151" s="4">
        <v>1084</v>
      </c>
      <c r="O151" s="4">
        <v>976</v>
      </c>
      <c r="P151" s="4">
        <v>731</v>
      </c>
      <c r="Q151" s="6">
        <v>1415</v>
      </c>
      <c r="R151" s="6">
        <v>1676</v>
      </c>
      <c r="S151" s="4">
        <v>1142</v>
      </c>
      <c r="T151" s="6">
        <v>2611</v>
      </c>
      <c r="U151" s="6">
        <v>2203</v>
      </c>
      <c r="V151" s="4">
        <v>1968</v>
      </c>
      <c r="W151" s="6">
        <v>2416</v>
      </c>
      <c r="X151" s="7">
        <v>0.378726833199033</v>
      </c>
      <c r="Y151" s="8">
        <v>0.1151373465809469</v>
      </c>
      <c r="Z151" s="10">
        <v>3.8259958071278799E-2</v>
      </c>
      <c r="AA151" s="8">
        <v>0.16077738515901061</v>
      </c>
    </row>
    <row r="152" spans="2:27" x14ac:dyDescent="0.3">
      <c r="B152" s="12">
        <v>5831</v>
      </c>
      <c r="C152" s="3" t="s">
        <v>737</v>
      </c>
      <c r="D152" s="3" t="str">
        <f>VLOOKUP(B152,기업리스트!B:G,2,FALSE)</f>
        <v>Shizuoka Financial Group,Inc.</v>
      </c>
      <c r="E152" s="3" t="s">
        <v>709</v>
      </c>
      <c r="F152" s="13">
        <v>13</v>
      </c>
      <c r="G152" s="51">
        <v>19062</v>
      </c>
      <c r="H152" s="51">
        <v>17203</v>
      </c>
      <c r="I152" s="51">
        <v>2789</v>
      </c>
      <c r="J152" s="51">
        <v>19183</v>
      </c>
      <c r="K152" s="51">
        <v>19709</v>
      </c>
      <c r="L152" s="51">
        <v>16804</v>
      </c>
      <c r="M152" s="52">
        <v>17623</v>
      </c>
      <c r="N152" s="51">
        <v>23268</v>
      </c>
      <c r="O152" s="51">
        <v>12845</v>
      </c>
      <c r="P152" s="51">
        <v>19923</v>
      </c>
      <c r="Q152" s="51">
        <v>23453</v>
      </c>
      <c r="R152" s="51">
        <v>28994</v>
      </c>
      <c r="S152" s="51">
        <v>19991</v>
      </c>
      <c r="T152" s="51">
        <v>24390</v>
      </c>
      <c r="U152" s="51">
        <v>31255</v>
      </c>
      <c r="V152" s="51">
        <v>31391</v>
      </c>
      <c r="W152" s="52">
        <v>33863</v>
      </c>
      <c r="X152" s="9">
        <v>4.8364569461136098E-2</v>
      </c>
      <c r="Y152" s="10">
        <v>8.0575866484901004E-2</v>
      </c>
      <c r="Z152" s="10">
        <v>2.2909299436108199E-2</v>
      </c>
      <c r="AA152" s="8">
        <v>0.12961215394246309</v>
      </c>
    </row>
    <row r="153" spans="2:27" x14ac:dyDescent="0.3">
      <c r="B153" s="12">
        <v>3465</v>
      </c>
      <c r="C153" s="3" t="s">
        <v>737</v>
      </c>
      <c r="D153" s="3" t="str">
        <f>VLOOKUP(B153,기업리스트!B:G,2,FALSE)</f>
        <v>Ki-Star Real Estate Co.,Ltd</v>
      </c>
      <c r="E153" s="3" t="s">
        <v>709</v>
      </c>
      <c r="F153" s="13">
        <v>12.5</v>
      </c>
      <c r="G153" s="51">
        <v>7138</v>
      </c>
      <c r="H153" s="51">
        <v>5747</v>
      </c>
      <c r="I153" s="51">
        <v>5500</v>
      </c>
      <c r="J153" s="51">
        <v>5074</v>
      </c>
      <c r="K153" s="51">
        <v>5296</v>
      </c>
      <c r="L153" s="51">
        <v>4313</v>
      </c>
      <c r="M153" s="51">
        <v>4507</v>
      </c>
      <c r="N153" s="51">
        <v>2503</v>
      </c>
      <c r="O153" s="51">
        <v>2139</v>
      </c>
      <c r="P153" s="51">
        <v>3243</v>
      </c>
      <c r="Q153" s="51">
        <v>3477</v>
      </c>
      <c r="R153" s="51">
        <v>2635</v>
      </c>
      <c r="S153" s="52">
        <v>4357</v>
      </c>
      <c r="T153" s="51">
        <v>4432</v>
      </c>
      <c r="U153" s="52">
        <v>5831</v>
      </c>
      <c r="V153" s="52">
        <v>4508</v>
      </c>
      <c r="W153" s="52">
        <v>6739</v>
      </c>
      <c r="X153" s="9">
        <v>8.671236872812127E-2</v>
      </c>
      <c r="Y153" s="8">
        <v>0.15797597476679409</v>
      </c>
      <c r="Z153" s="8">
        <v>0.1085482468849608</v>
      </c>
      <c r="AA153" s="8">
        <v>0.1245294855708909</v>
      </c>
    </row>
    <row r="154" spans="2:27" hidden="1" x14ac:dyDescent="0.3">
      <c r="B154" s="3">
        <v>4971</v>
      </c>
      <c r="C154" s="3" t="s">
        <v>737</v>
      </c>
      <c r="D154" s="3" t="str">
        <f>VLOOKUP(B154,기업리스트!B:G,2,FALSE)</f>
        <v>MEC Company Ltd.</v>
      </c>
      <c r="E154" s="3" t="s">
        <v>743</v>
      </c>
      <c r="F154" s="13">
        <v>11.2</v>
      </c>
      <c r="G154" s="4">
        <v>1204</v>
      </c>
      <c r="H154" s="4">
        <v>787</v>
      </c>
      <c r="I154" s="4">
        <v>1052</v>
      </c>
      <c r="J154" s="4">
        <v>1032</v>
      </c>
      <c r="K154" s="4">
        <v>1035</v>
      </c>
      <c r="L154" s="4">
        <v>886</v>
      </c>
      <c r="M154" s="4">
        <v>169</v>
      </c>
      <c r="N154" s="4">
        <v>670</v>
      </c>
      <c r="O154" s="4">
        <v>833</v>
      </c>
      <c r="P154" s="4">
        <v>821</v>
      </c>
      <c r="Q154" s="6">
        <v>1053</v>
      </c>
      <c r="R154" s="6">
        <v>1310</v>
      </c>
      <c r="S154" s="6">
        <v>1286</v>
      </c>
      <c r="T154" s="4">
        <v>913.79</v>
      </c>
      <c r="U154" s="4">
        <v>1094</v>
      </c>
      <c r="V154" s="4">
        <v>1347</v>
      </c>
      <c r="W154" s="6">
        <v>1807</v>
      </c>
      <c r="X154" s="9">
        <v>2.0758389261744888E-2</v>
      </c>
      <c r="Y154" s="10">
        <v>8.9857302220790469E-3</v>
      </c>
      <c r="Z154" s="10">
        <v>8.0368565898965016E-3</v>
      </c>
      <c r="AA154" s="8">
        <v>0.11226536861180959</v>
      </c>
    </row>
    <row r="155" spans="2:27" hidden="1" x14ac:dyDescent="0.3">
      <c r="B155" s="3">
        <v>8804</v>
      </c>
      <c r="C155" s="3" t="s">
        <v>737</v>
      </c>
      <c r="D155" s="3" t="str">
        <f>VLOOKUP(B155,기업리스트!B:G,2,FALSE)</f>
        <v>Tokyo Tatemono Co., Ltd.</v>
      </c>
      <c r="E155" s="3" t="s">
        <v>743</v>
      </c>
      <c r="F155" s="13">
        <v>11</v>
      </c>
      <c r="G155" s="4">
        <v>11318</v>
      </c>
      <c r="H155" s="4">
        <v>17152</v>
      </c>
      <c r="I155" s="4">
        <v>25506</v>
      </c>
      <c r="J155" s="4">
        <v>22722</v>
      </c>
      <c r="K155" s="4">
        <v>6823</v>
      </c>
      <c r="L155" s="4">
        <v>9428</v>
      </c>
      <c r="M155" s="4">
        <v>27290</v>
      </c>
      <c r="N155" s="4">
        <v>8761</v>
      </c>
      <c r="O155" s="4">
        <v>7028</v>
      </c>
      <c r="P155" s="6">
        <v>27430</v>
      </c>
      <c r="Q155" s="4">
        <v>19168</v>
      </c>
      <c r="R155" s="6">
        <v>32069</v>
      </c>
      <c r="S155" s="4">
        <v>10400</v>
      </c>
      <c r="T155" s="4">
        <v>18034</v>
      </c>
      <c r="U155" s="4">
        <v>17136</v>
      </c>
      <c r="V155" s="4">
        <v>10427</v>
      </c>
      <c r="W155" s="6">
        <v>16565</v>
      </c>
      <c r="X155" s="9">
        <v>-0.1054936171646064</v>
      </c>
      <c r="Y155" s="10">
        <v>-2.550488885541791E-2</v>
      </c>
      <c r="Z155" s="10">
        <v>-0.27875165831605248</v>
      </c>
      <c r="AA155" s="8">
        <v>0.1100951836705537</v>
      </c>
    </row>
    <row r="156" spans="2:27" x14ac:dyDescent="0.3">
      <c r="B156" s="12">
        <v>2264</v>
      </c>
      <c r="C156" s="3" t="s">
        <v>737</v>
      </c>
      <c r="D156" s="3" t="str">
        <f>VLOOKUP(B156,기업리스트!B:G,2,FALSE)</f>
        <v>Morinaga Milk Industry Co., Ltd.</v>
      </c>
      <c r="E156" s="3" t="s">
        <v>709</v>
      </c>
      <c r="F156" s="13">
        <v>10.5</v>
      </c>
      <c r="G156" s="51">
        <v>10876</v>
      </c>
      <c r="H156" s="51">
        <v>6883</v>
      </c>
      <c r="I156" s="51">
        <v>2179</v>
      </c>
      <c r="J156" s="51">
        <v>6290</v>
      </c>
      <c r="K156" s="51">
        <v>8331</v>
      </c>
      <c r="L156" s="51">
        <v>5840</v>
      </c>
      <c r="M156" s="51">
        <v>3479</v>
      </c>
      <c r="N156" s="52">
        <v>9646</v>
      </c>
      <c r="O156" s="52">
        <v>11211</v>
      </c>
      <c r="P156" s="51">
        <v>7159</v>
      </c>
      <c r="Q156" s="51">
        <v>-176</v>
      </c>
      <c r="R156" s="51">
        <v>8473</v>
      </c>
      <c r="S156" s="51">
        <v>9027</v>
      </c>
      <c r="T156" s="51">
        <v>6079</v>
      </c>
      <c r="U156" s="52">
        <v>4168</v>
      </c>
      <c r="V156" s="51">
        <v>8836</v>
      </c>
      <c r="W156" s="52">
        <v>11970</v>
      </c>
      <c r="X156" s="9">
        <v>-4.4112241146918252E-2</v>
      </c>
      <c r="Y156" s="8">
        <v>0.18561722856044091</v>
      </c>
      <c r="Z156" s="10">
        <v>1.3082495404908689E-2</v>
      </c>
      <c r="AA156" s="8">
        <v>0.1046958377801495</v>
      </c>
    </row>
    <row r="157" spans="2:27" x14ac:dyDescent="0.3">
      <c r="B157" s="12">
        <v>8795</v>
      </c>
      <c r="C157" s="3" t="s">
        <v>737</v>
      </c>
      <c r="D157" s="3" t="str">
        <f>VLOOKUP(B157,기업리스트!B:G,2,FALSE)</f>
        <v>T&amp;D Holdings, Inc.</v>
      </c>
      <c r="E157" s="3" t="s">
        <v>709</v>
      </c>
      <c r="F157" s="13">
        <v>10.199999999999999</v>
      </c>
      <c r="G157" s="51">
        <v>106988</v>
      </c>
      <c r="H157" s="51">
        <v>19939</v>
      </c>
      <c r="I157" s="51">
        <v>-47210</v>
      </c>
      <c r="J157" s="51">
        <v>-30505</v>
      </c>
      <c r="K157" s="52">
        <v>150992</v>
      </c>
      <c r="L157" s="51">
        <v>-185864</v>
      </c>
      <c r="M157" s="51">
        <v>300402</v>
      </c>
      <c r="N157" s="52">
        <v>74604</v>
      </c>
      <c r="O157" s="51">
        <v>70859</v>
      </c>
      <c r="P157" s="52">
        <v>82842</v>
      </c>
      <c r="Q157" s="51">
        <v>99299</v>
      </c>
      <c r="R157" s="51">
        <v>78095</v>
      </c>
      <c r="S157" s="52">
        <v>107028</v>
      </c>
      <c r="T157" s="51">
        <v>97957</v>
      </c>
      <c r="U157" s="51">
        <v>63551</v>
      </c>
      <c r="V157" s="51">
        <v>55970</v>
      </c>
      <c r="W157" s="52">
        <v>140090</v>
      </c>
      <c r="X157" s="9">
        <v>4.1155680927071447E-2</v>
      </c>
      <c r="Y157" s="10">
        <v>-9.3488397636899534E-2</v>
      </c>
      <c r="Z157" s="10">
        <v>-6.3828682374051926E-2</v>
      </c>
      <c r="AA157" s="8">
        <v>0.1018840945930122</v>
      </c>
    </row>
    <row r="158" spans="2:27" x14ac:dyDescent="0.3">
      <c r="B158" s="12">
        <v>8136</v>
      </c>
      <c r="C158" s="3" t="s">
        <v>737</v>
      </c>
      <c r="D158" s="3" t="str">
        <f>VLOOKUP(B158,기업리스트!B:G,2,FALSE)</f>
        <v>Sanrio Company, Ltd.</v>
      </c>
      <c r="E158" s="3" t="s">
        <v>709</v>
      </c>
      <c r="F158" s="13">
        <v>10</v>
      </c>
      <c r="G158" s="51">
        <v>347</v>
      </c>
      <c r="H158" s="51">
        <v>1747</v>
      </c>
      <c r="I158" s="51">
        <v>502</v>
      </c>
      <c r="J158" s="51">
        <v>2384</v>
      </c>
      <c r="K158" s="52">
        <v>2963</v>
      </c>
      <c r="L158" s="52">
        <v>5256</v>
      </c>
      <c r="M158" s="52">
        <v>2645</v>
      </c>
      <c r="N158" s="52">
        <v>5965</v>
      </c>
      <c r="O158" s="52">
        <v>7343</v>
      </c>
      <c r="P158" s="52">
        <v>8083</v>
      </c>
      <c r="Q158" s="52">
        <v>5563</v>
      </c>
      <c r="R158" s="52">
        <v>10747</v>
      </c>
      <c r="S158" s="52">
        <v>12845</v>
      </c>
      <c r="T158" s="52">
        <v>17502</v>
      </c>
      <c r="U158" s="52">
        <v>10712</v>
      </c>
      <c r="V158" s="52">
        <v>20199</v>
      </c>
      <c r="W158" s="52">
        <v>18985</v>
      </c>
      <c r="X158" s="7">
        <v>0.25294054460497351</v>
      </c>
      <c r="Y158" s="8">
        <v>0.1103585742761</v>
      </c>
      <c r="Z158" s="8">
        <v>0.18244990927691759</v>
      </c>
      <c r="AA158" s="8">
        <v>0.10023180645793189</v>
      </c>
    </row>
    <row r="159" spans="2:27" x14ac:dyDescent="0.3">
      <c r="B159" s="12">
        <v>2433</v>
      </c>
      <c r="C159" s="3" t="s">
        <v>737</v>
      </c>
      <c r="D159" s="3" t="str">
        <f>VLOOKUP(B159,기업리스트!B:G,2,FALSE)</f>
        <v>Hakuhodo DY Holdings Inc</v>
      </c>
      <c r="E159" s="3" t="s">
        <v>709</v>
      </c>
      <c r="F159" s="5">
        <v>9.9</v>
      </c>
      <c r="G159" s="51">
        <v>16161</v>
      </c>
      <c r="H159" s="51">
        <v>19310</v>
      </c>
      <c r="I159" s="51">
        <v>24084</v>
      </c>
      <c r="J159" s="51">
        <v>11460</v>
      </c>
      <c r="K159" s="51">
        <v>9066</v>
      </c>
      <c r="L159" s="51">
        <v>15584</v>
      </c>
      <c r="M159" s="51">
        <v>19301</v>
      </c>
      <c r="N159" s="51">
        <v>3770</v>
      </c>
      <c r="O159" s="51">
        <v>-2423</v>
      </c>
      <c r="P159" s="51">
        <v>14283</v>
      </c>
      <c r="Q159" s="51">
        <v>18659</v>
      </c>
      <c r="R159" s="51">
        <v>4209</v>
      </c>
      <c r="S159" s="52">
        <v>4667</v>
      </c>
      <c r="T159" s="51">
        <v>13774</v>
      </c>
      <c r="U159" s="51">
        <v>14932</v>
      </c>
      <c r="V159" s="51">
        <v>2528</v>
      </c>
      <c r="W159" s="51">
        <v>8216</v>
      </c>
      <c r="X159" s="9">
        <v>-1.217179205126984E-2</v>
      </c>
      <c r="Y159" s="10">
        <v>-9.0222469679730799E-2</v>
      </c>
      <c r="Z159" s="10">
        <v>-4.4728859560427818E-2</v>
      </c>
      <c r="AA159" s="10">
        <v>9.885518509233715E-2</v>
      </c>
    </row>
    <row r="160" spans="2:27" hidden="1" x14ac:dyDescent="0.3">
      <c r="B160" s="3">
        <v>4293</v>
      </c>
      <c r="C160" s="3" t="s">
        <v>737</v>
      </c>
      <c r="D160" s="3" t="str">
        <f>VLOOKUP(B160,기업리스트!B:G,2,FALSE)</f>
        <v>Septeni Holdings Co., Ltd.</v>
      </c>
      <c r="E160" s="3" t="s">
        <v>743</v>
      </c>
      <c r="F160" s="5">
        <v>9.8000000000000007</v>
      </c>
      <c r="G160" s="4">
        <v>100</v>
      </c>
      <c r="H160" s="4">
        <v>1940</v>
      </c>
      <c r="I160" s="4">
        <v>1714</v>
      </c>
      <c r="J160" s="4">
        <v>820</v>
      </c>
      <c r="K160" s="6">
        <v>1003</v>
      </c>
      <c r="L160" s="4">
        <v>843</v>
      </c>
      <c r="M160" s="4">
        <v>1221</v>
      </c>
      <c r="N160" s="4">
        <v>221</v>
      </c>
      <c r="O160" s="4">
        <v>739</v>
      </c>
      <c r="P160" s="4">
        <v>0</v>
      </c>
      <c r="Q160" s="4">
        <v>1260</v>
      </c>
      <c r="R160" s="6">
        <v>483</v>
      </c>
      <c r="S160" s="4">
        <v>450.2</v>
      </c>
      <c r="T160" s="6">
        <v>961.13</v>
      </c>
      <c r="U160" s="4">
        <v>1557</v>
      </c>
      <c r="V160" s="4">
        <v>467.63</v>
      </c>
      <c r="W160" s="4">
        <v>785.45</v>
      </c>
      <c r="X160" s="7">
        <v>0.43823180740470558</v>
      </c>
      <c r="Y160" s="10">
        <v>9.415628675503207E-2</v>
      </c>
      <c r="Z160" s="10">
        <v>-4.4533556628894022E-3</v>
      </c>
      <c r="AA160" s="10">
        <v>9.7570984528341453E-2</v>
      </c>
    </row>
    <row r="161" spans="2:27" x14ac:dyDescent="0.3">
      <c r="B161" s="12">
        <v>1820</v>
      </c>
      <c r="C161" s="3" t="s">
        <v>737</v>
      </c>
      <c r="D161" s="3" t="str">
        <f>VLOOKUP(B161,기업리스트!B:G,2,FALSE)</f>
        <v>Nishimatsu Construction Co., Ltd.</v>
      </c>
      <c r="E161" s="3" t="s">
        <v>709</v>
      </c>
      <c r="F161" s="5">
        <v>9.4</v>
      </c>
      <c r="G161" s="51">
        <v>5022</v>
      </c>
      <c r="H161" s="51">
        <v>8766</v>
      </c>
      <c r="I161" s="51">
        <v>4646</v>
      </c>
      <c r="J161" s="51">
        <v>3784</v>
      </c>
      <c r="K161" s="51">
        <v>5927</v>
      </c>
      <c r="L161" s="51">
        <v>2242</v>
      </c>
      <c r="M161" s="51">
        <v>668</v>
      </c>
      <c r="N161" s="51">
        <v>1014</v>
      </c>
      <c r="O161" s="52">
        <v>8898</v>
      </c>
      <c r="P161" s="52">
        <v>4967</v>
      </c>
      <c r="Q161" s="52">
        <v>3640</v>
      </c>
      <c r="R161" s="52">
        <v>4678</v>
      </c>
      <c r="S161" s="51">
        <v>4460</v>
      </c>
      <c r="T161" s="51">
        <v>5144</v>
      </c>
      <c r="U161" s="52">
        <v>6818</v>
      </c>
      <c r="V161" s="51">
        <v>3031</v>
      </c>
      <c r="W161" s="51">
        <v>6292</v>
      </c>
      <c r="X161" s="9">
        <v>9.9746407438714435E-3</v>
      </c>
      <c r="Y161" s="8">
        <v>0.17732395937953349</v>
      </c>
      <c r="Z161" s="10">
        <v>-7.8056872037914671E-2</v>
      </c>
      <c r="AA161" s="10">
        <v>9.4175705546702293E-2</v>
      </c>
    </row>
    <row r="162" spans="2:27" x14ac:dyDescent="0.3">
      <c r="B162" s="12">
        <v>2146</v>
      </c>
      <c r="C162" s="3" t="s">
        <v>737</v>
      </c>
      <c r="D162" s="3" t="str">
        <f>VLOOKUP(B162,기업리스트!B:G,2,FALSE)</f>
        <v>UT Group Co.,Ltd.</v>
      </c>
      <c r="E162" s="3" t="s">
        <v>709</v>
      </c>
      <c r="F162" s="5">
        <v>9.1999999999999993</v>
      </c>
      <c r="G162" s="51">
        <v>1014</v>
      </c>
      <c r="H162" s="51">
        <v>2172</v>
      </c>
      <c r="I162" s="51">
        <v>1814</v>
      </c>
      <c r="J162" s="51">
        <v>3342</v>
      </c>
      <c r="K162" s="52">
        <v>3503</v>
      </c>
      <c r="L162" s="51">
        <v>-1238</v>
      </c>
      <c r="M162" s="52">
        <v>3308</v>
      </c>
      <c r="N162" s="51">
        <v>2793</v>
      </c>
      <c r="O162" s="51">
        <v>2449</v>
      </c>
      <c r="P162" s="52">
        <v>2999</v>
      </c>
      <c r="Q162" s="51">
        <v>1105</v>
      </c>
      <c r="R162" s="51">
        <v>1924</v>
      </c>
      <c r="S162" s="51">
        <v>1681</v>
      </c>
      <c r="T162" s="51">
        <v>2980</v>
      </c>
      <c r="U162" s="51">
        <v>1490</v>
      </c>
      <c r="V162" s="51">
        <v>2464</v>
      </c>
      <c r="W162" s="51">
        <v>2474</v>
      </c>
      <c r="X162" s="9">
        <v>-2.46465170579846E-3</v>
      </c>
      <c r="Y162" s="10">
        <v>5.0065019505851849E-2</v>
      </c>
      <c r="Z162" s="10">
        <v>6.6873065015479849E-2</v>
      </c>
      <c r="AA162" s="10">
        <v>9.2048752176436377E-2</v>
      </c>
    </row>
    <row r="163" spans="2:27" x14ac:dyDescent="0.3">
      <c r="B163" s="12">
        <v>9031</v>
      </c>
      <c r="C163" s="3" t="s">
        <v>737</v>
      </c>
      <c r="D163" s="3" t="str">
        <f>VLOOKUP(B163,기업리스트!B:G,2,FALSE)</f>
        <v>Nishi-Nippon Railroad Co., Ltd.</v>
      </c>
      <c r="E163" s="3" t="s">
        <v>709</v>
      </c>
      <c r="F163" s="5">
        <v>8.8000000000000007</v>
      </c>
      <c r="G163" s="51">
        <v>1317</v>
      </c>
      <c r="H163" s="51">
        <v>6145</v>
      </c>
      <c r="I163" s="51">
        <v>3932</v>
      </c>
      <c r="J163" s="51">
        <v>5472</v>
      </c>
      <c r="K163" s="52">
        <v>6055</v>
      </c>
      <c r="L163" s="51">
        <v>8172</v>
      </c>
      <c r="M163" s="52">
        <v>6453</v>
      </c>
      <c r="N163" s="51">
        <v>5412</v>
      </c>
      <c r="O163" s="51">
        <v>5366</v>
      </c>
      <c r="P163" s="51">
        <v>7543</v>
      </c>
      <c r="Q163" s="51">
        <v>7557</v>
      </c>
      <c r="R163" s="51">
        <v>5920</v>
      </c>
      <c r="S163" s="51">
        <v>6752</v>
      </c>
      <c r="T163" s="51">
        <v>8780</v>
      </c>
      <c r="U163" s="51">
        <v>5204</v>
      </c>
      <c r="V163" s="51">
        <v>4106</v>
      </c>
      <c r="W163" s="51">
        <v>8950</v>
      </c>
      <c r="X163" s="9">
        <v>4.4541264583033202E-2</v>
      </c>
      <c r="Y163" s="10">
        <v>-8.1112758109552208E-2</v>
      </c>
      <c r="Z163" s="10">
        <v>-6.8052220888355386E-2</v>
      </c>
      <c r="AA163" s="10">
        <v>8.847918847113756E-2</v>
      </c>
    </row>
    <row r="164" spans="2:27" x14ac:dyDescent="0.3">
      <c r="B164" s="12">
        <v>2269</v>
      </c>
      <c r="C164" s="3" t="s">
        <v>737</v>
      </c>
      <c r="D164" s="3" t="str">
        <f>VLOOKUP(B164,기업리스트!B:G,2,FALSE)</f>
        <v>Meiji Holdings Co., Ltd.</v>
      </c>
      <c r="E164" s="3" t="s">
        <v>691</v>
      </c>
      <c r="F164" s="5">
        <v>8.6999999999999993</v>
      </c>
      <c r="G164" s="51">
        <v>28682</v>
      </c>
      <c r="H164" s="51">
        <v>13910</v>
      </c>
      <c r="I164" s="51">
        <v>18044</v>
      </c>
      <c r="J164" s="51">
        <v>25150</v>
      </c>
      <c r="K164" s="51">
        <v>21546</v>
      </c>
      <c r="L164" s="51">
        <v>10695</v>
      </c>
      <c r="M164" s="51">
        <v>19498</v>
      </c>
      <c r="N164" s="51">
        <v>24947</v>
      </c>
      <c r="O164" s="51">
        <v>25268</v>
      </c>
      <c r="P164" s="51">
        <v>14609</v>
      </c>
      <c r="Q164" s="51">
        <v>20499</v>
      </c>
      <c r="R164" s="51">
        <v>23895</v>
      </c>
      <c r="S164" s="51">
        <v>22062</v>
      </c>
      <c r="T164" s="51">
        <v>18247</v>
      </c>
      <c r="U164" s="51">
        <v>17751</v>
      </c>
      <c r="V164" s="51">
        <v>23192</v>
      </c>
      <c r="W164" s="51">
        <v>29122</v>
      </c>
      <c r="X164" s="9">
        <v>4.4877567384197903E-2</v>
      </c>
      <c r="Y164" s="10">
        <v>-3.2442770622055923E-2</v>
      </c>
      <c r="Z164" s="10">
        <v>-8.5778781038374774E-3</v>
      </c>
      <c r="AA164" s="10">
        <v>8.6890168857381989E-2</v>
      </c>
    </row>
    <row r="165" spans="2:27" x14ac:dyDescent="0.3">
      <c r="B165" s="12">
        <v>6525</v>
      </c>
      <c r="C165" s="3" t="s">
        <v>737</v>
      </c>
      <c r="D165" s="3" t="str">
        <f>VLOOKUP(B165,기업리스트!B:G,2,FALSE)</f>
        <v>Kokusai Electric Corporation</v>
      </c>
      <c r="E165" s="3" t="s">
        <v>709</v>
      </c>
      <c r="F165" s="5">
        <v>8</v>
      </c>
      <c r="G165" s="51"/>
      <c r="H165" s="51"/>
      <c r="I165" s="51"/>
      <c r="J165" s="51"/>
      <c r="K165" s="51"/>
      <c r="L165" s="51"/>
      <c r="M165" s="51">
        <v>11146</v>
      </c>
      <c r="N165" s="51">
        <v>3990</v>
      </c>
      <c r="O165" s="51">
        <v>9383</v>
      </c>
      <c r="P165" s="51">
        <v>10689</v>
      </c>
      <c r="Q165" s="51">
        <v>6828</v>
      </c>
      <c r="R165" s="52">
        <v>17878</v>
      </c>
      <c r="S165" s="51">
        <v>9562</v>
      </c>
      <c r="T165" s="51">
        <v>12274</v>
      </c>
      <c r="U165" s="52">
        <v>11515</v>
      </c>
      <c r="V165" s="51">
        <v>9717</v>
      </c>
      <c r="W165" s="51">
        <v>12993</v>
      </c>
      <c r="X165" s="9">
        <v>3.525591120403937E-2</v>
      </c>
      <c r="Y165" s="8">
        <v>0.1007047398049075</v>
      </c>
      <c r="Z165" s="10">
        <v>-0.15930430029865891</v>
      </c>
      <c r="AA165" s="10">
        <v>7.9664716262654478E-2</v>
      </c>
    </row>
    <row r="166" spans="2:27" x14ac:dyDescent="0.3">
      <c r="B166" s="12">
        <v>3769</v>
      </c>
      <c r="C166" s="3" t="s">
        <v>737</v>
      </c>
      <c r="D166" s="3" t="str">
        <f>VLOOKUP(B166,기업리스트!B:G,2,FALSE)</f>
        <v>GMO Payment Gateway, Inc.</v>
      </c>
      <c r="E166" s="3" t="s">
        <v>673</v>
      </c>
      <c r="F166" s="5">
        <v>7.7</v>
      </c>
      <c r="G166" s="51">
        <v>3092</v>
      </c>
      <c r="H166" s="51">
        <v>4116</v>
      </c>
      <c r="I166" s="51">
        <v>4159</v>
      </c>
      <c r="J166" s="51">
        <v>4512</v>
      </c>
      <c r="K166" s="51">
        <v>3508</v>
      </c>
      <c r="L166" s="51">
        <v>5091</v>
      </c>
      <c r="M166" s="51">
        <v>5260</v>
      </c>
      <c r="N166" s="51">
        <v>5672</v>
      </c>
      <c r="O166" s="51">
        <v>4362</v>
      </c>
      <c r="P166" s="51">
        <v>5829</v>
      </c>
      <c r="Q166" s="51">
        <v>6822</v>
      </c>
      <c r="R166" s="51">
        <v>6866</v>
      </c>
      <c r="S166" s="51">
        <v>5701</v>
      </c>
      <c r="T166" s="51">
        <v>7254</v>
      </c>
      <c r="U166" s="51">
        <v>8060</v>
      </c>
      <c r="V166" s="51">
        <v>8131</v>
      </c>
      <c r="W166" s="51">
        <v>7933</v>
      </c>
      <c r="X166" s="9">
        <v>5.6507256721389558E-2</v>
      </c>
      <c r="Y166" s="10">
        <v>4.6466238786923457E-2</v>
      </c>
      <c r="Z166" s="10">
        <v>4.5371399878053158E-2</v>
      </c>
      <c r="AA166" s="10">
        <v>7.6579976669182814E-2</v>
      </c>
    </row>
    <row r="167" spans="2:27" x14ac:dyDescent="0.3">
      <c r="B167" s="12">
        <v>8051</v>
      </c>
      <c r="C167" s="3" t="s">
        <v>737</v>
      </c>
      <c r="D167" s="3" t="str">
        <f>VLOOKUP(B167,기업리스트!B:G,2,FALSE)</f>
        <v>Yamazen Corporation</v>
      </c>
      <c r="E167" s="3" t="s">
        <v>709</v>
      </c>
      <c r="F167" s="5">
        <v>7.7</v>
      </c>
      <c r="G167" s="51">
        <v>4007</v>
      </c>
      <c r="H167" s="51">
        <v>4810</v>
      </c>
      <c r="I167" s="51">
        <v>4837</v>
      </c>
      <c r="J167" s="51">
        <v>3401</v>
      </c>
      <c r="K167" s="51">
        <v>4748</v>
      </c>
      <c r="L167" s="51">
        <v>3989</v>
      </c>
      <c r="M167" s="51">
        <v>4426</v>
      </c>
      <c r="N167" s="51">
        <v>2453</v>
      </c>
      <c r="O167" s="51">
        <v>2418</v>
      </c>
      <c r="P167" s="51">
        <v>2672</v>
      </c>
      <c r="Q167" s="51">
        <v>2345</v>
      </c>
      <c r="R167" s="51">
        <v>871</v>
      </c>
      <c r="S167" s="51">
        <v>2571</v>
      </c>
      <c r="T167" s="51">
        <v>2609</v>
      </c>
      <c r="U167" s="52">
        <v>3486</v>
      </c>
      <c r="V167" s="51">
        <v>1733</v>
      </c>
      <c r="W167" s="51">
        <v>3376</v>
      </c>
      <c r="X167" s="9">
        <v>-7.4476888521102236E-3</v>
      </c>
      <c r="Y167" s="8">
        <v>0.13589804668889949</v>
      </c>
      <c r="Z167" s="10">
        <v>9.0384817028415609E-2</v>
      </c>
      <c r="AA167" s="10">
        <v>7.7411289547071771E-2</v>
      </c>
    </row>
    <row r="168" spans="2:27" x14ac:dyDescent="0.3">
      <c r="B168" s="12" t="s">
        <v>759</v>
      </c>
      <c r="C168" s="3" t="s">
        <v>737</v>
      </c>
      <c r="D168" s="3" t="str">
        <f>VLOOKUP(B168,기업리스트!B:G,2,FALSE)</f>
        <v>Kioxia Holdings Corporation</v>
      </c>
      <c r="E168" s="3" t="s">
        <v>691</v>
      </c>
      <c r="F168" s="5">
        <v>7.1</v>
      </c>
      <c r="G168" s="51">
        <v>72200</v>
      </c>
      <c r="H168" s="51">
        <v>30928</v>
      </c>
      <c r="I168" s="51">
        <v>85100</v>
      </c>
      <c r="J168" s="51">
        <v>53400</v>
      </c>
      <c r="K168" s="51">
        <v>93300</v>
      </c>
      <c r="L168" s="51">
        <v>-330815</v>
      </c>
      <c r="M168" s="52">
        <v>-130800</v>
      </c>
      <c r="N168" s="52">
        <v>-100800</v>
      </c>
      <c r="O168" s="52">
        <v>-65000</v>
      </c>
      <c r="P168" s="51">
        <v>43902</v>
      </c>
      <c r="Q168" s="51">
        <v>99800</v>
      </c>
      <c r="R168" s="51">
        <v>192091</v>
      </c>
      <c r="S168" s="52">
        <v>122715</v>
      </c>
      <c r="T168" s="51">
        <v>30040</v>
      </c>
      <c r="U168" s="51">
        <v>44899</v>
      </c>
      <c r="V168" s="51">
        <v>85921</v>
      </c>
      <c r="W168" s="51">
        <v>142754</v>
      </c>
      <c r="X168" s="9">
        <v>-3.023284217505473E-2</v>
      </c>
      <c r="Y168" s="10">
        <v>-0.12347125578550119</v>
      </c>
      <c r="Z168" s="10">
        <v>-0.27240888273101649</v>
      </c>
      <c r="AA168" s="10">
        <v>7.0665608745481778E-2</v>
      </c>
    </row>
    <row r="169" spans="2:27" hidden="1" x14ac:dyDescent="0.3">
      <c r="B169" s="3">
        <v>4812</v>
      </c>
      <c r="C169" s="3" t="s">
        <v>737</v>
      </c>
      <c r="D169" s="3" t="str">
        <f>VLOOKUP(B169,기업리스트!B:G,2,FALSE)</f>
        <v>Dentsu Soken Inc.</v>
      </c>
      <c r="E169" s="3" t="s">
        <v>743</v>
      </c>
      <c r="F169" s="5">
        <v>7.1</v>
      </c>
      <c r="G169" s="4">
        <v>2921</v>
      </c>
      <c r="H169" s="4">
        <v>4198</v>
      </c>
      <c r="I169" s="4">
        <v>5292</v>
      </c>
      <c r="J169" s="4">
        <v>4314</v>
      </c>
      <c r="K169" s="4">
        <v>4552</v>
      </c>
      <c r="L169" s="4">
        <v>4406</v>
      </c>
      <c r="M169" s="4">
        <v>5677</v>
      </c>
      <c r="N169" s="4">
        <v>4976</v>
      </c>
      <c r="O169" s="4">
        <v>4899</v>
      </c>
      <c r="P169" s="4">
        <v>5477</v>
      </c>
      <c r="Q169" s="4">
        <v>5757</v>
      </c>
      <c r="R169" s="4">
        <v>4604</v>
      </c>
      <c r="S169" s="4">
        <v>4102</v>
      </c>
      <c r="T169" s="4">
        <v>6577</v>
      </c>
      <c r="U169" s="4">
        <v>5779</v>
      </c>
      <c r="V169" s="4">
        <v>4884</v>
      </c>
      <c r="W169" s="4">
        <v>5614</v>
      </c>
      <c r="X169" s="9">
        <v>5.5165496489468342E-2</v>
      </c>
      <c r="Y169" s="10">
        <v>1.0456273764258841E-3</v>
      </c>
      <c r="Z169" s="10">
        <v>1.3294084132561061E-2</v>
      </c>
      <c r="AA169" s="10">
        <v>7.0846218723643606E-2</v>
      </c>
    </row>
    <row r="170" spans="2:27" x14ac:dyDescent="0.3">
      <c r="B170" s="12">
        <v>5036</v>
      </c>
      <c r="C170" s="3" t="s">
        <v>737</v>
      </c>
      <c r="D170" s="3" t="str">
        <f>VLOOKUP(B170,기업리스트!B:G,2,FALSE)</f>
        <v>Japan Business Systems, Inc.</v>
      </c>
      <c r="E170" s="3" t="s">
        <v>673</v>
      </c>
      <c r="F170" s="5">
        <v>6.8</v>
      </c>
      <c r="G170" s="51"/>
      <c r="H170" s="51"/>
      <c r="I170" s="51"/>
      <c r="J170" s="51"/>
      <c r="K170" s="51"/>
      <c r="L170" s="51">
        <v>1148</v>
      </c>
      <c r="M170" s="51">
        <v>1106</v>
      </c>
      <c r="N170" s="51">
        <v>468</v>
      </c>
      <c r="O170" s="51">
        <v>1513</v>
      </c>
      <c r="P170" s="51">
        <v>1177</v>
      </c>
      <c r="Q170" s="51">
        <v>1331</v>
      </c>
      <c r="R170" s="52">
        <v>937</v>
      </c>
      <c r="S170" s="51">
        <v>1149</v>
      </c>
      <c r="T170" s="52">
        <v>1903</v>
      </c>
      <c r="U170" s="52">
        <v>2604</v>
      </c>
      <c r="V170" s="51">
        <v>1470</v>
      </c>
      <c r="W170" s="51">
        <v>1635</v>
      </c>
      <c r="X170" s="7">
        <v>0.1580322159338268</v>
      </c>
      <c r="Y170" s="8">
        <v>0.2392857142857143</v>
      </c>
      <c r="Z170" s="10">
        <v>8.0843318671317999E-2</v>
      </c>
      <c r="AA170" s="10">
        <v>6.8200954252034762E-2</v>
      </c>
    </row>
    <row r="171" spans="2:27" x14ac:dyDescent="0.3">
      <c r="B171" s="12">
        <v>4478</v>
      </c>
      <c r="C171" s="3" t="s">
        <v>737</v>
      </c>
      <c r="D171" s="3" t="str">
        <f>VLOOKUP(B171,기업리스트!B:G,2,FALSE)</f>
        <v>freee K.K.</v>
      </c>
      <c r="E171" s="3" t="s">
        <v>715</v>
      </c>
      <c r="F171" s="5">
        <v>6.2</v>
      </c>
      <c r="G171" s="51">
        <v>-501</v>
      </c>
      <c r="H171" s="51">
        <v>-703</v>
      </c>
      <c r="I171" s="51">
        <v>-877</v>
      </c>
      <c r="J171" s="51">
        <v>-962</v>
      </c>
      <c r="K171" s="52">
        <v>-1172</v>
      </c>
      <c r="L171" s="52">
        <v>-1451</v>
      </c>
      <c r="M171" s="52">
        <v>-2081</v>
      </c>
      <c r="N171" s="52">
        <v>-3216</v>
      </c>
      <c r="O171" s="52">
        <v>-2074</v>
      </c>
      <c r="P171" s="52">
        <v>-2642</v>
      </c>
      <c r="Q171" s="51">
        <v>-2245</v>
      </c>
      <c r="R171" s="51">
        <v>-1426</v>
      </c>
      <c r="S171" s="51">
        <v>183.74</v>
      </c>
      <c r="T171" s="51">
        <v>684.26</v>
      </c>
      <c r="U171" s="51">
        <v>290.23</v>
      </c>
      <c r="V171" s="51">
        <v>-493.71</v>
      </c>
      <c r="W171" s="51">
        <v>224.68</v>
      </c>
      <c r="X171" s="9">
        <v>-0.54268541389988356</v>
      </c>
      <c r="Y171" s="10">
        <v>-0.90447021048876208</v>
      </c>
      <c r="Z171" s="10">
        <v>-3.4816820405571951</v>
      </c>
      <c r="AA171" s="10">
        <v>6.1608378980316791E-2</v>
      </c>
    </row>
    <row r="172" spans="2:27" hidden="1" x14ac:dyDescent="0.3">
      <c r="B172" s="3">
        <v>9449</v>
      </c>
      <c r="C172" s="3" t="s">
        <v>737</v>
      </c>
      <c r="D172" s="3" t="str">
        <f>VLOOKUP(B172,기업리스트!B:G,2,FALSE)</f>
        <v>GMO internet group, Inc.</v>
      </c>
      <c r="E172" s="3" t="s">
        <v>743</v>
      </c>
      <c r="F172" s="5">
        <v>5.6</v>
      </c>
      <c r="G172" s="4">
        <v>8012</v>
      </c>
      <c r="H172" s="4">
        <v>10465</v>
      </c>
      <c r="I172" s="4">
        <v>11129</v>
      </c>
      <c r="J172" s="4">
        <v>19813</v>
      </c>
      <c r="K172" s="4">
        <v>7069</v>
      </c>
      <c r="L172" s="4">
        <v>5737</v>
      </c>
      <c r="M172" s="4">
        <v>10992</v>
      </c>
      <c r="N172" s="4">
        <v>9627</v>
      </c>
      <c r="O172" s="4">
        <v>9467</v>
      </c>
      <c r="P172" s="6">
        <v>12072</v>
      </c>
      <c r="Q172" s="4">
        <v>14437</v>
      </c>
      <c r="R172" s="4">
        <v>9574</v>
      </c>
      <c r="S172" s="4">
        <v>11814</v>
      </c>
      <c r="T172" s="4">
        <v>10336</v>
      </c>
      <c r="U172" s="4">
        <v>14562</v>
      </c>
      <c r="V172" s="6">
        <v>15207</v>
      </c>
      <c r="W172" s="4">
        <v>14718</v>
      </c>
      <c r="X172" s="9">
        <v>-3.6244441196734638E-2</v>
      </c>
      <c r="Y172" s="10">
        <v>2.7079136067242882E-3</v>
      </c>
      <c r="Z172" s="8">
        <v>0.12169986605020949</v>
      </c>
      <c r="AA172" s="10">
        <v>5.5933280687224363E-2</v>
      </c>
    </row>
    <row r="173" spans="2:27" hidden="1" x14ac:dyDescent="0.3">
      <c r="B173" s="3">
        <v>3964</v>
      </c>
      <c r="C173" s="3" t="s">
        <v>737</v>
      </c>
      <c r="D173" s="3" t="str">
        <f>VLOOKUP(B173,기업리스트!B:G,2,FALSE)</f>
        <v>Aucnet Inc.</v>
      </c>
      <c r="E173" s="3" t="s">
        <v>743</v>
      </c>
      <c r="F173" s="5">
        <v>5</v>
      </c>
      <c r="G173" s="4">
        <v>1281</v>
      </c>
      <c r="H173" s="4">
        <v>1050</v>
      </c>
      <c r="I173" s="4">
        <v>2143</v>
      </c>
      <c r="J173" s="4">
        <v>1829</v>
      </c>
      <c r="K173" s="4">
        <v>1349</v>
      </c>
      <c r="L173" s="4">
        <v>1280</v>
      </c>
      <c r="M173" s="4">
        <v>2146</v>
      </c>
      <c r="N173" s="4">
        <v>1860</v>
      </c>
      <c r="O173" s="4">
        <v>1418</v>
      </c>
      <c r="P173" s="4">
        <v>1239</v>
      </c>
      <c r="Q173" s="4">
        <v>2044</v>
      </c>
      <c r="R173" s="4">
        <v>1812</v>
      </c>
      <c r="S173" s="4">
        <v>1755</v>
      </c>
      <c r="T173" s="4">
        <v>1395</v>
      </c>
      <c r="U173" s="6">
        <v>3084</v>
      </c>
      <c r="V173" s="6">
        <v>2753</v>
      </c>
      <c r="W173" s="4">
        <v>2202</v>
      </c>
      <c r="X173" s="9">
        <v>2.277372262773714E-2</v>
      </c>
      <c r="Y173" s="8">
        <v>0.14844419069369111</v>
      </c>
      <c r="Z173" s="8">
        <v>0.1169525229927915</v>
      </c>
      <c r="AA173" s="10">
        <v>4.9738511182819689E-2</v>
      </c>
    </row>
    <row r="174" spans="2:27" hidden="1" x14ac:dyDescent="0.3">
      <c r="B174" s="3">
        <v>2212</v>
      </c>
      <c r="C174" s="3" t="s">
        <v>737</v>
      </c>
      <c r="D174" s="3" t="str">
        <f>VLOOKUP(B174,기업리스트!B:G,2,FALSE)</f>
        <v>Yamazaki Baking Co., Ltd.</v>
      </c>
      <c r="E174" s="3" t="s">
        <v>743</v>
      </c>
      <c r="F174" s="5">
        <v>4.4000000000000004</v>
      </c>
      <c r="G174" s="4">
        <v>1472</v>
      </c>
      <c r="H174" s="4">
        <v>4663</v>
      </c>
      <c r="I174" s="4">
        <v>6946</v>
      </c>
      <c r="J174" s="4">
        <v>7436</v>
      </c>
      <c r="K174" s="4">
        <v>1645</v>
      </c>
      <c r="L174" s="4">
        <v>6007</v>
      </c>
      <c r="M174" s="6">
        <v>9337</v>
      </c>
      <c r="N174" s="6">
        <v>11274</v>
      </c>
      <c r="O174" s="6">
        <v>7259</v>
      </c>
      <c r="P174" s="6">
        <v>14092</v>
      </c>
      <c r="Q174" s="6">
        <v>16513</v>
      </c>
      <c r="R174" s="4">
        <v>14518</v>
      </c>
      <c r="S174" s="4">
        <v>7558</v>
      </c>
      <c r="T174" s="4">
        <v>13285</v>
      </c>
      <c r="U174" s="4">
        <v>16818</v>
      </c>
      <c r="V174" s="4">
        <v>17874</v>
      </c>
      <c r="W174" s="4">
        <v>10027</v>
      </c>
      <c r="X174" s="9">
        <v>-1.531861581974525E-2</v>
      </c>
      <c r="Y174" s="10">
        <v>5.8796314145814774E-3</v>
      </c>
      <c r="Z174" s="10">
        <v>6.4317062419747328E-2</v>
      </c>
      <c r="AA174" s="10">
        <v>4.4458449626361807E-2</v>
      </c>
    </row>
    <row r="175" spans="2:27" x14ac:dyDescent="0.3">
      <c r="B175" s="12">
        <v>4527</v>
      </c>
      <c r="C175" s="3" t="s">
        <v>737</v>
      </c>
      <c r="D175" s="3" t="str">
        <f>VLOOKUP(B175,기업리스트!B:G,2,FALSE)</f>
        <v>Rohto Pharmaceutical Co.,Ltd.</v>
      </c>
      <c r="E175" s="3" t="s">
        <v>709</v>
      </c>
      <c r="F175" s="5">
        <v>4.0999999999999996</v>
      </c>
      <c r="G175" s="51">
        <v>7136</v>
      </c>
      <c r="H175" s="51">
        <v>9678</v>
      </c>
      <c r="I175" s="51">
        <v>5668</v>
      </c>
      <c r="J175" s="51">
        <v>8295</v>
      </c>
      <c r="K175" s="51">
        <v>7767</v>
      </c>
      <c r="L175" s="51">
        <v>12265</v>
      </c>
      <c r="M175" s="51">
        <v>5211</v>
      </c>
      <c r="N175" s="51">
        <v>11539</v>
      </c>
      <c r="O175" s="51">
        <v>9428</v>
      </c>
      <c r="P175" s="51">
        <v>14297</v>
      </c>
      <c r="Q175" s="51">
        <v>4903</v>
      </c>
      <c r="R175" s="51">
        <v>11626</v>
      </c>
      <c r="S175" s="51">
        <v>5937</v>
      </c>
      <c r="T175" s="51">
        <v>14353</v>
      </c>
      <c r="U175" s="51">
        <v>6549</v>
      </c>
      <c r="V175" s="51">
        <v>11627</v>
      </c>
      <c r="W175" s="51">
        <v>7502</v>
      </c>
      <c r="X175" s="9">
        <v>1.523270679759436E-3</v>
      </c>
      <c r="Y175" s="10">
        <v>4.4705179391075323E-2</v>
      </c>
      <c r="Z175" s="10">
        <v>2.5997660210608231E-5</v>
      </c>
      <c r="AA175" s="10">
        <v>4.0685280507461119E-2</v>
      </c>
    </row>
    <row r="176" spans="2:27" x14ac:dyDescent="0.3">
      <c r="B176" s="12">
        <v>5161</v>
      </c>
      <c r="C176" s="3" t="s">
        <v>737</v>
      </c>
      <c r="D176" s="3" t="str">
        <f>VLOOKUP(B176,기업리스트!B:G,2,FALSE)</f>
        <v>Nishikawa Rubber Co., Ltd.</v>
      </c>
      <c r="E176" s="3" t="s">
        <v>709</v>
      </c>
      <c r="F176" s="5">
        <v>3.3</v>
      </c>
      <c r="G176" s="51">
        <v>144</v>
      </c>
      <c r="H176" s="51">
        <v>-140</v>
      </c>
      <c r="I176" s="51">
        <v>674</v>
      </c>
      <c r="J176" s="51">
        <v>-702</v>
      </c>
      <c r="K176" s="52">
        <v>-831</v>
      </c>
      <c r="L176" s="52">
        <v>-352</v>
      </c>
      <c r="M176" s="51">
        <v>1780</v>
      </c>
      <c r="N176" s="51">
        <v>879</v>
      </c>
      <c r="O176" s="52">
        <v>521</v>
      </c>
      <c r="P176" s="52">
        <v>2868</v>
      </c>
      <c r="Q176" s="51">
        <v>2288</v>
      </c>
      <c r="R176" s="52">
        <v>2115</v>
      </c>
      <c r="S176" s="52">
        <v>1988</v>
      </c>
      <c r="T176" s="51">
        <v>1273</v>
      </c>
      <c r="U176" s="51">
        <v>1949</v>
      </c>
      <c r="V176" s="51">
        <v>1759</v>
      </c>
      <c r="W176" s="51">
        <v>2221</v>
      </c>
      <c r="X176" s="9">
        <v>-0.1722648234150557</v>
      </c>
      <c r="Y176" s="10">
        <v>-4.4232776617954113E-2</v>
      </c>
      <c r="Z176" s="10">
        <v>-4.8600682593856637E-2</v>
      </c>
      <c r="AA176" s="10">
        <v>3.343377816042481E-2</v>
      </c>
    </row>
    <row r="177" spans="2:27" x14ac:dyDescent="0.3">
      <c r="B177" s="12">
        <v>1605</v>
      </c>
      <c r="C177" s="3" t="s">
        <v>737</v>
      </c>
      <c r="D177" s="3" t="str">
        <f>VLOOKUP(B177,기업리스트!B:G,2,FALSE)</f>
        <v>Inpex Corporation</v>
      </c>
      <c r="E177" s="3" t="s">
        <v>673</v>
      </c>
      <c r="F177" s="5">
        <v>3.2</v>
      </c>
      <c r="G177" s="51">
        <v>188280</v>
      </c>
      <c r="H177" s="51">
        <v>228317</v>
      </c>
      <c r="I177" s="51">
        <v>356178</v>
      </c>
      <c r="J177" s="51">
        <v>331399</v>
      </c>
      <c r="K177" s="52">
        <v>330516</v>
      </c>
      <c r="L177" s="51">
        <v>306302</v>
      </c>
      <c r="M177" s="51">
        <v>264233</v>
      </c>
      <c r="N177" s="51">
        <v>268837</v>
      </c>
      <c r="O177" s="51">
        <v>368115</v>
      </c>
      <c r="P177" s="51">
        <v>329612</v>
      </c>
      <c r="Q177" s="51">
        <v>292685</v>
      </c>
      <c r="R177" s="51">
        <v>301352</v>
      </c>
      <c r="S177" s="51">
        <v>242086</v>
      </c>
      <c r="T177" s="51">
        <v>288609</v>
      </c>
      <c r="U177" s="51">
        <v>263175</v>
      </c>
      <c r="V177" s="51">
        <v>236040</v>
      </c>
      <c r="W177" s="51">
        <v>275518</v>
      </c>
      <c r="X177" s="9">
        <v>-3.5173517137256798E-2</v>
      </c>
      <c r="Y177" s="10">
        <v>-2.6237361433657069E-2</v>
      </c>
      <c r="Z177" s="10">
        <v>-5.9633572006405948E-2</v>
      </c>
      <c r="AA177" s="10">
        <v>3.2461088833004803E-2</v>
      </c>
    </row>
    <row r="178" spans="2:27" x14ac:dyDescent="0.3">
      <c r="B178" s="12">
        <v>7762</v>
      </c>
      <c r="C178" s="3" t="s">
        <v>737</v>
      </c>
      <c r="D178" s="3" t="str">
        <f>VLOOKUP(B178,기업리스트!B:G,2,FALSE)</f>
        <v>Citizen Watch Co., Ltd.</v>
      </c>
      <c r="E178" s="3" t="s">
        <v>709</v>
      </c>
      <c r="F178" s="5">
        <v>3.1</v>
      </c>
      <c r="G178" s="51">
        <v>6451</v>
      </c>
      <c r="H178" s="51">
        <v>8952</v>
      </c>
      <c r="I178" s="51">
        <v>2630</v>
      </c>
      <c r="J178" s="51">
        <v>5589</v>
      </c>
      <c r="K178" s="51">
        <v>6766</v>
      </c>
      <c r="L178" s="51">
        <v>8679</v>
      </c>
      <c r="M178" s="51">
        <v>2655</v>
      </c>
      <c r="N178" s="51">
        <v>5538</v>
      </c>
      <c r="O178" s="51">
        <v>8006</v>
      </c>
      <c r="P178" s="51">
        <v>9873</v>
      </c>
      <c r="Q178" s="51">
        <v>1439</v>
      </c>
      <c r="R178" s="51">
        <v>4685</v>
      </c>
      <c r="S178" s="51">
        <v>7643</v>
      </c>
      <c r="T178" s="51">
        <v>6709</v>
      </c>
      <c r="U178" s="51">
        <v>1519</v>
      </c>
      <c r="V178" s="51">
        <v>4701</v>
      </c>
      <c r="W178" s="51">
        <v>8286</v>
      </c>
      <c r="X178" s="9">
        <v>-0.13384094754653131</v>
      </c>
      <c r="Y178" s="10">
        <v>3.9070130884939491E-3</v>
      </c>
      <c r="Z178" s="10">
        <v>7.7836154893939913E-4</v>
      </c>
      <c r="AA178" s="10">
        <v>3.1256076220105067E-2</v>
      </c>
    </row>
    <row r="179" spans="2:27" x14ac:dyDescent="0.3">
      <c r="B179" s="12">
        <v>3076</v>
      </c>
      <c r="C179" s="3" t="s">
        <v>737</v>
      </c>
      <c r="D179" s="3" t="str">
        <f>VLOOKUP(B179,기업리스트!B:G,2,FALSE)</f>
        <v>Ai Holdings Corporation</v>
      </c>
      <c r="E179" s="3" t="s">
        <v>715</v>
      </c>
      <c r="F179" s="5">
        <v>2.9</v>
      </c>
      <c r="G179" s="51">
        <v>2526</v>
      </c>
      <c r="H179" s="51">
        <v>2487</v>
      </c>
      <c r="I179" s="51">
        <v>2516</v>
      </c>
      <c r="J179" s="51">
        <v>2322</v>
      </c>
      <c r="K179" s="51">
        <v>2359</v>
      </c>
      <c r="L179" s="51">
        <v>2671</v>
      </c>
      <c r="M179" s="51">
        <v>2671</v>
      </c>
      <c r="N179" s="51">
        <v>1899</v>
      </c>
      <c r="O179" s="51">
        <v>2354</v>
      </c>
      <c r="P179" s="51">
        <v>2765</v>
      </c>
      <c r="Q179" s="51">
        <v>2661</v>
      </c>
      <c r="R179" s="51">
        <v>2030</v>
      </c>
      <c r="S179" s="51">
        <v>1779</v>
      </c>
      <c r="T179" s="51">
        <v>2105</v>
      </c>
      <c r="U179" s="51">
        <v>3510</v>
      </c>
      <c r="V179" s="51">
        <v>1496</v>
      </c>
      <c r="W179" s="51">
        <v>2040</v>
      </c>
      <c r="X179" s="9">
        <v>-7.1467244179750922E-2</v>
      </c>
      <c r="Y179" s="10">
        <v>9.900874635568524E-2</v>
      </c>
      <c r="Z179" s="10">
        <v>-5.6663837011884599E-2</v>
      </c>
      <c r="AA179" s="10">
        <v>2.9358830146231751E-2</v>
      </c>
    </row>
    <row r="180" spans="2:27" hidden="1" x14ac:dyDescent="0.3">
      <c r="B180" s="3">
        <v>5301</v>
      </c>
      <c r="C180" s="3" t="s">
        <v>737</v>
      </c>
      <c r="D180" s="3" t="str">
        <f>VLOOKUP(B180,기업리스트!B:G,2,FALSE)</f>
        <v>Tokai Carbon Co., Ltd.</v>
      </c>
      <c r="E180" s="3" t="s">
        <v>743</v>
      </c>
      <c r="F180" s="5">
        <v>2.2000000000000002</v>
      </c>
      <c r="G180" s="4">
        <v>6724</v>
      </c>
      <c r="H180" s="4">
        <v>6977</v>
      </c>
      <c r="I180" s="4">
        <v>7939</v>
      </c>
      <c r="J180" s="4">
        <v>8779</v>
      </c>
      <c r="K180" s="6">
        <v>11298</v>
      </c>
      <c r="L180" s="6">
        <v>12574</v>
      </c>
      <c r="M180" s="4">
        <v>11494</v>
      </c>
      <c r="N180" s="4">
        <v>10246</v>
      </c>
      <c r="O180" s="4">
        <v>8010</v>
      </c>
      <c r="P180" s="4">
        <v>8980</v>
      </c>
      <c r="Q180" s="4">
        <v>3490</v>
      </c>
      <c r="R180" s="4">
        <v>4935</v>
      </c>
      <c r="S180" s="4">
        <v>6787</v>
      </c>
      <c r="T180" s="4">
        <v>4176</v>
      </c>
      <c r="U180" s="6">
        <v>7137</v>
      </c>
      <c r="V180" s="4">
        <v>6820</v>
      </c>
      <c r="W180" s="4">
        <v>7344</v>
      </c>
      <c r="X180" s="9">
        <v>-0.1985780423280423</v>
      </c>
      <c r="Y180" s="8">
        <v>0.1881060449762739</v>
      </c>
      <c r="Z180" s="10">
        <v>8.1831994790536156E-2</v>
      </c>
      <c r="AA180" s="10">
        <v>2.235152487961467E-2</v>
      </c>
    </row>
    <row r="181" spans="2:27" hidden="1" x14ac:dyDescent="0.3">
      <c r="B181" s="3">
        <v>6383</v>
      </c>
      <c r="C181" s="3" t="s">
        <v>737</v>
      </c>
      <c r="D181" s="3" t="str">
        <f>VLOOKUP(B181,기업리스트!B:G,2,FALSE)</f>
        <v>Daifuku Co., Ltd.</v>
      </c>
      <c r="E181" s="3" t="s">
        <v>743</v>
      </c>
      <c r="F181" s="5">
        <v>2.2000000000000002</v>
      </c>
      <c r="G181" s="4">
        <v>9812</v>
      </c>
      <c r="H181" s="4">
        <v>12665</v>
      </c>
      <c r="I181" s="4">
        <v>17260</v>
      </c>
      <c r="J181" s="4">
        <v>10276</v>
      </c>
      <c r="K181" s="4">
        <v>14190</v>
      </c>
      <c r="L181" s="4">
        <v>15705</v>
      </c>
      <c r="M181" s="4">
        <v>18684</v>
      </c>
      <c r="N181" s="4">
        <v>8219</v>
      </c>
      <c r="O181" s="4">
        <v>10842</v>
      </c>
      <c r="P181" s="4">
        <v>18031</v>
      </c>
      <c r="Q181" s="6">
        <v>24988</v>
      </c>
      <c r="R181" s="6">
        <v>16405</v>
      </c>
      <c r="S181" s="6">
        <v>21741</v>
      </c>
      <c r="T181" s="6">
        <v>33401</v>
      </c>
      <c r="U181" s="4">
        <v>23228</v>
      </c>
      <c r="V181" s="6">
        <v>27876</v>
      </c>
      <c r="W181" s="4">
        <v>24111</v>
      </c>
      <c r="X181" s="7">
        <v>0.18936733813835999</v>
      </c>
      <c r="Y181" s="10">
        <v>-1.8231729424561079E-2</v>
      </c>
      <c r="Z181" s="8">
        <v>0.12103402796096011</v>
      </c>
      <c r="AA181" s="10">
        <v>2.2306722135421619E-2</v>
      </c>
    </row>
    <row r="182" spans="2:27" x14ac:dyDescent="0.3">
      <c r="B182" s="12">
        <v>7202</v>
      </c>
      <c r="C182" s="3" t="s">
        <v>737</v>
      </c>
      <c r="D182" s="3" t="str">
        <f>VLOOKUP(B182,기업리스트!B:G,2,FALSE)</f>
        <v>Isuzu Motors Limited</v>
      </c>
      <c r="E182" s="3" t="s">
        <v>691</v>
      </c>
      <c r="F182" s="5">
        <v>2.2000000000000002</v>
      </c>
      <c r="G182" s="51">
        <v>51323</v>
      </c>
      <c r="H182" s="51">
        <v>38580</v>
      </c>
      <c r="I182" s="51">
        <v>54772</v>
      </c>
      <c r="J182" s="51">
        <v>57423</v>
      </c>
      <c r="K182" s="52">
        <v>85690</v>
      </c>
      <c r="L182" s="51">
        <v>55663</v>
      </c>
      <c r="M182" s="51">
        <v>68607</v>
      </c>
      <c r="N182" s="51">
        <v>74589</v>
      </c>
      <c r="O182" s="51">
        <v>110366</v>
      </c>
      <c r="P182" s="51">
        <v>39524</v>
      </c>
      <c r="Q182" s="51">
        <v>76913</v>
      </c>
      <c r="R182" s="51">
        <v>52286</v>
      </c>
      <c r="S182" s="51">
        <v>63281</v>
      </c>
      <c r="T182" s="51">
        <v>40802</v>
      </c>
      <c r="U182" s="51">
        <v>57223</v>
      </c>
      <c r="V182" s="51">
        <v>47428</v>
      </c>
      <c r="W182" s="51">
        <v>67807</v>
      </c>
      <c r="X182" s="9">
        <v>5.5085257150739864E-3</v>
      </c>
      <c r="Y182" s="10">
        <v>-8.4404283228024402E-2</v>
      </c>
      <c r="Z182" s="10">
        <v>-2.2744297539233679E-2</v>
      </c>
      <c r="AA182" s="10">
        <v>2.1683099063880329E-2</v>
      </c>
    </row>
    <row r="183" spans="2:27" x14ac:dyDescent="0.3">
      <c r="B183" s="12">
        <v>5947</v>
      </c>
      <c r="C183" s="3" t="s">
        <v>737</v>
      </c>
      <c r="D183" s="3" t="str">
        <f>VLOOKUP(B183,기업리스트!B:G,2,FALSE)</f>
        <v>Rinnai Corporation</v>
      </c>
      <c r="E183" s="3" t="s">
        <v>709</v>
      </c>
      <c r="F183" s="5">
        <v>1.7</v>
      </c>
      <c r="G183" s="51">
        <v>10927</v>
      </c>
      <c r="H183" s="51">
        <v>7933</v>
      </c>
      <c r="I183" s="51">
        <v>7823</v>
      </c>
      <c r="J183" s="51">
        <v>10080</v>
      </c>
      <c r="K183" s="51">
        <v>9006</v>
      </c>
      <c r="L183" s="52">
        <v>14604</v>
      </c>
      <c r="M183" s="51">
        <v>7730</v>
      </c>
      <c r="N183" s="51">
        <v>3031</v>
      </c>
      <c r="O183" s="51">
        <v>6922</v>
      </c>
      <c r="P183" s="51">
        <v>15266</v>
      </c>
      <c r="Q183" s="52">
        <v>13811</v>
      </c>
      <c r="R183" s="52">
        <v>8635</v>
      </c>
      <c r="S183" s="52">
        <v>12195</v>
      </c>
      <c r="T183" s="51">
        <v>13976</v>
      </c>
      <c r="U183" s="51">
        <v>10865</v>
      </c>
      <c r="V183" s="51">
        <v>9620</v>
      </c>
      <c r="W183" s="51">
        <v>12978</v>
      </c>
      <c r="X183" s="9">
        <v>-2.5848077424008631E-2</v>
      </c>
      <c r="Y183" s="10">
        <v>-6.059608778822223E-2</v>
      </c>
      <c r="Z183" s="10">
        <v>2.1567296533905541E-2</v>
      </c>
      <c r="AA183" s="10">
        <v>1.678240740740744E-2</v>
      </c>
    </row>
    <row r="184" spans="2:27" x14ac:dyDescent="0.3">
      <c r="B184" s="12">
        <v>9435</v>
      </c>
      <c r="C184" s="3" t="s">
        <v>737</v>
      </c>
      <c r="D184" s="3" t="str">
        <f>VLOOKUP(B184,기업리스트!B:G,2,FALSE)</f>
        <v>Hikari Tsushin, Inc.</v>
      </c>
      <c r="E184" s="3" t="s">
        <v>691</v>
      </c>
      <c r="F184" s="5">
        <v>1.7</v>
      </c>
      <c r="G184" s="51">
        <v>19185</v>
      </c>
      <c r="H184" s="51">
        <v>7410</v>
      </c>
      <c r="I184" s="51">
        <v>18264</v>
      </c>
      <c r="J184" s="51">
        <v>9753</v>
      </c>
      <c r="K184" s="51">
        <v>20091</v>
      </c>
      <c r="L184" s="52">
        <v>22280</v>
      </c>
      <c r="M184" s="51">
        <v>23967</v>
      </c>
      <c r="N184" s="52">
        <v>24526</v>
      </c>
      <c r="O184" s="51">
        <v>24004</v>
      </c>
      <c r="P184" s="51">
        <v>23006</v>
      </c>
      <c r="Q184" s="51">
        <v>27217</v>
      </c>
      <c r="R184" s="51">
        <v>30205</v>
      </c>
      <c r="S184" s="51">
        <v>29160</v>
      </c>
      <c r="T184" s="51">
        <v>18216</v>
      </c>
      <c r="U184" s="51">
        <v>27506</v>
      </c>
      <c r="V184" s="51">
        <v>30084</v>
      </c>
      <c r="W184" s="51">
        <v>30914</v>
      </c>
      <c r="X184" s="9">
        <v>-4.3709165237069803E-2</v>
      </c>
      <c r="Y184" s="10">
        <v>2.7576862153857462E-3</v>
      </c>
      <c r="Z184" s="10">
        <v>-1.1514269129387911E-3</v>
      </c>
      <c r="AA184" s="10">
        <v>1.671017281786491E-2</v>
      </c>
    </row>
    <row r="185" spans="2:27" x14ac:dyDescent="0.3">
      <c r="B185" s="12">
        <v>9025</v>
      </c>
      <c r="C185" s="3" t="s">
        <v>737</v>
      </c>
      <c r="D185" s="3" t="str">
        <f>VLOOKUP(B185,기업리스트!B:G,2,FALSE)</f>
        <v>Konoike Transport Co.,Ltd.</v>
      </c>
      <c r="E185" s="3" t="s">
        <v>709</v>
      </c>
      <c r="F185" s="5">
        <v>1.6</v>
      </c>
      <c r="G185" s="51">
        <v>2260</v>
      </c>
      <c r="H185" s="51">
        <v>3197</v>
      </c>
      <c r="I185" s="51">
        <v>1682</v>
      </c>
      <c r="J185" s="51">
        <v>3442</v>
      </c>
      <c r="K185" s="52">
        <v>3937</v>
      </c>
      <c r="L185" s="51">
        <v>3403</v>
      </c>
      <c r="M185" s="51">
        <v>2458</v>
      </c>
      <c r="N185" s="51">
        <v>3949</v>
      </c>
      <c r="O185" s="51">
        <v>4232</v>
      </c>
      <c r="P185" s="51">
        <v>4765</v>
      </c>
      <c r="Q185" s="51">
        <v>3352</v>
      </c>
      <c r="R185" s="52">
        <v>6460</v>
      </c>
      <c r="S185" s="51">
        <v>5560</v>
      </c>
      <c r="T185" s="51">
        <v>5804</v>
      </c>
      <c r="U185" s="51">
        <v>3407</v>
      </c>
      <c r="V185" s="51">
        <v>6684</v>
      </c>
      <c r="W185" s="51">
        <v>5905</v>
      </c>
      <c r="X185" s="9">
        <v>5.1596563539752623E-2</v>
      </c>
      <c r="Y185" s="10">
        <v>2.597279939554165E-3</v>
      </c>
      <c r="Z185" s="10">
        <v>1.0550609957138191E-2</v>
      </c>
      <c r="AA185" s="10">
        <v>1.6080167793055319E-2</v>
      </c>
    </row>
    <row r="186" spans="2:27" hidden="1" x14ac:dyDescent="0.3">
      <c r="B186" s="3">
        <v>6326</v>
      </c>
      <c r="C186" s="3" t="s">
        <v>737</v>
      </c>
      <c r="D186" s="3" t="str">
        <f>VLOOKUP(B186,기업리스트!B:G,2,FALSE)</f>
        <v>Kubota Corporation</v>
      </c>
      <c r="E186" s="3" t="s">
        <v>743</v>
      </c>
      <c r="F186" s="5">
        <v>1.4</v>
      </c>
      <c r="G186" s="4">
        <v>63955</v>
      </c>
      <c r="H186" s="4">
        <v>30788</v>
      </c>
      <c r="I186" s="4">
        <v>66372</v>
      </c>
      <c r="J186" s="4">
        <v>54631</v>
      </c>
      <c r="K186" s="4">
        <v>62429</v>
      </c>
      <c r="L186" s="4">
        <v>29055</v>
      </c>
      <c r="M186" s="6">
        <v>103248</v>
      </c>
      <c r="N186" s="6">
        <v>81326</v>
      </c>
      <c r="O186" s="4">
        <v>74283</v>
      </c>
      <c r="P186" s="6">
        <v>72203</v>
      </c>
      <c r="Q186" s="4">
        <v>102950</v>
      </c>
      <c r="R186" s="4">
        <v>104394</v>
      </c>
      <c r="S186" s="4">
        <v>68036</v>
      </c>
      <c r="T186" s="4">
        <v>48954</v>
      </c>
      <c r="U186" s="4">
        <v>61615</v>
      </c>
      <c r="V186" s="4">
        <v>81413</v>
      </c>
      <c r="W186" s="4">
        <v>71662</v>
      </c>
      <c r="X186" s="9">
        <v>-6.6887621086186622E-2</v>
      </c>
      <c r="Y186" s="10">
        <v>-0.12744578120086081</v>
      </c>
      <c r="Z186" s="10">
        <v>-8.1205233940755961E-2</v>
      </c>
      <c r="AA186" s="10">
        <v>1.394518841003323E-2</v>
      </c>
    </row>
    <row r="187" spans="2:27" hidden="1" x14ac:dyDescent="0.3">
      <c r="B187" s="3">
        <v>4045</v>
      </c>
      <c r="C187" s="3" t="s">
        <v>737</v>
      </c>
      <c r="D187" s="3" t="str">
        <f>VLOOKUP(B187,기업리스트!B:G,2,FALSE)</f>
        <v>Toagosei Co., Ltd.</v>
      </c>
      <c r="E187" s="3" t="s">
        <v>743</v>
      </c>
      <c r="F187" s="5">
        <v>1.1000000000000001</v>
      </c>
      <c r="G187" s="4">
        <v>4590</v>
      </c>
      <c r="H187" s="4">
        <v>4064</v>
      </c>
      <c r="I187" s="4">
        <v>4110</v>
      </c>
      <c r="J187" s="4">
        <v>3782</v>
      </c>
      <c r="K187" s="4">
        <v>4162</v>
      </c>
      <c r="L187" s="4">
        <v>2329</v>
      </c>
      <c r="M187" s="4">
        <v>2588</v>
      </c>
      <c r="N187" s="4">
        <v>2158</v>
      </c>
      <c r="O187" s="4">
        <v>3343</v>
      </c>
      <c r="P187" s="6">
        <v>4411</v>
      </c>
      <c r="Q187" s="4">
        <v>3552</v>
      </c>
      <c r="R187" s="6">
        <v>3772</v>
      </c>
      <c r="S187" s="4">
        <v>3439</v>
      </c>
      <c r="T187" s="4">
        <v>3472</v>
      </c>
      <c r="U187" s="4">
        <v>3365</v>
      </c>
      <c r="V187" s="4">
        <v>3655</v>
      </c>
      <c r="W187" s="4">
        <v>3588</v>
      </c>
      <c r="X187" s="9">
        <v>-6.1882166864373311E-2</v>
      </c>
      <c r="Y187" s="10">
        <v>-1.3136635054443291E-2</v>
      </c>
      <c r="Z187" s="10">
        <v>-8.3285876993166585E-3</v>
      </c>
      <c r="AA187" s="10">
        <v>1.069557102864116E-2</v>
      </c>
    </row>
    <row r="188" spans="2:27" x14ac:dyDescent="0.3">
      <c r="B188" s="12">
        <v>9989</v>
      </c>
      <c r="C188" s="3" t="s">
        <v>737</v>
      </c>
      <c r="D188" s="3" t="str">
        <f>VLOOKUP(B188,기업리스트!B:G,2,FALSE)</f>
        <v>Sundrug Co.,Ltd.</v>
      </c>
      <c r="E188" s="3" t="s">
        <v>709</v>
      </c>
      <c r="F188" s="5">
        <v>1.1000000000000001</v>
      </c>
      <c r="G188" s="51">
        <v>8329</v>
      </c>
      <c r="H188" s="51">
        <v>9513</v>
      </c>
      <c r="I188" s="51">
        <v>6610</v>
      </c>
      <c r="J188" s="51">
        <v>9058</v>
      </c>
      <c r="K188" s="51">
        <v>9454</v>
      </c>
      <c r="L188" s="51">
        <v>10982</v>
      </c>
      <c r="M188" s="51">
        <v>7957</v>
      </c>
      <c r="N188" s="51">
        <v>9901</v>
      </c>
      <c r="O188" s="51">
        <v>10709</v>
      </c>
      <c r="P188" s="51">
        <v>12607</v>
      </c>
      <c r="Q188" s="51">
        <v>7780</v>
      </c>
      <c r="R188" s="51">
        <v>10921</v>
      </c>
      <c r="S188" s="51">
        <v>10291</v>
      </c>
      <c r="T188" s="51">
        <v>13609</v>
      </c>
      <c r="U188" s="51">
        <v>9676</v>
      </c>
      <c r="V188" s="51">
        <v>12277</v>
      </c>
      <c r="W188" s="51">
        <v>10782</v>
      </c>
      <c r="X188" s="9">
        <v>2.4087117478785561E-2</v>
      </c>
      <c r="Y188" s="10">
        <v>4.4505997511795403E-2</v>
      </c>
      <c r="Z188" s="10">
        <v>3.047396453693518E-2</v>
      </c>
      <c r="AA188" s="10">
        <v>1.0708132510413689E-2</v>
      </c>
    </row>
    <row r="189" spans="2:27" x14ac:dyDescent="0.3">
      <c r="B189" s="12" t="s">
        <v>758</v>
      </c>
      <c r="C189" s="3" t="s">
        <v>737</v>
      </c>
      <c r="D189" s="3" t="str">
        <f>VLOOKUP(B189,기업리스트!B:G,2,FALSE)</f>
        <v>TRIAL Holdings, Inc.</v>
      </c>
      <c r="E189" s="3" t="s">
        <v>715</v>
      </c>
      <c r="F189" s="5">
        <v>1</v>
      </c>
      <c r="G189" s="51"/>
      <c r="H189" s="51"/>
      <c r="I189" s="51"/>
      <c r="J189" s="51"/>
      <c r="K189" s="51">
        <v>3633</v>
      </c>
      <c r="L189" s="51">
        <v>3633</v>
      </c>
      <c r="M189" s="51">
        <v>3350</v>
      </c>
      <c r="N189" s="51">
        <v>3350</v>
      </c>
      <c r="O189" s="52">
        <v>5785</v>
      </c>
      <c r="P189" s="52">
        <v>5785</v>
      </c>
      <c r="Q189" s="51">
        <v>3830</v>
      </c>
      <c r="R189" s="51">
        <v>3762</v>
      </c>
      <c r="S189" s="51">
        <v>4931</v>
      </c>
      <c r="T189" s="51">
        <v>4769</v>
      </c>
      <c r="U189" s="51">
        <v>3764</v>
      </c>
      <c r="V189" s="52">
        <v>7642</v>
      </c>
      <c r="W189" s="51">
        <v>5139</v>
      </c>
      <c r="X189" s="9">
        <v>-5.5494865632510382E-2</v>
      </c>
      <c r="Y189" s="10">
        <v>-3.8167938931297218E-3</v>
      </c>
      <c r="Z189" s="8">
        <v>0.22524091489608719</v>
      </c>
      <c r="AA189" s="10">
        <v>9.8550175305600618E-3</v>
      </c>
    </row>
    <row r="190" spans="2:27" x14ac:dyDescent="0.3">
      <c r="B190" s="12">
        <v>5741</v>
      </c>
      <c r="C190" s="3" t="s">
        <v>737</v>
      </c>
      <c r="D190" s="3" t="str">
        <f>VLOOKUP(B190,기업리스트!B:G,2,FALSE)</f>
        <v>UACJ Corporation</v>
      </c>
      <c r="E190" s="3" t="s">
        <v>709</v>
      </c>
      <c r="F190" s="5">
        <v>1</v>
      </c>
      <c r="G190" s="51">
        <v>16655</v>
      </c>
      <c r="H190" s="51">
        <v>12950</v>
      </c>
      <c r="I190" s="51">
        <v>16704</v>
      </c>
      <c r="J190" s="51">
        <v>18343</v>
      </c>
      <c r="K190" s="51">
        <v>3129</v>
      </c>
      <c r="L190" s="51">
        <v>-6017</v>
      </c>
      <c r="M190" s="51">
        <v>1752</v>
      </c>
      <c r="N190" s="51">
        <v>7646</v>
      </c>
      <c r="O190" s="52">
        <v>4500</v>
      </c>
      <c r="P190" s="52">
        <v>9011</v>
      </c>
      <c r="Q190" s="52">
        <v>9745</v>
      </c>
      <c r="R190" s="52">
        <v>21841</v>
      </c>
      <c r="S190" s="52">
        <v>13342</v>
      </c>
      <c r="T190" s="51">
        <v>12985</v>
      </c>
      <c r="U190" s="51">
        <v>8045</v>
      </c>
      <c r="V190" s="51">
        <v>8227</v>
      </c>
      <c r="W190" s="51">
        <v>13749</v>
      </c>
      <c r="X190" s="9">
        <v>7.3675818980700525E-2</v>
      </c>
      <c r="Y190" s="10">
        <v>-2.9354376392174419E-2</v>
      </c>
      <c r="Z190" s="10">
        <v>-0.24218597121662239</v>
      </c>
      <c r="AA190" s="10">
        <v>9.5542148876734956E-3</v>
      </c>
    </row>
    <row r="191" spans="2:27" x14ac:dyDescent="0.3">
      <c r="B191" s="12">
        <v>8061</v>
      </c>
      <c r="C191" s="3" t="s">
        <v>737</v>
      </c>
      <c r="D191" s="3" t="str">
        <f>VLOOKUP(B191,기업리스트!B:G,2,FALSE)</f>
        <v>Seika Corporation</v>
      </c>
      <c r="E191" s="3" t="s">
        <v>709</v>
      </c>
      <c r="F191" s="5">
        <v>1</v>
      </c>
      <c r="G191" s="51">
        <v>596</v>
      </c>
      <c r="H191" s="51">
        <v>1053</v>
      </c>
      <c r="I191" s="51">
        <v>1467</v>
      </c>
      <c r="J191" s="51">
        <v>855</v>
      </c>
      <c r="K191" s="51">
        <v>590</v>
      </c>
      <c r="L191" s="51">
        <v>1170</v>
      </c>
      <c r="M191" s="52">
        <v>2022</v>
      </c>
      <c r="N191" s="51">
        <v>945</v>
      </c>
      <c r="O191" s="52">
        <v>1107</v>
      </c>
      <c r="P191" s="51">
        <v>1400</v>
      </c>
      <c r="Q191" s="51">
        <v>2129</v>
      </c>
      <c r="R191" s="51">
        <v>1319</v>
      </c>
      <c r="S191" s="51">
        <v>1603</v>
      </c>
      <c r="T191" s="51">
        <v>1398</v>
      </c>
      <c r="U191" s="51">
        <v>2167</v>
      </c>
      <c r="V191" s="51">
        <v>1594</v>
      </c>
      <c r="W191" s="51">
        <v>1671</v>
      </c>
      <c r="X191" s="9">
        <v>-3.1002945279801081E-4</v>
      </c>
      <c r="Y191" s="10">
        <v>5.8923864164985851E-3</v>
      </c>
      <c r="Z191" s="10">
        <v>4.2392477262216843E-2</v>
      </c>
      <c r="AA191" s="10">
        <v>1.005619639160016E-2</v>
      </c>
    </row>
    <row r="192" spans="2:27" hidden="1" x14ac:dyDescent="0.3">
      <c r="B192" s="3">
        <v>6856</v>
      </c>
      <c r="C192" s="3" t="s">
        <v>737</v>
      </c>
      <c r="D192" s="3" t="str">
        <f>VLOOKUP(B192,기업리스트!B:G,2,FALSE)</f>
        <v>HORIBA, Ltd.</v>
      </c>
      <c r="E192" s="3" t="s">
        <v>743</v>
      </c>
      <c r="F192" s="5">
        <v>0.6</v>
      </c>
      <c r="G192" s="4">
        <v>6790</v>
      </c>
      <c r="H192" s="4">
        <v>12188</v>
      </c>
      <c r="I192" s="4">
        <v>8607</v>
      </c>
      <c r="J192" s="4">
        <v>7654</v>
      </c>
      <c r="K192" s="6">
        <v>12312</v>
      </c>
      <c r="L192" s="6">
        <v>17271</v>
      </c>
      <c r="M192" s="4">
        <v>10452</v>
      </c>
      <c r="N192" s="4">
        <v>7387</v>
      </c>
      <c r="O192" s="4">
        <v>10661</v>
      </c>
      <c r="P192" s="4">
        <v>18798</v>
      </c>
      <c r="Q192" s="4">
        <v>10011</v>
      </c>
      <c r="R192" s="4">
        <v>8606</v>
      </c>
      <c r="S192" s="4">
        <v>11288</v>
      </c>
      <c r="T192" s="4">
        <v>18436</v>
      </c>
      <c r="U192" s="4">
        <v>11756</v>
      </c>
      <c r="V192" s="4">
        <v>10137</v>
      </c>
      <c r="W192" s="4">
        <v>11623</v>
      </c>
      <c r="X192" s="9">
        <v>-7.4328070139416669E-3</v>
      </c>
      <c r="Y192" s="10">
        <v>3.6097722430235242E-2</v>
      </c>
      <c r="Z192" s="10">
        <v>3.056742403066726E-2</v>
      </c>
      <c r="AA192" s="10">
        <v>6.490109847530956E-3</v>
      </c>
    </row>
    <row r="193" spans="2:27" x14ac:dyDescent="0.3">
      <c r="B193" s="12">
        <v>1808</v>
      </c>
      <c r="C193" s="3" t="s">
        <v>737</v>
      </c>
      <c r="D193" s="3" t="str">
        <f>VLOOKUP(B193,기업리스트!B:G,2,FALSE)</f>
        <v>HASEKO Corporation</v>
      </c>
      <c r="E193" s="3" t="s">
        <v>691</v>
      </c>
      <c r="F193" s="5">
        <v>0.5</v>
      </c>
      <c r="G193" s="51">
        <v>20042</v>
      </c>
      <c r="H193" s="51">
        <v>21237</v>
      </c>
      <c r="I193" s="51">
        <v>19951</v>
      </c>
      <c r="J193" s="51">
        <v>17753</v>
      </c>
      <c r="K193" s="51">
        <v>18882</v>
      </c>
      <c r="L193" s="52">
        <v>33576</v>
      </c>
      <c r="M193" s="51">
        <v>22572</v>
      </c>
      <c r="N193" s="51">
        <v>20704</v>
      </c>
      <c r="O193" s="51">
        <v>18162</v>
      </c>
      <c r="P193" s="51">
        <v>24310</v>
      </c>
      <c r="Q193" s="51">
        <v>13262</v>
      </c>
      <c r="R193" s="51">
        <v>22166</v>
      </c>
      <c r="S193" s="51">
        <v>22015</v>
      </c>
      <c r="T193" s="51">
        <v>27256</v>
      </c>
      <c r="U193" s="51">
        <v>20452</v>
      </c>
      <c r="V193" s="51">
        <v>20881</v>
      </c>
      <c r="W193" s="51">
        <v>22498</v>
      </c>
      <c r="X193" s="9">
        <v>3.6035374848629509E-2</v>
      </c>
      <c r="Y193" s="10">
        <v>8.4888841662829506E-2</v>
      </c>
      <c r="Z193" s="10">
        <v>-1.3984263622414009E-2</v>
      </c>
      <c r="AA193" s="10">
        <v>5.3308904684119529E-3</v>
      </c>
    </row>
    <row r="194" spans="2:27" hidden="1" x14ac:dyDescent="0.3">
      <c r="B194" s="3">
        <v>6481</v>
      </c>
      <c r="C194" s="3" t="s">
        <v>737</v>
      </c>
      <c r="D194" s="3" t="str">
        <f>VLOOKUP(B194,기업리스트!B:G,2,FALSE)</f>
        <v>THK Co., Ltd.</v>
      </c>
      <c r="E194" s="3" t="s">
        <v>743</v>
      </c>
      <c r="F194" s="5">
        <v>0.5</v>
      </c>
      <c r="G194" s="4">
        <v>8118</v>
      </c>
      <c r="H194" s="4">
        <v>10342</v>
      </c>
      <c r="I194" s="4">
        <v>9621</v>
      </c>
      <c r="J194" s="4">
        <v>10999</v>
      </c>
      <c r="K194" s="6">
        <v>13116</v>
      </c>
      <c r="L194" s="4">
        <v>13409</v>
      </c>
      <c r="M194" s="4">
        <v>9509</v>
      </c>
      <c r="N194" s="4">
        <v>6869</v>
      </c>
      <c r="O194" s="4">
        <v>2700</v>
      </c>
      <c r="P194" s="4">
        <v>3971</v>
      </c>
      <c r="Q194" s="4">
        <v>2122</v>
      </c>
      <c r="R194" s="4">
        <v>6254</v>
      </c>
      <c r="S194" s="6">
        <v>4445</v>
      </c>
      <c r="T194" s="4">
        <v>5214</v>
      </c>
      <c r="U194" s="4">
        <v>1943</v>
      </c>
      <c r="V194" s="4">
        <v>4718</v>
      </c>
      <c r="W194" s="4">
        <v>4530</v>
      </c>
      <c r="X194" s="9">
        <v>7.4023344449738016E-2</v>
      </c>
      <c r="Y194" s="10">
        <v>-9.9251455503188701E-3</v>
      </c>
      <c r="Z194" s="10">
        <v>-8.6021505376344121E-2</v>
      </c>
      <c r="AA194" s="10">
        <v>5.2083333333332593E-3</v>
      </c>
    </row>
    <row r="195" spans="2:27" x14ac:dyDescent="0.3">
      <c r="B195" s="12">
        <v>8066</v>
      </c>
      <c r="C195" s="3" t="s">
        <v>737</v>
      </c>
      <c r="D195" s="3" t="str">
        <f>VLOOKUP(B195,기업리스트!B:G,2,FALSE)</f>
        <v>Mitani Corporation</v>
      </c>
      <c r="E195" s="3" t="s">
        <v>709</v>
      </c>
      <c r="F195" s="5">
        <v>0.4</v>
      </c>
      <c r="G195" s="51">
        <v>4571</v>
      </c>
      <c r="H195" s="51">
        <v>5883</v>
      </c>
      <c r="I195" s="51">
        <v>6030</v>
      </c>
      <c r="J195" s="51">
        <v>4278</v>
      </c>
      <c r="K195" s="51">
        <v>5493</v>
      </c>
      <c r="L195" s="51">
        <v>5487</v>
      </c>
      <c r="M195" s="51">
        <v>6417</v>
      </c>
      <c r="N195" s="51">
        <v>4791</v>
      </c>
      <c r="O195" s="51">
        <v>6376</v>
      </c>
      <c r="P195" s="51">
        <v>7415</v>
      </c>
      <c r="Q195" s="51">
        <v>7247</v>
      </c>
      <c r="R195" s="51">
        <v>6408</v>
      </c>
      <c r="S195" s="51">
        <v>7878</v>
      </c>
      <c r="T195" s="51">
        <v>8243</v>
      </c>
      <c r="U195" s="51">
        <v>8980</v>
      </c>
      <c r="V195" s="51">
        <v>6632</v>
      </c>
      <c r="W195" s="51">
        <v>7995</v>
      </c>
      <c r="X195" s="9">
        <v>2.860301229791351E-2</v>
      </c>
      <c r="Y195" s="10">
        <v>5.8201235894680181E-2</v>
      </c>
      <c r="Z195" s="10">
        <v>7.1090799454123221E-3</v>
      </c>
      <c r="AA195" s="10">
        <v>3.6870135190496529E-3</v>
      </c>
    </row>
    <row r="196" spans="2:27" x14ac:dyDescent="0.3">
      <c r="B196" s="12">
        <v>7532</v>
      </c>
      <c r="C196" s="3" t="s">
        <v>737</v>
      </c>
      <c r="D196" s="3" t="str">
        <f>VLOOKUP(B196,기업리스트!B:G,2,FALSE)</f>
        <v>Pan Pacific International Holdings Corporation</v>
      </c>
      <c r="E196" s="3" t="s">
        <v>715</v>
      </c>
      <c r="F196" s="5">
        <v>0.2</v>
      </c>
      <c r="G196" s="51">
        <v>16075</v>
      </c>
      <c r="H196" s="51">
        <v>27569</v>
      </c>
      <c r="I196" s="51">
        <v>19436</v>
      </c>
      <c r="J196" s="51">
        <v>25607</v>
      </c>
      <c r="K196" s="51">
        <v>23870</v>
      </c>
      <c r="L196" s="51">
        <v>33586</v>
      </c>
      <c r="M196" s="51">
        <v>24257</v>
      </c>
      <c r="N196" s="51">
        <v>23546</v>
      </c>
      <c r="O196" s="51">
        <v>32886</v>
      </c>
      <c r="P196" s="51">
        <v>42616</v>
      </c>
      <c r="Q196" s="51">
        <v>34767</v>
      </c>
      <c r="R196" s="51">
        <v>29924</v>
      </c>
      <c r="S196" s="51">
        <v>41060</v>
      </c>
      <c r="T196" s="51">
        <v>48690</v>
      </c>
      <c r="U196" s="51">
        <v>38932</v>
      </c>
      <c r="V196" s="51">
        <v>33614</v>
      </c>
      <c r="W196" s="51">
        <v>41348</v>
      </c>
      <c r="X196" s="9">
        <v>4.0939022828526461E-2</v>
      </c>
      <c r="Y196" s="10">
        <v>2.696822734895532E-2</v>
      </c>
      <c r="Z196" s="10">
        <v>2.326519803790528E-2</v>
      </c>
      <c r="AA196" s="10">
        <v>1.774535416769307E-3</v>
      </c>
    </row>
    <row r="197" spans="2:27" x14ac:dyDescent="0.3">
      <c r="B197" s="12">
        <v>6744</v>
      </c>
      <c r="C197" s="3" t="s">
        <v>737</v>
      </c>
      <c r="D197" s="3" t="str">
        <f>VLOOKUP(B197,기업리스트!B:G,2,FALSE)</f>
        <v>Nohmi Bosai Ltd.</v>
      </c>
      <c r="E197" s="3" t="s">
        <v>709</v>
      </c>
      <c r="F197" s="5">
        <v>0.1</v>
      </c>
      <c r="G197" s="51">
        <v>3117</v>
      </c>
      <c r="H197" s="51">
        <v>1950</v>
      </c>
      <c r="I197" s="51">
        <v>6045</v>
      </c>
      <c r="J197" s="51">
        <v>-550</v>
      </c>
      <c r="K197" s="51">
        <v>1041</v>
      </c>
      <c r="L197" s="51">
        <v>1613</v>
      </c>
      <c r="M197" s="51">
        <v>6775</v>
      </c>
      <c r="N197" s="51">
        <v>-136</v>
      </c>
      <c r="O197" s="51">
        <v>1633</v>
      </c>
      <c r="P197" s="51">
        <v>1979</v>
      </c>
      <c r="Q197" s="52">
        <v>8188</v>
      </c>
      <c r="R197" s="51">
        <v>503</v>
      </c>
      <c r="S197" s="52">
        <v>3097</v>
      </c>
      <c r="T197" s="52">
        <v>4009</v>
      </c>
      <c r="U197" s="51">
        <v>8080</v>
      </c>
      <c r="V197" s="51">
        <v>-227</v>
      </c>
      <c r="W197" s="51">
        <v>3105</v>
      </c>
      <c r="X197" s="7">
        <v>0.14745405680249871</v>
      </c>
      <c r="Y197" s="10">
        <v>-6.8367411533835076E-3</v>
      </c>
      <c r="Z197" s="10">
        <v>-4.6529415514054429E-2</v>
      </c>
      <c r="AA197" s="10">
        <v>5.347951066247969E-4</v>
      </c>
    </row>
    <row r="198" spans="2:27" x14ac:dyDescent="0.3">
      <c r="B198" s="12">
        <v>1719</v>
      </c>
      <c r="C198" s="3" t="s">
        <v>737</v>
      </c>
      <c r="D198" s="3" t="str">
        <f>VLOOKUP(B198,기업리스트!B:G,2,FALSE)</f>
        <v>Hazama Ando Corporation</v>
      </c>
      <c r="E198" s="3" t="s">
        <v>709</v>
      </c>
      <c r="F198" s="5">
        <v>0</v>
      </c>
      <c r="G198" s="51">
        <v>7475</v>
      </c>
      <c r="H198" s="51">
        <v>6540</v>
      </c>
      <c r="I198" s="51">
        <v>7619</v>
      </c>
      <c r="J198" s="51">
        <v>1909</v>
      </c>
      <c r="K198" s="51">
        <v>6038</v>
      </c>
      <c r="L198" s="51">
        <v>5591</v>
      </c>
      <c r="M198" s="51">
        <v>6316</v>
      </c>
      <c r="N198" s="51">
        <v>2720</v>
      </c>
      <c r="O198" s="51">
        <v>2511</v>
      </c>
      <c r="P198" s="51">
        <v>4684</v>
      </c>
      <c r="Q198" s="52">
        <v>8677</v>
      </c>
      <c r="R198" s="51">
        <v>2955</v>
      </c>
      <c r="S198" s="52">
        <v>6772</v>
      </c>
      <c r="T198" s="52">
        <v>9455</v>
      </c>
      <c r="U198" s="52">
        <v>16063</v>
      </c>
      <c r="V198" s="51">
        <v>5303</v>
      </c>
      <c r="W198" s="51">
        <v>6773</v>
      </c>
      <c r="X198" s="7">
        <v>0.2066441441441442</v>
      </c>
      <c r="Y198" s="8">
        <v>0.26512078681934009</v>
      </c>
      <c r="Z198" s="10">
        <v>6.6619378635267346E-2</v>
      </c>
      <c r="AA198" s="10">
        <v>2.6600696938272609E-5</v>
      </c>
    </row>
    <row r="199" spans="2:27" x14ac:dyDescent="0.3">
      <c r="B199" s="12">
        <v>6005</v>
      </c>
      <c r="C199" s="3" t="s">
        <v>737</v>
      </c>
      <c r="D199" s="3" t="str">
        <f>VLOOKUP(B199,기업리스트!B:G,2,FALSE)</f>
        <v>Miura Co., Ltd.</v>
      </c>
      <c r="E199" s="3" t="s">
        <v>709</v>
      </c>
      <c r="F199" s="5">
        <v>0</v>
      </c>
      <c r="G199" s="51">
        <v>6188</v>
      </c>
      <c r="H199" s="51">
        <v>4896</v>
      </c>
      <c r="I199" s="51">
        <v>5071</v>
      </c>
      <c r="J199" s="51">
        <v>3118</v>
      </c>
      <c r="K199" s="51">
        <v>6211</v>
      </c>
      <c r="L199" s="51">
        <v>5615</v>
      </c>
      <c r="M199" s="51">
        <v>6766</v>
      </c>
      <c r="N199" s="51">
        <v>3531</v>
      </c>
      <c r="O199" s="51">
        <v>6331</v>
      </c>
      <c r="P199" s="51">
        <v>5841</v>
      </c>
      <c r="Q199" s="51">
        <v>7148</v>
      </c>
      <c r="R199" s="51">
        <v>2007</v>
      </c>
      <c r="S199" s="52">
        <v>10427</v>
      </c>
      <c r="T199" s="52">
        <v>10532</v>
      </c>
      <c r="U199" s="51">
        <v>2529</v>
      </c>
      <c r="V199" s="51">
        <v>3512</v>
      </c>
      <c r="W199" s="51">
        <v>10430</v>
      </c>
      <c r="X199" s="7">
        <v>0.18451795618141051</v>
      </c>
      <c r="Y199" s="10">
        <v>-0.15338380819552369</v>
      </c>
      <c r="Z199" s="10">
        <v>5.9031182584820652E-2</v>
      </c>
      <c r="AA199" s="10">
        <v>1.111111111111729E-4</v>
      </c>
    </row>
    <row r="200" spans="2:27" hidden="1" x14ac:dyDescent="0.3">
      <c r="B200" s="3">
        <v>6524</v>
      </c>
      <c r="C200" s="3" t="s">
        <v>737</v>
      </c>
      <c r="D200" s="3" t="str">
        <f>VLOOKUP(B200,기업리스트!B:G,2,FALSE)</f>
        <v>Kohoku Kogyo CO.,LTD.</v>
      </c>
      <c r="E200" s="3" t="s">
        <v>743</v>
      </c>
      <c r="F200" s="5">
        <v>0</v>
      </c>
      <c r="G200" s="3"/>
      <c r="H200" s="4">
        <v>935</v>
      </c>
      <c r="I200" s="4">
        <v>1063</v>
      </c>
      <c r="J200" s="4">
        <v>979</v>
      </c>
      <c r="K200" s="4">
        <v>1073</v>
      </c>
      <c r="L200" s="4">
        <v>770</v>
      </c>
      <c r="M200" s="4">
        <v>847</v>
      </c>
      <c r="N200" s="4">
        <v>840</v>
      </c>
      <c r="O200" s="4">
        <v>608</v>
      </c>
      <c r="P200" s="4">
        <v>518</v>
      </c>
      <c r="Q200" s="4">
        <v>636</v>
      </c>
      <c r="R200" s="6">
        <v>1153</v>
      </c>
      <c r="S200" s="6">
        <v>1386</v>
      </c>
      <c r="T200" s="4">
        <v>766</v>
      </c>
      <c r="U200" s="4">
        <v>671</v>
      </c>
      <c r="V200" s="4">
        <v>1143</v>
      </c>
      <c r="W200" s="4">
        <v>1385</v>
      </c>
      <c r="X200" s="9">
        <v>6.7154075277552128E-2</v>
      </c>
      <c r="Y200" s="10">
        <v>8.8809946714032417E-3</v>
      </c>
      <c r="Z200" s="10">
        <v>-2.515090543259602E-3</v>
      </c>
      <c r="AA200" s="10">
        <v>-2.5214321734745582E-4</v>
      </c>
    </row>
    <row r="201" spans="2:27" x14ac:dyDescent="0.3">
      <c r="B201" s="12">
        <v>4041</v>
      </c>
      <c r="C201" s="3" t="s">
        <v>737</v>
      </c>
      <c r="D201" s="3" t="str">
        <f>VLOOKUP(B201,기업리스트!B:G,2,FALSE)</f>
        <v>Nippon Soda Co., Ltd.</v>
      </c>
      <c r="E201" s="3" t="s">
        <v>709</v>
      </c>
      <c r="F201" s="5">
        <v>-0.7</v>
      </c>
      <c r="G201" s="51">
        <v>1149</v>
      </c>
      <c r="H201" s="51">
        <v>2949</v>
      </c>
      <c r="I201" s="51">
        <v>5494</v>
      </c>
      <c r="J201" s="51">
        <v>5840</v>
      </c>
      <c r="K201" s="52">
        <v>3136</v>
      </c>
      <c r="L201" s="52">
        <v>5805</v>
      </c>
      <c r="M201" s="51">
        <v>2113</v>
      </c>
      <c r="N201" s="51">
        <v>4822</v>
      </c>
      <c r="O201" s="51">
        <v>1637</v>
      </c>
      <c r="P201" s="51">
        <v>3316</v>
      </c>
      <c r="Q201" s="52">
        <v>4098</v>
      </c>
      <c r="R201" s="51">
        <v>3070</v>
      </c>
      <c r="S201" s="52">
        <v>4009</v>
      </c>
      <c r="T201" s="51">
        <v>4493</v>
      </c>
      <c r="U201" s="51">
        <v>4865</v>
      </c>
      <c r="V201" s="51">
        <v>3157</v>
      </c>
      <c r="W201" s="51">
        <v>3897</v>
      </c>
      <c r="X201" s="9">
        <v>8.1211619402470125E-2</v>
      </c>
      <c r="Y201" s="10">
        <v>4.8947032546266638E-2</v>
      </c>
      <c r="Z201" s="10">
        <v>5.2929366672751499E-3</v>
      </c>
      <c r="AA201" s="10">
        <v>-6.7780198499153288E-3</v>
      </c>
    </row>
    <row r="202" spans="2:27" hidden="1" x14ac:dyDescent="0.3">
      <c r="B202" s="3">
        <v>8113</v>
      </c>
      <c r="C202" s="3" t="s">
        <v>737</v>
      </c>
      <c r="D202" s="3" t="str">
        <f>VLOOKUP(B202,기업리스트!B:G,2,FALSE)</f>
        <v>Unicharm Corporation</v>
      </c>
      <c r="E202" s="3" t="s">
        <v>743</v>
      </c>
      <c r="F202" s="5">
        <v>-0.7</v>
      </c>
      <c r="G202" s="4">
        <v>36101</v>
      </c>
      <c r="H202" s="4">
        <v>24292</v>
      </c>
      <c r="I202" s="4">
        <v>30030</v>
      </c>
      <c r="J202" s="4">
        <v>24292</v>
      </c>
      <c r="K202" s="4">
        <v>35084</v>
      </c>
      <c r="L202" s="4">
        <v>30263</v>
      </c>
      <c r="M202" s="4">
        <v>28347</v>
      </c>
      <c r="N202" s="4">
        <v>30670</v>
      </c>
      <c r="O202" s="4">
        <v>39309</v>
      </c>
      <c r="P202" s="4">
        <v>36438</v>
      </c>
      <c r="Q202" s="4">
        <v>37445</v>
      </c>
      <c r="R202" s="4">
        <v>35481</v>
      </c>
      <c r="S202" s="4">
        <v>30490</v>
      </c>
      <c r="T202" s="4">
        <v>31892</v>
      </c>
      <c r="U202" s="4">
        <v>29018</v>
      </c>
      <c r="V202" s="4">
        <v>32603</v>
      </c>
      <c r="W202" s="4">
        <v>29635</v>
      </c>
      <c r="X202" s="9">
        <v>-3.2505326983854547E-2</v>
      </c>
      <c r="Y202" s="10">
        <v>-6.2280131256097222E-2</v>
      </c>
      <c r="Z202" s="10">
        <v>-2.268267116431932E-2</v>
      </c>
      <c r="AA202" s="10">
        <v>-6.8949944759401083E-3</v>
      </c>
    </row>
    <row r="203" spans="2:27" x14ac:dyDescent="0.3">
      <c r="B203" s="12">
        <v>8876</v>
      </c>
      <c r="C203" s="3" t="s">
        <v>737</v>
      </c>
      <c r="D203" s="3" t="str">
        <f>VLOOKUP(B203,기업리스트!B:G,2,FALSE)</f>
        <v>Relo Group, Inc.</v>
      </c>
      <c r="E203" s="3" t="s">
        <v>709</v>
      </c>
      <c r="F203" s="5">
        <v>-0.7</v>
      </c>
      <c r="G203" s="51">
        <v>4636</v>
      </c>
      <c r="H203" s="51">
        <v>3448</v>
      </c>
      <c r="I203" s="51">
        <v>4776</v>
      </c>
      <c r="J203" s="51">
        <v>5894</v>
      </c>
      <c r="K203" s="52">
        <v>6515</v>
      </c>
      <c r="L203" s="51">
        <v>4978</v>
      </c>
      <c r="M203" s="51">
        <v>3277</v>
      </c>
      <c r="N203" s="51">
        <v>5742</v>
      </c>
      <c r="O203" s="51">
        <v>6785</v>
      </c>
      <c r="P203" s="51">
        <v>5464</v>
      </c>
      <c r="Q203" s="52">
        <v>6933</v>
      </c>
      <c r="R203" s="51">
        <v>7047</v>
      </c>
      <c r="S203" s="51">
        <v>8617</v>
      </c>
      <c r="T203" s="51">
        <v>6050</v>
      </c>
      <c r="U203" s="51">
        <v>5712</v>
      </c>
      <c r="V203" s="51">
        <v>6417</v>
      </c>
      <c r="W203" s="51">
        <v>8436</v>
      </c>
      <c r="X203" s="9">
        <v>2.0883076155518321E-2</v>
      </c>
      <c r="Y203" s="10">
        <v>-4.2622264111425327E-2</v>
      </c>
      <c r="Z203" s="10">
        <v>-2.297090352220521E-2</v>
      </c>
      <c r="AA203" s="10">
        <v>-6.7547395133602528E-3</v>
      </c>
    </row>
    <row r="204" spans="2:27" x14ac:dyDescent="0.3">
      <c r="B204" s="12">
        <v>9006</v>
      </c>
      <c r="C204" s="3" t="s">
        <v>737</v>
      </c>
      <c r="D204" s="3" t="str">
        <f>VLOOKUP(B204,기업리스트!B:G,2,FALSE)</f>
        <v>Keikyu Corporation</v>
      </c>
      <c r="E204" s="3" t="s">
        <v>709</v>
      </c>
      <c r="F204" s="5">
        <v>-0.8</v>
      </c>
      <c r="G204" s="51">
        <v>-440</v>
      </c>
      <c r="H204" s="51">
        <v>2728</v>
      </c>
      <c r="I204" s="51">
        <v>3706</v>
      </c>
      <c r="J204" s="51">
        <v>1932</v>
      </c>
      <c r="K204" s="52">
        <v>3549</v>
      </c>
      <c r="L204" s="52">
        <v>3973</v>
      </c>
      <c r="M204" s="51">
        <v>1366</v>
      </c>
      <c r="N204" s="52">
        <v>5507</v>
      </c>
      <c r="O204" s="52">
        <v>8305</v>
      </c>
      <c r="P204" s="52">
        <v>9541</v>
      </c>
      <c r="Q204" s="52">
        <v>4688</v>
      </c>
      <c r="R204" s="52">
        <v>8711</v>
      </c>
      <c r="S204" s="51">
        <v>10291</v>
      </c>
      <c r="T204" s="51">
        <v>8355</v>
      </c>
      <c r="U204" s="52">
        <v>8287</v>
      </c>
      <c r="V204" s="51">
        <v>8533</v>
      </c>
      <c r="W204" s="51">
        <v>10025</v>
      </c>
      <c r="X204" s="9">
        <v>-3.5689566970599773E-2</v>
      </c>
      <c r="Y204" s="8">
        <v>0.1123108129193322</v>
      </c>
      <c r="Z204" s="10">
        <v>-4.9938278532151159E-3</v>
      </c>
      <c r="AA204" s="10">
        <v>-7.5001409800936614E-3</v>
      </c>
    </row>
    <row r="205" spans="2:27" x14ac:dyDescent="0.3">
      <c r="B205" s="12">
        <v>9024</v>
      </c>
      <c r="C205" s="3" t="s">
        <v>737</v>
      </c>
      <c r="D205" s="3" t="str">
        <f>VLOOKUP(B205,기업리스트!B:G,2,FALSE)</f>
        <v>Seibu Holdings Inc.</v>
      </c>
      <c r="E205" s="3" t="s">
        <v>691</v>
      </c>
      <c r="F205" s="5">
        <v>-1.1000000000000001</v>
      </c>
      <c r="G205" s="51">
        <v>-879</v>
      </c>
      <c r="H205" s="51">
        <v>-8804</v>
      </c>
      <c r="I205" s="51">
        <v>7625</v>
      </c>
      <c r="J205" s="51">
        <v>5792</v>
      </c>
      <c r="K205" s="52">
        <v>6711</v>
      </c>
      <c r="L205" s="52">
        <v>2028</v>
      </c>
      <c r="M205" s="52">
        <v>14654</v>
      </c>
      <c r="N205" s="52">
        <v>17165</v>
      </c>
      <c r="O205" s="52">
        <v>15784</v>
      </c>
      <c r="P205" s="51">
        <v>109</v>
      </c>
      <c r="Q205" s="52">
        <v>19960</v>
      </c>
      <c r="R205" s="51">
        <v>13830</v>
      </c>
      <c r="S205" s="51">
        <v>16639</v>
      </c>
      <c r="T205" s="52">
        <v>242307</v>
      </c>
      <c r="U205" s="51">
        <v>18438</v>
      </c>
      <c r="V205" s="51">
        <v>12871</v>
      </c>
      <c r="W205" s="51">
        <v>13590</v>
      </c>
      <c r="X205" s="7">
        <v>4.7923938422573116</v>
      </c>
      <c r="Y205" s="10">
        <v>-5.1992238740707908E-3</v>
      </c>
      <c r="Z205" s="10">
        <v>-3.2931109081294489E-3</v>
      </c>
      <c r="AA205" s="10">
        <v>-1.050455633839209E-2</v>
      </c>
    </row>
    <row r="206" spans="2:27" x14ac:dyDescent="0.3">
      <c r="B206" s="12">
        <v>9987</v>
      </c>
      <c r="C206" s="3" t="s">
        <v>737</v>
      </c>
      <c r="D206" s="3" t="str">
        <f>VLOOKUP(B206,기업리스트!B:G,2,FALSE)</f>
        <v>Suzuken Co., Ltd.</v>
      </c>
      <c r="E206" s="3" t="s">
        <v>709</v>
      </c>
      <c r="F206" s="5">
        <v>-1.1000000000000001</v>
      </c>
      <c r="G206" s="51">
        <v>7466</v>
      </c>
      <c r="H206" s="51">
        <v>4130</v>
      </c>
      <c r="I206" s="51">
        <v>5773</v>
      </c>
      <c r="J206" s="51">
        <v>3551</v>
      </c>
      <c r="K206" s="52">
        <v>11332</v>
      </c>
      <c r="L206" s="52">
        <v>9534</v>
      </c>
      <c r="M206" s="51">
        <v>8189</v>
      </c>
      <c r="N206" s="51">
        <v>4056</v>
      </c>
      <c r="O206" s="51">
        <v>12511</v>
      </c>
      <c r="P206" s="51">
        <v>9954</v>
      </c>
      <c r="Q206" s="51">
        <v>8355</v>
      </c>
      <c r="R206" s="51">
        <v>5244</v>
      </c>
      <c r="S206" s="51">
        <v>11859</v>
      </c>
      <c r="T206" s="51">
        <v>12697</v>
      </c>
      <c r="U206" s="51">
        <v>7326</v>
      </c>
      <c r="V206" s="51">
        <v>5529</v>
      </c>
      <c r="W206" s="51">
        <v>11430</v>
      </c>
      <c r="X206" s="9">
        <v>7.7459618208516989E-2</v>
      </c>
      <c r="Y206" s="10">
        <v>-2.696894247149784E-2</v>
      </c>
      <c r="Z206" s="10">
        <v>7.6765609007165558E-3</v>
      </c>
      <c r="AA206" s="10">
        <v>-1.146721552484564E-2</v>
      </c>
    </row>
    <row r="207" spans="2:27" x14ac:dyDescent="0.3">
      <c r="B207" s="12">
        <v>6287</v>
      </c>
      <c r="C207" s="3" t="s">
        <v>737</v>
      </c>
      <c r="D207" s="3" t="str">
        <f>VLOOKUP(B207,기업리스트!B:G,2,FALSE)</f>
        <v>Sato Corporation</v>
      </c>
      <c r="E207" s="3" t="s">
        <v>709</v>
      </c>
      <c r="F207" s="5">
        <v>-1.5</v>
      </c>
      <c r="G207" s="51">
        <v>1074</v>
      </c>
      <c r="H207" s="51">
        <v>1964</v>
      </c>
      <c r="I207" s="51">
        <v>1660</v>
      </c>
      <c r="J207" s="51">
        <v>826</v>
      </c>
      <c r="K207" s="52">
        <v>2951</v>
      </c>
      <c r="L207" s="52">
        <v>3304</v>
      </c>
      <c r="M207" s="51">
        <v>1761</v>
      </c>
      <c r="N207" s="52">
        <v>2161</v>
      </c>
      <c r="O207" s="51">
        <v>2461</v>
      </c>
      <c r="P207" s="51">
        <v>3467</v>
      </c>
      <c r="Q207" s="51">
        <v>2296</v>
      </c>
      <c r="R207" s="51">
        <v>2864</v>
      </c>
      <c r="S207" s="51">
        <v>2915</v>
      </c>
      <c r="T207" s="51">
        <v>4087</v>
      </c>
      <c r="U207" s="51">
        <v>2476</v>
      </c>
      <c r="V207" s="51">
        <v>2360</v>
      </c>
      <c r="W207" s="51">
        <v>2743</v>
      </c>
      <c r="X207" s="9">
        <v>5.3716860162883462E-2</v>
      </c>
      <c r="Y207" s="10">
        <v>1.4800197335964381E-2</v>
      </c>
      <c r="Z207" s="10">
        <v>-4.0836169178415149E-2</v>
      </c>
      <c r="AA207" s="10">
        <v>-1.452948133130594E-2</v>
      </c>
    </row>
    <row r="208" spans="2:27" x14ac:dyDescent="0.3">
      <c r="B208" s="12">
        <v>8117</v>
      </c>
      <c r="C208" s="3" t="s">
        <v>737</v>
      </c>
      <c r="D208" s="3" t="str">
        <f>VLOOKUP(B208,기업리스트!B:G,2,FALSE)</f>
        <v>Central Automotive Products Ltd.</v>
      </c>
      <c r="E208" s="3" t="s">
        <v>709</v>
      </c>
      <c r="F208" s="5">
        <v>-1.6</v>
      </c>
      <c r="G208" s="51">
        <v>1478</v>
      </c>
      <c r="H208" s="51">
        <v>1563</v>
      </c>
      <c r="I208" s="51">
        <v>1874</v>
      </c>
      <c r="J208" s="51">
        <v>1361</v>
      </c>
      <c r="K208" s="51">
        <v>2034</v>
      </c>
      <c r="L208" s="52">
        <v>2314</v>
      </c>
      <c r="M208" s="52">
        <v>2647</v>
      </c>
      <c r="N208" s="52">
        <v>2339</v>
      </c>
      <c r="O208" s="51">
        <v>2653</v>
      </c>
      <c r="P208" s="51">
        <v>2722</v>
      </c>
      <c r="Q208" s="51">
        <v>2453</v>
      </c>
      <c r="R208" s="51">
        <v>2273</v>
      </c>
      <c r="S208" s="51">
        <v>2900</v>
      </c>
      <c r="T208" s="51">
        <v>3009</v>
      </c>
      <c r="U208" s="51">
        <v>2858</v>
      </c>
      <c r="V208" s="51">
        <v>2446</v>
      </c>
      <c r="W208" s="51">
        <v>2726</v>
      </c>
      <c r="X208" s="9">
        <v>2.7734827986084291E-2</v>
      </c>
      <c r="Y208" s="10">
        <v>3.8081805359661443E-2</v>
      </c>
      <c r="Z208" s="10">
        <v>1.5670289855072461E-2</v>
      </c>
      <c r="AA208" s="10">
        <v>-1.551770266654773E-2</v>
      </c>
    </row>
    <row r="209" spans="2:27" hidden="1" x14ac:dyDescent="0.3">
      <c r="B209" s="3">
        <v>6498</v>
      </c>
      <c r="C209" s="3" t="s">
        <v>737</v>
      </c>
      <c r="D209" s="3" t="str">
        <f>VLOOKUP(B209,기업리스트!B:G,2,FALSE)</f>
        <v>KITZ Corporation</v>
      </c>
      <c r="E209" s="3" t="s">
        <v>743</v>
      </c>
      <c r="F209" s="5">
        <v>-2.6</v>
      </c>
      <c r="G209" s="4">
        <v>2622</v>
      </c>
      <c r="H209" s="4">
        <v>2468</v>
      </c>
      <c r="I209" s="4">
        <v>2722</v>
      </c>
      <c r="J209" s="4">
        <v>2877</v>
      </c>
      <c r="K209" s="4">
        <v>2927</v>
      </c>
      <c r="L209" s="4">
        <v>2526</v>
      </c>
      <c r="M209" s="4">
        <v>3497</v>
      </c>
      <c r="N209" s="4">
        <v>3077</v>
      </c>
      <c r="O209" s="4">
        <v>4128</v>
      </c>
      <c r="P209" s="4">
        <v>2987</v>
      </c>
      <c r="Q209" s="4">
        <v>2813</v>
      </c>
      <c r="R209" s="4">
        <v>3695</v>
      </c>
      <c r="S209" s="4">
        <v>4335</v>
      </c>
      <c r="T209" s="4">
        <v>3377</v>
      </c>
      <c r="U209" s="4">
        <v>3378</v>
      </c>
      <c r="V209" s="4">
        <v>4556</v>
      </c>
      <c r="W209" s="4">
        <v>3933</v>
      </c>
      <c r="X209" s="9">
        <v>2.8199566160520551E-2</v>
      </c>
      <c r="Y209" s="10">
        <v>3.9732770745428907E-2</v>
      </c>
      <c r="Z209" s="10">
        <v>5.8234697328373393E-2</v>
      </c>
      <c r="AA209" s="10">
        <v>-2.5693467979036159E-2</v>
      </c>
    </row>
    <row r="210" spans="2:27" x14ac:dyDescent="0.3">
      <c r="B210" s="12">
        <v>5970</v>
      </c>
      <c r="C210" s="3" t="s">
        <v>737</v>
      </c>
      <c r="D210" s="3" t="str">
        <f>VLOOKUP(B210,기업리스트!B:G,2,FALSE)</f>
        <v>G-Tekt Corporation</v>
      </c>
      <c r="E210" s="3" t="s">
        <v>709</v>
      </c>
      <c r="F210" s="5">
        <v>-2.7</v>
      </c>
      <c r="G210" s="51">
        <v>1922</v>
      </c>
      <c r="H210" s="51">
        <v>3039</v>
      </c>
      <c r="I210" s="51">
        <v>4333</v>
      </c>
      <c r="J210" s="51">
        <v>2106</v>
      </c>
      <c r="K210" s="52">
        <v>5096</v>
      </c>
      <c r="L210" s="51">
        <v>3018</v>
      </c>
      <c r="M210" s="51">
        <v>2618</v>
      </c>
      <c r="N210" s="51">
        <v>2611</v>
      </c>
      <c r="O210" s="51">
        <v>3674</v>
      </c>
      <c r="P210" s="52">
        <v>5576</v>
      </c>
      <c r="Q210" s="52">
        <v>4382</v>
      </c>
      <c r="R210" s="51">
        <v>3059</v>
      </c>
      <c r="S210" s="51">
        <v>2298</v>
      </c>
      <c r="T210" s="51">
        <v>5598</v>
      </c>
      <c r="U210" s="51">
        <v>5427</v>
      </c>
      <c r="V210" s="51">
        <v>2606</v>
      </c>
      <c r="W210" s="51">
        <v>1861</v>
      </c>
      <c r="X210" s="9">
        <v>1.436500163238597E-3</v>
      </c>
      <c r="Y210" s="10">
        <v>6.8135880550303174E-2</v>
      </c>
      <c r="Z210" s="10">
        <v>-2.76523013063118E-2</v>
      </c>
      <c r="AA210" s="10">
        <v>-2.743423943750389E-2</v>
      </c>
    </row>
    <row r="211" spans="2:27" x14ac:dyDescent="0.3">
      <c r="B211" s="12">
        <v>6523</v>
      </c>
      <c r="C211" s="3" t="s">
        <v>737</v>
      </c>
      <c r="D211" s="3" t="str">
        <f>VLOOKUP(B211,기업리스트!B:G,2,FALSE)</f>
        <v>PHC Holdings Corporation</v>
      </c>
      <c r="E211" s="3" t="s">
        <v>709</v>
      </c>
      <c r="F211" s="5">
        <v>-3.4</v>
      </c>
      <c r="G211" s="51">
        <v>7964</v>
      </c>
      <c r="H211" s="51">
        <v>10653</v>
      </c>
      <c r="I211" s="51">
        <v>1544</v>
      </c>
      <c r="J211" s="51">
        <v>2173</v>
      </c>
      <c r="K211" s="51">
        <v>8635</v>
      </c>
      <c r="L211" s="51">
        <v>10887</v>
      </c>
      <c r="M211" s="52">
        <v>7719</v>
      </c>
      <c r="N211" s="51">
        <v>1798</v>
      </c>
      <c r="O211" s="51">
        <v>2523</v>
      </c>
      <c r="P211" s="51">
        <v>-9267</v>
      </c>
      <c r="Q211" s="52">
        <v>16101</v>
      </c>
      <c r="R211" s="51">
        <v>2101</v>
      </c>
      <c r="S211" s="52">
        <v>7274</v>
      </c>
      <c r="T211" s="52">
        <v>7929</v>
      </c>
      <c r="U211" s="51">
        <v>5187</v>
      </c>
      <c r="V211" s="51">
        <v>3853</v>
      </c>
      <c r="W211" s="51">
        <v>6459</v>
      </c>
      <c r="X211" s="7">
        <v>1.060892096983157</v>
      </c>
      <c r="Y211" s="10">
        <v>-0.32671755725190837</v>
      </c>
      <c r="Z211" s="10">
        <v>7.7897825796985565E-2</v>
      </c>
      <c r="AA211" s="10">
        <v>-3.3617951573650107E-2</v>
      </c>
    </row>
    <row r="212" spans="2:27" hidden="1" x14ac:dyDescent="0.3">
      <c r="B212" s="3">
        <v>6250</v>
      </c>
      <c r="C212" s="3" t="s">
        <v>737</v>
      </c>
      <c r="D212" s="3" t="str">
        <f>VLOOKUP(B212,기업리스트!B:G,2,FALSE)</f>
        <v>Yamabiko Corporation</v>
      </c>
      <c r="E212" s="3" t="s">
        <v>743</v>
      </c>
      <c r="F212" s="5">
        <v>-4</v>
      </c>
      <c r="G212" s="4">
        <v>2975</v>
      </c>
      <c r="H212" s="4">
        <v>-509</v>
      </c>
      <c r="I212" s="4">
        <v>2972</v>
      </c>
      <c r="J212" s="4">
        <v>3396</v>
      </c>
      <c r="K212" s="4">
        <v>3108</v>
      </c>
      <c r="L212" s="4">
        <v>-787</v>
      </c>
      <c r="M212" s="6">
        <v>6027</v>
      </c>
      <c r="N212" s="4">
        <v>4198</v>
      </c>
      <c r="O212" s="4">
        <v>3029</v>
      </c>
      <c r="P212" s="6">
        <v>978</v>
      </c>
      <c r="Q212" s="4">
        <v>6120</v>
      </c>
      <c r="R212" s="4">
        <v>5267</v>
      </c>
      <c r="S212" s="6">
        <v>5852</v>
      </c>
      <c r="T212" s="4">
        <v>2399</v>
      </c>
      <c r="U212" s="4">
        <v>5576</v>
      </c>
      <c r="V212" s="4">
        <v>6168</v>
      </c>
      <c r="W212" s="4">
        <v>5056</v>
      </c>
      <c r="X212" s="9">
        <v>7.8004062139759522E-2</v>
      </c>
      <c r="Y212" s="10">
        <v>-2.77013952540992E-2</v>
      </c>
      <c r="Z212" s="10">
        <v>4.7187598198386922E-2</v>
      </c>
      <c r="AA212" s="10">
        <v>-3.9809952488122018E-2</v>
      </c>
    </row>
    <row r="213" spans="2:27" x14ac:dyDescent="0.3">
      <c r="B213" s="12">
        <v>1879</v>
      </c>
      <c r="C213" s="3" t="s">
        <v>737</v>
      </c>
      <c r="D213" s="3" t="str">
        <f>VLOOKUP(B213,기업리스트!B:G,2,FALSE)</f>
        <v>Shinnihon Corporation</v>
      </c>
      <c r="E213" s="3" t="s">
        <v>709</v>
      </c>
      <c r="F213" s="5">
        <v>-4.3</v>
      </c>
      <c r="G213" s="51">
        <v>3406</v>
      </c>
      <c r="H213" s="51">
        <v>4356</v>
      </c>
      <c r="I213" s="51">
        <v>6143</v>
      </c>
      <c r="J213" s="51">
        <v>1969</v>
      </c>
      <c r="K213" s="51">
        <v>4180</v>
      </c>
      <c r="L213" s="51">
        <v>3636</v>
      </c>
      <c r="M213" s="51">
        <v>7402</v>
      </c>
      <c r="N213" s="51">
        <v>2188</v>
      </c>
      <c r="O213" s="51">
        <v>4395</v>
      </c>
      <c r="P213" s="51">
        <v>3455</v>
      </c>
      <c r="Q213" s="51">
        <v>7540</v>
      </c>
      <c r="R213" s="51">
        <v>1901</v>
      </c>
      <c r="S213" s="51">
        <v>4396</v>
      </c>
      <c r="T213" s="51">
        <v>3562</v>
      </c>
      <c r="U213" s="51">
        <v>8452</v>
      </c>
      <c r="V213" s="51">
        <v>3658</v>
      </c>
      <c r="W213" s="51">
        <v>3543</v>
      </c>
      <c r="X213" s="9">
        <v>6.1878325237103571E-3</v>
      </c>
      <c r="Y213" s="10">
        <v>5.2416805563538123E-2</v>
      </c>
      <c r="Z213" s="10">
        <v>9.595325214352024E-2</v>
      </c>
      <c r="AA213" s="10">
        <v>-4.2505481363364517E-2</v>
      </c>
    </row>
    <row r="214" spans="2:27" hidden="1" x14ac:dyDescent="0.3">
      <c r="B214" s="3">
        <v>9722</v>
      </c>
      <c r="C214" s="3" t="s">
        <v>737</v>
      </c>
      <c r="D214" s="3" t="str">
        <f>VLOOKUP(B214,기업리스트!B:G,2,FALSE)</f>
        <v>Fujita Kanko Inc.</v>
      </c>
      <c r="E214" s="3" t="s">
        <v>743</v>
      </c>
      <c r="F214" s="5">
        <v>-4.4000000000000004</v>
      </c>
      <c r="G214" s="4">
        <v>-3113</v>
      </c>
      <c r="H214" s="4">
        <v>-2653</v>
      </c>
      <c r="I214" s="4">
        <v>-2214</v>
      </c>
      <c r="J214" s="4">
        <v>-1589</v>
      </c>
      <c r="K214" s="4">
        <v>-574</v>
      </c>
      <c r="L214" s="4">
        <v>329</v>
      </c>
      <c r="M214" s="4">
        <v>55</v>
      </c>
      <c r="N214" s="4">
        <v>1857</v>
      </c>
      <c r="O214" s="6">
        <v>1804</v>
      </c>
      <c r="P214" s="6">
        <v>2922</v>
      </c>
      <c r="Q214" s="6">
        <v>2160</v>
      </c>
      <c r="R214" s="6">
        <v>3067</v>
      </c>
      <c r="S214" s="4">
        <v>2556</v>
      </c>
      <c r="T214" s="6">
        <v>4629</v>
      </c>
      <c r="U214" s="6">
        <v>3440</v>
      </c>
      <c r="V214" s="4">
        <v>3924</v>
      </c>
      <c r="W214" s="4">
        <v>1920</v>
      </c>
      <c r="X214" s="7">
        <v>0.1594581971041569</v>
      </c>
      <c r="Y214" s="8">
        <v>0.1031260070899129</v>
      </c>
      <c r="Z214" s="10">
        <v>6.2591294186386204E-2</v>
      </c>
      <c r="AA214" s="10">
        <v>-4.3714344628496771E-2</v>
      </c>
    </row>
    <row r="215" spans="2:27" hidden="1" x14ac:dyDescent="0.3">
      <c r="B215" s="3">
        <v>2502</v>
      </c>
      <c r="C215" s="3" t="s">
        <v>737</v>
      </c>
      <c r="D215" s="3" t="str">
        <f>VLOOKUP(B215,기업리스트!B:G,2,FALSE)</f>
        <v>Asahi Group Holdings, Ltd.</v>
      </c>
      <c r="E215" s="3" t="s">
        <v>749</v>
      </c>
      <c r="F215" s="5">
        <v>-4.8</v>
      </c>
      <c r="G215" s="4">
        <v>57184</v>
      </c>
      <c r="H215" s="4">
        <v>62856</v>
      </c>
      <c r="I215" s="4">
        <v>21990</v>
      </c>
      <c r="J215" s="4">
        <v>9044</v>
      </c>
      <c r="K215" s="6">
        <v>72364</v>
      </c>
      <c r="L215" s="6">
        <v>82147</v>
      </c>
      <c r="M215" s="6">
        <v>62447</v>
      </c>
      <c r="N215" s="6">
        <v>32014</v>
      </c>
      <c r="O215" s="4">
        <v>64059</v>
      </c>
      <c r="P215" s="4">
        <v>93322</v>
      </c>
      <c r="Q215" s="4">
        <v>61353</v>
      </c>
      <c r="R215" s="4">
        <v>32559</v>
      </c>
      <c r="S215" s="4">
        <v>71542</v>
      </c>
      <c r="T215" s="4">
        <v>89381</v>
      </c>
      <c r="U215" s="4">
        <v>67005</v>
      </c>
      <c r="V215" s="4">
        <v>46135</v>
      </c>
      <c r="W215" s="4">
        <v>58320</v>
      </c>
      <c r="X215" s="9">
        <v>-1.5229387578446271E-2</v>
      </c>
      <c r="Y215" s="10">
        <v>2.2179057036906261E-2</v>
      </c>
      <c r="Z215" s="10">
        <v>5.2117764034289582E-2</v>
      </c>
      <c r="AA215" s="10">
        <v>-4.8244381766236237E-2</v>
      </c>
    </row>
    <row r="216" spans="2:27" x14ac:dyDescent="0.3">
      <c r="B216" s="12">
        <v>2587</v>
      </c>
      <c r="C216" s="3" t="s">
        <v>737</v>
      </c>
      <c r="D216" s="3" t="str">
        <f>VLOOKUP(B216,기업리스트!B:G,2,FALSE)</f>
        <v>Suntory Beverage &amp; Food Limited</v>
      </c>
      <c r="E216" s="3" t="s">
        <v>673</v>
      </c>
      <c r="F216" s="5">
        <v>-5.4</v>
      </c>
      <c r="G216" s="51">
        <v>26654</v>
      </c>
      <c r="H216" s="51">
        <v>21584</v>
      </c>
      <c r="I216" s="51">
        <v>58717</v>
      </c>
      <c r="J216" s="51">
        <v>34421</v>
      </c>
      <c r="K216" s="51">
        <v>19064</v>
      </c>
      <c r="L216" s="51">
        <v>25864</v>
      </c>
      <c r="M216" s="51">
        <v>42784</v>
      </c>
      <c r="N216" s="52">
        <v>48012</v>
      </c>
      <c r="O216" s="51">
        <v>29041</v>
      </c>
      <c r="P216" s="51">
        <v>33461</v>
      </c>
      <c r="Q216" s="51">
        <v>47284</v>
      </c>
      <c r="R216" s="51">
        <v>58521</v>
      </c>
      <c r="S216" s="51">
        <v>30713</v>
      </c>
      <c r="T216" s="51">
        <v>27031</v>
      </c>
      <c r="U216" s="51">
        <v>44684</v>
      </c>
      <c r="V216" s="51">
        <v>54854</v>
      </c>
      <c r="W216" s="51">
        <v>22224</v>
      </c>
      <c r="X216" s="9">
        <v>-3.782820230734385E-2</v>
      </c>
      <c r="Y216" s="10">
        <v>-1.589737632146937E-2</v>
      </c>
      <c r="Z216" s="10">
        <v>-2.278361468539725E-2</v>
      </c>
      <c r="AA216" s="10">
        <v>-5.39731183479355E-2</v>
      </c>
    </row>
    <row r="217" spans="2:27" x14ac:dyDescent="0.3">
      <c r="B217" s="12">
        <v>7014</v>
      </c>
      <c r="C217" s="3" t="s">
        <v>737</v>
      </c>
      <c r="D217" s="3" t="str">
        <f>VLOOKUP(B217,기업리스트!B:G,2,FALSE)</f>
        <v>Namura Shipbuilding Co., Ltd.</v>
      </c>
      <c r="E217" s="3" t="s">
        <v>709</v>
      </c>
      <c r="F217" s="5">
        <v>-5.5</v>
      </c>
      <c r="G217" s="51">
        <v>-549</v>
      </c>
      <c r="H217" s="51">
        <v>1038</v>
      </c>
      <c r="I217" s="51">
        <v>-4151</v>
      </c>
      <c r="J217" s="51">
        <v>7809</v>
      </c>
      <c r="K217" s="52">
        <v>1514</v>
      </c>
      <c r="L217" s="51">
        <v>468</v>
      </c>
      <c r="M217" s="52">
        <v>-196</v>
      </c>
      <c r="N217" s="51">
        <v>2874</v>
      </c>
      <c r="O217" s="52">
        <v>3695</v>
      </c>
      <c r="P217" s="52">
        <v>5118</v>
      </c>
      <c r="Q217" s="52">
        <v>4806</v>
      </c>
      <c r="R217" s="52">
        <v>8614</v>
      </c>
      <c r="S217" s="52">
        <v>6473</v>
      </c>
      <c r="T217" s="52">
        <v>8727</v>
      </c>
      <c r="U217" s="51">
        <v>5652</v>
      </c>
      <c r="V217" s="51">
        <v>5758</v>
      </c>
      <c r="W217" s="51">
        <v>5014</v>
      </c>
      <c r="X217" s="7">
        <v>0.1442965095358042</v>
      </c>
      <c r="Y217" s="10">
        <v>2.955974842767306E-2</v>
      </c>
      <c r="Z217" s="10">
        <v>-9.6925269802484171E-2</v>
      </c>
      <c r="AA217" s="10">
        <v>-5.4829011649755732E-2</v>
      </c>
    </row>
    <row r="218" spans="2:27" x14ac:dyDescent="0.3">
      <c r="B218" s="12">
        <v>5991</v>
      </c>
      <c r="C218" s="3" t="s">
        <v>737</v>
      </c>
      <c r="D218" s="3" t="str">
        <f>VLOOKUP(B218,기업리스트!B:G,2,FALSE)</f>
        <v>NHK Spring Co., Ltd.</v>
      </c>
      <c r="E218" s="3" t="s">
        <v>709</v>
      </c>
      <c r="F218" s="5">
        <v>-6.2</v>
      </c>
      <c r="G218" s="51">
        <v>4128</v>
      </c>
      <c r="H218" s="51">
        <v>6033</v>
      </c>
      <c r="I218" s="51">
        <v>5035</v>
      </c>
      <c r="J218" s="51">
        <v>5963</v>
      </c>
      <c r="K218" s="52">
        <v>11320</v>
      </c>
      <c r="L218" s="51">
        <v>7472</v>
      </c>
      <c r="M218" s="51">
        <v>3747</v>
      </c>
      <c r="N218" s="51">
        <v>4941</v>
      </c>
      <c r="O218" s="51">
        <v>3011</v>
      </c>
      <c r="P218" s="52">
        <v>9744</v>
      </c>
      <c r="Q218" s="52">
        <v>16956</v>
      </c>
      <c r="R218" s="52">
        <v>12166</v>
      </c>
      <c r="S218" s="52">
        <v>10642</v>
      </c>
      <c r="T218" s="51">
        <v>12432</v>
      </c>
      <c r="U218" s="51">
        <v>16921</v>
      </c>
      <c r="V218" s="51">
        <v>11048</v>
      </c>
      <c r="W218" s="51">
        <v>7487</v>
      </c>
      <c r="X218" s="9">
        <v>5.4294255473862803E-2</v>
      </c>
      <c r="Y218" s="10">
        <v>-6.7054946739208976E-4</v>
      </c>
      <c r="Z218" s="10">
        <v>-2.1433638158777631E-2</v>
      </c>
      <c r="AA218" s="10">
        <v>-6.1810630252923993E-2</v>
      </c>
    </row>
    <row r="219" spans="2:27" x14ac:dyDescent="0.3">
      <c r="B219" s="12">
        <v>6869</v>
      </c>
      <c r="C219" s="3" t="s">
        <v>737</v>
      </c>
      <c r="D219" s="3" t="str">
        <f>VLOOKUP(B219,기업리스트!B:G,2,FALSE)</f>
        <v>Sysmex Corporation</v>
      </c>
      <c r="E219" s="3" t="s">
        <v>709</v>
      </c>
      <c r="F219" s="5">
        <v>-6.4</v>
      </c>
      <c r="G219" s="51">
        <v>18660</v>
      </c>
      <c r="H219" s="51">
        <v>16160</v>
      </c>
      <c r="I219" s="51">
        <v>19082</v>
      </c>
      <c r="J219" s="51">
        <v>11055</v>
      </c>
      <c r="K219" s="51">
        <v>22097</v>
      </c>
      <c r="L219" s="51">
        <v>21225</v>
      </c>
      <c r="M219" s="51">
        <v>21024</v>
      </c>
      <c r="N219" s="51">
        <v>13279</v>
      </c>
      <c r="O219" s="51">
        <v>20549</v>
      </c>
      <c r="P219" s="51">
        <v>20389</v>
      </c>
      <c r="Q219" s="51">
        <v>25864</v>
      </c>
      <c r="R219" s="51">
        <v>16745</v>
      </c>
      <c r="S219" s="51">
        <v>27758</v>
      </c>
      <c r="T219" s="51">
        <v>22843</v>
      </c>
      <c r="U219" s="51">
        <v>23007</v>
      </c>
      <c r="V219" s="51">
        <v>10630</v>
      </c>
      <c r="W219" s="51">
        <v>22329</v>
      </c>
      <c r="X219" s="9">
        <v>2.7039534576226432E-2</v>
      </c>
      <c r="Y219" s="10">
        <v>-3.0651217680506378E-2</v>
      </c>
      <c r="Z219" s="10">
        <v>-6.7678992396489335E-2</v>
      </c>
      <c r="AA219" s="10">
        <v>-6.4448348726228066E-2</v>
      </c>
    </row>
    <row r="220" spans="2:27" hidden="1" x14ac:dyDescent="0.3">
      <c r="B220" s="3">
        <v>7976</v>
      </c>
      <c r="C220" s="3" t="s">
        <v>737</v>
      </c>
      <c r="D220" s="3" t="str">
        <f>VLOOKUP(B220,기업리스트!B:G,2,FALSE)</f>
        <v>Mitsubishi Pencil Co., Ltd.</v>
      </c>
      <c r="E220" s="3" t="s">
        <v>743</v>
      </c>
      <c r="F220" s="5">
        <v>-6.5</v>
      </c>
      <c r="G220" s="4">
        <v>1350</v>
      </c>
      <c r="H220" s="4">
        <v>2051</v>
      </c>
      <c r="I220" s="4">
        <v>3204</v>
      </c>
      <c r="J220" s="4">
        <v>1469</v>
      </c>
      <c r="K220" s="4">
        <v>1792</v>
      </c>
      <c r="L220" s="4">
        <v>2779</v>
      </c>
      <c r="M220" s="4">
        <v>3346</v>
      </c>
      <c r="N220" s="4">
        <v>2313</v>
      </c>
      <c r="O220" s="4">
        <v>2435</v>
      </c>
      <c r="P220" s="4">
        <v>3758</v>
      </c>
      <c r="Q220" s="4">
        <v>3067</v>
      </c>
      <c r="R220" s="4">
        <v>2186</v>
      </c>
      <c r="S220" s="4">
        <v>2436</v>
      </c>
      <c r="T220" s="4">
        <v>4501</v>
      </c>
      <c r="U220" s="4">
        <v>2507</v>
      </c>
      <c r="V220" s="4">
        <v>2294</v>
      </c>
      <c r="W220" s="4">
        <v>1674</v>
      </c>
      <c r="X220" s="9">
        <v>6.4907836114265649E-2</v>
      </c>
      <c r="Y220" s="10">
        <v>-4.5939294503691497E-2</v>
      </c>
      <c r="Z220" s="10">
        <v>9.2863284608770691E-3</v>
      </c>
      <c r="AA220" s="10">
        <v>-6.491736241267676E-2</v>
      </c>
    </row>
    <row r="221" spans="2:27" x14ac:dyDescent="0.3">
      <c r="B221" s="12">
        <v>6113</v>
      </c>
      <c r="C221" s="3" t="s">
        <v>737</v>
      </c>
      <c r="D221" s="3" t="str">
        <f>VLOOKUP(B221,기업리스트!B:G,2,FALSE)</f>
        <v>Amada Co., Ltd.</v>
      </c>
      <c r="E221" s="3" t="s">
        <v>709</v>
      </c>
      <c r="F221" s="5">
        <v>-7.6</v>
      </c>
      <c r="G221" s="51">
        <v>12260</v>
      </c>
      <c r="H221" s="51">
        <v>8987</v>
      </c>
      <c r="I221" s="51">
        <v>13502</v>
      </c>
      <c r="J221" s="51">
        <v>7785</v>
      </c>
      <c r="K221" s="51">
        <v>16029</v>
      </c>
      <c r="L221" s="51">
        <v>11189</v>
      </c>
      <c r="M221" s="51">
        <v>15333</v>
      </c>
      <c r="N221" s="51">
        <v>12045</v>
      </c>
      <c r="O221" s="51">
        <v>15228</v>
      </c>
      <c r="P221" s="51">
        <v>12985</v>
      </c>
      <c r="Q221" s="51">
        <v>16972</v>
      </c>
      <c r="R221" s="51">
        <v>8571</v>
      </c>
      <c r="S221" s="51">
        <v>14601</v>
      </c>
      <c r="T221" s="51">
        <v>8162</v>
      </c>
      <c r="U221" s="51">
        <v>16818</v>
      </c>
      <c r="V221" s="51">
        <v>4037</v>
      </c>
      <c r="W221" s="51">
        <v>11267</v>
      </c>
      <c r="X221" s="9">
        <v>-9.0779047224679554E-2</v>
      </c>
      <c r="Y221" s="10">
        <v>-3.1880097710429429E-3</v>
      </c>
      <c r="Z221" s="10">
        <v>-9.4160159494932727E-2</v>
      </c>
      <c r="AA221" s="10">
        <v>-7.6436333623733366E-2</v>
      </c>
    </row>
    <row r="222" spans="2:27" x14ac:dyDescent="0.3">
      <c r="B222" s="12">
        <v>6740</v>
      </c>
      <c r="C222" s="3" t="s">
        <v>737</v>
      </c>
      <c r="D222" s="3" t="str">
        <f>VLOOKUP(B222,기업리스트!B:G,2,FALSE)</f>
        <v>Japan Display Inc.</v>
      </c>
      <c r="E222" s="3" t="s">
        <v>709</v>
      </c>
      <c r="F222" s="5">
        <v>-8.1</v>
      </c>
      <c r="G222" s="51">
        <v>-1173</v>
      </c>
      <c r="H222" s="51">
        <v>-3097</v>
      </c>
      <c r="I222" s="51">
        <v>1527</v>
      </c>
      <c r="J222" s="51">
        <v>-6873</v>
      </c>
      <c r="K222" s="52">
        <v>-4921</v>
      </c>
      <c r="L222" s="52">
        <v>-10625</v>
      </c>
      <c r="M222" s="52">
        <v>-22021</v>
      </c>
      <c r="N222" s="52">
        <v>-13882</v>
      </c>
      <c r="O222" s="51">
        <v>-7557</v>
      </c>
      <c r="P222" s="51">
        <v>-6223</v>
      </c>
      <c r="Q222" s="51">
        <v>-6564</v>
      </c>
      <c r="R222" s="51">
        <v>-7043</v>
      </c>
      <c r="S222" s="51">
        <v>-8438</v>
      </c>
      <c r="T222" s="51">
        <v>-8254</v>
      </c>
      <c r="U222" s="52">
        <v>-13381</v>
      </c>
      <c r="V222" s="51">
        <v>-9153</v>
      </c>
      <c r="W222" s="51">
        <v>-5279</v>
      </c>
      <c r="X222" s="9">
        <v>7.1848026036507751E-2</v>
      </c>
      <c r="Y222" s="8">
        <v>0.22499092379286451</v>
      </c>
      <c r="Z222" s="10">
        <v>5.6848798361892383E-2</v>
      </c>
      <c r="AA222" s="10">
        <v>-8.0533319736909248E-2</v>
      </c>
    </row>
    <row r="223" spans="2:27" x14ac:dyDescent="0.3">
      <c r="B223" s="12">
        <v>8129</v>
      </c>
      <c r="C223" s="3" t="s">
        <v>737</v>
      </c>
      <c r="D223" s="3" t="str">
        <f>VLOOKUP(B223,기업리스트!B:G,2,FALSE)</f>
        <v>Toho Holdings Co., Ltd.</v>
      </c>
      <c r="E223" s="3" t="s">
        <v>709</v>
      </c>
      <c r="F223" s="5">
        <v>-8.1</v>
      </c>
      <c r="G223" s="51">
        <v>1229</v>
      </c>
      <c r="H223" s="51">
        <v>3686</v>
      </c>
      <c r="I223" s="51">
        <v>6978</v>
      </c>
      <c r="J223" s="51">
        <v>1397</v>
      </c>
      <c r="K223" s="52">
        <v>2687</v>
      </c>
      <c r="L223" s="51">
        <v>4469</v>
      </c>
      <c r="M223" s="51">
        <v>4262</v>
      </c>
      <c r="N223" s="51">
        <v>1854</v>
      </c>
      <c r="O223" s="52">
        <v>4640</v>
      </c>
      <c r="P223" s="51">
        <v>5088</v>
      </c>
      <c r="Q223" s="52">
        <v>7749</v>
      </c>
      <c r="R223" s="51">
        <v>2280</v>
      </c>
      <c r="S223" s="51">
        <v>5101</v>
      </c>
      <c r="T223" s="51">
        <v>6821</v>
      </c>
      <c r="U223" s="51">
        <v>4735</v>
      </c>
      <c r="V223" s="51">
        <v>3806</v>
      </c>
      <c r="W223" s="51">
        <v>3452</v>
      </c>
      <c r="X223" s="9">
        <v>8.571569888218411E-2</v>
      </c>
      <c r="Y223" s="10">
        <v>-0.1373058175026195</v>
      </c>
      <c r="Z223" s="10">
        <v>8.0582985689391151E-2</v>
      </c>
      <c r="AA223" s="10">
        <v>-8.0584469530371905E-2</v>
      </c>
    </row>
    <row r="224" spans="2:27" hidden="1" x14ac:dyDescent="0.3">
      <c r="B224" s="3">
        <v>3659</v>
      </c>
      <c r="C224" s="3" t="s">
        <v>737</v>
      </c>
      <c r="D224" s="3" t="str">
        <f>VLOOKUP(B224,기업리스트!B:G,2,FALSE)</f>
        <v>NEXON Co., Ltd.</v>
      </c>
      <c r="E224" s="3" t="s">
        <v>743</v>
      </c>
      <c r="F224" s="5">
        <v>-10.3</v>
      </c>
      <c r="G224" s="4">
        <v>29835</v>
      </c>
      <c r="H224" s="4">
        <v>5722</v>
      </c>
      <c r="I224" s="4">
        <v>31692</v>
      </c>
      <c r="J224" s="4">
        <v>22684</v>
      </c>
      <c r="K224" s="4">
        <v>31524</v>
      </c>
      <c r="L224" s="6">
        <v>16337</v>
      </c>
      <c r="M224" s="6">
        <v>56275</v>
      </c>
      <c r="N224" s="4">
        <v>27614</v>
      </c>
      <c r="O224" s="6">
        <v>46310</v>
      </c>
      <c r="P224" s="4">
        <v>1996</v>
      </c>
      <c r="Q224" s="4">
        <v>29146</v>
      </c>
      <c r="R224" s="6">
        <v>45224</v>
      </c>
      <c r="S224" s="4">
        <v>51603</v>
      </c>
      <c r="T224" s="4">
        <v>5974</v>
      </c>
      <c r="U224" s="4">
        <v>41611</v>
      </c>
      <c r="V224" s="4">
        <v>37698</v>
      </c>
      <c r="W224" s="4">
        <v>37528</v>
      </c>
      <c r="X224" s="9">
        <v>3.1085653556720771E-2</v>
      </c>
      <c r="Y224" s="10">
        <v>9.4469749217488852E-2</v>
      </c>
      <c r="Z224" s="10">
        <v>-5.2114782705038332E-2</v>
      </c>
      <c r="AA224" s="10">
        <v>-0.1028227868445276</v>
      </c>
    </row>
    <row r="225" spans="1:27" x14ac:dyDescent="0.3">
      <c r="B225" s="12">
        <v>9468</v>
      </c>
      <c r="C225" s="3" t="s">
        <v>737</v>
      </c>
      <c r="D225" s="3" t="str">
        <f>VLOOKUP(B225,기업리스트!B:G,2,FALSE)</f>
        <v>Kadokawa Corporation</v>
      </c>
      <c r="E225" s="3" t="s">
        <v>709</v>
      </c>
      <c r="F225" s="5">
        <v>-10.5</v>
      </c>
      <c r="G225" s="51">
        <v>4069</v>
      </c>
      <c r="H225" s="51">
        <v>2871</v>
      </c>
      <c r="I225" s="51">
        <v>5710</v>
      </c>
      <c r="J225" s="51">
        <v>9624</v>
      </c>
      <c r="K225" s="51">
        <v>3614</v>
      </c>
      <c r="L225" s="52">
        <v>6193</v>
      </c>
      <c r="M225" s="51">
        <v>6500</v>
      </c>
      <c r="N225" s="51">
        <v>3269</v>
      </c>
      <c r="O225" s="51">
        <v>5336</v>
      </c>
      <c r="P225" s="51">
        <v>4730</v>
      </c>
      <c r="Q225" s="51">
        <v>5120</v>
      </c>
      <c r="R225" s="52">
        <v>6031</v>
      </c>
      <c r="S225" s="51">
        <v>4597</v>
      </c>
      <c r="T225" s="51">
        <v>5210</v>
      </c>
      <c r="U225" s="51">
        <v>814</v>
      </c>
      <c r="V225" s="51">
        <v>2319</v>
      </c>
      <c r="W225" s="51">
        <v>3232</v>
      </c>
      <c r="X225" s="9">
        <v>2.3439789041898699E-2</v>
      </c>
      <c r="Y225" s="10">
        <v>-0.20545853611985879</v>
      </c>
      <c r="Z225" s="10">
        <v>-0.22291616622627911</v>
      </c>
      <c r="AA225" s="10">
        <v>-0.1054868624420402</v>
      </c>
    </row>
    <row r="226" spans="1:27" x14ac:dyDescent="0.3">
      <c r="B226" s="12">
        <v>1662</v>
      </c>
      <c r="C226" s="3" t="s">
        <v>737</v>
      </c>
      <c r="D226" s="3" t="str">
        <f>VLOOKUP(B226,기업리스트!B:G,2,FALSE)</f>
        <v>Japan Petroleum Exploration Co., Ltd.</v>
      </c>
      <c r="E226" s="3" t="s">
        <v>709</v>
      </c>
      <c r="F226" s="5">
        <v>-10.7</v>
      </c>
      <c r="G226" s="51">
        <v>6142</v>
      </c>
      <c r="H226" s="51">
        <v>2108</v>
      </c>
      <c r="I226" s="51">
        <v>8160</v>
      </c>
      <c r="J226" s="51">
        <v>9812</v>
      </c>
      <c r="K226" s="52">
        <v>9494</v>
      </c>
      <c r="L226" s="52">
        <v>19438</v>
      </c>
      <c r="M226" s="52">
        <v>23344</v>
      </c>
      <c r="N226" s="51">
        <v>12905</v>
      </c>
      <c r="O226" s="51">
        <v>15597</v>
      </c>
      <c r="P226" s="51">
        <v>11367</v>
      </c>
      <c r="Q226" s="51">
        <v>15379</v>
      </c>
      <c r="R226" s="51">
        <v>12949</v>
      </c>
      <c r="S226" s="51">
        <v>15824</v>
      </c>
      <c r="T226" s="51">
        <v>15739</v>
      </c>
      <c r="U226" s="51">
        <v>17502</v>
      </c>
      <c r="V226" s="51">
        <v>16702</v>
      </c>
      <c r="W226" s="51">
        <v>8807</v>
      </c>
      <c r="X226" s="9">
        <v>7.8747816062969545E-2</v>
      </c>
      <c r="Y226" s="10">
        <v>3.5447730042911241E-2</v>
      </c>
      <c r="Z226" s="10">
        <v>6.0518592575870001E-2</v>
      </c>
      <c r="AA226" s="10">
        <v>-0.1066948469597214</v>
      </c>
    </row>
    <row r="227" spans="1:27" hidden="1" x14ac:dyDescent="0.3">
      <c r="B227" s="3">
        <v>7718</v>
      </c>
      <c r="C227" s="3" t="s">
        <v>737</v>
      </c>
      <c r="D227" s="3" t="str">
        <f>VLOOKUP(B227,기업리스트!B:G,2,FALSE)</f>
        <v>Star Micronics Co., Ltd.</v>
      </c>
      <c r="E227" s="3" t="s">
        <v>743</v>
      </c>
      <c r="F227" s="5">
        <v>-12.9</v>
      </c>
      <c r="G227" s="4">
        <v>2763</v>
      </c>
      <c r="H227" s="4">
        <v>2023</v>
      </c>
      <c r="I227" s="4">
        <v>2412</v>
      </c>
      <c r="J227" s="4">
        <v>3310</v>
      </c>
      <c r="K227" s="4">
        <v>3564</v>
      </c>
      <c r="L227" s="6">
        <v>4639</v>
      </c>
      <c r="M227" s="6">
        <v>4106</v>
      </c>
      <c r="N227" s="4">
        <v>3274</v>
      </c>
      <c r="O227" s="4">
        <v>2279</v>
      </c>
      <c r="P227" s="4">
        <v>692</v>
      </c>
      <c r="Q227" s="4">
        <v>776</v>
      </c>
      <c r="R227" s="4">
        <v>773</v>
      </c>
      <c r="S227" s="4">
        <v>1761</v>
      </c>
      <c r="T227" s="4">
        <v>711.47</v>
      </c>
      <c r="U227" s="6">
        <v>1507</v>
      </c>
      <c r="V227" s="4">
        <v>1155</v>
      </c>
      <c r="W227" s="4">
        <v>1097</v>
      </c>
      <c r="X227" s="9">
        <v>4.8650674662669147E-3</v>
      </c>
      <c r="Y227" s="8">
        <v>0.1817743263035656</v>
      </c>
      <c r="Z227" s="10">
        <v>8.0379255418761231E-2</v>
      </c>
      <c r="AA227" s="10">
        <v>-0.12932201376188779</v>
      </c>
    </row>
    <row r="228" spans="1:27" x14ac:dyDescent="0.3">
      <c r="B228" s="12">
        <v>9984</v>
      </c>
      <c r="C228" s="3" t="s">
        <v>737</v>
      </c>
      <c r="D228" s="3" t="str">
        <f>VLOOKUP(B228,기업리스트!B:G,2,FALSE)</f>
        <v>SoftBank Group Corp.</v>
      </c>
      <c r="E228" s="3" t="s">
        <v>691</v>
      </c>
      <c r="F228" s="5">
        <v>-12.9</v>
      </c>
      <c r="G228" s="51">
        <v>179223</v>
      </c>
      <c r="H228" s="51">
        <v>86268</v>
      </c>
      <c r="I228" s="51">
        <v>257278</v>
      </c>
      <c r="J228" s="51">
        <v>209711</v>
      </c>
      <c r="K228" s="51">
        <v>191019</v>
      </c>
      <c r="L228" s="51">
        <v>-25294</v>
      </c>
      <c r="M228" s="51">
        <v>183995</v>
      </c>
      <c r="N228" s="51">
        <v>194250</v>
      </c>
      <c r="O228" s="51">
        <v>163345</v>
      </c>
      <c r="P228" s="51">
        <v>18419</v>
      </c>
      <c r="Q228" s="51">
        <v>200935</v>
      </c>
      <c r="R228" s="51">
        <v>217139</v>
      </c>
      <c r="S228" s="51">
        <v>160426</v>
      </c>
      <c r="T228" s="52">
        <v>151294</v>
      </c>
      <c r="U228" s="51">
        <v>196456</v>
      </c>
      <c r="V228" s="51">
        <v>146922</v>
      </c>
      <c r="W228" s="51">
        <v>76082</v>
      </c>
      <c r="X228" s="7">
        <v>0.2226013914785758</v>
      </c>
      <c r="Y228" s="10">
        <v>-6.137348347615923E-3</v>
      </c>
      <c r="Z228" s="10">
        <v>-9.680897265326105E-2</v>
      </c>
      <c r="AA228" s="10">
        <v>-0.12875020225981459</v>
      </c>
    </row>
    <row r="229" spans="1:27" hidden="1" x14ac:dyDescent="0.3">
      <c r="B229" s="3">
        <v>6268</v>
      </c>
      <c r="C229" s="3" t="s">
        <v>737</v>
      </c>
      <c r="D229" s="3" t="str">
        <f>VLOOKUP(B229,기업리스트!B:G,2,FALSE)</f>
        <v>Nabtesco Corporation</v>
      </c>
      <c r="E229" s="3" t="s">
        <v>743</v>
      </c>
      <c r="F229" s="5">
        <v>-15.5</v>
      </c>
      <c r="G229" s="4">
        <v>6195</v>
      </c>
      <c r="H229" s="4">
        <v>9292</v>
      </c>
      <c r="I229" s="4">
        <v>4995</v>
      </c>
      <c r="J229" s="4">
        <v>2890</v>
      </c>
      <c r="K229" s="4">
        <v>3598</v>
      </c>
      <c r="L229" s="4">
        <v>6325</v>
      </c>
      <c r="M229" s="4">
        <v>5780</v>
      </c>
      <c r="N229" s="4">
        <v>2911</v>
      </c>
      <c r="O229" s="4">
        <v>4258</v>
      </c>
      <c r="P229" s="4">
        <v>7746</v>
      </c>
      <c r="Q229" s="4">
        <v>3992</v>
      </c>
      <c r="R229" s="4">
        <v>2434</v>
      </c>
      <c r="S229" s="4">
        <v>3206</v>
      </c>
      <c r="T229" s="4">
        <v>6849</v>
      </c>
      <c r="U229" s="4">
        <v>5455</v>
      </c>
      <c r="V229" s="6">
        <v>5150</v>
      </c>
      <c r="W229" s="4">
        <v>0</v>
      </c>
      <c r="X229" s="9">
        <v>-5.1616986995051239E-2</v>
      </c>
      <c r="Y229" s="10">
        <v>8.8768885383168517E-2</v>
      </c>
      <c r="Z229" s="8">
        <v>0.1513597860008917</v>
      </c>
      <c r="AA229" s="10">
        <v>-0.15517909002904159</v>
      </c>
    </row>
    <row r="230" spans="1:27" x14ac:dyDescent="0.3">
      <c r="B230" s="12">
        <v>3105</v>
      </c>
      <c r="C230" s="3" t="s">
        <v>737</v>
      </c>
      <c r="D230" s="3" t="str">
        <f>VLOOKUP(B230,기업리스트!B:G,2,FALSE)</f>
        <v>WIN Semiconductors Corp.</v>
      </c>
      <c r="E230" s="3" t="s">
        <v>673</v>
      </c>
      <c r="F230" s="5">
        <v>-16.3</v>
      </c>
      <c r="G230" s="51">
        <v>1579</v>
      </c>
      <c r="H230" s="51">
        <v>13014</v>
      </c>
      <c r="I230" s="51">
        <v>-50</v>
      </c>
      <c r="J230" s="51">
        <v>1317</v>
      </c>
      <c r="K230" s="51">
        <v>1154</v>
      </c>
      <c r="L230" s="51">
        <v>12759</v>
      </c>
      <c r="M230" s="51">
        <v>-758</v>
      </c>
      <c r="N230" s="51">
        <v>-1231</v>
      </c>
      <c r="O230" s="51">
        <v>1684</v>
      </c>
      <c r="P230" s="51">
        <v>8148</v>
      </c>
      <c r="Q230" s="51">
        <v>-1431</v>
      </c>
      <c r="R230" s="51">
        <v>-2800</v>
      </c>
      <c r="S230" s="52">
        <v>12665</v>
      </c>
      <c r="T230" s="52">
        <v>21292</v>
      </c>
      <c r="U230" s="51">
        <v>-2874</v>
      </c>
      <c r="V230" s="52">
        <v>450</v>
      </c>
      <c r="W230" s="51">
        <v>7533</v>
      </c>
      <c r="X230" s="7">
        <v>0.79266674707514162</v>
      </c>
      <c r="Y230" s="10">
        <v>-4.8543362712776712E-2</v>
      </c>
      <c r="Z230" s="8">
        <v>0.11491001661775629</v>
      </c>
      <c r="AA230" s="10">
        <v>-0.16275013477943739</v>
      </c>
    </row>
    <row r="231" spans="1:27" hidden="1" x14ac:dyDescent="0.3">
      <c r="B231" s="3">
        <v>4922</v>
      </c>
      <c r="C231" s="3" t="s">
        <v>737</v>
      </c>
      <c r="D231" s="3" t="str">
        <f>VLOOKUP(B231,기업리스트!B:G,2,FALSE)</f>
        <v>KOSE Holdings Corporation</v>
      </c>
      <c r="E231" s="3" t="s">
        <v>743</v>
      </c>
      <c r="F231" s="5">
        <v>-18.5</v>
      </c>
      <c r="G231" s="4">
        <v>5187</v>
      </c>
      <c r="H231" s="4">
        <v>10025</v>
      </c>
      <c r="I231" s="4">
        <v>372</v>
      </c>
      <c r="J231" s="4">
        <v>6790</v>
      </c>
      <c r="K231" s="4">
        <v>5243</v>
      </c>
      <c r="L231" s="4">
        <v>9611</v>
      </c>
      <c r="M231" s="6">
        <v>5807</v>
      </c>
      <c r="N231" s="4">
        <v>4547</v>
      </c>
      <c r="O231" s="4">
        <v>5596</v>
      </c>
      <c r="P231" s="4">
        <v>-72</v>
      </c>
      <c r="Q231" s="6">
        <v>7858</v>
      </c>
      <c r="R231" s="4">
        <v>5877</v>
      </c>
      <c r="S231" s="4">
        <v>5025</v>
      </c>
      <c r="T231" s="4">
        <v>-1404</v>
      </c>
      <c r="U231" s="4">
        <v>6647</v>
      </c>
      <c r="V231" s="4">
        <v>4673</v>
      </c>
      <c r="W231" s="4">
        <v>2256</v>
      </c>
      <c r="X231" s="9">
        <v>-7.1275684931506822E-2</v>
      </c>
      <c r="Y231" s="10">
        <v>-6.977414150725969E-2</v>
      </c>
      <c r="Z231" s="10">
        <v>-7.4574171570145564E-2</v>
      </c>
      <c r="AA231" s="10">
        <v>-0.1853289605782745</v>
      </c>
    </row>
    <row r="232" spans="1:27" x14ac:dyDescent="0.3">
      <c r="B232" s="12">
        <v>3993</v>
      </c>
      <c r="C232" s="3" t="s">
        <v>737</v>
      </c>
      <c r="D232" s="3" t="str">
        <f>VLOOKUP(B232,기업리스트!B:G,2,FALSE)</f>
        <v>PKSHA Technology Inc.</v>
      </c>
      <c r="E232" s="3" t="s">
        <v>673</v>
      </c>
      <c r="F232" s="5">
        <v>-20.399999999999999</v>
      </c>
      <c r="G232" s="51">
        <v>275</v>
      </c>
      <c r="H232" s="51">
        <v>390</v>
      </c>
      <c r="I232" s="51">
        <v>527</v>
      </c>
      <c r="J232" s="51">
        <v>299</v>
      </c>
      <c r="K232" s="51">
        <v>349</v>
      </c>
      <c r="L232" s="51">
        <v>478</v>
      </c>
      <c r="M232" s="51">
        <v>555</v>
      </c>
      <c r="N232" s="51">
        <v>251</v>
      </c>
      <c r="O232" s="51">
        <v>435</v>
      </c>
      <c r="P232" s="52">
        <v>786</v>
      </c>
      <c r="Q232" s="52">
        <v>1333</v>
      </c>
      <c r="R232" s="51">
        <v>420</v>
      </c>
      <c r="S232" s="51">
        <v>696</v>
      </c>
      <c r="T232" s="52">
        <v>4864</v>
      </c>
      <c r="U232" s="51">
        <v>-1307</v>
      </c>
      <c r="V232" s="51">
        <v>778</v>
      </c>
      <c r="W232" s="51">
        <v>-330</v>
      </c>
      <c r="X232" s="7">
        <v>1.260587326120556</v>
      </c>
      <c r="Y232" s="10">
        <v>-0.36100095719950781</v>
      </c>
      <c r="Z232" s="10">
        <v>7.661031457307943E-2</v>
      </c>
      <c r="AA232" s="10">
        <v>-0.2039355992844365</v>
      </c>
    </row>
    <row r="233" spans="1:27" x14ac:dyDescent="0.3">
      <c r="B233" s="12">
        <v>8698</v>
      </c>
      <c r="C233" s="3" t="s">
        <v>737</v>
      </c>
      <c r="D233" s="3" t="str">
        <f>VLOOKUP(B233,기업리스트!B:G,2,FALSE)</f>
        <v>Monex Group, Inc.</v>
      </c>
      <c r="E233" s="3" t="s">
        <v>709</v>
      </c>
      <c r="F233" s="5">
        <v>-36</v>
      </c>
      <c r="G233" s="51">
        <v>6084</v>
      </c>
      <c r="H233" s="51">
        <v>613</v>
      </c>
      <c r="I233" s="51">
        <v>266</v>
      </c>
      <c r="J233" s="51">
        <v>728</v>
      </c>
      <c r="K233" s="51">
        <v>859</v>
      </c>
      <c r="L233" s="51">
        <v>443</v>
      </c>
      <c r="M233" s="52">
        <v>6060</v>
      </c>
      <c r="N233" s="52">
        <v>2621</v>
      </c>
      <c r="O233" s="51">
        <v>0</v>
      </c>
      <c r="P233" s="52">
        <v>2104</v>
      </c>
      <c r="Q233" s="51">
        <v>6444</v>
      </c>
      <c r="R233" s="51">
        <v>2332</v>
      </c>
      <c r="S233" s="51">
        <v>0</v>
      </c>
      <c r="T233" s="51">
        <v>-13139</v>
      </c>
      <c r="U233" s="52">
        <v>4356</v>
      </c>
      <c r="V233" s="51">
        <v>3229</v>
      </c>
      <c r="W233" s="51">
        <v>1999</v>
      </c>
      <c r="X233" s="9">
        <v>-1.401011029411765</v>
      </c>
      <c r="Y233" s="8">
        <v>0.47856979142791661</v>
      </c>
      <c r="Z233" s="10">
        <v>-0.13904820957990999</v>
      </c>
      <c r="AA233" s="10">
        <v>-0.35992077781778897</v>
      </c>
    </row>
    <row r="234" spans="1:27" x14ac:dyDescent="0.3">
      <c r="B234" s="21">
        <v>7201</v>
      </c>
      <c r="C234" s="22" t="s">
        <v>737</v>
      </c>
      <c r="D234" s="22" t="str">
        <f>VLOOKUP(B234,기업리스트!B:G,2,FALSE)</f>
        <v>Nissan Motor Co., Ltd.</v>
      </c>
      <c r="E234" s="22" t="s">
        <v>709</v>
      </c>
      <c r="F234" s="23">
        <v>-189.5</v>
      </c>
      <c r="G234" s="56">
        <v>63449</v>
      </c>
      <c r="H234" s="56">
        <v>52156</v>
      </c>
      <c r="I234" s="56">
        <v>56020</v>
      </c>
      <c r="J234" s="56">
        <v>64905</v>
      </c>
      <c r="K234" s="57">
        <v>91703</v>
      </c>
      <c r="L234" s="57">
        <v>133093</v>
      </c>
      <c r="M234" s="56">
        <v>87408</v>
      </c>
      <c r="N234" s="57">
        <v>128595</v>
      </c>
      <c r="O234" s="57">
        <v>208148</v>
      </c>
      <c r="P234" s="56">
        <v>141632</v>
      </c>
      <c r="Q234" s="56">
        <v>90343</v>
      </c>
      <c r="R234" s="56">
        <v>995</v>
      </c>
      <c r="S234" s="56">
        <v>31913</v>
      </c>
      <c r="T234" s="56">
        <v>31102</v>
      </c>
      <c r="U234" s="56">
        <v>5788</v>
      </c>
      <c r="V234" s="56">
        <v>-79124</v>
      </c>
      <c r="W234" s="56">
        <v>51471</v>
      </c>
      <c r="X234" s="26">
        <v>-0.41727857204879137</v>
      </c>
      <c r="Y234" s="27">
        <v>-0.5478027637946784</v>
      </c>
      <c r="Z234" s="27">
        <v>-1.1478695664632219</v>
      </c>
      <c r="AA234" s="27">
        <v>-1.8949714174983039</v>
      </c>
    </row>
    <row r="235" spans="1:27" x14ac:dyDescent="0.3">
      <c r="B235" s="12" t="s">
        <v>440</v>
      </c>
      <c r="C235" s="3" t="s">
        <v>741</v>
      </c>
      <c r="D235" s="3" t="str">
        <f>VLOOKUP(B235,기업리스트!B:G,2,FALSE)</f>
        <v>NATCO Pharma Limited</v>
      </c>
      <c r="E235" s="3" t="s">
        <v>691</v>
      </c>
      <c r="F235" s="13">
        <v>12</v>
      </c>
      <c r="G235" s="51">
        <v>658</v>
      </c>
      <c r="H235" s="51">
        <v>-542</v>
      </c>
      <c r="I235" s="51">
        <v>3848</v>
      </c>
      <c r="J235" s="51">
        <v>536</v>
      </c>
      <c r="K235" s="51">
        <v>644</v>
      </c>
      <c r="L235" s="52">
        <v>3070</v>
      </c>
      <c r="M235" s="52">
        <v>5355</v>
      </c>
      <c r="N235" s="52">
        <v>4144</v>
      </c>
      <c r="O235" s="52">
        <v>2239</v>
      </c>
      <c r="P235" s="51">
        <v>4478</v>
      </c>
      <c r="Q235" s="52">
        <v>7607</v>
      </c>
      <c r="R235" s="52">
        <v>7585</v>
      </c>
      <c r="S235" s="51">
        <v>-82</v>
      </c>
      <c r="T235" s="51">
        <v>4552</v>
      </c>
      <c r="U235" s="51">
        <v>5134</v>
      </c>
      <c r="V235" s="51">
        <v>5268</v>
      </c>
      <c r="W235" s="52">
        <v>1706</v>
      </c>
      <c r="X235" s="9">
        <v>3.777823157034899E-3</v>
      </c>
      <c r="Y235" s="10">
        <v>-0.12577560777133559</v>
      </c>
      <c r="Z235" s="10">
        <v>-0.13479550875559951</v>
      </c>
      <c r="AA235" s="8">
        <v>0.12022592791823559</v>
      </c>
    </row>
    <row r="236" spans="1:27" x14ac:dyDescent="0.3">
      <c r="B236" s="12" t="s">
        <v>238</v>
      </c>
      <c r="C236" s="3" t="s">
        <v>741</v>
      </c>
      <c r="D236" s="3" t="str">
        <f>VLOOKUP(B236,기업리스트!B:G,2,FALSE)</f>
        <v>Indian Railway Catering &amp; Tourism Corporation Limited</v>
      </c>
      <c r="E236" s="3" t="s">
        <v>691</v>
      </c>
      <c r="F236" s="5">
        <v>7.7</v>
      </c>
      <c r="G236" s="51">
        <v>2674</v>
      </c>
      <c r="H236" s="51">
        <v>2563</v>
      </c>
      <c r="I236" s="51">
        <v>3074</v>
      </c>
      <c r="J236" s="51">
        <v>2863</v>
      </c>
      <c r="K236" s="51">
        <v>3154</v>
      </c>
      <c r="L236" s="51">
        <v>3134</v>
      </c>
      <c r="M236" s="51">
        <v>3293</v>
      </c>
      <c r="N236" s="51">
        <v>3526</v>
      </c>
      <c r="O236" s="51">
        <v>3801</v>
      </c>
      <c r="P236" s="51">
        <v>3470</v>
      </c>
      <c r="Q236" s="51">
        <v>3611</v>
      </c>
      <c r="R236" s="51">
        <v>3597</v>
      </c>
      <c r="S236" s="51">
        <v>4032</v>
      </c>
      <c r="T236" s="51">
        <v>3741</v>
      </c>
      <c r="U236" s="51">
        <v>3854</v>
      </c>
      <c r="V236" s="51">
        <v>3928</v>
      </c>
      <c r="W236" s="51">
        <v>5229</v>
      </c>
      <c r="X236" s="9">
        <v>1.8422841604350811E-2</v>
      </c>
      <c r="Y236" s="10">
        <v>1.6220546024964921E-2</v>
      </c>
      <c r="Z236" s="10">
        <v>2.1741986337362022E-2</v>
      </c>
      <c r="AA236" s="10">
        <v>7.69527483124397E-2</v>
      </c>
    </row>
    <row r="237" spans="1:27" x14ac:dyDescent="0.3">
      <c r="B237" s="12" t="s">
        <v>270</v>
      </c>
      <c r="C237" s="3" t="s">
        <v>741</v>
      </c>
      <c r="D237" s="3" t="str">
        <f>VLOOKUP(B237,기업리스트!B:G,2,FALSE)</f>
        <v>Gujarat Fluorochemicals Limited</v>
      </c>
      <c r="E237" s="3" t="s">
        <v>709</v>
      </c>
      <c r="F237" s="5">
        <v>7.2</v>
      </c>
      <c r="G237" s="51">
        <v>2395</v>
      </c>
      <c r="H237" s="51">
        <v>2652</v>
      </c>
      <c r="I237" s="51">
        <v>2724</v>
      </c>
      <c r="J237" s="51">
        <v>3896</v>
      </c>
      <c r="K237" s="52">
        <v>4567</v>
      </c>
      <c r="L237" s="52">
        <v>4321</v>
      </c>
      <c r="M237" s="52">
        <v>4508</v>
      </c>
      <c r="N237" s="51">
        <v>2713</v>
      </c>
      <c r="O237" s="51">
        <v>818</v>
      </c>
      <c r="P237" s="51">
        <v>1203</v>
      </c>
      <c r="Q237" s="51">
        <v>1404</v>
      </c>
      <c r="R237" s="51">
        <v>1680</v>
      </c>
      <c r="S237" s="52">
        <v>1860</v>
      </c>
      <c r="T237" s="52">
        <v>1920</v>
      </c>
      <c r="U237" s="51">
        <v>1966</v>
      </c>
      <c r="V237" s="51">
        <v>2350</v>
      </c>
      <c r="W237" s="51">
        <v>2440</v>
      </c>
      <c r="X237" s="7">
        <v>0.1166422645192777</v>
      </c>
      <c r="Y237" s="10">
        <v>8.1876456876456949E-2</v>
      </c>
      <c r="Z237" s="10">
        <v>9.0223538917317603E-2</v>
      </c>
      <c r="AA237" s="10">
        <v>7.1640316205533683E-2</v>
      </c>
    </row>
    <row r="238" spans="1:27" x14ac:dyDescent="0.3">
      <c r="B238" s="12" t="s">
        <v>258</v>
      </c>
      <c r="C238" s="3" t="s">
        <v>741</v>
      </c>
      <c r="D238" s="3" t="str">
        <f>VLOOKUP(B238,기업리스트!B:G,2,FALSE)</f>
        <v>Petronet LNG Limited</v>
      </c>
      <c r="E238" s="3" t="s">
        <v>691</v>
      </c>
      <c r="F238" s="5">
        <v>7.2</v>
      </c>
      <c r="G238" s="51">
        <v>15382</v>
      </c>
      <c r="H238" s="51">
        <v>10750</v>
      </c>
      <c r="I238" s="51">
        <v>8728</v>
      </c>
      <c r="J238" s="51">
        <v>9803</v>
      </c>
      <c r="K238" s="51">
        <v>14826</v>
      </c>
      <c r="L238" s="51">
        <v>10097</v>
      </c>
      <c r="M238" s="51">
        <v>9899</v>
      </c>
      <c r="N238" s="51">
        <v>10199</v>
      </c>
      <c r="O238" s="51">
        <v>15100</v>
      </c>
      <c r="P238" s="51">
        <v>9548</v>
      </c>
      <c r="Q238" s="51">
        <v>13679</v>
      </c>
      <c r="R238" s="51">
        <v>10060</v>
      </c>
      <c r="S238" s="51">
        <v>10374</v>
      </c>
      <c r="T238" s="51">
        <v>13662</v>
      </c>
      <c r="U238" s="51">
        <v>9523</v>
      </c>
      <c r="V238" s="51">
        <v>10631</v>
      </c>
      <c r="W238" s="51">
        <v>13554</v>
      </c>
      <c r="X238" s="9">
        <v>9.422596825542251E-2</v>
      </c>
      <c r="Y238" s="10">
        <v>-8.6991104133961272E-2</v>
      </c>
      <c r="Z238" s="10">
        <v>1.3090625644787799E-2</v>
      </c>
      <c r="AA238" s="10">
        <v>7.1961982348947684E-2</v>
      </c>
    </row>
    <row r="239" spans="1:27" x14ac:dyDescent="0.3">
      <c r="B239" s="12" t="s">
        <v>248</v>
      </c>
      <c r="C239" s="3" t="s">
        <v>741</v>
      </c>
      <c r="D239" s="3" t="str">
        <f>VLOOKUP(B239,기업리스트!B:G,2,FALSE)</f>
        <v>Biocon Limited</v>
      </c>
      <c r="E239" s="3" t="s">
        <v>691</v>
      </c>
      <c r="F239" s="5">
        <v>6.3</v>
      </c>
      <c r="G239" s="51">
        <v>2825</v>
      </c>
      <c r="H239" s="51">
        <v>3820</v>
      </c>
      <c r="I239" s="51">
        <v>1819</v>
      </c>
      <c r="J239" s="51">
        <v>2399</v>
      </c>
      <c r="K239" s="51">
        <v>3432</v>
      </c>
      <c r="L239" s="52">
        <v>7993</v>
      </c>
      <c r="M239" s="52">
        <v>3564</v>
      </c>
      <c r="N239" s="51">
        <v>3523</v>
      </c>
      <c r="O239" s="51">
        <v>5123</v>
      </c>
      <c r="P239" s="51">
        <v>5624</v>
      </c>
      <c r="Q239" s="51">
        <v>2150</v>
      </c>
      <c r="R239" s="51">
        <v>3460</v>
      </c>
      <c r="S239" s="51">
        <v>3264</v>
      </c>
      <c r="T239" s="51">
        <v>7057</v>
      </c>
      <c r="U239" s="51">
        <v>2939</v>
      </c>
      <c r="V239" s="51">
        <v>4053</v>
      </c>
      <c r="W239" s="51">
        <v>4355</v>
      </c>
      <c r="X239" s="9">
        <v>9.8841219478548847E-2</v>
      </c>
      <c r="Y239" s="10">
        <v>4.9526081225284013E-2</v>
      </c>
      <c r="Z239" s="10">
        <v>3.5466507177033479E-2</v>
      </c>
      <c r="AA239" s="10">
        <v>6.3016230578178289E-2</v>
      </c>
    </row>
    <row r="240" spans="1:27" x14ac:dyDescent="0.3">
      <c r="A240" s="29"/>
      <c r="B240" s="16" t="s">
        <v>494</v>
      </c>
      <c r="C240" s="17" t="s">
        <v>741</v>
      </c>
      <c r="D240" s="17" t="str">
        <f>VLOOKUP(B240,기업리스트!B:G,2,FALSE)</f>
        <v>Ingersoll-Rand (India) Limited</v>
      </c>
      <c r="E240" s="17" t="s">
        <v>709</v>
      </c>
      <c r="F240" s="18">
        <v>-0.7</v>
      </c>
      <c r="G240" s="54">
        <v>326.7</v>
      </c>
      <c r="H240" s="54">
        <v>355.8</v>
      </c>
      <c r="I240" s="54">
        <v>417.99</v>
      </c>
      <c r="J240" s="54">
        <v>402.2</v>
      </c>
      <c r="K240" s="54">
        <v>417.7</v>
      </c>
      <c r="L240" s="55">
        <v>612.70000000000005</v>
      </c>
      <c r="M240" s="55">
        <v>923.56</v>
      </c>
      <c r="N240" s="55">
        <v>670.6</v>
      </c>
      <c r="O240" s="54">
        <v>610.70000000000005</v>
      </c>
      <c r="P240" s="54">
        <v>702.7</v>
      </c>
      <c r="Q240" s="54">
        <v>829.09</v>
      </c>
      <c r="R240" s="54">
        <v>783</v>
      </c>
      <c r="S240" s="54">
        <v>747.5</v>
      </c>
      <c r="T240" s="55">
        <v>1022</v>
      </c>
      <c r="U240" s="54">
        <v>947.43</v>
      </c>
      <c r="V240" s="54">
        <v>704.5</v>
      </c>
      <c r="W240" s="54">
        <v>722.8</v>
      </c>
      <c r="X240" s="7">
        <v>0.1042683743211781</v>
      </c>
      <c r="Y240" s="20">
        <v>3.4995371999562153E-2</v>
      </c>
      <c r="Z240" s="20">
        <v>-2.2429020008971619E-2</v>
      </c>
      <c r="AA240" s="20">
        <v>-7.2192036663032422E-3</v>
      </c>
    </row>
    <row r="241" spans="1:27" x14ac:dyDescent="0.3">
      <c r="A241" s="28"/>
      <c r="B241" s="21" t="s">
        <v>76</v>
      </c>
      <c r="C241" s="22" t="s">
        <v>741</v>
      </c>
      <c r="D241" s="22" t="str">
        <f>VLOOKUP(B241,기업리스트!B:G,2,FALSE)</f>
        <v>Coal India Limited</v>
      </c>
      <c r="E241" s="22" t="s">
        <v>691</v>
      </c>
      <c r="F241" s="23">
        <v>-0.9</v>
      </c>
      <c r="G241" s="56">
        <v>57842</v>
      </c>
      <c r="H241" s="56">
        <v>78538</v>
      </c>
      <c r="I241" s="56">
        <v>112571</v>
      </c>
      <c r="J241" s="56">
        <v>62031</v>
      </c>
      <c r="K241" s="57">
        <v>91268</v>
      </c>
      <c r="L241" s="56">
        <v>109185</v>
      </c>
      <c r="M241" s="56">
        <v>93755</v>
      </c>
      <c r="N241" s="56">
        <v>69588</v>
      </c>
      <c r="O241" s="56">
        <v>101127</v>
      </c>
      <c r="P241" s="57">
        <v>149172</v>
      </c>
      <c r="Q241" s="56">
        <v>123860</v>
      </c>
      <c r="R241" s="56">
        <v>67193</v>
      </c>
      <c r="S241" s="56">
        <v>98038</v>
      </c>
      <c r="T241" s="56">
        <v>90710</v>
      </c>
      <c r="U241" s="56">
        <v>99490</v>
      </c>
      <c r="V241" s="56">
        <v>61922</v>
      </c>
      <c r="W241" s="56">
        <v>95046</v>
      </c>
      <c r="X241" s="26">
        <v>-0.1333947880610501</v>
      </c>
      <c r="Y241" s="27">
        <v>-6.4165181239649205E-2</v>
      </c>
      <c r="Z241" s="27">
        <v>-1.482988259324591E-2</v>
      </c>
      <c r="AA241" s="27">
        <v>-8.5446652958647284E-3</v>
      </c>
    </row>
    <row r="242" spans="1:27" hidden="1" x14ac:dyDescent="0.3">
      <c r="B242" s="3">
        <v>1347</v>
      </c>
      <c r="C242" s="3" t="s">
        <v>750</v>
      </c>
      <c r="D242" s="3" t="s">
        <v>738</v>
      </c>
      <c r="E242" s="3" t="s">
        <v>743</v>
      </c>
      <c r="F242" s="5">
        <v>-1.9</v>
      </c>
      <c r="G242" s="4">
        <v>49.93</v>
      </c>
      <c r="H242" s="4">
        <v>139.65</v>
      </c>
      <c r="I242" s="4">
        <v>84.76</v>
      </c>
      <c r="J242" s="4">
        <v>138.19</v>
      </c>
      <c r="K242" s="6">
        <v>160.44999999999999</v>
      </c>
      <c r="L242" s="4">
        <v>181.13</v>
      </c>
      <c r="M242" s="4">
        <v>125.94</v>
      </c>
      <c r="N242" s="4">
        <v>98.39</v>
      </c>
      <c r="O242" s="4">
        <v>6.56</v>
      </c>
      <c r="P242" s="4">
        <v>-76.84</v>
      </c>
      <c r="Q242" s="4">
        <v>-48.89</v>
      </c>
      <c r="R242" s="6">
        <v>-40.270000000000003</v>
      </c>
      <c r="S242" s="6">
        <v>-17.420000000000002</v>
      </c>
      <c r="T242" s="4">
        <v>-49.2</v>
      </c>
      <c r="U242" s="4">
        <v>-47.11</v>
      </c>
      <c r="V242" s="4">
        <v>-36.31</v>
      </c>
      <c r="W242" s="4">
        <v>-14.58</v>
      </c>
      <c r="X242" s="9">
        <v>-0.15069239995638431</v>
      </c>
      <c r="Y242" s="10">
        <v>-1.1426370522531809E-2</v>
      </c>
      <c r="Z242" s="10">
        <v>-2.5714285714285579E-2</v>
      </c>
      <c r="AA242" s="10">
        <v>-1.8928285790455909E-2</v>
      </c>
    </row>
    <row r="243" spans="1:27" hidden="1" x14ac:dyDescent="0.3">
      <c r="B243" s="3" t="s">
        <v>294</v>
      </c>
      <c r="C243" s="3" t="s">
        <v>751</v>
      </c>
      <c r="D243" s="3" t="s">
        <v>738</v>
      </c>
      <c r="E243" s="3" t="s">
        <v>752</v>
      </c>
      <c r="F243" s="5">
        <v>7.4</v>
      </c>
      <c r="G243" s="3"/>
      <c r="H243" s="3"/>
      <c r="I243" s="3"/>
      <c r="J243" s="3"/>
      <c r="K243" s="3"/>
      <c r="L243" s="3"/>
      <c r="M243" s="3"/>
      <c r="N243" s="4">
        <v>-42</v>
      </c>
      <c r="O243" s="4">
        <v>-238</v>
      </c>
      <c r="P243" s="4">
        <v>11</v>
      </c>
      <c r="Q243" s="4">
        <v>98</v>
      </c>
      <c r="R243" s="4">
        <v>0</v>
      </c>
      <c r="S243" s="4">
        <v>316</v>
      </c>
      <c r="T243" s="4">
        <v>0</v>
      </c>
      <c r="U243" s="6">
        <v>345</v>
      </c>
      <c r="V243" s="6">
        <v>434</v>
      </c>
      <c r="W243" s="4">
        <v>397</v>
      </c>
      <c r="X243" s="9">
        <v>-2.5882352941176471E-2</v>
      </c>
      <c r="Y243" s="8">
        <v>0.59661835748792269</v>
      </c>
      <c r="Z243" s="8">
        <v>0.65658093797276851</v>
      </c>
      <c r="AA243" s="10">
        <v>7.3972602739726057E-2</v>
      </c>
    </row>
  </sheetData>
  <autoFilter ref="B2:AA243" xr:uid="{00000000-0009-0000-0000-000002000000}">
    <filterColumn colId="3">
      <filters>
        <filter val="Dec'25"/>
        <filter val="FY 2025"/>
        <filter val="H1 2026"/>
        <filter val="Jun'26"/>
        <filter val="Mar'26"/>
        <filter val="Sep'26"/>
      </filters>
    </filterColumn>
    <sortState xmlns:xlrd2="http://schemas.microsoft.com/office/spreadsheetml/2017/richdata2" ref="B4:AA241">
      <sortCondition descending="1" ref="C2:C243"/>
    </sortState>
  </autoFilter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20"/>
  <sheetViews>
    <sheetView tabSelected="1" workbookViewId="0">
      <selection activeCell="N14" sqref="N14"/>
    </sheetView>
  </sheetViews>
  <sheetFormatPr defaultRowHeight="16.5" x14ac:dyDescent="0.3"/>
  <cols>
    <col min="1" max="1" width="3" customWidth="1"/>
    <col min="2" max="2" width="20.875" customWidth="1"/>
    <col min="3" max="7" width="10.375" hidden="1" customWidth="1"/>
    <col min="8" max="23" width="10.375" customWidth="1"/>
  </cols>
  <sheetData>
    <row r="2" spans="2:27" x14ac:dyDescent="0.3">
      <c r="B2" s="31" t="s">
        <v>764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2:27" x14ac:dyDescent="0.3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Y3" s="12" t="s">
        <v>287</v>
      </c>
      <c r="Z3" s="12">
        <v>5711</v>
      </c>
      <c r="AA3" s="3" t="s">
        <v>383</v>
      </c>
    </row>
    <row r="4" spans="2:27" x14ac:dyDescent="0.3">
      <c r="B4" s="33">
        <v>8136</v>
      </c>
      <c r="C4" s="34">
        <v>6</v>
      </c>
      <c r="D4" s="34">
        <v>7</v>
      </c>
      <c r="E4" s="34">
        <v>8</v>
      </c>
      <c r="F4" s="34">
        <v>9</v>
      </c>
      <c r="G4" s="34">
        <v>10</v>
      </c>
      <c r="H4" s="34">
        <v>11</v>
      </c>
      <c r="I4" s="34">
        <v>12</v>
      </c>
      <c r="J4" s="34">
        <v>13</v>
      </c>
      <c r="K4" s="34">
        <v>14</v>
      </c>
      <c r="L4" s="34">
        <v>15</v>
      </c>
      <c r="M4" s="34">
        <v>16</v>
      </c>
      <c r="N4" s="34">
        <v>17</v>
      </c>
      <c r="O4" s="34">
        <v>18</v>
      </c>
      <c r="P4" s="34">
        <v>19</v>
      </c>
      <c r="Q4" s="34">
        <v>20</v>
      </c>
      <c r="R4" s="34">
        <v>21</v>
      </c>
      <c r="S4" s="34">
        <v>22</v>
      </c>
      <c r="Y4" s="12" t="s">
        <v>64</v>
      </c>
      <c r="Z4" s="12">
        <v>7222</v>
      </c>
      <c r="AA4" s="3" t="s">
        <v>546</v>
      </c>
    </row>
    <row r="5" spans="2:27" ht="16.5" customHeight="1" x14ac:dyDescent="0.3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Y5" s="12" t="s">
        <v>225</v>
      </c>
      <c r="Z5" s="12">
        <v>1762</v>
      </c>
      <c r="AA5" s="3" t="s">
        <v>545</v>
      </c>
    </row>
    <row r="6" spans="2:27" ht="18" customHeight="1" x14ac:dyDescent="0.3">
      <c r="B6" s="36"/>
      <c r="C6" s="37" t="s">
        <v>765</v>
      </c>
      <c r="D6" s="37" t="s">
        <v>766</v>
      </c>
      <c r="E6" s="37" t="s">
        <v>767</v>
      </c>
      <c r="F6" s="37" t="s">
        <v>768</v>
      </c>
      <c r="G6" s="37" t="s">
        <v>769</v>
      </c>
      <c r="H6" s="37" t="s">
        <v>659</v>
      </c>
      <c r="I6" s="37" t="s">
        <v>770</v>
      </c>
      <c r="J6" s="37" t="s">
        <v>771</v>
      </c>
      <c r="K6" s="37" t="s">
        <v>772</v>
      </c>
      <c r="L6" s="37" t="s">
        <v>663</v>
      </c>
      <c r="M6" s="37" t="s">
        <v>664</v>
      </c>
      <c r="N6" s="37" t="s">
        <v>665</v>
      </c>
      <c r="O6" s="37" t="s">
        <v>666</v>
      </c>
      <c r="P6" s="37" t="s">
        <v>667</v>
      </c>
      <c r="Q6" s="37" t="s">
        <v>668</v>
      </c>
      <c r="R6" s="37" t="s">
        <v>669</v>
      </c>
      <c r="S6" s="38" t="s">
        <v>670</v>
      </c>
      <c r="T6" s="37" t="s">
        <v>773</v>
      </c>
      <c r="U6" s="37" t="s">
        <v>774</v>
      </c>
      <c r="V6" s="37" t="s">
        <v>775</v>
      </c>
      <c r="W6" s="37" t="s">
        <v>776</v>
      </c>
      <c r="Y6" s="12" t="s">
        <v>240</v>
      </c>
      <c r="Z6" s="12">
        <v>9409</v>
      </c>
      <c r="AA6" s="3" t="s">
        <v>403</v>
      </c>
    </row>
    <row r="7" spans="2:27" x14ac:dyDescent="0.3">
      <c r="B7" s="39" t="s">
        <v>777</v>
      </c>
      <c r="C7" s="40">
        <f>VLOOKUP($B$4,Revenue!$B:$W,C4,FALSE)</f>
        <v>12991</v>
      </c>
      <c r="D7" s="40">
        <f>VLOOKUP($B$4,Revenue!$B:$W,D4,FALSE)</f>
        <v>14769</v>
      </c>
      <c r="E7" s="40">
        <f>VLOOKUP($B$4,Revenue!$B:$W,E4,FALSE)</f>
        <v>14201</v>
      </c>
      <c r="F7" s="40">
        <f>VLOOKUP($B$4,Revenue!$B:$W,F4,FALSE)</f>
        <v>13829</v>
      </c>
      <c r="G7" s="40">
        <f>VLOOKUP($B$4,Revenue!$B:$W,G4,FALSE)</f>
        <v>16801</v>
      </c>
      <c r="H7" s="40">
        <f>VLOOKUP($B$4,Revenue!$B:$W,H4,FALSE)</f>
        <v>20995</v>
      </c>
      <c r="I7" s="40">
        <f>VLOOKUP($B$4,Revenue!$B:$W,I4,FALSE)</f>
        <v>20999</v>
      </c>
      <c r="J7" s="40">
        <f>VLOOKUP($B$4,Revenue!$B:$W,J4,FALSE)</f>
        <v>20315</v>
      </c>
      <c r="K7" s="40">
        <f>VLOOKUP($B$4,Revenue!$B:$W,K4,FALSE)</f>
        <v>23615</v>
      </c>
      <c r="L7" s="40">
        <f>VLOOKUP($B$4,Revenue!$B:$W,L4,FALSE)</f>
        <v>28495</v>
      </c>
      <c r="M7" s="40">
        <f>VLOOKUP($B$4,Revenue!$B:$W,M4,FALSE)</f>
        <v>27556</v>
      </c>
      <c r="N7" s="40">
        <f>VLOOKUP($B$4,Revenue!$B:$W,N4,FALSE)</f>
        <v>28911</v>
      </c>
      <c r="O7" s="40">
        <f>VLOOKUP($B$4,Revenue!$B:$W,O4,FALSE)</f>
        <v>33896</v>
      </c>
      <c r="P7" s="40">
        <f>VLOOKUP($B$4,Revenue!$B:$W,P4,FALSE)</f>
        <v>41979</v>
      </c>
      <c r="Q7" s="40">
        <f>VLOOKUP($B$4,Revenue!$B:$W,Q4,FALSE)</f>
        <v>40118</v>
      </c>
      <c r="R7" s="40">
        <f>VLOOKUP($B$4,Revenue!$B:$W,R4,FALSE)</f>
        <v>43097</v>
      </c>
      <c r="S7" s="41">
        <f>VLOOKUP($B$4,Revenue!$B:$W,S4,FALSE)</f>
        <v>44579</v>
      </c>
      <c r="T7" s="40"/>
      <c r="U7" s="40"/>
      <c r="V7" s="40"/>
      <c r="W7" s="40"/>
      <c r="Y7" s="12" t="s">
        <v>633</v>
      </c>
      <c r="Z7" s="12">
        <v>5831</v>
      </c>
      <c r="AA7" s="3" t="s">
        <v>198</v>
      </c>
    </row>
    <row r="8" spans="2:27" x14ac:dyDescent="0.3">
      <c r="B8" s="39" t="s">
        <v>778</v>
      </c>
      <c r="C8" s="40">
        <f>VLOOKUP($B$4,'Operating Income'!$B:$W,C4,FALSE)</f>
        <v>347</v>
      </c>
      <c r="D8" s="40">
        <f>VLOOKUP($B$4,'Operating Income'!$B:$W,D4,FALSE)</f>
        <v>1747</v>
      </c>
      <c r="E8" s="40">
        <f>VLOOKUP($B$4,'Operating Income'!$B:$W,E4,FALSE)</f>
        <v>502</v>
      </c>
      <c r="F8" s="40">
        <f>VLOOKUP($B$4,'Operating Income'!$B:$W,F4,FALSE)</f>
        <v>2384</v>
      </c>
      <c r="G8" s="40">
        <f>VLOOKUP($B$4,'Operating Income'!$B:$W,G4,FALSE)</f>
        <v>2963</v>
      </c>
      <c r="H8" s="40">
        <f>VLOOKUP($B$4,'Operating Income'!$B:$W,H4,FALSE)</f>
        <v>5256</v>
      </c>
      <c r="I8" s="40">
        <f>VLOOKUP($B$4,'Operating Income'!$B:$W,I4,FALSE)</f>
        <v>2645</v>
      </c>
      <c r="J8" s="40">
        <f>VLOOKUP($B$4,'Operating Income'!$B:$W,J4,FALSE)</f>
        <v>5965</v>
      </c>
      <c r="K8" s="40">
        <f>VLOOKUP($B$4,'Operating Income'!$B:$W,K4,FALSE)</f>
        <v>7343</v>
      </c>
      <c r="L8" s="40">
        <f>VLOOKUP($B$4,'Operating Income'!$B:$W,L4,FALSE)</f>
        <v>8083</v>
      </c>
      <c r="M8" s="40">
        <f>VLOOKUP($B$4,'Operating Income'!$B:$W,M4,FALSE)</f>
        <v>5563</v>
      </c>
      <c r="N8" s="40">
        <f>VLOOKUP($B$4,'Operating Income'!$B:$W,N4,FALSE)</f>
        <v>10747</v>
      </c>
      <c r="O8" s="40">
        <f>VLOOKUP($B$4,'Operating Income'!$B:$W,O4,FALSE)</f>
        <v>12845</v>
      </c>
      <c r="P8" s="40">
        <f>VLOOKUP($B$4,'Operating Income'!$B:$W,P4,FALSE)</f>
        <v>17502</v>
      </c>
      <c r="Q8" s="40">
        <f>VLOOKUP($B$4,'Operating Income'!$B:$W,Q4,FALSE)</f>
        <v>10712</v>
      </c>
      <c r="R8" s="40">
        <f>VLOOKUP($B$4,'Operating Income'!$B:$W,R4,FALSE)</f>
        <v>20199</v>
      </c>
      <c r="S8" s="41">
        <f>VLOOKUP($B$4,'Operating Income'!$B:$W,S4,FALSE)</f>
        <v>18985</v>
      </c>
      <c r="T8" s="40"/>
      <c r="U8" s="40"/>
      <c r="V8" s="40"/>
      <c r="W8" s="40"/>
      <c r="Y8" s="12" t="s">
        <v>130</v>
      </c>
      <c r="Z8" s="12">
        <v>3465</v>
      </c>
      <c r="AA8" s="3" t="s">
        <v>600</v>
      </c>
    </row>
    <row r="9" spans="2:27" x14ac:dyDescent="0.3">
      <c r="B9" s="39" t="s">
        <v>779</v>
      </c>
      <c r="C9" s="40">
        <f>AVERAGE(C8:C8)</f>
        <v>347</v>
      </c>
      <c r="D9" s="40">
        <f>AVERAGE(C8:D8)</f>
        <v>1047</v>
      </c>
      <c r="E9" s="40">
        <f>AVERAGE(C8:E8)</f>
        <v>865.33333333333337</v>
      </c>
      <c r="F9" s="40">
        <f t="shared" ref="F9:R9" si="0">AVERAGE(C8:F8)</f>
        <v>1245</v>
      </c>
      <c r="G9" s="40">
        <f t="shared" si="0"/>
        <v>1899</v>
      </c>
      <c r="H9" s="40">
        <f t="shared" si="0"/>
        <v>2776.25</v>
      </c>
      <c r="I9" s="40">
        <f t="shared" si="0"/>
        <v>3312</v>
      </c>
      <c r="J9" s="40">
        <f>AVERAGE(G8:J8)</f>
        <v>4207.25</v>
      </c>
      <c r="K9" s="40">
        <f t="shared" si="0"/>
        <v>5302.25</v>
      </c>
      <c r="L9" s="40">
        <f t="shared" si="0"/>
        <v>6009</v>
      </c>
      <c r="M9" s="40">
        <f t="shared" si="0"/>
        <v>6738.5</v>
      </c>
      <c r="N9" s="40">
        <f t="shared" si="0"/>
        <v>7934</v>
      </c>
      <c r="O9" s="40">
        <f t="shared" si="0"/>
        <v>9309.5</v>
      </c>
      <c r="P9" s="40">
        <f t="shared" si="0"/>
        <v>11664.25</v>
      </c>
      <c r="Q9" s="40">
        <f t="shared" si="0"/>
        <v>12951.5</v>
      </c>
      <c r="R9" s="40">
        <f t="shared" si="0"/>
        <v>15314.5</v>
      </c>
      <c r="S9" s="41">
        <f>AVERAGE(P8:S8)</f>
        <v>16849.5</v>
      </c>
      <c r="T9" s="40"/>
      <c r="U9" s="40"/>
      <c r="V9" s="40"/>
      <c r="W9" s="40"/>
      <c r="Y9" s="12" t="s">
        <v>555</v>
      </c>
      <c r="Z9" s="12">
        <v>2264</v>
      </c>
      <c r="AA9" s="3" t="s">
        <v>424</v>
      </c>
    </row>
    <row r="10" spans="2:27" x14ac:dyDescent="0.3">
      <c r="B10" s="39" t="s">
        <v>780</v>
      </c>
      <c r="C10" s="40">
        <f>SUM(C8:C8)</f>
        <v>347</v>
      </c>
      <c r="D10" s="40">
        <f>SUM(C8:D8)</f>
        <v>2094</v>
      </c>
      <c r="E10" s="40">
        <f>SUM(C8:E8)</f>
        <v>2596</v>
      </c>
      <c r="F10" s="40">
        <f t="shared" ref="F10:S10" si="1">SUM(C8:F8)</f>
        <v>4980</v>
      </c>
      <c r="G10" s="40">
        <f t="shared" si="1"/>
        <v>7596</v>
      </c>
      <c r="H10" s="40">
        <f t="shared" si="1"/>
        <v>11105</v>
      </c>
      <c r="I10" s="40">
        <f t="shared" si="1"/>
        <v>13248</v>
      </c>
      <c r="J10" s="40">
        <f t="shared" si="1"/>
        <v>16829</v>
      </c>
      <c r="K10" s="40">
        <f t="shared" si="1"/>
        <v>21209</v>
      </c>
      <c r="L10" s="40">
        <f t="shared" si="1"/>
        <v>24036</v>
      </c>
      <c r="M10" s="40">
        <f t="shared" si="1"/>
        <v>26954</v>
      </c>
      <c r="N10" s="40">
        <f t="shared" si="1"/>
        <v>31736</v>
      </c>
      <c r="O10" s="40">
        <f t="shared" si="1"/>
        <v>37238</v>
      </c>
      <c r="P10" s="40">
        <f t="shared" si="1"/>
        <v>46657</v>
      </c>
      <c r="Q10" s="40">
        <f t="shared" si="1"/>
        <v>51806</v>
      </c>
      <c r="R10" s="40">
        <f t="shared" si="1"/>
        <v>61258</v>
      </c>
      <c r="S10" s="41">
        <f t="shared" si="1"/>
        <v>67398</v>
      </c>
      <c r="T10" s="40"/>
      <c r="U10" s="40"/>
      <c r="V10" s="40"/>
      <c r="W10" s="40"/>
      <c r="Y10" s="12" t="s">
        <v>125</v>
      </c>
      <c r="Z10" s="12">
        <v>8795</v>
      </c>
      <c r="AA10" s="3" t="s">
        <v>160</v>
      </c>
    </row>
    <row r="11" spans="2:27" x14ac:dyDescent="0.3">
      <c r="B11" s="39" t="s">
        <v>781</v>
      </c>
      <c r="C11" s="42"/>
      <c r="D11" s="42">
        <f t="shared" ref="D11:S11" si="2">D9/C9-1</f>
        <v>2.0172910662824206</v>
      </c>
      <c r="E11" s="42">
        <f t="shared" si="2"/>
        <v>-0.17351162050302449</v>
      </c>
      <c r="F11" s="42">
        <f t="shared" si="2"/>
        <v>0.43875192604006163</v>
      </c>
      <c r="G11" s="42">
        <f t="shared" si="2"/>
        <v>0.52530120481927711</v>
      </c>
      <c r="H11" s="42">
        <f t="shared" si="2"/>
        <v>0.46195365982095837</v>
      </c>
      <c r="I11" s="42">
        <f t="shared" si="2"/>
        <v>0.19297613687528137</v>
      </c>
      <c r="J11" s="42">
        <f t="shared" si="2"/>
        <v>0.27030495169082136</v>
      </c>
      <c r="K11" s="42">
        <f t="shared" si="2"/>
        <v>0.26026501871768981</v>
      </c>
      <c r="L11" s="42">
        <f t="shared" si="2"/>
        <v>0.1332924701777547</v>
      </c>
      <c r="M11" s="42">
        <f t="shared" si="2"/>
        <v>0.12140123148610416</v>
      </c>
      <c r="N11" s="42">
        <f t="shared" si="2"/>
        <v>0.17741337092824816</v>
      </c>
      <c r="O11" s="42">
        <f t="shared" si="2"/>
        <v>0.17336778421981336</v>
      </c>
      <c r="P11" s="43">
        <f t="shared" si="2"/>
        <v>0.25294054460497351</v>
      </c>
      <c r="Q11" s="43">
        <f t="shared" si="2"/>
        <v>0.11035857427609996</v>
      </c>
      <c r="R11" s="43">
        <f t="shared" si="2"/>
        <v>0.18244990927691762</v>
      </c>
      <c r="S11" s="44">
        <f t="shared" si="2"/>
        <v>0.10023180645793195</v>
      </c>
      <c r="T11" s="45"/>
      <c r="U11" s="45"/>
      <c r="V11" s="45"/>
      <c r="W11" s="45"/>
      <c r="Y11" s="12" t="s">
        <v>33</v>
      </c>
      <c r="Z11" s="12">
        <v>8136</v>
      </c>
      <c r="AA11" s="3" t="s">
        <v>157</v>
      </c>
    </row>
    <row r="12" spans="2:27" x14ac:dyDescent="0.3">
      <c r="B12" s="39" t="s">
        <v>757</v>
      </c>
      <c r="C12" s="46">
        <f t="shared" ref="C12:F12" si="3">IFERROR(C8/C7,"-")</f>
        <v>2.6710799784466169E-2</v>
      </c>
      <c r="D12" s="46">
        <f t="shared" si="3"/>
        <v>0.11828830658812377</v>
      </c>
      <c r="E12" s="46">
        <f t="shared" si="3"/>
        <v>3.5349623265967182E-2</v>
      </c>
      <c r="F12" s="46">
        <f t="shared" si="3"/>
        <v>0.17239135150770121</v>
      </c>
      <c r="G12" s="46">
        <f>IFERROR(G8/G7,"-")</f>
        <v>0.17635855008630438</v>
      </c>
      <c r="H12" s="46">
        <f t="shared" ref="H12:S12" si="4">IFERROR(H8/H7,"-")</f>
        <v>0.25034532031436058</v>
      </c>
      <c r="I12" s="46">
        <f t="shared" si="4"/>
        <v>0.12595837897042717</v>
      </c>
      <c r="J12" s="46">
        <f t="shared" si="4"/>
        <v>0.2936253999507753</v>
      </c>
      <c r="K12" s="46">
        <f t="shared" si="4"/>
        <v>0.31094643235231845</v>
      </c>
      <c r="L12" s="46">
        <f t="shared" si="4"/>
        <v>0.28366380066678365</v>
      </c>
      <c r="M12" s="46">
        <f t="shared" si="4"/>
        <v>0.20187980839018727</v>
      </c>
      <c r="N12" s="46">
        <f t="shared" si="4"/>
        <v>0.3717270243160043</v>
      </c>
      <c r="O12" s="46">
        <f t="shared" si="4"/>
        <v>0.37895326882227992</v>
      </c>
      <c r="P12" s="46">
        <f t="shared" si="4"/>
        <v>0.41692274708782961</v>
      </c>
      <c r="Q12" s="46">
        <f t="shared" si="4"/>
        <v>0.26701231367465977</v>
      </c>
      <c r="R12" s="46">
        <f t="shared" si="4"/>
        <v>0.46868691556256814</v>
      </c>
      <c r="S12" s="47">
        <f t="shared" si="4"/>
        <v>0.42587316898091032</v>
      </c>
      <c r="T12" s="48"/>
      <c r="U12" s="48"/>
      <c r="V12" s="48"/>
      <c r="W12" s="48"/>
      <c r="Y12" s="12" t="s">
        <v>476</v>
      </c>
    </row>
    <row r="13" spans="2:27" x14ac:dyDescent="0.3">
      <c r="B13" s="39" t="s">
        <v>782</v>
      </c>
      <c r="C13" s="48" t="e">
        <f>C8/#REF!-1</f>
        <v>#REF!</v>
      </c>
      <c r="D13" s="48" t="e">
        <f>D8/#REF!-1</f>
        <v>#REF!</v>
      </c>
      <c r="E13" s="48" t="e">
        <f>E8/#REF!-1</f>
        <v>#REF!</v>
      </c>
      <c r="F13" s="48" t="e">
        <f>F8/#REF!-1</f>
        <v>#REF!</v>
      </c>
      <c r="G13" s="48">
        <f t="shared" ref="G13:S13" si="5">G8/C8-1</f>
        <v>7.5389048991354475</v>
      </c>
      <c r="H13" s="48">
        <f t="shared" si="5"/>
        <v>2.0085861476817399</v>
      </c>
      <c r="I13" s="48">
        <f t="shared" si="5"/>
        <v>4.2689243027888448</v>
      </c>
      <c r="J13" s="48">
        <f t="shared" si="5"/>
        <v>1.5020973154362416</v>
      </c>
      <c r="K13" s="48">
        <f t="shared" si="5"/>
        <v>1.4782315221059736</v>
      </c>
      <c r="L13" s="48">
        <f t="shared" si="5"/>
        <v>0.53786149162861485</v>
      </c>
      <c r="M13" s="48">
        <f t="shared" si="5"/>
        <v>1.1032136105860113</v>
      </c>
      <c r="N13" s="48">
        <f t="shared" si="5"/>
        <v>0.80167644593461862</v>
      </c>
      <c r="O13" s="48">
        <f>O8/K8-1</f>
        <v>0.74928503336510954</v>
      </c>
      <c r="P13" s="49">
        <f t="shared" si="5"/>
        <v>1.1652851663986143</v>
      </c>
      <c r="Q13" s="49">
        <f t="shared" si="5"/>
        <v>0.92557972317095083</v>
      </c>
      <c r="R13" s="49">
        <f t="shared" si="5"/>
        <v>0.87950125616451102</v>
      </c>
      <c r="S13" s="50">
        <f t="shared" si="5"/>
        <v>0.47800700661736073</v>
      </c>
      <c r="T13" s="48"/>
      <c r="U13" s="48"/>
      <c r="V13" s="48"/>
      <c r="W13" s="48"/>
      <c r="Y13" s="12" t="s">
        <v>109</v>
      </c>
    </row>
    <row r="14" spans="2:27" x14ac:dyDescent="0.3">
      <c r="B14" s="39" t="s">
        <v>783</v>
      </c>
      <c r="G14" s="48">
        <f>G7/C7-1</f>
        <v>0.29327996305134318</v>
      </c>
      <c r="H14" s="48">
        <f>H7/D7-1</f>
        <v>0.42155867018755511</v>
      </c>
      <c r="I14" s="48">
        <f t="shared" ref="I14:S14" si="6">I7/E7-1</f>
        <v>0.47869868319132447</v>
      </c>
      <c r="J14" s="48">
        <f t="shared" si="6"/>
        <v>0.46901439004989509</v>
      </c>
      <c r="K14" s="48">
        <f t="shared" si="6"/>
        <v>0.40557109695851445</v>
      </c>
      <c r="L14" s="48">
        <f t="shared" si="6"/>
        <v>0.35722791140747789</v>
      </c>
      <c r="M14" s="48">
        <f t="shared" si="6"/>
        <v>0.31225296442687744</v>
      </c>
      <c r="N14" s="48">
        <f t="shared" si="6"/>
        <v>0.42313561407826739</v>
      </c>
      <c r="O14" s="48">
        <f t="shared" si="6"/>
        <v>0.4353588820664831</v>
      </c>
      <c r="P14" s="48">
        <f t="shared" si="6"/>
        <v>0.47320582558343571</v>
      </c>
      <c r="Q14" s="48">
        <f t="shared" si="6"/>
        <v>0.4558716794890405</v>
      </c>
      <c r="R14" s="48">
        <f t="shared" si="6"/>
        <v>0.49067828854069395</v>
      </c>
      <c r="S14" s="48">
        <f t="shared" si="6"/>
        <v>0.31516993155534578</v>
      </c>
      <c r="Y14" s="12" t="s">
        <v>86</v>
      </c>
    </row>
    <row r="15" spans="2:27" x14ac:dyDescent="0.3">
      <c r="Y15" s="12" t="s">
        <v>340</v>
      </c>
    </row>
    <row r="16" spans="2:27" x14ac:dyDescent="0.3">
      <c r="Y16" s="12" t="s">
        <v>84</v>
      </c>
    </row>
    <row r="17" spans="25:25" x14ac:dyDescent="0.3">
      <c r="Y17" s="12" t="s">
        <v>422</v>
      </c>
    </row>
    <row r="18" spans="25:25" x14ac:dyDescent="0.3">
      <c r="Y18" s="12" t="s">
        <v>419</v>
      </c>
    </row>
    <row r="19" spans="25:25" x14ac:dyDescent="0.3">
      <c r="Y19" s="12" t="s">
        <v>210</v>
      </c>
    </row>
    <row r="20" spans="25:25" x14ac:dyDescent="0.3">
      <c r="Y20" s="12" t="s">
        <v>291</v>
      </c>
    </row>
  </sheetData>
  <phoneticPr fontId="5" type="noConversion"/>
  <conditionalFormatting sqref="B10:P10">
    <cfRule type="top10" dxfId="3" priority="18" percent="1" rank="5"/>
  </conditionalFormatting>
  <conditionalFormatting sqref="B8:S8">
    <cfRule type="top10" dxfId="2" priority="19" percent="1" rank="10"/>
  </conditionalFormatting>
  <conditionalFormatting sqref="B10:S10">
    <cfRule type="top10" priority="20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2026-02-13T08:41:58Z</dcterms:created>
  <dcterms:modified xsi:type="dcterms:W3CDTF">2026-02-13T09:12:50Z</dcterms:modified>
</cp:coreProperties>
</file>