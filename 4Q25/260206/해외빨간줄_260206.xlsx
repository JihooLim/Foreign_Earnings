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BF8E679D-CE21-494E-9FBC-4CABE9F434E9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Income'!$B$2:$AA$129</definedName>
    <definedName name="_xlnm._FilterDatabase" localSheetId="1" hidden="1">Revenue!$B$2:$AA$127</definedName>
    <definedName name="_xlnm._FilterDatabase" localSheetId="0" hidden="1">기업리스트!$B$3:$G$190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2" l="1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129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8" i="4"/>
  <c r="C9" i="4" s="1"/>
  <c r="D7" i="4"/>
  <c r="E7" i="4"/>
  <c r="F7" i="4"/>
  <c r="G7" i="4"/>
  <c r="H7" i="4"/>
  <c r="H14" i="4" s="1"/>
  <c r="I7" i="4"/>
  <c r="I14" i="4" s="1"/>
  <c r="J7" i="4"/>
  <c r="K7" i="4"/>
  <c r="L7" i="4"/>
  <c r="M7" i="4"/>
  <c r="N7" i="4"/>
  <c r="N14" i="4" s="1"/>
  <c r="O7" i="4"/>
  <c r="P7" i="4"/>
  <c r="Q7" i="4"/>
  <c r="R7" i="4"/>
  <c r="R14" i="4" s="1"/>
  <c r="S7" i="4"/>
  <c r="S14" i="4" s="1"/>
  <c r="C7" i="4"/>
  <c r="Q14" i="4" l="1"/>
  <c r="O14" i="4"/>
  <c r="P14" i="4"/>
  <c r="M14" i="4"/>
  <c r="L14" i="4"/>
  <c r="K14" i="4"/>
  <c r="J14" i="4"/>
  <c r="H10" i="4"/>
  <c r="R13" i="4"/>
  <c r="O9" i="4"/>
  <c r="I10" i="4"/>
  <c r="Q10" i="4"/>
  <c r="Q13" i="4"/>
  <c r="M9" i="4"/>
  <c r="L9" i="4"/>
  <c r="N9" i="4"/>
  <c r="R10" i="4"/>
  <c r="G10" i="4"/>
  <c r="S10" i="4"/>
  <c r="J10" i="4"/>
  <c r="M12" i="4"/>
  <c r="S13" i="4"/>
  <c r="H13" i="4"/>
  <c r="G14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J9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O11" i="4" l="1"/>
  <c r="L11" i="4"/>
  <c r="M11" i="4"/>
  <c r="N11" i="4"/>
  <c r="F11" i="4"/>
  <c r="P11" i="4"/>
  <c r="R11" i="4"/>
  <c r="H11" i="4"/>
  <c r="J11" i="4"/>
  <c r="S11" i="4"/>
  <c r="Q11" i="4"/>
  <c r="G11" i="4"/>
  <c r="I11" i="4"/>
  <c r="E11" i="4"/>
  <c r="K11" i="4"/>
</calcChain>
</file>

<file path=xl/sharedStrings.xml><?xml version="1.0" encoding="utf-8"?>
<sst xmlns="http://schemas.openxmlformats.org/spreadsheetml/2006/main" count="1443" uniqueCount="372">
  <si>
    <t>실적 기업 정보</t>
  </si>
  <si>
    <t>Ticker</t>
  </si>
  <si>
    <t>Company</t>
  </si>
  <si>
    <t>Date</t>
  </si>
  <si>
    <t>Time</t>
  </si>
  <si>
    <t>Quarter Ending</t>
  </si>
  <si>
    <t>Market Cap (mil$)</t>
  </si>
  <si>
    <t>Toyota Motor Corporation</t>
  </si>
  <si>
    <t>06-Feb-26</t>
  </si>
  <si>
    <t>Dec-25</t>
  </si>
  <si>
    <t>PM</t>
  </si>
  <si>
    <t>Philip Morris International Inc.</t>
  </si>
  <si>
    <t>Tokyo Electron Limited</t>
  </si>
  <si>
    <t>SBIN</t>
  </si>
  <si>
    <t>State Bank of India</t>
  </si>
  <si>
    <t>07-Feb-26</t>
  </si>
  <si>
    <t>GLE</t>
  </si>
  <si>
    <t>Société Générale Société anonyme</t>
  </si>
  <si>
    <t>KDDI Corporation</t>
  </si>
  <si>
    <t>KNEBV</t>
  </si>
  <si>
    <t>KONE Oyj</t>
  </si>
  <si>
    <t>UI</t>
  </si>
  <si>
    <t>Ubiquiti Inc.</t>
  </si>
  <si>
    <t>Mitsui Fudosan Co., Ltd.</t>
  </si>
  <si>
    <t>KOG</t>
  </si>
  <si>
    <t>Kongsberg Gruppen ASA</t>
  </si>
  <si>
    <t>CBOE</t>
  </si>
  <si>
    <t>Cboe Global Markets, Inc.</t>
  </si>
  <si>
    <t>Pre Market</t>
  </si>
  <si>
    <t>ORSTED</t>
  </si>
  <si>
    <t>Ørsted A/S</t>
  </si>
  <si>
    <t>Sumitomo Realty &amp; Development Co., Ltd.</t>
  </si>
  <si>
    <t>BIIB</t>
  </si>
  <si>
    <t>Biogen Inc.</t>
  </si>
  <si>
    <t>AER</t>
  </si>
  <si>
    <t>AerCap Holdings N.V.</t>
  </si>
  <si>
    <t>CG</t>
  </si>
  <si>
    <t>The Carlyle Group Inc.</t>
  </si>
  <si>
    <t>CNC</t>
  </si>
  <si>
    <t>Centene Corporation</t>
  </si>
  <si>
    <t>COLO B</t>
  </si>
  <si>
    <t>Coloplast A/S</t>
  </si>
  <si>
    <t>TEL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</si>
  <si>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</si>
  <si>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</si>
  <si>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</si>
  <si>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</si>
  <si>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</si>
  <si>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</si>
  <si>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</si>
  <si>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NVT</t>
  </si>
  <si>
    <t>nVent Electric plc</t>
  </si>
  <si>
    <t>C38U</t>
  </si>
  <si>
    <t>CapitaLand Integrated Commercial Trust</t>
  </si>
  <si>
    <t>Woori Financial Group Inc.</t>
  </si>
  <si>
    <t>FBK</t>
  </si>
  <si>
    <t>FinecoBank Banca Fineco S.p.A.</t>
  </si>
  <si>
    <t>SIEMENS</t>
  </si>
  <si>
    <t>Siemens Limited</t>
  </si>
  <si>
    <t>PAA</t>
  </si>
  <si>
    <t>Plains All American Pipeline, L.P.</t>
  </si>
  <si>
    <t>ROIV</t>
  </si>
  <si>
    <t>Roivant Sciences Ltd.</t>
  </si>
  <si>
    <t>SHREECEM</t>
  </si>
  <si>
    <t>Shree Cement Limited</t>
  </si>
  <si>
    <t>SKA B</t>
  </si>
  <si>
    <t>Skanska AB (publ)</t>
  </si>
  <si>
    <t>FRHC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</si>
  <si>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</si>
  <si>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</si>
  <si>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</si>
  <si>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</si>
  <si>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</si>
  <si>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</si>
  <si>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</si>
  <si>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AN</t>
  </si>
  <si>
    <t>AutoNation, Inc.</t>
  </si>
  <si>
    <t>BALD B</t>
  </si>
  <si>
    <t>Fastighets AB Balder (publ)</t>
  </si>
  <si>
    <t>Square Enix Holdings Co., Ltd.</t>
  </si>
  <si>
    <t>Hanwha Systems Co., Ltd.</t>
  </si>
  <si>
    <t>LOTB</t>
  </si>
  <si>
    <t>Lotus Bakeries NV</t>
  </si>
  <si>
    <t>MRF</t>
  </si>
  <si>
    <t>MRF Limited</t>
  </si>
  <si>
    <t>SK Biopharmaceuticals Co., Ltd.</t>
  </si>
  <si>
    <t>MKTX</t>
  </si>
  <si>
    <t>MarketAxess Holdings Inc.</t>
  </si>
  <si>
    <t>Tokyu Fudosan Holdings Corporation</t>
  </si>
  <si>
    <t>PIPR</t>
  </si>
  <si>
    <t>Piper Sandler Companies</t>
  </si>
  <si>
    <t>Tokyo Century Corporation</t>
  </si>
  <si>
    <t>VALMT</t>
  </si>
  <si>
    <t>Valmet Oyj</t>
  </si>
  <si>
    <t>KALYANKJIL</t>
  </si>
  <si>
    <t>Kalyan Jewellers India Limited</t>
  </si>
  <si>
    <t>SG Holdings Co.,Ltd.</t>
  </si>
  <si>
    <t>McDonald's Holdings Company (Japan), Ltd.</t>
  </si>
  <si>
    <t>CyberAgent, Inc.</t>
  </si>
  <si>
    <t>Brother Industries, Ltd.</t>
  </si>
  <si>
    <t>WTM</t>
  </si>
  <si>
    <t>White Mountains Insurance Group, Ltd.</t>
  </si>
  <si>
    <t>EMBASSY</t>
  </si>
  <si>
    <t>Embassy Office Parks REIT</t>
  </si>
  <si>
    <t>Hachijuni Nagano Bank, Ltd.</t>
  </si>
  <si>
    <t>LAGR B</t>
  </si>
  <si>
    <t>Lagercrantz Group AB (publ)</t>
  </si>
  <si>
    <t>Kakao Pay Corp.</t>
  </si>
  <si>
    <t>Cosmo Energy Holdings Co., Ltd.</t>
  </si>
  <si>
    <t>VONN</t>
  </si>
  <si>
    <t>Vontobel Holding AG</t>
  </si>
  <si>
    <t>IMVT</t>
  </si>
  <si>
    <t>Immunovant, Inc.</t>
  </si>
  <si>
    <t>PAGP</t>
  </si>
  <si>
    <t>Plains GP Holdings, L.P.</t>
  </si>
  <si>
    <t>BNK Financial Group Inc.</t>
  </si>
  <si>
    <t>COMSYS Holdings Corporation</t>
  </si>
  <si>
    <t>EXEO Group, Inc.</t>
  </si>
  <si>
    <t>Nippon Electric Glass Co., Ltd.</t>
  </si>
  <si>
    <t>KIMS</t>
  </si>
  <si>
    <t>Krishna Institute of Medical Sciences Limited</t>
  </si>
  <si>
    <t>Taiyo Yuden Co., Ltd.</t>
  </si>
  <si>
    <t>Tokyo Seimitsu Co., Ltd.</t>
  </si>
  <si>
    <t>APAM</t>
  </si>
  <si>
    <t>Aperam S.A.</t>
  </si>
  <si>
    <t>Fujitec Co., Ltd.</t>
  </si>
  <si>
    <t>Yamaguchi Financial Group, Inc.</t>
  </si>
  <si>
    <t>NIKKON Holdings Co.,Ltd.</t>
  </si>
  <si>
    <t>RXO</t>
  </si>
  <si>
    <t>RXO, Inc.</t>
  </si>
  <si>
    <t>OLAELEC</t>
  </si>
  <si>
    <t>Ola Electric Mobility Limited</t>
  </si>
  <si>
    <t>CESC</t>
  </si>
  <si>
    <t>CESC Limited</t>
  </si>
  <si>
    <t>SUNTV</t>
  </si>
  <si>
    <t>Sun TV Network Limited</t>
  </si>
  <si>
    <t>Fuyo General Lease Co., Ltd.</t>
  </si>
  <si>
    <t>Seven Bank, Ltd.</t>
  </si>
  <si>
    <t>Keihan Holdings Co., Ltd.</t>
  </si>
  <si>
    <t>JustSystems Corporation</t>
  </si>
  <si>
    <t>Jubilant Pharmova Limited</t>
  </si>
  <si>
    <t>CROMPTON</t>
  </si>
  <si>
    <t>Crompton Greaves Consumer Electricals Limited</t>
  </si>
  <si>
    <t>Ratnamani Metals &amp; Tubes Limited</t>
  </si>
  <si>
    <t>Grindwell Norton Limited</t>
  </si>
  <si>
    <t>MITSUI-SOKO HOLDINGS Co., Ltd.</t>
  </si>
  <si>
    <t>Paltac Corporation</t>
  </si>
  <si>
    <t>NWL</t>
  </si>
  <si>
    <t>Newell Brands Inc.</t>
  </si>
  <si>
    <t>UAA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</si>
  <si>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</si>
  <si>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</si>
  <si>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</si>
  <si>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</si>
  <si>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</si>
  <si>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</si>
  <si>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Daiwabo Holdings Co., Ltd.</t>
  </si>
  <si>
    <t>Meiko Electronics Co., Ltd.</t>
  </si>
  <si>
    <t>AKSO</t>
  </si>
  <si>
    <t>Aker Solutions ASA</t>
  </si>
  <si>
    <t>Amara Raja Energy &amp; Mobility Limited</t>
  </si>
  <si>
    <t>Ship Healthcare Holdings, Inc.</t>
  </si>
  <si>
    <t>KATITAS CO., Ltd.</t>
  </si>
  <si>
    <t>iM Financial Group Co., Ltd.</t>
  </si>
  <si>
    <t>OBEL</t>
  </si>
  <si>
    <t>Orange Belgium S.A.</t>
  </si>
  <si>
    <t>BEML Limited</t>
  </si>
  <si>
    <t>BLS</t>
  </si>
  <si>
    <t>BLS International Services Limited</t>
  </si>
  <si>
    <t>Lotte Shopping Co., Ltd.</t>
  </si>
  <si>
    <t>Tsubakimoto Chain Co.</t>
  </si>
  <si>
    <t>Fuso Chemical Co.,Ltd.</t>
  </si>
  <si>
    <t>Glory Ltd.</t>
  </si>
  <si>
    <t>LEMONTREE</t>
  </si>
  <si>
    <t>Lemon Tree Hotels Limited</t>
  </si>
  <si>
    <t>SK Gas Co., Ltd.</t>
  </si>
  <si>
    <t>TOA Corporation</t>
  </si>
  <si>
    <t>The Bank of Nagoya, Ltd.</t>
  </si>
  <si>
    <t>Okamura Corporation</t>
  </si>
  <si>
    <t>TS TECH Co., Ltd.</t>
  </si>
  <si>
    <t>Duskin Co., Ltd.</t>
  </si>
  <si>
    <t>ULCC</t>
  </si>
  <si>
    <t>Frontier Group Holdings, Inc.</t>
  </si>
  <si>
    <t>GRC</t>
  </si>
  <si>
    <t>The Gorman-Rupp Company</t>
  </si>
  <si>
    <t>VIT B</t>
  </si>
  <si>
    <t>Vitec Software Group AB (publ)</t>
  </si>
  <si>
    <t>Ushio Inc.</t>
  </si>
  <si>
    <t>Musashi Seimitsu Industry Co., Ltd.</t>
  </si>
  <si>
    <t>Shaily Engineering Plastics Limited</t>
  </si>
  <si>
    <t>PRLB</t>
  </si>
  <si>
    <t>Proto Labs, Inc.</t>
  </si>
  <si>
    <t>Kato Sangyo Co., Ltd.</t>
  </si>
  <si>
    <t>MGL</t>
  </si>
  <si>
    <t>Mahanagar Gas Limited</t>
  </si>
  <si>
    <t>DTS Corporation</t>
  </si>
  <si>
    <t>HD Construction Equipment Co., Ltd.</t>
  </si>
  <si>
    <t>HOFI</t>
  </si>
  <si>
    <t>Hoist Finance AB (publ)</t>
  </si>
  <si>
    <t>Yodoko, Ltd.</t>
  </si>
  <si>
    <t>PWP</t>
  </si>
  <si>
    <t>Perella Weinberg Partners</t>
  </si>
  <si>
    <t>Chiyoda Corporation</t>
  </si>
  <si>
    <t>INOXINDIA</t>
  </si>
  <si>
    <t>INOX India Limited</t>
  </si>
  <si>
    <t>VRTS</t>
  </si>
  <si>
    <t>Virtus Investment Partners, Inc.</t>
  </si>
  <si>
    <t>Ricoh Leasing Company, Ltd.</t>
  </si>
  <si>
    <t>Banco Products (India) Limited</t>
  </si>
  <si>
    <t>GRINFRA</t>
  </si>
  <si>
    <t>G R Infraprojects Limited</t>
  </si>
  <si>
    <t>Whirlpool of India Limited</t>
  </si>
  <si>
    <t>Nittetsu Mining Co., Ltd.</t>
  </si>
  <si>
    <t>SONATSOFTW</t>
  </si>
  <si>
    <t>Sonata Software Limited</t>
  </si>
  <si>
    <t>Techno Ryowa Ltd.</t>
  </si>
  <si>
    <t>AKTIA</t>
  </si>
  <si>
    <t>Aktia Pankki Oyj</t>
  </si>
  <si>
    <t>Procter &amp; Gamble Health Limited</t>
  </si>
  <si>
    <t>Tamron Co.,Ltd.</t>
  </si>
  <si>
    <t>Open Up Group Inc.</t>
  </si>
  <si>
    <t>INDIASHLTR</t>
  </si>
  <si>
    <t>India Shelter Finance Corporation Limited</t>
  </si>
  <si>
    <t>Kaken Pharmaceutical Co., Ltd.</t>
  </si>
  <si>
    <t>Star Cement Limited</t>
  </si>
  <si>
    <t>TOWA Corporation</t>
  </si>
  <si>
    <t>The First Bank Of Toyama, Ltd.</t>
  </si>
  <si>
    <t>Nippon Seiki Co., Ltd.</t>
  </si>
  <si>
    <t>AOKI Holdings Inc.</t>
  </si>
  <si>
    <t>Taihei Dengyo Kaisha, Ltd.</t>
  </si>
  <si>
    <t>NB</t>
  </si>
  <si>
    <t>NioCorp Developments Ltd.</t>
  </si>
  <si>
    <t>Bunka Shutter Co., Ltd.</t>
  </si>
  <si>
    <t>BML, Inc.</t>
  </si>
  <si>
    <t>Tokyu Construction Co., Ltd.</t>
  </si>
  <si>
    <t>YIT</t>
  </si>
  <si>
    <t>YIT Oyj</t>
  </si>
  <si>
    <t>MCAP</t>
  </si>
  <si>
    <t>MedCap AB (publ)</t>
  </si>
  <si>
    <t>Hosiden Corporation</t>
  </si>
  <si>
    <t>San ju San Financial Group,Inc.</t>
  </si>
  <si>
    <t>Mochida Pharmaceutical Co., Ltd.</t>
  </si>
  <si>
    <t>PS Construction Co., Ltd.</t>
  </si>
  <si>
    <t>EMIL B</t>
  </si>
  <si>
    <t>Fastighetsbolaget Emilshus AB (publ)</t>
  </si>
  <si>
    <t>GHM</t>
  </si>
  <si>
    <t>Graham Corporation</t>
  </si>
  <si>
    <t>Nippon Paper Industries Co., Ltd.</t>
  </si>
  <si>
    <t>MegaChips Corporation</t>
  </si>
  <si>
    <t>Tsukishima Holdings Co., Ltd.</t>
  </si>
  <si>
    <t>Nitta Corporation</t>
  </si>
  <si>
    <t>T. Hasegawa Co., Ltd.</t>
  </si>
  <si>
    <t>Nichicon Corporation</t>
  </si>
  <si>
    <t>Prism Johnson Limited</t>
  </si>
  <si>
    <t>PGIL</t>
  </si>
  <si>
    <t>Pearl Global Industries Limited</t>
  </si>
  <si>
    <t>HDD</t>
  </si>
  <si>
    <t>Heidelberger Druckmaschinen Aktiengesellschaft</t>
  </si>
  <si>
    <t>MAXESTATES</t>
  </si>
  <si>
    <t>Max Estates Limited</t>
  </si>
  <si>
    <t>Kurimoto,Ltd.</t>
  </si>
  <si>
    <t>BOOZT</t>
  </si>
  <si>
    <t>Boozt AB (publ)</t>
  </si>
  <si>
    <t>SAPPHIRE</t>
  </si>
  <si>
    <t>Sapphire Foods India Limited</t>
  </si>
  <si>
    <t>Showa Sangyo Co., Ltd.</t>
  </si>
  <si>
    <t>Furuya Metal Co., Ltd.</t>
  </si>
  <si>
    <t>KH Neochem Co., Ltd.</t>
  </si>
  <si>
    <t>IDEC Corporation</t>
  </si>
  <si>
    <t>DUNI</t>
  </si>
  <si>
    <t>Duni AB (publ)</t>
  </si>
  <si>
    <t>V.S.T. Tillers Tractors Limited</t>
  </si>
  <si>
    <t>GMM Pfaudler Limited</t>
  </si>
  <si>
    <t>KRN</t>
  </si>
  <si>
    <t>KRN Heat Exchanger and Refrigeration Limited</t>
  </si>
  <si>
    <t>Hosokawa Micron Corporation</t>
  </si>
  <si>
    <t>Alpen Co.,Ltd.</t>
  </si>
  <si>
    <t>F&amp;F Holdings Co., Ltd.</t>
  </si>
  <si>
    <t>Toa Road Corporation</t>
  </si>
  <si>
    <t>Nippon Ceramic Co., Ltd.</t>
  </si>
  <si>
    <t>Anicom Holdings, Inc.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</si>
  <si>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</si>
  <si>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</si>
  <si>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</si>
  <si>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</si>
  <si>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</si>
  <si>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</si>
  <si>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</si>
  <si>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</si>
  <si>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</si>
  <si>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</si>
  <si>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</si>
  <si>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</si>
  <si>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</si>
  <si>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</si>
  <si>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</si>
  <si>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</si>
  <si>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</si>
  <si>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</si>
  <si>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</si>
  <si>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</si>
  <si>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</si>
  <si>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</si>
  <si>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Asset Management</t>
  </si>
  <si>
    <t>Dec'25</t>
  </si>
  <si>
    <t>Insurance - Property &amp; Casualty</t>
  </si>
  <si>
    <t>Banks - Regional</t>
  </si>
  <si>
    <t>Capital Markets</t>
  </si>
  <si>
    <t>Electrical Equipment &amp; Parts</t>
  </si>
  <si>
    <t>Communication Equipment</t>
  </si>
  <si>
    <t>Jun'26</t>
  </si>
  <si>
    <t>Healthcare Plans</t>
  </si>
  <si>
    <t>Electronic Components</t>
  </si>
  <si>
    <t>Mar'26</t>
  </si>
  <si>
    <t>Specialty Industrial Machinery</t>
  </si>
  <si>
    <t>Sep'26</t>
  </si>
  <si>
    <t>Metal Fabrication</t>
  </si>
  <si>
    <t>Rental &amp; Leasing Services</t>
  </si>
  <si>
    <t>Tobacco</t>
  </si>
  <si>
    <t>Household &amp; Personal Products</t>
  </si>
  <si>
    <t>Auto &amp; Truck Dealerships</t>
  </si>
  <si>
    <t>Apparel Manufacturing</t>
  </si>
  <si>
    <t>Drug Manufacturers - General</t>
  </si>
  <si>
    <t>Oil &amp; Gas Midstream</t>
  </si>
  <si>
    <t>Trucking</t>
  </si>
  <si>
    <t>Biotechnology</t>
  </si>
  <si>
    <t>Japan</t>
  </si>
  <si>
    <t>India</t>
  </si>
  <si>
    <t>Financial Data &amp; Stock Exchanges</t>
  </si>
  <si>
    <t>Sweden</t>
  </si>
  <si>
    <t>Financial Conglomerates</t>
  </si>
  <si>
    <t>Airlines</t>
  </si>
  <si>
    <t>Sep'25</t>
  </si>
  <si>
    <t>Information Technology Services</t>
  </si>
  <si>
    <t>H2 2025</t>
  </si>
  <si>
    <t>Other Industrial Metals &amp; Mining</t>
  </si>
  <si>
    <t>opm</t>
  </si>
  <si>
    <t>A007700</t>
    <phoneticPr fontId="5" type="noConversion"/>
  </si>
  <si>
    <t>A018670</t>
    <phoneticPr fontId="5" type="noConversion"/>
  </si>
  <si>
    <t>A023530</t>
    <phoneticPr fontId="5" type="noConversion"/>
  </si>
  <si>
    <t>A138930</t>
    <phoneticPr fontId="5" type="noConversion"/>
  </si>
  <si>
    <t>A139130</t>
    <phoneticPr fontId="5" type="noConversion"/>
  </si>
  <si>
    <t>A267270</t>
    <phoneticPr fontId="5" type="noConversion"/>
  </si>
  <si>
    <t>A272210</t>
    <phoneticPr fontId="5" type="noConversion"/>
  </si>
  <si>
    <t>A316140</t>
    <phoneticPr fontId="5" type="noConversion"/>
  </si>
  <si>
    <t>A326030</t>
    <phoneticPr fontId="5" type="noConversion"/>
  </si>
  <si>
    <t>A377300</t>
    <phoneticPr fontId="5" type="noConversion"/>
  </si>
  <si>
    <t>AER</t>
    <phoneticPr fontId="5" type="noConversion"/>
  </si>
  <si>
    <t>KALYANKJIL</t>
    <phoneticPr fontId="5" type="noConversion"/>
  </si>
  <si>
    <t>GRINFRA</t>
    <phoneticPr fontId="5" type="noConversion"/>
  </si>
  <si>
    <t>INDIASHLTR</t>
    <phoneticPr fontId="5" type="noConversion"/>
  </si>
  <si>
    <t>SONATSOFTW</t>
    <phoneticPr fontId="5" type="noConversion"/>
  </si>
  <si>
    <t>(단위: mil $)</t>
    <phoneticPr fontId="5" type="noConversion"/>
  </si>
  <si>
    <t>4Q21</t>
    <phoneticPr fontId="11" type="noConversion"/>
  </si>
  <si>
    <t>1Q22</t>
    <phoneticPr fontId="11" type="noConversion"/>
  </si>
  <si>
    <t>2Q22</t>
    <phoneticPr fontId="11" type="noConversion"/>
  </si>
  <si>
    <t>3Q22</t>
    <phoneticPr fontId="11" type="noConversion"/>
  </si>
  <si>
    <t>4Q22</t>
    <phoneticPr fontId="11" type="noConversion"/>
  </si>
  <si>
    <t>2Q23</t>
    <phoneticPr fontId="11" type="noConversion"/>
  </si>
  <si>
    <t>3Q23</t>
    <phoneticPr fontId="11" type="noConversion"/>
  </si>
  <si>
    <t>4Q23</t>
    <phoneticPr fontId="11" type="noConversion"/>
  </si>
  <si>
    <t>1Q26</t>
    <phoneticPr fontId="11" type="noConversion"/>
  </si>
  <si>
    <t>2Q26</t>
    <phoneticPr fontId="11" type="noConversion"/>
  </si>
  <si>
    <t>3Q26</t>
    <phoneticPr fontId="11" type="noConversion"/>
  </si>
  <si>
    <t>4Q26</t>
    <phoneticPr fontId="11" type="noConversion"/>
  </si>
  <si>
    <t>Revenue</t>
    <phoneticPr fontId="11" type="noConversion"/>
  </si>
  <si>
    <t>OP</t>
    <phoneticPr fontId="11" type="noConversion"/>
  </si>
  <si>
    <t>Trailing 4Q OP avg.</t>
    <phoneticPr fontId="11" type="noConversion"/>
  </si>
  <si>
    <t>Trailing 4Q OP sum.</t>
    <phoneticPr fontId="11" type="noConversion"/>
  </si>
  <si>
    <t>Trailing OP Delta</t>
    <phoneticPr fontId="11" type="noConversion"/>
  </si>
  <si>
    <t>op yoy</t>
    <phoneticPr fontId="11" type="noConversion"/>
  </si>
  <si>
    <t>rv yoy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</si>
</sst>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8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2" fillId="0" borderId="0" xfId="0" applyFont="1"/>
    <xf numFmtId="176" fontId="2" fillId="4" borderId="0" xfId="0" applyNumberFormat="1" applyFont="1" applyFill="1"/>
    <xf numFmtId="0" fontId="6" fillId="0" borderId="0" xfId="0" applyFont="1"/>
    <xf numFmtId="0" fontId="7" fillId="0" borderId="0" xfId="0" applyFont="1"/>
    <xf numFmtId="0" fontId="6" fillId="0" borderId="0" xfId="0" quotePrefix="1" applyFont="1" applyAlignment="1">
      <alignment vertical="center"/>
    </xf>
    <xf numFmtId="0" fontId="8" fillId="0" borderId="0" xfId="0" applyFont="1"/>
    <xf numFmtId="0" fontId="7" fillId="0" borderId="0" xfId="0" applyFont="1" applyAlignment="1">
      <alignment vertical="center"/>
    </xf>
    <xf numFmtId="0" fontId="9" fillId="5" borderId="2" xfId="0" applyFont="1" applyFill="1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10" fillId="5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178" fontId="7" fillId="0" borderId="0" xfId="0" applyNumberFormat="1" applyFont="1" applyAlignment="1">
      <alignment vertical="center"/>
    </xf>
    <xf numFmtId="178" fontId="7" fillId="0" borderId="2" xfId="0" applyNumberFormat="1" applyFont="1" applyBorder="1" applyAlignment="1">
      <alignment vertical="center"/>
    </xf>
    <xf numFmtId="177" fontId="7" fillId="0" borderId="0" xfId="1" applyNumberFormat="1" applyFont="1" applyFill="1">
      <alignment vertical="center"/>
    </xf>
    <xf numFmtId="177" fontId="7" fillId="0" borderId="0" xfId="1" applyNumberFormat="1" applyFont="1" applyFill="1" applyBorder="1">
      <alignment vertical="center"/>
    </xf>
    <xf numFmtId="177" fontId="7" fillId="0" borderId="2" xfId="1" applyNumberFormat="1" applyFont="1" applyFill="1" applyBorder="1">
      <alignment vertical="center"/>
    </xf>
    <xf numFmtId="9" fontId="7" fillId="0" borderId="0" xfId="1" applyFont="1" applyFill="1">
      <alignment vertical="center"/>
    </xf>
    <xf numFmtId="9" fontId="7" fillId="0" borderId="0" xfId="1" applyFont="1" applyAlignment="1">
      <alignment horizontal="right" vertical="center"/>
    </xf>
    <xf numFmtId="9" fontId="7" fillId="0" borderId="2" xfId="1" applyFont="1" applyBorder="1" applyAlignment="1">
      <alignment horizontal="right" vertical="center"/>
    </xf>
    <xf numFmtId="9" fontId="7" fillId="0" borderId="0" xfId="1" applyFont="1">
      <alignment vertical="center"/>
    </xf>
    <xf numFmtId="9" fontId="7" fillId="0" borderId="0" xfId="1" applyFont="1" applyBorder="1">
      <alignment vertical="center"/>
    </xf>
    <xf numFmtId="9" fontId="7" fillId="0" borderId="2" xfId="1" applyFont="1" applyBorder="1">
      <alignment vertical="center"/>
    </xf>
    <xf numFmtId="0" fontId="3" fillId="0" borderId="3" xfId="0" applyFont="1" applyBorder="1"/>
    <xf numFmtId="176" fontId="3" fillId="0" borderId="3" xfId="0" applyNumberFormat="1" applyFont="1" applyBorder="1"/>
    <xf numFmtId="177" fontId="3" fillId="0" borderId="4" xfId="0" applyNumberFormat="1" applyFont="1" applyBorder="1"/>
    <xf numFmtId="177" fontId="3" fillId="3" borderId="3" xfId="0" applyNumberFormat="1" applyFont="1" applyFill="1" applyBorder="1"/>
    <xf numFmtId="177" fontId="3" fillId="0" borderId="3" xfId="0" applyNumberFormat="1" applyFont="1" applyBorder="1"/>
    <xf numFmtId="0" fontId="3" fillId="0" borderId="5" xfId="0" applyFont="1" applyBorder="1"/>
    <xf numFmtId="176" fontId="3" fillId="0" borderId="5" xfId="0" applyNumberFormat="1" applyFont="1" applyBorder="1"/>
    <xf numFmtId="177" fontId="3" fillId="0" borderId="6" xfId="0" applyNumberFormat="1" applyFont="1" applyBorder="1"/>
    <xf numFmtId="177" fontId="3" fillId="0" borderId="5" xfId="0" applyNumberFormat="1" applyFont="1" applyBorder="1"/>
    <xf numFmtId="0" fontId="3" fillId="0" borderId="0" xfId="0" applyFont="1" applyBorder="1"/>
    <xf numFmtId="176" fontId="3" fillId="0" borderId="0" xfId="0" applyNumberFormat="1" applyFont="1" applyBorder="1"/>
    <xf numFmtId="177" fontId="3" fillId="0" borderId="0" xfId="0" applyNumberFormat="1" applyFont="1" applyBorder="1"/>
    <xf numFmtId="0" fontId="12" fillId="0" borderId="0" xfId="0" applyFont="1"/>
    <xf numFmtId="0" fontId="2" fillId="0" borderId="0" xfId="0" applyFont="1" applyBorder="1"/>
    <xf numFmtId="0" fontId="2" fillId="0" borderId="3" xfId="0" applyFont="1" applyBorder="1"/>
    <xf numFmtId="0" fontId="2" fillId="0" borderId="5" xfId="0" applyFont="1" applyBorder="1"/>
    <xf numFmtId="0" fontId="2" fillId="2" borderId="7" xfId="0" applyFont="1" applyFill="1" applyBorder="1" applyAlignment="1">
      <alignment horizontal="center"/>
    </xf>
    <xf numFmtId="178" fontId="3" fillId="0" borderId="0" xfId="0" applyNumberFormat="1" applyFont="1"/>
    <xf numFmtId="178" fontId="3" fillId="3" borderId="0" xfId="0" applyNumberFormat="1" applyFont="1" applyFill="1"/>
    <xf numFmtId="178" fontId="3" fillId="0" borderId="3" xfId="0" applyNumberFormat="1" applyFont="1" applyBorder="1"/>
    <xf numFmtId="178" fontId="3" fillId="3" borderId="3" xfId="0" applyNumberFormat="1" applyFont="1" applyFill="1" applyBorder="1"/>
    <xf numFmtId="178" fontId="3" fillId="0" borderId="5" xfId="0" applyNumberFormat="1" applyFont="1" applyBorder="1"/>
    <xf numFmtId="178" fontId="3" fillId="3" borderId="5" xfId="0" applyNumberFormat="1" applyFont="1" applyFill="1" applyBorder="1"/>
    <xf numFmtId="178" fontId="3" fillId="0" borderId="0" xfId="0" applyNumberFormat="1" applyFont="1" applyBorder="1"/>
    <xf numFmtId="178" fontId="3" fillId="3" borderId="0" xfId="0" applyNumberFormat="1" applyFont="1" applyFill="1" applyBorder="1"/>
    <xf numFmtId="178" fontId="0" fillId="0" borderId="0" xfId="0" applyNumberFormat="1"/>
    <xf numFmtId="0" fontId="2" fillId="4" borderId="0" xfId="0" applyFont="1" applyFill="1"/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0"/>
  <sheetViews>
    <sheetView zoomScale="85" zoomScaleNormal="85" workbookViewId="0">
      <selection activeCell="L14" sqref="L14"/>
    </sheetView>
  </sheetViews>
  <sheetFormatPr defaultRowHeight="16.5" x14ac:dyDescent="0.3"/>
  <cols>
    <col min="1" max="1" width="3" customWidth="1"/>
    <col min="2" max="2" width="12" style="45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1">
        <v>7203</v>
      </c>
      <c r="C4" s="3" t="s">
        <v>7</v>
      </c>
      <c r="D4" s="3" t="s">
        <v>8</v>
      </c>
      <c r="E4" s="3"/>
      <c r="F4" s="3" t="s">
        <v>9</v>
      </c>
      <c r="G4" s="4">
        <v>296741</v>
      </c>
    </row>
    <row r="5" spans="2:7" x14ac:dyDescent="0.3">
      <c r="B5" s="11" t="s">
        <v>10</v>
      </c>
      <c r="C5" s="3" t="s">
        <v>11</v>
      </c>
      <c r="D5" s="3" t="s">
        <v>8</v>
      </c>
      <c r="E5" s="3"/>
      <c r="F5" s="3" t="s">
        <v>9</v>
      </c>
      <c r="G5" s="4">
        <v>279323</v>
      </c>
    </row>
    <row r="6" spans="2:7" x14ac:dyDescent="0.3">
      <c r="B6" s="11">
        <v>8035</v>
      </c>
      <c r="C6" s="3" t="s">
        <v>12</v>
      </c>
      <c r="D6" s="3" t="s">
        <v>8</v>
      </c>
      <c r="E6" s="3"/>
      <c r="F6" s="3" t="s">
        <v>9</v>
      </c>
      <c r="G6" s="4">
        <v>123043</v>
      </c>
    </row>
    <row r="7" spans="2:7" x14ac:dyDescent="0.3">
      <c r="B7" s="11" t="s">
        <v>13</v>
      </c>
      <c r="C7" s="3" t="s">
        <v>14</v>
      </c>
      <c r="D7" s="3" t="s">
        <v>15</v>
      </c>
      <c r="E7" s="3"/>
      <c r="F7" s="3" t="s">
        <v>9</v>
      </c>
      <c r="G7" s="4">
        <v>108265</v>
      </c>
    </row>
    <row r="8" spans="2:7" x14ac:dyDescent="0.3">
      <c r="B8" s="11" t="s">
        <v>16</v>
      </c>
      <c r="C8" s="3" t="s">
        <v>17</v>
      </c>
      <c r="D8" s="3" t="s">
        <v>8</v>
      </c>
      <c r="E8" s="3"/>
      <c r="F8" s="3" t="s">
        <v>9</v>
      </c>
      <c r="G8" s="4">
        <v>66078.41</v>
      </c>
    </row>
    <row r="9" spans="2:7" x14ac:dyDescent="0.3">
      <c r="B9" s="11">
        <v>9433</v>
      </c>
      <c r="C9" s="3" t="s">
        <v>18</v>
      </c>
      <c r="D9" s="3" t="s">
        <v>8</v>
      </c>
      <c r="E9" s="3"/>
      <c r="F9" s="3" t="s">
        <v>9</v>
      </c>
      <c r="G9" s="4">
        <v>64477.07</v>
      </c>
    </row>
    <row r="10" spans="2:7" x14ac:dyDescent="0.3">
      <c r="B10" s="11" t="s">
        <v>19</v>
      </c>
      <c r="C10" s="3" t="s">
        <v>20</v>
      </c>
      <c r="D10" s="3" t="s">
        <v>8</v>
      </c>
      <c r="E10" s="3"/>
      <c r="F10" s="3" t="s">
        <v>9</v>
      </c>
      <c r="G10" s="4">
        <v>37852.53</v>
      </c>
    </row>
    <row r="11" spans="2:7" x14ac:dyDescent="0.3">
      <c r="B11" s="11" t="s">
        <v>21</v>
      </c>
      <c r="C11" s="3" t="s">
        <v>22</v>
      </c>
      <c r="D11" s="3" t="s">
        <v>8</v>
      </c>
      <c r="E11" s="3"/>
      <c r="F11" s="3" t="s">
        <v>9</v>
      </c>
      <c r="G11" s="4">
        <v>33298.410000000003</v>
      </c>
    </row>
    <row r="12" spans="2:7" x14ac:dyDescent="0.3">
      <c r="B12" s="11">
        <v>8801</v>
      </c>
      <c r="C12" s="3" t="s">
        <v>23</v>
      </c>
      <c r="D12" s="3" t="s">
        <v>8</v>
      </c>
      <c r="E12" s="3"/>
      <c r="F12" s="3" t="s">
        <v>9</v>
      </c>
      <c r="G12" s="4">
        <v>32377.91</v>
      </c>
    </row>
    <row r="13" spans="2:7" x14ac:dyDescent="0.3">
      <c r="B13" s="11" t="s">
        <v>24</v>
      </c>
      <c r="C13" s="3" t="s">
        <v>25</v>
      </c>
      <c r="D13" s="3" t="s">
        <v>8</v>
      </c>
      <c r="E13" s="3"/>
      <c r="F13" s="3" t="s">
        <v>9</v>
      </c>
      <c r="G13" s="4">
        <v>28974.04</v>
      </c>
    </row>
    <row r="14" spans="2:7" x14ac:dyDescent="0.3">
      <c r="B14" s="11" t="s">
        <v>26</v>
      </c>
      <c r="C14" s="3" t="s">
        <v>27</v>
      </c>
      <c r="D14" s="3" t="s">
        <v>8</v>
      </c>
      <c r="E14" s="3" t="s">
        <v>28</v>
      </c>
      <c r="F14" s="3" t="s">
        <v>9</v>
      </c>
      <c r="G14" s="4">
        <v>28625.51</v>
      </c>
    </row>
    <row r="15" spans="2:7" x14ac:dyDescent="0.3">
      <c r="B15" s="11" t="s">
        <v>29</v>
      </c>
      <c r="C15" s="3" t="s">
        <v>30</v>
      </c>
      <c r="D15" s="3" t="s">
        <v>8</v>
      </c>
      <c r="E15" s="3"/>
      <c r="F15" s="3" t="s">
        <v>9</v>
      </c>
      <c r="G15" s="4">
        <v>27792.17</v>
      </c>
    </row>
    <row r="16" spans="2:7" x14ac:dyDescent="0.3">
      <c r="B16" s="11">
        <v>8830</v>
      </c>
      <c r="C16" s="3" t="s">
        <v>31</v>
      </c>
      <c r="D16" s="3" t="s">
        <v>8</v>
      </c>
      <c r="E16" s="3"/>
      <c r="F16" s="3" t="s">
        <v>9</v>
      </c>
      <c r="G16" s="4">
        <v>24956.84</v>
      </c>
    </row>
    <row r="17" spans="2:7" x14ac:dyDescent="0.3">
      <c r="B17" s="11" t="s">
        <v>32</v>
      </c>
      <c r="C17" s="3" t="s">
        <v>33</v>
      </c>
      <c r="D17" s="3" t="s">
        <v>8</v>
      </c>
      <c r="E17" s="3" t="s">
        <v>28</v>
      </c>
      <c r="F17" s="3" t="s">
        <v>9</v>
      </c>
      <c r="G17" s="4">
        <v>24120.79</v>
      </c>
    </row>
    <row r="18" spans="2:7" x14ac:dyDescent="0.3">
      <c r="B18" s="11" t="s">
        <v>347</v>
      </c>
      <c r="C18" s="3" t="s">
        <v>35</v>
      </c>
      <c r="D18" s="3" t="s">
        <v>8</v>
      </c>
      <c r="E18" s="3" t="s">
        <v>28</v>
      </c>
      <c r="F18" s="3" t="s">
        <v>9</v>
      </c>
      <c r="G18" s="4">
        <v>23730.02</v>
      </c>
    </row>
    <row r="19" spans="2:7" x14ac:dyDescent="0.3">
      <c r="B19" s="11" t="s">
        <v>36</v>
      </c>
      <c r="C19" s="3" t="s">
        <v>37</v>
      </c>
      <c r="D19" s="3" t="s">
        <v>8</v>
      </c>
      <c r="E19" s="3" t="s">
        <v>28</v>
      </c>
      <c r="F19" s="3" t="s">
        <v>9</v>
      </c>
      <c r="G19" s="4">
        <v>23650.14</v>
      </c>
    </row>
    <row r="20" spans="2:7" x14ac:dyDescent="0.3">
      <c r="B20" s="11" t="s">
        <v>38</v>
      </c>
      <c r="C20" s="3" t="s">
        <v>39</v>
      </c>
      <c r="D20" s="3" t="s">
        <v>8</v>
      </c>
      <c r="E20" s="3" t="s">
        <v>28</v>
      </c>
      <c r="F20" s="3" t="s">
        <v>9</v>
      </c>
      <c r="G20" s="4">
        <v>22486.95</v>
      </c>
    </row>
    <row r="21" spans="2:7" x14ac:dyDescent="0.3">
      <c r="B21" s="11" t="s">
        <v>40</v>
      </c>
      <c r="C21" s="3" t="s">
        <v>41</v>
      </c>
      <c r="D21" s="3" t="s">
        <v>8</v>
      </c>
      <c r="E21" s="3"/>
      <c r="F21" s="3" t="s">
        <v>9</v>
      </c>
      <c r="G21" s="4">
        <v>20204.97</v>
      </c>
    </row>
    <row r="22" spans="2:7" x14ac:dyDescent="0.3">
      <c r="B22" s="11" t="s">
        <v>42</v>
      </c>
      <c r="C22" s="3" t="s">
        <v>43</v>
      </c>
      <c r="D22" s="3" t="s">
        <v>8</v>
      </c>
      <c r="E22" s="3"/>
      <c r="F22" s="3" t="s">
        <v>9</v>
      </c>
      <c r="G22" s="4">
        <v>19382.34</v>
      </c>
    </row>
    <row r="23" spans="2:7" x14ac:dyDescent="0.3">
      <c r="B23" s="11" t="s">
        <v>44</v>
      </c>
      <c r="C23" s="3" t="s">
        <v>45</v>
      </c>
      <c r="D23" s="3" t="s">
        <v>8</v>
      </c>
      <c r="E23" s="3"/>
      <c r="F23" s="3" t="s">
        <v>9</v>
      </c>
      <c r="G23" s="4">
        <v>18784.41</v>
      </c>
    </row>
    <row r="24" spans="2:7" x14ac:dyDescent="0.3">
      <c r="B24" s="11" t="s">
        <v>46</v>
      </c>
      <c r="C24" s="3" t="s">
        <v>47</v>
      </c>
      <c r="D24" s="3" t="s">
        <v>8</v>
      </c>
      <c r="E24" s="3"/>
      <c r="F24" s="3" t="s">
        <v>9</v>
      </c>
      <c r="G24" s="4">
        <v>17630.689999999999</v>
      </c>
    </row>
    <row r="25" spans="2:7" x14ac:dyDescent="0.3">
      <c r="B25" s="11" t="s">
        <v>48</v>
      </c>
      <c r="C25" s="3" t="s">
        <v>49</v>
      </c>
      <c r="D25" s="3" t="s">
        <v>8</v>
      </c>
      <c r="E25" s="3"/>
      <c r="F25" s="3" t="s">
        <v>9</v>
      </c>
      <c r="G25" s="4">
        <v>16840.919999999998</v>
      </c>
    </row>
    <row r="26" spans="2:7" x14ac:dyDescent="0.3">
      <c r="B26" s="11" t="s">
        <v>50</v>
      </c>
      <c r="C26" s="3" t="s">
        <v>51</v>
      </c>
      <c r="D26" s="3" t="s">
        <v>8</v>
      </c>
      <c r="E26" s="3" t="s">
        <v>28</v>
      </c>
      <c r="F26" s="3" t="s">
        <v>9</v>
      </c>
      <c r="G26" s="4">
        <v>15740.65</v>
      </c>
    </row>
    <row r="27" spans="2:7" x14ac:dyDescent="0.3">
      <c r="B27" s="11" t="s">
        <v>52</v>
      </c>
      <c r="C27" s="3" t="s">
        <v>53</v>
      </c>
      <c r="D27" s="3" t="s">
        <v>8</v>
      </c>
      <c r="E27" s="3"/>
      <c r="F27" s="3" t="s">
        <v>9</v>
      </c>
      <c r="G27" s="4">
        <v>13873.21</v>
      </c>
    </row>
    <row r="28" spans="2:7" x14ac:dyDescent="0.3">
      <c r="B28" s="11" t="s">
        <v>344</v>
      </c>
      <c r="C28" s="3" t="s">
        <v>54</v>
      </c>
      <c r="D28" s="3" t="s">
        <v>8</v>
      </c>
      <c r="E28" s="3"/>
      <c r="F28" s="3" t="s">
        <v>9</v>
      </c>
      <c r="G28" s="4">
        <v>13607.32</v>
      </c>
    </row>
    <row r="29" spans="2:7" x14ac:dyDescent="0.3">
      <c r="B29" s="11" t="s">
        <v>55</v>
      </c>
      <c r="C29" s="3" t="s">
        <v>56</v>
      </c>
      <c r="D29" s="3" t="s">
        <v>8</v>
      </c>
      <c r="E29" s="3"/>
      <c r="F29" s="3" t="s">
        <v>9</v>
      </c>
      <c r="G29" s="4">
        <v>13184.99</v>
      </c>
    </row>
    <row r="30" spans="2:7" x14ac:dyDescent="0.3">
      <c r="B30" s="11" t="s">
        <v>57</v>
      </c>
      <c r="C30" s="3" t="s">
        <v>58</v>
      </c>
      <c r="D30" s="3" t="s">
        <v>8</v>
      </c>
      <c r="E30" s="3"/>
      <c r="F30" s="3" t="s">
        <v>9</v>
      </c>
      <c r="G30" s="4">
        <v>12692.15</v>
      </c>
    </row>
    <row r="31" spans="2:7" x14ac:dyDescent="0.3">
      <c r="B31" s="11" t="s">
        <v>59</v>
      </c>
      <c r="C31" s="3" t="s">
        <v>60</v>
      </c>
      <c r="D31" s="3" t="s">
        <v>8</v>
      </c>
      <c r="E31" s="3" t="s">
        <v>28</v>
      </c>
      <c r="F31" s="3" t="s">
        <v>9</v>
      </c>
      <c r="G31" s="4">
        <v>11611.56</v>
      </c>
    </row>
    <row r="32" spans="2:7" x14ac:dyDescent="0.3">
      <c r="B32" s="11" t="s">
        <v>61</v>
      </c>
      <c r="C32" s="3" t="s">
        <v>62</v>
      </c>
      <c r="D32" s="3" t="s">
        <v>8</v>
      </c>
      <c r="E32" s="3" t="s">
        <v>28</v>
      </c>
      <c r="F32" s="3" t="s">
        <v>9</v>
      </c>
      <c r="G32" s="4">
        <v>11042.2</v>
      </c>
    </row>
    <row r="33" spans="2:7" x14ac:dyDescent="0.3">
      <c r="B33" s="11" t="s">
        <v>63</v>
      </c>
      <c r="C33" s="3" t="s">
        <v>64</v>
      </c>
      <c r="D33" s="3" t="s">
        <v>8</v>
      </c>
      <c r="E33" s="3"/>
      <c r="F33" s="3" t="s">
        <v>9</v>
      </c>
      <c r="G33" s="4">
        <v>11037.99</v>
      </c>
    </row>
    <row r="34" spans="2:7" x14ac:dyDescent="0.3">
      <c r="B34" s="11" t="s">
        <v>65</v>
      </c>
      <c r="C34" s="3" t="s">
        <v>66</v>
      </c>
      <c r="D34" s="3" t="s">
        <v>8</v>
      </c>
      <c r="E34" s="3"/>
      <c r="F34" s="3" t="s">
        <v>9</v>
      </c>
      <c r="G34" s="4">
        <v>10800.61</v>
      </c>
    </row>
    <row r="35" spans="2:7" x14ac:dyDescent="0.3">
      <c r="B35" s="11" t="s">
        <v>67</v>
      </c>
      <c r="C35" s="3" t="s">
        <v>68</v>
      </c>
      <c r="D35" s="3" t="s">
        <v>8</v>
      </c>
      <c r="E35" s="3"/>
      <c r="F35" s="3" t="s">
        <v>9</v>
      </c>
      <c r="G35" s="4">
        <v>10457.280000000001</v>
      </c>
    </row>
    <row r="36" spans="2:7" x14ac:dyDescent="0.3">
      <c r="B36" s="11" t="s">
        <v>69</v>
      </c>
      <c r="C36" s="3" t="s">
        <v>70</v>
      </c>
      <c r="D36" s="3" t="s">
        <v>8</v>
      </c>
      <c r="E36" s="3"/>
      <c r="F36" s="3" t="s">
        <v>9</v>
      </c>
      <c r="G36" s="4">
        <v>9511.89</v>
      </c>
    </row>
    <row r="37" spans="2:7" x14ac:dyDescent="0.3">
      <c r="B37" s="11" t="s">
        <v>71</v>
      </c>
      <c r="C37" s="3" t="s">
        <v>72</v>
      </c>
      <c r="D37" s="3" t="s">
        <v>8</v>
      </c>
      <c r="E37" s="3"/>
      <c r="F37" s="3" t="s">
        <v>9</v>
      </c>
      <c r="G37" s="4">
        <v>9125.6200000000008</v>
      </c>
    </row>
    <row r="38" spans="2:7" x14ac:dyDescent="0.3">
      <c r="B38" s="11" t="s">
        <v>73</v>
      </c>
      <c r="C38" s="3" t="s">
        <v>74</v>
      </c>
      <c r="D38" s="3" t="s">
        <v>8</v>
      </c>
      <c r="E38" s="3"/>
      <c r="F38" s="3" t="s">
        <v>9</v>
      </c>
      <c r="G38" s="4">
        <v>8556.1</v>
      </c>
    </row>
    <row r="39" spans="2:7" x14ac:dyDescent="0.3">
      <c r="B39" s="11" t="s">
        <v>75</v>
      </c>
      <c r="C39" s="3" t="s">
        <v>76</v>
      </c>
      <c r="D39" s="3" t="s">
        <v>8</v>
      </c>
      <c r="E39" s="3" t="s">
        <v>28</v>
      </c>
      <c r="F39" s="3" t="s">
        <v>9</v>
      </c>
      <c r="G39" s="4">
        <v>8460.48</v>
      </c>
    </row>
    <row r="40" spans="2:7" x14ac:dyDescent="0.3">
      <c r="B40" s="11" t="s">
        <v>77</v>
      </c>
      <c r="C40" s="3" t="s">
        <v>78</v>
      </c>
      <c r="D40" s="3" t="s">
        <v>8</v>
      </c>
      <c r="E40" s="3"/>
      <c r="F40" s="3" t="s">
        <v>9</v>
      </c>
      <c r="G40" s="4">
        <v>8405.36</v>
      </c>
    </row>
    <row r="41" spans="2:7" x14ac:dyDescent="0.3">
      <c r="B41" s="11">
        <v>9684</v>
      </c>
      <c r="C41" s="3" t="s">
        <v>79</v>
      </c>
      <c r="D41" s="3" t="s">
        <v>8</v>
      </c>
      <c r="E41" s="3"/>
      <c r="F41" s="3" t="s">
        <v>9</v>
      </c>
      <c r="G41" s="4">
        <v>8036.29</v>
      </c>
    </row>
    <row r="42" spans="2:7" x14ac:dyDescent="0.3">
      <c r="B42" s="11" t="s">
        <v>343</v>
      </c>
      <c r="C42" s="3" t="s">
        <v>80</v>
      </c>
      <c r="D42" s="3" t="s">
        <v>8</v>
      </c>
      <c r="E42" s="3"/>
      <c r="F42" s="3" t="s">
        <v>9</v>
      </c>
      <c r="G42" s="4">
        <v>7512.53</v>
      </c>
    </row>
    <row r="43" spans="2:7" x14ac:dyDescent="0.3">
      <c r="B43" s="11" t="s">
        <v>81</v>
      </c>
      <c r="C43" s="3" t="s">
        <v>82</v>
      </c>
      <c r="D43" s="3" t="s">
        <v>8</v>
      </c>
      <c r="E43" s="3"/>
      <c r="F43" s="3" t="s">
        <v>9</v>
      </c>
      <c r="G43" s="4">
        <v>7223.3</v>
      </c>
    </row>
    <row r="44" spans="2:7" x14ac:dyDescent="0.3">
      <c r="B44" s="11" t="s">
        <v>83</v>
      </c>
      <c r="C44" s="3" t="s">
        <v>84</v>
      </c>
      <c r="D44" s="3" t="s">
        <v>8</v>
      </c>
      <c r="E44" s="3"/>
      <c r="F44" s="3" t="s">
        <v>9</v>
      </c>
      <c r="G44" s="4">
        <v>7088.96</v>
      </c>
    </row>
    <row r="45" spans="2:7" x14ac:dyDescent="0.3">
      <c r="B45" s="11" t="s">
        <v>345</v>
      </c>
      <c r="C45" s="3" t="s">
        <v>85</v>
      </c>
      <c r="D45" s="3" t="s">
        <v>8</v>
      </c>
      <c r="E45" s="3"/>
      <c r="F45" s="3" t="s">
        <v>9</v>
      </c>
      <c r="G45" s="4">
        <v>6834.99</v>
      </c>
    </row>
    <row r="46" spans="2:7" x14ac:dyDescent="0.3">
      <c r="B46" s="11" t="s">
        <v>86</v>
      </c>
      <c r="C46" s="3" t="s">
        <v>87</v>
      </c>
      <c r="D46" s="3" t="s">
        <v>8</v>
      </c>
      <c r="E46" s="3"/>
      <c r="F46" s="3" t="s">
        <v>9</v>
      </c>
      <c r="G46" s="4">
        <v>6699.42</v>
      </c>
    </row>
    <row r="47" spans="2:7" x14ac:dyDescent="0.3">
      <c r="B47" s="11">
        <v>3289</v>
      </c>
      <c r="C47" s="3" t="s">
        <v>88</v>
      </c>
      <c r="D47" s="3" t="s">
        <v>8</v>
      </c>
      <c r="E47" s="3"/>
      <c r="F47" s="3" t="s">
        <v>9</v>
      </c>
      <c r="G47" s="4">
        <v>6494.29</v>
      </c>
    </row>
    <row r="48" spans="2:7" x14ac:dyDescent="0.3">
      <c r="B48" s="11" t="s">
        <v>89</v>
      </c>
      <c r="C48" s="3" t="s">
        <v>90</v>
      </c>
      <c r="D48" s="3" t="s">
        <v>8</v>
      </c>
      <c r="E48" s="3" t="s">
        <v>28</v>
      </c>
      <c r="F48" s="3" t="s">
        <v>9</v>
      </c>
      <c r="G48" s="4">
        <v>6475.45</v>
      </c>
    </row>
    <row r="49" spans="2:7" x14ac:dyDescent="0.3">
      <c r="B49" s="11">
        <v>8439</v>
      </c>
      <c r="C49" s="3" t="s">
        <v>91</v>
      </c>
      <c r="D49" s="3" t="s">
        <v>8</v>
      </c>
      <c r="E49" s="3"/>
      <c r="F49" s="3" t="s">
        <v>9</v>
      </c>
      <c r="G49" s="4">
        <v>6370.87</v>
      </c>
    </row>
    <row r="50" spans="2:7" x14ac:dyDescent="0.3">
      <c r="B50" s="11" t="s">
        <v>92</v>
      </c>
      <c r="C50" s="3" t="s">
        <v>93</v>
      </c>
      <c r="D50" s="3" t="s">
        <v>8</v>
      </c>
      <c r="E50" s="3"/>
      <c r="F50" s="3" t="s">
        <v>9</v>
      </c>
      <c r="G50" s="4">
        <v>6136.03</v>
      </c>
    </row>
    <row r="51" spans="2:7" x14ac:dyDescent="0.3">
      <c r="B51" s="11" t="s">
        <v>94</v>
      </c>
      <c r="C51" s="3" t="s">
        <v>95</v>
      </c>
      <c r="D51" s="3" t="s">
        <v>8</v>
      </c>
      <c r="E51" s="3"/>
      <c r="F51" s="3" t="s">
        <v>9</v>
      </c>
      <c r="G51" s="4">
        <v>5786.27</v>
      </c>
    </row>
    <row r="52" spans="2:7" x14ac:dyDescent="0.3">
      <c r="B52" s="11">
        <v>9143</v>
      </c>
      <c r="C52" s="3" t="s">
        <v>96</v>
      </c>
      <c r="D52" s="3" t="s">
        <v>8</v>
      </c>
      <c r="E52" s="3"/>
      <c r="F52" s="3" t="s">
        <v>9</v>
      </c>
      <c r="G52" s="4">
        <v>5540.53</v>
      </c>
    </row>
    <row r="53" spans="2:7" x14ac:dyDescent="0.3">
      <c r="B53" s="11">
        <v>2702</v>
      </c>
      <c r="C53" s="3" t="s">
        <v>97</v>
      </c>
      <c r="D53" s="3" t="s">
        <v>8</v>
      </c>
      <c r="E53" s="3"/>
      <c r="F53" s="3" t="s">
        <v>9</v>
      </c>
      <c r="G53" s="4">
        <v>5292.37</v>
      </c>
    </row>
    <row r="54" spans="2:7" x14ac:dyDescent="0.3">
      <c r="B54" s="11">
        <v>4751</v>
      </c>
      <c r="C54" s="3" t="s">
        <v>98</v>
      </c>
      <c r="D54" s="3" t="s">
        <v>8</v>
      </c>
      <c r="E54" s="3"/>
      <c r="F54" s="3" t="s">
        <v>9</v>
      </c>
      <c r="G54" s="4">
        <v>5132.1099999999997</v>
      </c>
    </row>
    <row r="55" spans="2:7" x14ac:dyDescent="0.3">
      <c r="B55" s="11">
        <v>6448</v>
      </c>
      <c r="C55" s="3" t="s">
        <v>99</v>
      </c>
      <c r="D55" s="3" t="s">
        <v>8</v>
      </c>
      <c r="E55" s="3"/>
      <c r="F55" s="3" t="s">
        <v>9</v>
      </c>
      <c r="G55" s="4">
        <v>5015.1099999999997</v>
      </c>
    </row>
    <row r="56" spans="2:7" x14ac:dyDescent="0.3">
      <c r="B56" s="11" t="s">
        <v>100</v>
      </c>
      <c r="C56" s="3" t="s">
        <v>101</v>
      </c>
      <c r="D56" s="3" t="s">
        <v>8</v>
      </c>
      <c r="E56" s="3"/>
      <c r="F56" s="3" t="s">
        <v>9</v>
      </c>
      <c r="G56" s="4">
        <v>4681.1499999999996</v>
      </c>
    </row>
    <row r="57" spans="2:7" x14ac:dyDescent="0.3">
      <c r="B57" s="11" t="s">
        <v>102</v>
      </c>
      <c r="C57" s="3" t="s">
        <v>103</v>
      </c>
      <c r="D57" s="3" t="s">
        <v>8</v>
      </c>
      <c r="E57" s="3"/>
      <c r="F57" s="3" t="s">
        <v>9</v>
      </c>
      <c r="G57" s="4">
        <v>4603.7</v>
      </c>
    </row>
    <row r="58" spans="2:7" x14ac:dyDescent="0.3">
      <c r="B58" s="11">
        <v>8359</v>
      </c>
      <c r="C58" s="3" t="s">
        <v>104</v>
      </c>
      <c r="D58" s="3" t="s">
        <v>8</v>
      </c>
      <c r="E58" s="3"/>
      <c r="F58" s="3" t="s">
        <v>9</v>
      </c>
      <c r="G58" s="4">
        <v>4600.72</v>
      </c>
    </row>
    <row r="59" spans="2:7" x14ac:dyDescent="0.3">
      <c r="B59" s="11" t="s">
        <v>105</v>
      </c>
      <c r="C59" s="3" t="s">
        <v>106</v>
      </c>
      <c r="D59" s="3" t="s">
        <v>8</v>
      </c>
      <c r="E59" s="3"/>
      <c r="F59" s="3" t="s">
        <v>9</v>
      </c>
      <c r="G59" s="4">
        <v>4576.6899999999996</v>
      </c>
    </row>
    <row r="60" spans="2:7" x14ac:dyDescent="0.3">
      <c r="B60" s="11" t="s">
        <v>346</v>
      </c>
      <c r="C60" s="3" t="s">
        <v>107</v>
      </c>
      <c r="D60" s="3" t="s">
        <v>8</v>
      </c>
      <c r="E60" s="3"/>
      <c r="F60" s="3" t="s">
        <v>9</v>
      </c>
      <c r="G60" s="4">
        <v>4393.92</v>
      </c>
    </row>
    <row r="61" spans="2:7" x14ac:dyDescent="0.3">
      <c r="B61" s="11">
        <v>5021</v>
      </c>
      <c r="C61" s="3" t="s">
        <v>108</v>
      </c>
      <c r="D61" s="3" t="s">
        <v>8</v>
      </c>
      <c r="E61" s="3"/>
      <c r="F61" s="3" t="s">
        <v>9</v>
      </c>
      <c r="G61" s="4">
        <v>4373.4799999999996</v>
      </c>
    </row>
    <row r="62" spans="2:7" x14ac:dyDescent="0.3">
      <c r="B62" s="11" t="s">
        <v>109</v>
      </c>
      <c r="C62" s="3" t="s">
        <v>110</v>
      </c>
      <c r="D62" s="3" t="s">
        <v>8</v>
      </c>
      <c r="E62" s="3"/>
      <c r="F62" s="3" t="s">
        <v>9</v>
      </c>
      <c r="G62" s="4">
        <v>4251.6099999999997</v>
      </c>
    </row>
    <row r="63" spans="2:7" x14ac:dyDescent="0.3">
      <c r="B63" s="11" t="s">
        <v>111</v>
      </c>
      <c r="C63" s="3" t="s">
        <v>112</v>
      </c>
      <c r="D63" s="3" t="s">
        <v>8</v>
      </c>
      <c r="E63" s="3"/>
      <c r="F63" s="3" t="s">
        <v>9</v>
      </c>
      <c r="G63" s="4">
        <v>4129.51</v>
      </c>
    </row>
    <row r="64" spans="2:7" x14ac:dyDescent="0.3">
      <c r="B64" s="11" t="s">
        <v>113</v>
      </c>
      <c r="C64" s="3" t="s">
        <v>114</v>
      </c>
      <c r="D64" s="3" t="s">
        <v>8</v>
      </c>
      <c r="E64" s="3" t="s">
        <v>28</v>
      </c>
      <c r="F64" s="3" t="s">
        <v>9</v>
      </c>
      <c r="G64" s="4">
        <v>3702.49</v>
      </c>
    </row>
    <row r="65" spans="2:7" x14ac:dyDescent="0.3">
      <c r="B65" s="11" t="s">
        <v>340</v>
      </c>
      <c r="C65" s="3" t="s">
        <v>115</v>
      </c>
      <c r="D65" s="3" t="s">
        <v>8</v>
      </c>
      <c r="E65" s="3"/>
      <c r="F65" s="3" t="s">
        <v>9</v>
      </c>
      <c r="G65" s="4">
        <v>3251.02</v>
      </c>
    </row>
    <row r="66" spans="2:7" x14ac:dyDescent="0.3">
      <c r="B66" s="11">
        <v>1721</v>
      </c>
      <c r="C66" s="3" t="s">
        <v>116</v>
      </c>
      <c r="D66" s="3" t="s">
        <v>8</v>
      </c>
      <c r="E66" s="3"/>
      <c r="F66" s="3" t="s">
        <v>9</v>
      </c>
      <c r="G66" s="4">
        <v>3208.5</v>
      </c>
    </row>
    <row r="67" spans="2:7" x14ac:dyDescent="0.3">
      <c r="B67" s="11">
        <v>1951</v>
      </c>
      <c r="C67" s="3" t="s">
        <v>117</v>
      </c>
      <c r="D67" s="3" t="s">
        <v>8</v>
      </c>
      <c r="E67" s="3"/>
      <c r="F67" s="3" t="s">
        <v>9</v>
      </c>
      <c r="G67" s="4">
        <v>3207.73</v>
      </c>
    </row>
    <row r="68" spans="2:7" x14ac:dyDescent="0.3">
      <c r="B68" s="11">
        <v>5214</v>
      </c>
      <c r="C68" s="3" t="s">
        <v>118</v>
      </c>
      <c r="D68" s="3" t="s">
        <v>8</v>
      </c>
      <c r="E68" s="3"/>
      <c r="F68" s="3" t="s">
        <v>9</v>
      </c>
      <c r="G68" s="4">
        <v>2974.42</v>
      </c>
    </row>
    <row r="69" spans="2:7" x14ac:dyDescent="0.3">
      <c r="B69" s="11" t="s">
        <v>119</v>
      </c>
      <c r="C69" s="3" t="s">
        <v>120</v>
      </c>
      <c r="D69" s="3" t="s">
        <v>8</v>
      </c>
      <c r="E69" s="3"/>
      <c r="F69" s="3" t="s">
        <v>9</v>
      </c>
      <c r="G69" s="4">
        <v>2951.89</v>
      </c>
    </row>
    <row r="70" spans="2:7" x14ac:dyDescent="0.3">
      <c r="B70" s="11">
        <v>6976</v>
      </c>
      <c r="C70" s="3" t="s">
        <v>121</v>
      </c>
      <c r="D70" s="3" t="s">
        <v>8</v>
      </c>
      <c r="E70" s="3"/>
      <c r="F70" s="3" t="s">
        <v>9</v>
      </c>
      <c r="G70" s="4">
        <v>2913.4</v>
      </c>
    </row>
    <row r="71" spans="2:7" x14ac:dyDescent="0.3">
      <c r="B71" s="11">
        <v>7729</v>
      </c>
      <c r="C71" s="3" t="s">
        <v>122</v>
      </c>
      <c r="D71" s="3" t="s">
        <v>8</v>
      </c>
      <c r="E71" s="3"/>
      <c r="F71" s="3" t="s">
        <v>9</v>
      </c>
      <c r="G71" s="4">
        <v>2876.77</v>
      </c>
    </row>
    <row r="72" spans="2:7" x14ac:dyDescent="0.3">
      <c r="B72" s="11" t="s">
        <v>123</v>
      </c>
      <c r="C72" s="3" t="s">
        <v>124</v>
      </c>
      <c r="D72" s="3" t="s">
        <v>8</v>
      </c>
      <c r="E72" s="3"/>
      <c r="F72" s="3" t="s">
        <v>9</v>
      </c>
      <c r="G72" s="4">
        <v>2867.72</v>
      </c>
    </row>
    <row r="73" spans="2:7" x14ac:dyDescent="0.3">
      <c r="B73" s="11">
        <v>6406</v>
      </c>
      <c r="C73" s="3" t="s">
        <v>125</v>
      </c>
      <c r="D73" s="3" t="s">
        <v>8</v>
      </c>
      <c r="E73" s="3"/>
      <c r="F73" s="3" t="s">
        <v>9</v>
      </c>
      <c r="G73" s="4">
        <v>2867.09</v>
      </c>
    </row>
    <row r="74" spans="2:7" x14ac:dyDescent="0.3">
      <c r="B74" s="11">
        <v>8418</v>
      </c>
      <c r="C74" s="3" t="s">
        <v>126</v>
      </c>
      <c r="D74" s="3" t="s">
        <v>8</v>
      </c>
      <c r="E74" s="3"/>
      <c r="F74" s="3" t="s">
        <v>9</v>
      </c>
      <c r="G74" s="4">
        <v>2856.21</v>
      </c>
    </row>
    <row r="75" spans="2:7" x14ac:dyDescent="0.3">
      <c r="B75" s="11">
        <v>9072</v>
      </c>
      <c r="C75" s="3" t="s">
        <v>127</v>
      </c>
      <c r="D75" s="3" t="s">
        <v>8</v>
      </c>
      <c r="E75" s="3"/>
      <c r="F75" s="3" t="s">
        <v>9</v>
      </c>
      <c r="G75" s="4">
        <v>2637.52</v>
      </c>
    </row>
    <row r="76" spans="2:7" x14ac:dyDescent="0.3">
      <c r="B76" s="11" t="s">
        <v>128</v>
      </c>
      <c r="C76" s="3" t="s">
        <v>129</v>
      </c>
      <c r="D76" s="3" t="s">
        <v>8</v>
      </c>
      <c r="E76" s="3" t="s">
        <v>28</v>
      </c>
      <c r="F76" s="3" t="s">
        <v>9</v>
      </c>
      <c r="G76" s="4">
        <v>2532.25</v>
      </c>
    </row>
    <row r="77" spans="2:7" x14ac:dyDescent="0.3">
      <c r="B77" s="11" t="s">
        <v>130</v>
      </c>
      <c r="C77" s="3" t="s">
        <v>131</v>
      </c>
      <c r="D77" s="3" t="s">
        <v>8</v>
      </c>
      <c r="E77" s="3"/>
      <c r="F77" s="3" t="s">
        <v>9</v>
      </c>
      <c r="G77" s="4">
        <v>2488.64</v>
      </c>
    </row>
    <row r="78" spans="2:7" x14ac:dyDescent="0.3">
      <c r="B78" s="11" t="s">
        <v>132</v>
      </c>
      <c r="C78" s="3" t="s">
        <v>133</v>
      </c>
      <c r="D78" s="3" t="s">
        <v>8</v>
      </c>
      <c r="E78" s="3"/>
      <c r="F78" s="3" t="s">
        <v>9</v>
      </c>
      <c r="G78" s="4">
        <v>2483.4899999999998</v>
      </c>
    </row>
    <row r="79" spans="2:7" x14ac:dyDescent="0.3">
      <c r="B79" s="11" t="s">
        <v>134</v>
      </c>
      <c r="C79" s="3" t="s">
        <v>135</v>
      </c>
      <c r="D79" s="3" t="s">
        <v>8</v>
      </c>
      <c r="E79" s="3"/>
      <c r="F79" s="3" t="s">
        <v>9</v>
      </c>
      <c r="G79" s="4">
        <v>2465.79</v>
      </c>
    </row>
    <row r="80" spans="2:7" x14ac:dyDescent="0.3">
      <c r="B80" s="11">
        <v>8424</v>
      </c>
      <c r="C80" s="3" t="s">
        <v>136</v>
      </c>
      <c r="D80" s="3" t="s">
        <v>8</v>
      </c>
      <c r="E80" s="3"/>
      <c r="F80" s="3" t="s">
        <v>9</v>
      </c>
      <c r="G80" s="4">
        <v>2424.59</v>
      </c>
    </row>
    <row r="81" spans="2:7" x14ac:dyDescent="0.3">
      <c r="B81" s="11">
        <v>8410</v>
      </c>
      <c r="C81" s="3" t="s">
        <v>137</v>
      </c>
      <c r="D81" s="3" t="s">
        <v>8</v>
      </c>
      <c r="E81" s="3"/>
      <c r="F81" s="3" t="s">
        <v>9</v>
      </c>
      <c r="G81" s="4">
        <v>2138.23</v>
      </c>
    </row>
    <row r="82" spans="2:7" x14ac:dyDescent="0.3">
      <c r="B82" s="11">
        <v>9045</v>
      </c>
      <c r="C82" s="3" t="s">
        <v>138</v>
      </c>
      <c r="D82" s="3" t="s">
        <v>8</v>
      </c>
      <c r="E82" s="3"/>
      <c r="F82" s="3" t="s">
        <v>9</v>
      </c>
      <c r="G82" s="4">
        <v>2132.12</v>
      </c>
    </row>
    <row r="83" spans="2:7" x14ac:dyDescent="0.3">
      <c r="B83" s="11">
        <v>4686</v>
      </c>
      <c r="C83" s="3" t="s">
        <v>139</v>
      </c>
      <c r="D83" s="3" t="s">
        <v>8</v>
      </c>
      <c r="E83" s="3"/>
      <c r="F83" s="3" t="s">
        <v>9</v>
      </c>
      <c r="G83" s="4">
        <v>2085.56</v>
      </c>
    </row>
    <row r="84" spans="2:7" x14ac:dyDescent="0.3">
      <c r="B84" s="11">
        <v>530019</v>
      </c>
      <c r="C84" s="3" t="s">
        <v>140</v>
      </c>
      <c r="D84" s="3" t="s">
        <v>8</v>
      </c>
      <c r="E84" s="3"/>
      <c r="F84" s="3" t="s">
        <v>9</v>
      </c>
      <c r="G84" s="4">
        <v>1998.26</v>
      </c>
    </row>
    <row r="85" spans="2:7" x14ac:dyDescent="0.3">
      <c r="B85" s="11" t="s">
        <v>141</v>
      </c>
      <c r="C85" s="3" t="s">
        <v>142</v>
      </c>
      <c r="D85" s="3" t="s">
        <v>8</v>
      </c>
      <c r="E85" s="3"/>
      <c r="F85" s="3" t="s">
        <v>9</v>
      </c>
      <c r="G85" s="4">
        <v>1941.94</v>
      </c>
    </row>
    <row r="86" spans="2:7" x14ac:dyDescent="0.3">
      <c r="B86" s="11">
        <v>520111</v>
      </c>
      <c r="C86" s="3" t="s">
        <v>143</v>
      </c>
      <c r="D86" s="3" t="s">
        <v>8</v>
      </c>
      <c r="E86" s="3"/>
      <c r="F86" s="3" t="s">
        <v>9</v>
      </c>
      <c r="G86" s="4">
        <v>1906.66</v>
      </c>
    </row>
    <row r="87" spans="2:7" x14ac:dyDescent="0.3">
      <c r="B87" s="11">
        <v>506076</v>
      </c>
      <c r="C87" s="3" t="s">
        <v>144</v>
      </c>
      <c r="D87" s="3" t="s">
        <v>8</v>
      </c>
      <c r="E87" s="3"/>
      <c r="F87" s="3" t="s">
        <v>9</v>
      </c>
      <c r="G87" s="4">
        <v>1901.06</v>
      </c>
    </row>
    <row r="88" spans="2:7" x14ac:dyDescent="0.3">
      <c r="B88" s="11">
        <v>9302</v>
      </c>
      <c r="C88" s="3" t="s">
        <v>145</v>
      </c>
      <c r="D88" s="3" t="s">
        <v>8</v>
      </c>
      <c r="E88" s="3"/>
      <c r="F88" s="3" t="s">
        <v>9</v>
      </c>
      <c r="G88" s="4">
        <v>1891.82</v>
      </c>
    </row>
    <row r="89" spans="2:7" x14ac:dyDescent="0.3">
      <c r="B89" s="11">
        <v>8283</v>
      </c>
      <c r="C89" s="3" t="s">
        <v>146</v>
      </c>
      <c r="D89" s="3" t="s">
        <v>8</v>
      </c>
      <c r="E89" s="3"/>
      <c r="F89" s="3" t="s">
        <v>9</v>
      </c>
      <c r="G89" s="4">
        <v>1827.68</v>
      </c>
    </row>
    <row r="90" spans="2:7" x14ac:dyDescent="0.3">
      <c r="B90" s="11" t="s">
        <v>147</v>
      </c>
      <c r="C90" s="3" t="s">
        <v>148</v>
      </c>
      <c r="D90" s="3" t="s">
        <v>8</v>
      </c>
      <c r="E90" s="3" t="s">
        <v>28</v>
      </c>
      <c r="F90" s="3" t="s">
        <v>9</v>
      </c>
      <c r="G90" s="4">
        <v>1810.94</v>
      </c>
    </row>
    <row r="91" spans="2:7" x14ac:dyDescent="0.3">
      <c r="B91" s="11" t="s">
        <v>149</v>
      </c>
      <c r="C91" s="3" t="s">
        <v>150</v>
      </c>
      <c r="D91" s="3" t="s">
        <v>8</v>
      </c>
      <c r="E91" s="3" t="s">
        <v>28</v>
      </c>
      <c r="F91" s="3" t="s">
        <v>9</v>
      </c>
      <c r="G91" s="4">
        <v>1801.34</v>
      </c>
    </row>
    <row r="92" spans="2:7" x14ac:dyDescent="0.3">
      <c r="B92" s="11" t="s">
        <v>151</v>
      </c>
      <c r="C92" s="3" t="s">
        <v>152</v>
      </c>
      <c r="D92" s="3" t="s">
        <v>8</v>
      </c>
      <c r="E92" s="3"/>
      <c r="F92" s="3" t="s">
        <v>9</v>
      </c>
      <c r="G92" s="4">
        <v>1795.21</v>
      </c>
    </row>
    <row r="93" spans="2:7" x14ac:dyDescent="0.3">
      <c r="B93" s="11" t="s">
        <v>153</v>
      </c>
      <c r="C93" s="3" t="s">
        <v>154</v>
      </c>
      <c r="D93" s="3" t="s">
        <v>8</v>
      </c>
      <c r="E93" s="3"/>
      <c r="F93" s="3" t="s">
        <v>9</v>
      </c>
      <c r="G93" s="4">
        <v>1791.64</v>
      </c>
    </row>
    <row r="94" spans="2:7" x14ac:dyDescent="0.3">
      <c r="B94" s="11">
        <v>504614</v>
      </c>
      <c r="C94" s="3" t="s">
        <v>155</v>
      </c>
      <c r="D94" s="3" t="s">
        <v>8</v>
      </c>
      <c r="E94" s="3"/>
      <c r="F94" s="3" t="s">
        <v>9</v>
      </c>
      <c r="G94" s="4">
        <v>1784.84</v>
      </c>
    </row>
    <row r="95" spans="2:7" x14ac:dyDescent="0.3">
      <c r="B95" s="11">
        <v>3107</v>
      </c>
      <c r="C95" s="3" t="s">
        <v>156</v>
      </c>
      <c r="D95" s="3" t="s">
        <v>8</v>
      </c>
      <c r="E95" s="3"/>
      <c r="F95" s="3" t="s">
        <v>9</v>
      </c>
      <c r="G95" s="4">
        <v>1739.81</v>
      </c>
    </row>
    <row r="96" spans="2:7" x14ac:dyDescent="0.3">
      <c r="B96" s="11">
        <v>6787</v>
      </c>
      <c r="C96" s="3" t="s">
        <v>157</v>
      </c>
      <c r="D96" s="3" t="s">
        <v>8</v>
      </c>
      <c r="E96" s="3"/>
      <c r="F96" s="3" t="s">
        <v>9</v>
      </c>
      <c r="G96" s="4">
        <v>1708.73</v>
      </c>
    </row>
    <row r="97" spans="2:7" x14ac:dyDescent="0.3">
      <c r="B97" s="11" t="s">
        <v>158</v>
      </c>
      <c r="C97" s="3" t="s">
        <v>159</v>
      </c>
      <c r="D97" s="3" t="s">
        <v>8</v>
      </c>
      <c r="E97" s="3"/>
      <c r="F97" s="3" t="s">
        <v>9</v>
      </c>
      <c r="G97" s="4">
        <v>1681.55</v>
      </c>
    </row>
    <row r="98" spans="2:7" x14ac:dyDescent="0.3">
      <c r="B98" s="11">
        <v>500008</v>
      </c>
      <c r="C98" s="3" t="s">
        <v>160</v>
      </c>
      <c r="D98" s="3" t="s">
        <v>8</v>
      </c>
      <c r="E98" s="3"/>
      <c r="F98" s="3" t="s">
        <v>9</v>
      </c>
      <c r="G98" s="4">
        <v>1660.72</v>
      </c>
    </row>
    <row r="99" spans="2:7" x14ac:dyDescent="0.3">
      <c r="B99" s="11">
        <v>3360</v>
      </c>
      <c r="C99" s="3" t="s">
        <v>161</v>
      </c>
      <c r="D99" s="3" t="s">
        <v>8</v>
      </c>
      <c r="E99" s="3"/>
      <c r="F99" s="3" t="s">
        <v>9</v>
      </c>
      <c r="G99" s="4">
        <v>1611.6</v>
      </c>
    </row>
    <row r="100" spans="2:7" x14ac:dyDescent="0.3">
      <c r="B100" s="11">
        <v>8919</v>
      </c>
      <c r="C100" s="3" t="s">
        <v>162</v>
      </c>
      <c r="D100" s="3" t="s">
        <v>8</v>
      </c>
      <c r="E100" s="3"/>
      <c r="F100" s="3" t="s">
        <v>9</v>
      </c>
      <c r="G100" s="4">
        <v>1591.62</v>
      </c>
    </row>
    <row r="101" spans="2:7" x14ac:dyDescent="0.3">
      <c r="B101" s="11" t="s">
        <v>341</v>
      </c>
      <c r="C101" s="3" t="s">
        <v>163</v>
      </c>
      <c r="D101" s="3" t="s">
        <v>8</v>
      </c>
      <c r="E101" s="3"/>
      <c r="F101" s="3" t="s">
        <v>9</v>
      </c>
      <c r="G101" s="4">
        <v>1565.38</v>
      </c>
    </row>
    <row r="102" spans="2:7" x14ac:dyDescent="0.3">
      <c r="B102" s="11" t="s">
        <v>164</v>
      </c>
      <c r="C102" s="3" t="s">
        <v>165</v>
      </c>
      <c r="D102" s="3" t="s">
        <v>8</v>
      </c>
      <c r="E102" s="3"/>
      <c r="F102" s="3" t="s">
        <v>9</v>
      </c>
      <c r="G102" s="4">
        <v>1534.09</v>
      </c>
    </row>
    <row r="103" spans="2:7" x14ac:dyDescent="0.3">
      <c r="B103" s="11">
        <v>500048</v>
      </c>
      <c r="C103" s="3" t="s">
        <v>166</v>
      </c>
      <c r="D103" s="3" t="s">
        <v>8</v>
      </c>
      <c r="E103" s="3"/>
      <c r="F103" s="3" t="s">
        <v>9</v>
      </c>
      <c r="G103" s="4">
        <v>1495.98</v>
      </c>
    </row>
    <row r="104" spans="2:7" x14ac:dyDescent="0.3">
      <c r="B104" s="11" t="s">
        <v>167</v>
      </c>
      <c r="C104" s="3" t="s">
        <v>168</v>
      </c>
      <c r="D104" s="3" t="s">
        <v>8</v>
      </c>
      <c r="E104" s="3"/>
      <c r="F104" s="3" t="s">
        <v>9</v>
      </c>
      <c r="G104" s="4">
        <v>1467.99</v>
      </c>
    </row>
    <row r="105" spans="2:7" x14ac:dyDescent="0.3">
      <c r="B105" s="11" t="s">
        <v>339</v>
      </c>
      <c r="C105" s="3" t="s">
        <v>169</v>
      </c>
      <c r="D105" s="3" t="s">
        <v>8</v>
      </c>
      <c r="E105" s="3"/>
      <c r="F105" s="3" t="s">
        <v>9</v>
      </c>
      <c r="G105" s="4">
        <v>1449.93</v>
      </c>
    </row>
    <row r="106" spans="2:7" x14ac:dyDescent="0.3">
      <c r="B106" s="11">
        <v>6371</v>
      </c>
      <c r="C106" s="3" t="s">
        <v>170</v>
      </c>
      <c r="D106" s="3" t="s">
        <v>8</v>
      </c>
      <c r="E106" s="3"/>
      <c r="F106" s="3" t="s">
        <v>9</v>
      </c>
      <c r="G106" s="4">
        <v>1436.26</v>
      </c>
    </row>
    <row r="107" spans="2:7" x14ac:dyDescent="0.3">
      <c r="B107" s="11">
        <v>4368</v>
      </c>
      <c r="C107" s="3" t="s">
        <v>171</v>
      </c>
      <c r="D107" s="3" t="s">
        <v>8</v>
      </c>
      <c r="E107" s="3"/>
      <c r="F107" s="3" t="s">
        <v>9</v>
      </c>
      <c r="G107" s="4">
        <v>1436.12</v>
      </c>
    </row>
    <row r="108" spans="2:7" x14ac:dyDescent="0.3">
      <c r="B108" s="11">
        <v>6457</v>
      </c>
      <c r="C108" s="3" t="s">
        <v>172</v>
      </c>
      <c r="D108" s="3" t="s">
        <v>8</v>
      </c>
      <c r="E108" s="3"/>
      <c r="F108" s="3" t="s">
        <v>9</v>
      </c>
      <c r="G108" s="4">
        <v>1435.69</v>
      </c>
    </row>
    <row r="109" spans="2:7" x14ac:dyDescent="0.3">
      <c r="B109" s="11" t="s">
        <v>173</v>
      </c>
      <c r="C109" s="3" t="s">
        <v>174</v>
      </c>
      <c r="D109" s="3" t="s">
        <v>8</v>
      </c>
      <c r="E109" s="3"/>
      <c r="F109" s="3" t="s">
        <v>9</v>
      </c>
      <c r="G109" s="4">
        <v>1434.85</v>
      </c>
    </row>
    <row r="110" spans="2:7" x14ac:dyDescent="0.3">
      <c r="B110" s="11" t="s">
        <v>338</v>
      </c>
      <c r="C110" s="3" t="s">
        <v>175</v>
      </c>
      <c r="D110" s="3" t="s">
        <v>8</v>
      </c>
      <c r="E110" s="3"/>
      <c r="F110" s="3" t="s">
        <v>9</v>
      </c>
      <c r="G110" s="4">
        <v>1416.69</v>
      </c>
    </row>
    <row r="111" spans="2:7" x14ac:dyDescent="0.3">
      <c r="B111" s="11">
        <v>1885</v>
      </c>
      <c r="C111" s="3" t="s">
        <v>176</v>
      </c>
      <c r="D111" s="3" t="s">
        <v>8</v>
      </c>
      <c r="E111" s="3"/>
      <c r="F111" s="3" t="s">
        <v>9</v>
      </c>
      <c r="G111" s="4">
        <v>1389.45</v>
      </c>
    </row>
    <row r="112" spans="2:7" x14ac:dyDescent="0.3">
      <c r="B112" s="11">
        <v>8522</v>
      </c>
      <c r="C112" s="3" t="s">
        <v>177</v>
      </c>
      <c r="D112" s="3" t="s">
        <v>8</v>
      </c>
      <c r="E112" s="3"/>
      <c r="F112" s="3" t="s">
        <v>9</v>
      </c>
      <c r="G112" s="4">
        <v>1377.97</v>
      </c>
    </row>
    <row r="113" spans="2:7" x14ac:dyDescent="0.3">
      <c r="B113" s="11">
        <v>7994</v>
      </c>
      <c r="C113" s="3" t="s">
        <v>178</v>
      </c>
      <c r="D113" s="3" t="s">
        <v>8</v>
      </c>
      <c r="E113" s="3"/>
      <c r="F113" s="3" t="s">
        <v>9</v>
      </c>
      <c r="G113" s="4">
        <v>1369.03</v>
      </c>
    </row>
    <row r="114" spans="2:7" x14ac:dyDescent="0.3">
      <c r="B114" s="11">
        <v>7313</v>
      </c>
      <c r="C114" s="3" t="s">
        <v>179</v>
      </c>
      <c r="D114" s="3" t="s">
        <v>8</v>
      </c>
      <c r="E114" s="3"/>
      <c r="F114" s="3" t="s">
        <v>9</v>
      </c>
      <c r="G114" s="4">
        <v>1350.95</v>
      </c>
    </row>
    <row r="115" spans="2:7" x14ac:dyDescent="0.3">
      <c r="B115" s="11">
        <v>4665</v>
      </c>
      <c r="C115" s="3" t="s">
        <v>180</v>
      </c>
      <c r="D115" s="3" t="s">
        <v>8</v>
      </c>
      <c r="E115" s="3"/>
      <c r="F115" s="3" t="s">
        <v>9</v>
      </c>
      <c r="G115" s="4">
        <v>1333.84</v>
      </c>
    </row>
    <row r="116" spans="2:7" x14ac:dyDescent="0.3">
      <c r="B116" s="11" t="s">
        <v>181</v>
      </c>
      <c r="C116" s="3" t="s">
        <v>182</v>
      </c>
      <c r="D116" s="3" t="s">
        <v>8</v>
      </c>
      <c r="E116" s="3"/>
      <c r="F116" s="3" t="s">
        <v>9</v>
      </c>
      <c r="G116" s="4">
        <v>1314.18</v>
      </c>
    </row>
    <row r="117" spans="2:7" x14ac:dyDescent="0.3">
      <c r="B117" s="11" t="s">
        <v>183</v>
      </c>
      <c r="C117" s="3" t="s">
        <v>184</v>
      </c>
      <c r="D117" s="3" t="s">
        <v>8</v>
      </c>
      <c r="E117" s="3"/>
      <c r="F117" s="3" t="s">
        <v>9</v>
      </c>
      <c r="G117" s="4">
        <v>1304.5899999999999</v>
      </c>
    </row>
    <row r="118" spans="2:7" x14ac:dyDescent="0.3">
      <c r="B118" s="11" t="s">
        <v>185</v>
      </c>
      <c r="C118" s="3" t="s">
        <v>186</v>
      </c>
      <c r="D118" s="3" t="s">
        <v>8</v>
      </c>
      <c r="E118" s="3"/>
      <c r="F118" s="3" t="s">
        <v>9</v>
      </c>
      <c r="G118" s="4">
        <v>1303.07</v>
      </c>
    </row>
    <row r="119" spans="2:7" x14ac:dyDescent="0.3">
      <c r="B119" s="11">
        <v>6925</v>
      </c>
      <c r="C119" s="3" t="s">
        <v>187</v>
      </c>
      <c r="D119" s="3" t="s">
        <v>8</v>
      </c>
      <c r="E119" s="3"/>
      <c r="F119" s="3" t="s">
        <v>9</v>
      </c>
      <c r="G119" s="4">
        <v>1301.28</v>
      </c>
    </row>
    <row r="120" spans="2:7" x14ac:dyDescent="0.3">
      <c r="B120" s="11">
        <v>7220</v>
      </c>
      <c r="C120" s="3" t="s">
        <v>188</v>
      </c>
      <c r="D120" s="3" t="s">
        <v>8</v>
      </c>
      <c r="E120" s="3"/>
      <c r="F120" s="3" t="s">
        <v>9</v>
      </c>
      <c r="G120" s="4">
        <v>1254.76</v>
      </c>
    </row>
    <row r="121" spans="2:7" x14ac:dyDescent="0.3">
      <c r="B121" s="11">
        <v>501423</v>
      </c>
      <c r="C121" s="3" t="s">
        <v>189</v>
      </c>
      <c r="D121" s="3" t="s">
        <v>8</v>
      </c>
      <c r="E121" s="3"/>
      <c r="F121" s="3" t="s">
        <v>9</v>
      </c>
      <c r="G121" s="4">
        <v>1251.18</v>
      </c>
    </row>
    <row r="122" spans="2:7" x14ac:dyDescent="0.3">
      <c r="B122" s="11" t="s">
        <v>190</v>
      </c>
      <c r="C122" s="3" t="s">
        <v>191</v>
      </c>
      <c r="D122" s="3" t="s">
        <v>8</v>
      </c>
      <c r="E122" s="3" t="s">
        <v>28</v>
      </c>
      <c r="F122" s="3" t="s">
        <v>9</v>
      </c>
      <c r="G122" s="4">
        <v>1244.79</v>
      </c>
    </row>
    <row r="123" spans="2:7" x14ac:dyDescent="0.3">
      <c r="B123" s="11">
        <v>9869</v>
      </c>
      <c r="C123" s="3" t="s">
        <v>192</v>
      </c>
      <c r="D123" s="3" t="s">
        <v>8</v>
      </c>
      <c r="E123" s="3"/>
      <c r="F123" s="3" t="s">
        <v>9</v>
      </c>
      <c r="G123" s="4">
        <v>1243.67</v>
      </c>
    </row>
    <row r="124" spans="2:7" x14ac:dyDescent="0.3">
      <c r="B124" s="11" t="s">
        <v>193</v>
      </c>
      <c r="C124" s="3" t="s">
        <v>194</v>
      </c>
      <c r="D124" s="3" t="s">
        <v>15</v>
      </c>
      <c r="E124" s="3"/>
      <c r="F124" s="3" t="s">
        <v>9</v>
      </c>
      <c r="G124" s="4">
        <v>1234.1300000000001</v>
      </c>
    </row>
    <row r="125" spans="2:7" x14ac:dyDescent="0.3">
      <c r="B125" s="11">
        <v>9682</v>
      </c>
      <c r="C125" s="3" t="s">
        <v>195</v>
      </c>
      <c r="D125" s="3" t="s">
        <v>8</v>
      </c>
      <c r="E125" s="3"/>
      <c r="F125" s="3" t="s">
        <v>9</v>
      </c>
      <c r="G125" s="4">
        <v>1229.3699999999999</v>
      </c>
    </row>
    <row r="126" spans="2:7" x14ac:dyDescent="0.3">
      <c r="B126" s="11" t="s">
        <v>342</v>
      </c>
      <c r="C126" s="3" t="s">
        <v>196</v>
      </c>
      <c r="D126" s="3" t="s">
        <v>8</v>
      </c>
      <c r="E126" s="3"/>
      <c r="F126" s="3" t="s">
        <v>9</v>
      </c>
      <c r="G126" s="4">
        <v>1225.56</v>
      </c>
    </row>
    <row r="127" spans="2:7" x14ac:dyDescent="0.3">
      <c r="B127" s="11" t="s">
        <v>197</v>
      </c>
      <c r="C127" s="3" t="s">
        <v>198</v>
      </c>
      <c r="D127" s="3" t="s">
        <v>8</v>
      </c>
      <c r="E127" s="3"/>
      <c r="F127" s="3" t="s">
        <v>9</v>
      </c>
      <c r="G127" s="4">
        <v>1215.32</v>
      </c>
    </row>
    <row r="128" spans="2:7" x14ac:dyDescent="0.3">
      <c r="B128" s="11">
        <v>5451</v>
      </c>
      <c r="C128" s="3" t="s">
        <v>199</v>
      </c>
      <c r="D128" s="3" t="s">
        <v>8</v>
      </c>
      <c r="E128" s="3"/>
      <c r="F128" s="3" t="s">
        <v>9</v>
      </c>
      <c r="G128" s="4">
        <v>1207.6400000000001</v>
      </c>
    </row>
    <row r="129" spans="2:7" x14ac:dyDescent="0.3">
      <c r="B129" s="11" t="s">
        <v>200</v>
      </c>
      <c r="C129" s="3" t="s">
        <v>201</v>
      </c>
      <c r="D129" s="3" t="s">
        <v>8</v>
      </c>
      <c r="E129" s="3"/>
      <c r="F129" s="3" t="s">
        <v>9</v>
      </c>
      <c r="G129" s="4">
        <v>1187.8</v>
      </c>
    </row>
    <row r="130" spans="2:7" x14ac:dyDescent="0.3">
      <c r="B130" s="11">
        <v>6366</v>
      </c>
      <c r="C130" s="3" t="s">
        <v>202</v>
      </c>
      <c r="D130" s="3" t="s">
        <v>8</v>
      </c>
      <c r="E130" s="3"/>
      <c r="F130" s="3" t="s">
        <v>9</v>
      </c>
      <c r="G130" s="4">
        <v>1177.4100000000001</v>
      </c>
    </row>
    <row r="131" spans="2:7" x14ac:dyDescent="0.3">
      <c r="B131" s="11" t="s">
        <v>203</v>
      </c>
      <c r="C131" s="3" t="s">
        <v>204</v>
      </c>
      <c r="D131" s="3" t="s">
        <v>8</v>
      </c>
      <c r="E131" s="3"/>
      <c r="F131" s="3" t="s">
        <v>9</v>
      </c>
      <c r="G131" s="4">
        <v>1151.97</v>
      </c>
    </row>
    <row r="132" spans="2:7" x14ac:dyDescent="0.3">
      <c r="B132" s="11" t="s">
        <v>205</v>
      </c>
      <c r="C132" s="3" t="s">
        <v>206</v>
      </c>
      <c r="D132" s="3" t="s">
        <v>8</v>
      </c>
      <c r="E132" s="3" t="s">
        <v>28</v>
      </c>
      <c r="F132" s="3" t="s">
        <v>9</v>
      </c>
      <c r="G132" s="4">
        <v>1142.44</v>
      </c>
    </row>
    <row r="133" spans="2:7" x14ac:dyDescent="0.3">
      <c r="B133" s="11">
        <v>8566</v>
      </c>
      <c r="C133" s="3" t="s">
        <v>207</v>
      </c>
      <c r="D133" s="3" t="s">
        <v>8</v>
      </c>
      <c r="E133" s="3"/>
      <c r="F133" s="3" t="s">
        <v>9</v>
      </c>
      <c r="G133" s="4">
        <v>1132.99</v>
      </c>
    </row>
    <row r="134" spans="2:7" x14ac:dyDescent="0.3">
      <c r="B134" s="11">
        <v>500039</v>
      </c>
      <c r="C134" s="3" t="s">
        <v>208</v>
      </c>
      <c r="D134" s="3" t="s">
        <v>8</v>
      </c>
      <c r="E134" s="3"/>
      <c r="F134" s="3" t="s">
        <v>9</v>
      </c>
      <c r="G134" s="4">
        <v>1129.99</v>
      </c>
    </row>
    <row r="135" spans="2:7" x14ac:dyDescent="0.3">
      <c r="B135" s="11" t="s">
        <v>209</v>
      </c>
      <c r="C135" s="3" t="s">
        <v>210</v>
      </c>
      <c r="D135" s="3" t="s">
        <v>8</v>
      </c>
      <c r="E135" s="3"/>
      <c r="F135" s="3" t="s">
        <v>9</v>
      </c>
      <c r="G135" s="4">
        <v>1104.4100000000001</v>
      </c>
    </row>
    <row r="136" spans="2:7" x14ac:dyDescent="0.3">
      <c r="B136" s="11">
        <v>500238</v>
      </c>
      <c r="C136" s="3" t="s">
        <v>211</v>
      </c>
      <c r="D136" s="3" t="s">
        <v>8</v>
      </c>
      <c r="E136" s="3"/>
      <c r="F136" s="3" t="s">
        <v>9</v>
      </c>
      <c r="G136" s="4">
        <v>1103.22</v>
      </c>
    </row>
    <row r="137" spans="2:7" x14ac:dyDescent="0.3">
      <c r="B137" s="11">
        <v>1515</v>
      </c>
      <c r="C137" s="3" t="s">
        <v>212</v>
      </c>
      <c r="D137" s="3" t="s">
        <v>8</v>
      </c>
      <c r="E137" s="3"/>
      <c r="F137" s="3" t="s">
        <v>9</v>
      </c>
      <c r="G137" s="4">
        <v>1095.57</v>
      </c>
    </row>
    <row r="138" spans="2:7" x14ac:dyDescent="0.3">
      <c r="B138" s="11" t="s">
        <v>213</v>
      </c>
      <c r="C138" s="3" t="s">
        <v>214</v>
      </c>
      <c r="D138" s="3" t="s">
        <v>8</v>
      </c>
      <c r="E138" s="3"/>
      <c r="F138" s="3" t="s">
        <v>9</v>
      </c>
      <c r="G138" s="4">
        <v>1081.1400000000001</v>
      </c>
    </row>
    <row r="139" spans="2:7" x14ac:dyDescent="0.3">
      <c r="B139" s="11">
        <v>1965</v>
      </c>
      <c r="C139" s="3" t="s">
        <v>215</v>
      </c>
      <c r="D139" s="3" t="s">
        <v>8</v>
      </c>
      <c r="E139" s="3"/>
      <c r="F139" s="3" t="s">
        <v>9</v>
      </c>
      <c r="G139" s="4">
        <v>1080.32</v>
      </c>
    </row>
    <row r="140" spans="2:7" x14ac:dyDescent="0.3">
      <c r="B140" s="11" t="s">
        <v>216</v>
      </c>
      <c r="C140" s="3" t="s">
        <v>217</v>
      </c>
      <c r="D140" s="3" t="s">
        <v>8</v>
      </c>
      <c r="E140" s="3"/>
      <c r="F140" s="3" t="s">
        <v>9</v>
      </c>
      <c r="G140" s="4">
        <v>1078.1099999999999</v>
      </c>
    </row>
    <row r="141" spans="2:7" x14ac:dyDescent="0.3">
      <c r="B141" s="11">
        <v>500126</v>
      </c>
      <c r="C141" s="3" t="s">
        <v>218</v>
      </c>
      <c r="D141" s="3" t="s">
        <v>8</v>
      </c>
      <c r="E141" s="3"/>
      <c r="F141" s="3" t="s">
        <v>9</v>
      </c>
      <c r="G141" s="4">
        <v>1076.94</v>
      </c>
    </row>
    <row r="142" spans="2:7" x14ac:dyDescent="0.3">
      <c r="B142" s="11">
        <v>7740</v>
      </c>
      <c r="C142" s="3" t="s">
        <v>219</v>
      </c>
      <c r="D142" s="3" t="s">
        <v>8</v>
      </c>
      <c r="E142" s="3"/>
      <c r="F142" s="3" t="s">
        <v>9</v>
      </c>
      <c r="G142" s="4">
        <v>1069.1600000000001</v>
      </c>
    </row>
    <row r="143" spans="2:7" x14ac:dyDescent="0.3">
      <c r="B143" s="11">
        <v>2154</v>
      </c>
      <c r="C143" s="3" t="s">
        <v>220</v>
      </c>
      <c r="D143" s="3" t="s">
        <v>8</v>
      </c>
      <c r="E143" s="3"/>
      <c r="F143" s="3" t="s">
        <v>9</v>
      </c>
      <c r="G143" s="4">
        <v>1045.3</v>
      </c>
    </row>
    <row r="144" spans="2:7" x14ac:dyDescent="0.3">
      <c r="B144" s="11" t="s">
        <v>221</v>
      </c>
      <c r="C144" s="3" t="s">
        <v>222</v>
      </c>
      <c r="D144" s="3" t="s">
        <v>15</v>
      </c>
      <c r="E144" s="3"/>
      <c r="F144" s="3" t="s">
        <v>9</v>
      </c>
      <c r="G144" s="4">
        <v>1038.01</v>
      </c>
    </row>
    <row r="145" spans="2:7" x14ac:dyDescent="0.3">
      <c r="B145" s="11">
        <v>4521</v>
      </c>
      <c r="C145" s="3" t="s">
        <v>223</v>
      </c>
      <c r="D145" s="3" t="s">
        <v>8</v>
      </c>
      <c r="E145" s="3"/>
      <c r="F145" s="3" t="s">
        <v>9</v>
      </c>
      <c r="G145" s="4">
        <v>1026.79</v>
      </c>
    </row>
    <row r="146" spans="2:7" x14ac:dyDescent="0.3">
      <c r="B146" s="11">
        <v>540575</v>
      </c>
      <c r="C146" s="3" t="s">
        <v>224</v>
      </c>
      <c r="D146" s="3" t="s">
        <v>8</v>
      </c>
      <c r="E146" s="3"/>
      <c r="F146" s="3" t="s">
        <v>9</v>
      </c>
      <c r="G146" s="4">
        <v>996.07</v>
      </c>
    </row>
    <row r="147" spans="2:7" x14ac:dyDescent="0.3">
      <c r="B147" s="11">
        <v>6315</v>
      </c>
      <c r="C147" s="3" t="s">
        <v>225</v>
      </c>
      <c r="D147" s="3" t="s">
        <v>8</v>
      </c>
      <c r="E147" s="3"/>
      <c r="F147" s="3" t="s">
        <v>9</v>
      </c>
      <c r="G147" s="4">
        <v>981.47</v>
      </c>
    </row>
    <row r="148" spans="2:7" x14ac:dyDescent="0.3">
      <c r="B148" s="11">
        <v>7184</v>
      </c>
      <c r="C148" s="3" t="s">
        <v>226</v>
      </c>
      <c r="D148" s="3" t="s">
        <v>8</v>
      </c>
      <c r="E148" s="3"/>
      <c r="F148" s="3" t="s">
        <v>9</v>
      </c>
      <c r="G148" s="4">
        <v>977.33</v>
      </c>
    </row>
    <row r="149" spans="2:7" x14ac:dyDescent="0.3">
      <c r="B149" s="11">
        <v>7287</v>
      </c>
      <c r="C149" s="3" t="s">
        <v>227</v>
      </c>
      <c r="D149" s="3" t="s">
        <v>8</v>
      </c>
      <c r="E149" s="3"/>
      <c r="F149" s="3" t="s">
        <v>9</v>
      </c>
      <c r="G149" s="4">
        <v>976.98</v>
      </c>
    </row>
    <row r="150" spans="2:7" x14ac:dyDescent="0.3">
      <c r="B150" s="11">
        <v>8214</v>
      </c>
      <c r="C150" s="3" t="s">
        <v>228</v>
      </c>
      <c r="D150" s="3" t="s">
        <v>8</v>
      </c>
      <c r="E150" s="3"/>
      <c r="F150" s="3" t="s">
        <v>9</v>
      </c>
      <c r="G150" s="4">
        <v>968.65</v>
      </c>
    </row>
    <row r="151" spans="2:7" x14ac:dyDescent="0.3">
      <c r="B151" s="11">
        <v>1968</v>
      </c>
      <c r="C151" s="3" t="s">
        <v>229</v>
      </c>
      <c r="D151" s="3" t="s">
        <v>8</v>
      </c>
      <c r="E151" s="3"/>
      <c r="F151" s="3" t="s">
        <v>9</v>
      </c>
      <c r="G151" s="4">
        <v>959.15</v>
      </c>
    </row>
    <row r="152" spans="2:7" x14ac:dyDescent="0.3">
      <c r="B152" s="11" t="s">
        <v>230</v>
      </c>
      <c r="C152" s="3" t="s">
        <v>231</v>
      </c>
      <c r="D152" s="3" t="s">
        <v>8</v>
      </c>
      <c r="E152" s="3"/>
      <c r="F152" s="3" t="s">
        <v>9</v>
      </c>
      <c r="G152" s="4">
        <v>946.88</v>
      </c>
    </row>
    <row r="153" spans="2:7" x14ac:dyDescent="0.3">
      <c r="B153" s="11">
        <v>5930</v>
      </c>
      <c r="C153" s="3" t="s">
        <v>232</v>
      </c>
      <c r="D153" s="3" t="s">
        <v>8</v>
      </c>
      <c r="E153" s="3"/>
      <c r="F153" s="3" t="s">
        <v>9</v>
      </c>
      <c r="G153" s="4">
        <v>941.64</v>
      </c>
    </row>
    <row r="154" spans="2:7" x14ac:dyDescent="0.3">
      <c r="B154" s="11">
        <v>4694</v>
      </c>
      <c r="C154" s="3" t="s">
        <v>233</v>
      </c>
      <c r="D154" s="3" t="s">
        <v>8</v>
      </c>
      <c r="E154" s="3"/>
      <c r="F154" s="3" t="s">
        <v>9</v>
      </c>
      <c r="G154" s="4">
        <v>936.97</v>
      </c>
    </row>
    <row r="155" spans="2:7" x14ac:dyDescent="0.3">
      <c r="B155" s="11">
        <v>1720</v>
      </c>
      <c r="C155" s="3" t="s">
        <v>234</v>
      </c>
      <c r="D155" s="3" t="s">
        <v>8</v>
      </c>
      <c r="E155" s="3"/>
      <c r="F155" s="3" t="s">
        <v>9</v>
      </c>
      <c r="G155" s="4">
        <v>931.93</v>
      </c>
    </row>
    <row r="156" spans="2:7" x14ac:dyDescent="0.3">
      <c r="B156" s="11" t="s">
        <v>235</v>
      </c>
      <c r="C156" s="3" t="s">
        <v>236</v>
      </c>
      <c r="D156" s="3" t="s">
        <v>8</v>
      </c>
      <c r="E156" s="3"/>
      <c r="F156" s="3" t="s">
        <v>9</v>
      </c>
      <c r="G156" s="4">
        <v>889.97</v>
      </c>
    </row>
    <row r="157" spans="2:7" x14ac:dyDescent="0.3">
      <c r="B157" s="11" t="s">
        <v>237</v>
      </c>
      <c r="C157" s="3" t="s">
        <v>238</v>
      </c>
      <c r="D157" s="3" t="s">
        <v>8</v>
      </c>
      <c r="E157" s="3"/>
      <c r="F157" s="3" t="s">
        <v>9</v>
      </c>
      <c r="G157" s="4">
        <v>879.53</v>
      </c>
    </row>
    <row r="158" spans="2:7" x14ac:dyDescent="0.3">
      <c r="B158" s="11">
        <v>6804</v>
      </c>
      <c r="C158" s="3" t="s">
        <v>239</v>
      </c>
      <c r="D158" s="3" t="s">
        <v>8</v>
      </c>
      <c r="E158" s="3"/>
      <c r="F158" s="3" t="s">
        <v>9</v>
      </c>
      <c r="G158" s="4">
        <v>868.26</v>
      </c>
    </row>
    <row r="159" spans="2:7" x14ac:dyDescent="0.3">
      <c r="B159" s="11">
        <v>7322</v>
      </c>
      <c r="C159" s="3" t="s">
        <v>240</v>
      </c>
      <c r="D159" s="3" t="s">
        <v>8</v>
      </c>
      <c r="E159" s="3"/>
      <c r="F159" s="3" t="s">
        <v>9</v>
      </c>
      <c r="G159" s="4">
        <v>854.88</v>
      </c>
    </row>
    <row r="160" spans="2:7" x14ac:dyDescent="0.3">
      <c r="B160" s="11">
        <v>4534</v>
      </c>
      <c r="C160" s="3" t="s">
        <v>241</v>
      </c>
      <c r="D160" s="3" t="s">
        <v>8</v>
      </c>
      <c r="E160" s="3"/>
      <c r="F160" s="3" t="s">
        <v>9</v>
      </c>
      <c r="G160" s="4">
        <v>850.88</v>
      </c>
    </row>
    <row r="161" spans="2:7" x14ac:dyDescent="0.3">
      <c r="B161" s="11">
        <v>1871</v>
      </c>
      <c r="C161" s="3" t="s">
        <v>242</v>
      </c>
      <c r="D161" s="3" t="s">
        <v>8</v>
      </c>
      <c r="E161" s="3"/>
      <c r="F161" s="3" t="s">
        <v>9</v>
      </c>
      <c r="G161" s="4">
        <v>847.91</v>
      </c>
    </row>
    <row r="162" spans="2:7" x14ac:dyDescent="0.3">
      <c r="B162" s="11" t="s">
        <v>243</v>
      </c>
      <c r="C162" s="3" t="s">
        <v>244</v>
      </c>
      <c r="D162" s="3" t="s">
        <v>8</v>
      </c>
      <c r="E162" s="3"/>
      <c r="F162" s="3" t="s">
        <v>9</v>
      </c>
      <c r="G162" s="4">
        <v>846.07</v>
      </c>
    </row>
    <row r="163" spans="2:7" x14ac:dyDescent="0.3">
      <c r="B163" s="11" t="s">
        <v>245</v>
      </c>
      <c r="C163" s="3" t="s">
        <v>246</v>
      </c>
      <c r="D163" s="3" t="s">
        <v>8</v>
      </c>
      <c r="E163" s="3" t="s">
        <v>28</v>
      </c>
      <c r="F163" s="3" t="s">
        <v>9</v>
      </c>
      <c r="G163" s="4">
        <v>826.29</v>
      </c>
    </row>
    <row r="164" spans="2:7" x14ac:dyDescent="0.3">
      <c r="B164" s="11">
        <v>3863</v>
      </c>
      <c r="C164" s="3" t="s">
        <v>247</v>
      </c>
      <c r="D164" s="3" t="s">
        <v>8</v>
      </c>
      <c r="E164" s="3"/>
      <c r="F164" s="3" t="s">
        <v>9</v>
      </c>
      <c r="G164" s="4">
        <v>818.34</v>
      </c>
    </row>
    <row r="165" spans="2:7" x14ac:dyDescent="0.3">
      <c r="B165" s="11">
        <v>6875</v>
      </c>
      <c r="C165" s="3" t="s">
        <v>248</v>
      </c>
      <c r="D165" s="3" t="s">
        <v>8</v>
      </c>
      <c r="E165" s="3"/>
      <c r="F165" s="3" t="s">
        <v>9</v>
      </c>
      <c r="G165" s="4">
        <v>817.62</v>
      </c>
    </row>
    <row r="166" spans="2:7" x14ac:dyDescent="0.3">
      <c r="B166" s="11">
        <v>6332</v>
      </c>
      <c r="C166" s="3" t="s">
        <v>249</v>
      </c>
      <c r="D166" s="3" t="s">
        <v>8</v>
      </c>
      <c r="E166" s="3"/>
      <c r="F166" s="3" t="s">
        <v>9</v>
      </c>
      <c r="G166" s="4">
        <v>785.42</v>
      </c>
    </row>
    <row r="167" spans="2:7" x14ac:dyDescent="0.3">
      <c r="B167" s="11">
        <v>5186</v>
      </c>
      <c r="C167" s="3" t="s">
        <v>250</v>
      </c>
      <c r="D167" s="3" t="s">
        <v>8</v>
      </c>
      <c r="E167" s="3"/>
      <c r="F167" s="3" t="s">
        <v>9</v>
      </c>
      <c r="G167" s="4">
        <v>761.98</v>
      </c>
    </row>
    <row r="168" spans="2:7" x14ac:dyDescent="0.3">
      <c r="B168" s="11">
        <v>4958</v>
      </c>
      <c r="C168" s="3" t="s">
        <v>251</v>
      </c>
      <c r="D168" s="3" t="s">
        <v>8</v>
      </c>
      <c r="E168" s="3"/>
      <c r="F168" s="3" t="s">
        <v>9</v>
      </c>
      <c r="G168" s="4">
        <v>755.41</v>
      </c>
    </row>
    <row r="169" spans="2:7" x14ac:dyDescent="0.3">
      <c r="B169" s="11">
        <v>6996</v>
      </c>
      <c r="C169" s="3" t="s">
        <v>252</v>
      </c>
      <c r="D169" s="3" t="s">
        <v>8</v>
      </c>
      <c r="E169" s="3"/>
      <c r="F169" s="3" t="s">
        <v>9</v>
      </c>
      <c r="G169" s="4">
        <v>750.38</v>
      </c>
    </row>
    <row r="170" spans="2:7" x14ac:dyDescent="0.3">
      <c r="B170" s="11">
        <v>500338</v>
      </c>
      <c r="C170" s="3" t="s">
        <v>253</v>
      </c>
      <c r="D170" s="3" t="s">
        <v>8</v>
      </c>
      <c r="E170" s="3"/>
      <c r="F170" s="3" t="s">
        <v>9</v>
      </c>
      <c r="G170" s="4">
        <v>731.25</v>
      </c>
    </row>
    <row r="171" spans="2:7" x14ac:dyDescent="0.3">
      <c r="B171" s="11" t="s">
        <v>254</v>
      </c>
      <c r="C171" s="3" t="s">
        <v>255</v>
      </c>
      <c r="D171" s="3" t="s">
        <v>8</v>
      </c>
      <c r="E171" s="3"/>
      <c r="F171" s="3" t="s">
        <v>9</v>
      </c>
      <c r="G171" s="4">
        <v>698.97</v>
      </c>
    </row>
    <row r="172" spans="2:7" x14ac:dyDescent="0.3">
      <c r="B172" s="11" t="s">
        <v>256</v>
      </c>
      <c r="C172" s="3" t="s">
        <v>257</v>
      </c>
      <c r="D172" s="3" t="s">
        <v>8</v>
      </c>
      <c r="E172" s="3"/>
      <c r="F172" s="3" t="s">
        <v>9</v>
      </c>
      <c r="G172" s="4">
        <v>685.74</v>
      </c>
    </row>
    <row r="173" spans="2:7" x14ac:dyDescent="0.3">
      <c r="B173" s="11" t="s">
        <v>258</v>
      </c>
      <c r="C173" s="3" t="s">
        <v>259</v>
      </c>
      <c r="D173" s="3" t="s">
        <v>8</v>
      </c>
      <c r="E173" s="3"/>
      <c r="F173" s="3" t="s">
        <v>9</v>
      </c>
      <c r="G173" s="4">
        <v>676.8</v>
      </c>
    </row>
    <row r="174" spans="2:7" x14ac:dyDescent="0.3">
      <c r="B174" s="11">
        <v>5602</v>
      </c>
      <c r="C174" s="3" t="s">
        <v>260</v>
      </c>
      <c r="D174" s="3" t="s">
        <v>8</v>
      </c>
      <c r="E174" s="3"/>
      <c r="F174" s="3" t="s">
        <v>9</v>
      </c>
      <c r="G174" s="4">
        <v>652.13</v>
      </c>
    </row>
    <row r="175" spans="2:7" x14ac:dyDescent="0.3">
      <c r="B175" s="11" t="s">
        <v>261</v>
      </c>
      <c r="C175" s="3" t="s">
        <v>262</v>
      </c>
      <c r="D175" s="3" t="s">
        <v>8</v>
      </c>
      <c r="E175" s="3"/>
      <c r="F175" s="3" t="s">
        <v>9</v>
      </c>
      <c r="G175" s="4">
        <v>650.59</v>
      </c>
    </row>
    <row r="176" spans="2:7" x14ac:dyDescent="0.3">
      <c r="B176" s="11" t="s">
        <v>263</v>
      </c>
      <c r="C176" s="3" t="s">
        <v>264</v>
      </c>
      <c r="D176" s="3" t="s">
        <v>8</v>
      </c>
      <c r="E176" s="3"/>
      <c r="F176" s="3" t="s">
        <v>9</v>
      </c>
      <c r="G176" s="4">
        <v>648.54</v>
      </c>
    </row>
    <row r="177" spans="2:7" x14ac:dyDescent="0.3">
      <c r="B177" s="11">
        <v>2004</v>
      </c>
      <c r="C177" s="3" t="s">
        <v>265</v>
      </c>
      <c r="D177" s="3" t="s">
        <v>8</v>
      </c>
      <c r="E177" s="3"/>
      <c r="F177" s="3" t="s">
        <v>9</v>
      </c>
      <c r="G177" s="4">
        <v>631.67999999999995</v>
      </c>
    </row>
    <row r="178" spans="2:7" x14ac:dyDescent="0.3">
      <c r="B178" s="11">
        <v>7826</v>
      </c>
      <c r="C178" s="3" t="s">
        <v>266</v>
      </c>
      <c r="D178" s="3" t="s">
        <v>8</v>
      </c>
      <c r="E178" s="3"/>
      <c r="F178" s="3" t="s">
        <v>9</v>
      </c>
      <c r="G178" s="4">
        <v>623</v>
      </c>
    </row>
    <row r="179" spans="2:7" x14ac:dyDescent="0.3">
      <c r="B179" s="11">
        <v>4189</v>
      </c>
      <c r="C179" s="3" t="s">
        <v>267</v>
      </c>
      <c r="D179" s="3" t="s">
        <v>8</v>
      </c>
      <c r="E179" s="3"/>
      <c r="F179" s="3" t="s">
        <v>9</v>
      </c>
      <c r="G179" s="4">
        <v>587.52</v>
      </c>
    </row>
    <row r="180" spans="2:7" x14ac:dyDescent="0.3">
      <c r="B180" s="11">
        <v>6652</v>
      </c>
      <c r="C180" s="3" t="s">
        <v>268</v>
      </c>
      <c r="D180" s="3" t="s">
        <v>8</v>
      </c>
      <c r="E180" s="3"/>
      <c r="F180" s="3" t="s">
        <v>9</v>
      </c>
      <c r="G180" s="4">
        <v>566.99</v>
      </c>
    </row>
    <row r="181" spans="2:7" x14ac:dyDescent="0.3">
      <c r="B181" s="11" t="s">
        <v>269</v>
      </c>
      <c r="C181" s="3" t="s">
        <v>270</v>
      </c>
      <c r="D181" s="3" t="s">
        <v>8</v>
      </c>
      <c r="E181" s="3"/>
      <c r="F181" s="3" t="s">
        <v>9</v>
      </c>
      <c r="G181" s="4">
        <v>557.78</v>
      </c>
    </row>
    <row r="182" spans="2:7" x14ac:dyDescent="0.3">
      <c r="B182" s="11">
        <v>531266</v>
      </c>
      <c r="C182" s="3" t="s">
        <v>271</v>
      </c>
      <c r="D182" s="3" t="s">
        <v>15</v>
      </c>
      <c r="E182" s="3"/>
      <c r="F182" s="3" t="s">
        <v>9</v>
      </c>
      <c r="G182" s="4">
        <v>551.77</v>
      </c>
    </row>
    <row r="183" spans="2:7" x14ac:dyDescent="0.3">
      <c r="B183" s="11">
        <v>505255</v>
      </c>
      <c r="C183" s="3" t="s">
        <v>272</v>
      </c>
      <c r="D183" s="3" t="s">
        <v>8</v>
      </c>
      <c r="E183" s="3"/>
      <c r="F183" s="3" t="s">
        <v>9</v>
      </c>
      <c r="G183" s="4">
        <v>536.07000000000005</v>
      </c>
    </row>
    <row r="184" spans="2:7" x14ac:dyDescent="0.3">
      <c r="B184" s="11" t="s">
        <v>273</v>
      </c>
      <c r="C184" s="3" t="s">
        <v>274</v>
      </c>
      <c r="D184" s="3" t="s">
        <v>8</v>
      </c>
      <c r="E184" s="3"/>
      <c r="F184" s="3" t="s">
        <v>9</v>
      </c>
      <c r="G184" s="4">
        <v>536.01</v>
      </c>
    </row>
    <row r="185" spans="2:7" x14ac:dyDescent="0.3">
      <c r="B185" s="11">
        <v>6277</v>
      </c>
      <c r="C185" s="3" t="s">
        <v>275</v>
      </c>
      <c r="D185" s="3" t="s">
        <v>8</v>
      </c>
      <c r="E185" s="3"/>
      <c r="F185" s="3" t="s">
        <v>9</v>
      </c>
      <c r="G185" s="4">
        <v>522.09</v>
      </c>
    </row>
    <row r="186" spans="2:7" x14ac:dyDescent="0.3">
      <c r="B186" s="11">
        <v>3028</v>
      </c>
      <c r="C186" s="3" t="s">
        <v>276</v>
      </c>
      <c r="D186" s="3" t="s">
        <v>8</v>
      </c>
      <c r="E186" s="3"/>
      <c r="F186" s="3" t="s">
        <v>9</v>
      </c>
      <c r="G186" s="4">
        <v>521.59</v>
      </c>
    </row>
    <row r="187" spans="2:7" x14ac:dyDescent="0.3">
      <c r="B187" s="11" t="s">
        <v>337</v>
      </c>
      <c r="C187" s="3" t="s">
        <v>277</v>
      </c>
      <c r="D187" s="3" t="s">
        <v>8</v>
      </c>
      <c r="E187" s="3"/>
      <c r="F187" s="3" t="s">
        <v>9</v>
      </c>
      <c r="G187" s="4">
        <v>514.74</v>
      </c>
    </row>
    <row r="188" spans="2:7" x14ac:dyDescent="0.3">
      <c r="B188" s="11">
        <v>1882</v>
      </c>
      <c r="C188" s="3" t="s">
        <v>278</v>
      </c>
      <c r="D188" s="3" t="s">
        <v>8</v>
      </c>
      <c r="E188" s="3"/>
      <c r="F188" s="3" t="s">
        <v>9</v>
      </c>
      <c r="G188" s="4">
        <v>505.95</v>
      </c>
    </row>
    <row r="189" spans="2:7" x14ac:dyDescent="0.3">
      <c r="B189" s="11">
        <v>6929</v>
      </c>
      <c r="C189" s="3" t="s">
        <v>279</v>
      </c>
      <c r="D189" s="3" t="s">
        <v>8</v>
      </c>
      <c r="E189" s="3"/>
      <c r="F189" s="3" t="s">
        <v>9</v>
      </c>
      <c r="G189" s="4">
        <v>504.46</v>
      </c>
    </row>
    <row r="190" spans="2:7" x14ac:dyDescent="0.3">
      <c r="B190" s="11">
        <v>8715</v>
      </c>
      <c r="C190" s="3" t="s">
        <v>280</v>
      </c>
      <c r="D190" s="3" t="s">
        <v>8</v>
      </c>
      <c r="E190" s="3"/>
      <c r="F190" s="3" t="s">
        <v>9</v>
      </c>
      <c r="G190" s="4">
        <v>503.78</v>
      </c>
    </row>
  </sheetData>
  <autoFilter ref="B3:G190" xr:uid="{00000000-0009-0000-0000-000000000000}">
    <sortState xmlns:xlrd2="http://schemas.microsoft.com/office/spreadsheetml/2017/richdata2" ref="B4:G190">
      <sortCondition descending="1" ref="G3:G190"/>
    </sortState>
  </autoFilter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1:AA127"/>
  <sheetViews>
    <sheetView workbookViewId="0">
      <selection activeCell="E1" sqref="E1:E1048576"/>
    </sheetView>
  </sheetViews>
  <sheetFormatPr defaultRowHeight="16.5" x14ac:dyDescent="0.3"/>
  <cols>
    <col min="1" max="1" width="3" customWidth="1"/>
    <col min="2" max="2" width="12" style="45" customWidth="1"/>
    <col min="3" max="3" width="14" customWidth="1"/>
    <col min="4" max="4" width="39.25" bestFit="1" customWidth="1"/>
    <col min="5" max="5" width="12" hidden="1" customWidth="1"/>
    <col min="6" max="6" width="15.25" customWidth="1"/>
    <col min="7" max="11" width="9" style="58" hidden="1" customWidth="1"/>
    <col min="12" max="23" width="9" style="58" customWidth="1"/>
    <col min="24" max="27" width="10" customWidth="1"/>
  </cols>
  <sheetData>
    <row r="1" spans="2:27" x14ac:dyDescent="0.3"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</row>
    <row r="2" spans="2:27" x14ac:dyDescent="0.3">
      <c r="B2" s="49" t="s">
        <v>1</v>
      </c>
      <c r="C2" s="49" t="s">
        <v>281</v>
      </c>
      <c r="D2" s="49" t="s">
        <v>282</v>
      </c>
      <c r="E2" s="49" t="s">
        <v>283</v>
      </c>
      <c r="F2" s="49" t="s">
        <v>284</v>
      </c>
      <c r="G2" s="49" t="s">
        <v>285</v>
      </c>
      <c r="H2" s="49" t="s">
        <v>286</v>
      </c>
      <c r="I2" s="49" t="s">
        <v>287</v>
      </c>
      <c r="J2" s="49" t="s">
        <v>288</v>
      </c>
      <c r="K2" s="49" t="s">
        <v>289</v>
      </c>
      <c r="L2" s="49" t="s">
        <v>290</v>
      </c>
      <c r="M2" s="49" t="s">
        <v>291</v>
      </c>
      <c r="N2" s="49" t="s">
        <v>292</v>
      </c>
      <c r="O2" s="49" t="s">
        <v>293</v>
      </c>
      <c r="P2" s="49" t="s">
        <v>294</v>
      </c>
      <c r="Q2" s="49" t="s">
        <v>295</v>
      </c>
      <c r="R2" s="49" t="s">
        <v>296</v>
      </c>
      <c r="S2" s="49" t="s">
        <v>297</v>
      </c>
      <c r="T2" s="49" t="s">
        <v>298</v>
      </c>
      <c r="U2" s="49" t="s">
        <v>299</v>
      </c>
      <c r="V2" s="49" t="s">
        <v>300</v>
      </c>
      <c r="W2" s="49" t="s">
        <v>301</v>
      </c>
      <c r="X2" s="49" t="s">
        <v>298</v>
      </c>
      <c r="Y2" s="49" t="s">
        <v>299</v>
      </c>
      <c r="Z2" s="49" t="s">
        <v>300</v>
      </c>
      <c r="AA2" s="49" t="s">
        <v>301</v>
      </c>
    </row>
    <row r="3" spans="2:27" x14ac:dyDescent="0.3">
      <c r="B3" s="11" t="s">
        <v>36</v>
      </c>
      <c r="C3" s="3" t="s">
        <v>302</v>
      </c>
      <c r="D3" s="3" t="s">
        <v>303</v>
      </c>
      <c r="E3" s="3" t="s">
        <v>304</v>
      </c>
      <c r="F3" s="12">
        <v>25.7</v>
      </c>
      <c r="G3" s="50">
        <v>1917</v>
      </c>
      <c r="H3" s="50">
        <v>1511</v>
      </c>
      <c r="I3" s="50">
        <v>981.5</v>
      </c>
      <c r="J3" s="50">
        <v>1008</v>
      </c>
      <c r="K3" s="50">
        <v>616.5</v>
      </c>
      <c r="L3" s="50">
        <v>735.6</v>
      </c>
      <c r="M3" s="50">
        <v>329.3</v>
      </c>
      <c r="N3" s="50">
        <v>582.70000000000005</v>
      </c>
      <c r="O3" s="50">
        <v>773.4</v>
      </c>
      <c r="P3" s="50">
        <v>533</v>
      </c>
      <c r="Q3" s="51">
        <v>887.2</v>
      </c>
      <c r="R3" s="51">
        <v>2443</v>
      </c>
      <c r="S3" s="50">
        <v>876.8</v>
      </c>
      <c r="T3" s="50">
        <v>831.8</v>
      </c>
      <c r="U3" s="50">
        <v>1374</v>
      </c>
      <c r="V3" s="50">
        <v>125.6</v>
      </c>
      <c r="W3" s="51">
        <v>1700</v>
      </c>
      <c r="X3" s="7">
        <v>6.3037974683544329E-2</v>
      </c>
      <c r="Y3" s="8">
        <v>9.6610304040644523E-2</v>
      </c>
      <c r="Z3" s="8">
        <v>-0.41939336904589553</v>
      </c>
      <c r="AA3" s="9">
        <v>0.25659248176547611</v>
      </c>
    </row>
    <row r="4" spans="2:27" x14ac:dyDescent="0.3">
      <c r="B4" s="11" t="s">
        <v>100</v>
      </c>
      <c r="C4" s="3" t="s">
        <v>302</v>
      </c>
      <c r="D4" s="3" t="s">
        <v>305</v>
      </c>
      <c r="E4" s="3" t="s">
        <v>304</v>
      </c>
      <c r="F4" s="12">
        <v>15.9</v>
      </c>
      <c r="G4" s="50">
        <v>261</v>
      </c>
      <c r="H4" s="50">
        <v>260.39999999999998</v>
      </c>
      <c r="I4" s="50">
        <v>76.7</v>
      </c>
      <c r="J4" s="50">
        <v>383.2</v>
      </c>
      <c r="K4" s="51">
        <v>437.6</v>
      </c>
      <c r="L4" s="51">
        <v>531.9</v>
      </c>
      <c r="M4" s="51">
        <v>378.4</v>
      </c>
      <c r="N4" s="50">
        <v>519.6</v>
      </c>
      <c r="O4" s="51">
        <v>736.8</v>
      </c>
      <c r="P4" s="50">
        <v>647.29999999999995</v>
      </c>
      <c r="Q4" s="50">
        <v>395.4</v>
      </c>
      <c r="R4" s="51">
        <v>953.6</v>
      </c>
      <c r="S4" s="50">
        <v>358</v>
      </c>
      <c r="T4" s="50">
        <v>577.79999999999995</v>
      </c>
      <c r="U4" s="51">
        <v>689.2</v>
      </c>
      <c r="V4" s="50">
        <v>864.2</v>
      </c>
      <c r="W4" s="51">
        <v>754.5</v>
      </c>
      <c r="X4" s="7">
        <v>-2.952045193900521E-2</v>
      </c>
      <c r="Y4" s="9">
        <v>0.1285889355742296</v>
      </c>
      <c r="Z4" s="8">
        <v>-3.466997595594512E-2</v>
      </c>
      <c r="AA4" s="9">
        <v>0.15928812469869841</v>
      </c>
    </row>
    <row r="5" spans="2:27" x14ac:dyDescent="0.3">
      <c r="B5" s="11" t="s">
        <v>55</v>
      </c>
      <c r="C5" s="3" t="s">
        <v>302</v>
      </c>
      <c r="D5" s="3" t="s">
        <v>306</v>
      </c>
      <c r="E5" s="3" t="s">
        <v>304</v>
      </c>
      <c r="F5" s="12">
        <v>11.7</v>
      </c>
      <c r="G5" s="50">
        <v>153.74</v>
      </c>
      <c r="H5" s="50">
        <v>133.82</v>
      </c>
      <c r="I5" s="50">
        <v>123.07</v>
      </c>
      <c r="J5" s="50">
        <v>122.61</v>
      </c>
      <c r="K5" s="50">
        <v>128.41999999999999</v>
      </c>
      <c r="L5" s="50">
        <v>126.52</v>
      </c>
      <c r="M5" s="50">
        <v>126.43</v>
      </c>
      <c r="N5" s="50">
        <v>106.15</v>
      </c>
      <c r="O5" s="50">
        <v>116.12</v>
      </c>
      <c r="P5" s="50">
        <v>106.67</v>
      </c>
      <c r="Q5" s="50">
        <v>126</v>
      </c>
      <c r="R5" s="50">
        <v>87.61</v>
      </c>
      <c r="S5" s="50">
        <v>123.29</v>
      </c>
      <c r="T5" s="50">
        <v>128.38</v>
      </c>
      <c r="U5" s="50">
        <v>71.53</v>
      </c>
      <c r="V5" s="51">
        <v>139.46</v>
      </c>
      <c r="W5" s="51">
        <v>177.37</v>
      </c>
      <c r="X5" s="7">
        <v>4.894379692044093E-2</v>
      </c>
      <c r="Y5" s="8">
        <v>-0.11706929160935339</v>
      </c>
      <c r="Z5" s="9">
        <v>0.1262140648961807</v>
      </c>
      <c r="AA5" s="9">
        <v>0.1168892923529157</v>
      </c>
    </row>
    <row r="6" spans="2:27" x14ac:dyDescent="0.3">
      <c r="B6" s="11" t="s">
        <v>89</v>
      </c>
      <c r="C6" s="3" t="s">
        <v>302</v>
      </c>
      <c r="D6" s="3" t="s">
        <v>307</v>
      </c>
      <c r="E6" s="3" t="s">
        <v>304</v>
      </c>
      <c r="F6" s="12">
        <v>10.6</v>
      </c>
      <c r="G6" s="50">
        <v>648.24</v>
      </c>
      <c r="H6" s="50">
        <v>350.65</v>
      </c>
      <c r="I6" s="50">
        <v>352.19</v>
      </c>
      <c r="J6" s="50">
        <v>331.75</v>
      </c>
      <c r="K6" s="50">
        <v>391.05</v>
      </c>
      <c r="L6" s="50">
        <v>297.91000000000003</v>
      </c>
      <c r="M6" s="50">
        <v>288.73</v>
      </c>
      <c r="N6" s="50">
        <v>289.49</v>
      </c>
      <c r="O6" s="50">
        <v>471.85</v>
      </c>
      <c r="P6" s="50">
        <v>343.06</v>
      </c>
      <c r="Q6" s="50">
        <v>339.18</v>
      </c>
      <c r="R6" s="50">
        <v>359.57</v>
      </c>
      <c r="S6" s="50">
        <v>484.11</v>
      </c>
      <c r="T6" s="50">
        <v>357.27</v>
      </c>
      <c r="U6" s="50">
        <v>396.78</v>
      </c>
      <c r="V6" s="50">
        <v>479.28</v>
      </c>
      <c r="W6" s="51">
        <v>666.05</v>
      </c>
      <c r="X6" s="7">
        <v>9.3124148054943845E-3</v>
      </c>
      <c r="Y6" s="8">
        <v>3.7399440306987053E-2</v>
      </c>
      <c r="Z6" s="8">
        <v>7.4925049914566388E-2</v>
      </c>
      <c r="AA6" s="9">
        <v>0.10593674305943709</v>
      </c>
    </row>
    <row r="7" spans="2:27" x14ac:dyDescent="0.3">
      <c r="B7" s="11" t="s">
        <v>50</v>
      </c>
      <c r="C7" s="3" t="s">
        <v>302</v>
      </c>
      <c r="D7" s="3" t="s">
        <v>308</v>
      </c>
      <c r="E7" s="3" t="s">
        <v>304</v>
      </c>
      <c r="F7" s="5">
        <v>8.8000000000000007</v>
      </c>
      <c r="G7" s="50">
        <v>669</v>
      </c>
      <c r="H7" s="50">
        <v>694.7</v>
      </c>
      <c r="I7" s="50">
        <v>727.5</v>
      </c>
      <c r="J7" s="50">
        <v>745.2</v>
      </c>
      <c r="K7" s="50">
        <v>741.6</v>
      </c>
      <c r="L7" s="50">
        <v>740.6</v>
      </c>
      <c r="M7" s="50">
        <v>0</v>
      </c>
      <c r="N7" s="50">
        <v>715</v>
      </c>
      <c r="O7" s="50">
        <v>690.5</v>
      </c>
      <c r="P7" s="50">
        <v>732.1</v>
      </c>
      <c r="Q7" s="51">
        <v>739.8</v>
      </c>
      <c r="R7" s="50">
        <v>782</v>
      </c>
      <c r="S7" s="50">
        <v>752.2</v>
      </c>
      <c r="T7" s="50">
        <v>809.3</v>
      </c>
      <c r="U7" s="50">
        <v>963.1</v>
      </c>
      <c r="V7" s="50">
        <v>1054</v>
      </c>
      <c r="W7" s="50">
        <v>1067</v>
      </c>
      <c r="X7" s="7">
        <v>2.5681115066032541E-2</v>
      </c>
      <c r="Y7" s="8">
        <v>7.2422404566535814E-2</v>
      </c>
      <c r="Z7" s="8">
        <v>8.2259722978285765E-2</v>
      </c>
      <c r="AA7" s="8">
        <v>8.7967361538031641E-2</v>
      </c>
    </row>
    <row r="8" spans="2:27" x14ac:dyDescent="0.3">
      <c r="B8" s="11" t="s">
        <v>21</v>
      </c>
      <c r="C8" s="3" t="s">
        <v>302</v>
      </c>
      <c r="D8" s="3" t="s">
        <v>309</v>
      </c>
      <c r="E8" s="3" t="s">
        <v>310</v>
      </c>
      <c r="F8" s="5">
        <v>7.8</v>
      </c>
      <c r="G8" s="50">
        <v>431.57</v>
      </c>
      <c r="H8" s="50">
        <v>358.07</v>
      </c>
      <c r="I8" s="50">
        <v>443.15</v>
      </c>
      <c r="J8" s="50">
        <v>498.08</v>
      </c>
      <c r="K8" s="50">
        <v>493.57</v>
      </c>
      <c r="L8" s="50">
        <v>457.77</v>
      </c>
      <c r="M8" s="50">
        <v>491.09</v>
      </c>
      <c r="N8" s="50">
        <v>463.08</v>
      </c>
      <c r="O8" s="50">
        <v>464.95</v>
      </c>
      <c r="P8" s="50">
        <v>493</v>
      </c>
      <c r="Q8" s="50">
        <v>507.46</v>
      </c>
      <c r="R8" s="50">
        <v>550.34</v>
      </c>
      <c r="S8" s="50">
        <v>599.88</v>
      </c>
      <c r="T8" s="50">
        <v>664.17</v>
      </c>
      <c r="U8" s="51">
        <v>759.15</v>
      </c>
      <c r="V8" s="50">
        <v>733.77</v>
      </c>
      <c r="W8" s="50">
        <v>814.87</v>
      </c>
      <c r="X8" s="7">
        <v>7.9588781222683203E-2</v>
      </c>
      <c r="Y8" s="9">
        <v>0.1084006288089239</v>
      </c>
      <c r="Z8" s="8">
        <v>7.1275363895645594E-2</v>
      </c>
      <c r="AA8" s="8">
        <v>7.7980536603590167E-2</v>
      </c>
    </row>
    <row r="9" spans="2:27" x14ac:dyDescent="0.3">
      <c r="B9" s="11" t="s">
        <v>38</v>
      </c>
      <c r="C9" s="3" t="s">
        <v>302</v>
      </c>
      <c r="D9" s="3" t="s">
        <v>311</v>
      </c>
      <c r="E9" s="3" t="s">
        <v>304</v>
      </c>
      <c r="F9" s="5">
        <v>5.0999999999999996</v>
      </c>
      <c r="G9" s="50">
        <v>30534</v>
      </c>
      <c r="H9" s="50">
        <v>34284</v>
      </c>
      <c r="I9" s="50">
        <v>34010</v>
      </c>
      <c r="J9" s="50">
        <v>33928</v>
      </c>
      <c r="K9" s="50">
        <v>33777</v>
      </c>
      <c r="L9" s="50">
        <v>35226</v>
      </c>
      <c r="M9" s="50">
        <v>35180</v>
      </c>
      <c r="N9" s="50">
        <v>35181</v>
      </c>
      <c r="O9" s="50">
        <v>35806</v>
      </c>
      <c r="P9" s="50">
        <v>36782</v>
      </c>
      <c r="Q9" s="50">
        <v>36433</v>
      </c>
      <c r="R9" s="50">
        <v>37331</v>
      </c>
      <c r="S9" s="50">
        <v>36620</v>
      </c>
      <c r="T9" s="50">
        <v>43252</v>
      </c>
      <c r="U9" s="50">
        <v>42457</v>
      </c>
      <c r="V9" s="50">
        <v>45348</v>
      </c>
      <c r="W9" s="50">
        <v>45096</v>
      </c>
      <c r="X9" s="7">
        <v>4.3963959066632308E-2</v>
      </c>
      <c r="Y9" s="8">
        <v>3.9209560259314317E-2</v>
      </c>
      <c r="Z9" s="8">
        <v>5.021295252411373E-2</v>
      </c>
      <c r="AA9" s="8">
        <v>5.0549568515658061E-2</v>
      </c>
    </row>
    <row r="10" spans="2:27" x14ac:dyDescent="0.3">
      <c r="B10" s="11" t="s">
        <v>42</v>
      </c>
      <c r="C10" s="3" t="s">
        <v>302</v>
      </c>
      <c r="D10" s="3" t="s">
        <v>312</v>
      </c>
      <c r="E10" s="3" t="s">
        <v>313</v>
      </c>
      <c r="F10" s="5">
        <v>4.8</v>
      </c>
      <c r="G10" s="50">
        <v>3818</v>
      </c>
      <c r="H10" s="50">
        <v>4007</v>
      </c>
      <c r="I10" s="50">
        <v>4097</v>
      </c>
      <c r="J10" s="50">
        <v>4359</v>
      </c>
      <c r="K10" s="50">
        <v>3841</v>
      </c>
      <c r="L10" s="50">
        <v>4160</v>
      </c>
      <c r="M10" s="50">
        <v>3998</v>
      </c>
      <c r="N10" s="50">
        <v>4035</v>
      </c>
      <c r="O10" s="50">
        <v>3831</v>
      </c>
      <c r="P10" s="50">
        <v>3967</v>
      </c>
      <c r="Q10" s="50">
        <v>3979</v>
      </c>
      <c r="R10" s="50">
        <v>4068</v>
      </c>
      <c r="S10" s="50">
        <v>3836</v>
      </c>
      <c r="T10" s="50">
        <v>4143</v>
      </c>
      <c r="U10" s="50">
        <v>4534</v>
      </c>
      <c r="V10" s="50">
        <v>4749</v>
      </c>
      <c r="W10" s="50">
        <v>4669</v>
      </c>
      <c r="X10" s="7">
        <v>1.1104100946372149E-2</v>
      </c>
      <c r="Y10" s="8">
        <v>3.4631224260576632E-2</v>
      </c>
      <c r="Z10" s="8">
        <v>4.1071105482178398E-2</v>
      </c>
      <c r="AA10" s="8">
        <v>4.8256285482562777E-2</v>
      </c>
    </row>
    <row r="11" spans="2:27" x14ac:dyDescent="0.3">
      <c r="B11" s="11" t="s">
        <v>245</v>
      </c>
      <c r="C11" s="3" t="s">
        <v>302</v>
      </c>
      <c r="D11" s="3" t="s">
        <v>314</v>
      </c>
      <c r="E11" s="3" t="s">
        <v>315</v>
      </c>
      <c r="F11" s="5">
        <v>4.2</v>
      </c>
      <c r="G11" s="50">
        <v>28.77</v>
      </c>
      <c r="H11" s="50">
        <v>39.74</v>
      </c>
      <c r="I11" s="50">
        <v>36.08</v>
      </c>
      <c r="J11" s="50">
        <v>38.14</v>
      </c>
      <c r="K11" s="50">
        <v>39.869999999999997</v>
      </c>
      <c r="L11" s="50">
        <v>43.03</v>
      </c>
      <c r="M11" s="50">
        <v>47.57</v>
      </c>
      <c r="N11" s="50">
        <v>45.08</v>
      </c>
      <c r="O11" s="50">
        <v>43.82</v>
      </c>
      <c r="P11" s="50">
        <v>49.07</v>
      </c>
      <c r="Q11" s="50">
        <v>49.95</v>
      </c>
      <c r="R11" s="50">
        <v>53.56</v>
      </c>
      <c r="S11" s="50">
        <v>47.04</v>
      </c>
      <c r="T11" s="50">
        <v>59.35</v>
      </c>
      <c r="U11" s="50">
        <v>55.49</v>
      </c>
      <c r="V11" s="50">
        <v>66.03</v>
      </c>
      <c r="W11" s="50">
        <v>56.7</v>
      </c>
      <c r="X11" s="7">
        <v>5.1497845907223727E-2</v>
      </c>
      <c r="Y11" s="8">
        <v>2.6393520724154351E-2</v>
      </c>
      <c r="Z11" s="8">
        <v>5.7881544745636893E-2</v>
      </c>
      <c r="AA11" s="8">
        <v>4.2385152033697533E-2</v>
      </c>
    </row>
    <row r="12" spans="2:27" x14ac:dyDescent="0.3">
      <c r="B12" s="11" t="s">
        <v>123</v>
      </c>
      <c r="C12" s="3" t="s">
        <v>302</v>
      </c>
      <c r="D12" s="3" t="s">
        <v>303</v>
      </c>
      <c r="E12" s="3" t="s">
        <v>304</v>
      </c>
      <c r="F12" s="5">
        <v>3.3</v>
      </c>
      <c r="G12" s="50">
        <v>315.04000000000002</v>
      </c>
      <c r="H12" s="50">
        <v>281.60000000000002</v>
      </c>
      <c r="I12" s="50">
        <v>251.39</v>
      </c>
      <c r="J12" s="50">
        <v>234.31</v>
      </c>
      <c r="K12" s="50">
        <v>225.99</v>
      </c>
      <c r="L12" s="50">
        <v>234.51</v>
      </c>
      <c r="M12" s="50">
        <v>242.9</v>
      </c>
      <c r="N12" s="50">
        <v>248.72</v>
      </c>
      <c r="O12" s="50">
        <v>249</v>
      </c>
      <c r="P12" s="50">
        <v>264.35000000000002</v>
      </c>
      <c r="Q12" s="50">
        <v>270.82</v>
      </c>
      <c r="R12" s="50">
        <v>279.58</v>
      </c>
      <c r="S12" s="50">
        <v>297.05</v>
      </c>
      <c r="T12" s="50">
        <v>277.14999999999998</v>
      </c>
      <c r="U12" s="50">
        <v>282.75</v>
      </c>
      <c r="V12" s="50">
        <v>301.29000000000002</v>
      </c>
      <c r="W12" s="50">
        <v>335.5</v>
      </c>
      <c r="X12" s="7">
        <v>1.151286202554402E-2</v>
      </c>
      <c r="Y12" s="8">
        <v>1.0608216254668351E-2</v>
      </c>
      <c r="Z12" s="8">
        <v>1.9102003466692441E-2</v>
      </c>
      <c r="AA12" s="8">
        <v>3.3196919464014478E-2</v>
      </c>
    </row>
    <row r="13" spans="2:27" x14ac:dyDescent="0.3">
      <c r="B13" s="11" t="s">
        <v>190</v>
      </c>
      <c r="C13" s="3" t="s">
        <v>302</v>
      </c>
      <c r="D13" s="3" t="s">
        <v>316</v>
      </c>
      <c r="E13" s="3" t="s">
        <v>304</v>
      </c>
      <c r="F13" s="5">
        <v>2.8</v>
      </c>
      <c r="G13" s="50">
        <v>123.58</v>
      </c>
      <c r="H13" s="50">
        <v>124.17</v>
      </c>
      <c r="I13" s="50">
        <v>126.9</v>
      </c>
      <c r="J13" s="50">
        <v>121.72</v>
      </c>
      <c r="K13" s="50">
        <v>115.61</v>
      </c>
      <c r="L13" s="50">
        <v>125.86</v>
      </c>
      <c r="M13" s="50">
        <v>122.27</v>
      </c>
      <c r="N13" s="50">
        <v>130.71</v>
      </c>
      <c r="O13" s="50">
        <v>125.05</v>
      </c>
      <c r="P13" s="50">
        <v>127.89</v>
      </c>
      <c r="Q13" s="50">
        <v>125.63</v>
      </c>
      <c r="R13" s="50">
        <v>125.62</v>
      </c>
      <c r="S13" s="50">
        <v>121.75</v>
      </c>
      <c r="T13" s="50">
        <v>126.21</v>
      </c>
      <c r="U13" s="50">
        <v>135.06</v>
      </c>
      <c r="V13" s="50">
        <v>135.37</v>
      </c>
      <c r="W13" s="50">
        <v>136.49</v>
      </c>
      <c r="X13" s="7">
        <v>-3.3540298269081341E-3</v>
      </c>
      <c r="Y13" s="8">
        <v>1.8889845956611358E-2</v>
      </c>
      <c r="Z13" s="8">
        <v>1.9168763762189341E-2</v>
      </c>
      <c r="AA13" s="8">
        <v>2.8434190474353249E-2</v>
      </c>
    </row>
    <row r="14" spans="2:27" x14ac:dyDescent="0.3">
      <c r="B14" s="11" t="s">
        <v>26</v>
      </c>
      <c r="C14" s="3" t="s">
        <v>302</v>
      </c>
      <c r="D14" s="3" t="s">
        <v>328</v>
      </c>
      <c r="E14" s="3" t="s">
        <v>304</v>
      </c>
      <c r="F14" s="5">
        <v>2.1</v>
      </c>
      <c r="G14" s="50">
        <v>866.4</v>
      </c>
      <c r="H14" s="50">
        <v>974.5</v>
      </c>
      <c r="I14" s="50">
        <v>985.8</v>
      </c>
      <c r="J14" s="50">
        <v>993.5</v>
      </c>
      <c r="K14" s="50">
        <v>1005</v>
      </c>
      <c r="L14" s="50">
        <v>988.2</v>
      </c>
      <c r="M14" s="50">
        <v>907.8</v>
      </c>
      <c r="N14" s="50">
        <v>908.8</v>
      </c>
      <c r="O14" s="50">
        <v>968.7</v>
      </c>
      <c r="P14" s="50">
        <v>957.2</v>
      </c>
      <c r="Q14" s="50">
        <v>974</v>
      </c>
      <c r="R14" s="50">
        <v>1056</v>
      </c>
      <c r="S14" s="50">
        <v>1108</v>
      </c>
      <c r="T14" s="50">
        <v>1195</v>
      </c>
      <c r="U14" s="50">
        <v>1174</v>
      </c>
      <c r="V14" s="50">
        <v>1142</v>
      </c>
      <c r="W14" s="50">
        <v>1204</v>
      </c>
      <c r="X14" s="7">
        <v>5.8067982027739877E-2</v>
      </c>
      <c r="Y14" s="8">
        <v>4.6157396722824817E-2</v>
      </c>
      <c r="Z14" s="8">
        <v>1.8971983234061351E-2</v>
      </c>
      <c r="AA14" s="8">
        <v>2.0783719419787738E-2</v>
      </c>
    </row>
    <row r="15" spans="2:27" x14ac:dyDescent="0.3">
      <c r="B15" s="11" t="s">
        <v>34</v>
      </c>
      <c r="C15" s="3" t="s">
        <v>302</v>
      </c>
      <c r="D15" s="3" t="s">
        <v>317</v>
      </c>
      <c r="E15" s="3" t="s">
        <v>304</v>
      </c>
      <c r="F15" s="5">
        <v>2.1</v>
      </c>
      <c r="G15" s="50">
        <v>1442</v>
      </c>
      <c r="H15" s="50">
        <v>1790</v>
      </c>
      <c r="I15" s="50">
        <v>1631</v>
      </c>
      <c r="J15" s="50">
        <v>1695</v>
      </c>
      <c r="K15" s="50">
        <v>1799</v>
      </c>
      <c r="L15" s="50">
        <v>1866</v>
      </c>
      <c r="M15" s="50">
        <v>1924</v>
      </c>
      <c r="N15" s="50">
        <v>1892</v>
      </c>
      <c r="O15" s="50">
        <v>1899</v>
      </c>
      <c r="P15" s="50">
        <v>2018</v>
      </c>
      <c r="Q15" s="50">
        <v>1958</v>
      </c>
      <c r="R15" s="50">
        <v>1948</v>
      </c>
      <c r="S15" s="50">
        <v>2072</v>
      </c>
      <c r="T15" s="50">
        <v>2077</v>
      </c>
      <c r="U15" s="50">
        <v>1887</v>
      </c>
      <c r="V15" s="50">
        <v>2309</v>
      </c>
      <c r="W15" s="50">
        <v>2244</v>
      </c>
      <c r="X15" s="7">
        <v>7.3786893446723401E-3</v>
      </c>
      <c r="Y15" s="8">
        <v>-8.8144009931719891E-3</v>
      </c>
      <c r="Z15" s="8">
        <v>4.5215430861723423E-2</v>
      </c>
      <c r="AA15" s="8">
        <v>2.0611144397842951E-2</v>
      </c>
    </row>
    <row r="16" spans="2:27" x14ac:dyDescent="0.3">
      <c r="B16" s="11" t="s">
        <v>10</v>
      </c>
      <c r="C16" s="3" t="s">
        <v>302</v>
      </c>
      <c r="D16" s="3" t="s">
        <v>318</v>
      </c>
      <c r="E16" s="3" t="s">
        <v>304</v>
      </c>
      <c r="F16" s="5">
        <v>1.6</v>
      </c>
      <c r="G16" s="50">
        <v>8104</v>
      </c>
      <c r="H16" s="50">
        <v>7746</v>
      </c>
      <c r="I16" s="50">
        <v>7832</v>
      </c>
      <c r="J16" s="50">
        <v>8032</v>
      </c>
      <c r="K16" s="50">
        <v>8152</v>
      </c>
      <c r="L16" s="50">
        <v>8019</v>
      </c>
      <c r="M16" s="50">
        <v>8967</v>
      </c>
      <c r="N16" s="50">
        <v>9141</v>
      </c>
      <c r="O16" s="50">
        <v>9047</v>
      </c>
      <c r="P16" s="50">
        <v>8793</v>
      </c>
      <c r="Q16" s="50">
        <v>9468</v>
      </c>
      <c r="R16" s="50">
        <v>9911</v>
      </c>
      <c r="S16" s="50">
        <v>9706</v>
      </c>
      <c r="T16" s="50">
        <v>9301</v>
      </c>
      <c r="U16" s="50">
        <v>10140</v>
      </c>
      <c r="V16" s="50">
        <v>10845</v>
      </c>
      <c r="W16" s="50">
        <v>10362</v>
      </c>
      <c r="X16" s="7">
        <v>1.341147895876227E-2</v>
      </c>
      <c r="Y16" s="8">
        <v>1.750638253529924E-2</v>
      </c>
      <c r="Z16" s="8">
        <v>2.391315479543232E-2</v>
      </c>
      <c r="AA16" s="8">
        <v>1.6403280656131169E-2</v>
      </c>
    </row>
    <row r="17" spans="2:27" x14ac:dyDescent="0.3">
      <c r="B17" s="11" t="s">
        <v>86</v>
      </c>
      <c r="C17" s="3" t="s">
        <v>302</v>
      </c>
      <c r="D17" s="3" t="s">
        <v>307</v>
      </c>
      <c r="E17" s="3" t="s">
        <v>304</v>
      </c>
      <c r="F17" s="5">
        <v>0.8</v>
      </c>
      <c r="G17" s="50">
        <v>165.06</v>
      </c>
      <c r="H17" s="50">
        <v>186.06</v>
      </c>
      <c r="I17" s="50">
        <v>182.23</v>
      </c>
      <c r="J17" s="50">
        <v>172.11</v>
      </c>
      <c r="K17" s="50">
        <v>177.9</v>
      </c>
      <c r="L17" s="50">
        <v>203.17</v>
      </c>
      <c r="M17" s="50">
        <v>179.85</v>
      </c>
      <c r="N17" s="50">
        <v>172.28</v>
      </c>
      <c r="O17" s="50">
        <v>197.25</v>
      </c>
      <c r="P17" s="50">
        <v>210.32</v>
      </c>
      <c r="Q17" s="50">
        <v>197.66</v>
      </c>
      <c r="R17" s="50">
        <v>206.72</v>
      </c>
      <c r="S17" s="50">
        <v>202.4</v>
      </c>
      <c r="T17" s="50">
        <v>208.58</v>
      </c>
      <c r="U17" s="50">
        <v>219.46</v>
      </c>
      <c r="V17" s="50">
        <v>208.82</v>
      </c>
      <c r="W17" s="50">
        <v>209.41</v>
      </c>
      <c r="X17" s="7">
        <v>-2.1294823155060261E-3</v>
      </c>
      <c r="Y17" s="8">
        <v>2.67366562009419E-2</v>
      </c>
      <c r="Z17" s="8">
        <v>2.508481054995348E-3</v>
      </c>
      <c r="AA17" s="8">
        <v>8.3525963348665133E-3</v>
      </c>
    </row>
    <row r="18" spans="2:27" x14ac:dyDescent="0.3">
      <c r="B18" s="11" t="s">
        <v>183</v>
      </c>
      <c r="C18" s="3" t="s">
        <v>302</v>
      </c>
      <c r="D18" s="3" t="s">
        <v>314</v>
      </c>
      <c r="E18" s="3" t="s">
        <v>304</v>
      </c>
      <c r="F18" s="5">
        <v>0.6</v>
      </c>
      <c r="G18" s="50">
        <v>94.16</v>
      </c>
      <c r="H18" s="50">
        <v>102.17</v>
      </c>
      <c r="I18" s="50">
        <v>119.07</v>
      </c>
      <c r="J18" s="50">
        <v>153.79</v>
      </c>
      <c r="K18" s="51">
        <v>146</v>
      </c>
      <c r="L18" s="51">
        <v>160.47</v>
      </c>
      <c r="M18" s="50">
        <v>171.02</v>
      </c>
      <c r="N18" s="50">
        <v>167.46</v>
      </c>
      <c r="O18" s="50">
        <v>160.57</v>
      </c>
      <c r="P18" s="50">
        <v>159.27000000000001</v>
      </c>
      <c r="Q18" s="50">
        <v>169.51</v>
      </c>
      <c r="R18" s="50">
        <v>168.18</v>
      </c>
      <c r="S18" s="50">
        <v>162.69999999999999</v>
      </c>
      <c r="T18" s="50">
        <v>163.95</v>
      </c>
      <c r="U18" s="50">
        <v>179.05</v>
      </c>
      <c r="V18" s="50">
        <v>172.83</v>
      </c>
      <c r="W18" s="50">
        <v>166.57</v>
      </c>
      <c r="X18" s="7">
        <v>7.0945638662340826E-3</v>
      </c>
      <c r="Y18" s="8">
        <v>1.4360116807658811E-2</v>
      </c>
      <c r="Z18" s="8">
        <v>6.9003383391701423E-3</v>
      </c>
      <c r="AA18" s="8">
        <v>5.7035061087939987E-3</v>
      </c>
    </row>
    <row r="19" spans="2:27" x14ac:dyDescent="0.3">
      <c r="B19" s="11" t="s">
        <v>147</v>
      </c>
      <c r="C19" s="3" t="s">
        <v>302</v>
      </c>
      <c r="D19" s="3" t="s">
        <v>319</v>
      </c>
      <c r="E19" s="3" t="s">
        <v>304</v>
      </c>
      <c r="F19" s="5">
        <v>-0.7</v>
      </c>
      <c r="G19" s="50">
        <v>2805</v>
      </c>
      <c r="H19" s="50">
        <v>2388</v>
      </c>
      <c r="I19" s="50">
        <v>2534</v>
      </c>
      <c r="J19" s="50">
        <v>2252</v>
      </c>
      <c r="K19" s="50">
        <v>2285</v>
      </c>
      <c r="L19" s="50">
        <v>1805</v>
      </c>
      <c r="M19" s="50">
        <v>2204</v>
      </c>
      <c r="N19" s="50">
        <v>2048</v>
      </c>
      <c r="O19" s="50">
        <v>2076</v>
      </c>
      <c r="P19" s="50">
        <v>1653</v>
      </c>
      <c r="Q19" s="50">
        <v>2033</v>
      </c>
      <c r="R19" s="50">
        <v>1947</v>
      </c>
      <c r="S19" s="50">
        <v>1949</v>
      </c>
      <c r="T19" s="50">
        <v>1566</v>
      </c>
      <c r="U19" s="50">
        <v>1935</v>
      </c>
      <c r="V19" s="50">
        <v>1806</v>
      </c>
      <c r="W19" s="50">
        <v>1897</v>
      </c>
      <c r="X19" s="7">
        <v>-1.14745449749406E-2</v>
      </c>
      <c r="Y19" s="8">
        <v>-1.3075383589059349E-2</v>
      </c>
      <c r="Z19" s="8">
        <v>-1.9061781803433871E-2</v>
      </c>
      <c r="AA19" s="8">
        <v>-7.1664829106945493E-3</v>
      </c>
    </row>
    <row r="20" spans="2:27" x14ac:dyDescent="0.3">
      <c r="B20" s="11" t="s">
        <v>200</v>
      </c>
      <c r="C20" s="3" t="s">
        <v>302</v>
      </c>
      <c r="D20" s="3" t="s">
        <v>307</v>
      </c>
      <c r="E20" s="3" t="s">
        <v>304</v>
      </c>
      <c r="F20" s="5">
        <v>-0.9</v>
      </c>
      <c r="G20" s="50">
        <v>198.84</v>
      </c>
      <c r="H20" s="50">
        <v>151.88</v>
      </c>
      <c r="I20" s="50">
        <v>151.1</v>
      </c>
      <c r="J20" s="50">
        <v>145.38</v>
      </c>
      <c r="K20" s="50">
        <v>182.87</v>
      </c>
      <c r="L20" s="50">
        <v>131.43</v>
      </c>
      <c r="M20" s="50">
        <v>165.55</v>
      </c>
      <c r="N20" s="50">
        <v>139</v>
      </c>
      <c r="O20" s="50">
        <v>212.68</v>
      </c>
      <c r="P20" s="50">
        <v>102.13</v>
      </c>
      <c r="Q20" s="51">
        <v>272</v>
      </c>
      <c r="R20" s="51">
        <v>278.24</v>
      </c>
      <c r="S20" s="50">
        <v>225.67</v>
      </c>
      <c r="T20" s="51">
        <v>211.83</v>
      </c>
      <c r="U20" s="50">
        <v>155.27000000000001</v>
      </c>
      <c r="V20" s="50">
        <v>164.65</v>
      </c>
      <c r="W20" s="50">
        <v>219.16</v>
      </c>
      <c r="X20" s="10">
        <v>0.1249373604847159</v>
      </c>
      <c r="Y20" s="8">
        <v>-0.1181788729827687</v>
      </c>
      <c r="Z20" s="8">
        <v>-0.13041182075980751</v>
      </c>
      <c r="AA20" s="8">
        <v>-8.5949671252408821E-3</v>
      </c>
    </row>
    <row r="21" spans="2:27" x14ac:dyDescent="0.3">
      <c r="B21" s="11" t="s">
        <v>75</v>
      </c>
      <c r="C21" s="3" t="s">
        <v>302</v>
      </c>
      <c r="D21" s="3" t="s">
        <v>320</v>
      </c>
      <c r="E21" s="3" t="s">
        <v>304</v>
      </c>
      <c r="F21" s="5">
        <v>-1</v>
      </c>
      <c r="G21" s="50">
        <v>6582</v>
      </c>
      <c r="H21" s="50">
        <v>6753</v>
      </c>
      <c r="I21" s="50">
        <v>6869</v>
      </c>
      <c r="J21" s="50">
        <v>6666</v>
      </c>
      <c r="K21" s="50">
        <v>6697</v>
      </c>
      <c r="L21" s="50">
        <v>6399</v>
      </c>
      <c r="M21" s="50">
        <v>6890</v>
      </c>
      <c r="N21" s="50">
        <v>6893</v>
      </c>
      <c r="O21" s="50">
        <v>6767</v>
      </c>
      <c r="P21" s="50">
        <v>6486</v>
      </c>
      <c r="Q21" s="50">
        <v>6480</v>
      </c>
      <c r="R21" s="50">
        <v>6586</v>
      </c>
      <c r="S21" s="50">
        <v>7213</v>
      </c>
      <c r="T21" s="50">
        <v>6690</v>
      </c>
      <c r="U21" s="50">
        <v>6974</v>
      </c>
      <c r="V21" s="50">
        <v>7037</v>
      </c>
      <c r="W21" s="50">
        <v>6929</v>
      </c>
      <c r="X21" s="7">
        <v>7.6218942648982324E-3</v>
      </c>
      <c r="Y21" s="8">
        <v>1.8317327301716761E-2</v>
      </c>
      <c r="Z21" s="8">
        <v>1.642209518260929E-2</v>
      </c>
      <c r="AA21" s="8">
        <v>-1.0174106183277191E-2</v>
      </c>
    </row>
    <row r="22" spans="2:27" x14ac:dyDescent="0.3">
      <c r="B22" s="11" t="s">
        <v>149</v>
      </c>
      <c r="C22" s="3" t="s">
        <v>302</v>
      </c>
      <c r="D22" s="3" t="s">
        <v>321</v>
      </c>
      <c r="E22" s="3" t="s">
        <v>315</v>
      </c>
      <c r="F22" s="5">
        <v>-1.4</v>
      </c>
      <c r="G22" s="50">
        <v>1529</v>
      </c>
      <c r="H22" s="50">
        <v>1301</v>
      </c>
      <c r="I22" s="50">
        <v>1349</v>
      </c>
      <c r="J22" s="50">
        <v>1574</v>
      </c>
      <c r="K22" s="50">
        <v>1582</v>
      </c>
      <c r="L22" s="50">
        <v>1398</v>
      </c>
      <c r="M22" s="50">
        <v>1317</v>
      </c>
      <c r="N22" s="50">
        <v>1567</v>
      </c>
      <c r="O22" s="50">
        <v>1486</v>
      </c>
      <c r="P22" s="50">
        <v>1332</v>
      </c>
      <c r="Q22" s="50">
        <v>1184</v>
      </c>
      <c r="R22" s="50">
        <v>1399</v>
      </c>
      <c r="S22" s="50">
        <v>1401</v>
      </c>
      <c r="T22" s="50">
        <v>1181</v>
      </c>
      <c r="U22" s="50">
        <v>1134</v>
      </c>
      <c r="V22" s="50">
        <v>1333</v>
      </c>
      <c r="W22" s="50">
        <v>1328</v>
      </c>
      <c r="X22" s="7">
        <v>-2.8404815650865282E-2</v>
      </c>
      <c r="Y22" s="8">
        <v>-9.6805421103581812E-3</v>
      </c>
      <c r="Z22" s="8">
        <v>-1.2903225806451649E-2</v>
      </c>
      <c r="AA22" s="8">
        <v>-1.4458308575955651E-2</v>
      </c>
    </row>
    <row r="23" spans="2:27" x14ac:dyDescent="0.3">
      <c r="B23" s="11" t="s">
        <v>32</v>
      </c>
      <c r="C23" s="3" t="s">
        <v>302</v>
      </c>
      <c r="D23" s="3" t="s">
        <v>322</v>
      </c>
      <c r="E23" s="3" t="s">
        <v>304</v>
      </c>
      <c r="F23" s="5">
        <v>-1.7</v>
      </c>
      <c r="G23" s="50">
        <v>2734</v>
      </c>
      <c r="H23" s="50">
        <v>2532</v>
      </c>
      <c r="I23" s="50">
        <v>2589</v>
      </c>
      <c r="J23" s="50">
        <v>2509</v>
      </c>
      <c r="K23" s="50">
        <v>2544</v>
      </c>
      <c r="L23" s="50">
        <v>2463</v>
      </c>
      <c r="M23" s="50">
        <v>2456</v>
      </c>
      <c r="N23" s="50">
        <v>2530</v>
      </c>
      <c r="O23" s="50">
        <v>2386</v>
      </c>
      <c r="P23" s="50">
        <v>2291</v>
      </c>
      <c r="Q23" s="50">
        <v>2465</v>
      </c>
      <c r="R23" s="50">
        <v>2466</v>
      </c>
      <c r="S23" s="50">
        <v>2455</v>
      </c>
      <c r="T23" s="50">
        <v>2431</v>
      </c>
      <c r="U23" s="50">
        <v>2646</v>
      </c>
      <c r="V23" s="50">
        <v>2535</v>
      </c>
      <c r="W23" s="50">
        <v>2279</v>
      </c>
      <c r="X23" s="7">
        <v>1.446729358272192E-2</v>
      </c>
      <c r="Y23" s="8">
        <v>1.8437404502393839E-2</v>
      </c>
      <c r="Z23" s="8">
        <v>6.9013802760551357E-3</v>
      </c>
      <c r="AA23" s="8">
        <v>-1.7482864805801079E-2</v>
      </c>
    </row>
    <row r="24" spans="2:27" x14ac:dyDescent="0.3">
      <c r="B24" s="11" t="s">
        <v>67</v>
      </c>
      <c r="C24" s="3" t="s">
        <v>302</v>
      </c>
      <c r="D24" s="3" t="s">
        <v>330</v>
      </c>
      <c r="E24" s="3" t="s">
        <v>310</v>
      </c>
      <c r="F24" s="5">
        <v>-1.9</v>
      </c>
      <c r="G24" s="50">
        <v>299.27999999999997</v>
      </c>
      <c r="H24" s="50">
        <v>131.91999999999999</v>
      </c>
      <c r="I24" s="50">
        <v>68.430000000000007</v>
      </c>
      <c r="J24" s="50">
        <v>127.85</v>
      </c>
      <c r="K24" s="50">
        <v>134.69999999999999</v>
      </c>
      <c r="L24" s="50">
        <v>141.08000000000001</v>
      </c>
      <c r="M24" s="51">
        <v>130.97</v>
      </c>
      <c r="N24" s="51">
        <v>201.86</v>
      </c>
      <c r="O24" s="51">
        <v>299.89999999999998</v>
      </c>
      <c r="P24" s="51">
        <v>248.59</v>
      </c>
      <c r="Q24" s="51">
        <v>342.65</v>
      </c>
      <c r="R24" s="50">
        <v>301.19</v>
      </c>
      <c r="S24" s="51">
        <v>455</v>
      </c>
      <c r="T24" s="51">
        <v>520.11</v>
      </c>
      <c r="U24" s="50">
        <v>196.18</v>
      </c>
      <c r="V24" s="50">
        <v>432.91</v>
      </c>
      <c r="W24" s="50">
        <v>423.84</v>
      </c>
      <c r="X24" s="10">
        <v>0.20150954038428701</v>
      </c>
      <c r="Y24" s="8">
        <v>-9.0472219648537688E-2</v>
      </c>
      <c r="Z24" s="8">
        <v>8.9454525698141829E-2</v>
      </c>
      <c r="AA24" s="8">
        <v>-1.942401196858257E-2</v>
      </c>
    </row>
    <row r="25" spans="2:27" x14ac:dyDescent="0.3">
      <c r="B25" s="11" t="s">
        <v>205</v>
      </c>
      <c r="C25" s="3" t="s">
        <v>302</v>
      </c>
      <c r="D25" s="3" t="s">
        <v>303</v>
      </c>
      <c r="E25" s="3" t="s">
        <v>304</v>
      </c>
      <c r="F25" s="5">
        <v>-2.9</v>
      </c>
      <c r="G25" s="50">
        <v>266.26</v>
      </c>
      <c r="H25" s="50">
        <v>252.44</v>
      </c>
      <c r="I25" s="50">
        <v>225.31</v>
      </c>
      <c r="J25" s="50">
        <v>210.26</v>
      </c>
      <c r="K25" s="50">
        <v>198.37</v>
      </c>
      <c r="L25" s="50">
        <v>197.87</v>
      </c>
      <c r="M25" s="50">
        <v>213.54</v>
      </c>
      <c r="N25" s="50">
        <v>219.27</v>
      </c>
      <c r="O25" s="50">
        <v>214.59</v>
      </c>
      <c r="P25" s="50">
        <v>222.04</v>
      </c>
      <c r="Q25" s="50">
        <v>224.38</v>
      </c>
      <c r="R25" s="50">
        <v>227.03</v>
      </c>
      <c r="S25" s="50">
        <v>233.49</v>
      </c>
      <c r="T25" s="50">
        <v>217.93</v>
      </c>
      <c r="U25" s="50">
        <v>210.53</v>
      </c>
      <c r="V25" s="50">
        <v>216.39</v>
      </c>
      <c r="W25" s="50">
        <v>208.02</v>
      </c>
      <c r="X25" s="7">
        <v>-4.5317220543806824E-3</v>
      </c>
      <c r="Y25" s="8">
        <v>-1.534065106387694E-2</v>
      </c>
      <c r="Z25" s="8">
        <v>-1.1968773200746959E-2</v>
      </c>
      <c r="AA25" s="8">
        <v>-2.8997882369014349E-2</v>
      </c>
    </row>
    <row r="26" spans="2:27" x14ac:dyDescent="0.3">
      <c r="B26" s="11" t="s">
        <v>59</v>
      </c>
      <c r="C26" s="3" t="s">
        <v>302</v>
      </c>
      <c r="D26" s="3" t="s">
        <v>323</v>
      </c>
      <c r="E26" s="3" t="s">
        <v>304</v>
      </c>
      <c r="F26" s="5">
        <v>-3.2</v>
      </c>
      <c r="G26" s="50">
        <v>12989</v>
      </c>
      <c r="H26" s="50">
        <v>13694</v>
      </c>
      <c r="I26" s="50">
        <v>16360</v>
      </c>
      <c r="J26" s="50">
        <v>14336</v>
      </c>
      <c r="K26" s="50">
        <v>12952</v>
      </c>
      <c r="L26" s="50">
        <v>12341</v>
      </c>
      <c r="M26" s="50">
        <v>11602</v>
      </c>
      <c r="N26" s="50">
        <v>12071</v>
      </c>
      <c r="O26" s="50">
        <v>12698</v>
      </c>
      <c r="P26" s="50">
        <v>11639</v>
      </c>
      <c r="Q26" s="50">
        <v>0</v>
      </c>
      <c r="R26" s="50">
        <v>12456</v>
      </c>
      <c r="S26" s="50">
        <v>12035</v>
      </c>
      <c r="T26" s="50">
        <v>11477</v>
      </c>
      <c r="U26" s="51">
        <v>10642</v>
      </c>
      <c r="V26" s="50">
        <v>11578</v>
      </c>
      <c r="W26" s="50">
        <v>10564</v>
      </c>
      <c r="X26" s="7">
        <v>-4.4838084694159841E-3</v>
      </c>
      <c r="Y26" s="9">
        <v>0.29587411032028471</v>
      </c>
      <c r="Z26" s="8">
        <v>-1.8837159407852359E-2</v>
      </c>
      <c r="AA26" s="8">
        <v>-3.2165660806437457E-2</v>
      </c>
    </row>
    <row r="27" spans="2:27" x14ac:dyDescent="0.3">
      <c r="B27" s="11" t="s">
        <v>128</v>
      </c>
      <c r="C27" s="3" t="s">
        <v>302</v>
      </c>
      <c r="D27" s="3" t="s">
        <v>324</v>
      </c>
      <c r="E27" s="3" t="s">
        <v>304</v>
      </c>
      <c r="F27" s="5">
        <v>-3.3</v>
      </c>
      <c r="G27" s="50">
        <v>1327</v>
      </c>
      <c r="H27" s="50">
        <v>1312</v>
      </c>
      <c r="I27" s="50">
        <v>1226</v>
      </c>
      <c r="J27" s="50">
        <v>1138</v>
      </c>
      <c r="K27" s="50">
        <v>1120</v>
      </c>
      <c r="L27" s="50">
        <v>1010</v>
      </c>
      <c r="M27" s="50">
        <v>963</v>
      </c>
      <c r="N27" s="50">
        <v>976</v>
      </c>
      <c r="O27" s="50">
        <v>978</v>
      </c>
      <c r="P27" s="50">
        <v>913</v>
      </c>
      <c r="Q27" s="50">
        <v>930</v>
      </c>
      <c r="R27" s="50">
        <v>1040</v>
      </c>
      <c r="S27" s="51">
        <v>1667</v>
      </c>
      <c r="T27" s="51">
        <v>1433</v>
      </c>
      <c r="U27" s="50">
        <v>1419</v>
      </c>
      <c r="V27" s="50">
        <v>1421</v>
      </c>
      <c r="W27" s="50">
        <v>1469</v>
      </c>
      <c r="X27" s="10">
        <v>0.1142857142857143</v>
      </c>
      <c r="Y27" s="8">
        <v>9.6449704142011816E-2</v>
      </c>
      <c r="Z27" s="8">
        <v>6.85375067458176E-2</v>
      </c>
      <c r="AA27" s="8">
        <v>-3.3333333333333333E-2</v>
      </c>
    </row>
    <row r="28" spans="2:27" x14ac:dyDescent="0.3">
      <c r="B28" s="11" t="s">
        <v>113</v>
      </c>
      <c r="C28" s="3" t="s">
        <v>302</v>
      </c>
      <c r="D28" s="3" t="s">
        <v>323</v>
      </c>
      <c r="E28" s="3" t="s">
        <v>304</v>
      </c>
      <c r="F28" s="5">
        <v>-4</v>
      </c>
      <c r="G28" s="50">
        <v>12989</v>
      </c>
      <c r="H28" s="50">
        <v>13694</v>
      </c>
      <c r="I28" s="50">
        <v>16359</v>
      </c>
      <c r="J28" s="50">
        <v>14336</v>
      </c>
      <c r="K28" s="50">
        <v>12952</v>
      </c>
      <c r="L28" s="50">
        <v>12341</v>
      </c>
      <c r="M28" s="50">
        <v>11602</v>
      </c>
      <c r="N28" s="50">
        <v>12071</v>
      </c>
      <c r="O28" s="50">
        <v>12698</v>
      </c>
      <c r="P28" s="50">
        <v>11639</v>
      </c>
      <c r="Q28" s="50">
        <v>0</v>
      </c>
      <c r="R28" s="50">
        <v>12456</v>
      </c>
      <c r="S28" s="50">
        <v>12402</v>
      </c>
      <c r="T28" s="50">
        <v>11477</v>
      </c>
      <c r="U28" s="51">
        <v>10642</v>
      </c>
      <c r="V28" s="50">
        <v>11578</v>
      </c>
      <c r="W28" s="50">
        <v>10564</v>
      </c>
      <c r="X28" s="7">
        <v>-4.4387209907663649E-3</v>
      </c>
      <c r="Y28" s="9">
        <v>0.29288564744736489</v>
      </c>
      <c r="Z28" s="8">
        <v>-1.8689997232688379E-2</v>
      </c>
      <c r="AA28" s="8">
        <v>-3.9870713030651372E-2</v>
      </c>
    </row>
    <row r="29" spans="2:27" x14ac:dyDescent="0.3">
      <c r="B29" s="11" t="s">
        <v>16</v>
      </c>
      <c r="C29" s="3" t="s">
        <v>302</v>
      </c>
      <c r="D29" s="3" t="s">
        <v>333</v>
      </c>
      <c r="E29" s="3" t="s">
        <v>334</v>
      </c>
      <c r="F29" s="5">
        <v>-12</v>
      </c>
      <c r="G29" s="50"/>
      <c r="H29" s="50"/>
      <c r="I29" s="50"/>
      <c r="J29" s="50"/>
      <c r="K29" s="50"/>
      <c r="L29" s="50"/>
      <c r="M29" s="50"/>
      <c r="N29" s="50">
        <v>16.309999999999999</v>
      </c>
      <c r="O29" s="50">
        <v>9.3000000000000007</v>
      </c>
      <c r="P29" s="50">
        <v>36.799999999999997</v>
      </c>
      <c r="Q29" s="50">
        <v>17.82</v>
      </c>
      <c r="R29" s="51">
        <v>30.86</v>
      </c>
      <c r="S29" s="50">
        <v>13.82</v>
      </c>
      <c r="T29" s="50">
        <v>22.57</v>
      </c>
      <c r="U29" s="51">
        <v>26.88</v>
      </c>
      <c r="V29" s="50">
        <v>19.13</v>
      </c>
      <c r="W29" s="50">
        <v>3.95</v>
      </c>
      <c r="X29" s="7">
        <v>-0.14330312185297089</v>
      </c>
      <c r="Y29" s="9">
        <v>0.1065005289761374</v>
      </c>
      <c r="Z29" s="8">
        <v>-0.1246148942951236</v>
      </c>
      <c r="AA29" s="8">
        <v>-0.11978155339805829</v>
      </c>
    </row>
    <row r="30" spans="2:27" x14ac:dyDescent="0.3">
      <c r="B30" s="11" t="s">
        <v>61</v>
      </c>
      <c r="C30" s="3" t="s">
        <v>302</v>
      </c>
      <c r="D30" s="3" t="s">
        <v>325</v>
      </c>
      <c r="E30" s="3" t="s">
        <v>315</v>
      </c>
      <c r="F30" s="5">
        <v>-34.5</v>
      </c>
      <c r="G30" s="50">
        <v>24.34</v>
      </c>
      <c r="H30" s="50">
        <v>9.2200000000000006</v>
      </c>
      <c r="I30" s="50">
        <v>4.32</v>
      </c>
      <c r="J30" s="50">
        <v>12.53</v>
      </c>
      <c r="K30" s="50">
        <v>17.05</v>
      </c>
      <c r="L30" s="50">
        <v>0</v>
      </c>
      <c r="M30" s="50">
        <v>4.4800000000000004</v>
      </c>
      <c r="N30" s="50">
        <v>3.65</v>
      </c>
      <c r="O30" s="50">
        <v>15.56</v>
      </c>
      <c r="P30" s="51">
        <v>9.02</v>
      </c>
      <c r="Q30" s="51">
        <v>7.99</v>
      </c>
      <c r="R30" s="50">
        <v>4.4800000000000004</v>
      </c>
      <c r="S30" s="50">
        <v>9.02</v>
      </c>
      <c r="T30" s="50">
        <v>7.57</v>
      </c>
      <c r="U30" s="50">
        <v>2.17</v>
      </c>
      <c r="V30" s="50">
        <v>1.57</v>
      </c>
      <c r="W30" s="50">
        <v>2</v>
      </c>
      <c r="X30" s="7">
        <v>-4.7525401507702243E-2</v>
      </c>
      <c r="Y30" s="8">
        <v>-0.20027529249827949</v>
      </c>
      <c r="Z30" s="8">
        <v>-0.1252151462994838</v>
      </c>
      <c r="AA30" s="8">
        <v>-0.34530250860796841</v>
      </c>
    </row>
    <row r="31" spans="2:27" x14ac:dyDescent="0.3">
      <c r="B31" s="46" t="s">
        <v>269</v>
      </c>
      <c r="C31" s="42" t="s">
        <v>329</v>
      </c>
      <c r="D31" s="42" t="str">
        <f>VLOOKUP(B31,기업리스트!B:G,2,FALSE)</f>
        <v>Duni AB (publ)</v>
      </c>
      <c r="E31" s="42" t="s">
        <v>304</v>
      </c>
      <c r="F31" s="43">
        <v>-1.2</v>
      </c>
      <c r="G31" s="56">
        <v>1552</v>
      </c>
      <c r="H31" s="56">
        <v>1443</v>
      </c>
      <c r="I31" s="56">
        <v>1724</v>
      </c>
      <c r="J31" s="56">
        <v>1834</v>
      </c>
      <c r="K31" s="56">
        <v>1974</v>
      </c>
      <c r="L31" s="56">
        <v>1877</v>
      </c>
      <c r="M31" s="56">
        <v>1936</v>
      </c>
      <c r="N31" s="56">
        <v>1935</v>
      </c>
      <c r="O31" s="56">
        <v>1971</v>
      </c>
      <c r="P31" s="56">
        <v>1736</v>
      </c>
      <c r="Q31" s="56">
        <v>1875</v>
      </c>
      <c r="R31" s="56">
        <v>1910</v>
      </c>
      <c r="S31" s="56">
        <v>2057</v>
      </c>
      <c r="T31" s="56">
        <v>1863</v>
      </c>
      <c r="U31" s="56">
        <v>1884</v>
      </c>
      <c r="V31" s="56">
        <v>1972</v>
      </c>
      <c r="W31" s="56">
        <v>1965</v>
      </c>
      <c r="X31" s="7">
        <v>1.6759039324359959E-2</v>
      </c>
      <c r="Y31" s="44">
        <v>1.1680726800777921E-3</v>
      </c>
      <c r="Z31" s="44">
        <v>8.0373347161006858E-3</v>
      </c>
      <c r="AA31" s="44">
        <v>-1.1831275720164619E-2</v>
      </c>
    </row>
    <row r="32" spans="2:27" x14ac:dyDescent="0.3">
      <c r="B32" s="47" t="s">
        <v>197</v>
      </c>
      <c r="C32" s="33" t="s">
        <v>329</v>
      </c>
      <c r="D32" s="33" t="str">
        <f>VLOOKUP(B32,기업리스트!B:G,2,FALSE)</f>
        <v>Hoist Finance AB (publ)</v>
      </c>
      <c r="E32" s="33" t="s">
        <v>304</v>
      </c>
      <c r="F32" s="34">
        <v>-2.7</v>
      </c>
      <c r="G32" s="52">
        <v>0</v>
      </c>
      <c r="H32" s="52">
        <v>631</v>
      </c>
      <c r="I32" s="52">
        <v>728</v>
      </c>
      <c r="J32" s="52">
        <v>593</v>
      </c>
      <c r="K32" s="53">
        <v>649</v>
      </c>
      <c r="L32" s="52">
        <v>758</v>
      </c>
      <c r="M32" s="52">
        <v>848</v>
      </c>
      <c r="N32" s="53">
        <v>881</v>
      </c>
      <c r="O32" s="52">
        <v>925</v>
      </c>
      <c r="P32" s="52">
        <v>962</v>
      </c>
      <c r="Q32" s="52">
        <v>1031</v>
      </c>
      <c r="R32" s="52">
        <v>1083</v>
      </c>
      <c r="S32" s="52">
        <v>1145</v>
      </c>
      <c r="T32" s="52">
        <v>995</v>
      </c>
      <c r="U32" s="52">
        <v>1016</v>
      </c>
      <c r="V32" s="52">
        <v>1015</v>
      </c>
      <c r="W32" s="52">
        <v>1031</v>
      </c>
      <c r="X32" s="35">
        <v>7.8180525941720092E-3</v>
      </c>
      <c r="Y32" s="37">
        <v>-3.5260930888575399E-3</v>
      </c>
      <c r="Z32" s="37">
        <v>-1.6041519226232651E-2</v>
      </c>
      <c r="AA32" s="37">
        <v>-2.7331575161831712E-2</v>
      </c>
    </row>
    <row r="33" spans="2:27" x14ac:dyDescent="0.3">
      <c r="B33" s="11">
        <v>6366</v>
      </c>
      <c r="C33" s="3" t="s">
        <v>326</v>
      </c>
      <c r="D33" s="3" t="str">
        <f>VLOOKUP(B33,기업리스트!B:G,2,FALSE)</f>
        <v>Chiyoda Corporation</v>
      </c>
      <c r="E33" s="3" t="s">
        <v>315</v>
      </c>
      <c r="F33" s="12">
        <v>20.5</v>
      </c>
      <c r="G33" s="50">
        <v>69717</v>
      </c>
      <c r="H33" s="50">
        <v>94017</v>
      </c>
      <c r="I33" s="50">
        <v>75741</v>
      </c>
      <c r="J33" s="50">
        <v>108571</v>
      </c>
      <c r="K33" s="51">
        <v>124169</v>
      </c>
      <c r="L33" s="50">
        <v>121682</v>
      </c>
      <c r="M33" s="51">
        <v>129392</v>
      </c>
      <c r="N33" s="50">
        <v>142303</v>
      </c>
      <c r="O33" s="50">
        <v>125768</v>
      </c>
      <c r="P33" s="50">
        <v>108518</v>
      </c>
      <c r="Q33" s="50">
        <v>117019</v>
      </c>
      <c r="R33" s="50">
        <v>120323</v>
      </c>
      <c r="S33" s="50">
        <v>108711</v>
      </c>
      <c r="T33" s="50">
        <v>110916</v>
      </c>
      <c r="U33" s="50">
        <v>90457</v>
      </c>
      <c r="V33" s="50">
        <v>104272</v>
      </c>
      <c r="W33" s="51">
        <v>193462</v>
      </c>
      <c r="X33" s="7">
        <v>5.2753035279418103E-3</v>
      </c>
      <c r="Y33" s="8">
        <v>-5.8126481227391842E-2</v>
      </c>
      <c r="Z33" s="8">
        <v>-3.7292609088606883E-2</v>
      </c>
      <c r="AA33" s="9">
        <v>0.20453667860487121</v>
      </c>
    </row>
    <row r="34" spans="2:27" x14ac:dyDescent="0.3">
      <c r="B34" s="11">
        <v>6804</v>
      </c>
      <c r="C34" s="3" t="s">
        <v>326</v>
      </c>
      <c r="D34" s="3" t="str">
        <f>VLOOKUP(B34,기업리스트!B:G,2,FALSE)</f>
        <v>Hosiden Corporation</v>
      </c>
      <c r="E34" s="3" t="s">
        <v>315</v>
      </c>
      <c r="F34" s="12">
        <v>17.5</v>
      </c>
      <c r="G34" s="50">
        <v>58906</v>
      </c>
      <c r="H34" s="50">
        <v>51914</v>
      </c>
      <c r="I34" s="50">
        <v>71230</v>
      </c>
      <c r="J34" s="50">
        <v>49436</v>
      </c>
      <c r="K34" s="51">
        <v>85326</v>
      </c>
      <c r="L34" s="50">
        <v>71252</v>
      </c>
      <c r="M34" s="50">
        <v>56273</v>
      </c>
      <c r="N34" s="50">
        <v>68636</v>
      </c>
      <c r="O34" s="50">
        <v>52557</v>
      </c>
      <c r="P34" s="50">
        <v>41444</v>
      </c>
      <c r="Q34" s="50">
        <v>57876</v>
      </c>
      <c r="R34" s="50">
        <v>58297</v>
      </c>
      <c r="S34" s="50">
        <v>63591</v>
      </c>
      <c r="T34" s="51">
        <v>67807</v>
      </c>
      <c r="U34" s="51">
        <v>116340</v>
      </c>
      <c r="V34" s="51">
        <v>129086</v>
      </c>
      <c r="W34" s="51">
        <v>129592</v>
      </c>
      <c r="X34" s="10">
        <v>0.1191774257712199</v>
      </c>
      <c r="Y34" s="9">
        <v>0.23615043765222901</v>
      </c>
      <c r="Z34" s="9">
        <v>0.23131014426454491</v>
      </c>
      <c r="AA34" s="9">
        <v>0.17515073349892801</v>
      </c>
    </row>
    <row r="35" spans="2:27" x14ac:dyDescent="0.3">
      <c r="B35" s="11">
        <v>8424</v>
      </c>
      <c r="C35" s="3" t="s">
        <v>326</v>
      </c>
      <c r="D35" s="3" t="str">
        <f>VLOOKUP(B35,기업리스트!B:G,2,FALSE)</f>
        <v>Fuyo General Lease Co., Ltd.</v>
      </c>
      <c r="E35" s="3" t="s">
        <v>315</v>
      </c>
      <c r="F35" s="12">
        <v>14.1</v>
      </c>
      <c r="G35" s="50">
        <v>177644</v>
      </c>
      <c r="H35" s="50">
        <v>194777</v>
      </c>
      <c r="I35" s="50">
        <v>217415</v>
      </c>
      <c r="J35" s="50">
        <v>138648</v>
      </c>
      <c r="K35" s="50">
        <v>177702</v>
      </c>
      <c r="L35" s="50">
        <v>154890</v>
      </c>
      <c r="M35" s="50">
        <v>157183</v>
      </c>
      <c r="N35" s="50">
        <v>193210</v>
      </c>
      <c r="O35" s="50">
        <v>170196</v>
      </c>
      <c r="P35" s="50">
        <v>187949</v>
      </c>
      <c r="Q35" s="50">
        <v>161347</v>
      </c>
      <c r="R35" s="50">
        <v>170637</v>
      </c>
      <c r="S35" s="50">
        <v>149777</v>
      </c>
      <c r="T35" s="50">
        <v>196634</v>
      </c>
      <c r="U35" s="50">
        <v>172457</v>
      </c>
      <c r="V35" s="50">
        <v>171063</v>
      </c>
      <c r="W35" s="51">
        <v>246916</v>
      </c>
      <c r="X35" s="7">
        <v>1.296829971181546E-2</v>
      </c>
      <c r="Y35" s="8">
        <v>1.6376889570235639E-2</v>
      </c>
      <c r="Z35" s="8">
        <v>6.1783453346975215E-4</v>
      </c>
      <c r="AA35" s="9">
        <v>0.14079523894418419</v>
      </c>
    </row>
    <row r="36" spans="2:27" x14ac:dyDescent="0.3">
      <c r="B36" s="11">
        <v>7826</v>
      </c>
      <c r="C36" s="3" t="s">
        <v>326</v>
      </c>
      <c r="D36" s="3" t="str">
        <f>VLOOKUP(B36,기업리스트!B:G,2,FALSE)</f>
        <v>Furuya Metal Co., Ltd.</v>
      </c>
      <c r="E36" s="3" t="s">
        <v>310</v>
      </c>
      <c r="F36" s="12">
        <v>11.7</v>
      </c>
      <c r="G36" s="50">
        <v>9255</v>
      </c>
      <c r="H36" s="50">
        <v>10652</v>
      </c>
      <c r="I36" s="50">
        <v>13567</v>
      </c>
      <c r="J36" s="50">
        <v>13201</v>
      </c>
      <c r="K36" s="50">
        <v>11069</v>
      </c>
      <c r="L36" s="50">
        <v>12443</v>
      </c>
      <c r="M36" s="50">
        <v>11402</v>
      </c>
      <c r="N36" s="50">
        <v>10128</v>
      </c>
      <c r="O36" s="50">
        <v>10996</v>
      </c>
      <c r="P36" s="50">
        <v>12235</v>
      </c>
      <c r="Q36" s="50">
        <v>14168</v>
      </c>
      <c r="R36" s="50">
        <v>13899</v>
      </c>
      <c r="S36" s="50">
        <v>12923</v>
      </c>
      <c r="T36" s="50">
        <v>13986</v>
      </c>
      <c r="U36" s="50">
        <v>16571</v>
      </c>
      <c r="V36" s="51">
        <v>23201</v>
      </c>
      <c r="W36" s="51">
        <v>20699</v>
      </c>
      <c r="X36" s="7">
        <v>3.2898074213245643E-2</v>
      </c>
      <c r="Y36" s="8">
        <v>4.3709982537834653E-2</v>
      </c>
      <c r="Z36" s="9">
        <v>0.16211505951654789</v>
      </c>
      <c r="AA36" s="9">
        <v>0.1166149277905251</v>
      </c>
    </row>
    <row r="37" spans="2:27" x14ac:dyDescent="0.3">
      <c r="B37" s="11">
        <v>1968</v>
      </c>
      <c r="C37" s="3" t="s">
        <v>326</v>
      </c>
      <c r="D37" s="3" t="str">
        <f>VLOOKUP(B37,기업리스트!B:G,2,FALSE)</f>
        <v>Taihei Dengyo Kaisha, Ltd.</v>
      </c>
      <c r="E37" s="3" t="s">
        <v>315</v>
      </c>
      <c r="F37" s="5">
        <v>7.2</v>
      </c>
      <c r="G37" s="50">
        <v>29723</v>
      </c>
      <c r="H37" s="50">
        <v>37197</v>
      </c>
      <c r="I37" s="50">
        <v>28977</v>
      </c>
      <c r="J37" s="50">
        <v>30153</v>
      </c>
      <c r="K37" s="50">
        <v>31885</v>
      </c>
      <c r="L37" s="50">
        <v>34759</v>
      </c>
      <c r="M37" s="50">
        <v>26902</v>
      </c>
      <c r="N37" s="50">
        <v>31179</v>
      </c>
      <c r="O37" s="50">
        <v>33978</v>
      </c>
      <c r="P37" s="50">
        <v>37304</v>
      </c>
      <c r="Q37" s="50">
        <v>30080</v>
      </c>
      <c r="R37" s="50">
        <v>30281</v>
      </c>
      <c r="S37" s="50">
        <v>30525</v>
      </c>
      <c r="T37" s="50">
        <v>34784</v>
      </c>
      <c r="U37" s="50">
        <v>29572</v>
      </c>
      <c r="V37" s="50">
        <v>33981</v>
      </c>
      <c r="W37" s="50">
        <v>39749</v>
      </c>
      <c r="X37" s="7">
        <v>-1.9658319681722491E-2</v>
      </c>
      <c r="Y37" s="8">
        <v>-4.0423330946128821E-3</v>
      </c>
      <c r="Z37" s="8">
        <v>2.9561688052284211E-2</v>
      </c>
      <c r="AA37" s="8">
        <v>7.1580450404308493E-2</v>
      </c>
    </row>
    <row r="38" spans="2:27" x14ac:dyDescent="0.3">
      <c r="B38" s="11">
        <v>8418</v>
      </c>
      <c r="C38" s="3" t="s">
        <v>326</v>
      </c>
      <c r="D38" s="3" t="str">
        <f>VLOOKUP(B38,기업리스트!B:G,2,FALSE)</f>
        <v>Yamaguchi Financial Group, Inc.</v>
      </c>
      <c r="E38" s="3" t="s">
        <v>315</v>
      </c>
      <c r="F38" s="5">
        <v>6.9</v>
      </c>
      <c r="G38" s="50">
        <v>36089</v>
      </c>
      <c r="H38" s="50">
        <v>9117</v>
      </c>
      <c r="I38" s="50">
        <v>35627</v>
      </c>
      <c r="J38" s="50">
        <v>32380</v>
      </c>
      <c r="K38" s="50">
        <v>33129</v>
      </c>
      <c r="L38" s="51">
        <v>30009</v>
      </c>
      <c r="M38" s="50">
        <v>36964</v>
      </c>
      <c r="N38" s="50">
        <v>33551</v>
      </c>
      <c r="O38" s="50">
        <v>40916</v>
      </c>
      <c r="P38" s="50">
        <v>35222</v>
      </c>
      <c r="Q38" s="50">
        <v>48951</v>
      </c>
      <c r="R38" s="50">
        <v>40623</v>
      </c>
      <c r="S38" s="50">
        <v>46409</v>
      </c>
      <c r="T38" s="50">
        <v>39859</v>
      </c>
      <c r="U38" s="50">
        <v>43042</v>
      </c>
      <c r="V38" s="50">
        <v>41926</v>
      </c>
      <c r="W38" s="50">
        <v>58223</v>
      </c>
      <c r="X38" s="7">
        <v>2.7084489354866959E-2</v>
      </c>
      <c r="Y38" s="8">
        <v>-3.360403089136843E-2</v>
      </c>
      <c r="Z38" s="8">
        <v>7.6677278692189876E-3</v>
      </c>
      <c r="AA38" s="8">
        <v>6.899250157677117E-2</v>
      </c>
    </row>
    <row r="39" spans="2:27" x14ac:dyDescent="0.3">
      <c r="B39" s="11">
        <v>7322</v>
      </c>
      <c r="C39" s="3" t="s">
        <v>326</v>
      </c>
      <c r="D39" s="3" t="str">
        <f>VLOOKUP(B39,기업리스트!B:G,2,FALSE)</f>
        <v>San ju San Financial Group,Inc.</v>
      </c>
      <c r="E39" s="3" t="s">
        <v>315</v>
      </c>
      <c r="F39" s="5">
        <v>6.6</v>
      </c>
      <c r="G39" s="50">
        <v>17158</v>
      </c>
      <c r="H39" s="50">
        <v>14952</v>
      </c>
      <c r="I39" s="50">
        <v>18299</v>
      </c>
      <c r="J39" s="50">
        <v>15714</v>
      </c>
      <c r="K39" s="50">
        <v>15744</v>
      </c>
      <c r="L39" s="50">
        <v>14962</v>
      </c>
      <c r="M39" s="50">
        <v>17888</v>
      </c>
      <c r="N39" s="50">
        <v>16022</v>
      </c>
      <c r="O39" s="50">
        <v>16397</v>
      </c>
      <c r="P39" s="50">
        <v>16369</v>
      </c>
      <c r="Q39" s="50">
        <v>17954</v>
      </c>
      <c r="R39" s="50">
        <v>16814</v>
      </c>
      <c r="S39" s="50">
        <v>18091</v>
      </c>
      <c r="T39" s="50">
        <v>16691</v>
      </c>
      <c r="U39" s="50">
        <v>19653</v>
      </c>
      <c r="V39" s="50">
        <v>19692</v>
      </c>
      <c r="W39" s="50">
        <v>22986</v>
      </c>
      <c r="X39" s="7">
        <v>4.6512971629977251E-3</v>
      </c>
      <c r="Y39" s="8">
        <v>2.442846872753424E-2</v>
      </c>
      <c r="Z39" s="8">
        <v>4.0393549383149319E-2</v>
      </c>
      <c r="AA39" s="8">
        <v>6.603531776545668E-2</v>
      </c>
    </row>
    <row r="40" spans="2:27" x14ac:dyDescent="0.3">
      <c r="B40" s="11">
        <v>8919</v>
      </c>
      <c r="C40" s="3" t="s">
        <v>326</v>
      </c>
      <c r="D40" s="3" t="str">
        <f>VLOOKUP(B40,기업리스트!B:G,2,FALSE)</f>
        <v>KATITAS CO., Ltd.</v>
      </c>
      <c r="E40" s="3" t="s">
        <v>315</v>
      </c>
      <c r="F40" s="5">
        <v>5.3</v>
      </c>
      <c r="G40" s="50">
        <v>26633</v>
      </c>
      <c r="H40" s="50">
        <v>25077</v>
      </c>
      <c r="I40" s="50">
        <v>28351</v>
      </c>
      <c r="J40" s="50">
        <v>30809</v>
      </c>
      <c r="K40" s="50">
        <v>29549</v>
      </c>
      <c r="L40" s="50">
        <v>32632</v>
      </c>
      <c r="M40" s="50">
        <v>31613</v>
      </c>
      <c r="N40" s="50">
        <v>30441</v>
      </c>
      <c r="O40" s="50">
        <v>31615</v>
      </c>
      <c r="P40" s="50">
        <v>33049</v>
      </c>
      <c r="Q40" s="50">
        <v>31195</v>
      </c>
      <c r="R40" s="50">
        <v>32815</v>
      </c>
      <c r="S40" s="50">
        <v>32629</v>
      </c>
      <c r="T40" s="50">
        <v>32898</v>
      </c>
      <c r="U40" s="50">
        <v>35063</v>
      </c>
      <c r="V40" s="50">
        <v>37352</v>
      </c>
      <c r="W40" s="50">
        <v>39999</v>
      </c>
      <c r="X40" s="7">
        <v>-1.1643328604034049E-3</v>
      </c>
      <c r="Y40" s="8">
        <v>2.986019438461596E-2</v>
      </c>
      <c r="Z40" s="8">
        <v>3.4009220044226129E-2</v>
      </c>
      <c r="AA40" s="8">
        <v>5.3428252453930007E-2</v>
      </c>
    </row>
    <row r="41" spans="2:27" x14ac:dyDescent="0.3">
      <c r="B41" s="11">
        <v>1951</v>
      </c>
      <c r="C41" s="3" t="s">
        <v>326</v>
      </c>
      <c r="D41" s="3" t="str">
        <f>VLOOKUP(B41,기업리스트!B:G,2,FALSE)</f>
        <v>EXEO Group, Inc.</v>
      </c>
      <c r="E41" s="3" t="s">
        <v>315</v>
      </c>
      <c r="F41" s="5">
        <v>4.7</v>
      </c>
      <c r="G41" s="50">
        <v>134371</v>
      </c>
      <c r="H41" s="50">
        <v>199530</v>
      </c>
      <c r="I41" s="50">
        <v>120883</v>
      </c>
      <c r="J41" s="50">
        <v>144302</v>
      </c>
      <c r="K41" s="50">
        <v>152141</v>
      </c>
      <c r="L41" s="50">
        <v>210281</v>
      </c>
      <c r="M41" s="50">
        <v>124382</v>
      </c>
      <c r="N41" s="50">
        <v>140792</v>
      </c>
      <c r="O41" s="50">
        <v>138213</v>
      </c>
      <c r="P41" s="50">
        <v>210708</v>
      </c>
      <c r="Q41" s="50">
        <v>125415</v>
      </c>
      <c r="R41" s="50">
        <v>148056</v>
      </c>
      <c r="S41" s="50">
        <v>165799</v>
      </c>
      <c r="T41" s="50">
        <v>231552</v>
      </c>
      <c r="U41" s="50">
        <v>138599</v>
      </c>
      <c r="V41" s="50">
        <v>182709</v>
      </c>
      <c r="W41" s="50">
        <v>199687</v>
      </c>
      <c r="X41" s="7">
        <v>3.2068777712476397E-2</v>
      </c>
      <c r="Y41" s="8">
        <v>1.9653499736144608E-2</v>
      </c>
      <c r="Z41" s="8">
        <v>5.0661836299681573E-2</v>
      </c>
      <c r="AA41" s="8">
        <v>4.7154491907845042E-2</v>
      </c>
    </row>
    <row r="42" spans="2:27" x14ac:dyDescent="0.3">
      <c r="B42" s="11">
        <v>1965</v>
      </c>
      <c r="C42" s="3" t="s">
        <v>326</v>
      </c>
      <c r="D42" s="3" t="str">
        <f>VLOOKUP(B42,기업리스트!B:G,2,FALSE)</f>
        <v>Techno Ryowa Ltd.</v>
      </c>
      <c r="E42" s="3" t="s">
        <v>315</v>
      </c>
      <c r="F42" s="5">
        <v>4.5</v>
      </c>
      <c r="G42" s="50">
        <v>14506</v>
      </c>
      <c r="H42" s="50">
        <v>17018</v>
      </c>
      <c r="I42" s="50">
        <v>12960</v>
      </c>
      <c r="J42" s="50">
        <v>13350</v>
      </c>
      <c r="K42" s="50">
        <v>16133</v>
      </c>
      <c r="L42" s="50">
        <v>18587</v>
      </c>
      <c r="M42" s="50">
        <v>14513</v>
      </c>
      <c r="N42" s="50">
        <v>17158</v>
      </c>
      <c r="O42" s="50">
        <v>19198</v>
      </c>
      <c r="P42" s="50">
        <v>22819</v>
      </c>
      <c r="Q42" s="50">
        <v>16184</v>
      </c>
      <c r="R42" s="50">
        <v>18839</v>
      </c>
      <c r="S42" s="50">
        <v>22047</v>
      </c>
      <c r="T42" s="50">
        <v>27120</v>
      </c>
      <c r="U42" s="50">
        <v>20479</v>
      </c>
      <c r="V42" s="50">
        <v>23140</v>
      </c>
      <c r="W42" s="50">
        <v>26265</v>
      </c>
      <c r="X42" s="7">
        <v>5.3837199113770273E-2</v>
      </c>
      <c r="Y42" s="8">
        <v>5.1015560042760422E-2</v>
      </c>
      <c r="Z42" s="8">
        <v>4.86071085494717E-2</v>
      </c>
      <c r="AA42" s="8">
        <v>4.5459444312719637E-2</v>
      </c>
    </row>
    <row r="43" spans="2:27" x14ac:dyDescent="0.3">
      <c r="B43" s="11">
        <v>7184</v>
      </c>
      <c r="C43" s="3" t="s">
        <v>326</v>
      </c>
      <c r="D43" s="3" t="str">
        <f>VLOOKUP(B43,기업리스트!B:G,2,FALSE)</f>
        <v>The First Bank Of Toyama, Ltd.</v>
      </c>
      <c r="E43" s="3" t="s">
        <v>315</v>
      </c>
      <c r="F43" s="5">
        <v>4.4000000000000004</v>
      </c>
      <c r="G43" s="50">
        <v>7612</v>
      </c>
      <c r="H43" s="50">
        <v>4857</v>
      </c>
      <c r="I43" s="50">
        <v>10584</v>
      </c>
      <c r="J43" s="50">
        <v>6417</v>
      </c>
      <c r="K43" s="50">
        <v>7709</v>
      </c>
      <c r="L43" s="50">
        <v>7810</v>
      </c>
      <c r="M43" s="50">
        <v>10892</v>
      </c>
      <c r="N43" s="50">
        <v>6135</v>
      </c>
      <c r="O43" s="50">
        <v>9789</v>
      </c>
      <c r="P43" s="50">
        <v>7665</v>
      </c>
      <c r="Q43" s="51">
        <v>19024</v>
      </c>
      <c r="R43" s="50">
        <v>9621</v>
      </c>
      <c r="S43" s="50">
        <v>11947</v>
      </c>
      <c r="T43" s="50">
        <v>5891</v>
      </c>
      <c r="U43" s="50">
        <v>12795</v>
      </c>
      <c r="V43" s="50">
        <v>8814</v>
      </c>
      <c r="W43" s="50">
        <v>13671</v>
      </c>
      <c r="X43" s="7">
        <v>-3.6761506102741537E-2</v>
      </c>
      <c r="Y43" s="8">
        <v>-0.13400598068110919</v>
      </c>
      <c r="Z43" s="8">
        <v>-2.0047697123267261E-2</v>
      </c>
      <c r="AA43" s="8">
        <v>4.3704210713108697E-2</v>
      </c>
    </row>
    <row r="44" spans="2:27" x14ac:dyDescent="0.3">
      <c r="B44" s="11">
        <v>3107</v>
      </c>
      <c r="C44" s="3" t="s">
        <v>326</v>
      </c>
      <c r="D44" s="3" t="str">
        <f>VLOOKUP(B44,기업리스트!B:G,2,FALSE)</f>
        <v>Daiwabo Holdings Co., Ltd.</v>
      </c>
      <c r="E44" s="3" t="s">
        <v>315</v>
      </c>
      <c r="F44" s="5">
        <v>4.2</v>
      </c>
      <c r="G44" s="50">
        <v>188400</v>
      </c>
      <c r="H44" s="50">
        <v>224770</v>
      </c>
      <c r="I44" s="50">
        <v>185445</v>
      </c>
      <c r="J44" s="50">
        <v>223801</v>
      </c>
      <c r="K44" s="50">
        <v>228364</v>
      </c>
      <c r="L44" s="50">
        <v>266308</v>
      </c>
      <c r="M44" s="50">
        <v>209337</v>
      </c>
      <c r="N44" s="50">
        <v>236580</v>
      </c>
      <c r="O44" s="50">
        <v>229354</v>
      </c>
      <c r="P44" s="50">
        <v>292489</v>
      </c>
      <c r="Q44" s="50">
        <v>227844</v>
      </c>
      <c r="R44" s="50">
        <v>289539</v>
      </c>
      <c r="S44" s="50">
        <v>291418</v>
      </c>
      <c r="T44" s="50">
        <v>328016</v>
      </c>
      <c r="U44" s="50">
        <v>290601</v>
      </c>
      <c r="V44" s="50">
        <v>366229</v>
      </c>
      <c r="W44" s="50">
        <v>344401</v>
      </c>
      <c r="X44" s="7">
        <v>3.2259441200773731E-2</v>
      </c>
      <c r="Y44" s="8">
        <v>5.5204135757997992E-2</v>
      </c>
      <c r="Z44" s="8">
        <v>6.39310288485746E-2</v>
      </c>
      <c r="AA44" s="8">
        <v>4.1514138140698258E-2</v>
      </c>
    </row>
    <row r="45" spans="2:27" x14ac:dyDescent="0.3">
      <c r="B45" s="11">
        <v>8801</v>
      </c>
      <c r="C45" s="3" t="s">
        <v>326</v>
      </c>
      <c r="D45" s="3" t="str">
        <f>VLOOKUP(B45,기업리스트!B:G,2,FALSE)</f>
        <v>Mitsui Fudosan Co., Ltd.</v>
      </c>
      <c r="E45" s="3" t="s">
        <v>315</v>
      </c>
      <c r="F45" s="5">
        <v>4.0999999999999996</v>
      </c>
      <c r="G45" s="50">
        <v>470044</v>
      </c>
      <c r="H45" s="50">
        <v>633964</v>
      </c>
      <c r="I45" s="50">
        <v>576716</v>
      </c>
      <c r="J45" s="50">
        <v>480330</v>
      </c>
      <c r="K45" s="50">
        <v>569347</v>
      </c>
      <c r="L45" s="50">
        <v>642710</v>
      </c>
      <c r="M45" s="50">
        <v>561364</v>
      </c>
      <c r="N45" s="50">
        <v>603881</v>
      </c>
      <c r="O45" s="50">
        <v>533770</v>
      </c>
      <c r="P45" s="50">
        <v>684274</v>
      </c>
      <c r="Q45" s="50">
        <v>630376</v>
      </c>
      <c r="R45" s="50">
        <v>532062</v>
      </c>
      <c r="S45" s="50">
        <v>514361</v>
      </c>
      <c r="T45" s="51">
        <v>948564</v>
      </c>
      <c r="U45" s="50">
        <v>802316</v>
      </c>
      <c r="V45" s="50">
        <v>551104</v>
      </c>
      <c r="W45" s="50">
        <v>628429</v>
      </c>
      <c r="X45" s="10">
        <v>0.1119363950203995</v>
      </c>
      <c r="Y45" s="8">
        <v>6.5491895787363585E-2</v>
      </c>
      <c r="Z45" s="8">
        <v>6.8072711465294589E-3</v>
      </c>
      <c r="AA45" s="8">
        <v>4.0502140185240121E-2</v>
      </c>
    </row>
    <row r="46" spans="2:27" x14ac:dyDescent="0.3">
      <c r="B46" s="11">
        <v>1515</v>
      </c>
      <c r="C46" s="3" t="s">
        <v>326</v>
      </c>
      <c r="D46" s="3" t="str">
        <f>VLOOKUP(B46,기업리스트!B:G,2,FALSE)</f>
        <v>Nittetsu Mining Co., Ltd.</v>
      </c>
      <c r="E46" s="3" t="s">
        <v>315</v>
      </c>
      <c r="F46" s="5">
        <v>3.9</v>
      </c>
      <c r="G46" s="50">
        <v>37116</v>
      </c>
      <c r="H46" s="50">
        <v>40892</v>
      </c>
      <c r="I46" s="50">
        <v>40245</v>
      </c>
      <c r="J46" s="50">
        <v>40803</v>
      </c>
      <c r="K46" s="50">
        <v>40669</v>
      </c>
      <c r="L46" s="50">
        <v>42303</v>
      </c>
      <c r="M46" s="50">
        <v>39952</v>
      </c>
      <c r="N46" s="50">
        <v>42402</v>
      </c>
      <c r="O46" s="50">
        <v>42178</v>
      </c>
      <c r="P46" s="50">
        <v>42352</v>
      </c>
      <c r="Q46" s="50">
        <v>46934</v>
      </c>
      <c r="R46" s="50">
        <v>48357</v>
      </c>
      <c r="S46" s="50">
        <v>50365</v>
      </c>
      <c r="T46" s="50">
        <v>51110</v>
      </c>
      <c r="U46" s="50">
        <v>46132</v>
      </c>
      <c r="V46" s="50">
        <v>46942</v>
      </c>
      <c r="W46" s="50">
        <v>57944</v>
      </c>
      <c r="X46" s="7">
        <v>4.658312412237775E-2</v>
      </c>
      <c r="Y46" s="8">
        <v>-4.0759074230304337E-3</v>
      </c>
      <c r="Z46" s="8">
        <v>-7.2207140086955057E-3</v>
      </c>
      <c r="AA46" s="8">
        <v>3.8956766675747552E-2</v>
      </c>
    </row>
    <row r="47" spans="2:27" x14ac:dyDescent="0.3">
      <c r="B47" s="11">
        <v>6652</v>
      </c>
      <c r="C47" s="3" t="s">
        <v>326</v>
      </c>
      <c r="D47" s="3" t="str">
        <f>VLOOKUP(B47,기업리스트!B:G,2,FALSE)</f>
        <v>IDEC Corporation</v>
      </c>
      <c r="E47" s="3" t="s">
        <v>315</v>
      </c>
      <c r="F47" s="5">
        <v>3.7</v>
      </c>
      <c r="G47" s="50">
        <v>17399</v>
      </c>
      <c r="H47" s="50">
        <v>18534</v>
      </c>
      <c r="I47" s="50">
        <v>20157</v>
      </c>
      <c r="J47" s="50">
        <v>23023</v>
      </c>
      <c r="K47" s="50">
        <v>20927</v>
      </c>
      <c r="L47" s="50">
        <v>19762</v>
      </c>
      <c r="M47" s="50">
        <v>18180</v>
      </c>
      <c r="N47" s="50">
        <v>19620</v>
      </c>
      <c r="O47" s="50">
        <v>16541</v>
      </c>
      <c r="P47" s="50">
        <v>18370</v>
      </c>
      <c r="Q47" s="50">
        <v>15962</v>
      </c>
      <c r="R47" s="50">
        <v>17126</v>
      </c>
      <c r="S47" s="50">
        <v>16382</v>
      </c>
      <c r="T47" s="50">
        <v>17910</v>
      </c>
      <c r="U47" s="50">
        <v>15736</v>
      </c>
      <c r="V47" s="50">
        <v>18375</v>
      </c>
      <c r="W47" s="50">
        <v>18906</v>
      </c>
      <c r="X47" s="7">
        <v>-6.7806603773584717E-3</v>
      </c>
      <c r="Y47" s="8">
        <v>-3.3541110121697582E-3</v>
      </c>
      <c r="Z47" s="8">
        <v>1.8599041010215259E-2</v>
      </c>
      <c r="AA47" s="8">
        <v>3.6898966419601553E-2</v>
      </c>
    </row>
    <row r="48" spans="2:27" x14ac:dyDescent="0.3">
      <c r="B48" s="11">
        <v>4368</v>
      </c>
      <c r="C48" s="3" t="s">
        <v>326</v>
      </c>
      <c r="D48" s="3" t="str">
        <f>VLOOKUP(B48,기업리스트!B:G,2,FALSE)</f>
        <v>Fuso Chemical Co.,Ltd.</v>
      </c>
      <c r="E48" s="3" t="s">
        <v>315</v>
      </c>
      <c r="F48" s="5">
        <v>3.5</v>
      </c>
      <c r="G48" s="50">
        <v>14489</v>
      </c>
      <c r="H48" s="50">
        <v>16104</v>
      </c>
      <c r="I48" s="50">
        <v>17544</v>
      </c>
      <c r="J48" s="50">
        <v>17815</v>
      </c>
      <c r="K48" s="50">
        <v>17275</v>
      </c>
      <c r="L48" s="50">
        <v>15825</v>
      </c>
      <c r="M48" s="50">
        <v>13642</v>
      </c>
      <c r="N48" s="50">
        <v>13493</v>
      </c>
      <c r="O48" s="50">
        <v>16000</v>
      </c>
      <c r="P48" s="50">
        <v>15835</v>
      </c>
      <c r="Q48" s="50">
        <v>17432</v>
      </c>
      <c r="R48" s="50">
        <v>17324</v>
      </c>
      <c r="S48" s="50">
        <v>17665</v>
      </c>
      <c r="T48" s="50">
        <v>17080</v>
      </c>
      <c r="U48" s="50">
        <v>18658</v>
      </c>
      <c r="V48" s="50">
        <v>19047</v>
      </c>
      <c r="W48" s="50">
        <v>20223</v>
      </c>
      <c r="X48" s="7">
        <v>1.8240154711673728E-2</v>
      </c>
      <c r="Y48" s="8">
        <v>1.7640033956346061E-2</v>
      </c>
      <c r="Z48" s="8">
        <v>2.4361276457364189E-2</v>
      </c>
      <c r="AA48" s="8">
        <v>3.5307108350586702E-2</v>
      </c>
    </row>
    <row r="49" spans="2:27" x14ac:dyDescent="0.3">
      <c r="B49" s="11">
        <v>4686</v>
      </c>
      <c r="C49" s="3" t="s">
        <v>326</v>
      </c>
      <c r="D49" s="3" t="str">
        <f>VLOOKUP(B49,기업리스트!B:G,2,FALSE)</f>
        <v>JustSystems Corporation</v>
      </c>
      <c r="E49" s="3" t="s">
        <v>315</v>
      </c>
      <c r="F49" s="5">
        <v>3.5</v>
      </c>
      <c r="G49" s="50">
        <v>10012</v>
      </c>
      <c r="H49" s="50">
        <v>10506</v>
      </c>
      <c r="I49" s="50">
        <v>10379</v>
      </c>
      <c r="J49" s="50">
        <v>10718</v>
      </c>
      <c r="K49" s="50">
        <v>10040</v>
      </c>
      <c r="L49" s="50">
        <v>10813</v>
      </c>
      <c r="M49" s="50">
        <v>10135</v>
      </c>
      <c r="N49" s="50">
        <v>10856</v>
      </c>
      <c r="O49" s="50">
        <v>9656</v>
      </c>
      <c r="P49" s="50">
        <v>10338</v>
      </c>
      <c r="Q49" s="50">
        <v>10849</v>
      </c>
      <c r="R49" s="50">
        <v>11246</v>
      </c>
      <c r="S49" s="50">
        <v>10879</v>
      </c>
      <c r="T49" s="50">
        <v>11577</v>
      </c>
      <c r="U49" s="50">
        <v>12861</v>
      </c>
      <c r="V49" s="50">
        <v>13090</v>
      </c>
      <c r="W49" s="50">
        <v>12570</v>
      </c>
      <c r="X49" s="7">
        <v>2.860639083856675E-2</v>
      </c>
      <c r="Y49" s="8">
        <v>4.5161724764876121E-2</v>
      </c>
      <c r="Z49" s="8">
        <v>3.9602259304598153E-2</v>
      </c>
      <c r="AA49" s="8">
        <v>3.4932964240709019E-2</v>
      </c>
    </row>
    <row r="50" spans="2:27" x14ac:dyDescent="0.3">
      <c r="B50" s="11">
        <v>1720</v>
      </c>
      <c r="C50" s="3" t="s">
        <v>326</v>
      </c>
      <c r="D50" s="3" t="str">
        <f>VLOOKUP(B50,기업리스트!B:G,2,FALSE)</f>
        <v>Tokyu Construction Co., Ltd.</v>
      </c>
      <c r="E50" s="3" t="s">
        <v>315</v>
      </c>
      <c r="F50" s="5">
        <v>3.5</v>
      </c>
      <c r="G50" s="50">
        <v>69682</v>
      </c>
      <c r="H50" s="50">
        <v>76787</v>
      </c>
      <c r="I50" s="50">
        <v>61468</v>
      </c>
      <c r="J50" s="50">
        <v>67374</v>
      </c>
      <c r="K50" s="50">
        <v>72177</v>
      </c>
      <c r="L50" s="50">
        <v>87848</v>
      </c>
      <c r="M50" s="50">
        <v>62860</v>
      </c>
      <c r="N50" s="50">
        <v>71822</v>
      </c>
      <c r="O50" s="50">
        <v>70516</v>
      </c>
      <c r="P50" s="50">
        <v>80483</v>
      </c>
      <c r="Q50" s="50">
        <v>55251</v>
      </c>
      <c r="R50" s="50">
        <v>63375</v>
      </c>
      <c r="S50" s="50">
        <v>78155</v>
      </c>
      <c r="T50" s="50">
        <v>96358</v>
      </c>
      <c r="U50" s="50">
        <v>71948</v>
      </c>
      <c r="V50" s="50">
        <v>78125</v>
      </c>
      <c r="W50" s="50">
        <v>89487</v>
      </c>
      <c r="X50" s="7">
        <v>5.7255900513589968E-2</v>
      </c>
      <c r="Y50" s="8">
        <v>5.6959326462872488E-2</v>
      </c>
      <c r="Z50" s="8">
        <v>4.7605830181128177E-2</v>
      </c>
      <c r="AA50" s="8">
        <v>3.4912165034844289E-2</v>
      </c>
    </row>
    <row r="51" spans="2:27" x14ac:dyDescent="0.3">
      <c r="B51" s="11">
        <v>8522</v>
      </c>
      <c r="C51" s="3" t="s">
        <v>326</v>
      </c>
      <c r="D51" s="3" t="str">
        <f>VLOOKUP(B51,기업리스트!B:G,2,FALSE)</f>
        <v>The Bank of Nagoya, Ltd.</v>
      </c>
      <c r="E51" s="3" t="s">
        <v>315</v>
      </c>
      <c r="F51" s="5">
        <v>3.3</v>
      </c>
      <c r="G51" s="50">
        <v>19288</v>
      </c>
      <c r="H51" s="50">
        <v>17774</v>
      </c>
      <c r="I51" s="50">
        <v>18870</v>
      </c>
      <c r="J51" s="50">
        <v>18568</v>
      </c>
      <c r="K51" s="50">
        <v>17259</v>
      </c>
      <c r="L51" s="50">
        <v>17466</v>
      </c>
      <c r="M51" s="50">
        <v>18239</v>
      </c>
      <c r="N51" s="50">
        <v>22454</v>
      </c>
      <c r="O51" s="51">
        <v>28748</v>
      </c>
      <c r="P51" s="50">
        <v>19677</v>
      </c>
      <c r="Q51" s="50">
        <v>23278</v>
      </c>
      <c r="R51" s="50">
        <v>20740</v>
      </c>
      <c r="S51" s="50">
        <v>25020</v>
      </c>
      <c r="T51" s="50">
        <v>22635</v>
      </c>
      <c r="U51" s="50">
        <v>26598</v>
      </c>
      <c r="V51" s="50">
        <v>23838</v>
      </c>
      <c r="W51" s="50">
        <v>28247</v>
      </c>
      <c r="X51" s="7">
        <v>3.3342726709124637E-2</v>
      </c>
      <c r="Y51" s="8">
        <v>3.6215679643951892E-2</v>
      </c>
      <c r="Z51" s="8">
        <v>3.2612929373743382E-2</v>
      </c>
      <c r="AA51" s="8">
        <v>3.2898023264111842E-2</v>
      </c>
    </row>
    <row r="52" spans="2:27" x14ac:dyDescent="0.3">
      <c r="B52" s="11">
        <v>6315</v>
      </c>
      <c r="C52" s="3" t="s">
        <v>326</v>
      </c>
      <c r="D52" s="3" t="str">
        <f>VLOOKUP(B52,기업리스트!B:G,2,FALSE)</f>
        <v>TOWA Corporation</v>
      </c>
      <c r="E52" s="3" t="s">
        <v>315</v>
      </c>
      <c r="F52" s="5">
        <v>3.3</v>
      </c>
      <c r="G52" s="50">
        <v>13959</v>
      </c>
      <c r="H52" s="50">
        <v>12375</v>
      </c>
      <c r="I52" s="50">
        <v>14592</v>
      </c>
      <c r="J52" s="50">
        <v>14191</v>
      </c>
      <c r="K52" s="50">
        <v>11388</v>
      </c>
      <c r="L52" s="50">
        <v>13651</v>
      </c>
      <c r="M52" s="50">
        <v>9511</v>
      </c>
      <c r="N52" s="50">
        <v>11754</v>
      </c>
      <c r="O52" s="50">
        <v>10767</v>
      </c>
      <c r="P52" s="51">
        <v>18439</v>
      </c>
      <c r="Q52" s="50">
        <v>13253</v>
      </c>
      <c r="R52" s="50">
        <v>14145</v>
      </c>
      <c r="S52" s="50">
        <v>11861</v>
      </c>
      <c r="T52" s="50">
        <v>14220</v>
      </c>
      <c r="U52" s="50">
        <v>8080</v>
      </c>
      <c r="V52" s="50">
        <v>15369</v>
      </c>
      <c r="W52" s="50">
        <v>13481</v>
      </c>
      <c r="X52" s="7">
        <v>-7.3122118617629739E-2</v>
      </c>
      <c r="Y52" s="8">
        <v>-9.6729557396361243E-2</v>
      </c>
      <c r="Z52" s="8">
        <v>2.5338467271146529E-2</v>
      </c>
      <c r="AA52" s="8">
        <v>3.2707450030284628E-2</v>
      </c>
    </row>
    <row r="53" spans="2:27" x14ac:dyDescent="0.3">
      <c r="B53" s="11">
        <v>4751</v>
      </c>
      <c r="C53" s="3" t="s">
        <v>326</v>
      </c>
      <c r="D53" s="3" t="str">
        <f>VLOOKUP(B53,기업리스트!B:G,2,FALSE)</f>
        <v>CyberAgent, Inc.</v>
      </c>
      <c r="E53" s="3" t="s">
        <v>313</v>
      </c>
      <c r="F53" s="5">
        <v>3.3</v>
      </c>
      <c r="G53" s="50">
        <v>171090</v>
      </c>
      <c r="H53" s="50">
        <v>191102</v>
      </c>
      <c r="I53" s="50">
        <v>171690</v>
      </c>
      <c r="J53" s="50">
        <v>176041</v>
      </c>
      <c r="K53" s="50">
        <v>167423</v>
      </c>
      <c r="L53" s="50">
        <v>195449</v>
      </c>
      <c r="M53" s="50">
        <v>171525</v>
      </c>
      <c r="N53" s="50">
        <v>185054</v>
      </c>
      <c r="O53" s="50">
        <v>192655</v>
      </c>
      <c r="P53" s="50">
        <v>214789</v>
      </c>
      <c r="Q53" s="50">
        <v>190379</v>
      </c>
      <c r="R53" s="50">
        <v>202652</v>
      </c>
      <c r="S53" s="50">
        <v>203842</v>
      </c>
      <c r="T53" s="50">
        <v>217372</v>
      </c>
      <c r="U53" s="50">
        <v>210779</v>
      </c>
      <c r="V53" s="50">
        <v>242037</v>
      </c>
      <c r="W53" s="50">
        <v>232377</v>
      </c>
      <c r="X53" s="7">
        <v>3.182359159354498E-3</v>
      </c>
      <c r="Y53" s="8">
        <v>2.5053884273161131E-2</v>
      </c>
      <c r="Z53" s="8">
        <v>4.7187726518459927E-2</v>
      </c>
      <c r="AA53" s="8">
        <v>3.2647620791048437E-2</v>
      </c>
    </row>
    <row r="54" spans="2:27" x14ac:dyDescent="0.3">
      <c r="B54" s="11">
        <v>6332</v>
      </c>
      <c r="C54" s="3" t="s">
        <v>326</v>
      </c>
      <c r="D54" s="3" t="str">
        <f>VLOOKUP(B54,기업리스트!B:G,2,FALSE)</f>
        <v>Tsukishima Holdings Co., Ltd.</v>
      </c>
      <c r="E54" s="3" t="s">
        <v>315</v>
      </c>
      <c r="F54" s="5">
        <v>3.3</v>
      </c>
      <c r="G54" s="50">
        <v>20822</v>
      </c>
      <c r="H54" s="50">
        <v>37837</v>
      </c>
      <c r="I54" s="50">
        <v>16432</v>
      </c>
      <c r="J54" s="50">
        <v>20920</v>
      </c>
      <c r="K54" s="50">
        <v>24178</v>
      </c>
      <c r="L54" s="50">
        <v>36248</v>
      </c>
      <c r="M54" s="50">
        <v>17525</v>
      </c>
      <c r="N54" s="50">
        <v>20772</v>
      </c>
      <c r="O54" s="50">
        <v>30716</v>
      </c>
      <c r="P54" s="51">
        <v>55192</v>
      </c>
      <c r="Q54" s="50">
        <v>24103</v>
      </c>
      <c r="R54" s="50">
        <v>29166</v>
      </c>
      <c r="S54" s="50">
        <v>33394</v>
      </c>
      <c r="T54" s="50">
        <v>52572</v>
      </c>
      <c r="U54" s="50">
        <v>24815</v>
      </c>
      <c r="V54" s="50">
        <v>31824</v>
      </c>
      <c r="W54" s="50">
        <v>38047</v>
      </c>
      <c r="X54" s="7">
        <v>-1.8469563991399651E-2</v>
      </c>
      <c r="Y54" s="8">
        <v>5.1136567673357716E-3</v>
      </c>
      <c r="Z54" s="8">
        <v>1.8992904456687221E-2</v>
      </c>
      <c r="AA54" s="8">
        <v>3.2628589460397713E-2</v>
      </c>
    </row>
    <row r="55" spans="2:27" x14ac:dyDescent="0.3">
      <c r="B55" s="11">
        <v>6787</v>
      </c>
      <c r="C55" s="3" t="s">
        <v>326</v>
      </c>
      <c r="D55" s="3" t="str">
        <f>VLOOKUP(B55,기업리스트!B:G,2,FALSE)</f>
        <v>Meiko Electronics Co., Ltd.</v>
      </c>
      <c r="E55" s="3" t="s">
        <v>315</v>
      </c>
      <c r="F55" s="5">
        <v>3.2</v>
      </c>
      <c r="G55" s="50">
        <v>40504</v>
      </c>
      <c r="H55" s="50">
        <v>41301</v>
      </c>
      <c r="I55" s="50">
        <v>40011</v>
      </c>
      <c r="J55" s="50">
        <v>41699</v>
      </c>
      <c r="K55" s="50">
        <v>43546</v>
      </c>
      <c r="L55" s="50">
        <v>42020</v>
      </c>
      <c r="M55" s="50">
        <v>41588</v>
      </c>
      <c r="N55" s="50">
        <v>44628</v>
      </c>
      <c r="O55" s="50">
        <v>47318</v>
      </c>
      <c r="P55" s="50">
        <v>45924</v>
      </c>
      <c r="Q55" s="50">
        <v>47013</v>
      </c>
      <c r="R55" s="50">
        <v>51144</v>
      </c>
      <c r="S55" s="50">
        <v>53600</v>
      </c>
      <c r="T55" s="50">
        <v>55049</v>
      </c>
      <c r="U55" s="50">
        <v>53072</v>
      </c>
      <c r="V55" s="50">
        <v>58421</v>
      </c>
      <c r="W55" s="50">
        <v>60540</v>
      </c>
      <c r="X55" s="7">
        <v>4.6160227841826051E-2</v>
      </c>
      <c r="Y55" s="8">
        <v>2.9297989420036249E-2</v>
      </c>
      <c r="Z55" s="8">
        <v>3.4185986423320047E-2</v>
      </c>
      <c r="AA55" s="8">
        <v>3.152510652215379E-2</v>
      </c>
    </row>
    <row r="56" spans="2:27" x14ac:dyDescent="0.3">
      <c r="B56" s="11">
        <v>7729</v>
      </c>
      <c r="C56" s="3" t="s">
        <v>326</v>
      </c>
      <c r="D56" s="3" t="str">
        <f>VLOOKUP(B56,기업리스트!B:G,2,FALSE)</f>
        <v>Tokyo Seimitsu Co., Ltd.</v>
      </c>
      <c r="E56" s="3" t="s">
        <v>315</v>
      </c>
      <c r="F56" s="5">
        <v>2.7</v>
      </c>
      <c r="G56" s="50">
        <v>31981</v>
      </c>
      <c r="H56" s="50">
        <v>39832</v>
      </c>
      <c r="I56" s="50">
        <v>27919</v>
      </c>
      <c r="J56" s="50">
        <v>43157</v>
      </c>
      <c r="K56" s="50">
        <v>32038</v>
      </c>
      <c r="L56" s="50">
        <v>43687</v>
      </c>
      <c r="M56" s="50">
        <v>26618</v>
      </c>
      <c r="N56" s="50">
        <v>36919</v>
      </c>
      <c r="O56" s="50">
        <v>25358</v>
      </c>
      <c r="P56" s="50">
        <v>45785</v>
      </c>
      <c r="Q56" s="50">
        <v>29626</v>
      </c>
      <c r="R56" s="50">
        <v>41813</v>
      </c>
      <c r="S56" s="50">
        <v>31698</v>
      </c>
      <c r="T56" s="50">
        <v>47397</v>
      </c>
      <c r="U56" s="50">
        <v>30876</v>
      </c>
      <c r="V56" s="50">
        <v>46194</v>
      </c>
      <c r="W56" s="50">
        <v>35901</v>
      </c>
      <c r="X56" s="7">
        <v>1.082445844133173E-2</v>
      </c>
      <c r="Y56" s="8">
        <v>8.3037719053502546E-3</v>
      </c>
      <c r="Z56" s="8">
        <v>2.8863384809993061E-2</v>
      </c>
      <c r="AA56" s="8">
        <v>2.6913841129574401E-2</v>
      </c>
    </row>
    <row r="57" spans="2:27" x14ac:dyDescent="0.3">
      <c r="B57" s="11">
        <v>4534</v>
      </c>
      <c r="C57" s="3" t="s">
        <v>326</v>
      </c>
      <c r="D57" s="3" t="str">
        <f>VLOOKUP(B57,기업리스트!B:G,2,FALSE)</f>
        <v>Mochida Pharmaceutical Co., Ltd.</v>
      </c>
      <c r="E57" s="3" t="s">
        <v>315</v>
      </c>
      <c r="F57" s="5">
        <v>2.6</v>
      </c>
      <c r="G57" s="50">
        <v>30805</v>
      </c>
      <c r="H57" s="50">
        <v>25365</v>
      </c>
      <c r="I57" s="50">
        <v>27692</v>
      </c>
      <c r="J57" s="50">
        <v>25508</v>
      </c>
      <c r="K57" s="50">
        <v>28194</v>
      </c>
      <c r="L57" s="50">
        <v>21867</v>
      </c>
      <c r="M57" s="50">
        <v>24747</v>
      </c>
      <c r="N57" s="50">
        <v>24729</v>
      </c>
      <c r="O57" s="50">
        <v>28742</v>
      </c>
      <c r="P57" s="50">
        <v>24667</v>
      </c>
      <c r="Q57" s="50">
        <v>25407</v>
      </c>
      <c r="R57" s="50">
        <v>25689</v>
      </c>
      <c r="S57" s="50">
        <v>29635</v>
      </c>
      <c r="T57" s="50">
        <v>24428</v>
      </c>
      <c r="U57" s="50">
        <v>26631</v>
      </c>
      <c r="V57" s="50">
        <v>28354</v>
      </c>
      <c r="W57" s="50">
        <v>32502</v>
      </c>
      <c r="X57" s="7">
        <v>-2.267595210535323E-3</v>
      </c>
      <c r="Y57" s="8">
        <v>1.163951730237067E-2</v>
      </c>
      <c r="Z57" s="8">
        <v>2.5050994989801009E-2</v>
      </c>
      <c r="AA57" s="8">
        <v>2.6291174528648039E-2</v>
      </c>
    </row>
    <row r="58" spans="2:27" x14ac:dyDescent="0.3">
      <c r="B58" s="11">
        <v>5214</v>
      </c>
      <c r="C58" s="3" t="s">
        <v>326</v>
      </c>
      <c r="D58" s="3" t="str">
        <f>VLOOKUP(B58,기업리스트!B:G,2,FALSE)</f>
        <v>Nippon Electric Glass Co., Ltd.</v>
      </c>
      <c r="E58" s="3" t="s">
        <v>304</v>
      </c>
      <c r="F58" s="5">
        <v>2.5</v>
      </c>
      <c r="G58" s="50">
        <v>74527</v>
      </c>
      <c r="H58" s="50">
        <v>85991</v>
      </c>
      <c r="I58" s="50">
        <v>86780</v>
      </c>
      <c r="J58" s="50">
        <v>78431</v>
      </c>
      <c r="K58" s="50">
        <v>73432</v>
      </c>
      <c r="L58" s="50">
        <v>67922</v>
      </c>
      <c r="M58" s="50">
        <v>71256</v>
      </c>
      <c r="N58" s="50">
        <v>70191</v>
      </c>
      <c r="O58" s="50">
        <v>70605</v>
      </c>
      <c r="P58" s="50">
        <v>76656</v>
      </c>
      <c r="Q58" s="50">
        <v>78061</v>
      </c>
      <c r="R58" s="50">
        <v>72813</v>
      </c>
      <c r="S58" s="50">
        <v>71707</v>
      </c>
      <c r="T58" s="50">
        <v>74847</v>
      </c>
      <c r="U58" s="50">
        <v>78941</v>
      </c>
      <c r="V58" s="50">
        <v>78306</v>
      </c>
      <c r="W58" s="50">
        <v>79308</v>
      </c>
      <c r="X58" s="7">
        <v>-6.0453754047794517E-3</v>
      </c>
      <c r="Y58" s="8">
        <v>2.958699248221341E-3</v>
      </c>
      <c r="Z58" s="8">
        <v>1.8413854137334651E-2</v>
      </c>
      <c r="AA58" s="8">
        <v>2.501966747969897E-2</v>
      </c>
    </row>
    <row r="59" spans="2:27" x14ac:dyDescent="0.3">
      <c r="B59" s="11">
        <v>9143</v>
      </c>
      <c r="C59" s="3" t="s">
        <v>326</v>
      </c>
      <c r="D59" s="3" t="str">
        <f>VLOOKUP(B59,기업리스트!B:G,2,FALSE)</f>
        <v>SG Holdings Co.,Ltd.</v>
      </c>
      <c r="E59" s="3" t="s">
        <v>315</v>
      </c>
      <c r="F59" s="5">
        <v>2.4</v>
      </c>
      <c r="G59" s="50">
        <v>440586</v>
      </c>
      <c r="H59" s="50">
        <v>421735</v>
      </c>
      <c r="I59" s="50">
        <v>386938</v>
      </c>
      <c r="J59" s="50">
        <v>364374</v>
      </c>
      <c r="K59" s="50">
        <v>364255</v>
      </c>
      <c r="L59" s="50">
        <v>319042</v>
      </c>
      <c r="M59" s="50">
        <v>318511</v>
      </c>
      <c r="N59" s="50">
        <v>324867</v>
      </c>
      <c r="O59" s="50">
        <v>351853</v>
      </c>
      <c r="P59" s="50">
        <v>321709</v>
      </c>
      <c r="Q59" s="50">
        <v>334527</v>
      </c>
      <c r="R59" s="50">
        <v>373502</v>
      </c>
      <c r="S59" s="50">
        <v>410800</v>
      </c>
      <c r="T59" s="50">
        <v>360410</v>
      </c>
      <c r="U59" s="50">
        <v>367404</v>
      </c>
      <c r="V59" s="50">
        <v>415178</v>
      </c>
      <c r="W59" s="50">
        <v>447440</v>
      </c>
      <c r="X59" s="7">
        <v>2.6865657136430961E-2</v>
      </c>
      <c r="Y59" s="8">
        <v>2.2225617361359529E-2</v>
      </c>
      <c r="Z59" s="8">
        <v>2.7561377566271309E-2</v>
      </c>
      <c r="AA59" s="8">
        <v>2.3581019853365252E-2</v>
      </c>
    </row>
    <row r="60" spans="2:27" x14ac:dyDescent="0.3">
      <c r="B60" s="11">
        <v>7740</v>
      </c>
      <c r="C60" s="3" t="s">
        <v>326</v>
      </c>
      <c r="D60" s="3" t="str">
        <f>VLOOKUP(B60,기업리스트!B:G,2,FALSE)</f>
        <v>Tamron Co.,Ltd.</v>
      </c>
      <c r="E60" s="3" t="s">
        <v>304</v>
      </c>
      <c r="F60" s="5">
        <v>2.2999999999999998</v>
      </c>
      <c r="G60" s="50">
        <v>14546</v>
      </c>
      <c r="H60" s="50">
        <v>13820</v>
      </c>
      <c r="I60" s="50">
        <v>17879</v>
      </c>
      <c r="J60" s="50">
        <v>16017</v>
      </c>
      <c r="K60" s="50">
        <v>15729</v>
      </c>
      <c r="L60" s="50">
        <v>14521</v>
      </c>
      <c r="M60" s="50">
        <v>18231</v>
      </c>
      <c r="N60" s="50">
        <v>19031</v>
      </c>
      <c r="O60" s="50">
        <v>19643</v>
      </c>
      <c r="P60" s="50">
        <v>19819</v>
      </c>
      <c r="Q60" s="50">
        <v>25034</v>
      </c>
      <c r="R60" s="50">
        <v>23603</v>
      </c>
      <c r="S60" s="50">
        <v>20019</v>
      </c>
      <c r="T60" s="50">
        <v>19451</v>
      </c>
      <c r="U60" s="50">
        <v>22263</v>
      </c>
      <c r="V60" s="50">
        <v>21389</v>
      </c>
      <c r="W60" s="50">
        <v>21968</v>
      </c>
      <c r="X60" s="7">
        <v>-4.159367052839813E-3</v>
      </c>
      <c r="Y60" s="8">
        <v>-3.1450395541784408E-2</v>
      </c>
      <c r="Z60" s="8">
        <v>-2.5944501734320839E-2</v>
      </c>
      <c r="AA60" s="8">
        <v>2.3447462765573409E-2</v>
      </c>
    </row>
    <row r="61" spans="2:27" x14ac:dyDescent="0.3">
      <c r="B61" s="11">
        <v>7203</v>
      </c>
      <c r="C61" s="3" t="s">
        <v>326</v>
      </c>
      <c r="D61" s="3" t="str">
        <f>VLOOKUP(B61,기업리스트!B:G,2,FALSE)</f>
        <v>Toyota Motor Corporation</v>
      </c>
      <c r="E61" s="3" t="s">
        <v>315</v>
      </c>
      <c r="F61" s="5">
        <v>2.2000000000000002</v>
      </c>
      <c r="G61" s="50">
        <v>7785742</v>
      </c>
      <c r="H61" s="50">
        <v>8112466</v>
      </c>
      <c r="I61" s="50">
        <v>8491116</v>
      </c>
      <c r="J61" s="50">
        <v>9218232</v>
      </c>
      <c r="K61" s="50">
        <v>9754685</v>
      </c>
      <c r="L61" s="50">
        <v>9690265</v>
      </c>
      <c r="M61" s="50">
        <v>10546831</v>
      </c>
      <c r="N61" s="50">
        <v>11434786</v>
      </c>
      <c r="O61" s="50">
        <v>12041103</v>
      </c>
      <c r="P61" s="50">
        <v>11072605</v>
      </c>
      <c r="Q61" s="50">
        <v>11837879</v>
      </c>
      <c r="R61" s="50">
        <v>11444571</v>
      </c>
      <c r="S61" s="50">
        <v>12391095</v>
      </c>
      <c r="T61" s="50">
        <v>12363159</v>
      </c>
      <c r="U61" s="50">
        <v>12253326</v>
      </c>
      <c r="V61" s="50">
        <v>12377427</v>
      </c>
      <c r="W61" s="50">
        <v>13456851</v>
      </c>
      <c r="X61" s="7">
        <v>2.7607706730928609E-2</v>
      </c>
      <c r="Y61" s="8">
        <v>8.6485325887470932E-3</v>
      </c>
      <c r="Z61" s="8">
        <v>1.925313904020487E-2</v>
      </c>
      <c r="AA61" s="8">
        <v>2.1580557840155778E-2</v>
      </c>
    </row>
    <row r="62" spans="2:27" x14ac:dyDescent="0.3">
      <c r="B62" s="11">
        <v>8566</v>
      </c>
      <c r="C62" s="3" t="s">
        <v>326</v>
      </c>
      <c r="D62" s="3" t="str">
        <f>VLOOKUP(B62,기업리스트!B:G,2,FALSE)</f>
        <v>Ricoh Leasing Company, Ltd.</v>
      </c>
      <c r="E62" s="3" t="s">
        <v>315</v>
      </c>
      <c r="F62" s="5">
        <v>2.2000000000000002</v>
      </c>
      <c r="G62" s="50">
        <v>77467</v>
      </c>
      <c r="H62" s="50">
        <v>72663</v>
      </c>
      <c r="I62" s="50">
        <v>76394</v>
      </c>
      <c r="J62" s="50">
        <v>72672</v>
      </c>
      <c r="K62" s="50">
        <v>75617</v>
      </c>
      <c r="L62" s="50">
        <v>74206</v>
      </c>
      <c r="M62" s="50">
        <v>77575</v>
      </c>
      <c r="N62" s="50">
        <v>77766</v>
      </c>
      <c r="O62" s="50">
        <v>79657</v>
      </c>
      <c r="P62" s="50">
        <v>73337</v>
      </c>
      <c r="Q62" s="50">
        <v>75666</v>
      </c>
      <c r="R62" s="50">
        <v>78076</v>
      </c>
      <c r="S62" s="50">
        <v>76321</v>
      </c>
      <c r="T62" s="50">
        <v>82093</v>
      </c>
      <c r="U62" s="50">
        <v>82409</v>
      </c>
      <c r="V62" s="50">
        <v>88485</v>
      </c>
      <c r="W62" s="50">
        <v>83427</v>
      </c>
      <c r="X62" s="7">
        <v>2.8859591298615591E-2</v>
      </c>
      <c r="Y62" s="8">
        <v>2.1601378797780679E-2</v>
      </c>
      <c r="Z62" s="8">
        <v>3.2640428474219219E-2</v>
      </c>
      <c r="AA62" s="8">
        <v>2.1578582967920701E-2</v>
      </c>
    </row>
    <row r="63" spans="2:27" x14ac:dyDescent="0.3">
      <c r="B63" s="11">
        <v>1871</v>
      </c>
      <c r="C63" s="3" t="s">
        <v>326</v>
      </c>
      <c r="D63" s="3" t="str">
        <f>VLOOKUP(B63,기업리스트!B:G,2,FALSE)</f>
        <v>PS Construction Co., Ltd.</v>
      </c>
      <c r="E63" s="3" t="s">
        <v>315</v>
      </c>
      <c r="F63" s="5">
        <v>2.1</v>
      </c>
      <c r="G63" s="50">
        <v>26798</v>
      </c>
      <c r="H63" s="50">
        <v>29090</v>
      </c>
      <c r="I63" s="50">
        <v>23344</v>
      </c>
      <c r="J63" s="50">
        <v>24196</v>
      </c>
      <c r="K63" s="50">
        <v>26180</v>
      </c>
      <c r="L63" s="50">
        <v>35607</v>
      </c>
      <c r="M63" s="50">
        <v>27610</v>
      </c>
      <c r="N63" s="50">
        <v>30059</v>
      </c>
      <c r="O63" s="50">
        <v>32347</v>
      </c>
      <c r="P63" s="50">
        <v>39278</v>
      </c>
      <c r="Q63" s="50">
        <v>31665</v>
      </c>
      <c r="R63" s="50">
        <v>33186</v>
      </c>
      <c r="S63" s="50">
        <v>38067</v>
      </c>
      <c r="T63" s="50">
        <v>32709</v>
      </c>
      <c r="U63" s="50">
        <v>34119</v>
      </c>
      <c r="V63" s="50">
        <v>38932</v>
      </c>
      <c r="W63" s="50">
        <v>41021</v>
      </c>
      <c r="X63" s="7">
        <v>-4.6196798784775887E-2</v>
      </c>
      <c r="Y63" s="8">
        <v>1.8093742396425579E-2</v>
      </c>
      <c r="Z63" s="8">
        <v>4.16132559874276E-2</v>
      </c>
      <c r="AA63" s="8">
        <v>2.0538563691101071E-2</v>
      </c>
    </row>
    <row r="64" spans="2:27" x14ac:dyDescent="0.3">
      <c r="B64" s="11">
        <v>8410</v>
      </c>
      <c r="C64" s="3" t="s">
        <v>326</v>
      </c>
      <c r="D64" s="3" t="str">
        <f>VLOOKUP(B64,기업리스트!B:G,2,FALSE)</f>
        <v>Seven Bank, Ltd.</v>
      </c>
      <c r="E64" s="3" t="s">
        <v>315</v>
      </c>
      <c r="F64" s="5">
        <v>2</v>
      </c>
      <c r="G64" s="50">
        <v>35398</v>
      </c>
      <c r="H64" s="50">
        <v>32552</v>
      </c>
      <c r="I64" s="50">
        <v>35675</v>
      </c>
      <c r="J64" s="50">
        <v>37687</v>
      </c>
      <c r="K64" s="50">
        <v>39349</v>
      </c>
      <c r="L64" s="50">
        <v>40195</v>
      </c>
      <c r="M64" s="50">
        <v>40639</v>
      </c>
      <c r="N64" s="50">
        <v>49804</v>
      </c>
      <c r="O64" s="50">
        <v>51478</v>
      </c>
      <c r="P64" s="50">
        <v>50691</v>
      </c>
      <c r="Q64" s="50">
        <v>37069</v>
      </c>
      <c r="R64" s="50">
        <v>52669</v>
      </c>
      <c r="S64" s="50">
        <v>52452</v>
      </c>
      <c r="T64" s="50">
        <v>51039</v>
      </c>
      <c r="U64" s="50">
        <v>38873</v>
      </c>
      <c r="V64" s="50">
        <v>64830</v>
      </c>
      <c r="W64" s="50">
        <v>56678</v>
      </c>
      <c r="X64" s="7">
        <v>1.8042212555928749E-3</v>
      </c>
      <c r="Y64" s="8">
        <v>9.3360727427043155E-3</v>
      </c>
      <c r="Z64" s="8">
        <v>6.2353550424799842E-2</v>
      </c>
      <c r="AA64" s="8">
        <v>2.0396343523461091E-2</v>
      </c>
    </row>
    <row r="65" spans="2:27" x14ac:dyDescent="0.3">
      <c r="B65" s="11">
        <v>9045</v>
      </c>
      <c r="C65" s="3" t="s">
        <v>326</v>
      </c>
      <c r="D65" s="3" t="str">
        <f>VLOOKUP(B65,기업리스트!B:G,2,FALSE)</f>
        <v>Keihan Holdings Co., Ltd.</v>
      </c>
      <c r="E65" s="3" t="s">
        <v>315</v>
      </c>
      <c r="F65" s="5">
        <v>1.9</v>
      </c>
      <c r="G65" s="50">
        <v>60468</v>
      </c>
      <c r="H65" s="50">
        <v>79086</v>
      </c>
      <c r="I65" s="50">
        <v>64039</v>
      </c>
      <c r="J65" s="50">
        <v>59104</v>
      </c>
      <c r="K65" s="50">
        <v>58180</v>
      </c>
      <c r="L65" s="50">
        <v>78747</v>
      </c>
      <c r="M65" s="50">
        <v>65423</v>
      </c>
      <c r="N65" s="50">
        <v>68444</v>
      </c>
      <c r="O65" s="50">
        <v>71663</v>
      </c>
      <c r="P65" s="50">
        <v>96617</v>
      </c>
      <c r="Q65" s="50">
        <v>80952</v>
      </c>
      <c r="R65" s="50">
        <v>77422</v>
      </c>
      <c r="S65" s="50">
        <v>75623</v>
      </c>
      <c r="T65" s="50">
        <v>79549</v>
      </c>
      <c r="U65" s="50">
        <v>72827</v>
      </c>
      <c r="V65" s="50">
        <v>71538</v>
      </c>
      <c r="W65" s="50">
        <v>81376</v>
      </c>
      <c r="X65" s="7">
        <v>-5.1625158039284469E-2</v>
      </c>
      <c r="Y65" s="8">
        <v>-2.5913263125665779E-2</v>
      </c>
      <c r="Z65" s="8">
        <v>-1.92652109710858E-2</v>
      </c>
      <c r="AA65" s="8">
        <v>1.920630840263482E-2</v>
      </c>
    </row>
    <row r="66" spans="2:27" x14ac:dyDescent="0.3">
      <c r="B66" s="11">
        <v>9302</v>
      </c>
      <c r="C66" s="3" t="s">
        <v>326</v>
      </c>
      <c r="D66" s="3" t="str">
        <f>VLOOKUP(B66,기업리스트!B:G,2,FALSE)</f>
        <v>MITSUI-SOKO HOLDINGS Co., Ltd.</v>
      </c>
      <c r="E66" s="3" t="s">
        <v>315</v>
      </c>
      <c r="F66" s="5">
        <v>1.9</v>
      </c>
      <c r="G66" s="50">
        <v>76725</v>
      </c>
      <c r="H66" s="50">
        <v>84253</v>
      </c>
      <c r="I66" s="50">
        <v>78584</v>
      </c>
      <c r="J66" s="50">
        <v>78668</v>
      </c>
      <c r="K66" s="50">
        <v>77065</v>
      </c>
      <c r="L66" s="50">
        <v>66519</v>
      </c>
      <c r="M66" s="50">
        <v>65988</v>
      </c>
      <c r="N66" s="50">
        <v>65874</v>
      </c>
      <c r="O66" s="50">
        <v>65602</v>
      </c>
      <c r="P66" s="50">
        <v>63129</v>
      </c>
      <c r="Q66" s="50">
        <v>65620</v>
      </c>
      <c r="R66" s="50">
        <v>73052</v>
      </c>
      <c r="S66" s="50">
        <v>73332</v>
      </c>
      <c r="T66" s="50">
        <v>68738</v>
      </c>
      <c r="U66" s="50">
        <v>73624</v>
      </c>
      <c r="V66" s="50">
        <v>73385</v>
      </c>
      <c r="W66" s="50">
        <v>78830</v>
      </c>
      <c r="X66" s="7">
        <v>2.0386503981710598E-2</v>
      </c>
      <c r="Y66" s="8">
        <v>2.8510162355472209E-2</v>
      </c>
      <c r="Z66" s="8">
        <v>1.153262729180593E-3</v>
      </c>
      <c r="AA66" s="8">
        <v>1.90190224817437E-2</v>
      </c>
    </row>
    <row r="67" spans="2:27" x14ac:dyDescent="0.3">
      <c r="B67" s="11">
        <v>9072</v>
      </c>
      <c r="C67" s="3" t="s">
        <v>326</v>
      </c>
      <c r="D67" s="3" t="str">
        <f>VLOOKUP(B67,기업리스트!B:G,2,FALSE)</f>
        <v>NIKKON Holdings Co.,Ltd.</v>
      </c>
      <c r="E67" s="3" t="s">
        <v>315</v>
      </c>
      <c r="F67" s="5">
        <v>1.9</v>
      </c>
      <c r="G67" s="50">
        <v>51948</v>
      </c>
      <c r="H67" s="50">
        <v>51597</v>
      </c>
      <c r="I67" s="50">
        <v>50578</v>
      </c>
      <c r="J67" s="50">
        <v>53173</v>
      </c>
      <c r="K67" s="50">
        <v>55071</v>
      </c>
      <c r="L67" s="50">
        <v>53249</v>
      </c>
      <c r="M67" s="50">
        <v>53452</v>
      </c>
      <c r="N67" s="50">
        <v>54875</v>
      </c>
      <c r="O67" s="50">
        <v>58224</v>
      </c>
      <c r="P67" s="50">
        <v>55773</v>
      </c>
      <c r="Q67" s="50">
        <v>57968</v>
      </c>
      <c r="R67" s="50">
        <v>62393</v>
      </c>
      <c r="S67" s="50">
        <v>64601</v>
      </c>
      <c r="T67" s="50">
        <v>62928</v>
      </c>
      <c r="U67" s="50">
        <v>65826</v>
      </c>
      <c r="V67" s="50">
        <v>66086</v>
      </c>
      <c r="W67" s="50">
        <v>69463</v>
      </c>
      <c r="X67" s="7">
        <v>2.9721477973705609E-2</v>
      </c>
      <c r="Y67" s="8">
        <v>3.1699544152648418E-2</v>
      </c>
      <c r="Z67" s="8">
        <v>1.4439995620689089E-2</v>
      </c>
      <c r="AA67" s="8">
        <v>1.8740291626998081E-2</v>
      </c>
    </row>
    <row r="68" spans="2:27" x14ac:dyDescent="0.3">
      <c r="B68" s="11">
        <v>6925</v>
      </c>
      <c r="C68" s="3" t="s">
        <v>326</v>
      </c>
      <c r="D68" s="3" t="str">
        <f>VLOOKUP(B68,기업리스트!B:G,2,FALSE)</f>
        <v>Ushio Inc.</v>
      </c>
      <c r="E68" s="3" t="s">
        <v>315</v>
      </c>
      <c r="F68" s="5">
        <v>1.8</v>
      </c>
      <c r="G68" s="50">
        <v>38120</v>
      </c>
      <c r="H68" s="50">
        <v>39107</v>
      </c>
      <c r="I68" s="50">
        <v>39728</v>
      </c>
      <c r="J68" s="50">
        <v>48227</v>
      </c>
      <c r="K68" s="50">
        <v>40407</v>
      </c>
      <c r="L68" s="50">
        <v>46663</v>
      </c>
      <c r="M68" s="50">
        <v>39281</v>
      </c>
      <c r="N68" s="50">
        <v>45722</v>
      </c>
      <c r="O68" s="50">
        <v>47507</v>
      </c>
      <c r="P68" s="50">
        <v>46910</v>
      </c>
      <c r="Q68" s="50">
        <v>37539</v>
      </c>
      <c r="R68" s="50">
        <v>48104</v>
      </c>
      <c r="S68" s="50">
        <v>42456</v>
      </c>
      <c r="T68" s="50">
        <v>49517</v>
      </c>
      <c r="U68" s="50">
        <v>38356</v>
      </c>
      <c r="V68" s="50">
        <v>43069</v>
      </c>
      <c r="W68" s="50">
        <v>45522</v>
      </c>
      <c r="X68" s="7">
        <v>1.4896376757766779E-2</v>
      </c>
      <c r="Y68" s="8">
        <v>4.5998108278533234E-3</v>
      </c>
      <c r="Z68" s="8">
        <v>-2.8217874496309529E-2</v>
      </c>
      <c r="AA68" s="8">
        <v>1.7681864842731709E-2</v>
      </c>
    </row>
    <row r="69" spans="2:27" x14ac:dyDescent="0.3">
      <c r="B69" s="11">
        <v>7994</v>
      </c>
      <c r="C69" s="3" t="s">
        <v>326</v>
      </c>
      <c r="D69" s="3" t="str">
        <f>VLOOKUP(B69,기업리스트!B:G,2,FALSE)</f>
        <v>Okamura Corporation</v>
      </c>
      <c r="E69" s="3" t="s">
        <v>315</v>
      </c>
      <c r="F69" s="5">
        <v>1.4</v>
      </c>
      <c r="G69" s="50">
        <v>63840</v>
      </c>
      <c r="H69" s="50">
        <v>78408</v>
      </c>
      <c r="I69" s="50">
        <v>63722</v>
      </c>
      <c r="J69" s="50">
        <v>66200</v>
      </c>
      <c r="K69" s="50">
        <v>67609</v>
      </c>
      <c r="L69" s="50">
        <v>79484</v>
      </c>
      <c r="M69" s="50">
        <v>71081</v>
      </c>
      <c r="N69" s="50">
        <v>68531</v>
      </c>
      <c r="O69" s="50">
        <v>70609</v>
      </c>
      <c r="P69" s="50">
        <v>88074</v>
      </c>
      <c r="Q69" s="50">
        <v>72833</v>
      </c>
      <c r="R69" s="50">
        <v>72816</v>
      </c>
      <c r="S69" s="50">
        <v>75196</v>
      </c>
      <c r="T69" s="50">
        <v>93682</v>
      </c>
      <c r="U69" s="50">
        <v>75449</v>
      </c>
      <c r="V69" s="50">
        <v>78327</v>
      </c>
      <c r="W69" s="50">
        <v>79686</v>
      </c>
      <c r="X69" s="7">
        <v>1.8153626031419231E-2</v>
      </c>
      <c r="Y69" s="8">
        <v>8.3172509832223351E-3</v>
      </c>
      <c r="Z69" s="8">
        <v>1.7377019199540818E-2</v>
      </c>
      <c r="AA69" s="8">
        <v>1.391583553899833E-2</v>
      </c>
    </row>
    <row r="70" spans="2:27" x14ac:dyDescent="0.3">
      <c r="B70" s="11">
        <v>3028</v>
      </c>
      <c r="C70" s="3" t="s">
        <v>326</v>
      </c>
      <c r="D70" s="3" t="str">
        <f>VLOOKUP(B70,기업리스트!B:G,2,FALSE)</f>
        <v>Alpen Co.,Ltd.</v>
      </c>
      <c r="E70" s="3" t="s">
        <v>310</v>
      </c>
      <c r="F70" s="5">
        <v>1.4</v>
      </c>
      <c r="G70" s="50">
        <v>60332</v>
      </c>
      <c r="H70" s="50">
        <v>53131</v>
      </c>
      <c r="I70" s="50">
        <v>66301</v>
      </c>
      <c r="J70" s="50">
        <v>56891</v>
      </c>
      <c r="K70" s="50">
        <v>63367</v>
      </c>
      <c r="L70" s="50">
        <v>58670</v>
      </c>
      <c r="M70" s="50">
        <v>65612</v>
      </c>
      <c r="N70" s="50">
        <v>59049</v>
      </c>
      <c r="O70" s="50">
        <v>63352</v>
      </c>
      <c r="P70" s="50">
        <v>60048</v>
      </c>
      <c r="Q70" s="50">
        <v>70487</v>
      </c>
      <c r="R70" s="50">
        <v>62362</v>
      </c>
      <c r="S70" s="50">
        <v>68040</v>
      </c>
      <c r="T70" s="50">
        <v>65628</v>
      </c>
      <c r="U70" s="50">
        <v>72625</v>
      </c>
      <c r="V70" s="50">
        <v>65424</v>
      </c>
      <c r="W70" s="50">
        <v>71731</v>
      </c>
      <c r="X70" s="7">
        <v>2.1384472113958441E-2</v>
      </c>
      <c r="Y70" s="8">
        <v>8.0220023488182246E-3</v>
      </c>
      <c r="Z70" s="8">
        <v>1.1397517261915849E-2</v>
      </c>
      <c r="AA70" s="8">
        <v>1.3583986279842589E-2</v>
      </c>
    </row>
    <row r="71" spans="2:27" x14ac:dyDescent="0.3">
      <c r="B71" s="11">
        <v>6371</v>
      </c>
      <c r="C71" s="3" t="s">
        <v>326</v>
      </c>
      <c r="D71" s="3" t="str">
        <f>VLOOKUP(B71,기업리스트!B:G,2,FALSE)</f>
        <v>Tsubakimoto Chain Co.</v>
      </c>
      <c r="E71" s="3" t="s">
        <v>315</v>
      </c>
      <c r="F71" s="5">
        <v>1.3</v>
      </c>
      <c r="G71" s="50">
        <v>52941</v>
      </c>
      <c r="H71" s="50">
        <v>60420</v>
      </c>
      <c r="I71" s="50">
        <v>57968</v>
      </c>
      <c r="J71" s="50">
        <v>60965</v>
      </c>
      <c r="K71" s="50">
        <v>63931</v>
      </c>
      <c r="L71" s="50">
        <v>68710</v>
      </c>
      <c r="M71" s="50">
        <v>61946</v>
      </c>
      <c r="N71" s="50">
        <v>66814</v>
      </c>
      <c r="O71" s="50">
        <v>68046</v>
      </c>
      <c r="P71" s="50">
        <v>70006</v>
      </c>
      <c r="Q71" s="50">
        <v>66455</v>
      </c>
      <c r="R71" s="50">
        <v>69905</v>
      </c>
      <c r="S71" s="50">
        <v>70250</v>
      </c>
      <c r="T71" s="50">
        <v>72583</v>
      </c>
      <c r="U71" s="50">
        <v>65317</v>
      </c>
      <c r="V71" s="50">
        <v>70317</v>
      </c>
      <c r="W71" s="50">
        <v>73767</v>
      </c>
      <c r="X71" s="7">
        <v>9.3161639239958127E-3</v>
      </c>
      <c r="Y71" s="8">
        <v>-4.0760334249068109E-3</v>
      </c>
      <c r="Z71" s="8">
        <v>1.481721242200251E-3</v>
      </c>
      <c r="AA71" s="8">
        <v>1.262986278445921E-2</v>
      </c>
    </row>
    <row r="72" spans="2:27" x14ac:dyDescent="0.3">
      <c r="B72" s="11">
        <v>4694</v>
      </c>
      <c r="C72" s="3" t="s">
        <v>326</v>
      </c>
      <c r="D72" s="3" t="str">
        <f>VLOOKUP(B72,기업리스트!B:G,2,FALSE)</f>
        <v>BML, Inc.</v>
      </c>
      <c r="E72" s="3" t="s">
        <v>315</v>
      </c>
      <c r="F72" s="5">
        <v>1.1000000000000001</v>
      </c>
      <c r="G72" s="50">
        <v>41010</v>
      </c>
      <c r="H72" s="50">
        <v>49357</v>
      </c>
      <c r="I72" s="50">
        <v>40478</v>
      </c>
      <c r="J72" s="50">
        <v>43234</v>
      </c>
      <c r="K72" s="50">
        <v>40223</v>
      </c>
      <c r="L72" s="50">
        <v>35527</v>
      </c>
      <c r="M72" s="50">
        <v>35272</v>
      </c>
      <c r="N72" s="50">
        <v>34837</v>
      </c>
      <c r="O72" s="50">
        <v>35106</v>
      </c>
      <c r="P72" s="50">
        <v>32749</v>
      </c>
      <c r="Q72" s="50">
        <v>35592</v>
      </c>
      <c r="R72" s="50">
        <v>35781</v>
      </c>
      <c r="S72" s="50">
        <v>37206</v>
      </c>
      <c r="T72" s="50">
        <v>34612</v>
      </c>
      <c r="U72" s="50">
        <v>38026</v>
      </c>
      <c r="V72" s="50">
        <v>37602</v>
      </c>
      <c r="W72" s="50">
        <v>38847</v>
      </c>
      <c r="X72" s="7">
        <v>1.3182101211366429E-2</v>
      </c>
      <c r="Y72" s="8">
        <v>1.699827503125206E-2</v>
      </c>
      <c r="Z72" s="8">
        <v>1.250472103004285E-2</v>
      </c>
      <c r="AA72" s="8">
        <v>1.1129498256988951E-2</v>
      </c>
    </row>
    <row r="73" spans="2:27" x14ac:dyDescent="0.3">
      <c r="B73" s="11">
        <v>9433</v>
      </c>
      <c r="C73" s="3" t="s">
        <v>326</v>
      </c>
      <c r="D73" s="3" t="str">
        <f>VLOOKUP(B73,기업리스트!B:G,2,FALSE)</f>
        <v>KDDI Corporation</v>
      </c>
      <c r="E73" s="3" t="s">
        <v>310</v>
      </c>
      <c r="F73" s="5">
        <v>1</v>
      </c>
      <c r="G73" s="50">
        <v>1324896</v>
      </c>
      <c r="H73" s="50">
        <v>1410774</v>
      </c>
      <c r="I73" s="50">
        <v>1410774</v>
      </c>
      <c r="J73" s="50">
        <v>1351676</v>
      </c>
      <c r="K73" s="50">
        <v>1389159</v>
      </c>
      <c r="L73" s="50">
        <v>1442057</v>
      </c>
      <c r="M73" s="50">
        <v>1488869</v>
      </c>
      <c r="N73" s="50">
        <v>1332576</v>
      </c>
      <c r="O73" s="50">
        <v>1446392</v>
      </c>
      <c r="P73" s="50">
        <v>1486564</v>
      </c>
      <c r="Q73" s="50">
        <v>1488516</v>
      </c>
      <c r="R73" s="50">
        <v>1389138</v>
      </c>
      <c r="S73" s="50">
        <v>1466575</v>
      </c>
      <c r="T73" s="50">
        <v>1508482</v>
      </c>
      <c r="U73" s="50">
        <v>1553758</v>
      </c>
      <c r="V73" s="50">
        <v>1436328</v>
      </c>
      <c r="W73" s="50">
        <v>1526833</v>
      </c>
      <c r="X73" s="7">
        <v>3.7590084230394449E-3</v>
      </c>
      <c r="Y73" s="8">
        <v>1.1147312758138961E-2</v>
      </c>
      <c r="Z73" s="8">
        <v>7.9740410239823589E-3</v>
      </c>
      <c r="AA73" s="8">
        <v>1.010168574332582E-2</v>
      </c>
    </row>
    <row r="74" spans="2:27" x14ac:dyDescent="0.3">
      <c r="B74" s="11">
        <v>3360</v>
      </c>
      <c r="C74" s="3" t="s">
        <v>326</v>
      </c>
      <c r="D74" s="3" t="str">
        <f>VLOOKUP(B74,기업리스트!B:G,2,FALSE)</f>
        <v>Ship Healthcare Holdings, Inc.</v>
      </c>
      <c r="E74" s="3" t="s">
        <v>315</v>
      </c>
      <c r="F74" s="5">
        <v>1</v>
      </c>
      <c r="G74" s="50">
        <v>128491</v>
      </c>
      <c r="H74" s="50">
        <v>151199</v>
      </c>
      <c r="I74" s="50">
        <v>121214</v>
      </c>
      <c r="J74" s="50">
        <v>142306</v>
      </c>
      <c r="K74" s="50">
        <v>143600</v>
      </c>
      <c r="L74" s="50">
        <v>165165</v>
      </c>
      <c r="M74" s="50">
        <v>146467</v>
      </c>
      <c r="N74" s="50">
        <v>150304</v>
      </c>
      <c r="O74" s="50">
        <v>156286</v>
      </c>
      <c r="P74" s="50">
        <v>177931</v>
      </c>
      <c r="Q74" s="50">
        <v>155219</v>
      </c>
      <c r="R74" s="50">
        <v>154813</v>
      </c>
      <c r="S74" s="50">
        <v>182240</v>
      </c>
      <c r="T74" s="50">
        <v>185957</v>
      </c>
      <c r="U74" s="50">
        <v>163310</v>
      </c>
      <c r="V74" s="50">
        <v>170075</v>
      </c>
      <c r="W74" s="50">
        <v>189030</v>
      </c>
      <c r="X74" s="7">
        <v>1.1975476087096039E-2</v>
      </c>
      <c r="Y74" s="8">
        <v>1.192959899974788E-2</v>
      </c>
      <c r="Z74" s="8">
        <v>2.2237440261102751E-2</v>
      </c>
      <c r="AA74" s="8">
        <v>9.6781274320036914E-3</v>
      </c>
    </row>
    <row r="75" spans="2:27" x14ac:dyDescent="0.3">
      <c r="B75" s="11">
        <v>5186</v>
      </c>
      <c r="C75" s="3" t="s">
        <v>326</v>
      </c>
      <c r="D75" s="3" t="str">
        <f>VLOOKUP(B75,기업리스트!B:G,2,FALSE)</f>
        <v>Nitta Corporation</v>
      </c>
      <c r="E75" s="3" t="s">
        <v>315</v>
      </c>
      <c r="F75" s="5">
        <v>0.9</v>
      </c>
      <c r="G75" s="50">
        <v>20848</v>
      </c>
      <c r="H75" s="50">
        <v>21566</v>
      </c>
      <c r="I75" s="50">
        <v>21029</v>
      </c>
      <c r="J75" s="50">
        <v>22007</v>
      </c>
      <c r="K75" s="50">
        <v>22440</v>
      </c>
      <c r="L75" s="50">
        <v>22524</v>
      </c>
      <c r="M75" s="50">
        <v>21725</v>
      </c>
      <c r="N75" s="50">
        <v>22040</v>
      </c>
      <c r="O75" s="50">
        <v>22864</v>
      </c>
      <c r="P75" s="50">
        <v>21980</v>
      </c>
      <c r="Q75" s="50">
        <v>21634</v>
      </c>
      <c r="R75" s="50">
        <v>22720</v>
      </c>
      <c r="S75" s="50">
        <v>22495</v>
      </c>
      <c r="T75" s="50">
        <v>23427</v>
      </c>
      <c r="U75" s="50">
        <v>21625</v>
      </c>
      <c r="V75" s="50">
        <v>22487</v>
      </c>
      <c r="W75" s="50">
        <v>23289</v>
      </c>
      <c r="X75" s="7">
        <v>1.6289725202355051E-2</v>
      </c>
      <c r="Y75" s="8">
        <v>-9.9694270902617177E-5</v>
      </c>
      <c r="Z75" s="8">
        <v>-2.581231236221448E-3</v>
      </c>
      <c r="AA75" s="8">
        <v>8.8188906413133594E-3</v>
      </c>
    </row>
    <row r="76" spans="2:27" x14ac:dyDescent="0.3">
      <c r="B76" s="11">
        <v>7287</v>
      </c>
      <c r="C76" s="3" t="s">
        <v>326</v>
      </c>
      <c r="D76" s="3" t="str">
        <f>VLOOKUP(B76,기업리스트!B:G,2,FALSE)</f>
        <v>Nippon Seiki Co., Ltd.</v>
      </c>
      <c r="E76" s="3" t="s">
        <v>315</v>
      </c>
      <c r="F76" s="5">
        <v>0.9</v>
      </c>
      <c r="G76" s="50">
        <v>55708</v>
      </c>
      <c r="H76" s="50">
        <v>62912</v>
      </c>
      <c r="I76" s="50">
        <v>56212</v>
      </c>
      <c r="J76" s="50">
        <v>71742</v>
      </c>
      <c r="K76" s="50">
        <v>71570</v>
      </c>
      <c r="L76" s="50">
        <v>76251</v>
      </c>
      <c r="M76" s="50">
        <v>74397</v>
      </c>
      <c r="N76" s="50">
        <v>75794</v>
      </c>
      <c r="O76" s="50">
        <v>79454</v>
      </c>
      <c r="P76" s="50">
        <v>82709</v>
      </c>
      <c r="Q76" s="50">
        <v>76383</v>
      </c>
      <c r="R76" s="50">
        <v>76064</v>
      </c>
      <c r="S76" s="50">
        <v>75353</v>
      </c>
      <c r="T76" s="50">
        <v>88597</v>
      </c>
      <c r="U76" s="50">
        <v>76224</v>
      </c>
      <c r="V76" s="50">
        <v>80018</v>
      </c>
      <c r="W76" s="50">
        <v>78120</v>
      </c>
      <c r="X76" s="7">
        <v>1.896241332779414E-2</v>
      </c>
      <c r="Y76" s="8">
        <v>-5.0253320985971239E-4</v>
      </c>
      <c r="Z76" s="8">
        <v>1.2503241229706809E-2</v>
      </c>
      <c r="AA76" s="8">
        <v>8.6416899860084495E-3</v>
      </c>
    </row>
    <row r="77" spans="2:27" x14ac:dyDescent="0.3">
      <c r="B77" s="11">
        <v>5021</v>
      </c>
      <c r="C77" s="3" t="s">
        <v>326</v>
      </c>
      <c r="D77" s="3" t="str">
        <f>VLOOKUP(B77,기업리스트!B:G,2,FALSE)</f>
        <v>Cosmo Energy Holdings Co., Ltd.</v>
      </c>
      <c r="E77" s="3" t="s">
        <v>310</v>
      </c>
      <c r="F77" s="5">
        <v>0.7</v>
      </c>
      <c r="G77" s="50">
        <v>566033</v>
      </c>
      <c r="H77" s="50">
        <v>652977</v>
      </c>
      <c r="I77" s="50">
        <v>691811</v>
      </c>
      <c r="J77" s="50">
        <v>662434</v>
      </c>
      <c r="K77" s="50">
        <v>709159</v>
      </c>
      <c r="L77" s="50">
        <v>724498</v>
      </c>
      <c r="M77" s="50">
        <v>695781</v>
      </c>
      <c r="N77" s="50">
        <v>608613</v>
      </c>
      <c r="O77" s="50">
        <v>699851</v>
      </c>
      <c r="P77" s="50">
        <v>704735</v>
      </c>
      <c r="Q77" s="50">
        <v>716371</v>
      </c>
      <c r="R77" s="50">
        <v>655143</v>
      </c>
      <c r="S77" s="50">
        <v>665988</v>
      </c>
      <c r="T77" s="50">
        <v>717301</v>
      </c>
      <c r="U77" s="50">
        <v>761515</v>
      </c>
      <c r="V77" s="50">
        <v>648544</v>
      </c>
      <c r="W77" s="50">
        <v>685238</v>
      </c>
      <c r="X77" s="7">
        <v>4.5823902164545682E-3</v>
      </c>
      <c r="Y77" s="8">
        <v>1.638737869822271E-2</v>
      </c>
      <c r="Z77" s="8">
        <v>-2.3568303257168739E-3</v>
      </c>
      <c r="AA77" s="8">
        <v>6.8913719307439614E-3</v>
      </c>
    </row>
    <row r="78" spans="2:27" x14ac:dyDescent="0.3">
      <c r="B78" s="11">
        <v>5930</v>
      </c>
      <c r="C78" s="3" t="s">
        <v>326</v>
      </c>
      <c r="D78" s="3" t="str">
        <f>VLOOKUP(B78,기업리스트!B:G,2,FALSE)</f>
        <v>Bunka Shutter Co., Ltd.</v>
      </c>
      <c r="E78" s="3" t="s">
        <v>315</v>
      </c>
      <c r="F78" s="5">
        <v>0.7</v>
      </c>
      <c r="G78" s="50">
        <v>44395</v>
      </c>
      <c r="H78" s="50">
        <v>53908</v>
      </c>
      <c r="I78" s="50">
        <v>39117</v>
      </c>
      <c r="J78" s="50">
        <v>47447</v>
      </c>
      <c r="K78" s="50">
        <v>50549</v>
      </c>
      <c r="L78" s="50">
        <v>62066</v>
      </c>
      <c r="M78" s="50">
        <v>45477</v>
      </c>
      <c r="N78" s="50">
        <v>53198</v>
      </c>
      <c r="O78" s="50">
        <v>55489</v>
      </c>
      <c r="P78" s="50">
        <v>66912</v>
      </c>
      <c r="Q78" s="50">
        <v>46315</v>
      </c>
      <c r="R78" s="50">
        <v>55983</v>
      </c>
      <c r="S78" s="50">
        <v>57645</v>
      </c>
      <c r="T78" s="50">
        <v>68476</v>
      </c>
      <c r="U78" s="50">
        <v>48676</v>
      </c>
      <c r="V78" s="50">
        <v>56600</v>
      </c>
      <c r="W78" s="50">
        <v>59186</v>
      </c>
      <c r="X78" s="7">
        <v>6.8942716713318308E-3</v>
      </c>
      <c r="Y78" s="8">
        <v>1.033626799872156E-2</v>
      </c>
      <c r="Z78" s="8">
        <v>2.6735419013779178E-3</v>
      </c>
      <c r="AA78" s="8">
        <v>6.6595504695392549E-3</v>
      </c>
    </row>
    <row r="79" spans="2:27" x14ac:dyDescent="0.3">
      <c r="B79" s="11">
        <v>9869</v>
      </c>
      <c r="C79" s="3" t="s">
        <v>326</v>
      </c>
      <c r="D79" s="3" t="str">
        <f>VLOOKUP(B79,기업리스트!B:G,2,FALSE)</f>
        <v>Kato Sangyo Co., Ltd.</v>
      </c>
      <c r="E79" s="3" t="s">
        <v>313</v>
      </c>
      <c r="F79" s="5">
        <v>0.7</v>
      </c>
      <c r="G79" s="50">
        <v>263649</v>
      </c>
      <c r="H79" s="50">
        <v>251494</v>
      </c>
      <c r="I79" s="50">
        <v>252740</v>
      </c>
      <c r="J79" s="50">
        <v>267781</v>
      </c>
      <c r="K79" s="50">
        <v>284691</v>
      </c>
      <c r="L79" s="50">
        <v>259840</v>
      </c>
      <c r="M79" s="50">
        <v>269797</v>
      </c>
      <c r="N79" s="50">
        <v>285063</v>
      </c>
      <c r="O79" s="50">
        <v>302436</v>
      </c>
      <c r="P79" s="50">
        <v>281410</v>
      </c>
      <c r="Q79" s="50">
        <v>285812</v>
      </c>
      <c r="R79" s="50">
        <v>300176</v>
      </c>
      <c r="S79" s="50">
        <v>316265</v>
      </c>
      <c r="T79" s="50">
        <v>294095</v>
      </c>
      <c r="U79" s="50">
        <v>298474</v>
      </c>
      <c r="V79" s="50">
        <v>305431</v>
      </c>
      <c r="W79" s="50">
        <v>324249</v>
      </c>
      <c r="X79" s="7">
        <v>1.071673271868767E-2</v>
      </c>
      <c r="Y79" s="8">
        <v>1.058387693213003E-2</v>
      </c>
      <c r="Z79" s="8">
        <v>4.3465314596240479E-3</v>
      </c>
      <c r="AA79" s="8">
        <v>6.5751709882109211E-3</v>
      </c>
    </row>
    <row r="80" spans="2:27" x14ac:dyDescent="0.3">
      <c r="B80" s="11">
        <v>4665</v>
      </c>
      <c r="C80" s="3" t="s">
        <v>326</v>
      </c>
      <c r="D80" s="3" t="str">
        <f>VLOOKUP(B80,기업리스트!B:G,2,FALSE)</f>
        <v>Duskin Co., Ltd.</v>
      </c>
      <c r="E80" s="3" t="s">
        <v>315</v>
      </c>
      <c r="F80" s="5">
        <v>0.6</v>
      </c>
      <c r="G80" s="50">
        <v>43081</v>
      </c>
      <c r="H80" s="50">
        <v>39916</v>
      </c>
      <c r="I80" s="50">
        <v>40940</v>
      </c>
      <c r="J80" s="50">
        <v>40973</v>
      </c>
      <c r="K80" s="50">
        <v>46267</v>
      </c>
      <c r="L80" s="50">
        <v>42314</v>
      </c>
      <c r="M80" s="50">
        <v>43631</v>
      </c>
      <c r="N80" s="50">
        <v>42190</v>
      </c>
      <c r="O80" s="50">
        <v>48930</v>
      </c>
      <c r="P80" s="50">
        <v>44031</v>
      </c>
      <c r="Q80" s="50">
        <v>45216</v>
      </c>
      <c r="R80" s="50">
        <v>46511</v>
      </c>
      <c r="S80" s="50">
        <v>50506</v>
      </c>
      <c r="T80" s="50">
        <v>46558</v>
      </c>
      <c r="U80" s="50">
        <v>47276</v>
      </c>
      <c r="V80" s="50">
        <v>47802</v>
      </c>
      <c r="W80" s="50">
        <v>51749</v>
      </c>
      <c r="X80" s="7">
        <v>1.3566765451187511E-2</v>
      </c>
      <c r="Y80" s="8">
        <v>1.0911537096577771E-2</v>
      </c>
      <c r="Z80" s="8">
        <v>6.7644392746173398E-3</v>
      </c>
      <c r="AA80" s="8">
        <v>6.469173840180753E-3</v>
      </c>
    </row>
    <row r="81" spans="2:27" x14ac:dyDescent="0.3">
      <c r="B81" s="11">
        <v>2702</v>
      </c>
      <c r="C81" s="3" t="s">
        <v>326</v>
      </c>
      <c r="D81" s="3" t="str">
        <f>VLOOKUP(B81,기업리스트!B:G,2,FALSE)</f>
        <v>McDonald's Holdings Company (Japan), Ltd.</v>
      </c>
      <c r="E81" s="3" t="s">
        <v>304</v>
      </c>
      <c r="F81" s="5">
        <v>0.6</v>
      </c>
      <c r="G81" s="50">
        <v>81144</v>
      </c>
      <c r="H81" s="50">
        <v>84289</v>
      </c>
      <c r="I81" s="50">
        <v>83938</v>
      </c>
      <c r="J81" s="50">
        <v>92037</v>
      </c>
      <c r="K81" s="50">
        <v>92037</v>
      </c>
      <c r="L81" s="50">
        <v>92059</v>
      </c>
      <c r="M81" s="50">
        <v>90401</v>
      </c>
      <c r="N81" s="50">
        <v>99973</v>
      </c>
      <c r="O81" s="50">
        <v>99556</v>
      </c>
      <c r="P81" s="50">
        <v>101369</v>
      </c>
      <c r="Q81" s="50">
        <v>99627</v>
      </c>
      <c r="R81" s="50">
        <v>102617</v>
      </c>
      <c r="S81" s="50">
        <v>101864</v>
      </c>
      <c r="T81" s="50">
        <v>101217</v>
      </c>
      <c r="U81" s="50">
        <v>102097</v>
      </c>
      <c r="V81" s="50">
        <v>109011</v>
      </c>
      <c r="W81" s="50">
        <v>104277</v>
      </c>
      <c r="X81" s="7">
        <v>-3.7486713179790693E-4</v>
      </c>
      <c r="Y81" s="8">
        <v>6.0938752852648381E-3</v>
      </c>
      <c r="Z81" s="8">
        <v>1.567944678085809E-2</v>
      </c>
      <c r="AA81" s="8">
        <v>5.8258427915758304E-3</v>
      </c>
    </row>
    <row r="82" spans="2:27" x14ac:dyDescent="0.3">
      <c r="B82" s="11">
        <v>8283</v>
      </c>
      <c r="C82" s="3" t="s">
        <v>326</v>
      </c>
      <c r="D82" s="3" t="str">
        <f>VLOOKUP(B82,기업리스트!B:G,2,FALSE)</f>
        <v>Paltac Corporation</v>
      </c>
      <c r="E82" s="3" t="s">
        <v>310</v>
      </c>
      <c r="F82" s="5">
        <v>0.5</v>
      </c>
      <c r="G82" s="50">
        <v>70974</v>
      </c>
      <c r="H82" s="50">
        <v>74673</v>
      </c>
      <c r="I82" s="50">
        <v>74673</v>
      </c>
      <c r="J82" s="50">
        <v>0</v>
      </c>
      <c r="K82" s="50">
        <v>0</v>
      </c>
      <c r="L82" s="50">
        <v>0</v>
      </c>
      <c r="M82" s="50">
        <v>0</v>
      </c>
      <c r="N82" s="50">
        <v>0</v>
      </c>
      <c r="O82" s="50">
        <v>0</v>
      </c>
      <c r="P82" s="50">
        <v>262798</v>
      </c>
      <c r="Q82" s="51">
        <v>262798</v>
      </c>
      <c r="R82" s="51">
        <v>268924</v>
      </c>
      <c r="S82" s="51">
        <v>302914</v>
      </c>
      <c r="T82" s="50">
        <v>297513</v>
      </c>
      <c r="U82" s="50">
        <v>277033</v>
      </c>
      <c r="V82" s="50">
        <v>316047</v>
      </c>
      <c r="W82" s="50">
        <v>309088</v>
      </c>
      <c r="X82" s="7">
        <v>3.1632881795169432E-2</v>
      </c>
      <c r="Y82" s="8">
        <v>1.2573433355503649E-2</v>
      </c>
      <c r="Z82" s="8">
        <v>4.1105772585800171E-2</v>
      </c>
      <c r="AA82" s="8">
        <v>5.1729901877408668E-3</v>
      </c>
    </row>
    <row r="83" spans="2:27" x14ac:dyDescent="0.3">
      <c r="B83" s="11">
        <v>1885</v>
      </c>
      <c r="C83" s="3" t="s">
        <v>326</v>
      </c>
      <c r="D83" s="3" t="str">
        <f>VLOOKUP(B83,기업리스트!B:G,2,FALSE)</f>
        <v>TOA Corporation</v>
      </c>
      <c r="E83" s="3" t="s">
        <v>315</v>
      </c>
      <c r="F83" s="5">
        <v>0.5</v>
      </c>
      <c r="G83" s="50">
        <v>54207</v>
      </c>
      <c r="H83" s="50">
        <v>59789</v>
      </c>
      <c r="I83" s="50">
        <v>47141</v>
      </c>
      <c r="J83" s="50">
        <v>47000</v>
      </c>
      <c r="K83" s="50">
        <v>54267</v>
      </c>
      <c r="L83" s="50">
        <v>65161</v>
      </c>
      <c r="M83" s="50">
        <v>62570</v>
      </c>
      <c r="N83" s="50">
        <v>67615</v>
      </c>
      <c r="O83" s="50">
        <v>76367</v>
      </c>
      <c r="P83" s="50">
        <v>77300</v>
      </c>
      <c r="Q83" s="50">
        <v>68432</v>
      </c>
      <c r="R83" s="50">
        <v>81387</v>
      </c>
      <c r="S83" s="50">
        <v>90132</v>
      </c>
      <c r="T83" s="50">
        <v>90521</v>
      </c>
      <c r="U83" s="50">
        <v>83456</v>
      </c>
      <c r="V83" s="50">
        <v>81373</v>
      </c>
      <c r="W83" s="50">
        <v>91891</v>
      </c>
      <c r="X83" s="7">
        <v>4.1673627506296329E-2</v>
      </c>
      <c r="Y83" s="8">
        <v>4.5462247936285172E-2</v>
      </c>
      <c r="Z83" s="8">
        <v>-4.0521453215092151E-5</v>
      </c>
      <c r="AA83" s="8">
        <v>5.0914374699695397E-3</v>
      </c>
    </row>
    <row r="84" spans="2:27" x14ac:dyDescent="0.3">
      <c r="B84" s="11">
        <v>6277</v>
      </c>
      <c r="C84" s="3" t="s">
        <v>326</v>
      </c>
      <c r="D84" s="3" t="str">
        <f>VLOOKUP(B84,기업리스트!B:G,2,FALSE)</f>
        <v>Hosokawa Micron Corporation</v>
      </c>
      <c r="E84" s="3" t="s">
        <v>313</v>
      </c>
      <c r="F84" s="5">
        <v>0.5</v>
      </c>
      <c r="G84" s="50">
        <v>15601</v>
      </c>
      <c r="H84" s="50">
        <v>16999</v>
      </c>
      <c r="I84" s="50">
        <v>15076</v>
      </c>
      <c r="J84" s="50">
        <v>19240</v>
      </c>
      <c r="K84" s="50">
        <v>18436</v>
      </c>
      <c r="L84" s="50">
        <v>18746</v>
      </c>
      <c r="M84" s="50">
        <v>19105</v>
      </c>
      <c r="N84" s="50">
        <v>23244</v>
      </c>
      <c r="O84" s="50">
        <v>20259</v>
      </c>
      <c r="P84" s="50">
        <v>21218</v>
      </c>
      <c r="Q84" s="50">
        <v>20930</v>
      </c>
      <c r="R84" s="50">
        <v>23025</v>
      </c>
      <c r="S84" s="50">
        <v>18123</v>
      </c>
      <c r="T84" s="50">
        <v>20354</v>
      </c>
      <c r="U84" s="50">
        <v>19821</v>
      </c>
      <c r="V84" s="50">
        <v>19696</v>
      </c>
      <c r="W84" s="50">
        <v>18506</v>
      </c>
      <c r="X84" s="7">
        <v>-1.037264694583173E-2</v>
      </c>
      <c r="Y84" s="8">
        <v>-1.3453513198757761E-2</v>
      </c>
      <c r="Z84" s="8">
        <v>-4.0935528694219347E-2</v>
      </c>
      <c r="AA84" s="8">
        <v>4.9106341513449614E-3</v>
      </c>
    </row>
    <row r="85" spans="2:27" x14ac:dyDescent="0.3">
      <c r="B85" s="11">
        <v>6976</v>
      </c>
      <c r="C85" s="3" t="s">
        <v>326</v>
      </c>
      <c r="D85" s="3" t="str">
        <f>VLOOKUP(B85,기업리스트!B:G,2,FALSE)</f>
        <v>Taiyo Yuden Co., Ltd.</v>
      </c>
      <c r="E85" s="3" t="s">
        <v>315</v>
      </c>
      <c r="F85" s="5">
        <v>0.5</v>
      </c>
      <c r="G85" s="50">
        <v>89840</v>
      </c>
      <c r="H85" s="50">
        <v>87126</v>
      </c>
      <c r="I85" s="50">
        <v>81740</v>
      </c>
      <c r="J85" s="50">
        <v>86273</v>
      </c>
      <c r="K85" s="50">
        <v>79033</v>
      </c>
      <c r="L85" s="50">
        <v>72458</v>
      </c>
      <c r="M85" s="50">
        <v>72612</v>
      </c>
      <c r="N85" s="50">
        <v>82815</v>
      </c>
      <c r="O85" s="50">
        <v>86386</v>
      </c>
      <c r="P85" s="50">
        <v>80834</v>
      </c>
      <c r="Q85" s="50">
        <v>81138</v>
      </c>
      <c r="R85" s="50">
        <v>86718</v>
      </c>
      <c r="S85" s="50">
        <v>86868</v>
      </c>
      <c r="T85" s="50">
        <v>86714</v>
      </c>
      <c r="U85" s="50">
        <v>84810</v>
      </c>
      <c r="V85" s="50">
        <v>92814</v>
      </c>
      <c r="W85" s="50">
        <v>88515</v>
      </c>
      <c r="X85" s="7">
        <v>1.752305115658093E-2</v>
      </c>
      <c r="Y85" s="8">
        <v>1.075451472888189E-2</v>
      </c>
      <c r="Z85" s="8">
        <v>1.7663933238677432E-2</v>
      </c>
      <c r="AA85" s="8">
        <v>4.6895554176180632E-3</v>
      </c>
    </row>
    <row r="86" spans="2:27" x14ac:dyDescent="0.3">
      <c r="B86" s="11">
        <v>8214</v>
      </c>
      <c r="C86" s="3" t="s">
        <v>326</v>
      </c>
      <c r="D86" s="3" t="str">
        <f>VLOOKUP(B86,기업리스트!B:G,2,FALSE)</f>
        <v>AOKI Holdings Inc.</v>
      </c>
      <c r="E86" s="3" t="s">
        <v>315</v>
      </c>
      <c r="F86" s="5">
        <v>0.4</v>
      </c>
      <c r="G86" s="50">
        <v>40331</v>
      </c>
      <c r="H86" s="50">
        <v>52203</v>
      </c>
      <c r="I86" s="50">
        <v>39227</v>
      </c>
      <c r="J86" s="50">
        <v>36368</v>
      </c>
      <c r="K86" s="50">
        <v>43479</v>
      </c>
      <c r="L86" s="50">
        <v>57096</v>
      </c>
      <c r="M86" s="50">
        <v>41549</v>
      </c>
      <c r="N86" s="50">
        <v>39506</v>
      </c>
      <c r="O86" s="50">
        <v>44960</v>
      </c>
      <c r="P86" s="50">
        <v>61701</v>
      </c>
      <c r="Q86" s="50">
        <v>42887</v>
      </c>
      <c r="R86" s="50">
        <v>40046</v>
      </c>
      <c r="S86" s="50">
        <v>46494</v>
      </c>
      <c r="T86" s="50">
        <v>63261</v>
      </c>
      <c r="U86" s="50">
        <v>43741</v>
      </c>
      <c r="V86" s="50">
        <v>40287</v>
      </c>
      <c r="W86" s="50">
        <v>47315</v>
      </c>
      <c r="X86" s="7">
        <v>8.162069398518268E-3</v>
      </c>
      <c r="Y86" s="8">
        <v>4.4320352071742786E-3</v>
      </c>
      <c r="Z86" s="8">
        <v>1.245207758522771E-3</v>
      </c>
      <c r="AA86" s="8">
        <v>4.2366977495444944E-3</v>
      </c>
    </row>
    <row r="87" spans="2:27" x14ac:dyDescent="0.3">
      <c r="B87" s="11">
        <v>8830</v>
      </c>
      <c r="C87" s="3" t="s">
        <v>326</v>
      </c>
      <c r="D87" s="3" t="str">
        <f>VLOOKUP(B87,기업리스트!B:G,2,FALSE)</f>
        <v>Sumitomo Realty &amp; Development Co., Ltd.</v>
      </c>
      <c r="E87" s="3" t="s">
        <v>315</v>
      </c>
      <c r="F87" s="5">
        <v>0.4</v>
      </c>
      <c r="G87" s="50">
        <v>232444</v>
      </c>
      <c r="H87" s="50">
        <v>226018</v>
      </c>
      <c r="I87" s="50">
        <v>243524</v>
      </c>
      <c r="J87" s="50">
        <v>231347</v>
      </c>
      <c r="K87" s="50">
        <v>224014</v>
      </c>
      <c r="L87" s="50">
        <v>241019</v>
      </c>
      <c r="M87" s="50">
        <v>253138</v>
      </c>
      <c r="N87" s="50">
        <v>252105</v>
      </c>
      <c r="O87" s="50">
        <v>221215</v>
      </c>
      <c r="P87" s="50">
        <v>241234</v>
      </c>
      <c r="Q87" s="50">
        <v>315718</v>
      </c>
      <c r="R87" s="50">
        <v>223856</v>
      </c>
      <c r="S87" s="50">
        <v>243290</v>
      </c>
      <c r="T87" s="50">
        <v>231375</v>
      </c>
      <c r="U87" s="50">
        <v>293304</v>
      </c>
      <c r="V87" s="50">
        <v>238939</v>
      </c>
      <c r="W87" s="50">
        <v>246896</v>
      </c>
      <c r="X87" s="7">
        <v>-9.6270083527162376E-3</v>
      </c>
      <c r="Y87" s="8">
        <v>-2.209932767326039E-2</v>
      </c>
      <c r="Z87" s="8">
        <v>1.5207319839689371E-2</v>
      </c>
      <c r="AA87" s="8">
        <v>3.58126065142006E-3</v>
      </c>
    </row>
    <row r="88" spans="2:27" x14ac:dyDescent="0.3">
      <c r="B88" s="11">
        <v>7220</v>
      </c>
      <c r="C88" s="3" t="s">
        <v>326</v>
      </c>
      <c r="D88" s="3" t="str">
        <f>VLOOKUP(B88,기업리스트!B:G,2,FALSE)</f>
        <v>Musashi Seimitsu Industry Co., Ltd.</v>
      </c>
      <c r="E88" s="3" t="s">
        <v>315</v>
      </c>
      <c r="F88" s="5">
        <v>0.4</v>
      </c>
      <c r="G88" s="50">
        <v>58847</v>
      </c>
      <c r="H88" s="50">
        <v>69504</v>
      </c>
      <c r="I88" s="50">
        <v>63925</v>
      </c>
      <c r="J88" s="50">
        <v>77926</v>
      </c>
      <c r="K88" s="50">
        <v>75817</v>
      </c>
      <c r="L88" s="50">
        <v>83832</v>
      </c>
      <c r="M88" s="50">
        <v>82437</v>
      </c>
      <c r="N88" s="50">
        <v>87124</v>
      </c>
      <c r="O88" s="50">
        <v>87848</v>
      </c>
      <c r="P88" s="50">
        <v>92508</v>
      </c>
      <c r="Q88" s="50">
        <v>88941</v>
      </c>
      <c r="R88" s="50">
        <v>84461</v>
      </c>
      <c r="S88" s="50">
        <v>83224</v>
      </c>
      <c r="T88" s="50">
        <v>90570</v>
      </c>
      <c r="U88" s="50">
        <v>83076</v>
      </c>
      <c r="V88" s="50">
        <v>85469</v>
      </c>
      <c r="W88" s="50">
        <v>84445</v>
      </c>
      <c r="X88" s="7">
        <v>-5.5508773135816147E-3</v>
      </c>
      <c r="Y88" s="8">
        <v>-1.6892475719766379E-2</v>
      </c>
      <c r="Z88" s="8">
        <v>2.9531451875159931E-3</v>
      </c>
      <c r="AA88" s="8">
        <v>3.5666400848282098E-3</v>
      </c>
    </row>
    <row r="89" spans="2:27" x14ac:dyDescent="0.3">
      <c r="B89" s="11">
        <v>6406</v>
      </c>
      <c r="C89" s="3" t="s">
        <v>326</v>
      </c>
      <c r="D89" s="3" t="str">
        <f>VLOOKUP(B89,기업리스트!B:G,2,FALSE)</f>
        <v>Fujitec Co., Ltd.</v>
      </c>
      <c r="E89" s="3" t="s">
        <v>315</v>
      </c>
      <c r="F89" s="5">
        <v>0.3</v>
      </c>
      <c r="G89" s="50">
        <v>50419</v>
      </c>
      <c r="H89" s="50">
        <v>49977</v>
      </c>
      <c r="I89" s="50">
        <v>41705</v>
      </c>
      <c r="J89" s="50">
        <v>51516</v>
      </c>
      <c r="K89" s="50">
        <v>57534</v>
      </c>
      <c r="L89" s="50">
        <v>56834</v>
      </c>
      <c r="M89" s="50">
        <v>50453</v>
      </c>
      <c r="N89" s="50">
        <v>56571</v>
      </c>
      <c r="O89" s="50">
        <v>59878</v>
      </c>
      <c r="P89" s="50">
        <v>62499</v>
      </c>
      <c r="Q89" s="50">
        <v>56185</v>
      </c>
      <c r="R89" s="50">
        <v>60574</v>
      </c>
      <c r="S89" s="50">
        <v>61343</v>
      </c>
      <c r="T89" s="50">
        <v>63151</v>
      </c>
      <c r="U89" s="50">
        <v>56732</v>
      </c>
      <c r="V89" s="50">
        <v>58685</v>
      </c>
      <c r="W89" s="50">
        <v>61993</v>
      </c>
      <c r="X89" s="7">
        <v>2.7098806738126151E-3</v>
      </c>
      <c r="Y89" s="8">
        <v>2.2673293181847409E-3</v>
      </c>
      <c r="Z89" s="8">
        <v>-7.81224152191895E-3</v>
      </c>
      <c r="AA89" s="8">
        <v>2.7093380461922219E-3</v>
      </c>
    </row>
    <row r="90" spans="2:27" x14ac:dyDescent="0.3">
      <c r="B90" s="11">
        <v>2004</v>
      </c>
      <c r="C90" s="3" t="s">
        <v>326</v>
      </c>
      <c r="D90" s="3" t="str">
        <f>VLOOKUP(B90,기업리스트!B:G,2,FALSE)</f>
        <v>Showa Sangyo Co., Ltd.</v>
      </c>
      <c r="E90" s="3" t="s">
        <v>315</v>
      </c>
      <c r="F90" s="5">
        <v>0.2</v>
      </c>
      <c r="G90" s="50">
        <v>75341</v>
      </c>
      <c r="H90" s="50">
        <v>72380</v>
      </c>
      <c r="I90" s="50">
        <v>80688</v>
      </c>
      <c r="J90" s="50">
        <v>82722</v>
      </c>
      <c r="K90" s="50">
        <v>89736</v>
      </c>
      <c r="L90" s="50">
        <v>81907</v>
      </c>
      <c r="M90" s="50">
        <v>89799</v>
      </c>
      <c r="N90" s="50">
        <v>85783</v>
      </c>
      <c r="O90" s="50">
        <v>89973</v>
      </c>
      <c r="P90" s="50">
        <v>80803</v>
      </c>
      <c r="Q90" s="50">
        <v>85929</v>
      </c>
      <c r="R90" s="50">
        <v>82653</v>
      </c>
      <c r="S90" s="50">
        <v>87087</v>
      </c>
      <c r="T90" s="50">
        <v>78756</v>
      </c>
      <c r="U90" s="50">
        <v>84647</v>
      </c>
      <c r="V90" s="50">
        <v>82054</v>
      </c>
      <c r="W90" s="50">
        <v>87821</v>
      </c>
      <c r="X90" s="7">
        <v>-6.08371573266131E-3</v>
      </c>
      <c r="Y90" s="8">
        <v>-3.83344546609854E-3</v>
      </c>
      <c r="Z90" s="8">
        <v>-1.798026673230368E-3</v>
      </c>
      <c r="AA90" s="8">
        <v>2.207226712856114E-3</v>
      </c>
    </row>
    <row r="91" spans="2:27" x14ac:dyDescent="0.3">
      <c r="B91" s="11">
        <v>4958</v>
      </c>
      <c r="C91" s="3" t="s">
        <v>326</v>
      </c>
      <c r="D91" s="3" t="str">
        <f>VLOOKUP(B91,기업리스트!B:G,2,FALSE)</f>
        <v>T. Hasegawa Co., Ltd.</v>
      </c>
      <c r="E91" s="3" t="s">
        <v>313</v>
      </c>
      <c r="F91" s="5">
        <v>0.2</v>
      </c>
      <c r="G91" s="50">
        <v>14295</v>
      </c>
      <c r="H91" s="50">
        <v>14904</v>
      </c>
      <c r="I91" s="50">
        <v>16591</v>
      </c>
      <c r="J91" s="50">
        <v>16608</v>
      </c>
      <c r="K91" s="50">
        <v>15515</v>
      </c>
      <c r="L91" s="50">
        <v>15798</v>
      </c>
      <c r="M91" s="50">
        <v>16852</v>
      </c>
      <c r="N91" s="50">
        <v>16709</v>
      </c>
      <c r="O91" s="50">
        <v>16413</v>
      </c>
      <c r="P91" s="50">
        <v>17040</v>
      </c>
      <c r="Q91" s="50">
        <v>19252</v>
      </c>
      <c r="R91" s="50">
        <v>18940</v>
      </c>
      <c r="S91" s="50">
        <v>17643</v>
      </c>
      <c r="T91" s="50">
        <v>18180</v>
      </c>
      <c r="U91" s="50">
        <v>18725</v>
      </c>
      <c r="V91" s="50">
        <v>18947</v>
      </c>
      <c r="W91" s="50">
        <v>17793</v>
      </c>
      <c r="X91" s="7">
        <v>1.564322469982837E-2</v>
      </c>
      <c r="Y91" s="8">
        <v>-7.1201783422278897E-3</v>
      </c>
      <c r="Z91" s="8">
        <v>9.5253646853921126E-5</v>
      </c>
      <c r="AA91" s="8">
        <v>2.040955167018188E-3</v>
      </c>
    </row>
    <row r="92" spans="2:27" x14ac:dyDescent="0.3">
      <c r="B92" s="11">
        <v>9682</v>
      </c>
      <c r="C92" s="3" t="s">
        <v>326</v>
      </c>
      <c r="D92" s="3" t="str">
        <f>VLOOKUP(B92,기업리스트!B:G,2,FALSE)</f>
        <v>DTS Corporation</v>
      </c>
      <c r="E92" s="3" t="s">
        <v>315</v>
      </c>
      <c r="F92" s="5">
        <v>0.2</v>
      </c>
      <c r="G92" s="50">
        <v>23278</v>
      </c>
      <c r="H92" s="50">
        <v>27524</v>
      </c>
      <c r="I92" s="50">
        <v>24608</v>
      </c>
      <c r="J92" s="50">
        <v>25317</v>
      </c>
      <c r="K92" s="50">
        <v>25610</v>
      </c>
      <c r="L92" s="50">
        <v>30597</v>
      </c>
      <c r="M92" s="50">
        <v>26689</v>
      </c>
      <c r="N92" s="50">
        <v>30050</v>
      </c>
      <c r="O92" s="50">
        <v>27932</v>
      </c>
      <c r="P92" s="50">
        <v>31056</v>
      </c>
      <c r="Q92" s="50">
        <v>28889</v>
      </c>
      <c r="R92" s="50">
        <v>30965</v>
      </c>
      <c r="S92" s="50">
        <v>31149</v>
      </c>
      <c r="T92" s="50">
        <v>34905</v>
      </c>
      <c r="U92" s="50">
        <v>32908</v>
      </c>
      <c r="V92" s="50">
        <v>34018</v>
      </c>
      <c r="W92" s="50">
        <v>31409</v>
      </c>
      <c r="X92" s="7">
        <v>3.1533930312389817E-2</v>
      </c>
      <c r="Y92" s="8">
        <v>3.1920132159989789E-2</v>
      </c>
      <c r="Z92" s="8">
        <v>2.349781030886566E-2</v>
      </c>
      <c r="AA92" s="8">
        <v>1.9551812302602829E-3</v>
      </c>
    </row>
    <row r="93" spans="2:27" x14ac:dyDescent="0.3">
      <c r="B93" s="11">
        <v>1721</v>
      </c>
      <c r="C93" s="3" t="s">
        <v>326</v>
      </c>
      <c r="D93" s="3" t="str">
        <f>VLOOKUP(B93,기업리스트!B:G,2,FALSE)</f>
        <v>COMSYS Holdings Corporation</v>
      </c>
      <c r="E93" s="3" t="s">
        <v>315</v>
      </c>
      <c r="F93" s="5">
        <v>0.1</v>
      </c>
      <c r="G93" s="50">
        <v>136127</v>
      </c>
      <c r="H93" s="50">
        <v>199155</v>
      </c>
      <c r="I93" s="50">
        <v>107466</v>
      </c>
      <c r="J93" s="50">
        <v>123401</v>
      </c>
      <c r="K93" s="50">
        <v>127063</v>
      </c>
      <c r="L93" s="50">
        <v>205365</v>
      </c>
      <c r="M93" s="50">
        <v>110769</v>
      </c>
      <c r="N93" s="50">
        <v>134120</v>
      </c>
      <c r="O93" s="50">
        <v>138864</v>
      </c>
      <c r="P93" s="50">
        <v>187433</v>
      </c>
      <c r="Q93" s="50">
        <v>125108</v>
      </c>
      <c r="R93" s="50">
        <v>139069</v>
      </c>
      <c r="S93" s="50">
        <v>153572</v>
      </c>
      <c r="T93" s="50">
        <v>196882</v>
      </c>
      <c r="U93" s="50">
        <v>128268</v>
      </c>
      <c r="V93" s="50">
        <v>142098</v>
      </c>
      <c r="W93" s="50">
        <v>154381</v>
      </c>
      <c r="X93" s="7">
        <v>1.561348486901459E-2</v>
      </c>
      <c r="Y93" s="8">
        <v>5.1412961598096274E-3</v>
      </c>
      <c r="Z93" s="8">
        <v>4.9029526166615156E-3</v>
      </c>
      <c r="AA93" s="8">
        <v>1.303115234689622E-3</v>
      </c>
    </row>
    <row r="94" spans="2:27" x14ac:dyDescent="0.3">
      <c r="B94" s="11">
        <v>8439</v>
      </c>
      <c r="C94" s="3" t="s">
        <v>326</v>
      </c>
      <c r="D94" s="3" t="str">
        <f>VLOOKUP(B94,기업리스트!B:G,2,FALSE)</f>
        <v>Tokyo Century Corporation</v>
      </c>
      <c r="E94" s="3" t="s">
        <v>315</v>
      </c>
      <c r="F94" s="5">
        <v>0.1</v>
      </c>
      <c r="G94" s="50">
        <v>318128</v>
      </c>
      <c r="H94" s="50">
        <v>341091</v>
      </c>
      <c r="I94" s="50">
        <v>315140</v>
      </c>
      <c r="J94" s="50">
        <v>311342</v>
      </c>
      <c r="K94" s="50">
        <v>331987</v>
      </c>
      <c r="L94" s="50">
        <v>366493</v>
      </c>
      <c r="M94" s="50">
        <v>328990</v>
      </c>
      <c r="N94" s="50">
        <v>356468</v>
      </c>
      <c r="O94" s="50">
        <v>317905</v>
      </c>
      <c r="P94" s="50">
        <v>342750</v>
      </c>
      <c r="Q94" s="50">
        <v>334274</v>
      </c>
      <c r="R94" s="50">
        <v>331613</v>
      </c>
      <c r="S94" s="50">
        <v>345942</v>
      </c>
      <c r="T94" s="50">
        <v>356806</v>
      </c>
      <c r="U94" s="50">
        <v>347586</v>
      </c>
      <c r="V94" s="50">
        <v>345694</v>
      </c>
      <c r="W94" s="50">
        <v>346828</v>
      </c>
      <c r="X94" s="7">
        <v>1.037665577275293E-2</v>
      </c>
      <c r="Y94" s="8">
        <v>9.7264793023705831E-3</v>
      </c>
      <c r="Z94" s="8">
        <v>1.018924748923067E-2</v>
      </c>
      <c r="AA94" s="8">
        <v>6.3465775758086984E-4</v>
      </c>
    </row>
    <row r="95" spans="2:27" x14ac:dyDescent="0.3">
      <c r="B95" s="11">
        <v>6929</v>
      </c>
      <c r="C95" s="3" t="s">
        <v>326</v>
      </c>
      <c r="D95" s="3" t="str">
        <f>VLOOKUP(B95,기업리스트!B:G,2,FALSE)</f>
        <v>Nippon Ceramic Co., Ltd.</v>
      </c>
      <c r="E95" s="3" t="s">
        <v>304</v>
      </c>
      <c r="F95" s="5">
        <v>-0.1</v>
      </c>
      <c r="G95" s="50">
        <v>5531</v>
      </c>
      <c r="H95" s="50">
        <v>5129</v>
      </c>
      <c r="I95" s="50">
        <v>5847</v>
      </c>
      <c r="J95" s="50">
        <v>6114</v>
      </c>
      <c r="K95" s="50">
        <v>6168</v>
      </c>
      <c r="L95" s="50">
        <v>5801</v>
      </c>
      <c r="M95" s="50">
        <v>6088</v>
      </c>
      <c r="N95" s="50">
        <v>6572</v>
      </c>
      <c r="O95" s="50">
        <v>5988</v>
      </c>
      <c r="P95" s="50">
        <v>5678</v>
      </c>
      <c r="Q95" s="50">
        <v>6453</v>
      </c>
      <c r="R95" s="50">
        <v>6351</v>
      </c>
      <c r="S95" s="50">
        <v>6555</v>
      </c>
      <c r="T95" s="50">
        <v>6639</v>
      </c>
      <c r="U95" s="50">
        <v>7038</v>
      </c>
      <c r="V95" s="50">
        <v>7108</v>
      </c>
      <c r="W95" s="50">
        <v>6540</v>
      </c>
      <c r="X95" s="7">
        <v>3.8383192874545717E-2</v>
      </c>
      <c r="Y95" s="8">
        <v>2.2501730902377171E-2</v>
      </c>
      <c r="Z95" s="8">
        <v>2.8476846104653401E-2</v>
      </c>
      <c r="AA95" s="8">
        <v>-5.4864667154352897E-4</v>
      </c>
    </row>
    <row r="96" spans="2:27" x14ac:dyDescent="0.3">
      <c r="B96" s="11">
        <v>3863</v>
      </c>
      <c r="C96" s="3" t="s">
        <v>326</v>
      </c>
      <c r="D96" s="3" t="str">
        <f>VLOOKUP(B96,기업리스트!B:G,2,FALSE)</f>
        <v>Nippon Paper Industries Co., Ltd.</v>
      </c>
      <c r="E96" s="3" t="s">
        <v>315</v>
      </c>
      <c r="F96" s="5">
        <v>-0.1</v>
      </c>
      <c r="G96" s="50">
        <v>265574</v>
      </c>
      <c r="H96" s="50">
        <v>271110</v>
      </c>
      <c r="I96" s="50">
        <v>264773</v>
      </c>
      <c r="J96" s="50">
        <v>286145</v>
      </c>
      <c r="K96" s="50">
        <v>298482</v>
      </c>
      <c r="L96" s="50">
        <v>303245</v>
      </c>
      <c r="M96" s="50">
        <v>287424</v>
      </c>
      <c r="N96" s="50">
        <v>296518</v>
      </c>
      <c r="O96" s="50">
        <v>290574</v>
      </c>
      <c r="P96" s="50">
        <v>292798</v>
      </c>
      <c r="Q96" s="50">
        <v>287014</v>
      </c>
      <c r="R96" s="50">
        <v>297525</v>
      </c>
      <c r="S96" s="50">
        <v>301734</v>
      </c>
      <c r="T96" s="50">
        <v>296158</v>
      </c>
      <c r="U96" s="50">
        <v>292629</v>
      </c>
      <c r="V96" s="50">
        <v>296588</v>
      </c>
      <c r="W96" s="50">
        <v>300305</v>
      </c>
      <c r="X96" s="7">
        <v>2.84970116303418E-3</v>
      </c>
      <c r="Y96" s="8">
        <v>4.7486914669863101E-3</v>
      </c>
      <c r="Z96" s="8">
        <v>-7.8869000021886126E-4</v>
      </c>
      <c r="AA96" s="8">
        <v>-1.2037647764442381E-3</v>
      </c>
    </row>
    <row r="97" spans="2:27" x14ac:dyDescent="0.3">
      <c r="B97" s="11">
        <v>5602</v>
      </c>
      <c r="C97" s="3" t="s">
        <v>326</v>
      </c>
      <c r="D97" s="3" t="str">
        <f>VLOOKUP(B97,기업리스트!B:G,2,FALSE)</f>
        <v>Kurimoto,Ltd.</v>
      </c>
      <c r="E97" s="3" t="s">
        <v>315</v>
      </c>
      <c r="F97" s="5">
        <v>-0.2</v>
      </c>
      <c r="G97" s="50">
        <v>30877</v>
      </c>
      <c r="H97" s="50">
        <v>29373</v>
      </c>
      <c r="I97" s="50">
        <v>25020</v>
      </c>
      <c r="J97" s="50">
        <v>29034</v>
      </c>
      <c r="K97" s="50">
        <v>37427</v>
      </c>
      <c r="L97" s="50">
        <v>33346</v>
      </c>
      <c r="M97" s="50">
        <v>27727</v>
      </c>
      <c r="N97" s="50">
        <v>32224</v>
      </c>
      <c r="O97" s="50">
        <v>35317</v>
      </c>
      <c r="P97" s="50">
        <v>30657</v>
      </c>
      <c r="Q97" s="50">
        <v>27729</v>
      </c>
      <c r="R97" s="50">
        <v>31182</v>
      </c>
      <c r="S97" s="50">
        <v>35190</v>
      </c>
      <c r="T97" s="50">
        <v>32568</v>
      </c>
      <c r="U97" s="50">
        <v>27433</v>
      </c>
      <c r="V97" s="50">
        <v>31020</v>
      </c>
      <c r="W97" s="50">
        <v>34897</v>
      </c>
      <c r="X97" s="7">
        <v>1.531765498004134E-2</v>
      </c>
      <c r="Y97" s="8">
        <v>-2.336799058964667E-3</v>
      </c>
      <c r="Z97" s="8">
        <v>-1.28191939733957E-3</v>
      </c>
      <c r="AA97" s="8">
        <v>-2.3215092186893438E-3</v>
      </c>
    </row>
    <row r="98" spans="2:27" x14ac:dyDescent="0.3">
      <c r="B98" s="11">
        <v>7313</v>
      </c>
      <c r="C98" s="3" t="s">
        <v>326</v>
      </c>
      <c r="D98" s="3" t="str">
        <f>VLOOKUP(B98,기업리스트!B:G,2,FALSE)</f>
        <v>TS TECH Co., Ltd.</v>
      </c>
      <c r="E98" s="3" t="s">
        <v>310</v>
      </c>
      <c r="F98" s="5">
        <v>-1.3</v>
      </c>
      <c r="G98" s="50">
        <v>81067</v>
      </c>
      <c r="H98" s="50">
        <v>86503</v>
      </c>
      <c r="I98" s="50">
        <v>91922</v>
      </c>
      <c r="J98" s="50">
        <v>82045</v>
      </c>
      <c r="K98" s="50">
        <v>114933</v>
      </c>
      <c r="L98" s="50">
        <v>105495</v>
      </c>
      <c r="M98" s="50">
        <v>106727</v>
      </c>
      <c r="N98" s="50">
        <v>93190</v>
      </c>
      <c r="O98" s="50">
        <v>109122</v>
      </c>
      <c r="P98" s="50">
        <v>127184</v>
      </c>
      <c r="Q98" s="50">
        <v>112216</v>
      </c>
      <c r="R98" s="50">
        <v>112516</v>
      </c>
      <c r="S98" s="50">
        <v>110189</v>
      </c>
      <c r="T98" s="50">
        <v>116914</v>
      </c>
      <c r="U98" s="50">
        <v>120895</v>
      </c>
      <c r="V98" s="50">
        <v>102698</v>
      </c>
      <c r="W98" s="50">
        <v>104437</v>
      </c>
      <c r="X98" s="7">
        <v>-2.222438623256617E-2</v>
      </c>
      <c r="Y98" s="8">
        <v>1.92083393274094E-2</v>
      </c>
      <c r="Z98" s="8">
        <v>-2.131965586279683E-2</v>
      </c>
      <c r="AA98" s="8">
        <v>-1.276248291531323E-2</v>
      </c>
    </row>
    <row r="99" spans="2:27" x14ac:dyDescent="0.3">
      <c r="B99" s="11">
        <v>3289</v>
      </c>
      <c r="C99" s="3" t="s">
        <v>326</v>
      </c>
      <c r="D99" s="3" t="str">
        <f>VLOOKUP(B99,기업리스트!B:G,2,FALSE)</f>
        <v>Tokyu Fudosan Holdings Corporation</v>
      </c>
      <c r="E99" s="3" t="s">
        <v>315</v>
      </c>
      <c r="F99" s="5">
        <v>-1.5</v>
      </c>
      <c r="G99" s="50">
        <v>288646</v>
      </c>
      <c r="H99" s="50">
        <v>288646</v>
      </c>
      <c r="I99" s="50">
        <v>220305</v>
      </c>
      <c r="J99" s="50">
        <v>224705</v>
      </c>
      <c r="K99" s="50">
        <v>196732</v>
      </c>
      <c r="L99" s="50">
        <v>364094</v>
      </c>
      <c r="M99" s="50">
        <v>253104</v>
      </c>
      <c r="N99" s="50">
        <v>237592</v>
      </c>
      <c r="O99" s="50">
        <v>227125</v>
      </c>
      <c r="P99" s="50">
        <v>385226</v>
      </c>
      <c r="Q99" s="50">
        <v>267179</v>
      </c>
      <c r="R99" s="50">
        <v>236093</v>
      </c>
      <c r="S99" s="50">
        <v>259976</v>
      </c>
      <c r="T99" s="50">
        <v>387053</v>
      </c>
      <c r="U99" s="50">
        <v>287983</v>
      </c>
      <c r="V99" s="50">
        <v>303289</v>
      </c>
      <c r="W99" s="50">
        <v>240949</v>
      </c>
      <c r="X99" s="7">
        <v>1.5908065833445399E-3</v>
      </c>
      <c r="Y99" s="8">
        <v>1.8085701046943289E-2</v>
      </c>
      <c r="Z99" s="8">
        <v>5.7378288027119639E-2</v>
      </c>
      <c r="AA99" s="8">
        <v>-1.536540792585972E-2</v>
      </c>
    </row>
    <row r="100" spans="2:27" x14ac:dyDescent="0.3">
      <c r="B100" s="11">
        <v>1882</v>
      </c>
      <c r="C100" s="3" t="s">
        <v>326</v>
      </c>
      <c r="D100" s="3" t="str">
        <f>VLOOKUP(B100,기업리스트!B:G,2,FALSE)</f>
        <v>Toa Road Corporation</v>
      </c>
      <c r="E100" s="3" t="s">
        <v>315</v>
      </c>
      <c r="F100" s="5">
        <v>-1.7</v>
      </c>
      <c r="G100" s="50">
        <v>32462</v>
      </c>
      <c r="H100" s="50">
        <v>33551</v>
      </c>
      <c r="I100" s="50">
        <v>21654</v>
      </c>
      <c r="J100" s="50">
        <v>28670</v>
      </c>
      <c r="K100" s="50">
        <v>33747</v>
      </c>
      <c r="L100" s="50">
        <v>34650</v>
      </c>
      <c r="M100" s="50">
        <v>22086</v>
      </c>
      <c r="N100" s="50">
        <v>28738</v>
      </c>
      <c r="O100" s="50">
        <v>32492</v>
      </c>
      <c r="P100" s="50">
        <v>34744</v>
      </c>
      <c r="Q100" s="50">
        <v>23300</v>
      </c>
      <c r="R100" s="50">
        <v>30581</v>
      </c>
      <c r="S100" s="50">
        <v>36660</v>
      </c>
      <c r="T100" s="50">
        <v>36034</v>
      </c>
      <c r="U100" s="50">
        <v>23267</v>
      </c>
      <c r="V100" s="50">
        <v>28192</v>
      </c>
      <c r="W100" s="50">
        <v>34604</v>
      </c>
      <c r="X100" s="7">
        <v>1.029652392545E-2</v>
      </c>
      <c r="Y100" s="8">
        <v>-2.6071499111202101E-4</v>
      </c>
      <c r="Z100" s="8">
        <v>-1.8879107331953079E-2</v>
      </c>
      <c r="AA100" s="8">
        <v>-1.6560211996488161E-2</v>
      </c>
    </row>
    <row r="101" spans="2:27" x14ac:dyDescent="0.3">
      <c r="B101" s="11">
        <v>6457</v>
      </c>
      <c r="C101" s="3" t="s">
        <v>326</v>
      </c>
      <c r="D101" s="3" t="str">
        <f>VLOOKUP(B101,기업리스트!B:G,2,FALSE)</f>
        <v>Glory Ltd.</v>
      </c>
      <c r="E101" s="3" t="s">
        <v>315</v>
      </c>
      <c r="F101" s="5">
        <v>-1.9</v>
      </c>
      <c r="G101" s="50">
        <v>55555</v>
      </c>
      <c r="H101" s="50">
        <v>67853</v>
      </c>
      <c r="I101" s="50">
        <v>52980</v>
      </c>
      <c r="J101" s="50">
        <v>59162</v>
      </c>
      <c r="K101" s="50">
        <v>66361</v>
      </c>
      <c r="L101" s="50">
        <v>77354</v>
      </c>
      <c r="M101" s="50">
        <v>69680</v>
      </c>
      <c r="N101" s="51">
        <v>88159</v>
      </c>
      <c r="O101" s="51">
        <v>101867</v>
      </c>
      <c r="P101" s="51">
        <v>112772</v>
      </c>
      <c r="Q101" s="50">
        <v>92775</v>
      </c>
      <c r="R101" s="50">
        <v>92323</v>
      </c>
      <c r="S101" s="50">
        <v>94935</v>
      </c>
      <c r="T101" s="50">
        <v>88984</v>
      </c>
      <c r="U101" s="50">
        <v>72331</v>
      </c>
      <c r="V101" s="50">
        <v>81560</v>
      </c>
      <c r="W101" s="50">
        <v>88488</v>
      </c>
      <c r="X101" s="7">
        <v>-6.0559310599406779E-2</v>
      </c>
      <c r="Y101" s="8">
        <v>-5.540124167721272E-2</v>
      </c>
      <c r="Z101" s="8">
        <v>-3.0877319815361459E-2</v>
      </c>
      <c r="AA101" s="8">
        <v>-1.908469257866852E-2</v>
      </c>
    </row>
    <row r="102" spans="2:27" x14ac:dyDescent="0.3">
      <c r="B102" s="11">
        <v>5451</v>
      </c>
      <c r="C102" s="3" t="s">
        <v>326</v>
      </c>
      <c r="D102" s="3" t="str">
        <f>VLOOKUP(B102,기업리스트!B:G,2,FALSE)</f>
        <v>Yodoko, Ltd.</v>
      </c>
      <c r="E102" s="3" t="s">
        <v>315</v>
      </c>
      <c r="F102" s="5">
        <v>-2.1</v>
      </c>
      <c r="G102" s="50">
        <v>51755</v>
      </c>
      <c r="H102" s="50">
        <v>56027</v>
      </c>
      <c r="I102" s="50">
        <v>57632</v>
      </c>
      <c r="J102" s="50">
        <v>60893</v>
      </c>
      <c r="K102" s="50">
        <v>53037</v>
      </c>
      <c r="L102" s="50">
        <v>48752</v>
      </c>
      <c r="M102" s="50">
        <v>51062</v>
      </c>
      <c r="N102" s="50">
        <v>50224</v>
      </c>
      <c r="O102" s="50">
        <v>52179</v>
      </c>
      <c r="P102" s="50">
        <v>50492</v>
      </c>
      <c r="Q102" s="50">
        <v>52595</v>
      </c>
      <c r="R102" s="50">
        <v>52729</v>
      </c>
      <c r="S102" s="50">
        <v>51418</v>
      </c>
      <c r="T102" s="50">
        <v>51718</v>
      </c>
      <c r="U102" s="50">
        <v>52769</v>
      </c>
      <c r="V102" s="50">
        <v>49107</v>
      </c>
      <c r="W102" s="50">
        <v>47090</v>
      </c>
      <c r="X102" s="7">
        <v>5.9160176418926458E-3</v>
      </c>
      <c r="Y102" s="8">
        <v>8.346925069557809E-4</v>
      </c>
      <c r="Z102" s="8">
        <v>-1.7360545261079219E-2</v>
      </c>
      <c r="AA102" s="8">
        <v>-2.1110959358476619E-2</v>
      </c>
    </row>
    <row r="103" spans="2:27" x14ac:dyDescent="0.3">
      <c r="B103" s="11">
        <v>6996</v>
      </c>
      <c r="C103" s="3" t="s">
        <v>326</v>
      </c>
      <c r="D103" s="3" t="str">
        <f>VLOOKUP(B103,기업리스트!B:G,2,FALSE)</f>
        <v>Nichicon Corporation</v>
      </c>
      <c r="E103" s="3" t="s">
        <v>315</v>
      </c>
      <c r="F103" s="5">
        <v>-2.7</v>
      </c>
      <c r="G103" s="50">
        <v>37685</v>
      </c>
      <c r="H103" s="50">
        <v>39438</v>
      </c>
      <c r="I103" s="50">
        <v>41014</v>
      </c>
      <c r="J103" s="50">
        <v>46614</v>
      </c>
      <c r="K103" s="50">
        <v>49644</v>
      </c>
      <c r="L103" s="50">
        <v>47453</v>
      </c>
      <c r="M103" s="50">
        <v>44910</v>
      </c>
      <c r="N103" s="50">
        <v>47645</v>
      </c>
      <c r="O103" s="50">
        <v>46196</v>
      </c>
      <c r="P103" s="50">
        <v>42892</v>
      </c>
      <c r="Q103" s="50">
        <v>41150</v>
      </c>
      <c r="R103" s="50">
        <v>43357</v>
      </c>
      <c r="S103" s="50">
        <v>48238</v>
      </c>
      <c r="T103" s="50">
        <v>43006</v>
      </c>
      <c r="U103" s="50">
        <v>39601</v>
      </c>
      <c r="V103" s="50">
        <v>41131</v>
      </c>
      <c r="W103" s="50">
        <v>43522</v>
      </c>
      <c r="X103" s="7">
        <v>6.490659712929947E-4</v>
      </c>
      <c r="Y103" s="8">
        <v>-8.8136056124858975E-3</v>
      </c>
      <c r="Z103" s="8">
        <v>-1.2778268906212359E-2</v>
      </c>
      <c r="AA103" s="8">
        <v>-2.7422431036888909E-2</v>
      </c>
    </row>
    <row r="104" spans="2:27" x14ac:dyDescent="0.3">
      <c r="B104" s="11">
        <v>9684</v>
      </c>
      <c r="C104" s="3" t="s">
        <v>326</v>
      </c>
      <c r="D104" s="3" t="str">
        <f>VLOOKUP(B104,기업리스트!B:G,2,FALSE)</f>
        <v>Square Enix Holdings Co., Ltd.</v>
      </c>
      <c r="E104" s="3" t="s">
        <v>315</v>
      </c>
      <c r="F104" s="5">
        <v>-3.1</v>
      </c>
      <c r="G104" s="50">
        <v>104710</v>
      </c>
      <c r="H104" s="50">
        <v>91648</v>
      </c>
      <c r="I104" s="50">
        <v>74876</v>
      </c>
      <c r="J104" s="50">
        <v>88516</v>
      </c>
      <c r="K104" s="50">
        <v>92224</v>
      </c>
      <c r="L104" s="50">
        <v>87651</v>
      </c>
      <c r="M104" s="50">
        <v>85669</v>
      </c>
      <c r="N104" s="50">
        <v>86377</v>
      </c>
      <c r="O104" s="50">
        <v>85566</v>
      </c>
      <c r="P104" s="50">
        <v>98732</v>
      </c>
      <c r="Q104" s="50">
        <v>69915</v>
      </c>
      <c r="R104" s="50">
        <v>87676</v>
      </c>
      <c r="S104" s="50">
        <v>90928</v>
      </c>
      <c r="T104" s="50">
        <v>75987</v>
      </c>
      <c r="U104" s="50">
        <v>59275</v>
      </c>
      <c r="V104" s="50">
        <v>74620</v>
      </c>
      <c r="W104" s="50">
        <v>81560</v>
      </c>
      <c r="X104" s="7">
        <v>-6.5500171345798885E-2</v>
      </c>
      <c r="Y104" s="8">
        <v>-3.2788299754087702E-2</v>
      </c>
      <c r="Z104" s="8">
        <v>-4.159736957810023E-2</v>
      </c>
      <c r="AA104" s="8">
        <v>-3.114258169608719E-2</v>
      </c>
    </row>
    <row r="105" spans="2:27" x14ac:dyDescent="0.3">
      <c r="B105" s="11">
        <v>4189</v>
      </c>
      <c r="C105" s="3" t="s">
        <v>326</v>
      </c>
      <c r="D105" s="3" t="str">
        <f>VLOOKUP(B105,기업리스트!B:G,2,FALSE)</f>
        <v>KH Neochem Co., Ltd.</v>
      </c>
      <c r="E105" s="3" t="s">
        <v>304</v>
      </c>
      <c r="F105" s="5">
        <v>-3.7</v>
      </c>
      <c r="G105" s="50">
        <v>33332</v>
      </c>
      <c r="H105" s="50">
        <v>29858</v>
      </c>
      <c r="I105" s="50">
        <v>22878</v>
      </c>
      <c r="J105" s="50">
        <v>30142</v>
      </c>
      <c r="K105" s="50">
        <v>32002</v>
      </c>
      <c r="L105" s="50">
        <v>28725</v>
      </c>
      <c r="M105" s="50">
        <v>29089</v>
      </c>
      <c r="N105" s="50">
        <v>27664</v>
      </c>
      <c r="O105" s="50">
        <v>29739</v>
      </c>
      <c r="P105" s="50">
        <v>26973</v>
      </c>
      <c r="Q105" s="50">
        <v>28948</v>
      </c>
      <c r="R105" s="50">
        <v>30861</v>
      </c>
      <c r="S105" s="50">
        <v>32976</v>
      </c>
      <c r="T105" s="50">
        <v>28809</v>
      </c>
      <c r="U105" s="50">
        <v>29945</v>
      </c>
      <c r="V105" s="50">
        <v>27833</v>
      </c>
      <c r="W105" s="50">
        <v>28511</v>
      </c>
      <c r="X105" s="7">
        <v>1.533091734998915E-2</v>
      </c>
      <c r="Y105" s="8">
        <v>8.199417734427783E-3</v>
      </c>
      <c r="Z105" s="8">
        <v>-2.4700018761573021E-2</v>
      </c>
      <c r="AA105" s="8">
        <v>-3.7344328931191113E-2</v>
      </c>
    </row>
    <row r="106" spans="2:27" x14ac:dyDescent="0.3">
      <c r="B106" s="11">
        <v>8035</v>
      </c>
      <c r="C106" s="3" t="s">
        <v>326</v>
      </c>
      <c r="D106" s="3" t="str">
        <f>VLOOKUP(B106,기업리스트!B:G,2,FALSE)</f>
        <v>Tokyo Electron Limited</v>
      </c>
      <c r="E106" s="3" t="s">
        <v>315</v>
      </c>
      <c r="F106" s="5">
        <v>-4.0999999999999996</v>
      </c>
      <c r="G106" s="50">
        <v>506474</v>
      </c>
      <c r="H106" s="50">
        <v>564817</v>
      </c>
      <c r="I106" s="50">
        <v>473654</v>
      </c>
      <c r="J106" s="50">
        <v>709243</v>
      </c>
      <c r="K106" s="50">
        <v>467832</v>
      </c>
      <c r="L106" s="50">
        <v>558296</v>
      </c>
      <c r="M106" s="50">
        <v>391746</v>
      </c>
      <c r="N106" s="50">
        <v>427826</v>
      </c>
      <c r="O106" s="50">
        <v>463662</v>
      </c>
      <c r="P106" s="50">
        <v>547293</v>
      </c>
      <c r="Q106" s="50">
        <v>555071</v>
      </c>
      <c r="R106" s="50">
        <v>566555</v>
      </c>
      <c r="S106" s="50">
        <v>654540</v>
      </c>
      <c r="T106" s="50">
        <v>655402</v>
      </c>
      <c r="U106" s="50">
        <v>549586</v>
      </c>
      <c r="V106" s="50">
        <v>630082</v>
      </c>
      <c r="W106" s="50">
        <v>552047</v>
      </c>
      <c r="X106" s="7">
        <v>4.6529334066148793E-2</v>
      </c>
      <c r="Y106" s="8">
        <v>-2.25574608647594E-3</v>
      </c>
      <c r="Z106" s="8">
        <v>2.6185006860853569E-2</v>
      </c>
      <c r="AA106" s="8">
        <v>-4.1168295435831337E-2</v>
      </c>
    </row>
    <row r="107" spans="2:27" x14ac:dyDescent="0.3">
      <c r="B107" s="11">
        <v>6875</v>
      </c>
      <c r="C107" s="3" t="s">
        <v>326</v>
      </c>
      <c r="D107" s="3" t="str">
        <f>VLOOKUP(B107,기업리스트!B:G,2,FALSE)</f>
        <v>MegaChips Corporation</v>
      </c>
      <c r="E107" s="3" t="s">
        <v>315</v>
      </c>
      <c r="F107" s="5">
        <v>-5.2</v>
      </c>
      <c r="G107" s="50">
        <v>22473</v>
      </c>
      <c r="H107" s="50">
        <v>13880</v>
      </c>
      <c r="I107" s="50">
        <v>14925</v>
      </c>
      <c r="J107" s="50">
        <v>21074</v>
      </c>
      <c r="K107" s="50">
        <v>20071</v>
      </c>
      <c r="L107" s="50">
        <v>14652</v>
      </c>
      <c r="M107" s="50">
        <v>17290</v>
      </c>
      <c r="N107" s="50">
        <v>19211</v>
      </c>
      <c r="O107" s="50">
        <v>11100</v>
      </c>
      <c r="P107" s="50">
        <v>10341</v>
      </c>
      <c r="Q107" s="50">
        <v>9660</v>
      </c>
      <c r="R107" s="50">
        <v>15193</v>
      </c>
      <c r="S107" s="50">
        <v>9692</v>
      </c>
      <c r="T107" s="50">
        <v>7781</v>
      </c>
      <c r="U107" s="50">
        <v>6491</v>
      </c>
      <c r="V107" s="50">
        <v>14837</v>
      </c>
      <c r="W107" s="50">
        <v>7664</v>
      </c>
      <c r="X107" s="7">
        <v>-5.7033373434923977E-2</v>
      </c>
      <c r="Y107" s="8">
        <v>-7.4871237537211144E-2</v>
      </c>
      <c r="Z107" s="8">
        <v>-9.0916055877621194E-3</v>
      </c>
      <c r="AA107" s="8">
        <v>-5.2266694157367073E-2</v>
      </c>
    </row>
    <row r="108" spans="2:27" x14ac:dyDescent="0.3">
      <c r="B108" s="11">
        <v>2154</v>
      </c>
      <c r="C108" s="3" t="s">
        <v>326</v>
      </c>
      <c r="D108" s="3" t="str">
        <f>VLOOKUP(B108,기업리스트!B:G,2,FALSE)</f>
        <v>Open Up Group Inc.</v>
      </c>
      <c r="E108" s="3" t="s">
        <v>310</v>
      </c>
      <c r="F108" s="5">
        <v>-5.7</v>
      </c>
      <c r="G108" s="50">
        <v>37915</v>
      </c>
      <c r="H108" s="50">
        <v>36228</v>
      </c>
      <c r="I108" s="50">
        <v>29830</v>
      </c>
      <c r="J108" s="50">
        <v>38993</v>
      </c>
      <c r="K108" s="50">
        <v>41349</v>
      </c>
      <c r="L108" s="50">
        <v>39578</v>
      </c>
      <c r="M108" s="50">
        <v>41768</v>
      </c>
      <c r="N108" s="50">
        <v>41330</v>
      </c>
      <c r="O108" s="50">
        <v>43723</v>
      </c>
      <c r="P108" s="50">
        <v>41615</v>
      </c>
      <c r="Q108" s="50">
        <v>46557</v>
      </c>
      <c r="R108" s="50">
        <v>48366</v>
      </c>
      <c r="S108" s="50">
        <v>52671</v>
      </c>
      <c r="T108" s="50">
        <v>45769</v>
      </c>
      <c r="U108" s="50">
        <v>41148</v>
      </c>
      <c r="V108" s="50">
        <v>41160</v>
      </c>
      <c r="W108" s="50">
        <v>42412</v>
      </c>
      <c r="X108" s="7">
        <v>2.1954558186978449E-2</v>
      </c>
      <c r="Y108" s="8">
        <v>-2.7973293753199902E-2</v>
      </c>
      <c r="Z108" s="8">
        <v>-3.8339168094320919E-2</v>
      </c>
      <c r="AA108" s="8">
        <v>-5.6758581007811948E-2</v>
      </c>
    </row>
    <row r="109" spans="2:27" x14ac:dyDescent="0.3">
      <c r="B109" s="11">
        <v>8715</v>
      </c>
      <c r="C109" s="3" t="s">
        <v>326</v>
      </c>
      <c r="D109" s="3" t="str">
        <f>VLOOKUP(B109,기업리스트!B:G,2,FALSE)</f>
        <v>Anicom Holdings, Inc.</v>
      </c>
      <c r="E109" s="3" t="s">
        <v>315</v>
      </c>
      <c r="F109" s="5">
        <v>-6</v>
      </c>
      <c r="G109" s="50">
        <v>13280</v>
      </c>
      <c r="H109" s="50">
        <v>13402</v>
      </c>
      <c r="I109" s="50">
        <v>13953</v>
      </c>
      <c r="J109" s="50">
        <v>14021</v>
      </c>
      <c r="K109" s="50">
        <v>14072</v>
      </c>
      <c r="L109" s="50">
        <v>14479</v>
      </c>
      <c r="M109" s="50">
        <v>14865</v>
      </c>
      <c r="N109" s="50">
        <v>14894</v>
      </c>
      <c r="O109" s="50">
        <v>15177</v>
      </c>
      <c r="P109" s="50">
        <v>15495</v>
      </c>
      <c r="Q109" s="50">
        <v>16519</v>
      </c>
      <c r="R109" s="50">
        <v>16382</v>
      </c>
      <c r="S109" s="50">
        <v>16805</v>
      </c>
      <c r="T109" s="50">
        <v>17976</v>
      </c>
      <c r="U109" s="50">
        <v>16139</v>
      </c>
      <c r="V109" s="50">
        <v>20261</v>
      </c>
      <c r="W109" s="50">
        <v>12538</v>
      </c>
      <c r="X109" s="7">
        <v>3.805156362632478E-2</v>
      </c>
      <c r="Y109" s="8">
        <v>-5.6144912975384384E-3</v>
      </c>
      <c r="Z109" s="8">
        <v>5.7635731479005033E-2</v>
      </c>
      <c r="AA109" s="8">
        <v>-5.9945772045911123E-2</v>
      </c>
    </row>
    <row r="110" spans="2:27" x14ac:dyDescent="0.3">
      <c r="B110" s="11">
        <v>4521</v>
      </c>
      <c r="C110" s="3" t="s">
        <v>326</v>
      </c>
      <c r="D110" s="3" t="str">
        <f>VLOOKUP(B110,기업리스트!B:G,2,FALSE)</f>
        <v>Kaken Pharmaceutical Co., Ltd.</v>
      </c>
      <c r="E110" s="3" t="s">
        <v>315</v>
      </c>
      <c r="F110" s="5">
        <v>-7.8</v>
      </c>
      <c r="G110" s="50">
        <v>20120</v>
      </c>
      <c r="H110" s="50">
        <v>18326</v>
      </c>
      <c r="I110" s="50">
        <v>18197</v>
      </c>
      <c r="J110" s="50">
        <v>18622</v>
      </c>
      <c r="K110" s="50">
        <v>18754</v>
      </c>
      <c r="L110" s="50">
        <v>17411</v>
      </c>
      <c r="M110" s="50">
        <v>18150</v>
      </c>
      <c r="N110" s="50">
        <v>18021</v>
      </c>
      <c r="O110" s="50">
        <v>18514</v>
      </c>
      <c r="P110" s="50">
        <v>17359</v>
      </c>
      <c r="Q110" s="50">
        <v>18254</v>
      </c>
      <c r="R110" s="51">
        <v>33118</v>
      </c>
      <c r="S110" s="50">
        <v>24618</v>
      </c>
      <c r="T110" s="50">
        <v>18045</v>
      </c>
      <c r="U110" s="50">
        <v>18867</v>
      </c>
      <c r="V110" s="50">
        <v>20489</v>
      </c>
      <c r="W110" s="50">
        <v>18261</v>
      </c>
      <c r="X110" s="7">
        <v>7.3487664570590638E-3</v>
      </c>
      <c r="Y110" s="8">
        <v>6.5188493645982337E-3</v>
      </c>
      <c r="Z110" s="8">
        <v>-0.13343123996280959</v>
      </c>
      <c r="AA110" s="8">
        <v>-7.7506431436618395E-2</v>
      </c>
    </row>
    <row r="111" spans="2:27" x14ac:dyDescent="0.3">
      <c r="B111" s="46">
        <v>8359</v>
      </c>
      <c r="C111" s="42" t="s">
        <v>326</v>
      </c>
      <c r="D111" s="42" t="str">
        <f>VLOOKUP(B111,기업리스트!B:G,2,FALSE)</f>
        <v>Hachijuni Nagano Bank, Ltd.</v>
      </c>
      <c r="E111" s="42" t="s">
        <v>315</v>
      </c>
      <c r="F111" s="43">
        <v>-10.7</v>
      </c>
      <c r="G111" s="56">
        <v>38871</v>
      </c>
      <c r="H111" s="56">
        <v>31774</v>
      </c>
      <c r="I111" s="56">
        <v>50373</v>
      </c>
      <c r="J111" s="56">
        <v>42322</v>
      </c>
      <c r="K111" s="56">
        <v>54053</v>
      </c>
      <c r="L111" s="56">
        <v>32006</v>
      </c>
      <c r="M111" s="56">
        <v>39987</v>
      </c>
      <c r="N111" s="56">
        <v>44270</v>
      </c>
      <c r="O111" s="56">
        <v>42474</v>
      </c>
      <c r="P111" s="56">
        <v>46033</v>
      </c>
      <c r="Q111" s="56">
        <v>49380</v>
      </c>
      <c r="R111" s="56">
        <v>42255</v>
      </c>
      <c r="S111" s="57">
        <v>84676</v>
      </c>
      <c r="T111" s="56">
        <v>29532</v>
      </c>
      <c r="U111" s="56">
        <v>60224</v>
      </c>
      <c r="V111" s="56">
        <v>48070</v>
      </c>
      <c r="W111" s="56">
        <v>60902</v>
      </c>
      <c r="X111" s="7">
        <v>-7.4213830820710203E-2</v>
      </c>
      <c r="Y111" s="44">
        <v>5.2680926725708448E-2</v>
      </c>
      <c r="Z111" s="44">
        <v>2.683594308841775E-2</v>
      </c>
      <c r="AA111" s="44">
        <v>-0.10684847776649201</v>
      </c>
    </row>
    <row r="112" spans="2:27" x14ac:dyDescent="0.3">
      <c r="B112" s="47">
        <v>6448</v>
      </c>
      <c r="C112" s="33" t="s">
        <v>326</v>
      </c>
      <c r="D112" s="33" t="str">
        <f>VLOOKUP(B112,기업리스트!B:G,2,FALSE)</f>
        <v>Brother Industries, Ltd.</v>
      </c>
      <c r="E112" s="33" t="s">
        <v>315</v>
      </c>
      <c r="F112" s="34">
        <v>-26.1</v>
      </c>
      <c r="G112" s="52">
        <v>184457</v>
      </c>
      <c r="H112" s="52">
        <v>175964</v>
      </c>
      <c r="I112" s="52">
        <v>199734</v>
      </c>
      <c r="J112" s="52">
        <v>196931</v>
      </c>
      <c r="K112" s="52">
        <v>216807</v>
      </c>
      <c r="L112" s="52">
        <v>201795</v>
      </c>
      <c r="M112" s="52">
        <v>200407</v>
      </c>
      <c r="N112" s="52">
        <v>199225</v>
      </c>
      <c r="O112" s="52">
        <v>213133</v>
      </c>
      <c r="P112" s="52">
        <v>210164</v>
      </c>
      <c r="Q112" s="52">
        <v>214718</v>
      </c>
      <c r="R112" s="52">
        <v>212510</v>
      </c>
      <c r="S112" s="52">
        <v>231531</v>
      </c>
      <c r="T112" s="52">
        <v>217799</v>
      </c>
      <c r="U112" s="52">
        <v>213070</v>
      </c>
      <c r="V112" s="52">
        <v>224707</v>
      </c>
      <c r="W112" s="52">
        <v>0</v>
      </c>
      <c r="X112" s="35">
        <v>8.786739446418057E-3</v>
      </c>
      <c r="Y112" s="37">
        <v>-1.880080953000296E-3</v>
      </c>
      <c r="Z112" s="37">
        <v>1.3940862488713179E-2</v>
      </c>
      <c r="AA112" s="37">
        <v>-0.26099557325102829</v>
      </c>
    </row>
    <row r="113" spans="2:27" x14ac:dyDescent="0.3">
      <c r="B113" s="11" t="s">
        <v>348</v>
      </c>
      <c r="C113" s="3" t="s">
        <v>327</v>
      </c>
      <c r="D113" s="3" t="str">
        <f>VLOOKUP(B113,기업리스트!B:G,2,FALSE)</f>
        <v>Kalyan Jewellers India Limited</v>
      </c>
      <c r="E113" s="3" t="s">
        <v>315</v>
      </c>
      <c r="F113" s="12">
        <v>10.7</v>
      </c>
      <c r="G113" s="50">
        <v>34354</v>
      </c>
      <c r="H113" s="50">
        <v>28571</v>
      </c>
      <c r="I113" s="50">
        <v>33326</v>
      </c>
      <c r="J113" s="50">
        <v>34729</v>
      </c>
      <c r="K113" s="50">
        <v>38841</v>
      </c>
      <c r="L113" s="50">
        <v>33818</v>
      </c>
      <c r="M113" s="50">
        <v>43757</v>
      </c>
      <c r="N113" s="50">
        <v>44145</v>
      </c>
      <c r="O113" s="50">
        <v>52231</v>
      </c>
      <c r="P113" s="50">
        <v>45022</v>
      </c>
      <c r="Q113" s="50">
        <v>55355</v>
      </c>
      <c r="R113" s="50">
        <v>60655</v>
      </c>
      <c r="S113" s="50">
        <v>72869</v>
      </c>
      <c r="T113" s="50">
        <v>61572</v>
      </c>
      <c r="U113" s="50">
        <v>72685</v>
      </c>
      <c r="V113" s="50">
        <v>78560</v>
      </c>
      <c r="W113" s="51">
        <v>103434</v>
      </c>
      <c r="X113" s="7">
        <v>7.0756431139670228E-2</v>
      </c>
      <c r="Y113" s="8">
        <v>6.9195171909874675E-2</v>
      </c>
      <c r="Z113" s="8">
        <v>6.6864340636564989E-2</v>
      </c>
      <c r="AA113" s="9">
        <v>0.1069880918210904</v>
      </c>
    </row>
    <row r="114" spans="2:27" x14ac:dyDescent="0.3">
      <c r="B114" s="11" t="s">
        <v>349</v>
      </c>
      <c r="C114" s="3" t="s">
        <v>327</v>
      </c>
      <c r="D114" s="3" t="str">
        <f>VLOOKUP(B114,기업리스트!B:G,2,FALSE)</f>
        <v>G R Infraprojects Limited</v>
      </c>
      <c r="E114" s="3" t="s">
        <v>315</v>
      </c>
      <c r="F114" s="5">
        <v>8.1</v>
      </c>
      <c r="G114" s="50">
        <v>19797</v>
      </c>
      <c r="H114" s="50">
        <v>23318</v>
      </c>
      <c r="I114" s="50">
        <v>26922</v>
      </c>
      <c r="J114" s="50">
        <v>21364</v>
      </c>
      <c r="K114" s="50">
        <v>21919</v>
      </c>
      <c r="L114" s="50">
        <v>24611</v>
      </c>
      <c r="M114" s="50">
        <v>24782</v>
      </c>
      <c r="N114" s="50">
        <v>18828</v>
      </c>
      <c r="O114" s="50">
        <v>21340</v>
      </c>
      <c r="P114" s="50">
        <v>24851</v>
      </c>
      <c r="Q114" s="50">
        <v>20303</v>
      </c>
      <c r="R114" s="50">
        <v>13943</v>
      </c>
      <c r="S114" s="50">
        <v>16945</v>
      </c>
      <c r="T114" s="50">
        <v>22785</v>
      </c>
      <c r="U114" s="50">
        <v>19878</v>
      </c>
      <c r="V114" s="50">
        <v>16021</v>
      </c>
      <c r="W114" s="50">
        <v>23083</v>
      </c>
      <c r="X114" s="7">
        <v>-2.7169195970647819E-2</v>
      </c>
      <c r="Y114" s="8">
        <v>-5.7451065210338834E-3</v>
      </c>
      <c r="Z114" s="8">
        <v>2.8252505064513041E-2</v>
      </c>
      <c r="AA114" s="8">
        <v>8.1159343638022463E-2</v>
      </c>
    </row>
    <row r="115" spans="2:27" x14ac:dyDescent="0.3">
      <c r="B115" s="11" t="s">
        <v>350</v>
      </c>
      <c r="C115" s="3" t="s">
        <v>327</v>
      </c>
      <c r="D115" s="3" t="str">
        <f>VLOOKUP(B115,기업리스트!B:G,2,FALSE)</f>
        <v>India Shelter Finance Corporation Limited</v>
      </c>
      <c r="E115" s="3" t="s">
        <v>315</v>
      </c>
      <c r="F115" s="5">
        <v>6.5</v>
      </c>
      <c r="G115" s="50">
        <v>671.03</v>
      </c>
      <c r="H115" s="50">
        <v>1246</v>
      </c>
      <c r="I115" s="50">
        <v>766.38</v>
      </c>
      <c r="J115" s="50">
        <v>916.64</v>
      </c>
      <c r="K115" s="50">
        <v>977.71</v>
      </c>
      <c r="L115" s="50">
        <v>1197</v>
      </c>
      <c r="M115" s="51">
        <v>1157</v>
      </c>
      <c r="N115" s="50">
        <v>1337</v>
      </c>
      <c r="O115" s="50">
        <v>1402</v>
      </c>
      <c r="P115" s="50">
        <v>1640</v>
      </c>
      <c r="Q115" s="51">
        <v>1774</v>
      </c>
      <c r="R115" s="50">
        <v>1910</v>
      </c>
      <c r="S115" s="50">
        <v>2035</v>
      </c>
      <c r="T115" s="50">
        <v>2237</v>
      </c>
      <c r="U115" s="50">
        <v>2446</v>
      </c>
      <c r="V115" s="50">
        <v>2501</v>
      </c>
      <c r="W115" s="50">
        <v>2636</v>
      </c>
      <c r="X115" s="7">
        <v>8.112515287403177E-2</v>
      </c>
      <c r="Y115" s="8">
        <v>8.4464555052790269E-2</v>
      </c>
      <c r="Z115" s="8">
        <v>6.8497913769123731E-2</v>
      </c>
      <c r="AA115" s="8">
        <v>6.5191452435188202E-2</v>
      </c>
    </row>
    <row r="116" spans="2:27" x14ac:dyDescent="0.3">
      <c r="B116" s="11" t="s">
        <v>203</v>
      </c>
      <c r="C116" s="3" t="s">
        <v>327</v>
      </c>
      <c r="D116" s="3" t="str">
        <f>VLOOKUP(B116,기업리스트!B:G,2,FALSE)</f>
        <v>INOX India Limited</v>
      </c>
      <c r="E116" s="3" t="s">
        <v>310</v>
      </c>
      <c r="F116" s="5">
        <v>3.8</v>
      </c>
      <c r="G116" s="50"/>
      <c r="H116" s="50"/>
      <c r="I116" s="50"/>
      <c r="J116" s="50">
        <v>2434</v>
      </c>
      <c r="K116" s="50">
        <v>2434</v>
      </c>
      <c r="L116" s="50">
        <v>2438</v>
      </c>
      <c r="M116" s="50">
        <v>2353</v>
      </c>
      <c r="N116" s="50">
        <v>3085</v>
      </c>
      <c r="O116" s="50">
        <v>2577</v>
      </c>
      <c r="P116" s="50">
        <v>2904</v>
      </c>
      <c r="Q116" s="50">
        <v>2783</v>
      </c>
      <c r="R116" s="50">
        <v>2964</v>
      </c>
      <c r="S116" s="50">
        <v>3066</v>
      </c>
      <c r="T116" s="50">
        <v>3336</v>
      </c>
      <c r="U116" s="50">
        <v>3694</v>
      </c>
      <c r="V116" s="50">
        <v>3396</v>
      </c>
      <c r="W116" s="50">
        <v>3582</v>
      </c>
      <c r="X116" s="7">
        <v>3.6869505846206303E-2</v>
      </c>
      <c r="Y116" s="8">
        <v>7.4985595522265136E-2</v>
      </c>
      <c r="Z116" s="8">
        <v>3.3078101071975403E-2</v>
      </c>
      <c r="AA116" s="8">
        <v>3.8244885858286448E-2</v>
      </c>
    </row>
    <row r="117" spans="2:27" x14ac:dyDescent="0.3">
      <c r="B117" s="11" t="s">
        <v>102</v>
      </c>
      <c r="C117" s="3" t="s">
        <v>327</v>
      </c>
      <c r="D117" s="3" t="str">
        <f>VLOOKUP(B117,기업리스트!B:G,2,FALSE)</f>
        <v>Embassy Office Parks REIT</v>
      </c>
      <c r="E117" s="3" t="s">
        <v>315</v>
      </c>
      <c r="F117" s="5">
        <v>3.8</v>
      </c>
      <c r="G117" s="50">
        <v>7696</v>
      </c>
      <c r="H117" s="50">
        <v>7805</v>
      </c>
      <c r="I117" s="50">
        <v>8599</v>
      </c>
      <c r="J117" s="50">
        <v>8959</v>
      </c>
      <c r="K117" s="50">
        <v>9062</v>
      </c>
      <c r="L117" s="50">
        <v>8999</v>
      </c>
      <c r="M117" s="50">
        <v>9676</v>
      </c>
      <c r="N117" s="50">
        <v>9218</v>
      </c>
      <c r="O117" s="50">
        <v>9876</v>
      </c>
      <c r="P117" s="50">
        <v>9888</v>
      </c>
      <c r="Q117" s="50">
        <v>9825</v>
      </c>
      <c r="R117" s="50">
        <v>10545</v>
      </c>
      <c r="S117" s="50">
        <v>10449</v>
      </c>
      <c r="T117" s="50">
        <v>10993</v>
      </c>
      <c r="U117" s="50">
        <v>10808</v>
      </c>
      <c r="V117" s="50">
        <v>11556</v>
      </c>
      <c r="W117" s="50">
        <v>12104</v>
      </c>
      <c r="X117" s="7">
        <v>2.714520844080881E-2</v>
      </c>
      <c r="Y117" s="8">
        <v>2.3509997130010559E-2</v>
      </c>
      <c r="Z117" s="8">
        <v>2.3624255169996559E-2</v>
      </c>
      <c r="AA117" s="8">
        <v>3.7780212756243443E-2</v>
      </c>
    </row>
    <row r="118" spans="2:27" x14ac:dyDescent="0.3">
      <c r="B118" s="11" t="s">
        <v>173</v>
      </c>
      <c r="C118" s="3" t="s">
        <v>327</v>
      </c>
      <c r="D118" s="3" t="str">
        <f>VLOOKUP(B118,기업리스트!B:G,2,FALSE)</f>
        <v>Lemon Tree Hotels Limited</v>
      </c>
      <c r="E118" s="3" t="s">
        <v>315</v>
      </c>
      <c r="F118" s="5">
        <v>3.7</v>
      </c>
      <c r="G118" s="50">
        <v>1437</v>
      </c>
      <c r="H118" s="50">
        <v>1200</v>
      </c>
      <c r="I118" s="50">
        <v>1920</v>
      </c>
      <c r="J118" s="50">
        <v>1967</v>
      </c>
      <c r="K118" s="51">
        <v>2335</v>
      </c>
      <c r="L118" s="51">
        <v>2533</v>
      </c>
      <c r="M118" s="50">
        <v>2223</v>
      </c>
      <c r="N118" s="50">
        <v>2272</v>
      </c>
      <c r="O118" s="50">
        <v>2887</v>
      </c>
      <c r="P118" s="50">
        <v>3346</v>
      </c>
      <c r="Q118" s="50">
        <v>2680</v>
      </c>
      <c r="R118" s="50">
        <v>2844</v>
      </c>
      <c r="S118" s="50">
        <v>3552</v>
      </c>
      <c r="T118" s="50">
        <v>3805</v>
      </c>
      <c r="U118" s="50">
        <v>3158</v>
      </c>
      <c r="V118" s="50">
        <v>3063</v>
      </c>
      <c r="W118" s="50">
        <v>4061</v>
      </c>
      <c r="X118" s="7">
        <v>3.6950571566575441E-2</v>
      </c>
      <c r="Y118" s="8">
        <v>3.710892011489797E-2</v>
      </c>
      <c r="Z118" s="8">
        <v>1.6393442622950841E-2</v>
      </c>
      <c r="AA118" s="8">
        <v>3.748711150390327E-2</v>
      </c>
    </row>
    <row r="119" spans="2:27" x14ac:dyDescent="0.3">
      <c r="B119" s="11" t="s">
        <v>57</v>
      </c>
      <c r="C119" s="3" t="s">
        <v>327</v>
      </c>
      <c r="D119" s="3" t="str">
        <f>VLOOKUP(B119,기업리스트!B:G,2,FALSE)</f>
        <v>Siemens Limited</v>
      </c>
      <c r="E119" s="3" t="s">
        <v>315</v>
      </c>
      <c r="F119" s="5">
        <v>2.7</v>
      </c>
      <c r="G119" s="50">
        <v>35504</v>
      </c>
      <c r="H119" s="50">
        <v>39547</v>
      </c>
      <c r="I119" s="50">
        <v>42583</v>
      </c>
      <c r="J119" s="50">
        <v>46571</v>
      </c>
      <c r="K119" s="50">
        <v>40151</v>
      </c>
      <c r="L119" s="50">
        <v>48578</v>
      </c>
      <c r="M119" s="50">
        <v>48732</v>
      </c>
      <c r="N119" s="50">
        <v>58077</v>
      </c>
      <c r="O119" s="50">
        <v>48252</v>
      </c>
      <c r="P119" s="50">
        <v>57499</v>
      </c>
      <c r="Q119" s="50">
        <v>52035</v>
      </c>
      <c r="R119" s="50">
        <v>64611</v>
      </c>
      <c r="S119" s="50">
        <v>33601</v>
      </c>
      <c r="T119" s="50">
        <v>42590</v>
      </c>
      <c r="U119" s="50">
        <v>43468</v>
      </c>
      <c r="V119" s="50">
        <v>51712</v>
      </c>
      <c r="W119" s="50">
        <v>38307</v>
      </c>
      <c r="X119" s="7">
        <v>-7.176552135781189E-2</v>
      </c>
      <c r="Y119" s="8">
        <v>-4.4426121543064911E-2</v>
      </c>
      <c r="Z119" s="8">
        <v>-7.0000542681934119E-2</v>
      </c>
      <c r="AA119" s="8">
        <v>2.7460888948538601E-2</v>
      </c>
    </row>
    <row r="120" spans="2:27" x14ac:dyDescent="0.3">
      <c r="B120" s="11" t="s">
        <v>213</v>
      </c>
      <c r="C120" s="3" t="s">
        <v>327</v>
      </c>
      <c r="D120" s="3" t="str">
        <f>VLOOKUP(B120,기업리스트!B:G,2,FALSE)</f>
        <v>Sonata Software Limited</v>
      </c>
      <c r="E120" s="3" t="s">
        <v>315</v>
      </c>
      <c r="F120" s="5">
        <v>2.4</v>
      </c>
      <c r="G120" s="50">
        <v>18580</v>
      </c>
      <c r="H120" s="50">
        <v>14636</v>
      </c>
      <c r="I120" s="50">
        <v>17789</v>
      </c>
      <c r="J120" s="50">
        <v>14960</v>
      </c>
      <c r="K120" s="50">
        <v>22608</v>
      </c>
      <c r="L120" s="50">
        <v>19135</v>
      </c>
      <c r="M120" s="50">
        <v>20155</v>
      </c>
      <c r="N120" s="50">
        <v>19126</v>
      </c>
      <c r="O120" s="50">
        <v>24934</v>
      </c>
      <c r="P120" s="50">
        <v>21916</v>
      </c>
      <c r="Q120" s="50">
        <v>25274</v>
      </c>
      <c r="R120" s="50">
        <v>21698</v>
      </c>
      <c r="S120" s="50">
        <v>28428</v>
      </c>
      <c r="T120" s="50">
        <v>26172</v>
      </c>
      <c r="U120" s="50">
        <v>29652</v>
      </c>
      <c r="V120" s="50">
        <v>21193</v>
      </c>
      <c r="W120" s="50">
        <v>30920</v>
      </c>
      <c r="X120" s="7">
        <v>4.3733815610999198E-2</v>
      </c>
      <c r="Y120" s="8">
        <v>4.3102429803489217E-2</v>
      </c>
      <c r="Z120" s="8">
        <v>-4.7663992449268333E-3</v>
      </c>
      <c r="AA120" s="8">
        <v>2.3633173692446219E-2</v>
      </c>
    </row>
    <row r="121" spans="2:27" x14ac:dyDescent="0.3">
      <c r="B121" s="11" t="s">
        <v>263</v>
      </c>
      <c r="C121" s="3" t="s">
        <v>327</v>
      </c>
      <c r="D121" s="3" t="str">
        <f>VLOOKUP(B121,기업리스트!B:G,2,FALSE)</f>
        <v>Sapphire Foods India Limited</v>
      </c>
      <c r="E121" s="3" t="s">
        <v>315</v>
      </c>
      <c r="F121" s="5">
        <v>1.9</v>
      </c>
      <c r="G121" s="50">
        <v>5075</v>
      </c>
      <c r="H121" s="50">
        <v>4968</v>
      </c>
      <c r="I121" s="50">
        <v>5463</v>
      </c>
      <c r="J121" s="50">
        <v>5628</v>
      </c>
      <c r="K121" s="50">
        <v>5961</v>
      </c>
      <c r="L121" s="50">
        <v>5604</v>
      </c>
      <c r="M121" s="50">
        <v>6544</v>
      </c>
      <c r="N121" s="50">
        <v>6426</v>
      </c>
      <c r="O121" s="50">
        <v>6656</v>
      </c>
      <c r="P121" s="50">
        <v>6317</v>
      </c>
      <c r="Q121" s="50">
        <v>7183</v>
      </c>
      <c r="R121" s="50">
        <v>6957</v>
      </c>
      <c r="S121" s="50">
        <v>7565</v>
      </c>
      <c r="T121" s="50">
        <v>7113</v>
      </c>
      <c r="U121" s="50">
        <v>7768</v>
      </c>
      <c r="V121" s="50">
        <v>7424</v>
      </c>
      <c r="W121" s="50">
        <v>8138</v>
      </c>
      <c r="X121" s="7">
        <v>2.8406252230390509E-2</v>
      </c>
      <c r="Y121" s="8">
        <v>2.0299812617114329E-2</v>
      </c>
      <c r="Z121" s="8">
        <v>1.5882733054450201E-2</v>
      </c>
      <c r="AA121" s="8">
        <v>1.9183126883160369E-2</v>
      </c>
    </row>
    <row r="122" spans="2:27" x14ac:dyDescent="0.3">
      <c r="B122" s="11" t="s">
        <v>141</v>
      </c>
      <c r="C122" s="3" t="s">
        <v>327</v>
      </c>
      <c r="D122" s="3" t="str">
        <f>VLOOKUP(B122,기업리스트!B:G,2,FALSE)</f>
        <v>Crompton Greaves Consumer Electricals Limited</v>
      </c>
      <c r="E122" s="3" t="s">
        <v>315</v>
      </c>
      <c r="F122" s="5">
        <v>1.7</v>
      </c>
      <c r="G122" s="50">
        <v>14106</v>
      </c>
      <c r="H122" s="50">
        <v>15479</v>
      </c>
      <c r="I122" s="50">
        <v>18629</v>
      </c>
      <c r="J122" s="50">
        <v>16995</v>
      </c>
      <c r="K122" s="50">
        <v>15162</v>
      </c>
      <c r="L122" s="50">
        <v>17910</v>
      </c>
      <c r="M122" s="50">
        <v>18769</v>
      </c>
      <c r="N122" s="50">
        <v>17823</v>
      </c>
      <c r="O122" s="50">
        <v>16927</v>
      </c>
      <c r="P122" s="50">
        <v>19610</v>
      </c>
      <c r="Q122" s="50">
        <v>21377</v>
      </c>
      <c r="R122" s="50">
        <v>18960</v>
      </c>
      <c r="S122" s="50">
        <v>17692</v>
      </c>
      <c r="T122" s="50">
        <v>20606</v>
      </c>
      <c r="U122" s="50">
        <v>19983</v>
      </c>
      <c r="V122" s="50">
        <v>19156</v>
      </c>
      <c r="W122" s="50">
        <v>18983</v>
      </c>
      <c r="X122" s="7">
        <v>1.282860418088849E-2</v>
      </c>
      <c r="Y122" s="8">
        <v>-1.772747504291983E-2</v>
      </c>
      <c r="Z122" s="8">
        <v>2.5375124609987591E-3</v>
      </c>
      <c r="AA122" s="8">
        <v>1.6671616927308671E-2</v>
      </c>
    </row>
    <row r="123" spans="2:27" x14ac:dyDescent="0.3">
      <c r="B123" s="11" t="s">
        <v>63</v>
      </c>
      <c r="C123" s="3" t="s">
        <v>327</v>
      </c>
      <c r="D123" s="3" t="str">
        <f>VLOOKUP(B123,기업리스트!B:G,2,FALSE)</f>
        <v>Shree Cement Limited</v>
      </c>
      <c r="E123" s="3" t="s">
        <v>315</v>
      </c>
      <c r="F123" s="5">
        <v>1.1000000000000001</v>
      </c>
      <c r="G123" s="50">
        <v>36371</v>
      </c>
      <c r="H123" s="50">
        <v>43642</v>
      </c>
      <c r="I123" s="50">
        <v>44149</v>
      </c>
      <c r="J123" s="50">
        <v>40380</v>
      </c>
      <c r="K123" s="50">
        <v>42993</v>
      </c>
      <c r="L123" s="50">
        <v>51002</v>
      </c>
      <c r="M123" s="50">
        <v>50648</v>
      </c>
      <c r="N123" s="50">
        <v>48002</v>
      </c>
      <c r="O123" s="50">
        <v>52232</v>
      </c>
      <c r="P123" s="50">
        <v>53156</v>
      </c>
      <c r="Q123" s="50">
        <v>51240</v>
      </c>
      <c r="R123" s="50">
        <v>40542</v>
      </c>
      <c r="S123" s="50">
        <v>45727</v>
      </c>
      <c r="T123" s="50">
        <v>55320</v>
      </c>
      <c r="U123" s="50">
        <v>52809</v>
      </c>
      <c r="V123" s="50">
        <v>47611</v>
      </c>
      <c r="W123" s="50">
        <v>48005</v>
      </c>
      <c r="X123" s="7">
        <v>1.134974956074797E-2</v>
      </c>
      <c r="Y123" s="8">
        <v>8.1367429172998218E-3</v>
      </c>
      <c r="Z123" s="8">
        <v>3.6363542834802809E-2</v>
      </c>
      <c r="AA123" s="8">
        <v>1.130706269513126E-2</v>
      </c>
    </row>
    <row r="124" spans="2:27" x14ac:dyDescent="0.3">
      <c r="B124" s="11" t="s">
        <v>134</v>
      </c>
      <c r="C124" s="3" t="s">
        <v>327</v>
      </c>
      <c r="D124" s="3" t="str">
        <f>VLOOKUP(B124,기업리스트!B:G,2,FALSE)</f>
        <v>Sun TV Network Limited</v>
      </c>
      <c r="E124" s="3" t="s">
        <v>315</v>
      </c>
      <c r="F124" s="5">
        <v>0.8</v>
      </c>
      <c r="G124" s="50">
        <v>10604</v>
      </c>
      <c r="H124" s="50">
        <v>8592</v>
      </c>
      <c r="I124" s="50">
        <v>12191</v>
      </c>
      <c r="J124" s="50">
        <v>8257</v>
      </c>
      <c r="K124" s="50">
        <v>8869</v>
      </c>
      <c r="L124" s="50">
        <v>8411</v>
      </c>
      <c r="M124" s="50">
        <v>13492</v>
      </c>
      <c r="N124" s="50">
        <v>10485</v>
      </c>
      <c r="O124" s="50">
        <v>9232</v>
      </c>
      <c r="P124" s="50">
        <v>9765</v>
      </c>
      <c r="Q124" s="50">
        <v>13124</v>
      </c>
      <c r="R124" s="50">
        <v>9345</v>
      </c>
      <c r="S124" s="50">
        <v>8276</v>
      </c>
      <c r="T124" s="50">
        <v>9765</v>
      </c>
      <c r="U124" s="50">
        <v>12903</v>
      </c>
      <c r="V124" s="50">
        <v>12999</v>
      </c>
      <c r="W124" s="50">
        <v>8622</v>
      </c>
      <c r="X124" s="7">
        <v>0</v>
      </c>
      <c r="Y124" s="8">
        <v>-5.4554431004689707E-3</v>
      </c>
      <c r="Z124" s="8">
        <v>9.0694730571620141E-2</v>
      </c>
      <c r="AA124" s="8">
        <v>7.873836560999381E-3</v>
      </c>
    </row>
    <row r="125" spans="2:27" x14ac:dyDescent="0.3">
      <c r="B125" s="11" t="s">
        <v>258</v>
      </c>
      <c r="C125" s="3" t="s">
        <v>327</v>
      </c>
      <c r="D125" s="3" t="str">
        <f>VLOOKUP(B125,기업리스트!B:G,2,FALSE)</f>
        <v>Max Estates Limited</v>
      </c>
      <c r="E125" s="3" t="s">
        <v>315</v>
      </c>
      <c r="F125" s="5">
        <v>-0.1</v>
      </c>
      <c r="G125" s="50"/>
      <c r="H125" s="50"/>
      <c r="I125" s="50">
        <v>334.61</v>
      </c>
      <c r="J125" s="50">
        <v>333.7</v>
      </c>
      <c r="K125" s="50">
        <v>356.35</v>
      </c>
      <c r="L125" s="50">
        <v>273.62</v>
      </c>
      <c r="M125" s="50">
        <v>234.51</v>
      </c>
      <c r="N125" s="50">
        <v>277.81</v>
      </c>
      <c r="O125" s="50">
        <v>304.77999999999997</v>
      </c>
      <c r="P125" s="51">
        <v>385.6</v>
      </c>
      <c r="Q125" s="51">
        <v>477</v>
      </c>
      <c r="R125" s="51">
        <v>527.75</v>
      </c>
      <c r="S125" s="51">
        <v>718.94</v>
      </c>
      <c r="T125" s="51">
        <v>773.04</v>
      </c>
      <c r="U125" s="51">
        <v>801.29</v>
      </c>
      <c r="V125" s="50">
        <v>746.35</v>
      </c>
      <c r="W125" s="50">
        <v>714.49</v>
      </c>
      <c r="X125" s="10">
        <v>0.18368266099019109</v>
      </c>
      <c r="Y125" s="9">
        <v>0.1298858907450946</v>
      </c>
      <c r="Z125" s="8">
        <v>7.7489702306257957E-2</v>
      </c>
      <c r="AA125" s="8">
        <v>-1.463998789322241E-3</v>
      </c>
    </row>
    <row r="126" spans="2:27" hidden="1" x14ac:dyDescent="0.3">
      <c r="B126" s="3" t="s">
        <v>181</v>
      </c>
      <c r="C126" s="3" t="s">
        <v>302</v>
      </c>
      <c r="D126" s="3" t="s">
        <v>331</v>
      </c>
      <c r="E126" s="3" t="s">
        <v>332</v>
      </c>
      <c r="F126" s="5">
        <v>-1.3</v>
      </c>
      <c r="G126" s="4">
        <v>630</v>
      </c>
      <c r="H126" s="4">
        <v>609</v>
      </c>
      <c r="I126" s="4">
        <v>605</v>
      </c>
      <c r="J126" s="4">
        <v>909</v>
      </c>
      <c r="K126" s="6">
        <v>906</v>
      </c>
      <c r="L126" s="4">
        <v>906</v>
      </c>
      <c r="M126" s="4">
        <v>848</v>
      </c>
      <c r="N126" s="4">
        <v>967</v>
      </c>
      <c r="O126" s="4">
        <v>883</v>
      </c>
      <c r="P126" s="4">
        <v>891</v>
      </c>
      <c r="Q126" s="4">
        <v>865</v>
      </c>
      <c r="R126" s="4">
        <v>973</v>
      </c>
      <c r="S126" s="4">
        <v>935</v>
      </c>
      <c r="T126" s="4">
        <v>1002</v>
      </c>
      <c r="U126" s="4">
        <v>912</v>
      </c>
      <c r="V126" s="4">
        <v>929</v>
      </c>
      <c r="W126" s="4">
        <v>886</v>
      </c>
      <c r="X126" s="7">
        <v>3.0294759825327588E-2</v>
      </c>
      <c r="Y126" s="8">
        <v>1.245033112582772E-2</v>
      </c>
      <c r="Z126" s="8">
        <v>-1.1512297226582979E-2</v>
      </c>
      <c r="AA126" s="8">
        <v>-1.296982530439383E-2</v>
      </c>
    </row>
    <row r="127" spans="2:27" x14ac:dyDescent="0.3">
      <c r="B127" s="11" t="s">
        <v>130</v>
      </c>
      <c r="C127" s="3" t="s">
        <v>327</v>
      </c>
      <c r="D127" s="3" t="str">
        <f>VLOOKUP(B127,기업리스트!B:G,2,FALSE)</f>
        <v>Ola Electric Mobility Limited</v>
      </c>
      <c r="E127" s="3" t="s">
        <v>310</v>
      </c>
      <c r="F127" s="5">
        <v>-14.2</v>
      </c>
      <c r="G127" s="50"/>
      <c r="H127" s="50"/>
      <c r="I127" s="50"/>
      <c r="J127" s="50"/>
      <c r="K127" s="50"/>
      <c r="L127" s="50"/>
      <c r="M127" s="50"/>
      <c r="N127" s="50">
        <v>12427</v>
      </c>
      <c r="O127" s="50">
        <v>8730</v>
      </c>
      <c r="P127" s="50">
        <v>12960</v>
      </c>
      <c r="Q127" s="50">
        <v>15980</v>
      </c>
      <c r="R127" s="50">
        <v>16440</v>
      </c>
      <c r="S127" s="50">
        <v>12140</v>
      </c>
      <c r="T127" s="50">
        <v>10450</v>
      </c>
      <c r="U127" s="50">
        <v>6110</v>
      </c>
      <c r="V127" s="50">
        <v>8280</v>
      </c>
      <c r="W127" s="50">
        <v>6900</v>
      </c>
      <c r="X127" s="7">
        <v>-4.3636995827538223E-2</v>
      </c>
      <c r="Y127" s="8">
        <v>-0.17942192328667519</v>
      </c>
      <c r="Z127" s="8">
        <v>-0.18077093486929549</v>
      </c>
      <c r="AA127" s="8">
        <v>-0.14169821525148729</v>
      </c>
    </row>
  </sheetData>
  <autoFilter ref="B2:AA127" xr:uid="{00000000-0009-0000-0000-000001000000}">
    <filterColumn colId="3">
      <filters>
        <filter val="Dec'25"/>
        <filter val="H2 2025"/>
        <filter val="Jun'26"/>
        <filter val="Mar'26"/>
        <filter val="Sep'26"/>
      </filters>
    </filterColumn>
    <sortState xmlns:xlrd2="http://schemas.microsoft.com/office/spreadsheetml/2017/richdata2" ref="B3:AA127">
      <sortCondition descending="1" ref="C2:C127"/>
    </sortState>
  </autoFilter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29"/>
  <sheetViews>
    <sheetView tabSelected="1" zoomScale="85" zoomScaleNormal="85" workbookViewId="0">
      <selection activeCell="M13" sqref="M13"/>
    </sheetView>
  </sheetViews>
  <sheetFormatPr defaultRowHeight="16.5" x14ac:dyDescent="0.3"/>
  <cols>
    <col min="1" max="1" width="3" customWidth="1"/>
    <col min="2" max="2" width="12" style="45" customWidth="1"/>
    <col min="3" max="3" width="14" customWidth="1"/>
    <col min="4" max="4" width="39.25" bestFit="1" customWidth="1"/>
    <col min="5" max="5" width="12" hidden="1" customWidth="1"/>
    <col min="6" max="6" width="14.75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49" t="s">
        <v>1</v>
      </c>
      <c r="C2" s="49" t="s">
        <v>281</v>
      </c>
      <c r="D2" s="49" t="s">
        <v>282</v>
      </c>
      <c r="E2" s="49" t="s">
        <v>283</v>
      </c>
      <c r="F2" s="49" t="s">
        <v>284</v>
      </c>
      <c r="G2" s="49" t="s">
        <v>285</v>
      </c>
      <c r="H2" s="49" t="s">
        <v>286</v>
      </c>
      <c r="I2" s="49" t="s">
        <v>287</v>
      </c>
      <c r="J2" s="49" t="s">
        <v>288</v>
      </c>
      <c r="K2" s="49" t="s">
        <v>289</v>
      </c>
      <c r="L2" s="49" t="s">
        <v>290</v>
      </c>
      <c r="M2" s="49" t="s">
        <v>291</v>
      </c>
      <c r="N2" s="49" t="s">
        <v>292</v>
      </c>
      <c r="O2" s="49" t="s">
        <v>293</v>
      </c>
      <c r="P2" s="49" t="s">
        <v>294</v>
      </c>
      <c r="Q2" s="49" t="s">
        <v>295</v>
      </c>
      <c r="R2" s="49" t="s">
        <v>296</v>
      </c>
      <c r="S2" s="49" t="s">
        <v>297</v>
      </c>
      <c r="T2" s="49" t="s">
        <v>298</v>
      </c>
      <c r="U2" s="49" t="s">
        <v>299</v>
      </c>
      <c r="V2" s="49" t="s">
        <v>300</v>
      </c>
      <c r="W2" s="49" t="s">
        <v>301</v>
      </c>
      <c r="X2" s="49" t="s">
        <v>298</v>
      </c>
      <c r="Y2" s="49" t="s">
        <v>299</v>
      </c>
      <c r="Z2" s="49" t="s">
        <v>300</v>
      </c>
      <c r="AA2" s="49" t="s">
        <v>301</v>
      </c>
    </row>
    <row r="3" spans="2:27" x14ac:dyDescent="0.3">
      <c r="B3" s="11" t="s">
        <v>230</v>
      </c>
      <c r="C3" s="3" t="s">
        <v>302</v>
      </c>
      <c r="D3" s="3" t="s">
        <v>335</v>
      </c>
      <c r="E3" s="3" t="s">
        <v>313</v>
      </c>
      <c r="F3" s="12">
        <v>88.8</v>
      </c>
      <c r="G3" s="50">
        <v>-1.26</v>
      </c>
      <c r="H3" s="50">
        <v>-3.03</v>
      </c>
      <c r="I3" s="50">
        <v>-1.39</v>
      </c>
      <c r="J3" s="50">
        <v>-2.13</v>
      </c>
      <c r="K3" s="51">
        <v>-2.08</v>
      </c>
      <c r="L3" s="50">
        <v>-2.2000000000000002</v>
      </c>
      <c r="M3" s="51">
        <v>-29.19</v>
      </c>
      <c r="N3" s="50">
        <v>-3.94</v>
      </c>
      <c r="O3" s="50">
        <v>-3.44</v>
      </c>
      <c r="P3" s="50">
        <v>-2.92</v>
      </c>
      <c r="Q3" s="50">
        <v>-5.1100000000000003</v>
      </c>
      <c r="R3" s="50">
        <v>-2.29</v>
      </c>
      <c r="S3" s="50">
        <v>-1.4</v>
      </c>
      <c r="T3" s="50">
        <v>-2.9</v>
      </c>
      <c r="U3" s="50">
        <v>-2.6</v>
      </c>
      <c r="V3" s="51">
        <v>-5.0599999999999996</v>
      </c>
      <c r="W3" s="51">
        <v>-12.02</v>
      </c>
      <c r="X3" s="7">
        <v>-1.7064846416383621E-3</v>
      </c>
      <c r="Y3" s="8">
        <v>-0.21452991452991449</v>
      </c>
      <c r="Z3" s="9">
        <v>0.30141458106637642</v>
      </c>
      <c r="AA3" s="9">
        <v>0.88795986622073575</v>
      </c>
    </row>
    <row r="4" spans="2:27" x14ac:dyDescent="0.3">
      <c r="B4" s="11" t="s">
        <v>100</v>
      </c>
      <c r="C4" s="3" t="s">
        <v>302</v>
      </c>
      <c r="D4" s="3" t="s">
        <v>305</v>
      </c>
      <c r="E4" s="3" t="s">
        <v>304</v>
      </c>
      <c r="F4" s="12">
        <v>57</v>
      </c>
      <c r="G4" s="50">
        <v>36.700000000000003</v>
      </c>
      <c r="H4" s="50">
        <v>-5.8</v>
      </c>
      <c r="I4" s="50">
        <v>-222.4</v>
      </c>
      <c r="J4" s="50">
        <v>-17.8</v>
      </c>
      <c r="K4" s="50">
        <v>154.19999999999999</v>
      </c>
      <c r="L4" s="50">
        <v>211.7</v>
      </c>
      <c r="M4" s="51">
        <v>33.799999999999997</v>
      </c>
      <c r="N4" s="51">
        <v>53.8</v>
      </c>
      <c r="O4" s="51">
        <v>377.5</v>
      </c>
      <c r="P4" s="50">
        <v>247.8</v>
      </c>
      <c r="Q4" s="50">
        <v>-6.6</v>
      </c>
      <c r="R4" s="51">
        <v>404.9</v>
      </c>
      <c r="S4" s="50">
        <v>-92.8</v>
      </c>
      <c r="T4" s="50">
        <v>99.9</v>
      </c>
      <c r="U4" s="51">
        <v>223.5</v>
      </c>
      <c r="V4" s="50">
        <v>234.8</v>
      </c>
      <c r="W4" s="51">
        <v>172.6</v>
      </c>
      <c r="X4" s="7">
        <v>-0.267305259352973</v>
      </c>
      <c r="Y4" s="9">
        <v>0.56758756783423792</v>
      </c>
      <c r="Z4" s="8">
        <v>-0.26766325727773399</v>
      </c>
      <c r="AA4" s="9">
        <v>0.57026214009454201</v>
      </c>
    </row>
    <row r="5" spans="2:27" x14ac:dyDescent="0.3">
      <c r="B5" s="11" t="s">
        <v>36</v>
      </c>
      <c r="C5" s="3" t="s">
        <v>302</v>
      </c>
      <c r="D5" s="3" t="s">
        <v>303</v>
      </c>
      <c r="E5" s="3" t="s">
        <v>304</v>
      </c>
      <c r="F5" s="12">
        <v>38.299999999999997</v>
      </c>
      <c r="G5" s="50">
        <v>890</v>
      </c>
      <c r="H5" s="50">
        <v>740.2</v>
      </c>
      <c r="I5" s="50">
        <v>323.39999999999998</v>
      </c>
      <c r="J5" s="50">
        <v>404.2</v>
      </c>
      <c r="K5" s="50">
        <v>143.19999999999999</v>
      </c>
      <c r="L5" s="50">
        <v>156.1</v>
      </c>
      <c r="M5" s="50">
        <v>-85.6</v>
      </c>
      <c r="N5" s="50">
        <v>161.6</v>
      </c>
      <c r="O5" s="50">
        <v>-839.7</v>
      </c>
      <c r="P5" s="50">
        <v>127.9</v>
      </c>
      <c r="Q5" s="50">
        <v>223.6</v>
      </c>
      <c r="R5" s="50">
        <v>786.2</v>
      </c>
      <c r="S5" s="51">
        <v>231.7</v>
      </c>
      <c r="T5" s="50">
        <v>164.9</v>
      </c>
      <c r="U5" s="51">
        <v>393.7</v>
      </c>
      <c r="V5" s="50">
        <v>-37.4</v>
      </c>
      <c r="W5" s="51">
        <v>519.9</v>
      </c>
      <c r="X5" s="7">
        <v>2.701913246677368E-2</v>
      </c>
      <c r="Y5" s="9">
        <v>0.1209470989761092</v>
      </c>
      <c r="Z5" s="8">
        <v>-0.52242308912147162</v>
      </c>
      <c r="AA5" s="9">
        <v>0.3827865586399255</v>
      </c>
    </row>
    <row r="6" spans="2:27" x14ac:dyDescent="0.3">
      <c r="B6" s="11" t="s">
        <v>59</v>
      </c>
      <c r="C6" s="3" t="s">
        <v>302</v>
      </c>
      <c r="D6" s="3" t="s">
        <v>323</v>
      </c>
      <c r="E6" s="3" t="s">
        <v>304</v>
      </c>
      <c r="F6" s="12">
        <v>32.299999999999997</v>
      </c>
      <c r="G6" s="50">
        <v>616</v>
      </c>
      <c r="H6" s="50">
        <v>336</v>
      </c>
      <c r="I6" s="50">
        <v>407</v>
      </c>
      <c r="J6" s="50">
        <v>626</v>
      </c>
      <c r="K6" s="50">
        <v>192</v>
      </c>
      <c r="L6" s="50">
        <v>319</v>
      </c>
      <c r="M6" s="50">
        <v>381</v>
      </c>
      <c r="N6" s="50">
        <v>241</v>
      </c>
      <c r="O6" s="51">
        <v>427</v>
      </c>
      <c r="P6" s="50">
        <v>357</v>
      </c>
      <c r="Q6" s="50">
        <v>0</v>
      </c>
      <c r="R6" s="50">
        <v>316</v>
      </c>
      <c r="S6" s="50">
        <v>22</v>
      </c>
      <c r="T6" s="50">
        <v>342</v>
      </c>
      <c r="U6" s="51">
        <v>281</v>
      </c>
      <c r="V6" s="50">
        <v>392</v>
      </c>
      <c r="W6" s="51">
        <v>357</v>
      </c>
      <c r="X6" s="7">
        <v>-2.1582733812949621E-2</v>
      </c>
      <c r="Y6" s="9">
        <v>0.41323529411764709</v>
      </c>
      <c r="Z6" s="8">
        <v>7.9084287200832382E-2</v>
      </c>
      <c r="AA6" s="9">
        <v>0.32304725168756021</v>
      </c>
    </row>
    <row r="7" spans="2:27" x14ac:dyDescent="0.3">
      <c r="B7" s="11" t="s">
        <v>89</v>
      </c>
      <c r="C7" s="3" t="s">
        <v>302</v>
      </c>
      <c r="D7" s="3" t="s">
        <v>307</v>
      </c>
      <c r="E7" s="3" t="s">
        <v>304</v>
      </c>
      <c r="F7" s="12">
        <v>20.100000000000001</v>
      </c>
      <c r="G7" s="50">
        <v>169.72</v>
      </c>
      <c r="H7" s="50">
        <v>36.880000000000003</v>
      </c>
      <c r="I7" s="50">
        <v>38.770000000000003</v>
      </c>
      <c r="J7" s="50">
        <v>25.37</v>
      </c>
      <c r="K7" s="50">
        <v>44.79</v>
      </c>
      <c r="L7" s="50">
        <v>25.81</v>
      </c>
      <c r="M7" s="50">
        <v>18.28</v>
      </c>
      <c r="N7" s="50">
        <v>-3.45</v>
      </c>
      <c r="O7" s="51">
        <v>160.6</v>
      </c>
      <c r="P7" s="51">
        <v>60.67</v>
      </c>
      <c r="Q7" s="50">
        <v>39.56</v>
      </c>
      <c r="R7" s="51">
        <v>67.5</v>
      </c>
      <c r="S7" s="50">
        <v>128.65</v>
      </c>
      <c r="T7" s="50">
        <v>38.32</v>
      </c>
      <c r="U7" s="50">
        <v>60.8</v>
      </c>
      <c r="V7" s="51">
        <v>116.4</v>
      </c>
      <c r="W7" s="51">
        <v>197.83</v>
      </c>
      <c r="X7" s="7">
        <v>-7.5409946690059959E-2</v>
      </c>
      <c r="Y7" s="8">
        <v>7.7509761704922742E-2</v>
      </c>
      <c r="Z7" s="9">
        <v>0.1656111355708336</v>
      </c>
      <c r="AA7" s="9">
        <v>0.20100531713978559</v>
      </c>
    </row>
    <row r="8" spans="2:27" x14ac:dyDescent="0.3">
      <c r="B8" s="11" t="s">
        <v>55</v>
      </c>
      <c r="C8" s="3" t="s">
        <v>302</v>
      </c>
      <c r="D8" s="3" t="s">
        <v>306</v>
      </c>
      <c r="E8" s="3" t="s">
        <v>304</v>
      </c>
      <c r="F8" s="12">
        <v>16.600000000000001</v>
      </c>
      <c r="G8" s="50">
        <v>62.84</v>
      </c>
      <c r="H8" s="50">
        <v>44.55</v>
      </c>
      <c r="I8" s="50">
        <v>26.07</v>
      </c>
      <c r="J8" s="50">
        <v>40.76</v>
      </c>
      <c r="K8" s="50">
        <v>48.19</v>
      </c>
      <c r="L8" s="50">
        <v>46.08</v>
      </c>
      <c r="M8" s="51">
        <v>45.14</v>
      </c>
      <c r="N8" s="50">
        <v>23.15</v>
      </c>
      <c r="O8" s="50">
        <v>35.92</v>
      </c>
      <c r="P8" s="50">
        <v>34.25</v>
      </c>
      <c r="Q8" s="50">
        <v>50.91</v>
      </c>
      <c r="R8" s="50">
        <v>11.39</v>
      </c>
      <c r="S8" s="51">
        <v>50.12</v>
      </c>
      <c r="T8" s="50">
        <v>48.83</v>
      </c>
      <c r="U8" s="50">
        <v>-9.74</v>
      </c>
      <c r="V8" s="51">
        <v>29.6</v>
      </c>
      <c r="W8" s="51">
        <v>69.819999999999993</v>
      </c>
      <c r="X8" s="7">
        <v>9.9406831662916861E-2</v>
      </c>
      <c r="Y8" s="8">
        <v>-0.37612403100775188</v>
      </c>
      <c r="Z8" s="9">
        <v>0.1810139165009941</v>
      </c>
      <c r="AA8" s="9">
        <v>0.16581095867351209</v>
      </c>
    </row>
    <row r="9" spans="2:27" x14ac:dyDescent="0.3">
      <c r="B9" s="11" t="s">
        <v>190</v>
      </c>
      <c r="C9" s="3" t="s">
        <v>302</v>
      </c>
      <c r="D9" s="3" t="s">
        <v>316</v>
      </c>
      <c r="E9" s="3" t="s">
        <v>304</v>
      </c>
      <c r="F9" s="12">
        <v>16.2</v>
      </c>
      <c r="G9" s="50">
        <v>-0.2</v>
      </c>
      <c r="H9" s="50">
        <v>7.89</v>
      </c>
      <c r="I9" s="50">
        <v>10.4</v>
      </c>
      <c r="J9" s="50">
        <v>7.25</v>
      </c>
      <c r="K9" s="50">
        <v>1.41</v>
      </c>
      <c r="L9" s="50">
        <v>3.82</v>
      </c>
      <c r="M9" s="50">
        <v>5.71</v>
      </c>
      <c r="N9" s="51">
        <v>10.44</v>
      </c>
      <c r="O9" s="51">
        <v>8.42</v>
      </c>
      <c r="P9" s="51">
        <v>6.83</v>
      </c>
      <c r="Q9" s="50">
        <v>6</v>
      </c>
      <c r="R9" s="50">
        <v>8.58</v>
      </c>
      <c r="S9" s="50">
        <v>4.09</v>
      </c>
      <c r="T9" s="50">
        <v>4.49</v>
      </c>
      <c r="U9" s="50">
        <v>5.12</v>
      </c>
      <c r="V9" s="50">
        <v>8.85</v>
      </c>
      <c r="W9" s="51">
        <v>7.74</v>
      </c>
      <c r="X9" s="7">
        <v>-9.176470588235297E-2</v>
      </c>
      <c r="Y9" s="8">
        <v>-3.7996545768566481E-2</v>
      </c>
      <c r="Z9" s="8">
        <v>1.211849192100534E-2</v>
      </c>
      <c r="AA9" s="9">
        <v>0.16186252771618631</v>
      </c>
    </row>
    <row r="10" spans="2:27" x14ac:dyDescent="0.3">
      <c r="B10" s="11" t="s">
        <v>21</v>
      </c>
      <c r="C10" s="3" t="s">
        <v>302</v>
      </c>
      <c r="D10" s="3" t="s">
        <v>309</v>
      </c>
      <c r="E10" s="3" t="s">
        <v>310</v>
      </c>
      <c r="F10" s="12">
        <v>12.3</v>
      </c>
      <c r="G10" s="50">
        <v>125.39</v>
      </c>
      <c r="H10" s="50">
        <v>62.61</v>
      </c>
      <c r="I10" s="50">
        <v>112.57</v>
      </c>
      <c r="J10" s="50">
        <v>122.01</v>
      </c>
      <c r="K10" s="50">
        <v>145.15</v>
      </c>
      <c r="L10" s="51">
        <v>133.53</v>
      </c>
      <c r="M10" s="50">
        <v>143.88</v>
      </c>
      <c r="N10" s="50">
        <v>128.30000000000001</v>
      </c>
      <c r="O10" s="50">
        <v>121.1</v>
      </c>
      <c r="P10" s="50">
        <v>111.22</v>
      </c>
      <c r="Q10" s="50">
        <v>138.37</v>
      </c>
      <c r="R10" s="50">
        <v>169.21</v>
      </c>
      <c r="S10" s="51">
        <v>178.81</v>
      </c>
      <c r="T10" s="51">
        <v>226.86</v>
      </c>
      <c r="U10" s="51">
        <v>261.39999999999998</v>
      </c>
      <c r="V10" s="51">
        <v>261.72000000000003</v>
      </c>
      <c r="W10" s="51">
        <v>292.89999999999998</v>
      </c>
      <c r="X10" s="10">
        <v>0.19350412476364179</v>
      </c>
      <c r="Y10" s="9">
        <v>0.17249211356466859</v>
      </c>
      <c r="Z10" s="9">
        <v>0.1106208446931649</v>
      </c>
      <c r="AA10" s="9">
        <v>0.12283723984969711</v>
      </c>
    </row>
    <row r="11" spans="2:27" x14ac:dyDescent="0.3">
      <c r="B11" s="11" t="s">
        <v>113</v>
      </c>
      <c r="C11" s="3" t="s">
        <v>302</v>
      </c>
      <c r="D11" s="3" t="s">
        <v>323</v>
      </c>
      <c r="E11" s="3" t="s">
        <v>304</v>
      </c>
      <c r="F11" s="5">
        <v>9.1999999999999993</v>
      </c>
      <c r="G11" s="50">
        <v>596</v>
      </c>
      <c r="H11" s="50">
        <v>249</v>
      </c>
      <c r="I11" s="50">
        <v>405</v>
      </c>
      <c r="J11" s="50">
        <v>624</v>
      </c>
      <c r="K11" s="50">
        <v>275</v>
      </c>
      <c r="L11" s="50">
        <v>317</v>
      </c>
      <c r="M11" s="50">
        <v>378</v>
      </c>
      <c r="N11" s="50">
        <v>239</v>
      </c>
      <c r="O11" s="51">
        <v>415</v>
      </c>
      <c r="P11" s="50">
        <v>356</v>
      </c>
      <c r="Q11" s="50">
        <v>0</v>
      </c>
      <c r="R11" s="50">
        <v>195</v>
      </c>
      <c r="S11" s="50">
        <v>246</v>
      </c>
      <c r="T11" s="50">
        <v>341</v>
      </c>
      <c r="U11" s="51">
        <v>279</v>
      </c>
      <c r="V11" s="51">
        <v>391</v>
      </c>
      <c r="W11" s="50">
        <v>362</v>
      </c>
      <c r="X11" s="7">
        <v>-1.8820577164366359E-2</v>
      </c>
      <c r="Y11" s="9">
        <v>0.35677749360613809</v>
      </c>
      <c r="Z11" s="9">
        <v>0.18473138548539109</v>
      </c>
      <c r="AA11" s="8">
        <v>9.2283214001591007E-2</v>
      </c>
    </row>
    <row r="12" spans="2:27" x14ac:dyDescent="0.3">
      <c r="B12" s="11" t="s">
        <v>26</v>
      </c>
      <c r="C12" s="3" t="s">
        <v>302</v>
      </c>
      <c r="D12" s="3" t="s">
        <v>328</v>
      </c>
      <c r="E12" s="3" t="s">
        <v>304</v>
      </c>
      <c r="F12" s="5">
        <v>9.1999999999999993</v>
      </c>
      <c r="G12" s="50">
        <v>221.6</v>
      </c>
      <c r="H12" s="50">
        <v>241.7</v>
      </c>
      <c r="I12" s="50">
        <v>237</v>
      </c>
      <c r="J12" s="50">
        <v>239.2</v>
      </c>
      <c r="K12" s="50">
        <v>247.3</v>
      </c>
      <c r="L12" s="50">
        <v>254.3</v>
      </c>
      <c r="M12" s="50">
        <v>245.5</v>
      </c>
      <c r="N12" s="50">
        <v>272</v>
      </c>
      <c r="O12" s="50">
        <v>279.10000000000002</v>
      </c>
      <c r="P12" s="50">
        <v>283</v>
      </c>
      <c r="Q12" s="50">
        <v>294.7</v>
      </c>
      <c r="R12" s="50">
        <v>306.5</v>
      </c>
      <c r="S12" s="50">
        <v>300.7</v>
      </c>
      <c r="T12" s="50">
        <v>354.1</v>
      </c>
      <c r="U12" s="50">
        <v>356.2</v>
      </c>
      <c r="V12" s="50">
        <v>375</v>
      </c>
      <c r="W12" s="50">
        <v>428.8</v>
      </c>
      <c r="X12" s="7">
        <v>6.0005063718457263E-2</v>
      </c>
      <c r="Y12" s="8">
        <v>4.8964968152866328E-2</v>
      </c>
      <c r="Z12" s="8">
        <v>5.1992409867172677E-2</v>
      </c>
      <c r="AA12" s="8">
        <v>9.2424242424242298E-2</v>
      </c>
    </row>
    <row r="13" spans="2:27" x14ac:dyDescent="0.3">
      <c r="B13" s="11" t="s">
        <v>50</v>
      </c>
      <c r="C13" s="3" t="s">
        <v>302</v>
      </c>
      <c r="D13" s="3" t="s">
        <v>308</v>
      </c>
      <c r="E13" s="3" t="s">
        <v>304</v>
      </c>
      <c r="F13" s="5">
        <v>8.6</v>
      </c>
      <c r="G13" s="50">
        <v>102.8</v>
      </c>
      <c r="H13" s="50">
        <v>92.4</v>
      </c>
      <c r="I13" s="50">
        <v>107.5</v>
      </c>
      <c r="J13" s="50">
        <v>121</v>
      </c>
      <c r="K13" s="51">
        <v>186.7</v>
      </c>
      <c r="L13" s="50">
        <v>128.1</v>
      </c>
      <c r="M13" s="50">
        <v>0</v>
      </c>
      <c r="N13" s="50">
        <v>138.69999999999999</v>
      </c>
      <c r="O13" s="50">
        <v>100.6</v>
      </c>
      <c r="P13" s="50">
        <v>133.1</v>
      </c>
      <c r="Q13" s="51">
        <v>146.30000000000001</v>
      </c>
      <c r="R13" s="50">
        <v>136</v>
      </c>
      <c r="S13" s="50">
        <v>114.2</v>
      </c>
      <c r="T13" s="50">
        <v>130.9</v>
      </c>
      <c r="U13" s="50">
        <v>159.80000000000001</v>
      </c>
      <c r="V13" s="50">
        <v>169</v>
      </c>
      <c r="W13" s="50">
        <v>163.80000000000001</v>
      </c>
      <c r="X13" s="7">
        <v>-4.1540785498490607E-3</v>
      </c>
      <c r="Y13" s="8">
        <v>2.559726962457343E-2</v>
      </c>
      <c r="Z13" s="8">
        <v>6.1009428729894573E-2</v>
      </c>
      <c r="AA13" s="8">
        <v>8.6426206656212035E-2</v>
      </c>
    </row>
    <row r="14" spans="2:27" x14ac:dyDescent="0.3">
      <c r="B14" s="11" t="s">
        <v>42</v>
      </c>
      <c r="C14" s="3" t="s">
        <v>302</v>
      </c>
      <c r="D14" s="3" t="s">
        <v>312</v>
      </c>
      <c r="E14" s="3" t="s">
        <v>313</v>
      </c>
      <c r="F14" s="5">
        <v>7.1</v>
      </c>
      <c r="G14" s="50">
        <v>709</v>
      </c>
      <c r="H14" s="50">
        <v>742</v>
      </c>
      <c r="I14" s="50">
        <v>766</v>
      </c>
      <c r="J14" s="50">
        <v>766</v>
      </c>
      <c r="K14" s="50">
        <v>617</v>
      </c>
      <c r="L14" s="50">
        <v>658</v>
      </c>
      <c r="M14" s="50">
        <v>689</v>
      </c>
      <c r="N14" s="50">
        <v>717</v>
      </c>
      <c r="O14" s="50">
        <v>722</v>
      </c>
      <c r="P14" s="50">
        <v>724</v>
      </c>
      <c r="Q14" s="50">
        <v>751</v>
      </c>
      <c r="R14" s="50">
        <v>737</v>
      </c>
      <c r="S14" s="50">
        <v>738</v>
      </c>
      <c r="T14" s="50">
        <v>802</v>
      </c>
      <c r="U14" s="50">
        <v>891</v>
      </c>
      <c r="V14" s="50">
        <v>939</v>
      </c>
      <c r="W14" s="50">
        <v>976</v>
      </c>
      <c r="X14" s="7">
        <v>2.6440677966101719E-2</v>
      </c>
      <c r="Y14" s="8">
        <v>4.6235138705416068E-2</v>
      </c>
      <c r="Z14" s="8">
        <v>6.3762626262626299E-2</v>
      </c>
      <c r="AA14" s="8">
        <v>7.0623145400593446E-2</v>
      </c>
    </row>
    <row r="15" spans="2:27" x14ac:dyDescent="0.3">
      <c r="B15" s="11" t="s">
        <v>245</v>
      </c>
      <c r="C15" s="3" t="s">
        <v>302</v>
      </c>
      <c r="D15" s="3" t="s">
        <v>314</v>
      </c>
      <c r="E15" s="3" t="s">
        <v>315</v>
      </c>
      <c r="F15" s="5">
        <v>6.6</v>
      </c>
      <c r="G15" s="50">
        <v>-4.47</v>
      </c>
      <c r="H15" s="50">
        <v>0.09</v>
      </c>
      <c r="I15" s="50">
        <v>0.99</v>
      </c>
      <c r="J15" s="50">
        <v>-0.05</v>
      </c>
      <c r="K15" s="50">
        <v>0.67</v>
      </c>
      <c r="L15" s="50">
        <v>-0.03</v>
      </c>
      <c r="M15" s="51">
        <v>3.68</v>
      </c>
      <c r="N15" s="51">
        <v>0.8</v>
      </c>
      <c r="O15" s="51">
        <v>2.1800000000000002</v>
      </c>
      <c r="P15" s="50">
        <v>-1.18</v>
      </c>
      <c r="Q15" s="50">
        <v>3.09</v>
      </c>
      <c r="R15" s="51">
        <v>3.64</v>
      </c>
      <c r="S15" s="51">
        <v>3.07</v>
      </c>
      <c r="T15" s="51">
        <v>1.77</v>
      </c>
      <c r="U15" s="51">
        <v>4.8899999999999997</v>
      </c>
      <c r="V15" s="50">
        <v>4.08</v>
      </c>
      <c r="W15" s="50">
        <v>3.98</v>
      </c>
      <c r="X15" s="10">
        <v>0.34222737819025539</v>
      </c>
      <c r="Y15" s="9">
        <v>0.1555747623163353</v>
      </c>
      <c r="Z15" s="8">
        <v>3.2909498878085142E-2</v>
      </c>
      <c r="AA15" s="8">
        <v>6.5894279507603182E-2</v>
      </c>
    </row>
    <row r="16" spans="2:27" x14ac:dyDescent="0.3">
      <c r="B16" s="11" t="s">
        <v>61</v>
      </c>
      <c r="C16" s="3" t="s">
        <v>302</v>
      </c>
      <c r="D16" s="3" t="s">
        <v>325</v>
      </c>
      <c r="E16" s="3" t="s">
        <v>315</v>
      </c>
      <c r="F16" s="5">
        <v>6.3</v>
      </c>
      <c r="G16" s="50">
        <v>-229.92</v>
      </c>
      <c r="H16" s="50">
        <v>-242.39</v>
      </c>
      <c r="I16" s="50">
        <v>-282.31</v>
      </c>
      <c r="J16" s="50">
        <v>-280.77</v>
      </c>
      <c r="K16" s="50">
        <v>-280.33</v>
      </c>
      <c r="L16" s="50">
        <v>0</v>
      </c>
      <c r="M16" s="50">
        <v>-197.2</v>
      </c>
      <c r="N16" s="50">
        <v>-199.94</v>
      </c>
      <c r="O16" s="50">
        <v>-185.66</v>
      </c>
      <c r="P16" s="51">
        <v>-196.63</v>
      </c>
      <c r="Q16" s="50">
        <v>-203.92</v>
      </c>
      <c r="R16" s="51">
        <v>-333.21</v>
      </c>
      <c r="S16" s="50">
        <v>-263.48</v>
      </c>
      <c r="T16" s="51">
        <v>-365.17</v>
      </c>
      <c r="U16" s="50">
        <v>-278.62</v>
      </c>
      <c r="V16" s="50">
        <v>-292.13</v>
      </c>
      <c r="W16" s="50">
        <v>-339.14</v>
      </c>
      <c r="X16" s="10">
        <v>0.169006457823593</v>
      </c>
      <c r="Y16" s="8">
        <v>6.4077270153888533E-2</v>
      </c>
      <c r="Z16" s="8">
        <v>-3.3116213078808188E-2</v>
      </c>
      <c r="AA16" s="8">
        <v>6.3081540770385081E-2</v>
      </c>
    </row>
    <row r="17" spans="2:27" x14ac:dyDescent="0.3">
      <c r="B17" s="11" t="s">
        <v>123</v>
      </c>
      <c r="C17" s="3" t="s">
        <v>302</v>
      </c>
      <c r="D17" s="3" t="s">
        <v>303</v>
      </c>
      <c r="E17" s="3" t="s">
        <v>304</v>
      </c>
      <c r="F17" s="5">
        <v>5.6</v>
      </c>
      <c r="G17" s="50">
        <v>137.82</v>
      </c>
      <c r="H17" s="50">
        <v>106.99</v>
      </c>
      <c r="I17" s="50">
        <v>88.41</v>
      </c>
      <c r="J17" s="50">
        <v>78.73</v>
      </c>
      <c r="K17" s="50">
        <v>71.39</v>
      </c>
      <c r="L17" s="50">
        <v>68.31</v>
      </c>
      <c r="M17" s="50">
        <v>76.7</v>
      </c>
      <c r="N17" s="50">
        <v>82.16</v>
      </c>
      <c r="O17" s="50">
        <v>76.430000000000007</v>
      </c>
      <c r="P17" s="50">
        <v>77.64</v>
      </c>
      <c r="Q17" s="50">
        <v>86.65</v>
      </c>
      <c r="R17" s="50">
        <v>93.18</v>
      </c>
      <c r="S17" s="51">
        <v>110.14</v>
      </c>
      <c r="T17" s="50">
        <v>86.54</v>
      </c>
      <c r="U17" s="50">
        <v>79.77</v>
      </c>
      <c r="V17" s="50">
        <v>101.82</v>
      </c>
      <c r="W17" s="50">
        <v>131.5</v>
      </c>
      <c r="X17" s="7">
        <v>2.4210440412393511E-2</v>
      </c>
      <c r="Y17" s="8">
        <v>-1.82730870362009E-2</v>
      </c>
      <c r="Z17" s="8">
        <v>2.337472607742885E-2</v>
      </c>
      <c r="AA17" s="8">
        <v>5.6467602506146353E-2</v>
      </c>
    </row>
    <row r="18" spans="2:27" x14ac:dyDescent="0.3">
      <c r="B18" s="11" t="s">
        <v>10</v>
      </c>
      <c r="C18" s="3" t="s">
        <v>302</v>
      </c>
      <c r="D18" s="3" t="s">
        <v>318</v>
      </c>
      <c r="E18" s="3" t="s">
        <v>304</v>
      </c>
      <c r="F18" s="5">
        <v>4.5</v>
      </c>
      <c r="G18" s="50">
        <v>2960</v>
      </c>
      <c r="H18" s="50">
        <v>3336</v>
      </c>
      <c r="I18" s="50">
        <v>3124</v>
      </c>
      <c r="J18" s="50">
        <v>3426</v>
      </c>
      <c r="K18" s="50">
        <v>2667</v>
      </c>
      <c r="L18" s="50">
        <v>2836</v>
      </c>
      <c r="M18" s="50">
        <v>3273</v>
      </c>
      <c r="N18" s="50">
        <v>3282</v>
      </c>
      <c r="O18" s="50">
        <v>3689</v>
      </c>
      <c r="P18" s="50">
        <v>2689</v>
      </c>
      <c r="Q18" s="50">
        <v>3527</v>
      </c>
      <c r="R18" s="50">
        <v>4304</v>
      </c>
      <c r="S18" s="50">
        <v>2695</v>
      </c>
      <c r="T18" s="50">
        <v>3815</v>
      </c>
      <c r="U18" s="51">
        <v>5079</v>
      </c>
      <c r="V18" s="50">
        <v>4419</v>
      </c>
      <c r="W18" s="50">
        <v>3413</v>
      </c>
      <c r="X18" s="7">
        <v>8.520620506999621E-2</v>
      </c>
      <c r="Y18" s="9">
        <v>0.1082211840178509</v>
      </c>
      <c r="Z18" s="8">
        <v>7.2358900144717797E-3</v>
      </c>
      <c r="AA18" s="8">
        <v>4.4852573713143329E-2</v>
      </c>
    </row>
    <row r="19" spans="2:27" x14ac:dyDescent="0.3">
      <c r="B19" s="11" t="s">
        <v>183</v>
      </c>
      <c r="C19" s="3" t="s">
        <v>302</v>
      </c>
      <c r="D19" s="3" t="s">
        <v>314</v>
      </c>
      <c r="E19" s="3" t="s">
        <v>304</v>
      </c>
      <c r="F19" s="5">
        <v>2.1</v>
      </c>
      <c r="G19" s="50">
        <v>8.2100000000000009</v>
      </c>
      <c r="H19" s="50">
        <v>8.41</v>
      </c>
      <c r="I19" s="50">
        <v>10.71</v>
      </c>
      <c r="J19" s="50">
        <v>15.17</v>
      </c>
      <c r="K19" s="50">
        <v>12.28</v>
      </c>
      <c r="L19" s="51">
        <v>18.77</v>
      </c>
      <c r="M19" s="51">
        <v>23.96</v>
      </c>
      <c r="N19" s="50">
        <v>21.56</v>
      </c>
      <c r="O19" s="51">
        <v>21.17</v>
      </c>
      <c r="P19" s="50">
        <v>19.989999999999998</v>
      </c>
      <c r="Q19" s="50">
        <v>25.61</v>
      </c>
      <c r="R19" s="50">
        <v>23.45</v>
      </c>
      <c r="S19" s="50">
        <v>21.74</v>
      </c>
      <c r="T19" s="50">
        <v>21.64</v>
      </c>
      <c r="U19" s="50">
        <v>26.43</v>
      </c>
      <c r="V19" s="50">
        <v>23.96</v>
      </c>
      <c r="W19" s="50">
        <v>23.68</v>
      </c>
      <c r="X19" s="7">
        <v>1.817380768807153E-2</v>
      </c>
      <c r="Y19" s="8">
        <v>8.8706187797489289E-3</v>
      </c>
      <c r="Z19" s="8">
        <v>5.4685824576452546E-3</v>
      </c>
      <c r="AA19" s="8">
        <v>2.068891969713138E-2</v>
      </c>
    </row>
    <row r="20" spans="2:27" x14ac:dyDescent="0.3">
      <c r="B20" s="11" t="s">
        <v>111</v>
      </c>
      <c r="C20" s="3" t="s">
        <v>302</v>
      </c>
      <c r="D20" s="3" t="s">
        <v>325</v>
      </c>
      <c r="E20" s="3" t="s">
        <v>315</v>
      </c>
      <c r="F20" s="5">
        <v>0</v>
      </c>
      <c r="G20" s="50">
        <v>-41.27</v>
      </c>
      <c r="H20" s="50">
        <v>-47.23</v>
      </c>
      <c r="I20" s="50">
        <v>-40.380000000000003</v>
      </c>
      <c r="J20" s="50">
        <v>-49.61</v>
      </c>
      <c r="K20" s="50">
        <v>-54.03</v>
      </c>
      <c r="L20" s="50">
        <v>-64.260000000000005</v>
      </c>
      <c r="M20" s="51">
        <v>-65.98</v>
      </c>
      <c r="N20" s="50">
        <v>-61.8</v>
      </c>
      <c r="O20" s="50">
        <v>-61.55</v>
      </c>
      <c r="P20" s="50">
        <v>-80.88</v>
      </c>
      <c r="Q20" s="51">
        <v>-94.28</v>
      </c>
      <c r="R20" s="51">
        <v>-115.74</v>
      </c>
      <c r="S20" s="51">
        <v>-114.3</v>
      </c>
      <c r="T20" s="50">
        <v>-113.83</v>
      </c>
      <c r="U20" s="50">
        <v>-127.22</v>
      </c>
      <c r="V20" s="50">
        <v>-131.76</v>
      </c>
      <c r="W20" s="50">
        <v>-114.36</v>
      </c>
      <c r="X20" s="7">
        <v>8.1317867719644665E-2</v>
      </c>
      <c r="Y20" s="8">
        <v>7.5179732968161606E-2</v>
      </c>
      <c r="Z20" s="8">
        <v>3.4006240845698248E-2</v>
      </c>
      <c r="AA20" s="8">
        <v>1.2317546344764449E-4</v>
      </c>
    </row>
    <row r="21" spans="2:27" x14ac:dyDescent="0.3">
      <c r="B21" s="11" t="s">
        <v>34</v>
      </c>
      <c r="C21" s="3" t="s">
        <v>302</v>
      </c>
      <c r="D21" s="3" t="s">
        <v>317</v>
      </c>
      <c r="E21" s="3" t="s">
        <v>304</v>
      </c>
      <c r="F21" s="5">
        <v>0</v>
      </c>
      <c r="G21" s="50">
        <v>605.11</v>
      </c>
      <c r="H21" s="50">
        <v>850.07</v>
      </c>
      <c r="I21" s="50">
        <v>752.51</v>
      </c>
      <c r="J21" s="50">
        <v>846.97</v>
      </c>
      <c r="K21" s="50">
        <v>852.49</v>
      </c>
      <c r="L21" s="50">
        <v>918.59</v>
      </c>
      <c r="M21" s="50">
        <v>959.8</v>
      </c>
      <c r="N21" s="50">
        <v>990.76</v>
      </c>
      <c r="O21" s="50">
        <v>1010</v>
      </c>
      <c r="P21" s="50">
        <v>1117</v>
      </c>
      <c r="Q21" s="50">
        <v>1024</v>
      </c>
      <c r="R21" s="50">
        <v>899</v>
      </c>
      <c r="S21" s="50">
        <v>1078</v>
      </c>
      <c r="T21" s="50">
        <v>1223</v>
      </c>
      <c r="U21" s="50">
        <v>952.45</v>
      </c>
      <c r="V21" s="51">
        <v>1422</v>
      </c>
      <c r="W21" s="50">
        <v>1078</v>
      </c>
      <c r="X21" s="7">
        <v>2.5740650801359791E-2</v>
      </c>
      <c r="Y21" s="8">
        <v>-1.6938920454545481E-2</v>
      </c>
      <c r="Z21" s="9">
        <v>0.12594974051463589</v>
      </c>
      <c r="AA21" s="8">
        <v>0</v>
      </c>
    </row>
    <row r="22" spans="2:27" x14ac:dyDescent="0.3">
      <c r="B22" s="11" t="s">
        <v>147</v>
      </c>
      <c r="C22" s="3" t="s">
        <v>302</v>
      </c>
      <c r="D22" s="3" t="s">
        <v>319</v>
      </c>
      <c r="E22" s="3" t="s">
        <v>304</v>
      </c>
      <c r="F22" s="5">
        <v>-0.2</v>
      </c>
      <c r="G22" s="50">
        <v>307</v>
      </c>
      <c r="H22" s="50">
        <v>228</v>
      </c>
      <c r="I22" s="50">
        <v>332</v>
      </c>
      <c r="J22" s="50">
        <v>200</v>
      </c>
      <c r="K22" s="50">
        <v>64</v>
      </c>
      <c r="L22" s="50">
        <v>15</v>
      </c>
      <c r="M22" s="50">
        <v>165</v>
      </c>
      <c r="N22" s="50">
        <v>84</v>
      </c>
      <c r="O22" s="51">
        <v>187</v>
      </c>
      <c r="P22" s="50">
        <v>55</v>
      </c>
      <c r="Q22" s="50">
        <v>189</v>
      </c>
      <c r="R22" s="51">
        <v>161</v>
      </c>
      <c r="S22" s="50">
        <v>121</v>
      </c>
      <c r="T22" s="50">
        <v>46</v>
      </c>
      <c r="U22" s="50">
        <v>183</v>
      </c>
      <c r="V22" s="50">
        <v>127</v>
      </c>
      <c r="W22" s="50">
        <v>120</v>
      </c>
      <c r="X22" s="7">
        <v>-1.7110266159695801E-2</v>
      </c>
      <c r="Y22" s="8">
        <v>-1.160541586073505E-2</v>
      </c>
      <c r="Z22" s="8">
        <v>-6.6536203522504889E-2</v>
      </c>
      <c r="AA22" s="8">
        <v>-2.0964360587002462E-3</v>
      </c>
    </row>
    <row r="23" spans="2:27" x14ac:dyDescent="0.3">
      <c r="B23" s="11" t="s">
        <v>86</v>
      </c>
      <c r="C23" s="3" t="s">
        <v>302</v>
      </c>
      <c r="D23" s="3" t="s">
        <v>307</v>
      </c>
      <c r="E23" s="3" t="s">
        <v>304</v>
      </c>
      <c r="F23" s="5">
        <v>-1.1000000000000001</v>
      </c>
      <c r="G23" s="50">
        <v>72.599999999999994</v>
      </c>
      <c r="H23" s="50">
        <v>88.04</v>
      </c>
      <c r="I23" s="50">
        <v>84.79</v>
      </c>
      <c r="J23" s="50">
        <v>76.31</v>
      </c>
      <c r="K23" s="50">
        <v>77.67</v>
      </c>
      <c r="L23" s="50">
        <v>95.36</v>
      </c>
      <c r="M23" s="50">
        <v>75.73</v>
      </c>
      <c r="N23" s="50">
        <v>66.91</v>
      </c>
      <c r="O23" s="50">
        <v>77.03</v>
      </c>
      <c r="P23" s="50">
        <v>92.5</v>
      </c>
      <c r="Q23" s="50">
        <v>81.34</v>
      </c>
      <c r="R23" s="50">
        <v>87.06</v>
      </c>
      <c r="S23" s="50">
        <v>79.98</v>
      </c>
      <c r="T23" s="50">
        <v>88.38</v>
      </c>
      <c r="U23" s="50">
        <v>91.86</v>
      </c>
      <c r="V23" s="50">
        <v>85.58</v>
      </c>
      <c r="W23" s="50">
        <v>76.010000000000005</v>
      </c>
      <c r="X23" s="7">
        <v>-1.20863647031213E-2</v>
      </c>
      <c r="Y23" s="8">
        <v>3.123886447321533E-2</v>
      </c>
      <c r="Z23" s="8">
        <v>-4.2616908546416754E-3</v>
      </c>
      <c r="AA23" s="8">
        <v>-1.1480624638519401E-2</v>
      </c>
    </row>
    <row r="24" spans="2:27" x14ac:dyDescent="0.3">
      <c r="B24" s="11" t="s">
        <v>32</v>
      </c>
      <c r="C24" s="3" t="s">
        <v>302</v>
      </c>
      <c r="D24" s="3" t="s">
        <v>322</v>
      </c>
      <c r="E24" s="3" t="s">
        <v>304</v>
      </c>
      <c r="F24" s="5">
        <v>-2.2000000000000002</v>
      </c>
      <c r="G24" s="50">
        <v>578.4</v>
      </c>
      <c r="H24" s="50">
        <v>641.70000000000005</v>
      </c>
      <c r="I24" s="50">
        <v>907</v>
      </c>
      <c r="J24" s="50">
        <v>824.7</v>
      </c>
      <c r="K24" s="50">
        <v>645.1</v>
      </c>
      <c r="L24" s="50">
        <v>517.29999999999995</v>
      </c>
      <c r="M24" s="50">
        <v>633.29999999999995</v>
      </c>
      <c r="N24" s="50">
        <v>270.5</v>
      </c>
      <c r="O24" s="50">
        <v>461.1</v>
      </c>
      <c r="P24" s="50">
        <v>632.4</v>
      </c>
      <c r="Q24" s="50">
        <v>809.5</v>
      </c>
      <c r="R24" s="51">
        <v>611.1</v>
      </c>
      <c r="S24" s="50">
        <v>512.5</v>
      </c>
      <c r="T24" s="50">
        <v>681.9</v>
      </c>
      <c r="U24" s="50">
        <v>915.6</v>
      </c>
      <c r="V24" s="50">
        <v>778.6</v>
      </c>
      <c r="W24" s="50">
        <v>447.7</v>
      </c>
      <c r="X24" s="7">
        <v>1.929448450594418E-2</v>
      </c>
      <c r="Y24" s="8">
        <v>4.0573613766730299E-2</v>
      </c>
      <c r="Z24" s="8">
        <v>6.1555988387049343E-2</v>
      </c>
      <c r="AA24" s="8">
        <v>-2.2433012532022348E-2</v>
      </c>
    </row>
    <row r="25" spans="2:27" x14ac:dyDescent="0.3">
      <c r="B25" s="11" t="s">
        <v>75</v>
      </c>
      <c r="C25" s="3" t="s">
        <v>302</v>
      </c>
      <c r="D25" s="3" t="s">
        <v>320</v>
      </c>
      <c r="E25" s="3" t="s">
        <v>304</v>
      </c>
      <c r="F25" s="5">
        <v>-4.5999999999999996</v>
      </c>
      <c r="G25" s="50">
        <v>512.29999999999995</v>
      </c>
      <c r="H25" s="50">
        <v>519.4</v>
      </c>
      <c r="I25" s="50">
        <v>558.1</v>
      </c>
      <c r="J25" s="50">
        <v>500.1</v>
      </c>
      <c r="K25" s="50">
        <v>408.6</v>
      </c>
      <c r="L25" s="50">
        <v>443.3</v>
      </c>
      <c r="M25" s="50">
        <v>439.2</v>
      </c>
      <c r="N25" s="50">
        <v>420</v>
      </c>
      <c r="O25" s="50">
        <v>357.2</v>
      </c>
      <c r="P25" s="50">
        <v>345.3</v>
      </c>
      <c r="Q25" s="50">
        <v>274.3</v>
      </c>
      <c r="R25" s="50">
        <v>309.39999999999998</v>
      </c>
      <c r="S25" s="50">
        <v>402.2</v>
      </c>
      <c r="T25" s="50">
        <v>335.9</v>
      </c>
      <c r="U25" s="50">
        <v>352.6</v>
      </c>
      <c r="V25" s="50">
        <v>330.9</v>
      </c>
      <c r="W25" s="50">
        <v>336.3</v>
      </c>
      <c r="X25" s="7">
        <v>-7.0612980769231282E-3</v>
      </c>
      <c r="Y25" s="8">
        <v>5.9237403540626447E-2</v>
      </c>
      <c r="Z25" s="8">
        <v>1.5356045996714579E-2</v>
      </c>
      <c r="AA25" s="8">
        <v>-4.6356218345526057E-2</v>
      </c>
    </row>
    <row r="26" spans="2:27" x14ac:dyDescent="0.3">
      <c r="B26" s="11" t="s">
        <v>205</v>
      </c>
      <c r="C26" s="3" t="s">
        <v>302</v>
      </c>
      <c r="D26" s="3" t="s">
        <v>303</v>
      </c>
      <c r="E26" s="3" t="s">
        <v>304</v>
      </c>
      <c r="F26" s="5">
        <v>-5.4</v>
      </c>
      <c r="G26" s="50">
        <v>96.05</v>
      </c>
      <c r="H26" s="50">
        <v>65.55</v>
      </c>
      <c r="I26" s="50">
        <v>59.57</v>
      </c>
      <c r="J26" s="50">
        <v>48.03</v>
      </c>
      <c r="K26" s="50">
        <v>36.340000000000003</v>
      </c>
      <c r="L26" s="50">
        <v>28.58</v>
      </c>
      <c r="M26" s="50">
        <v>32.25</v>
      </c>
      <c r="N26" s="50">
        <v>45.59</v>
      </c>
      <c r="O26" s="50">
        <v>40.380000000000003</v>
      </c>
      <c r="P26" s="50">
        <v>33.1</v>
      </c>
      <c r="Q26" s="50">
        <v>41.6</v>
      </c>
      <c r="R26" s="50">
        <v>51.26</v>
      </c>
      <c r="S26" s="50">
        <v>52.41</v>
      </c>
      <c r="T26" s="50">
        <v>36.6</v>
      </c>
      <c r="U26" s="50">
        <v>42.2</v>
      </c>
      <c r="V26" s="50">
        <v>47.75</v>
      </c>
      <c r="W26" s="50">
        <v>42.83</v>
      </c>
      <c r="X26" s="7">
        <v>1.9622133766889149E-2</v>
      </c>
      <c r="Y26" s="8">
        <v>3.2990597679660731E-3</v>
      </c>
      <c r="Z26" s="8">
        <v>-1.9236038800898751E-2</v>
      </c>
      <c r="AA26" s="8">
        <v>-5.3531515422440827E-2</v>
      </c>
    </row>
    <row r="27" spans="2:27" x14ac:dyDescent="0.3">
      <c r="B27" s="11" t="s">
        <v>200</v>
      </c>
      <c r="C27" s="3" t="s">
        <v>302</v>
      </c>
      <c r="D27" s="3" t="s">
        <v>307</v>
      </c>
      <c r="E27" s="3" t="s">
        <v>304</v>
      </c>
      <c r="F27" s="5">
        <v>-9.9</v>
      </c>
      <c r="G27" s="50">
        <v>0.41</v>
      </c>
      <c r="H27" s="50">
        <v>-10.36</v>
      </c>
      <c r="I27" s="50">
        <v>-9.01</v>
      </c>
      <c r="J27" s="50">
        <v>-8.82</v>
      </c>
      <c r="K27" s="51">
        <v>-19.22</v>
      </c>
      <c r="L27" s="51">
        <v>-22.69</v>
      </c>
      <c r="M27" s="51">
        <v>-16.649999999999999</v>
      </c>
      <c r="N27" s="51">
        <v>-20.29</v>
      </c>
      <c r="O27" s="50">
        <v>-16.07</v>
      </c>
      <c r="P27" s="51">
        <v>-47.96</v>
      </c>
      <c r="Q27" s="51">
        <v>-78.63</v>
      </c>
      <c r="R27" s="50">
        <v>36.29</v>
      </c>
      <c r="S27" s="50">
        <v>25.27</v>
      </c>
      <c r="T27" s="50">
        <v>23.07</v>
      </c>
      <c r="U27" s="51">
        <v>8.9499999999999993</v>
      </c>
      <c r="V27" s="50">
        <v>10.27</v>
      </c>
      <c r="W27" s="50">
        <v>18.61</v>
      </c>
      <c r="X27" s="7">
        <v>-1.092265108411502</v>
      </c>
      <c r="Y27" s="9">
        <v>14.59666666666666</v>
      </c>
      <c r="Z27" s="8">
        <v>-0.27805086556956621</v>
      </c>
      <c r="AA27" s="8">
        <v>-9.8579040852575517E-2</v>
      </c>
    </row>
    <row r="28" spans="2:27" x14ac:dyDescent="0.3">
      <c r="B28" s="11" t="s">
        <v>38</v>
      </c>
      <c r="C28" s="3" t="s">
        <v>302</v>
      </c>
      <c r="D28" s="3" t="s">
        <v>311</v>
      </c>
      <c r="E28" s="3" t="s">
        <v>304</v>
      </c>
      <c r="F28" s="5">
        <v>-51.5</v>
      </c>
      <c r="G28" s="50">
        <v>673</v>
      </c>
      <c r="H28" s="50">
        <v>1406</v>
      </c>
      <c r="I28" s="50">
        <v>1391</v>
      </c>
      <c r="J28" s="50">
        <v>999</v>
      </c>
      <c r="K28" s="50">
        <v>583</v>
      </c>
      <c r="L28" s="50">
        <v>1541</v>
      </c>
      <c r="M28" s="50">
        <v>1545</v>
      </c>
      <c r="N28" s="50">
        <v>1427</v>
      </c>
      <c r="O28" s="50">
        <v>400</v>
      </c>
      <c r="P28" s="50">
        <v>1634</v>
      </c>
      <c r="Q28" s="50">
        <v>1699</v>
      </c>
      <c r="R28" s="50">
        <v>1105</v>
      </c>
      <c r="S28" s="50">
        <v>519</v>
      </c>
      <c r="T28" s="51">
        <v>2297</v>
      </c>
      <c r="U28" s="50">
        <v>-412</v>
      </c>
      <c r="V28" s="50">
        <v>248</v>
      </c>
      <c r="W28" s="50">
        <v>-847</v>
      </c>
      <c r="X28" s="10">
        <v>0.13375025216865041</v>
      </c>
      <c r="Y28" s="8">
        <v>-0.37562277580071179</v>
      </c>
      <c r="Z28" s="8">
        <v>-0.24422912510686801</v>
      </c>
      <c r="AA28" s="8">
        <v>-0.51508295625942679</v>
      </c>
    </row>
    <row r="29" spans="2:27" x14ac:dyDescent="0.3">
      <c r="B29" s="11" t="s">
        <v>67</v>
      </c>
      <c r="C29" s="3" t="s">
        <v>302</v>
      </c>
      <c r="D29" s="3" t="s">
        <v>330</v>
      </c>
      <c r="E29" s="3" t="s">
        <v>310</v>
      </c>
      <c r="F29" s="5">
        <v>-75.8</v>
      </c>
      <c r="G29" s="50">
        <v>241.34</v>
      </c>
      <c r="H29" s="50">
        <v>59.27</v>
      </c>
      <c r="I29" s="50">
        <v>8.2899999999999991</v>
      </c>
      <c r="J29" s="50">
        <v>47.41</v>
      </c>
      <c r="K29" s="50">
        <v>57.3</v>
      </c>
      <c r="L29" s="50">
        <v>30.59</v>
      </c>
      <c r="M29" s="51">
        <v>45.03</v>
      </c>
      <c r="N29" s="50">
        <v>65.28</v>
      </c>
      <c r="O29" s="51">
        <v>138.38</v>
      </c>
      <c r="P29" s="51">
        <v>72.790000000000006</v>
      </c>
      <c r="Q29" s="51">
        <v>86.67</v>
      </c>
      <c r="R29" s="50">
        <v>33.51</v>
      </c>
      <c r="S29" s="50">
        <v>122.01</v>
      </c>
      <c r="T29" s="50">
        <v>94.38</v>
      </c>
      <c r="U29" s="50">
        <v>-188.64</v>
      </c>
      <c r="V29" s="51">
        <v>53.41</v>
      </c>
      <c r="W29" s="50">
        <v>60.48</v>
      </c>
      <c r="X29" s="7">
        <v>6.854403454187552E-2</v>
      </c>
      <c r="Y29" s="8">
        <v>-0.81798734290043673</v>
      </c>
      <c r="Z29" s="9">
        <v>0.3248449232778321</v>
      </c>
      <c r="AA29" s="8">
        <v>-0.75813208477082306</v>
      </c>
    </row>
    <row r="30" spans="2:27" x14ac:dyDescent="0.3">
      <c r="B30" s="11" t="s">
        <v>149</v>
      </c>
      <c r="C30" s="3" t="s">
        <v>302</v>
      </c>
      <c r="D30" s="3" t="s">
        <v>321</v>
      </c>
      <c r="E30" s="3" t="s">
        <v>315</v>
      </c>
      <c r="F30" s="5">
        <v>-124.4</v>
      </c>
      <c r="G30" s="50">
        <v>100.27</v>
      </c>
      <c r="H30" s="50">
        <v>10.72</v>
      </c>
      <c r="I30" s="50">
        <v>34.479999999999997</v>
      </c>
      <c r="J30" s="50">
        <v>119.41</v>
      </c>
      <c r="K30" s="50">
        <v>94.66</v>
      </c>
      <c r="L30" s="50">
        <v>17.03</v>
      </c>
      <c r="M30" s="50">
        <v>22.42</v>
      </c>
      <c r="N30" s="50">
        <v>139.47</v>
      </c>
      <c r="O30" s="50">
        <v>71.41</v>
      </c>
      <c r="P30" s="50">
        <v>2.65</v>
      </c>
      <c r="Q30" s="50">
        <v>8.02</v>
      </c>
      <c r="R30" s="51">
        <v>166.02</v>
      </c>
      <c r="S30" s="50">
        <v>59.67</v>
      </c>
      <c r="T30" s="50">
        <v>-31.56</v>
      </c>
      <c r="U30" s="50">
        <v>24.41</v>
      </c>
      <c r="V30" s="50">
        <v>53.4</v>
      </c>
      <c r="W30" s="50">
        <v>-72.09</v>
      </c>
      <c r="X30" s="7">
        <v>-0.14473684210526319</v>
      </c>
      <c r="Y30" s="8">
        <v>8.107840712342318E-2</v>
      </c>
      <c r="Z30" s="8">
        <v>-0.51532900155577932</v>
      </c>
      <c r="AA30" s="8">
        <v>-1.2439577039274921</v>
      </c>
    </row>
    <row r="31" spans="2:27" x14ac:dyDescent="0.3">
      <c r="B31" s="11" t="s">
        <v>128</v>
      </c>
      <c r="C31" s="3" t="s">
        <v>302</v>
      </c>
      <c r="D31" s="3" t="s">
        <v>324</v>
      </c>
      <c r="E31" s="3" t="s">
        <v>304</v>
      </c>
      <c r="F31" s="5">
        <v>-163.6</v>
      </c>
      <c r="G31" s="50">
        <v>56</v>
      </c>
      <c r="H31" s="50">
        <v>54</v>
      </c>
      <c r="I31" s="50">
        <v>79</v>
      </c>
      <c r="J31" s="50">
        <v>44</v>
      </c>
      <c r="K31" s="50">
        <v>43</v>
      </c>
      <c r="L31" s="50">
        <v>19</v>
      </c>
      <c r="M31" s="50">
        <v>19</v>
      </c>
      <c r="N31" s="50">
        <v>11</v>
      </c>
      <c r="O31" s="50">
        <v>18</v>
      </c>
      <c r="P31" s="50">
        <v>0</v>
      </c>
      <c r="Q31" s="50">
        <v>9</v>
      </c>
      <c r="R31" s="50">
        <v>12</v>
      </c>
      <c r="S31" s="50">
        <v>9</v>
      </c>
      <c r="T31" s="50">
        <v>-10</v>
      </c>
      <c r="U31" s="50">
        <v>10</v>
      </c>
      <c r="V31" s="50">
        <v>2</v>
      </c>
      <c r="W31" s="50">
        <v>-9</v>
      </c>
      <c r="X31" s="7">
        <v>-0.33333333333333343</v>
      </c>
      <c r="Y31" s="8">
        <v>5.0000000000000037E-2</v>
      </c>
      <c r="Z31" s="8">
        <v>-0.47619047619047622</v>
      </c>
      <c r="AA31" s="8">
        <v>-1.636363636363636</v>
      </c>
    </row>
    <row r="32" spans="2:27" x14ac:dyDescent="0.3">
      <c r="B32" s="47" t="s">
        <v>16</v>
      </c>
      <c r="C32" s="33" t="s">
        <v>302</v>
      </c>
      <c r="D32" s="33" t="s">
        <v>333</v>
      </c>
      <c r="E32" s="33" t="s">
        <v>334</v>
      </c>
      <c r="F32" s="34">
        <v>-266.3</v>
      </c>
      <c r="G32" s="52"/>
      <c r="H32" s="52"/>
      <c r="I32" s="52"/>
      <c r="J32" s="52"/>
      <c r="K32" s="52"/>
      <c r="L32" s="52"/>
      <c r="M32" s="52"/>
      <c r="N32" s="52">
        <v>6.51</v>
      </c>
      <c r="O32" s="52">
        <v>1.71</v>
      </c>
      <c r="P32" s="52">
        <v>7.92</v>
      </c>
      <c r="Q32" s="52">
        <v>1.55</v>
      </c>
      <c r="R32" s="52">
        <v>2.0099999999999998</v>
      </c>
      <c r="S32" s="52">
        <v>1.1399999999999999</v>
      </c>
      <c r="T32" s="52">
        <v>0.76</v>
      </c>
      <c r="U32" s="53">
        <v>2.11</v>
      </c>
      <c r="V32" s="52">
        <v>-1.46</v>
      </c>
      <c r="W32" s="52">
        <v>-5.65</v>
      </c>
      <c r="X32" s="35">
        <v>-0.56735340729001582</v>
      </c>
      <c r="Y32" s="36">
        <v>0.10256410256410239</v>
      </c>
      <c r="Z32" s="37">
        <v>-0.57641196013289031</v>
      </c>
      <c r="AA32" s="37">
        <v>-2.662745098039216</v>
      </c>
    </row>
    <row r="33" spans="2:27" x14ac:dyDescent="0.3">
      <c r="B33" s="48" t="s">
        <v>269</v>
      </c>
      <c r="C33" s="38" t="s">
        <v>329</v>
      </c>
      <c r="D33" s="38" t="str">
        <f>VLOOKUP(B33,기업리스트!B:G,2,FALSE)</f>
        <v>Duni AB (publ)</v>
      </c>
      <c r="E33" s="38" t="s">
        <v>304</v>
      </c>
      <c r="F33" s="39">
        <v>-6.1</v>
      </c>
      <c r="G33" s="54">
        <v>86</v>
      </c>
      <c r="H33" s="54">
        <v>36</v>
      </c>
      <c r="I33" s="54">
        <v>76</v>
      </c>
      <c r="J33" s="54">
        <v>136</v>
      </c>
      <c r="K33" s="54">
        <v>96</v>
      </c>
      <c r="L33" s="55">
        <v>117</v>
      </c>
      <c r="M33" s="55">
        <v>153</v>
      </c>
      <c r="N33" s="55">
        <v>209</v>
      </c>
      <c r="O33" s="55">
        <v>168</v>
      </c>
      <c r="P33" s="54">
        <v>123</v>
      </c>
      <c r="Q33" s="54">
        <v>115</v>
      </c>
      <c r="R33" s="54">
        <v>135</v>
      </c>
      <c r="S33" s="54">
        <v>171</v>
      </c>
      <c r="T33" s="54">
        <v>89</v>
      </c>
      <c r="U33" s="54">
        <v>102</v>
      </c>
      <c r="V33" s="54">
        <v>150</v>
      </c>
      <c r="W33" s="54">
        <v>140</v>
      </c>
      <c r="X33" s="40">
        <v>-6.25E-2</v>
      </c>
      <c r="Y33" s="41">
        <v>-2.549019607843139E-2</v>
      </c>
      <c r="Z33" s="41">
        <v>3.0181086519114771E-2</v>
      </c>
      <c r="AA33" s="41">
        <v>-6.0546875E-2</v>
      </c>
    </row>
    <row r="34" spans="2:27" x14ac:dyDescent="0.3">
      <c r="B34" s="47" t="s">
        <v>197</v>
      </c>
      <c r="C34" s="33" t="s">
        <v>329</v>
      </c>
      <c r="D34" s="33" t="str">
        <f>VLOOKUP(B34,기업리스트!B:G,2,FALSE)</f>
        <v>Hoist Finance AB (publ)</v>
      </c>
      <c r="E34" s="33" t="s">
        <v>304</v>
      </c>
      <c r="F34" s="34">
        <v>-6.4</v>
      </c>
      <c r="G34" s="52">
        <v>0</v>
      </c>
      <c r="H34" s="52">
        <v>146</v>
      </c>
      <c r="I34" s="52">
        <v>207</v>
      </c>
      <c r="J34" s="52">
        <v>73</v>
      </c>
      <c r="K34" s="52">
        <v>-20</v>
      </c>
      <c r="L34" s="52">
        <v>137</v>
      </c>
      <c r="M34" s="52">
        <v>111</v>
      </c>
      <c r="N34" s="53">
        <v>222</v>
      </c>
      <c r="O34" s="53">
        <v>238</v>
      </c>
      <c r="P34" s="53">
        <v>273</v>
      </c>
      <c r="Q34" s="53">
        <v>213</v>
      </c>
      <c r="R34" s="53">
        <v>363</v>
      </c>
      <c r="S34" s="52">
        <v>318</v>
      </c>
      <c r="T34" s="52">
        <v>305</v>
      </c>
      <c r="U34" s="52">
        <v>294</v>
      </c>
      <c r="V34" s="52">
        <v>326</v>
      </c>
      <c r="W34" s="52">
        <v>238</v>
      </c>
      <c r="X34" s="35">
        <v>2.742073693230496E-2</v>
      </c>
      <c r="Y34" s="37">
        <v>6.7556296914095038E-2</v>
      </c>
      <c r="Z34" s="37">
        <v>-2.8906250000000019E-2</v>
      </c>
      <c r="AA34" s="37">
        <v>-6.4360418342719217E-2</v>
      </c>
    </row>
    <row r="35" spans="2:27" x14ac:dyDescent="0.3">
      <c r="B35" s="11">
        <v>6366</v>
      </c>
      <c r="C35" s="3" t="s">
        <v>326</v>
      </c>
      <c r="D35" s="3" t="str">
        <f>VLOOKUP(B35,기업리스트!B:G,2,FALSE)</f>
        <v>Chiyoda Corporation</v>
      </c>
      <c r="E35" s="3" t="s">
        <v>315</v>
      </c>
      <c r="F35" s="12">
        <v>212.8</v>
      </c>
      <c r="G35" s="50">
        <v>1980</v>
      </c>
      <c r="H35" s="50">
        <v>2268</v>
      </c>
      <c r="I35" s="50">
        <v>3771</v>
      </c>
      <c r="J35" s="50">
        <v>2340</v>
      </c>
      <c r="K35" s="51">
        <v>7507</v>
      </c>
      <c r="L35" s="51">
        <v>4499</v>
      </c>
      <c r="M35" s="50">
        <v>5100</v>
      </c>
      <c r="N35" s="51">
        <v>5698</v>
      </c>
      <c r="O35" s="50">
        <v>7021</v>
      </c>
      <c r="P35" s="50">
        <v>-32825</v>
      </c>
      <c r="Q35" s="50">
        <v>6414</v>
      </c>
      <c r="R35" s="50">
        <v>7317</v>
      </c>
      <c r="S35" s="50">
        <v>6084</v>
      </c>
      <c r="T35" s="50">
        <v>4607</v>
      </c>
      <c r="U35" s="50">
        <v>5111</v>
      </c>
      <c r="V35" s="51">
        <v>10505</v>
      </c>
      <c r="W35" s="51">
        <v>62078</v>
      </c>
      <c r="X35" s="7">
        <v>-2.8771714066102998</v>
      </c>
      <c r="Y35" s="8">
        <v>-5.3353533699123767E-2</v>
      </c>
      <c r="Z35" s="9">
        <v>0.13789523768329071</v>
      </c>
      <c r="AA35" s="9">
        <v>2.1284829132930398</v>
      </c>
    </row>
    <row r="36" spans="2:27" x14ac:dyDescent="0.3">
      <c r="B36" s="11">
        <v>5021</v>
      </c>
      <c r="C36" s="3" t="s">
        <v>326</v>
      </c>
      <c r="D36" s="3" t="str">
        <f>VLOOKUP(B36,기업리스트!B:G,2,FALSE)</f>
        <v>Cosmo Energy Holdings Co., Ltd.</v>
      </c>
      <c r="E36" s="3" t="s">
        <v>310</v>
      </c>
      <c r="F36" s="12">
        <v>61.5</v>
      </c>
      <c r="G36" s="50">
        <v>45191</v>
      </c>
      <c r="H36" s="50">
        <v>52718</v>
      </c>
      <c r="I36" s="50">
        <v>89187</v>
      </c>
      <c r="J36" s="50">
        <v>123880</v>
      </c>
      <c r="K36" s="50">
        <v>49011</v>
      </c>
      <c r="L36" s="50">
        <v>-19986</v>
      </c>
      <c r="M36" s="50">
        <v>10877</v>
      </c>
      <c r="N36" s="50">
        <v>7065</v>
      </c>
      <c r="O36" s="51">
        <v>68848</v>
      </c>
      <c r="P36" s="51">
        <v>25748</v>
      </c>
      <c r="Q36" s="51">
        <v>47540</v>
      </c>
      <c r="R36" s="51">
        <v>45019</v>
      </c>
      <c r="S36" s="50">
        <v>-3805</v>
      </c>
      <c r="T36" s="51">
        <v>46880</v>
      </c>
      <c r="U36" s="50">
        <v>40157</v>
      </c>
      <c r="V36" s="50">
        <v>7988</v>
      </c>
      <c r="W36" s="51">
        <v>52267</v>
      </c>
      <c r="X36" s="10">
        <v>0.18455572828422209</v>
      </c>
      <c r="Y36" s="8">
        <v>-5.4433254198799741E-2</v>
      </c>
      <c r="Z36" s="8">
        <v>-0.28873848936850399</v>
      </c>
      <c r="AA36" s="9">
        <v>0.61468976101732076</v>
      </c>
    </row>
    <row r="37" spans="2:27" x14ac:dyDescent="0.3">
      <c r="B37" s="11">
        <v>6976</v>
      </c>
      <c r="C37" s="3" t="s">
        <v>326</v>
      </c>
      <c r="D37" s="3" t="str">
        <f>VLOOKUP(B37,기업리스트!B:G,2,FALSE)</f>
        <v>Taiyo Yuden Co., Ltd.</v>
      </c>
      <c r="E37" s="3" t="s">
        <v>315</v>
      </c>
      <c r="F37" s="12">
        <v>57.1</v>
      </c>
      <c r="G37" s="50">
        <v>17627</v>
      </c>
      <c r="H37" s="50">
        <v>15901</v>
      </c>
      <c r="I37" s="50">
        <v>13138</v>
      </c>
      <c r="J37" s="50">
        <v>16469</v>
      </c>
      <c r="K37" s="50">
        <v>6447</v>
      </c>
      <c r="L37" s="50">
        <v>-4125</v>
      </c>
      <c r="M37" s="50">
        <v>-597</v>
      </c>
      <c r="N37" s="50">
        <v>2691</v>
      </c>
      <c r="O37" s="50">
        <v>4866</v>
      </c>
      <c r="P37" s="51">
        <v>1983</v>
      </c>
      <c r="Q37" s="51">
        <v>2567</v>
      </c>
      <c r="R37" s="51">
        <v>4861</v>
      </c>
      <c r="S37" s="50">
        <v>748</v>
      </c>
      <c r="T37" s="50">
        <v>1988</v>
      </c>
      <c r="U37" s="50">
        <v>3053</v>
      </c>
      <c r="V37" s="50">
        <v>5778</v>
      </c>
      <c r="W37" s="51">
        <v>7356</v>
      </c>
      <c r="X37" s="7">
        <v>4.9217442661686484E-4</v>
      </c>
      <c r="Y37" s="8">
        <v>4.781582054309319E-2</v>
      </c>
      <c r="Z37" s="8">
        <v>8.6103286384976441E-2</v>
      </c>
      <c r="AA37" s="9">
        <v>0.57128036656004144</v>
      </c>
    </row>
    <row r="38" spans="2:27" x14ac:dyDescent="0.3">
      <c r="B38" s="11">
        <v>6804</v>
      </c>
      <c r="C38" s="3" t="s">
        <v>326</v>
      </c>
      <c r="D38" s="3" t="str">
        <f>VLOOKUP(B38,기업리스트!B:G,2,FALSE)</f>
        <v>Hosiden Corporation</v>
      </c>
      <c r="E38" s="3" t="s">
        <v>315</v>
      </c>
      <c r="F38" s="12">
        <v>41.7</v>
      </c>
      <c r="G38" s="50">
        <v>3218</v>
      </c>
      <c r="H38" s="50">
        <v>1918</v>
      </c>
      <c r="I38" s="50">
        <v>6745</v>
      </c>
      <c r="J38" s="50">
        <v>3403</v>
      </c>
      <c r="K38" s="50">
        <v>3029</v>
      </c>
      <c r="L38" s="50">
        <v>2573</v>
      </c>
      <c r="M38" s="50">
        <v>2597</v>
      </c>
      <c r="N38" s="50">
        <v>3870</v>
      </c>
      <c r="O38" s="51">
        <v>4761</v>
      </c>
      <c r="P38" s="50">
        <v>1698</v>
      </c>
      <c r="Q38" s="51">
        <v>4393</v>
      </c>
      <c r="R38" s="50">
        <v>3577</v>
      </c>
      <c r="S38" s="50">
        <v>2937</v>
      </c>
      <c r="T38" s="50">
        <v>2667</v>
      </c>
      <c r="U38" s="50">
        <v>2392</v>
      </c>
      <c r="V38" s="51">
        <v>5707</v>
      </c>
      <c r="W38" s="51">
        <v>8650</v>
      </c>
      <c r="X38" s="7">
        <v>7.6874256247520867E-2</v>
      </c>
      <c r="Y38" s="8">
        <v>-0.14741417415647559</v>
      </c>
      <c r="Z38" s="9">
        <v>0.1840490797546013</v>
      </c>
      <c r="AA38" s="9">
        <v>0.41691600379478938</v>
      </c>
    </row>
    <row r="39" spans="2:27" x14ac:dyDescent="0.3">
      <c r="B39" s="11">
        <v>5214</v>
      </c>
      <c r="C39" s="3" t="s">
        <v>326</v>
      </c>
      <c r="D39" s="3" t="str">
        <f>VLOOKUP(B39,기업리스트!B:G,2,FALSE)</f>
        <v>Nippon Electric Glass Co., Ltd.</v>
      </c>
      <c r="E39" s="3" t="s">
        <v>304</v>
      </c>
      <c r="F39" s="12">
        <v>30.9</v>
      </c>
      <c r="G39" s="50">
        <v>7673</v>
      </c>
      <c r="H39" s="50">
        <v>10516</v>
      </c>
      <c r="I39" s="50">
        <v>8642</v>
      </c>
      <c r="J39" s="50">
        <v>4097</v>
      </c>
      <c r="K39" s="50">
        <v>2076</v>
      </c>
      <c r="L39" s="50">
        <v>-1941</v>
      </c>
      <c r="M39" s="50">
        <v>-4456</v>
      </c>
      <c r="N39" s="51">
        <v>-1209</v>
      </c>
      <c r="O39" s="51">
        <v>-4189</v>
      </c>
      <c r="P39" s="50">
        <v>766</v>
      </c>
      <c r="Q39" s="50">
        <v>1788</v>
      </c>
      <c r="R39" s="50">
        <v>1569</v>
      </c>
      <c r="S39" s="50">
        <v>1354</v>
      </c>
      <c r="T39" s="51">
        <v>7898</v>
      </c>
      <c r="U39" s="51">
        <v>8771</v>
      </c>
      <c r="V39" s="51">
        <v>7649</v>
      </c>
      <c r="W39" s="51">
        <v>9298</v>
      </c>
      <c r="X39" s="10">
        <v>1.302172722293226</v>
      </c>
      <c r="Y39" s="9">
        <v>0.55381077008486002</v>
      </c>
      <c r="Z39" s="9">
        <v>0.31033074724377308</v>
      </c>
      <c r="AA39" s="9">
        <v>0.3094421938298535</v>
      </c>
    </row>
    <row r="40" spans="2:27" x14ac:dyDescent="0.3">
      <c r="B40" s="11">
        <v>6652</v>
      </c>
      <c r="C40" s="3" t="s">
        <v>326</v>
      </c>
      <c r="D40" s="3" t="str">
        <f>VLOOKUP(B40,기업리스트!B:G,2,FALSE)</f>
        <v>IDEC Corporation</v>
      </c>
      <c r="E40" s="3" t="s">
        <v>315</v>
      </c>
      <c r="F40" s="12">
        <v>21.6</v>
      </c>
      <c r="G40" s="50">
        <v>2341</v>
      </c>
      <c r="H40" s="50">
        <v>2477</v>
      </c>
      <c r="I40" s="50">
        <v>3154</v>
      </c>
      <c r="J40" s="50">
        <v>4407</v>
      </c>
      <c r="K40" s="51">
        <v>3870</v>
      </c>
      <c r="L40" s="50">
        <v>2631</v>
      </c>
      <c r="M40" s="50">
        <v>1666</v>
      </c>
      <c r="N40" s="50">
        <v>2382</v>
      </c>
      <c r="O40" s="50">
        <v>603</v>
      </c>
      <c r="P40" s="50">
        <v>1625</v>
      </c>
      <c r="Q40" s="50">
        <v>273</v>
      </c>
      <c r="R40" s="50">
        <v>1277</v>
      </c>
      <c r="S40" s="50">
        <v>752</v>
      </c>
      <c r="T40" s="50">
        <v>1351</v>
      </c>
      <c r="U40" s="50">
        <v>326</v>
      </c>
      <c r="V40" s="51">
        <v>2286</v>
      </c>
      <c r="W40" s="51">
        <v>1769</v>
      </c>
      <c r="X40" s="7">
        <v>-6.9773363891010964E-2</v>
      </c>
      <c r="Y40" s="8">
        <v>1.450862304954836E-2</v>
      </c>
      <c r="Z40" s="9">
        <v>0.2722611980572045</v>
      </c>
      <c r="AA40" s="9">
        <v>0.21569459172852601</v>
      </c>
    </row>
    <row r="41" spans="2:27" x14ac:dyDescent="0.3">
      <c r="B41" s="11">
        <v>4751</v>
      </c>
      <c r="C41" s="3" t="s">
        <v>326</v>
      </c>
      <c r="D41" s="3" t="str">
        <f>VLOOKUP(B41,기업리스트!B:G,2,FALSE)</f>
        <v>CyberAgent, Inc.</v>
      </c>
      <c r="E41" s="3" t="s">
        <v>313</v>
      </c>
      <c r="F41" s="12">
        <v>21.1</v>
      </c>
      <c r="G41" s="50">
        <v>19804</v>
      </c>
      <c r="H41" s="50">
        <v>25723</v>
      </c>
      <c r="I41" s="50">
        <v>9286</v>
      </c>
      <c r="J41" s="50">
        <v>12740</v>
      </c>
      <c r="K41" s="50">
        <v>-1779</v>
      </c>
      <c r="L41" s="50">
        <v>18172</v>
      </c>
      <c r="M41" s="50">
        <v>865</v>
      </c>
      <c r="N41" s="50">
        <v>4925</v>
      </c>
      <c r="O41" s="51">
        <v>5865</v>
      </c>
      <c r="P41" s="50">
        <v>20638</v>
      </c>
      <c r="Q41" s="51">
        <v>8524</v>
      </c>
      <c r="R41" s="50">
        <v>3697</v>
      </c>
      <c r="S41" s="50">
        <v>8302</v>
      </c>
      <c r="T41" s="50">
        <v>20669</v>
      </c>
      <c r="U41" s="51">
        <v>19828</v>
      </c>
      <c r="V41" s="51">
        <v>22705</v>
      </c>
      <c r="W41" s="51">
        <v>23395</v>
      </c>
      <c r="X41" s="7">
        <v>7.5314010835492162E-4</v>
      </c>
      <c r="Y41" s="9">
        <v>0.27442221790638949</v>
      </c>
      <c r="Z41" s="9">
        <v>0.36208473026516308</v>
      </c>
      <c r="AA41" s="9">
        <v>0.21107910046990369</v>
      </c>
    </row>
    <row r="42" spans="2:27" x14ac:dyDescent="0.3">
      <c r="B42" s="11">
        <v>1968</v>
      </c>
      <c r="C42" s="3" t="s">
        <v>326</v>
      </c>
      <c r="D42" s="3" t="str">
        <f>VLOOKUP(B42,기업리스트!B:G,2,FALSE)</f>
        <v>Taihei Dengyo Kaisha, Ltd.</v>
      </c>
      <c r="E42" s="3" t="s">
        <v>315</v>
      </c>
      <c r="F42" s="12">
        <v>19.5</v>
      </c>
      <c r="G42" s="50">
        <v>430</v>
      </c>
      <c r="H42" s="50">
        <v>3397</v>
      </c>
      <c r="I42" s="50">
        <v>2997</v>
      </c>
      <c r="J42" s="50">
        <v>3442</v>
      </c>
      <c r="K42" s="51">
        <v>4793</v>
      </c>
      <c r="L42" s="50">
        <v>3113</v>
      </c>
      <c r="M42" s="50">
        <v>768</v>
      </c>
      <c r="N42" s="50">
        <v>2443</v>
      </c>
      <c r="O42" s="50">
        <v>2784</v>
      </c>
      <c r="P42" s="51">
        <v>4055</v>
      </c>
      <c r="Q42" s="51">
        <v>2441</v>
      </c>
      <c r="R42" s="51">
        <v>3621</v>
      </c>
      <c r="S42" s="50">
        <v>3688</v>
      </c>
      <c r="T42" s="50">
        <v>3354</v>
      </c>
      <c r="U42" s="50">
        <v>1534</v>
      </c>
      <c r="V42" s="50">
        <v>3288</v>
      </c>
      <c r="W42" s="51">
        <v>6004</v>
      </c>
      <c r="X42" s="7">
        <v>-5.077870336834478E-2</v>
      </c>
      <c r="Y42" s="8">
        <v>-6.9215506715506692E-2</v>
      </c>
      <c r="Z42" s="8">
        <v>-2.730179552348944E-2</v>
      </c>
      <c r="AA42" s="9">
        <v>0.19521240728253539</v>
      </c>
    </row>
    <row r="43" spans="2:27" x14ac:dyDescent="0.3">
      <c r="B43" s="11">
        <v>7322</v>
      </c>
      <c r="C43" s="3" t="s">
        <v>326</v>
      </c>
      <c r="D43" s="3" t="str">
        <f>VLOOKUP(B43,기업리스트!B:G,2,FALSE)</f>
        <v>San ju San Financial Group,Inc.</v>
      </c>
      <c r="E43" s="3" t="s">
        <v>315</v>
      </c>
      <c r="F43" s="12">
        <v>18.8</v>
      </c>
      <c r="G43" s="50">
        <v>2154</v>
      </c>
      <c r="H43" s="50">
        <v>-461</v>
      </c>
      <c r="I43" s="50">
        <v>3993</v>
      </c>
      <c r="J43" s="50">
        <v>1602</v>
      </c>
      <c r="K43" s="51">
        <v>2959</v>
      </c>
      <c r="L43" s="51">
        <v>430</v>
      </c>
      <c r="M43" s="50">
        <v>3247</v>
      </c>
      <c r="N43" s="50">
        <v>2221</v>
      </c>
      <c r="O43" s="50">
        <v>2877</v>
      </c>
      <c r="P43" s="51">
        <v>2101</v>
      </c>
      <c r="Q43" s="50">
        <v>3635</v>
      </c>
      <c r="R43" s="51">
        <v>3316</v>
      </c>
      <c r="S43" s="50">
        <v>2749</v>
      </c>
      <c r="T43" s="50">
        <v>2072</v>
      </c>
      <c r="U43" s="50">
        <v>3745</v>
      </c>
      <c r="V43" s="50">
        <v>3879</v>
      </c>
      <c r="W43" s="51">
        <v>5085</v>
      </c>
      <c r="X43" s="7">
        <v>-2.4574188628082578E-3</v>
      </c>
      <c r="Y43" s="8">
        <v>9.3442065919129291E-3</v>
      </c>
      <c r="Z43" s="8">
        <v>4.7382595522639237E-2</v>
      </c>
      <c r="AA43" s="9">
        <v>0.18770590598633999</v>
      </c>
    </row>
    <row r="44" spans="2:27" x14ac:dyDescent="0.3">
      <c r="B44" s="11">
        <v>8522</v>
      </c>
      <c r="C44" s="3" t="s">
        <v>326</v>
      </c>
      <c r="D44" s="3" t="str">
        <f>VLOOKUP(B44,기업리스트!B:G,2,FALSE)</f>
        <v>The Bank of Nagoya, Ltd.</v>
      </c>
      <c r="E44" s="3" t="s">
        <v>315</v>
      </c>
      <c r="F44" s="12">
        <v>16.100000000000001</v>
      </c>
      <c r="G44" s="50">
        <v>5661</v>
      </c>
      <c r="H44" s="50">
        <v>1496</v>
      </c>
      <c r="I44" s="50">
        <v>3524</v>
      </c>
      <c r="J44" s="50">
        <v>2941</v>
      </c>
      <c r="K44" s="50">
        <v>3282</v>
      </c>
      <c r="L44" s="50">
        <v>1734</v>
      </c>
      <c r="M44" s="50">
        <v>4110</v>
      </c>
      <c r="N44" s="50">
        <v>2183</v>
      </c>
      <c r="O44" s="51">
        <v>5025</v>
      </c>
      <c r="P44" s="51">
        <v>3195</v>
      </c>
      <c r="Q44" s="51">
        <v>5849</v>
      </c>
      <c r="R44" s="51">
        <v>4326</v>
      </c>
      <c r="S44" s="50">
        <v>6668</v>
      </c>
      <c r="T44" s="50">
        <v>3858</v>
      </c>
      <c r="U44" s="50">
        <v>7568</v>
      </c>
      <c r="V44" s="50">
        <v>5476</v>
      </c>
      <c r="W44" s="51">
        <v>10458</v>
      </c>
      <c r="X44" s="7">
        <v>3.3087134444555362E-2</v>
      </c>
      <c r="Y44" s="8">
        <v>8.3039466692430342E-2</v>
      </c>
      <c r="Z44" s="8">
        <v>5.1293487957181139E-2</v>
      </c>
      <c r="AA44" s="9">
        <v>0.1607976240984301</v>
      </c>
    </row>
    <row r="45" spans="2:27" x14ac:dyDescent="0.3">
      <c r="B45" s="11">
        <v>9684</v>
      </c>
      <c r="C45" s="3" t="s">
        <v>326</v>
      </c>
      <c r="D45" s="3" t="str">
        <f>VLOOKUP(B45,기업리스트!B:G,2,FALSE)</f>
        <v>Square Enix Holdings Co., Ltd.</v>
      </c>
      <c r="E45" s="3" t="s">
        <v>315</v>
      </c>
      <c r="F45" s="12">
        <v>14.8</v>
      </c>
      <c r="G45" s="50">
        <v>20993</v>
      </c>
      <c r="H45" s="50">
        <v>9122</v>
      </c>
      <c r="I45" s="50">
        <v>14432</v>
      </c>
      <c r="J45" s="50">
        <v>11613</v>
      </c>
      <c r="K45" s="50">
        <v>15271</v>
      </c>
      <c r="L45" s="50">
        <v>3017</v>
      </c>
      <c r="M45" s="50">
        <v>3098</v>
      </c>
      <c r="N45" s="50">
        <v>14240</v>
      </c>
      <c r="O45" s="50">
        <v>17582</v>
      </c>
      <c r="P45" s="50">
        <v>-2361</v>
      </c>
      <c r="Q45" s="51">
        <v>10846</v>
      </c>
      <c r="R45" s="50">
        <v>10331</v>
      </c>
      <c r="S45" s="50">
        <v>12205</v>
      </c>
      <c r="T45" s="51">
        <v>7199</v>
      </c>
      <c r="U45" s="50">
        <v>9019</v>
      </c>
      <c r="V45" s="51">
        <v>18260</v>
      </c>
      <c r="W45" s="51">
        <v>19109</v>
      </c>
      <c r="X45" s="10">
        <v>0.30817833080816232</v>
      </c>
      <c r="Y45" s="8">
        <v>-4.5021068973164817E-2</v>
      </c>
      <c r="Z45" s="9">
        <v>0.20459823502090099</v>
      </c>
      <c r="AA45" s="9">
        <v>0.1478910952595163</v>
      </c>
    </row>
    <row r="46" spans="2:27" x14ac:dyDescent="0.3">
      <c r="B46" s="11">
        <v>1720</v>
      </c>
      <c r="C46" s="3" t="s">
        <v>326</v>
      </c>
      <c r="D46" s="3" t="str">
        <f>VLOOKUP(B46,기업리스트!B:G,2,FALSE)</f>
        <v>Tokyu Construction Co., Ltd.</v>
      </c>
      <c r="E46" s="3" t="s">
        <v>315</v>
      </c>
      <c r="F46" s="12">
        <v>14.3</v>
      </c>
      <c r="G46" s="50">
        <v>2170</v>
      </c>
      <c r="H46" s="50">
        <v>-1096</v>
      </c>
      <c r="I46" s="50">
        <v>-517</v>
      </c>
      <c r="J46" s="50">
        <v>684</v>
      </c>
      <c r="K46" s="50">
        <v>1549</v>
      </c>
      <c r="L46" s="51">
        <v>3392</v>
      </c>
      <c r="M46" s="51">
        <v>230</v>
      </c>
      <c r="N46" s="51">
        <v>1814</v>
      </c>
      <c r="O46" s="50">
        <v>571</v>
      </c>
      <c r="P46" s="51">
        <v>5541</v>
      </c>
      <c r="Q46" s="50">
        <v>-954</v>
      </c>
      <c r="R46" s="50">
        <v>950</v>
      </c>
      <c r="S46" s="51">
        <v>3183</v>
      </c>
      <c r="T46" s="50">
        <v>5662</v>
      </c>
      <c r="U46" s="51">
        <v>2170</v>
      </c>
      <c r="V46" s="51">
        <v>2977</v>
      </c>
      <c r="W46" s="51">
        <v>5183</v>
      </c>
      <c r="X46" s="7">
        <v>1.387614678899074E-2</v>
      </c>
      <c r="Y46" s="9">
        <v>0.35335369302115138</v>
      </c>
      <c r="Z46" s="9">
        <v>0.16941078144588381</v>
      </c>
      <c r="AA46" s="9">
        <v>0.14293882218410531</v>
      </c>
    </row>
    <row r="47" spans="2:27" x14ac:dyDescent="0.3">
      <c r="B47" s="11">
        <v>1965</v>
      </c>
      <c r="C47" s="3" t="s">
        <v>326</v>
      </c>
      <c r="D47" s="3" t="str">
        <f>VLOOKUP(B47,기업리스트!B:G,2,FALSE)</f>
        <v>Techno Ryowa Ltd.</v>
      </c>
      <c r="E47" s="3" t="s">
        <v>315</v>
      </c>
      <c r="F47" s="12">
        <v>13.8</v>
      </c>
      <c r="G47" s="50">
        <v>674</v>
      </c>
      <c r="H47" s="50">
        <v>1236</v>
      </c>
      <c r="I47" s="50">
        <v>626</v>
      </c>
      <c r="J47" s="50">
        <v>279</v>
      </c>
      <c r="K47" s="50">
        <v>814</v>
      </c>
      <c r="L47" s="50">
        <v>1458</v>
      </c>
      <c r="M47" s="50">
        <v>533</v>
      </c>
      <c r="N47" s="51">
        <v>890</v>
      </c>
      <c r="O47" s="51">
        <v>1513</v>
      </c>
      <c r="P47" s="51">
        <v>2857</v>
      </c>
      <c r="Q47" s="50">
        <v>698</v>
      </c>
      <c r="R47" s="51">
        <v>1518</v>
      </c>
      <c r="S47" s="51">
        <v>3028</v>
      </c>
      <c r="T47" s="51">
        <v>4387</v>
      </c>
      <c r="U47" s="51">
        <v>2341</v>
      </c>
      <c r="V47" s="51">
        <v>4017</v>
      </c>
      <c r="W47" s="51">
        <v>4931</v>
      </c>
      <c r="X47" s="10">
        <v>0.1888655721515862</v>
      </c>
      <c r="Y47" s="9">
        <v>0.17059495379503689</v>
      </c>
      <c r="Z47" s="9">
        <v>0.2216604576902608</v>
      </c>
      <c r="AA47" s="9">
        <v>0.13816888114426781</v>
      </c>
    </row>
    <row r="48" spans="2:27" x14ac:dyDescent="0.3">
      <c r="B48" s="11">
        <v>8424</v>
      </c>
      <c r="C48" s="3" t="s">
        <v>326</v>
      </c>
      <c r="D48" s="3" t="str">
        <f>VLOOKUP(B48,기업리스트!B:G,2,FALSE)</f>
        <v>Fuyo General Lease Co., Ltd.</v>
      </c>
      <c r="E48" s="3" t="s">
        <v>315</v>
      </c>
      <c r="F48" s="12">
        <v>13.6</v>
      </c>
      <c r="G48" s="50">
        <v>11007</v>
      </c>
      <c r="H48" s="50">
        <v>11516</v>
      </c>
      <c r="I48" s="50">
        <v>11383</v>
      </c>
      <c r="J48" s="50">
        <v>15635</v>
      </c>
      <c r="K48" s="50">
        <v>14359</v>
      </c>
      <c r="L48" s="50">
        <v>10185</v>
      </c>
      <c r="M48" s="50">
        <v>12295</v>
      </c>
      <c r="N48" s="50">
        <v>15532</v>
      </c>
      <c r="O48" s="51">
        <v>19866</v>
      </c>
      <c r="P48" s="50">
        <v>12367</v>
      </c>
      <c r="Q48" s="50">
        <v>14967</v>
      </c>
      <c r="R48" s="50">
        <v>17349</v>
      </c>
      <c r="S48" s="50">
        <v>12600</v>
      </c>
      <c r="T48" s="51">
        <v>20523</v>
      </c>
      <c r="U48" s="50">
        <v>15554</v>
      </c>
      <c r="V48" s="50">
        <v>-11986</v>
      </c>
      <c r="W48" s="51">
        <v>17572</v>
      </c>
      <c r="X48" s="10">
        <v>0.1423808110608733</v>
      </c>
      <c r="Y48" s="8">
        <v>8.9701859747246537E-3</v>
      </c>
      <c r="Z48" s="8">
        <v>-0.44429467179595922</v>
      </c>
      <c r="AA48" s="9">
        <v>0.13551007058951781</v>
      </c>
    </row>
    <row r="49" spans="2:27" x14ac:dyDescent="0.3">
      <c r="B49" s="11">
        <v>6406</v>
      </c>
      <c r="C49" s="3" t="s">
        <v>326</v>
      </c>
      <c r="D49" s="3" t="str">
        <f>VLOOKUP(B49,기업리스트!B:G,2,FALSE)</f>
        <v>Fujitec Co., Ltd.</v>
      </c>
      <c r="E49" s="3" t="s">
        <v>315</v>
      </c>
      <c r="F49" s="12">
        <v>12.7</v>
      </c>
      <c r="G49" s="50">
        <v>3646</v>
      </c>
      <c r="H49" s="50">
        <v>1643</v>
      </c>
      <c r="I49" s="50">
        <v>2137</v>
      </c>
      <c r="J49" s="50">
        <v>2655</v>
      </c>
      <c r="K49" s="50">
        <v>2344</v>
      </c>
      <c r="L49" s="51">
        <v>3914</v>
      </c>
      <c r="M49" s="51">
        <v>3727</v>
      </c>
      <c r="N49" s="51">
        <v>4663</v>
      </c>
      <c r="O49" s="50">
        <v>2455</v>
      </c>
      <c r="P49" s="50">
        <v>3714</v>
      </c>
      <c r="Q49" s="50">
        <v>3972</v>
      </c>
      <c r="R49" s="50">
        <v>4890</v>
      </c>
      <c r="S49" s="51">
        <v>4956</v>
      </c>
      <c r="T49" s="50">
        <v>2354</v>
      </c>
      <c r="U49" s="50">
        <v>4203</v>
      </c>
      <c r="V49" s="51">
        <v>7208</v>
      </c>
      <c r="W49" s="51">
        <v>7333</v>
      </c>
      <c r="X49" s="7">
        <v>-7.7572438968742885E-2</v>
      </c>
      <c r="Y49" s="8">
        <v>1.4283947563690219E-2</v>
      </c>
      <c r="Z49" s="9">
        <v>0.1413156129976223</v>
      </c>
      <c r="AA49" s="9">
        <v>0.1269697131563485</v>
      </c>
    </row>
    <row r="50" spans="2:27" x14ac:dyDescent="0.3">
      <c r="B50" s="11">
        <v>6332</v>
      </c>
      <c r="C50" s="3" t="s">
        <v>326</v>
      </c>
      <c r="D50" s="3" t="str">
        <f>VLOOKUP(B50,기업리스트!B:G,2,FALSE)</f>
        <v>Tsukishima Holdings Co., Ltd.</v>
      </c>
      <c r="E50" s="3" t="s">
        <v>315</v>
      </c>
      <c r="F50" s="12">
        <v>11.4</v>
      </c>
      <c r="G50" s="50">
        <v>1257</v>
      </c>
      <c r="H50" s="50">
        <v>3862</v>
      </c>
      <c r="I50" s="50">
        <v>-17</v>
      </c>
      <c r="J50" s="50">
        <v>982</v>
      </c>
      <c r="K50" s="50">
        <v>1384</v>
      </c>
      <c r="L50" s="50">
        <v>2656</v>
      </c>
      <c r="M50" s="50">
        <v>-299</v>
      </c>
      <c r="N50" s="50">
        <v>383</v>
      </c>
      <c r="O50" s="50">
        <v>907</v>
      </c>
      <c r="P50" s="51">
        <v>5776</v>
      </c>
      <c r="Q50" s="50">
        <v>-57</v>
      </c>
      <c r="R50" s="51">
        <v>1413</v>
      </c>
      <c r="S50" s="51">
        <v>1831</v>
      </c>
      <c r="T50" s="50">
        <v>5972</v>
      </c>
      <c r="U50" s="50">
        <v>169</v>
      </c>
      <c r="V50" s="50">
        <v>1478</v>
      </c>
      <c r="W50" s="51">
        <v>2908</v>
      </c>
      <c r="X50" s="7">
        <v>2.18676782327345E-2</v>
      </c>
      <c r="Y50" s="8">
        <v>2.467518288022719E-2</v>
      </c>
      <c r="Z50" s="8">
        <v>6.9259456579648937E-3</v>
      </c>
      <c r="AA50" s="9">
        <v>0.11396825396825409</v>
      </c>
    </row>
    <row r="51" spans="2:27" x14ac:dyDescent="0.3">
      <c r="B51" s="11">
        <v>1515</v>
      </c>
      <c r="C51" s="3" t="s">
        <v>326</v>
      </c>
      <c r="D51" s="3" t="str">
        <f>VLOOKUP(B51,기업리스트!B:G,2,FALSE)</f>
        <v>Nittetsu Mining Co., Ltd.</v>
      </c>
      <c r="E51" s="3" t="s">
        <v>315</v>
      </c>
      <c r="F51" s="12">
        <v>10.6</v>
      </c>
      <c r="G51" s="50">
        <v>3564</v>
      </c>
      <c r="H51" s="50">
        <v>3279</v>
      </c>
      <c r="I51" s="50">
        <v>5086</v>
      </c>
      <c r="J51" s="50">
        <v>3952</v>
      </c>
      <c r="K51" s="50">
        <v>2792</v>
      </c>
      <c r="L51" s="50">
        <v>1731</v>
      </c>
      <c r="M51" s="50">
        <v>2779</v>
      </c>
      <c r="N51" s="50">
        <v>3796</v>
      </c>
      <c r="O51" s="50">
        <v>2352</v>
      </c>
      <c r="P51" s="50">
        <v>2251</v>
      </c>
      <c r="Q51" s="51">
        <v>4609</v>
      </c>
      <c r="R51" s="50">
        <v>729</v>
      </c>
      <c r="S51" s="51">
        <v>3466</v>
      </c>
      <c r="T51" s="50">
        <v>1453</v>
      </c>
      <c r="U51" s="50">
        <v>3621</v>
      </c>
      <c r="V51" s="51">
        <v>4965</v>
      </c>
      <c r="W51" s="51">
        <v>4902</v>
      </c>
      <c r="X51" s="7">
        <v>-7.2184531886024472E-2</v>
      </c>
      <c r="Y51" s="8">
        <v>-9.6324461343472723E-2</v>
      </c>
      <c r="Z51" s="9">
        <v>0.4570072283957276</v>
      </c>
      <c r="AA51" s="9">
        <v>0.1063309885227695</v>
      </c>
    </row>
    <row r="52" spans="2:27" x14ac:dyDescent="0.3">
      <c r="B52" s="11">
        <v>2004</v>
      </c>
      <c r="C52" s="3" t="s">
        <v>326</v>
      </c>
      <c r="D52" s="3" t="str">
        <f>VLOOKUP(B52,기업리스트!B:G,2,FALSE)</f>
        <v>Showa Sangyo Co., Ltd.</v>
      </c>
      <c r="E52" s="3" t="s">
        <v>315</v>
      </c>
      <c r="F52" s="12">
        <v>10.5</v>
      </c>
      <c r="G52" s="50">
        <v>2012</v>
      </c>
      <c r="H52" s="50">
        <v>1147</v>
      </c>
      <c r="I52" s="50">
        <v>1817</v>
      </c>
      <c r="J52" s="50">
        <v>501</v>
      </c>
      <c r="K52" s="50">
        <v>2245</v>
      </c>
      <c r="L52" s="50">
        <v>-378</v>
      </c>
      <c r="M52" s="51">
        <v>3314</v>
      </c>
      <c r="N52" s="51">
        <v>4039</v>
      </c>
      <c r="O52" s="51">
        <v>3967</v>
      </c>
      <c r="P52" s="51">
        <v>1678</v>
      </c>
      <c r="Q52" s="50">
        <v>4119</v>
      </c>
      <c r="R52" s="50">
        <v>2749</v>
      </c>
      <c r="S52" s="50">
        <v>2877</v>
      </c>
      <c r="T52" s="50">
        <v>1340</v>
      </c>
      <c r="U52" s="50">
        <v>3535</v>
      </c>
      <c r="V52" s="50">
        <v>2520</v>
      </c>
      <c r="W52" s="51">
        <v>3952</v>
      </c>
      <c r="X52" s="7">
        <v>-2.95894248446118E-2</v>
      </c>
      <c r="Y52" s="8">
        <v>-5.2683806946323908E-2</v>
      </c>
      <c r="Z52" s="8">
        <v>-2.1807446909818059E-2</v>
      </c>
      <c r="AA52" s="9">
        <v>0.1046534267912773</v>
      </c>
    </row>
    <row r="53" spans="2:27" x14ac:dyDescent="0.3">
      <c r="B53" s="11">
        <v>8359</v>
      </c>
      <c r="C53" s="3" t="s">
        <v>326</v>
      </c>
      <c r="D53" s="3" t="str">
        <f>VLOOKUP(B53,기업리스트!B:G,2,FALSE)</f>
        <v>Hachijuni Nagano Bank, Ltd.</v>
      </c>
      <c r="E53" s="3" t="s">
        <v>315</v>
      </c>
      <c r="F53" s="12">
        <v>10.199999999999999</v>
      </c>
      <c r="G53" s="50">
        <v>14199</v>
      </c>
      <c r="H53" s="50">
        <v>1892</v>
      </c>
      <c r="I53" s="50">
        <v>12985</v>
      </c>
      <c r="J53" s="50">
        <v>6046</v>
      </c>
      <c r="K53" s="50">
        <v>11952</v>
      </c>
      <c r="L53" s="50">
        <v>3764</v>
      </c>
      <c r="M53" s="51">
        <v>29386</v>
      </c>
      <c r="N53" s="50">
        <v>4574</v>
      </c>
      <c r="O53" s="50">
        <v>10227</v>
      </c>
      <c r="P53" s="50">
        <v>6642</v>
      </c>
      <c r="Q53" s="50">
        <v>16820</v>
      </c>
      <c r="R53" s="51">
        <v>10289</v>
      </c>
      <c r="S53" s="51">
        <v>17392</v>
      </c>
      <c r="T53" s="51">
        <v>20362</v>
      </c>
      <c r="U53" s="50">
        <v>23177</v>
      </c>
      <c r="V53" s="51">
        <v>18726</v>
      </c>
      <c r="W53" s="51">
        <v>25503</v>
      </c>
      <c r="X53" s="10">
        <v>0.26826740707428193</v>
      </c>
      <c r="Y53" s="8">
        <v>9.80065676888211E-2</v>
      </c>
      <c r="Z53" s="9">
        <v>0.1184639146307218</v>
      </c>
      <c r="AA53" s="9">
        <v>0.1018240707031397</v>
      </c>
    </row>
    <row r="54" spans="2:27" x14ac:dyDescent="0.3">
      <c r="B54" s="11">
        <v>7287</v>
      </c>
      <c r="C54" s="3" t="s">
        <v>326</v>
      </c>
      <c r="D54" s="3" t="str">
        <f>VLOOKUP(B54,기업리스트!B:G,2,FALSE)</f>
        <v>Nippon Seiki Co., Ltd.</v>
      </c>
      <c r="E54" s="3" t="s">
        <v>315</v>
      </c>
      <c r="F54" s="12">
        <v>10.199999999999999</v>
      </c>
      <c r="G54" s="50">
        <v>-1954</v>
      </c>
      <c r="H54" s="50">
        <v>2675</v>
      </c>
      <c r="I54" s="50">
        <v>-3297</v>
      </c>
      <c r="J54" s="50">
        <v>3047</v>
      </c>
      <c r="K54" s="51">
        <v>1804</v>
      </c>
      <c r="L54" s="50">
        <v>1254</v>
      </c>
      <c r="M54" s="51">
        <v>2307</v>
      </c>
      <c r="N54" s="50">
        <v>2486</v>
      </c>
      <c r="O54" s="50">
        <v>1849</v>
      </c>
      <c r="P54" s="51">
        <v>3598</v>
      </c>
      <c r="Q54" s="50">
        <v>2182</v>
      </c>
      <c r="R54" s="50">
        <v>1265</v>
      </c>
      <c r="S54" s="50">
        <v>2179</v>
      </c>
      <c r="T54" s="50">
        <v>3725</v>
      </c>
      <c r="U54" s="50">
        <v>1522</v>
      </c>
      <c r="V54" s="51">
        <v>3727</v>
      </c>
      <c r="W54" s="51">
        <v>3318</v>
      </c>
      <c r="X54" s="7">
        <v>1.376843018213347E-2</v>
      </c>
      <c r="Y54" s="8">
        <v>-7.0580686557587424E-2</v>
      </c>
      <c r="Z54" s="9">
        <v>0.2832815556322632</v>
      </c>
      <c r="AA54" s="9">
        <v>0.1021249887922533</v>
      </c>
    </row>
    <row r="55" spans="2:27" x14ac:dyDescent="0.3">
      <c r="B55" s="11">
        <v>7826</v>
      </c>
      <c r="C55" s="3" t="s">
        <v>326</v>
      </c>
      <c r="D55" s="3" t="str">
        <f>VLOOKUP(B55,기업리스트!B:G,2,FALSE)</f>
        <v>Furuya Metal Co., Ltd.</v>
      </c>
      <c r="E55" s="3" t="s">
        <v>310</v>
      </c>
      <c r="F55" s="5">
        <v>9.1999999999999993</v>
      </c>
      <c r="G55" s="50">
        <v>3279</v>
      </c>
      <c r="H55" s="50">
        <v>2905</v>
      </c>
      <c r="I55" s="50">
        <v>2132</v>
      </c>
      <c r="J55" s="50">
        <v>4473</v>
      </c>
      <c r="K55" s="50">
        <v>3036</v>
      </c>
      <c r="L55" s="50">
        <v>2950</v>
      </c>
      <c r="M55" s="50">
        <v>1027</v>
      </c>
      <c r="N55" s="50">
        <v>2043</v>
      </c>
      <c r="O55" s="50">
        <v>2511</v>
      </c>
      <c r="P55" s="50">
        <v>2679</v>
      </c>
      <c r="Q55" s="51">
        <v>2581</v>
      </c>
      <c r="R55" s="50">
        <v>2771</v>
      </c>
      <c r="S55" s="50">
        <v>3096</v>
      </c>
      <c r="T55" s="50">
        <v>2414</v>
      </c>
      <c r="U55" s="50">
        <v>1257</v>
      </c>
      <c r="V55" s="50">
        <v>3411</v>
      </c>
      <c r="W55" s="50">
        <v>4033</v>
      </c>
      <c r="X55" s="7">
        <v>-2.3815943201222271E-2</v>
      </c>
      <c r="Y55" s="8">
        <v>-0.12189283741484069</v>
      </c>
      <c r="Z55" s="8">
        <v>6.7100020968756446E-2</v>
      </c>
      <c r="AA55" s="8">
        <v>9.2061308705050138E-2</v>
      </c>
    </row>
    <row r="56" spans="2:27" x14ac:dyDescent="0.3">
      <c r="B56" s="11">
        <v>8801</v>
      </c>
      <c r="C56" s="3" t="s">
        <v>326</v>
      </c>
      <c r="D56" s="3" t="str">
        <f>VLOOKUP(B56,기업리스트!B:G,2,FALSE)</f>
        <v>Mitsui Fudosan Co., Ltd.</v>
      </c>
      <c r="E56" s="3" t="s">
        <v>315</v>
      </c>
      <c r="F56" s="5">
        <v>7.8</v>
      </c>
      <c r="G56" s="50">
        <v>53553</v>
      </c>
      <c r="H56" s="50">
        <v>90450</v>
      </c>
      <c r="I56" s="50">
        <v>77116</v>
      </c>
      <c r="J56" s="50">
        <v>54404</v>
      </c>
      <c r="K56" s="51">
        <v>81797</v>
      </c>
      <c r="L56" s="50">
        <v>92088</v>
      </c>
      <c r="M56" s="50">
        <v>80411</v>
      </c>
      <c r="N56" s="51">
        <v>99325</v>
      </c>
      <c r="O56" s="50">
        <v>65559</v>
      </c>
      <c r="P56" s="50">
        <v>94397</v>
      </c>
      <c r="Q56" s="50">
        <v>101301</v>
      </c>
      <c r="R56" s="50">
        <v>68170</v>
      </c>
      <c r="S56" s="50">
        <v>51130</v>
      </c>
      <c r="T56" s="51">
        <v>152133</v>
      </c>
      <c r="U56" s="51">
        <v>160113</v>
      </c>
      <c r="V56" s="50">
        <v>58668</v>
      </c>
      <c r="W56" s="50">
        <v>83842</v>
      </c>
      <c r="X56" s="10">
        <v>0.1832900526352548</v>
      </c>
      <c r="Y56" s="9">
        <v>0.1577854448480687</v>
      </c>
      <c r="Z56" s="8">
        <v>-2.201851019358303E-2</v>
      </c>
      <c r="AA56" s="8">
        <v>7.7508506222100149E-2</v>
      </c>
    </row>
    <row r="57" spans="2:27" x14ac:dyDescent="0.3">
      <c r="B57" s="11">
        <v>1885</v>
      </c>
      <c r="C57" s="3" t="s">
        <v>326</v>
      </c>
      <c r="D57" s="3" t="str">
        <f>VLOOKUP(B57,기업리스트!B:G,2,FALSE)</f>
        <v>TOA Corporation</v>
      </c>
      <c r="E57" s="3" t="s">
        <v>315</v>
      </c>
      <c r="F57" s="5">
        <v>7.4</v>
      </c>
      <c r="G57" s="50">
        <v>2123</v>
      </c>
      <c r="H57" s="50">
        <v>2694</v>
      </c>
      <c r="I57" s="50">
        <v>729</v>
      </c>
      <c r="J57" s="50">
        <v>-200</v>
      </c>
      <c r="K57" s="50">
        <v>2248</v>
      </c>
      <c r="L57" s="51">
        <v>3778</v>
      </c>
      <c r="M57" s="51">
        <v>3876</v>
      </c>
      <c r="N57" s="51">
        <v>2867</v>
      </c>
      <c r="O57" s="51">
        <v>6086</v>
      </c>
      <c r="P57" s="50">
        <v>3668</v>
      </c>
      <c r="Q57" s="50">
        <v>1397</v>
      </c>
      <c r="R57" s="51">
        <v>8036</v>
      </c>
      <c r="S57" s="50">
        <v>6989</v>
      </c>
      <c r="T57" s="50">
        <v>4201</v>
      </c>
      <c r="U57" s="51">
        <v>5169</v>
      </c>
      <c r="V57" s="50">
        <v>5971</v>
      </c>
      <c r="W57" s="50">
        <v>8652</v>
      </c>
      <c r="X57" s="7">
        <v>2.6530612244898059E-2</v>
      </c>
      <c r="Y57" s="9">
        <v>0.18290258449304159</v>
      </c>
      <c r="Z57" s="8">
        <v>-8.4648493543758918E-2</v>
      </c>
      <c r="AA57" s="8">
        <v>7.4473802060008865E-2</v>
      </c>
    </row>
    <row r="58" spans="2:27" x14ac:dyDescent="0.3">
      <c r="B58" s="11">
        <v>8919</v>
      </c>
      <c r="C58" s="3" t="s">
        <v>326</v>
      </c>
      <c r="D58" s="3" t="str">
        <f>VLOOKUP(B58,기업리스트!B:G,2,FALSE)</f>
        <v>KATITAS CO., Ltd.</v>
      </c>
      <c r="E58" s="3" t="s">
        <v>315</v>
      </c>
      <c r="F58" s="5">
        <v>7.3</v>
      </c>
      <c r="G58" s="50">
        <v>3790</v>
      </c>
      <c r="H58" s="50">
        <v>2463</v>
      </c>
      <c r="I58" s="50">
        <v>3487</v>
      </c>
      <c r="J58" s="50">
        <v>3950</v>
      </c>
      <c r="K58" s="50">
        <v>3367</v>
      </c>
      <c r="L58" s="50">
        <v>3257</v>
      </c>
      <c r="M58" s="50">
        <v>2861</v>
      </c>
      <c r="N58" s="50">
        <v>2990</v>
      </c>
      <c r="O58" s="50">
        <v>3512</v>
      </c>
      <c r="P58" s="50">
        <v>3310</v>
      </c>
      <c r="Q58" s="50">
        <v>3107</v>
      </c>
      <c r="R58" s="50">
        <v>3714</v>
      </c>
      <c r="S58" s="50">
        <v>4046</v>
      </c>
      <c r="T58" s="50">
        <v>3356</v>
      </c>
      <c r="U58" s="50">
        <v>4332</v>
      </c>
      <c r="V58" s="50">
        <v>4679</v>
      </c>
      <c r="W58" s="50">
        <v>5238</v>
      </c>
      <c r="X58" s="7">
        <v>3.2446921069337891E-3</v>
      </c>
      <c r="Y58" s="8">
        <v>8.6128102369401605E-2</v>
      </c>
      <c r="Z58" s="8">
        <v>6.2467633350595568E-2</v>
      </c>
      <c r="AA58" s="8">
        <v>7.2625357947968094E-2</v>
      </c>
    </row>
    <row r="59" spans="2:27" x14ac:dyDescent="0.3">
      <c r="B59" s="11">
        <v>6925</v>
      </c>
      <c r="C59" s="3" t="s">
        <v>326</v>
      </c>
      <c r="D59" s="3" t="str">
        <f>VLOOKUP(B59,기업리스트!B:G,2,FALSE)</f>
        <v>Ushio Inc.</v>
      </c>
      <c r="E59" s="3" t="s">
        <v>315</v>
      </c>
      <c r="F59" s="5">
        <v>6.9</v>
      </c>
      <c r="G59" s="50">
        <v>4242</v>
      </c>
      <c r="H59" s="50">
        <v>2261</v>
      </c>
      <c r="I59" s="50">
        <v>4478</v>
      </c>
      <c r="J59" s="50">
        <v>5634</v>
      </c>
      <c r="K59" s="50">
        <v>3416</v>
      </c>
      <c r="L59" s="50">
        <v>2335</v>
      </c>
      <c r="M59" s="50">
        <v>2056</v>
      </c>
      <c r="N59" s="50">
        <v>2914</v>
      </c>
      <c r="O59" s="51">
        <v>5238</v>
      </c>
      <c r="P59" s="50">
        <v>2769</v>
      </c>
      <c r="Q59" s="50">
        <v>343</v>
      </c>
      <c r="R59" s="50">
        <v>3928</v>
      </c>
      <c r="S59" s="50">
        <v>3125</v>
      </c>
      <c r="T59" s="50">
        <v>1431</v>
      </c>
      <c r="U59" s="50">
        <v>969</v>
      </c>
      <c r="V59" s="50">
        <v>3046</v>
      </c>
      <c r="W59" s="50">
        <v>3720</v>
      </c>
      <c r="X59" s="7">
        <v>-0.13162813575996071</v>
      </c>
      <c r="Y59" s="8">
        <v>7.0918771949699755E-2</v>
      </c>
      <c r="Z59" s="8">
        <v>-9.3303713106950181E-2</v>
      </c>
      <c r="AA59" s="8">
        <v>6.9420137673550375E-2</v>
      </c>
    </row>
    <row r="60" spans="2:27" x14ac:dyDescent="0.3">
      <c r="B60" s="11">
        <v>1951</v>
      </c>
      <c r="C60" s="3" t="s">
        <v>326</v>
      </c>
      <c r="D60" s="3" t="str">
        <f>VLOOKUP(B60,기업리스트!B:G,2,FALSE)</f>
        <v>EXEO Group, Inc.</v>
      </c>
      <c r="E60" s="3" t="s">
        <v>315</v>
      </c>
      <c r="F60" s="5">
        <v>6.1</v>
      </c>
      <c r="G60" s="50">
        <v>7562</v>
      </c>
      <c r="H60" s="50">
        <v>17790</v>
      </c>
      <c r="I60" s="50">
        <v>3717</v>
      </c>
      <c r="J60" s="50">
        <v>4834</v>
      </c>
      <c r="K60" s="50">
        <v>6715</v>
      </c>
      <c r="L60" s="50">
        <v>17287</v>
      </c>
      <c r="M60" s="50">
        <v>2495</v>
      </c>
      <c r="N60" s="50">
        <v>6717</v>
      </c>
      <c r="O60" s="50">
        <v>5919</v>
      </c>
      <c r="P60" s="50">
        <v>18406</v>
      </c>
      <c r="Q60" s="50">
        <v>2939</v>
      </c>
      <c r="R60" s="50">
        <v>7375</v>
      </c>
      <c r="S60" s="51">
        <v>9468</v>
      </c>
      <c r="T60" s="51">
        <v>22683</v>
      </c>
      <c r="U60" s="50">
        <v>5645</v>
      </c>
      <c r="V60" s="50">
        <v>10759</v>
      </c>
      <c r="W60" s="50">
        <v>12412</v>
      </c>
      <c r="X60" s="10">
        <v>0.1119985335707552</v>
      </c>
      <c r="Y60" s="8">
        <v>6.3723066054397703E-2</v>
      </c>
      <c r="Z60" s="8">
        <v>7.4915321777246469E-2</v>
      </c>
      <c r="AA60" s="8">
        <v>6.063227268046556E-2</v>
      </c>
    </row>
    <row r="61" spans="2:27" x14ac:dyDescent="0.3">
      <c r="B61" s="11">
        <v>4686</v>
      </c>
      <c r="C61" s="3" t="s">
        <v>326</v>
      </c>
      <c r="D61" s="3" t="str">
        <f>VLOOKUP(B61,기업리스트!B:G,2,FALSE)</f>
        <v>JustSystems Corporation</v>
      </c>
      <c r="E61" s="3" t="s">
        <v>315</v>
      </c>
      <c r="F61" s="5">
        <v>5.7</v>
      </c>
      <c r="G61" s="50">
        <v>4032</v>
      </c>
      <c r="H61" s="50">
        <v>3215</v>
      </c>
      <c r="I61" s="50">
        <v>5043</v>
      </c>
      <c r="J61" s="50">
        <v>5293</v>
      </c>
      <c r="K61" s="50">
        <v>4618</v>
      </c>
      <c r="L61" s="50">
        <v>4081</v>
      </c>
      <c r="M61" s="50">
        <v>4455</v>
      </c>
      <c r="N61" s="50">
        <v>5054</v>
      </c>
      <c r="O61" s="50">
        <v>4223</v>
      </c>
      <c r="P61" s="50">
        <v>3311</v>
      </c>
      <c r="Q61" s="50">
        <v>4690</v>
      </c>
      <c r="R61" s="50">
        <v>5118</v>
      </c>
      <c r="S61" s="50">
        <v>4311</v>
      </c>
      <c r="T61" s="50">
        <v>3916</v>
      </c>
      <c r="U61" s="50">
        <v>5978</v>
      </c>
      <c r="V61" s="50">
        <v>6073</v>
      </c>
      <c r="W61" s="50">
        <v>5462</v>
      </c>
      <c r="X61" s="7">
        <v>3.4710269650028769E-2</v>
      </c>
      <c r="Y61" s="8">
        <v>7.1416689769891795E-2</v>
      </c>
      <c r="Z61" s="8">
        <v>4.9422967448118797E-2</v>
      </c>
      <c r="AA61" s="8">
        <v>5.676102179702136E-2</v>
      </c>
    </row>
    <row r="62" spans="2:27" x14ac:dyDescent="0.3">
      <c r="B62" s="11">
        <v>6996</v>
      </c>
      <c r="C62" s="3" t="s">
        <v>326</v>
      </c>
      <c r="D62" s="3" t="str">
        <f>VLOOKUP(B62,기업리스트!B:G,2,FALSE)</f>
        <v>Nichicon Corporation</v>
      </c>
      <c r="E62" s="3" t="s">
        <v>315</v>
      </c>
      <c r="F62" s="5">
        <v>5.0999999999999996</v>
      </c>
      <c r="G62" s="50">
        <v>1866</v>
      </c>
      <c r="H62" s="50">
        <v>2722</v>
      </c>
      <c r="I62" s="50">
        <v>2490</v>
      </c>
      <c r="J62" s="50">
        <v>3334</v>
      </c>
      <c r="K62" s="51">
        <v>3714</v>
      </c>
      <c r="L62" s="50">
        <v>2907</v>
      </c>
      <c r="M62" s="50">
        <v>2242</v>
      </c>
      <c r="N62" s="50">
        <v>3341</v>
      </c>
      <c r="O62" s="50">
        <v>1997</v>
      </c>
      <c r="P62" s="50">
        <v>891</v>
      </c>
      <c r="Q62" s="50">
        <v>152</v>
      </c>
      <c r="R62" s="50">
        <v>1447</v>
      </c>
      <c r="S62" s="50">
        <v>2164</v>
      </c>
      <c r="T62" s="50">
        <v>1061</v>
      </c>
      <c r="U62" s="51">
        <v>726</v>
      </c>
      <c r="V62" s="50">
        <v>723</v>
      </c>
      <c r="W62" s="50">
        <v>2402</v>
      </c>
      <c r="X62" s="7">
        <v>3.6527718091963868E-2</v>
      </c>
      <c r="Y62" s="9">
        <v>0.11898839137645111</v>
      </c>
      <c r="Z62" s="8">
        <v>-0.13412374953686551</v>
      </c>
      <c r="AA62" s="8">
        <v>5.0919982884039428E-2</v>
      </c>
    </row>
    <row r="63" spans="2:27" x14ac:dyDescent="0.3">
      <c r="B63" s="11">
        <v>7740</v>
      </c>
      <c r="C63" s="3" t="s">
        <v>326</v>
      </c>
      <c r="D63" s="3" t="str">
        <f>VLOOKUP(B63,기업리스트!B:G,2,FALSE)</f>
        <v>Tamron Co.,Ltd.</v>
      </c>
      <c r="E63" s="3" t="s">
        <v>304</v>
      </c>
      <c r="F63" s="5">
        <v>4.9000000000000004</v>
      </c>
      <c r="G63" s="50">
        <v>1684</v>
      </c>
      <c r="H63" s="50">
        <v>2082</v>
      </c>
      <c r="I63" s="50">
        <v>3590</v>
      </c>
      <c r="J63" s="50">
        <v>3117</v>
      </c>
      <c r="K63" s="50">
        <v>2250</v>
      </c>
      <c r="L63" s="50">
        <v>2630</v>
      </c>
      <c r="M63" s="50">
        <v>3848</v>
      </c>
      <c r="N63" s="50">
        <v>3704</v>
      </c>
      <c r="O63" s="50">
        <v>3427</v>
      </c>
      <c r="P63" s="51">
        <v>4549</v>
      </c>
      <c r="Q63" s="51">
        <v>6292</v>
      </c>
      <c r="R63" s="51">
        <v>5893</v>
      </c>
      <c r="S63" s="50">
        <v>2469</v>
      </c>
      <c r="T63" s="50">
        <v>4236</v>
      </c>
      <c r="U63" s="50">
        <v>4967</v>
      </c>
      <c r="V63" s="50">
        <v>4184</v>
      </c>
      <c r="W63" s="50">
        <v>3252</v>
      </c>
      <c r="X63" s="7">
        <v>-1.629953653075045E-2</v>
      </c>
      <c r="Y63" s="8">
        <v>-7.0142932768660682E-2</v>
      </c>
      <c r="Z63" s="8">
        <v>-9.7295758610873917E-2</v>
      </c>
      <c r="AA63" s="8">
        <v>4.9381937436932422E-2</v>
      </c>
    </row>
    <row r="64" spans="2:27" x14ac:dyDescent="0.3">
      <c r="B64" s="11">
        <v>9302</v>
      </c>
      <c r="C64" s="3" t="s">
        <v>326</v>
      </c>
      <c r="D64" s="3" t="str">
        <f>VLOOKUP(B64,기업리스트!B:G,2,FALSE)</f>
        <v>MITSUI-SOKO HOLDINGS Co., Ltd.</v>
      </c>
      <c r="E64" s="3" t="s">
        <v>315</v>
      </c>
      <c r="F64" s="5">
        <v>4.4000000000000004</v>
      </c>
      <c r="G64" s="50">
        <v>6502</v>
      </c>
      <c r="H64" s="50">
        <v>7803</v>
      </c>
      <c r="I64" s="50">
        <v>6783</v>
      </c>
      <c r="J64" s="50">
        <v>6891</v>
      </c>
      <c r="K64" s="50">
        <v>7665</v>
      </c>
      <c r="L64" s="50">
        <v>4623</v>
      </c>
      <c r="M64" s="50">
        <v>6160</v>
      </c>
      <c r="N64" s="50">
        <v>5684</v>
      </c>
      <c r="O64" s="50">
        <v>5051</v>
      </c>
      <c r="P64" s="50">
        <v>3860</v>
      </c>
      <c r="Q64" s="50">
        <v>3828</v>
      </c>
      <c r="R64" s="50">
        <v>5632</v>
      </c>
      <c r="S64" s="50">
        <v>5467</v>
      </c>
      <c r="T64" s="50">
        <v>2905</v>
      </c>
      <c r="U64" s="51">
        <v>6386</v>
      </c>
      <c r="V64" s="50">
        <v>5243</v>
      </c>
      <c r="W64" s="50">
        <v>6340</v>
      </c>
      <c r="X64" s="7">
        <v>-5.0833022834939068E-2</v>
      </c>
      <c r="Y64" s="9">
        <v>0.1434499775684164</v>
      </c>
      <c r="Z64" s="8">
        <v>-1.9077979401667441E-2</v>
      </c>
      <c r="AA64" s="8">
        <v>4.364781760911951E-2</v>
      </c>
    </row>
    <row r="65" spans="2:27" x14ac:dyDescent="0.3">
      <c r="B65" s="11">
        <v>3107</v>
      </c>
      <c r="C65" s="3" t="s">
        <v>326</v>
      </c>
      <c r="D65" s="3" t="str">
        <f>VLOOKUP(B65,기업리스트!B:G,2,FALSE)</f>
        <v>Daiwabo Holdings Co., Ltd.</v>
      </c>
      <c r="E65" s="3" t="s">
        <v>315</v>
      </c>
      <c r="F65" s="5">
        <v>4.0999999999999996</v>
      </c>
      <c r="G65" s="50">
        <v>5072</v>
      </c>
      <c r="H65" s="50">
        <v>9182</v>
      </c>
      <c r="I65" s="50">
        <v>4354</v>
      </c>
      <c r="J65" s="50">
        <v>6611</v>
      </c>
      <c r="K65" s="50">
        <v>6810</v>
      </c>
      <c r="L65" s="50">
        <v>10169</v>
      </c>
      <c r="M65" s="50">
        <v>4938</v>
      </c>
      <c r="N65" s="50">
        <v>7855</v>
      </c>
      <c r="O65" s="50">
        <v>6121</v>
      </c>
      <c r="P65" s="50">
        <v>12050</v>
      </c>
      <c r="Q65" s="50">
        <v>4275</v>
      </c>
      <c r="R65" s="50">
        <v>9248</v>
      </c>
      <c r="S65" s="50">
        <v>8490</v>
      </c>
      <c r="T65" s="50">
        <v>12887</v>
      </c>
      <c r="U65" s="51">
        <v>9877</v>
      </c>
      <c r="V65" s="50">
        <v>12559</v>
      </c>
      <c r="W65" s="50">
        <v>10300</v>
      </c>
      <c r="X65" s="7">
        <v>2.457211637260381E-2</v>
      </c>
      <c r="Y65" s="9">
        <v>0.16051575931232101</v>
      </c>
      <c r="Z65" s="8">
        <v>8.1749049429657772E-2</v>
      </c>
      <c r="AA65" s="8">
        <v>4.1311939378723128E-2</v>
      </c>
    </row>
    <row r="66" spans="2:27" x14ac:dyDescent="0.3">
      <c r="B66" s="11">
        <v>8830</v>
      </c>
      <c r="C66" s="3" t="s">
        <v>326</v>
      </c>
      <c r="D66" s="3" t="str">
        <f>VLOOKUP(B66,기업리스트!B:G,2,FALSE)</f>
        <v>Sumitomo Realty &amp; Development Co., Ltd.</v>
      </c>
      <c r="E66" s="3" t="s">
        <v>315</v>
      </c>
      <c r="F66" s="5">
        <v>3.9</v>
      </c>
      <c r="G66" s="50">
        <v>57574</v>
      </c>
      <c r="H66" s="50">
        <v>40115</v>
      </c>
      <c r="I66" s="50">
        <v>73595</v>
      </c>
      <c r="J66" s="50">
        <v>64389</v>
      </c>
      <c r="K66" s="50">
        <v>58936</v>
      </c>
      <c r="L66" s="50">
        <v>44354</v>
      </c>
      <c r="M66" s="50">
        <v>78153</v>
      </c>
      <c r="N66" s="50">
        <v>71623</v>
      </c>
      <c r="O66" s="50">
        <v>54223</v>
      </c>
      <c r="P66" s="50">
        <v>50669</v>
      </c>
      <c r="Q66" s="50">
        <v>98125</v>
      </c>
      <c r="R66" s="50">
        <v>57813</v>
      </c>
      <c r="S66" s="50">
        <v>59865</v>
      </c>
      <c r="T66" s="50">
        <v>55713</v>
      </c>
      <c r="U66" s="50">
        <v>101793</v>
      </c>
      <c r="V66" s="50">
        <v>65687</v>
      </c>
      <c r="W66" s="50">
        <v>70900</v>
      </c>
      <c r="X66" s="7">
        <v>1.8928818037167169E-2</v>
      </c>
      <c r="Y66" s="8">
        <v>1.3509332783335101E-2</v>
      </c>
      <c r="Z66" s="8">
        <v>2.861358218501087E-2</v>
      </c>
      <c r="AA66" s="8">
        <v>3.8984943015212492E-2</v>
      </c>
    </row>
    <row r="67" spans="2:27" x14ac:dyDescent="0.3">
      <c r="B67" s="11">
        <v>6787</v>
      </c>
      <c r="C67" s="3" t="s">
        <v>326</v>
      </c>
      <c r="D67" s="3" t="str">
        <f>VLOOKUP(B67,기업리스트!B:G,2,FALSE)</f>
        <v>Meiko Electronics Co., Ltd.</v>
      </c>
      <c r="E67" s="3" t="s">
        <v>315</v>
      </c>
      <c r="F67" s="5">
        <v>3.4</v>
      </c>
      <c r="G67" s="50">
        <v>4275</v>
      </c>
      <c r="H67" s="50">
        <v>3431</v>
      </c>
      <c r="I67" s="50">
        <v>2805</v>
      </c>
      <c r="J67" s="50">
        <v>1837</v>
      </c>
      <c r="K67" s="50">
        <v>3338</v>
      </c>
      <c r="L67" s="50">
        <v>1596</v>
      </c>
      <c r="M67" s="50">
        <v>907</v>
      </c>
      <c r="N67" s="51">
        <v>3291</v>
      </c>
      <c r="O67" s="50">
        <v>4141</v>
      </c>
      <c r="P67" s="51">
        <v>3322</v>
      </c>
      <c r="Q67" s="51">
        <v>3267</v>
      </c>
      <c r="R67" s="51">
        <v>6021</v>
      </c>
      <c r="S67" s="50">
        <v>5361</v>
      </c>
      <c r="T67" s="50">
        <v>4435</v>
      </c>
      <c r="U67" s="51">
        <v>5586</v>
      </c>
      <c r="V67" s="50">
        <v>5833</v>
      </c>
      <c r="W67" s="50">
        <v>6086</v>
      </c>
      <c r="X67" s="7">
        <v>6.1933114462189083E-2</v>
      </c>
      <c r="Y67" s="9">
        <v>0.12151540557535109</v>
      </c>
      <c r="Z67" s="8">
        <v>-8.7838153529878893E-3</v>
      </c>
      <c r="AA67" s="8">
        <v>3.4173933537591239E-2</v>
      </c>
    </row>
    <row r="68" spans="2:27" x14ac:dyDescent="0.3">
      <c r="B68" s="11">
        <v>9869</v>
      </c>
      <c r="C68" s="3" t="s">
        <v>326</v>
      </c>
      <c r="D68" s="3" t="str">
        <f>VLOOKUP(B68,기업리스트!B:G,2,FALSE)</f>
        <v>Kato Sangyo Co., Ltd.</v>
      </c>
      <c r="E68" s="3" t="s">
        <v>313</v>
      </c>
      <c r="F68" s="5">
        <v>3.3</v>
      </c>
      <c r="G68" s="50">
        <v>3308</v>
      </c>
      <c r="H68" s="50">
        <v>3656</v>
      </c>
      <c r="I68" s="50">
        <v>2859</v>
      </c>
      <c r="J68" s="50">
        <v>3517</v>
      </c>
      <c r="K68" s="50">
        <v>4552</v>
      </c>
      <c r="L68" s="50">
        <v>4339</v>
      </c>
      <c r="M68" s="50">
        <v>3929</v>
      </c>
      <c r="N68" s="50">
        <v>3891</v>
      </c>
      <c r="O68" s="50">
        <v>5192</v>
      </c>
      <c r="P68" s="50">
        <v>4345</v>
      </c>
      <c r="Q68" s="50">
        <v>3089</v>
      </c>
      <c r="R68" s="50">
        <v>4215</v>
      </c>
      <c r="S68" s="50">
        <v>5048</v>
      </c>
      <c r="T68" s="50">
        <v>5099</v>
      </c>
      <c r="U68" s="50">
        <v>3953</v>
      </c>
      <c r="V68" s="50">
        <v>4227</v>
      </c>
      <c r="W68" s="50">
        <v>5658</v>
      </c>
      <c r="X68" s="7">
        <v>4.5157812780739048E-2</v>
      </c>
      <c r="Y68" s="8">
        <v>4.9510056730273311E-2</v>
      </c>
      <c r="Z68" s="8">
        <v>6.5520065520074944E-4</v>
      </c>
      <c r="AA68" s="8">
        <v>3.3284225459704331E-2</v>
      </c>
    </row>
    <row r="69" spans="2:27" x14ac:dyDescent="0.3">
      <c r="B69" s="11">
        <v>4694</v>
      </c>
      <c r="C69" s="3" t="s">
        <v>326</v>
      </c>
      <c r="D69" s="3" t="str">
        <f>VLOOKUP(B69,기업리스트!B:G,2,FALSE)</f>
        <v>BML, Inc.</v>
      </c>
      <c r="E69" s="3" t="s">
        <v>315</v>
      </c>
      <c r="F69" s="5">
        <v>3.1</v>
      </c>
      <c r="G69" s="50">
        <v>7991</v>
      </c>
      <c r="H69" s="50">
        <v>13372</v>
      </c>
      <c r="I69" s="50">
        <v>6853</v>
      </c>
      <c r="J69" s="50">
        <v>8595</v>
      </c>
      <c r="K69" s="50">
        <v>4982</v>
      </c>
      <c r="L69" s="50">
        <v>3507</v>
      </c>
      <c r="M69" s="50">
        <v>2668</v>
      </c>
      <c r="N69" s="50">
        <v>2456</v>
      </c>
      <c r="O69" s="50">
        <v>2614</v>
      </c>
      <c r="P69" s="50">
        <v>1430</v>
      </c>
      <c r="Q69" s="50">
        <v>2548</v>
      </c>
      <c r="R69" s="50">
        <v>2623</v>
      </c>
      <c r="S69" s="50">
        <v>2972</v>
      </c>
      <c r="T69" s="50">
        <v>1222</v>
      </c>
      <c r="U69" s="50">
        <v>2793</v>
      </c>
      <c r="V69" s="50">
        <v>3123</v>
      </c>
      <c r="W69" s="50">
        <v>3285</v>
      </c>
      <c r="X69" s="7">
        <v>-2.1727776036770119E-2</v>
      </c>
      <c r="Y69" s="8">
        <v>2.6161238654564881E-2</v>
      </c>
      <c r="Z69" s="8">
        <v>5.202913631633721E-2</v>
      </c>
      <c r="AA69" s="8">
        <v>3.095944609297718E-2</v>
      </c>
    </row>
    <row r="70" spans="2:27" x14ac:dyDescent="0.3">
      <c r="B70" s="11">
        <v>1721</v>
      </c>
      <c r="C70" s="3" t="s">
        <v>326</v>
      </c>
      <c r="D70" s="3" t="str">
        <f>VLOOKUP(B70,기업리스트!B:G,2,FALSE)</f>
        <v>COMSYS Holdings Corporation</v>
      </c>
      <c r="E70" s="3" t="s">
        <v>315</v>
      </c>
      <c r="F70" s="5">
        <v>2.9</v>
      </c>
      <c r="G70" s="50">
        <v>9796</v>
      </c>
      <c r="H70" s="50">
        <v>15088</v>
      </c>
      <c r="I70" s="50">
        <v>3560</v>
      </c>
      <c r="J70" s="50">
        <v>5915</v>
      </c>
      <c r="K70" s="50">
        <v>7493</v>
      </c>
      <c r="L70" s="50">
        <v>12740</v>
      </c>
      <c r="M70" s="50">
        <v>4651</v>
      </c>
      <c r="N70" s="51">
        <v>9516</v>
      </c>
      <c r="O70" s="50">
        <v>10126</v>
      </c>
      <c r="P70" s="50">
        <v>14830</v>
      </c>
      <c r="Q70" s="50">
        <v>7102</v>
      </c>
      <c r="R70" s="50">
        <v>9343</v>
      </c>
      <c r="S70" s="50">
        <v>12696</v>
      </c>
      <c r="T70" s="50">
        <v>16185</v>
      </c>
      <c r="U70" s="50">
        <v>7545</v>
      </c>
      <c r="V70" s="50">
        <v>10497</v>
      </c>
      <c r="W70" s="50">
        <v>14074</v>
      </c>
      <c r="X70" s="7">
        <v>3.0815764935980591E-2</v>
      </c>
      <c r="Y70" s="8">
        <v>9.7736398535057667E-3</v>
      </c>
      <c r="Z70" s="8">
        <v>2.5213572505407681E-2</v>
      </c>
      <c r="AA70" s="8">
        <v>2.936726125780531E-2</v>
      </c>
    </row>
    <row r="71" spans="2:27" x14ac:dyDescent="0.3">
      <c r="B71" s="11">
        <v>5186</v>
      </c>
      <c r="C71" s="3" t="s">
        <v>326</v>
      </c>
      <c r="D71" s="3" t="str">
        <f>VLOOKUP(B71,기업리스트!B:G,2,FALSE)</f>
        <v>Nitta Corporation</v>
      </c>
      <c r="E71" s="3" t="s">
        <v>315</v>
      </c>
      <c r="F71" s="5">
        <v>2.7</v>
      </c>
      <c r="G71" s="50">
        <v>1281</v>
      </c>
      <c r="H71" s="50">
        <v>955</v>
      </c>
      <c r="I71" s="50">
        <v>1467</v>
      </c>
      <c r="J71" s="50">
        <v>1393</v>
      </c>
      <c r="K71" s="50">
        <v>1248</v>
      </c>
      <c r="L71" s="50">
        <v>883</v>
      </c>
      <c r="M71" s="50">
        <v>1281</v>
      </c>
      <c r="N71" s="50">
        <v>1245</v>
      </c>
      <c r="O71" s="50">
        <v>1309</v>
      </c>
      <c r="P71" s="50">
        <v>588</v>
      </c>
      <c r="Q71" s="50">
        <v>1163</v>
      </c>
      <c r="R71" s="50">
        <v>1401</v>
      </c>
      <c r="S71" s="50">
        <v>1557</v>
      </c>
      <c r="T71" s="50">
        <v>1035</v>
      </c>
      <c r="U71" s="50">
        <v>1096</v>
      </c>
      <c r="V71" s="50">
        <v>1485</v>
      </c>
      <c r="W71" s="50">
        <v>1697</v>
      </c>
      <c r="X71" s="7">
        <v>9.4924612444255763E-2</v>
      </c>
      <c r="Y71" s="8">
        <v>-1.2994569433669501E-2</v>
      </c>
      <c r="Z71" s="8">
        <v>1.65061898211829E-2</v>
      </c>
      <c r="AA71" s="8">
        <v>2.7063599458728049E-2</v>
      </c>
    </row>
    <row r="72" spans="2:27" x14ac:dyDescent="0.3">
      <c r="B72" s="11">
        <v>7994</v>
      </c>
      <c r="C72" s="3" t="s">
        <v>326</v>
      </c>
      <c r="D72" s="3" t="str">
        <f>VLOOKUP(B72,기업리스트!B:G,2,FALSE)</f>
        <v>Okamura Corporation</v>
      </c>
      <c r="E72" s="3" t="s">
        <v>315</v>
      </c>
      <c r="F72" s="5">
        <v>2.4</v>
      </c>
      <c r="G72" s="50">
        <v>2834</v>
      </c>
      <c r="H72" s="50">
        <v>6586</v>
      </c>
      <c r="I72" s="50">
        <v>3065</v>
      </c>
      <c r="J72" s="50">
        <v>2347</v>
      </c>
      <c r="K72" s="50">
        <v>2615</v>
      </c>
      <c r="L72" s="51">
        <v>9346</v>
      </c>
      <c r="M72" s="51">
        <v>5848</v>
      </c>
      <c r="N72" s="50">
        <v>4245</v>
      </c>
      <c r="O72" s="50">
        <v>3100</v>
      </c>
      <c r="P72" s="50">
        <v>10845</v>
      </c>
      <c r="Q72" s="50">
        <v>4574</v>
      </c>
      <c r="R72" s="50">
        <v>2172</v>
      </c>
      <c r="S72" s="50">
        <v>3968</v>
      </c>
      <c r="T72" s="51">
        <v>13223</v>
      </c>
      <c r="U72" s="50">
        <v>3125</v>
      </c>
      <c r="V72" s="50">
        <v>3713</v>
      </c>
      <c r="W72" s="50">
        <v>4555</v>
      </c>
      <c r="X72" s="10">
        <v>0.1103019620576093</v>
      </c>
      <c r="Y72" s="8">
        <v>-6.053390149141491E-2</v>
      </c>
      <c r="Z72" s="8">
        <v>6.8525435787975875E-2</v>
      </c>
      <c r="AA72" s="8">
        <v>2.4428815181655409E-2</v>
      </c>
    </row>
    <row r="73" spans="2:27" x14ac:dyDescent="0.3">
      <c r="B73" s="11">
        <v>6929</v>
      </c>
      <c r="C73" s="3" t="s">
        <v>326</v>
      </c>
      <c r="D73" s="3" t="str">
        <f>VLOOKUP(B73,기업리스트!B:G,2,FALSE)</f>
        <v>Nippon Ceramic Co., Ltd.</v>
      </c>
      <c r="E73" s="3" t="s">
        <v>304</v>
      </c>
      <c r="F73" s="5">
        <v>2.4</v>
      </c>
      <c r="G73" s="50">
        <v>839</v>
      </c>
      <c r="H73" s="50">
        <v>873</v>
      </c>
      <c r="I73" s="50">
        <v>1089</v>
      </c>
      <c r="J73" s="50">
        <v>1104</v>
      </c>
      <c r="K73" s="50">
        <v>1112</v>
      </c>
      <c r="L73" s="50">
        <v>1047</v>
      </c>
      <c r="M73" s="50">
        <v>1179</v>
      </c>
      <c r="N73" s="50">
        <v>1302</v>
      </c>
      <c r="O73" s="50">
        <v>1047</v>
      </c>
      <c r="P73" s="50">
        <v>979</v>
      </c>
      <c r="Q73" s="50">
        <v>1272</v>
      </c>
      <c r="R73" s="50">
        <v>1376</v>
      </c>
      <c r="S73" s="50">
        <v>1336</v>
      </c>
      <c r="T73" s="51">
        <v>1492</v>
      </c>
      <c r="U73" s="50">
        <v>1659</v>
      </c>
      <c r="V73" s="50">
        <v>1629</v>
      </c>
      <c r="W73" s="50">
        <v>1485</v>
      </c>
      <c r="X73" s="10">
        <v>0.1033649002619383</v>
      </c>
      <c r="Y73" s="8">
        <v>7.0672023374726001E-2</v>
      </c>
      <c r="Z73" s="8">
        <v>4.3151969981238381E-2</v>
      </c>
      <c r="AA73" s="8">
        <v>2.4362328319162959E-2</v>
      </c>
    </row>
    <row r="74" spans="2:27" x14ac:dyDescent="0.3">
      <c r="B74" s="11">
        <v>1871</v>
      </c>
      <c r="C74" s="3" t="s">
        <v>326</v>
      </c>
      <c r="D74" s="3" t="str">
        <f>VLOOKUP(B74,기업리스트!B:G,2,FALSE)</f>
        <v>PS Construction Co., Ltd.</v>
      </c>
      <c r="E74" s="3" t="s">
        <v>315</v>
      </c>
      <c r="F74" s="5">
        <v>2.2999999999999998</v>
      </c>
      <c r="G74" s="50">
        <v>1391</v>
      </c>
      <c r="H74" s="50">
        <v>1239</v>
      </c>
      <c r="I74" s="50">
        <v>1387</v>
      </c>
      <c r="J74" s="50">
        <v>912</v>
      </c>
      <c r="K74" s="50">
        <v>1757</v>
      </c>
      <c r="L74" s="50">
        <v>1661</v>
      </c>
      <c r="M74" s="50">
        <v>1431</v>
      </c>
      <c r="N74" s="51">
        <v>1880</v>
      </c>
      <c r="O74" s="50">
        <v>1936</v>
      </c>
      <c r="P74" s="51">
        <v>2582</v>
      </c>
      <c r="Q74" s="51">
        <v>2555</v>
      </c>
      <c r="R74" s="51">
        <v>3193</v>
      </c>
      <c r="S74" s="51">
        <v>5182</v>
      </c>
      <c r="T74" s="50">
        <v>1386</v>
      </c>
      <c r="U74" s="50">
        <v>2481</v>
      </c>
      <c r="V74" s="50">
        <v>4356</v>
      </c>
      <c r="W74" s="50">
        <v>5490</v>
      </c>
      <c r="X74" s="7">
        <v>-8.8513913558318502E-2</v>
      </c>
      <c r="Y74" s="8">
        <v>-6.0084443000973931E-3</v>
      </c>
      <c r="Z74" s="8">
        <v>9.5000816859990289E-2</v>
      </c>
      <c r="AA74" s="8">
        <v>2.297650130548301E-2</v>
      </c>
    </row>
    <row r="75" spans="2:27" x14ac:dyDescent="0.3">
      <c r="B75" s="11">
        <v>9682</v>
      </c>
      <c r="C75" s="3" t="s">
        <v>326</v>
      </c>
      <c r="D75" s="3" t="str">
        <f>VLOOKUP(B75,기업리스트!B:G,2,FALSE)</f>
        <v>DTS Corporation</v>
      </c>
      <c r="E75" s="3" t="s">
        <v>315</v>
      </c>
      <c r="F75" s="5">
        <v>2.2000000000000002</v>
      </c>
      <c r="G75" s="50">
        <v>2838</v>
      </c>
      <c r="H75" s="50">
        <v>3652</v>
      </c>
      <c r="I75" s="50">
        <v>2273</v>
      </c>
      <c r="J75" s="50">
        <v>2863</v>
      </c>
      <c r="K75" s="50">
        <v>3026</v>
      </c>
      <c r="L75" s="50">
        <v>3533</v>
      </c>
      <c r="M75" s="50">
        <v>2618</v>
      </c>
      <c r="N75" s="50">
        <v>3414</v>
      </c>
      <c r="O75" s="50">
        <v>3491</v>
      </c>
      <c r="P75" s="50">
        <v>2986</v>
      </c>
      <c r="Q75" s="50">
        <v>2977</v>
      </c>
      <c r="R75" s="50">
        <v>3479</v>
      </c>
      <c r="S75" s="50">
        <v>3881</v>
      </c>
      <c r="T75" s="50">
        <v>4153</v>
      </c>
      <c r="U75" s="50">
        <v>3751</v>
      </c>
      <c r="V75" s="50">
        <v>4333</v>
      </c>
      <c r="W75" s="50">
        <v>4242</v>
      </c>
      <c r="X75" s="7">
        <v>8.7592884485476308E-2</v>
      </c>
      <c r="Y75" s="8">
        <v>5.3416149068322927E-2</v>
      </c>
      <c r="Z75" s="8">
        <v>5.5948637316561863E-2</v>
      </c>
      <c r="AA75" s="8">
        <v>2.2397319766720439E-2</v>
      </c>
    </row>
    <row r="76" spans="2:27" x14ac:dyDescent="0.3">
      <c r="B76" s="11">
        <v>4368</v>
      </c>
      <c r="C76" s="3" t="s">
        <v>326</v>
      </c>
      <c r="D76" s="3" t="str">
        <f>VLOOKUP(B76,기업리스트!B:G,2,FALSE)</f>
        <v>Fuso Chemical Co.,Ltd.</v>
      </c>
      <c r="E76" s="3" t="s">
        <v>315</v>
      </c>
      <c r="F76" s="5">
        <v>2.1</v>
      </c>
      <c r="G76" s="50">
        <v>3835</v>
      </c>
      <c r="H76" s="50">
        <v>4774</v>
      </c>
      <c r="I76" s="50">
        <v>4693</v>
      </c>
      <c r="J76" s="50">
        <v>4885</v>
      </c>
      <c r="K76" s="50">
        <v>5124</v>
      </c>
      <c r="L76" s="50">
        <v>4226</v>
      </c>
      <c r="M76" s="50">
        <v>3195</v>
      </c>
      <c r="N76" s="50">
        <v>2386</v>
      </c>
      <c r="O76" s="50">
        <v>2646</v>
      </c>
      <c r="P76" s="50">
        <v>2856</v>
      </c>
      <c r="Q76" s="50">
        <v>3911</v>
      </c>
      <c r="R76" s="51">
        <v>4234</v>
      </c>
      <c r="S76" s="51">
        <v>4450</v>
      </c>
      <c r="T76" s="50">
        <v>3635</v>
      </c>
      <c r="U76" s="50">
        <v>4694</v>
      </c>
      <c r="V76" s="50">
        <v>5053</v>
      </c>
      <c r="W76" s="50">
        <v>4816</v>
      </c>
      <c r="X76" s="7">
        <v>5.0417448708821373E-2</v>
      </c>
      <c r="Y76" s="8">
        <v>4.8243992606284758E-2</v>
      </c>
      <c r="Z76" s="8">
        <v>4.8139657908658151E-2</v>
      </c>
      <c r="AA76" s="8">
        <v>2.0524899057873469E-2</v>
      </c>
    </row>
    <row r="77" spans="2:27" x14ac:dyDescent="0.3">
      <c r="B77" s="11">
        <v>7729</v>
      </c>
      <c r="C77" s="3" t="s">
        <v>326</v>
      </c>
      <c r="D77" s="3" t="str">
        <f>VLOOKUP(B77,기업리스트!B:G,2,FALSE)</f>
        <v>Tokyo Seimitsu Co., Ltd.</v>
      </c>
      <c r="E77" s="3" t="s">
        <v>315</v>
      </c>
      <c r="F77" s="5">
        <v>1.8</v>
      </c>
      <c r="G77" s="50">
        <v>6325</v>
      </c>
      <c r="H77" s="50">
        <v>9298</v>
      </c>
      <c r="I77" s="50">
        <v>5692</v>
      </c>
      <c r="J77" s="50">
        <v>9994</v>
      </c>
      <c r="K77" s="50">
        <v>7447</v>
      </c>
      <c r="L77" s="50">
        <v>11362</v>
      </c>
      <c r="M77" s="50">
        <v>4251</v>
      </c>
      <c r="N77" s="50">
        <v>7139</v>
      </c>
      <c r="O77" s="50">
        <v>2997</v>
      </c>
      <c r="P77" s="50">
        <v>10922</v>
      </c>
      <c r="Q77" s="50">
        <v>4083</v>
      </c>
      <c r="R77" s="50">
        <v>9322</v>
      </c>
      <c r="S77" s="50">
        <v>5671</v>
      </c>
      <c r="T77" s="50">
        <v>10627</v>
      </c>
      <c r="U77" s="50">
        <v>4583</v>
      </c>
      <c r="V77" s="50">
        <v>10134</v>
      </c>
      <c r="W77" s="50">
        <v>6215</v>
      </c>
      <c r="X77" s="7">
        <v>-9.833988932595461E-3</v>
      </c>
      <c r="Y77" s="8">
        <v>1.6833316500016741E-2</v>
      </c>
      <c r="Z77" s="8">
        <v>2.688474654835615E-2</v>
      </c>
      <c r="AA77" s="8">
        <v>1.7539900048363592E-2</v>
      </c>
    </row>
    <row r="78" spans="2:27" x14ac:dyDescent="0.3">
      <c r="B78" s="11">
        <v>7184</v>
      </c>
      <c r="C78" s="3" t="s">
        <v>326</v>
      </c>
      <c r="D78" s="3" t="str">
        <f>VLOOKUP(B78,기업리스트!B:G,2,FALSE)</f>
        <v>The First Bank Of Toyama, Ltd.</v>
      </c>
      <c r="E78" s="3" t="s">
        <v>315</v>
      </c>
      <c r="F78" s="5">
        <v>1.2</v>
      </c>
      <c r="G78" s="50">
        <v>2558</v>
      </c>
      <c r="H78" s="50">
        <v>-114</v>
      </c>
      <c r="I78" s="50">
        <v>3219</v>
      </c>
      <c r="J78" s="50">
        <v>585</v>
      </c>
      <c r="K78" s="50">
        <v>2603</v>
      </c>
      <c r="L78" s="50">
        <v>-326</v>
      </c>
      <c r="M78" s="51">
        <v>4919</v>
      </c>
      <c r="N78" s="50">
        <v>93</v>
      </c>
      <c r="O78" s="51">
        <v>4129</v>
      </c>
      <c r="P78" s="50">
        <v>-229</v>
      </c>
      <c r="Q78" s="51">
        <v>11569</v>
      </c>
      <c r="R78" s="51">
        <v>3306</v>
      </c>
      <c r="S78" s="50">
        <v>4468</v>
      </c>
      <c r="T78" s="50">
        <v>-378</v>
      </c>
      <c r="U78" s="50">
        <v>6717</v>
      </c>
      <c r="V78" s="50">
        <v>3383</v>
      </c>
      <c r="W78" s="50">
        <v>4643</v>
      </c>
      <c r="X78" s="7">
        <v>-7.7953332635763983E-3</v>
      </c>
      <c r="Y78" s="8">
        <v>-0.25583970471921957</v>
      </c>
      <c r="Z78" s="8">
        <v>5.4559625876851037E-3</v>
      </c>
      <c r="AA78" s="8">
        <v>1.233262861169848E-2</v>
      </c>
    </row>
    <row r="79" spans="2:27" x14ac:dyDescent="0.3">
      <c r="B79" s="11">
        <v>9045</v>
      </c>
      <c r="C79" s="3" t="s">
        <v>326</v>
      </c>
      <c r="D79" s="3" t="str">
        <f>VLOOKUP(B79,기업리스트!B:G,2,FALSE)</f>
        <v>Keihan Holdings Co., Ltd.</v>
      </c>
      <c r="E79" s="3" t="s">
        <v>315</v>
      </c>
      <c r="F79" s="5">
        <v>0.8</v>
      </c>
      <c r="G79" s="50">
        <v>6058</v>
      </c>
      <c r="H79" s="50">
        <v>4556</v>
      </c>
      <c r="I79" s="50">
        <v>6253</v>
      </c>
      <c r="J79" s="50">
        <v>3922</v>
      </c>
      <c r="K79" s="50">
        <v>7300</v>
      </c>
      <c r="L79" s="50">
        <v>3018</v>
      </c>
      <c r="M79" s="51">
        <v>9061</v>
      </c>
      <c r="N79" s="51">
        <v>8112</v>
      </c>
      <c r="O79" s="51">
        <v>10909</v>
      </c>
      <c r="P79" s="50">
        <v>5823</v>
      </c>
      <c r="Q79" s="51">
        <v>12714</v>
      </c>
      <c r="R79" s="50">
        <v>10044</v>
      </c>
      <c r="S79" s="50">
        <v>13803</v>
      </c>
      <c r="T79" s="50">
        <v>5511</v>
      </c>
      <c r="U79" s="50">
        <v>12961</v>
      </c>
      <c r="V79" s="50">
        <v>9159</v>
      </c>
      <c r="W79" s="50">
        <v>14131</v>
      </c>
      <c r="X79" s="7">
        <v>-7.361268403170973E-3</v>
      </c>
      <c r="Y79" s="8">
        <v>5.8708880015212461E-3</v>
      </c>
      <c r="Z79" s="8">
        <v>-2.0912592452562721E-2</v>
      </c>
      <c r="AA79" s="8">
        <v>7.9162040836029401E-3</v>
      </c>
    </row>
    <row r="80" spans="2:27" x14ac:dyDescent="0.3">
      <c r="B80" s="11">
        <v>2154</v>
      </c>
      <c r="C80" s="3" t="s">
        <v>326</v>
      </c>
      <c r="D80" s="3" t="str">
        <f>VLOOKUP(B80,기업리스트!B:G,2,FALSE)</f>
        <v>Open Up Group Inc.</v>
      </c>
      <c r="E80" s="3" t="s">
        <v>310</v>
      </c>
      <c r="F80" s="5">
        <v>0.7</v>
      </c>
      <c r="G80" s="50">
        <v>2101</v>
      </c>
      <c r="H80" s="50">
        <v>1751</v>
      </c>
      <c r="I80" s="50">
        <v>4878</v>
      </c>
      <c r="J80" s="50">
        <v>3339</v>
      </c>
      <c r="K80" s="51">
        <v>4305</v>
      </c>
      <c r="L80" s="51">
        <v>3645</v>
      </c>
      <c r="M80" s="50">
        <v>978</v>
      </c>
      <c r="N80" s="50">
        <v>3242</v>
      </c>
      <c r="O80" s="50">
        <v>4670</v>
      </c>
      <c r="P80" s="50">
        <v>3737</v>
      </c>
      <c r="Q80" s="51">
        <v>2653</v>
      </c>
      <c r="R80" s="50">
        <v>4150</v>
      </c>
      <c r="S80" s="50">
        <v>4822</v>
      </c>
      <c r="T80" s="50">
        <v>3939</v>
      </c>
      <c r="U80" s="50">
        <v>2744</v>
      </c>
      <c r="V80" s="50">
        <v>4120</v>
      </c>
      <c r="W80" s="50">
        <v>4938</v>
      </c>
      <c r="X80" s="7">
        <v>1.314932951438608E-2</v>
      </c>
      <c r="Y80" s="8">
        <v>5.846826008738093E-3</v>
      </c>
      <c r="Z80" s="8">
        <v>-1.9163206643244559E-3</v>
      </c>
      <c r="AA80" s="8">
        <v>7.4240000000000972E-3</v>
      </c>
    </row>
    <row r="81" spans="2:27" x14ac:dyDescent="0.3">
      <c r="B81" s="11">
        <v>9433</v>
      </c>
      <c r="C81" s="3" t="s">
        <v>326</v>
      </c>
      <c r="D81" s="3" t="str">
        <f>VLOOKUP(B81,기업리스트!B:G,2,FALSE)</f>
        <v>KDDI Corporation</v>
      </c>
      <c r="E81" s="3" t="s">
        <v>310</v>
      </c>
      <c r="F81" s="5">
        <v>0.5</v>
      </c>
      <c r="G81" s="50">
        <v>272448</v>
      </c>
      <c r="H81" s="50">
        <v>241447</v>
      </c>
      <c r="I81" s="50">
        <v>241447</v>
      </c>
      <c r="J81" s="50">
        <v>295830</v>
      </c>
      <c r="K81" s="50">
        <v>260404</v>
      </c>
      <c r="L81" s="50">
        <v>283778</v>
      </c>
      <c r="M81" s="50">
        <v>174192</v>
      </c>
      <c r="N81" s="50">
        <v>265546</v>
      </c>
      <c r="O81" s="50">
        <v>291486</v>
      </c>
      <c r="P81" s="50">
        <v>285243</v>
      </c>
      <c r="Q81" s="50">
        <v>92370</v>
      </c>
      <c r="R81" s="50">
        <v>272640</v>
      </c>
      <c r="S81" s="50">
        <v>286589</v>
      </c>
      <c r="T81" s="50">
        <v>281234</v>
      </c>
      <c r="U81" s="51">
        <v>250817</v>
      </c>
      <c r="V81" s="50">
        <v>263038</v>
      </c>
      <c r="W81" s="50">
        <v>292322</v>
      </c>
      <c r="X81" s="7">
        <v>-4.2792701437381897E-3</v>
      </c>
      <c r="Y81" s="9">
        <v>0.16985569764362959</v>
      </c>
      <c r="Z81" s="8">
        <v>-8.7988417271460673E-3</v>
      </c>
      <c r="AA81" s="8">
        <v>5.3000985505853304E-3</v>
      </c>
    </row>
    <row r="82" spans="2:27" x14ac:dyDescent="0.3">
      <c r="B82" s="11">
        <v>5930</v>
      </c>
      <c r="C82" s="3" t="s">
        <v>326</v>
      </c>
      <c r="D82" s="3" t="str">
        <f>VLOOKUP(B82,기업리스트!B:G,2,FALSE)</f>
        <v>Bunka Shutter Co., Ltd.</v>
      </c>
      <c r="E82" s="3" t="s">
        <v>315</v>
      </c>
      <c r="F82" s="5">
        <v>0.2</v>
      </c>
      <c r="G82" s="50">
        <v>2987</v>
      </c>
      <c r="H82" s="50">
        <v>3861</v>
      </c>
      <c r="I82" s="50">
        <v>-101</v>
      </c>
      <c r="J82" s="50">
        <v>2686</v>
      </c>
      <c r="K82" s="50">
        <v>2708</v>
      </c>
      <c r="L82" s="50">
        <v>4392</v>
      </c>
      <c r="M82" s="50">
        <v>324</v>
      </c>
      <c r="N82" s="51">
        <v>4020</v>
      </c>
      <c r="O82" s="51">
        <v>4059</v>
      </c>
      <c r="P82" s="51">
        <v>6070</v>
      </c>
      <c r="Q82" s="50">
        <v>433</v>
      </c>
      <c r="R82" s="50">
        <v>3458</v>
      </c>
      <c r="S82" s="50">
        <v>4284</v>
      </c>
      <c r="T82" s="50">
        <v>6552</v>
      </c>
      <c r="U82" s="50">
        <v>293</v>
      </c>
      <c r="V82" s="50">
        <v>3571</v>
      </c>
      <c r="W82" s="50">
        <v>4314</v>
      </c>
      <c r="X82" s="7">
        <v>3.3836433836433873E-2</v>
      </c>
      <c r="Y82" s="8">
        <v>-9.5063488830040566E-3</v>
      </c>
      <c r="Z82" s="8">
        <v>7.7466237060397347E-3</v>
      </c>
      <c r="AA82" s="8">
        <v>2.0408163265306371E-3</v>
      </c>
    </row>
    <row r="83" spans="2:27" x14ac:dyDescent="0.3">
      <c r="B83" s="11">
        <v>6371</v>
      </c>
      <c r="C83" s="3" t="s">
        <v>326</v>
      </c>
      <c r="D83" s="3" t="str">
        <f>VLOOKUP(B83,기업리스트!B:G,2,FALSE)</f>
        <v>Tsubakimoto Chain Co.</v>
      </c>
      <c r="E83" s="3" t="s">
        <v>315</v>
      </c>
      <c r="F83" s="5">
        <v>0.1</v>
      </c>
      <c r="G83" s="50">
        <v>4820</v>
      </c>
      <c r="H83" s="50">
        <v>4838</v>
      </c>
      <c r="I83" s="50">
        <v>4330</v>
      </c>
      <c r="J83" s="50">
        <v>4046</v>
      </c>
      <c r="K83" s="50">
        <v>5417</v>
      </c>
      <c r="L83" s="50">
        <v>5193</v>
      </c>
      <c r="M83" s="50">
        <v>3879</v>
      </c>
      <c r="N83" s="50">
        <v>4743</v>
      </c>
      <c r="O83" s="50">
        <v>5728</v>
      </c>
      <c r="P83" s="50">
        <v>6913</v>
      </c>
      <c r="Q83" s="50">
        <v>4090</v>
      </c>
      <c r="R83" s="50">
        <v>5371</v>
      </c>
      <c r="S83" s="50">
        <v>6403</v>
      </c>
      <c r="T83" s="50">
        <v>6991</v>
      </c>
      <c r="U83" s="50">
        <v>3281</v>
      </c>
      <c r="V83" s="50">
        <v>5021</v>
      </c>
      <c r="W83" s="50">
        <v>6432</v>
      </c>
      <c r="X83" s="7">
        <v>3.4245071782939012E-3</v>
      </c>
      <c r="Y83" s="8">
        <v>-3.5397068475169553E-2</v>
      </c>
      <c r="Z83" s="8">
        <v>-1.587589585412319E-2</v>
      </c>
      <c r="AA83" s="8">
        <v>1.3366519174040641E-3</v>
      </c>
    </row>
    <row r="84" spans="2:27" x14ac:dyDescent="0.3">
      <c r="B84" s="11">
        <v>7203</v>
      </c>
      <c r="C84" s="3" t="s">
        <v>326</v>
      </c>
      <c r="D84" s="3" t="str">
        <f>VLOOKUP(B84,기업리스트!B:G,2,FALSE)</f>
        <v>Toyota Motor Corporation</v>
      </c>
      <c r="E84" s="3" t="s">
        <v>315</v>
      </c>
      <c r="F84" s="5">
        <v>-0.6</v>
      </c>
      <c r="G84" s="50">
        <v>784371</v>
      </c>
      <c r="H84" s="50">
        <v>463861</v>
      </c>
      <c r="I84" s="50">
        <v>578655</v>
      </c>
      <c r="J84" s="50">
        <v>562789</v>
      </c>
      <c r="K84" s="50">
        <v>956652</v>
      </c>
      <c r="L84" s="50">
        <v>621918</v>
      </c>
      <c r="M84" s="51">
        <v>1120901</v>
      </c>
      <c r="N84" s="51">
        <v>1438393</v>
      </c>
      <c r="O84" s="51">
        <v>1680943</v>
      </c>
      <c r="P84" s="51">
        <v>1114460</v>
      </c>
      <c r="Q84" s="50">
        <v>1308461</v>
      </c>
      <c r="R84" s="50">
        <v>1155756</v>
      </c>
      <c r="S84" s="50">
        <v>1215274</v>
      </c>
      <c r="T84" s="50">
        <v>1105786</v>
      </c>
      <c r="U84" s="50">
        <v>1166141</v>
      </c>
      <c r="V84" s="50">
        <v>839551</v>
      </c>
      <c r="W84" s="50">
        <v>1191029</v>
      </c>
      <c r="X84" s="7">
        <v>-1.8093635083045181E-3</v>
      </c>
      <c r="Y84" s="8">
        <v>-2.9741225011634679E-2</v>
      </c>
      <c r="Z84" s="8">
        <v>-6.8104227542921447E-2</v>
      </c>
      <c r="AA84" s="8">
        <v>-5.6035104392394564E-3</v>
      </c>
    </row>
    <row r="85" spans="2:27" x14ac:dyDescent="0.3">
      <c r="B85" s="11">
        <v>6315</v>
      </c>
      <c r="C85" s="3" t="s">
        <v>326</v>
      </c>
      <c r="D85" s="3" t="str">
        <f>VLOOKUP(B85,기업리스트!B:G,2,FALSE)</f>
        <v>TOWA Corporation</v>
      </c>
      <c r="E85" s="3" t="s">
        <v>315</v>
      </c>
      <c r="F85" s="5">
        <v>-0.7</v>
      </c>
      <c r="G85" s="50">
        <v>3376</v>
      </c>
      <c r="H85" s="50">
        <v>2427</v>
      </c>
      <c r="I85" s="50">
        <v>2853</v>
      </c>
      <c r="J85" s="50">
        <v>2996</v>
      </c>
      <c r="K85" s="50">
        <v>1642</v>
      </c>
      <c r="L85" s="50">
        <v>2517</v>
      </c>
      <c r="M85" s="50">
        <v>914</v>
      </c>
      <c r="N85" s="50">
        <v>1460</v>
      </c>
      <c r="O85" s="50">
        <v>1701</v>
      </c>
      <c r="P85" s="51">
        <v>4557</v>
      </c>
      <c r="Q85" s="51">
        <v>2205</v>
      </c>
      <c r="R85" s="51">
        <v>3056</v>
      </c>
      <c r="S85" s="50">
        <v>1235</v>
      </c>
      <c r="T85" s="50">
        <v>2351</v>
      </c>
      <c r="U85" s="50">
        <v>-581.39</v>
      </c>
      <c r="V85" s="50">
        <v>3074</v>
      </c>
      <c r="W85" s="50">
        <v>1193</v>
      </c>
      <c r="X85" s="7">
        <v>-0.19958382339636291</v>
      </c>
      <c r="Y85" s="8">
        <v>-0.3149530914434272</v>
      </c>
      <c r="Z85" s="8">
        <v>2.9699980695012669E-3</v>
      </c>
      <c r="AA85" s="8">
        <v>-6.9094743699629202E-3</v>
      </c>
    </row>
    <row r="86" spans="2:27" x14ac:dyDescent="0.3">
      <c r="B86" s="11">
        <v>2702</v>
      </c>
      <c r="C86" s="3" t="s">
        <v>326</v>
      </c>
      <c r="D86" s="3" t="str">
        <f>VLOOKUP(B86,기업리스트!B:G,2,FALSE)</f>
        <v>McDonald's Holdings Company (Japan), Ltd.</v>
      </c>
      <c r="E86" s="3" t="s">
        <v>304</v>
      </c>
      <c r="F86" s="5">
        <v>-1</v>
      </c>
      <c r="G86" s="50">
        <v>5972</v>
      </c>
      <c r="H86" s="50">
        <v>9645</v>
      </c>
      <c r="I86" s="50">
        <v>7834</v>
      </c>
      <c r="J86" s="50">
        <v>8164</v>
      </c>
      <c r="K86" s="50">
        <v>8164</v>
      </c>
      <c r="L86" s="50">
        <v>8377</v>
      </c>
      <c r="M86" s="50">
        <v>9628</v>
      </c>
      <c r="N86" s="51">
        <v>14360</v>
      </c>
      <c r="O86" s="50">
        <v>8499</v>
      </c>
      <c r="P86" s="50">
        <v>11259</v>
      </c>
      <c r="Q86" s="50">
        <v>12490</v>
      </c>
      <c r="R86" s="50">
        <v>13408</v>
      </c>
      <c r="S86" s="50">
        <v>10883</v>
      </c>
      <c r="T86" s="50">
        <v>11947</v>
      </c>
      <c r="U86" s="50">
        <v>14277</v>
      </c>
      <c r="V86" s="50">
        <v>16679</v>
      </c>
      <c r="W86" s="50">
        <v>10357</v>
      </c>
      <c r="X86" s="7">
        <v>1.432139883430472E-2</v>
      </c>
      <c r="Y86" s="8">
        <v>3.6672960105073038E-2</v>
      </c>
      <c r="Z86" s="8">
        <v>6.475304365040091E-2</v>
      </c>
      <c r="AA86" s="8">
        <v>-9.7794965232588238E-3</v>
      </c>
    </row>
    <row r="87" spans="2:27" x14ac:dyDescent="0.3">
      <c r="B87" s="11">
        <v>8214</v>
      </c>
      <c r="C87" s="3" t="s">
        <v>326</v>
      </c>
      <c r="D87" s="3" t="str">
        <f>VLOOKUP(B87,기업리스트!B:G,2,FALSE)</f>
        <v>AOKI Holdings Inc.</v>
      </c>
      <c r="E87" s="3" t="s">
        <v>315</v>
      </c>
      <c r="F87" s="5">
        <v>-1.1000000000000001</v>
      </c>
      <c r="G87" s="50">
        <v>1359</v>
      </c>
      <c r="H87" s="50">
        <v>7179</v>
      </c>
      <c r="I87" s="50">
        <v>1548</v>
      </c>
      <c r="J87" s="50">
        <v>470</v>
      </c>
      <c r="K87" s="50">
        <v>2382</v>
      </c>
      <c r="L87" s="50">
        <v>5836</v>
      </c>
      <c r="M87" s="50">
        <v>2279</v>
      </c>
      <c r="N87" s="50">
        <v>1520</v>
      </c>
      <c r="O87" s="50">
        <v>3098</v>
      </c>
      <c r="P87" s="50">
        <v>6964</v>
      </c>
      <c r="Q87" s="50">
        <v>2355</v>
      </c>
      <c r="R87" s="50">
        <v>1817</v>
      </c>
      <c r="S87" s="50">
        <v>3344</v>
      </c>
      <c r="T87" s="50">
        <v>8131</v>
      </c>
      <c r="U87" s="50">
        <v>2357</v>
      </c>
      <c r="V87" s="50">
        <v>1581</v>
      </c>
      <c r="W87" s="50">
        <v>3168</v>
      </c>
      <c r="X87" s="7">
        <v>8.0593922651933658E-2</v>
      </c>
      <c r="Y87" s="8">
        <v>1.2782002939859541E-4</v>
      </c>
      <c r="Z87" s="8">
        <v>-1.508083583615571E-2</v>
      </c>
      <c r="AA87" s="8">
        <v>-1.141893207033029E-2</v>
      </c>
    </row>
    <row r="88" spans="2:27" x14ac:dyDescent="0.3">
      <c r="B88" s="11">
        <v>4665</v>
      </c>
      <c r="C88" s="3" t="s">
        <v>326</v>
      </c>
      <c r="D88" s="3" t="str">
        <f>VLOOKUP(B88,기업리스트!B:G,2,FALSE)</f>
        <v>Duskin Co., Ltd.</v>
      </c>
      <c r="E88" s="3" t="s">
        <v>315</v>
      </c>
      <c r="F88" s="5">
        <v>-1.2</v>
      </c>
      <c r="G88" s="50">
        <v>3963</v>
      </c>
      <c r="H88" s="50">
        <v>-412</v>
      </c>
      <c r="I88" s="50">
        <v>2675</v>
      </c>
      <c r="J88" s="50">
        <v>2626</v>
      </c>
      <c r="K88" s="50">
        <v>3720</v>
      </c>
      <c r="L88" s="50">
        <v>-383</v>
      </c>
      <c r="M88" s="50">
        <v>1990</v>
      </c>
      <c r="N88" s="50">
        <v>928</v>
      </c>
      <c r="O88" s="50">
        <v>1987</v>
      </c>
      <c r="P88" s="51">
        <v>148</v>
      </c>
      <c r="Q88" s="50">
        <v>1847</v>
      </c>
      <c r="R88" s="51">
        <v>2077</v>
      </c>
      <c r="S88" s="51">
        <v>2984</v>
      </c>
      <c r="T88" s="50">
        <v>362</v>
      </c>
      <c r="U88" s="50">
        <v>2096</v>
      </c>
      <c r="V88" s="50">
        <v>2596</v>
      </c>
      <c r="W88" s="50">
        <v>2884</v>
      </c>
      <c r="X88" s="7">
        <v>3.032879818594103E-2</v>
      </c>
      <c r="Y88" s="8">
        <v>3.4250343878954537E-2</v>
      </c>
      <c r="Z88" s="8">
        <v>6.9025136321319236E-2</v>
      </c>
      <c r="AA88" s="8">
        <v>-1.2440905697934769E-2</v>
      </c>
    </row>
    <row r="89" spans="2:27" x14ac:dyDescent="0.3">
      <c r="B89" s="11">
        <v>9072</v>
      </c>
      <c r="C89" s="3" t="s">
        <v>326</v>
      </c>
      <c r="D89" s="3" t="str">
        <f>VLOOKUP(B89,기업리스트!B:G,2,FALSE)</f>
        <v>NIKKON Holdings Co.,Ltd.</v>
      </c>
      <c r="E89" s="3" t="s">
        <v>315</v>
      </c>
      <c r="F89" s="5">
        <v>-1.4</v>
      </c>
      <c r="G89" s="50">
        <v>5340</v>
      </c>
      <c r="H89" s="50">
        <v>4911</v>
      </c>
      <c r="I89" s="50">
        <v>3862</v>
      </c>
      <c r="J89" s="50">
        <v>5034</v>
      </c>
      <c r="K89" s="50">
        <v>5583</v>
      </c>
      <c r="L89" s="50">
        <v>5102</v>
      </c>
      <c r="M89" s="50">
        <v>5172</v>
      </c>
      <c r="N89" s="50">
        <v>5148</v>
      </c>
      <c r="O89" s="50">
        <v>5678</v>
      </c>
      <c r="P89" s="50">
        <v>5238</v>
      </c>
      <c r="Q89" s="50">
        <v>5058</v>
      </c>
      <c r="R89" s="50">
        <v>6335</v>
      </c>
      <c r="S89" s="50">
        <v>6930</v>
      </c>
      <c r="T89" s="50">
        <v>5111</v>
      </c>
      <c r="U89" s="50">
        <v>5016</v>
      </c>
      <c r="V89" s="50">
        <v>5757</v>
      </c>
      <c r="W89" s="50">
        <v>6616</v>
      </c>
      <c r="X89" s="7">
        <v>-5.3902635711556854E-3</v>
      </c>
      <c r="Y89" s="8">
        <v>-1.792267645301715E-3</v>
      </c>
      <c r="Z89" s="8">
        <v>-2.4709302325581439E-2</v>
      </c>
      <c r="AA89" s="8">
        <v>-1.376347856579296E-2</v>
      </c>
    </row>
    <row r="90" spans="2:27" x14ac:dyDescent="0.3">
      <c r="B90" s="11">
        <v>8566</v>
      </c>
      <c r="C90" s="3" t="s">
        <v>326</v>
      </c>
      <c r="D90" s="3" t="str">
        <f>VLOOKUP(B90,기업리스트!B:G,2,FALSE)</f>
        <v>Ricoh Leasing Company, Ltd.</v>
      </c>
      <c r="E90" s="3" t="s">
        <v>315</v>
      </c>
      <c r="F90" s="5">
        <v>-1.8</v>
      </c>
      <c r="G90" s="50">
        <v>5580</v>
      </c>
      <c r="H90" s="50">
        <v>2123</v>
      </c>
      <c r="I90" s="50">
        <v>6838</v>
      </c>
      <c r="J90" s="50">
        <v>5322</v>
      </c>
      <c r="K90" s="50">
        <v>5462</v>
      </c>
      <c r="L90" s="50">
        <v>3620</v>
      </c>
      <c r="M90" s="50">
        <v>5265</v>
      </c>
      <c r="N90" s="50">
        <v>6189</v>
      </c>
      <c r="O90" s="50">
        <v>5563</v>
      </c>
      <c r="P90" s="50">
        <v>3993</v>
      </c>
      <c r="Q90" s="50">
        <v>5101</v>
      </c>
      <c r="R90" s="50">
        <v>6302</v>
      </c>
      <c r="S90" s="50">
        <v>5730</v>
      </c>
      <c r="T90" s="50">
        <v>4598</v>
      </c>
      <c r="U90" s="50">
        <v>4927</v>
      </c>
      <c r="V90" s="50">
        <v>6180</v>
      </c>
      <c r="W90" s="50">
        <v>5340</v>
      </c>
      <c r="X90" s="7">
        <v>2.8637697623781211E-2</v>
      </c>
      <c r="Y90" s="8">
        <v>-8.006994615986418E-3</v>
      </c>
      <c r="Z90" s="8">
        <v>-5.6594145753119376E-3</v>
      </c>
      <c r="AA90" s="8">
        <v>-1.819454163750878E-2</v>
      </c>
    </row>
    <row r="91" spans="2:27" x14ac:dyDescent="0.3">
      <c r="B91" s="11">
        <v>7220</v>
      </c>
      <c r="C91" s="3" t="s">
        <v>326</v>
      </c>
      <c r="D91" s="3" t="str">
        <f>VLOOKUP(B91,기업리스트!B:G,2,FALSE)</f>
        <v>Musashi Seimitsu Industry Co., Ltd.</v>
      </c>
      <c r="E91" s="3" t="s">
        <v>315</v>
      </c>
      <c r="F91" s="5">
        <v>-2.7</v>
      </c>
      <c r="G91" s="50">
        <v>814</v>
      </c>
      <c r="H91" s="50">
        <v>5266</v>
      </c>
      <c r="I91" s="50">
        <v>-1185</v>
      </c>
      <c r="J91" s="50">
        <v>2643</v>
      </c>
      <c r="K91" s="51">
        <v>1591</v>
      </c>
      <c r="L91" s="50">
        <v>4479</v>
      </c>
      <c r="M91" s="51">
        <v>2304</v>
      </c>
      <c r="N91" s="51">
        <v>4405</v>
      </c>
      <c r="O91" s="51">
        <v>4818</v>
      </c>
      <c r="P91" s="51">
        <v>6456</v>
      </c>
      <c r="Q91" s="50">
        <v>3985</v>
      </c>
      <c r="R91" s="50">
        <v>3856</v>
      </c>
      <c r="S91" s="50">
        <v>4217</v>
      </c>
      <c r="T91" s="50">
        <v>7539</v>
      </c>
      <c r="U91" s="50">
        <v>3580</v>
      </c>
      <c r="V91" s="50">
        <v>4521</v>
      </c>
      <c r="W91" s="50">
        <v>3671</v>
      </c>
      <c r="X91" s="7">
        <v>5.849627309063421E-2</v>
      </c>
      <c r="Y91" s="8">
        <v>-2.0666428534979801E-2</v>
      </c>
      <c r="Z91" s="8">
        <v>3.4649854105877509E-2</v>
      </c>
      <c r="AA91" s="8">
        <v>-2.7496600694969061E-2</v>
      </c>
    </row>
    <row r="92" spans="2:27" x14ac:dyDescent="0.3">
      <c r="B92" s="11">
        <v>4958</v>
      </c>
      <c r="C92" s="3" t="s">
        <v>326</v>
      </c>
      <c r="D92" s="3" t="str">
        <f>VLOOKUP(B92,기업리스트!B:G,2,FALSE)</f>
        <v>T. Hasegawa Co., Ltd.</v>
      </c>
      <c r="E92" s="3" t="s">
        <v>313</v>
      </c>
      <c r="F92" s="5">
        <v>-3.9</v>
      </c>
      <c r="G92" s="50">
        <v>1616</v>
      </c>
      <c r="H92" s="50">
        <v>2208</v>
      </c>
      <c r="I92" s="50">
        <v>2409</v>
      </c>
      <c r="J92" s="50">
        <v>1819</v>
      </c>
      <c r="K92" s="50">
        <v>1533</v>
      </c>
      <c r="L92" s="50">
        <v>2053</v>
      </c>
      <c r="M92" s="50">
        <v>2360</v>
      </c>
      <c r="N92" s="50">
        <v>1562</v>
      </c>
      <c r="O92" s="50">
        <v>1829</v>
      </c>
      <c r="P92" s="50">
        <v>2467</v>
      </c>
      <c r="Q92" s="51">
        <v>3198</v>
      </c>
      <c r="R92" s="50">
        <v>1836</v>
      </c>
      <c r="S92" s="50">
        <v>1902</v>
      </c>
      <c r="T92" s="50">
        <v>2617</v>
      </c>
      <c r="U92" s="50">
        <v>2730</v>
      </c>
      <c r="V92" s="50">
        <v>1267</v>
      </c>
      <c r="W92" s="50">
        <v>1570</v>
      </c>
      <c r="X92" s="7">
        <v>1.5952355631181581E-2</v>
      </c>
      <c r="Y92" s="8">
        <v>-4.8989846121637148E-2</v>
      </c>
      <c r="Z92" s="8">
        <v>-6.2630709961474906E-2</v>
      </c>
      <c r="AA92" s="8">
        <v>-3.8985439173320757E-2</v>
      </c>
    </row>
    <row r="93" spans="2:27" x14ac:dyDescent="0.3">
      <c r="B93" s="11">
        <v>8439</v>
      </c>
      <c r="C93" s="3" t="s">
        <v>326</v>
      </c>
      <c r="D93" s="3" t="str">
        <f>VLOOKUP(B93,기업리스트!B:G,2,FALSE)</f>
        <v>Tokyo Century Corporation</v>
      </c>
      <c r="E93" s="3" t="s">
        <v>315</v>
      </c>
      <c r="F93" s="5">
        <v>-4</v>
      </c>
      <c r="G93" s="50">
        <v>16034</v>
      </c>
      <c r="H93" s="50">
        <v>16844</v>
      </c>
      <c r="I93" s="50">
        <v>26932</v>
      </c>
      <c r="J93" s="50">
        <v>22425</v>
      </c>
      <c r="K93" s="50">
        <v>19721</v>
      </c>
      <c r="L93" s="50">
        <v>22144</v>
      </c>
      <c r="M93" s="50">
        <v>28250</v>
      </c>
      <c r="N93" s="50">
        <v>24844</v>
      </c>
      <c r="O93" s="50">
        <v>28722</v>
      </c>
      <c r="P93" s="50">
        <v>22411</v>
      </c>
      <c r="Q93" s="50">
        <v>34458</v>
      </c>
      <c r="R93" s="50">
        <v>21840</v>
      </c>
      <c r="S93" s="50">
        <v>34159</v>
      </c>
      <c r="T93" s="50">
        <v>26604</v>
      </c>
      <c r="U93" s="50">
        <v>35313</v>
      </c>
      <c r="V93" s="51">
        <v>37207</v>
      </c>
      <c r="W93" s="50">
        <v>28873</v>
      </c>
      <c r="X93" s="7">
        <v>3.7149590672289852E-2</v>
      </c>
      <c r="Y93" s="8">
        <v>7.3038842996386846E-3</v>
      </c>
      <c r="Z93" s="9">
        <v>0.13032158485701689</v>
      </c>
      <c r="AA93" s="8">
        <v>-3.9659971639293801E-2</v>
      </c>
    </row>
    <row r="94" spans="2:27" x14ac:dyDescent="0.3">
      <c r="B94" s="11">
        <v>9143</v>
      </c>
      <c r="C94" s="3" t="s">
        <v>326</v>
      </c>
      <c r="D94" s="3" t="str">
        <f>VLOOKUP(B94,기업리스트!B:G,2,FALSE)</f>
        <v>SG Holdings Co.,Ltd.</v>
      </c>
      <c r="E94" s="3" t="s">
        <v>315</v>
      </c>
      <c r="F94" s="5">
        <v>-4.0999999999999996</v>
      </c>
      <c r="G94" s="50">
        <v>55973</v>
      </c>
      <c r="H94" s="50">
        <v>40885</v>
      </c>
      <c r="I94" s="50">
        <v>33281</v>
      </c>
      <c r="J94" s="50">
        <v>30865</v>
      </c>
      <c r="K94" s="50">
        <v>42444</v>
      </c>
      <c r="L94" s="50">
        <v>28686</v>
      </c>
      <c r="M94" s="50">
        <v>18833</v>
      </c>
      <c r="N94" s="50">
        <v>19834</v>
      </c>
      <c r="O94" s="50">
        <v>33008</v>
      </c>
      <c r="P94" s="50">
        <v>17530</v>
      </c>
      <c r="Q94" s="50">
        <v>19505</v>
      </c>
      <c r="R94" s="50">
        <v>19623</v>
      </c>
      <c r="S94" s="50">
        <v>37528</v>
      </c>
      <c r="T94" s="50">
        <v>11192</v>
      </c>
      <c r="U94" s="50">
        <v>17455</v>
      </c>
      <c r="V94" s="50">
        <v>21092</v>
      </c>
      <c r="W94" s="50">
        <v>33988</v>
      </c>
      <c r="X94" s="7">
        <v>-6.7292378909816764E-2</v>
      </c>
      <c r="Y94" s="8">
        <v>-2.3335761770330591E-2</v>
      </c>
      <c r="Z94" s="8">
        <v>1.7121611226369019E-2</v>
      </c>
      <c r="AA94" s="8">
        <v>-4.0565162088762041E-2</v>
      </c>
    </row>
    <row r="95" spans="2:27" x14ac:dyDescent="0.3">
      <c r="B95" s="11">
        <v>3360</v>
      </c>
      <c r="C95" s="3" t="s">
        <v>326</v>
      </c>
      <c r="D95" s="3" t="str">
        <f>VLOOKUP(B95,기업리스트!B:G,2,FALSE)</f>
        <v>Ship Healthcare Holdings, Inc.</v>
      </c>
      <c r="E95" s="3" t="s">
        <v>315</v>
      </c>
      <c r="F95" s="5">
        <v>-4.0999999999999996</v>
      </c>
      <c r="G95" s="50">
        <v>4761</v>
      </c>
      <c r="H95" s="50">
        <v>8382</v>
      </c>
      <c r="I95" s="50">
        <v>2834</v>
      </c>
      <c r="J95" s="50">
        <v>5144</v>
      </c>
      <c r="K95" s="50">
        <v>5448</v>
      </c>
      <c r="L95" s="50">
        <v>7731</v>
      </c>
      <c r="M95" s="50">
        <v>3842</v>
      </c>
      <c r="N95" s="50">
        <v>5397</v>
      </c>
      <c r="O95" s="50">
        <v>5891</v>
      </c>
      <c r="P95" s="50">
        <v>9313</v>
      </c>
      <c r="Q95" s="50">
        <v>3503</v>
      </c>
      <c r="R95" s="50">
        <v>4241</v>
      </c>
      <c r="S95" s="50">
        <v>7378</v>
      </c>
      <c r="T95" s="50">
        <v>11269</v>
      </c>
      <c r="U95" s="50">
        <v>2954</v>
      </c>
      <c r="V95" s="50">
        <v>5226</v>
      </c>
      <c r="W95" s="50">
        <v>6272</v>
      </c>
      <c r="X95" s="7">
        <v>8.0049109883364E-2</v>
      </c>
      <c r="Y95" s="8">
        <v>-2.0802546322610031E-2</v>
      </c>
      <c r="Z95" s="8">
        <v>3.8116244872687943E-2</v>
      </c>
      <c r="AA95" s="8">
        <v>-4.122712192939948E-2</v>
      </c>
    </row>
    <row r="96" spans="2:27" x14ac:dyDescent="0.3">
      <c r="B96" s="11">
        <v>8283</v>
      </c>
      <c r="C96" s="3" t="s">
        <v>326</v>
      </c>
      <c r="D96" s="3" t="str">
        <f>VLOOKUP(B96,기업리스트!B:G,2,FALSE)</f>
        <v>Paltac Corporation</v>
      </c>
      <c r="E96" s="3" t="s">
        <v>310</v>
      </c>
      <c r="F96" s="5">
        <v>-4.3</v>
      </c>
      <c r="G96" s="50">
        <v>989.5</v>
      </c>
      <c r="H96" s="50">
        <v>994</v>
      </c>
      <c r="I96" s="50">
        <v>994</v>
      </c>
      <c r="J96" s="50">
        <v>0</v>
      </c>
      <c r="K96" s="50">
        <v>0</v>
      </c>
      <c r="L96" s="50">
        <v>0</v>
      </c>
      <c r="M96" s="50">
        <v>0</v>
      </c>
      <c r="N96" s="50">
        <v>0</v>
      </c>
      <c r="O96" s="50">
        <v>0</v>
      </c>
      <c r="P96" s="50">
        <v>6515</v>
      </c>
      <c r="Q96" s="51">
        <v>6515</v>
      </c>
      <c r="R96" s="51">
        <v>5197</v>
      </c>
      <c r="S96" s="51">
        <v>7423</v>
      </c>
      <c r="T96" s="50">
        <v>6537</v>
      </c>
      <c r="U96" s="50">
        <v>5562</v>
      </c>
      <c r="V96" s="50">
        <v>7616</v>
      </c>
      <c r="W96" s="50">
        <v>6263</v>
      </c>
      <c r="X96" s="7">
        <v>8.5769980506822385E-4</v>
      </c>
      <c r="Y96" s="8">
        <v>-3.7122156435026477E-2</v>
      </c>
      <c r="Z96" s="8">
        <v>9.7859945790687242E-2</v>
      </c>
      <c r="AA96" s="8">
        <v>-4.2744491119463428E-2</v>
      </c>
    </row>
    <row r="97" spans="2:27" x14ac:dyDescent="0.3">
      <c r="B97" s="11">
        <v>8418</v>
      </c>
      <c r="C97" s="3" t="s">
        <v>326</v>
      </c>
      <c r="D97" s="3" t="str">
        <f>VLOOKUP(B97,기업리스트!B:G,2,FALSE)</f>
        <v>Yamaguchi Financial Group, Inc.</v>
      </c>
      <c r="E97" s="3" t="s">
        <v>315</v>
      </c>
      <c r="F97" s="5">
        <v>-5</v>
      </c>
      <c r="G97" s="50">
        <v>12468</v>
      </c>
      <c r="H97" s="50">
        <v>-38561</v>
      </c>
      <c r="I97" s="50">
        <v>10578</v>
      </c>
      <c r="J97" s="50">
        <v>5925</v>
      </c>
      <c r="K97" s="51">
        <v>9600</v>
      </c>
      <c r="L97" s="50">
        <v>582</v>
      </c>
      <c r="M97" s="50">
        <v>12535</v>
      </c>
      <c r="N97" s="50">
        <v>7294</v>
      </c>
      <c r="O97" s="50">
        <v>12161</v>
      </c>
      <c r="P97" s="51">
        <v>5219</v>
      </c>
      <c r="Q97" s="51">
        <v>16268</v>
      </c>
      <c r="R97" s="50">
        <v>8715</v>
      </c>
      <c r="S97" s="50">
        <v>13495</v>
      </c>
      <c r="T97" s="51">
        <v>13721</v>
      </c>
      <c r="U97" s="50">
        <v>13454</v>
      </c>
      <c r="V97" s="51">
        <v>15841</v>
      </c>
      <c r="W97" s="50">
        <v>10647</v>
      </c>
      <c r="X97" s="10">
        <v>0.19456713275510909</v>
      </c>
      <c r="Y97" s="8">
        <v>-5.3909078717983117E-2</v>
      </c>
      <c r="Z97" s="9">
        <v>0.1442948263642807</v>
      </c>
      <c r="AA97" s="8">
        <v>-5.039726778857212E-2</v>
      </c>
    </row>
    <row r="98" spans="2:27" x14ac:dyDescent="0.3">
      <c r="B98" s="11">
        <v>6875</v>
      </c>
      <c r="C98" s="3" t="s">
        <v>326</v>
      </c>
      <c r="D98" s="3" t="str">
        <f>VLOOKUP(B98,기업리스트!B:G,2,FALSE)</f>
        <v>MegaChips Corporation</v>
      </c>
      <c r="E98" s="3" t="s">
        <v>315</v>
      </c>
      <c r="F98" s="5">
        <v>-5.5</v>
      </c>
      <c r="G98" s="50">
        <v>1750</v>
      </c>
      <c r="H98" s="50">
        <v>1168</v>
      </c>
      <c r="I98" s="50">
        <v>1116</v>
      </c>
      <c r="J98" s="50">
        <v>2452</v>
      </c>
      <c r="K98" s="50">
        <v>1974</v>
      </c>
      <c r="L98" s="50">
        <v>488</v>
      </c>
      <c r="M98" s="50">
        <v>1586</v>
      </c>
      <c r="N98" s="50">
        <v>2137</v>
      </c>
      <c r="O98" s="50">
        <v>734</v>
      </c>
      <c r="P98" s="51">
        <v>1026</v>
      </c>
      <c r="Q98" s="50">
        <v>875</v>
      </c>
      <c r="R98" s="50">
        <v>905</v>
      </c>
      <c r="S98" s="50">
        <v>191.58</v>
      </c>
      <c r="T98" s="50">
        <v>218.81</v>
      </c>
      <c r="U98" s="50">
        <v>-389.75</v>
      </c>
      <c r="V98" s="51">
        <v>1419</v>
      </c>
      <c r="W98" s="50">
        <v>113</v>
      </c>
      <c r="X98" s="7">
        <v>-0.26928055297940351</v>
      </c>
      <c r="Y98" s="8">
        <v>-0.57740858933797168</v>
      </c>
      <c r="Z98" s="9">
        <v>0.55529147400717349</v>
      </c>
      <c r="AA98" s="8">
        <v>-5.4583090216998809E-2</v>
      </c>
    </row>
    <row r="99" spans="2:27" x14ac:dyDescent="0.3">
      <c r="B99" s="11">
        <v>5602</v>
      </c>
      <c r="C99" s="3" t="s">
        <v>326</v>
      </c>
      <c r="D99" s="3" t="str">
        <f>VLOOKUP(B99,기업리스트!B:G,2,FALSE)</f>
        <v>Kurimoto,Ltd.</v>
      </c>
      <c r="E99" s="3" t="s">
        <v>315</v>
      </c>
      <c r="F99" s="5">
        <v>-6.8</v>
      </c>
      <c r="G99" s="50">
        <v>2166</v>
      </c>
      <c r="H99" s="50">
        <v>1719</v>
      </c>
      <c r="I99" s="50">
        <v>773</v>
      </c>
      <c r="J99" s="50">
        <v>1505</v>
      </c>
      <c r="K99" s="51">
        <v>3226</v>
      </c>
      <c r="L99" s="50">
        <v>1174</v>
      </c>
      <c r="M99" s="50">
        <v>1237</v>
      </c>
      <c r="N99" s="51">
        <v>2457</v>
      </c>
      <c r="O99" s="50">
        <v>3207</v>
      </c>
      <c r="P99" s="50">
        <v>561</v>
      </c>
      <c r="Q99" s="50">
        <v>954</v>
      </c>
      <c r="R99" s="50">
        <v>2014</v>
      </c>
      <c r="S99" s="50">
        <v>3019</v>
      </c>
      <c r="T99" s="51">
        <v>1944</v>
      </c>
      <c r="U99" s="50">
        <v>1100</v>
      </c>
      <c r="V99" s="50">
        <v>2086</v>
      </c>
      <c r="W99" s="50">
        <v>2461</v>
      </c>
      <c r="X99" s="10">
        <v>0.21120952962736711</v>
      </c>
      <c r="Y99" s="8">
        <v>1.840877569032906E-2</v>
      </c>
      <c r="Z99" s="8">
        <v>8.9142008171350096E-3</v>
      </c>
      <c r="AA99" s="8">
        <v>-6.8474659467419263E-2</v>
      </c>
    </row>
    <row r="100" spans="2:27" x14ac:dyDescent="0.3">
      <c r="B100" s="11">
        <v>1882</v>
      </c>
      <c r="C100" s="3" t="s">
        <v>326</v>
      </c>
      <c r="D100" s="3" t="str">
        <f>VLOOKUP(B100,기업리스트!B:G,2,FALSE)</f>
        <v>Toa Road Corporation</v>
      </c>
      <c r="E100" s="3" t="s">
        <v>315</v>
      </c>
      <c r="F100" s="5">
        <v>-6.8</v>
      </c>
      <c r="G100" s="50">
        <v>1968</v>
      </c>
      <c r="H100" s="50">
        <v>2639</v>
      </c>
      <c r="I100" s="50">
        <v>-1178</v>
      </c>
      <c r="J100" s="50">
        <v>1130</v>
      </c>
      <c r="K100" s="50">
        <v>1619</v>
      </c>
      <c r="L100" s="51">
        <v>3165</v>
      </c>
      <c r="M100" s="50">
        <v>-709</v>
      </c>
      <c r="N100" s="50">
        <v>1343</v>
      </c>
      <c r="O100" s="50">
        <v>1673</v>
      </c>
      <c r="P100" s="50">
        <v>3203</v>
      </c>
      <c r="Q100" s="50">
        <v>-800</v>
      </c>
      <c r="R100" s="50">
        <v>973</v>
      </c>
      <c r="S100" s="51">
        <v>2833</v>
      </c>
      <c r="T100" s="50">
        <v>2027</v>
      </c>
      <c r="U100" s="50">
        <v>-384</v>
      </c>
      <c r="V100" s="50">
        <v>791</v>
      </c>
      <c r="W100" s="50">
        <v>2476</v>
      </c>
      <c r="X100" s="7">
        <v>-0.18940248027057491</v>
      </c>
      <c r="Y100" s="8">
        <v>8.2654480429167565E-2</v>
      </c>
      <c r="Z100" s="8">
        <v>-3.3400623967700493E-2</v>
      </c>
      <c r="AA100" s="8">
        <v>-6.7780520220239171E-2</v>
      </c>
    </row>
    <row r="101" spans="2:27" x14ac:dyDescent="0.3">
      <c r="B101" s="11">
        <v>3289</v>
      </c>
      <c r="C101" s="3" t="s">
        <v>326</v>
      </c>
      <c r="D101" s="3" t="str">
        <f>VLOOKUP(B101,기업리스트!B:G,2,FALSE)</f>
        <v>Tokyu Fudosan Holdings Corporation</v>
      </c>
      <c r="E101" s="3" t="s">
        <v>315</v>
      </c>
      <c r="F101" s="5">
        <v>-6.9</v>
      </c>
      <c r="G101" s="50">
        <v>25154</v>
      </c>
      <c r="H101" s="50">
        <v>25154</v>
      </c>
      <c r="I101" s="50">
        <v>24888</v>
      </c>
      <c r="J101" s="50">
        <v>20989</v>
      </c>
      <c r="K101" s="50">
        <v>16120</v>
      </c>
      <c r="L101" s="51">
        <v>48414</v>
      </c>
      <c r="M101" s="50">
        <v>34528</v>
      </c>
      <c r="N101" s="50">
        <v>23517</v>
      </c>
      <c r="O101" s="50">
        <v>17309</v>
      </c>
      <c r="P101" s="50">
        <v>44885</v>
      </c>
      <c r="Q101" s="50">
        <v>31637</v>
      </c>
      <c r="R101" s="50">
        <v>18913</v>
      </c>
      <c r="S101" s="51">
        <v>37296</v>
      </c>
      <c r="T101" s="50">
        <v>52919</v>
      </c>
      <c r="U101" s="50">
        <v>41232</v>
      </c>
      <c r="V101" s="51">
        <v>37286</v>
      </c>
      <c r="W101" s="50">
        <v>25609</v>
      </c>
      <c r="X101" s="7">
        <v>6.0528437215119357E-2</v>
      </c>
      <c r="Y101" s="8">
        <v>6.8163250808084497E-2</v>
      </c>
      <c r="Z101" s="9">
        <v>0.122193402500665</v>
      </c>
      <c r="AA101" s="8">
        <v>-6.9263273929818125E-2</v>
      </c>
    </row>
    <row r="102" spans="2:27" x14ac:dyDescent="0.3">
      <c r="B102" s="11">
        <v>5451</v>
      </c>
      <c r="C102" s="3" t="s">
        <v>326</v>
      </c>
      <c r="D102" s="3" t="str">
        <f>VLOOKUP(B102,기업리스트!B:G,2,FALSE)</f>
        <v>Yodoko, Ltd.</v>
      </c>
      <c r="E102" s="3" t="s">
        <v>315</v>
      </c>
      <c r="F102" s="5">
        <v>-8.3000000000000007</v>
      </c>
      <c r="G102" s="50">
        <v>4591</v>
      </c>
      <c r="H102" s="50">
        <v>4099</v>
      </c>
      <c r="I102" s="50">
        <v>4028</v>
      </c>
      <c r="J102" s="50">
        <v>4207</v>
      </c>
      <c r="K102" s="50">
        <v>2537</v>
      </c>
      <c r="L102" s="50">
        <v>1894</v>
      </c>
      <c r="M102" s="50">
        <v>2895</v>
      </c>
      <c r="N102" s="50">
        <v>2578</v>
      </c>
      <c r="O102" s="50">
        <v>3467</v>
      </c>
      <c r="P102" s="51">
        <v>3078</v>
      </c>
      <c r="Q102" s="50">
        <v>4062</v>
      </c>
      <c r="R102" s="50">
        <v>3751</v>
      </c>
      <c r="S102" s="50">
        <v>3302</v>
      </c>
      <c r="T102" s="50">
        <v>2774</v>
      </c>
      <c r="U102" s="50">
        <v>4197</v>
      </c>
      <c r="V102" s="50">
        <v>3119</v>
      </c>
      <c r="W102" s="50">
        <v>2188</v>
      </c>
      <c r="X102" s="7">
        <v>-2.1419009370816641E-2</v>
      </c>
      <c r="Y102" s="8">
        <v>9.7199222406221253E-3</v>
      </c>
      <c r="Z102" s="8">
        <v>-4.5065601825442059E-2</v>
      </c>
      <c r="AA102" s="8">
        <v>-8.3183990442054934E-2</v>
      </c>
    </row>
    <row r="103" spans="2:27" x14ac:dyDescent="0.3">
      <c r="B103" s="11">
        <v>4534</v>
      </c>
      <c r="C103" s="3" t="s">
        <v>326</v>
      </c>
      <c r="D103" s="3" t="str">
        <f>VLOOKUP(B103,기업리스트!B:G,2,FALSE)</f>
        <v>Mochida Pharmaceutical Co., Ltd.</v>
      </c>
      <c r="E103" s="3" t="s">
        <v>315</v>
      </c>
      <c r="F103" s="5">
        <v>-9.6</v>
      </c>
      <c r="G103" s="50">
        <v>6913</v>
      </c>
      <c r="H103" s="50">
        <v>1346</v>
      </c>
      <c r="I103" s="50">
        <v>4266</v>
      </c>
      <c r="J103" s="50">
        <v>1014</v>
      </c>
      <c r="K103" s="50">
        <v>5077</v>
      </c>
      <c r="L103" s="50">
        <v>-1849</v>
      </c>
      <c r="M103" s="50">
        <v>2516</v>
      </c>
      <c r="N103" s="50">
        <v>1436</v>
      </c>
      <c r="O103" s="50">
        <v>1840</v>
      </c>
      <c r="P103" s="51">
        <v>11</v>
      </c>
      <c r="Q103" s="50">
        <v>2190</v>
      </c>
      <c r="R103" s="50">
        <v>1603</v>
      </c>
      <c r="S103" s="51">
        <v>3451</v>
      </c>
      <c r="T103" s="51">
        <v>883</v>
      </c>
      <c r="U103" s="50">
        <v>2573</v>
      </c>
      <c r="V103" s="50">
        <v>2395</v>
      </c>
      <c r="W103" s="50">
        <v>2559</v>
      </c>
      <c r="X103" s="10">
        <v>0.1201929703652653</v>
      </c>
      <c r="Y103" s="8">
        <v>4.7126861080349469E-2</v>
      </c>
      <c r="Z103" s="8">
        <v>9.3066980023501777E-2</v>
      </c>
      <c r="AA103" s="8">
        <v>-9.589335626746931E-2</v>
      </c>
    </row>
    <row r="104" spans="2:27" x14ac:dyDescent="0.3">
      <c r="B104" s="11">
        <v>3028</v>
      </c>
      <c r="C104" s="3" t="s">
        <v>326</v>
      </c>
      <c r="D104" s="3" t="str">
        <f>VLOOKUP(B104,기업리스트!B:G,2,FALSE)</f>
        <v>Alpen Co.,Ltd.</v>
      </c>
      <c r="E104" s="3" t="s">
        <v>310</v>
      </c>
      <c r="F104" s="5">
        <v>-9.6</v>
      </c>
      <c r="G104" s="50">
        <v>4828</v>
      </c>
      <c r="H104" s="50">
        <v>-1978</v>
      </c>
      <c r="I104" s="50">
        <v>3215</v>
      </c>
      <c r="J104" s="50">
        <v>-33</v>
      </c>
      <c r="K104" s="50">
        <v>4004</v>
      </c>
      <c r="L104" s="51">
        <v>-796</v>
      </c>
      <c r="M104" s="50">
        <v>1889</v>
      </c>
      <c r="N104" s="50">
        <v>-644</v>
      </c>
      <c r="O104" s="50">
        <v>2147</v>
      </c>
      <c r="P104" s="50">
        <v>-1200</v>
      </c>
      <c r="Q104" s="51">
        <v>3028</v>
      </c>
      <c r="R104" s="51">
        <v>670</v>
      </c>
      <c r="S104" s="51">
        <v>4061</v>
      </c>
      <c r="T104" s="51">
        <v>599</v>
      </c>
      <c r="U104" s="50">
        <v>3062</v>
      </c>
      <c r="V104" s="50">
        <v>459</v>
      </c>
      <c r="W104" s="50">
        <v>3276</v>
      </c>
      <c r="X104" s="10">
        <v>0.27427961579509058</v>
      </c>
      <c r="Y104" s="8">
        <v>4.0679588418282009E-3</v>
      </c>
      <c r="Z104" s="8">
        <v>-2.514299332697811E-2</v>
      </c>
      <c r="AA104" s="8">
        <v>-9.5954039848429318E-2</v>
      </c>
    </row>
    <row r="105" spans="2:27" x14ac:dyDescent="0.3">
      <c r="B105" s="11">
        <v>6277</v>
      </c>
      <c r="C105" s="3" t="s">
        <v>326</v>
      </c>
      <c r="D105" s="3" t="str">
        <f>VLOOKUP(B105,기업리스트!B:G,2,FALSE)</f>
        <v>Hosokawa Micron Corporation</v>
      </c>
      <c r="E105" s="3" t="s">
        <v>313</v>
      </c>
      <c r="F105" s="5">
        <v>-10.1</v>
      </c>
      <c r="G105" s="50">
        <v>1447</v>
      </c>
      <c r="H105" s="50">
        <v>1582</v>
      </c>
      <c r="I105" s="50">
        <v>870</v>
      </c>
      <c r="J105" s="50">
        <v>1615</v>
      </c>
      <c r="K105" s="50">
        <v>1398</v>
      </c>
      <c r="L105" s="50">
        <v>1806</v>
      </c>
      <c r="M105" s="51">
        <v>1750</v>
      </c>
      <c r="N105" s="51">
        <v>3009</v>
      </c>
      <c r="O105" s="50">
        <v>1572</v>
      </c>
      <c r="P105" s="50">
        <v>2209</v>
      </c>
      <c r="Q105" s="50">
        <v>2094</v>
      </c>
      <c r="R105" s="50">
        <v>2404</v>
      </c>
      <c r="S105" s="50">
        <v>1441</v>
      </c>
      <c r="T105" s="50">
        <v>2133</v>
      </c>
      <c r="U105" s="50">
        <v>2115</v>
      </c>
      <c r="V105" s="50">
        <v>1363</v>
      </c>
      <c r="W105" s="50">
        <v>727</v>
      </c>
      <c r="X105" s="7">
        <v>-9.3274423171330056E-3</v>
      </c>
      <c r="Y105" s="8">
        <v>2.6015857284440451E-3</v>
      </c>
      <c r="Z105" s="8">
        <v>-0.12862967997034469</v>
      </c>
      <c r="AA105" s="8">
        <v>-0.1012478729438457</v>
      </c>
    </row>
    <row r="106" spans="2:27" x14ac:dyDescent="0.3">
      <c r="B106" s="11">
        <v>3863</v>
      </c>
      <c r="C106" s="3" t="s">
        <v>326</v>
      </c>
      <c r="D106" s="3" t="str">
        <f>VLOOKUP(B106,기업리스트!B:G,2,FALSE)</f>
        <v>Nippon Paper Industries Co., Ltd.</v>
      </c>
      <c r="E106" s="3" t="s">
        <v>315</v>
      </c>
      <c r="F106" s="5">
        <v>-11.3</v>
      </c>
      <c r="G106" s="50">
        <v>2310</v>
      </c>
      <c r="H106" s="50">
        <v>1667</v>
      </c>
      <c r="I106" s="50">
        <v>-2924</v>
      </c>
      <c r="J106" s="50">
        <v>-9056</v>
      </c>
      <c r="K106" s="51">
        <v>-10786</v>
      </c>
      <c r="L106" s="51">
        <v>-4089</v>
      </c>
      <c r="M106" s="50">
        <v>813</v>
      </c>
      <c r="N106" s="50">
        <v>4040</v>
      </c>
      <c r="O106" s="50">
        <v>4456</v>
      </c>
      <c r="P106" s="51">
        <v>7958</v>
      </c>
      <c r="Q106" s="51">
        <v>4138</v>
      </c>
      <c r="R106" s="50">
        <v>-2081</v>
      </c>
      <c r="S106" s="51">
        <v>9041</v>
      </c>
      <c r="T106" s="50">
        <v>8609</v>
      </c>
      <c r="U106" s="50">
        <v>5486</v>
      </c>
      <c r="V106" s="51">
        <v>3520</v>
      </c>
      <c r="W106" s="50">
        <v>6033</v>
      </c>
      <c r="X106" s="7">
        <v>3.4162468513853961E-2</v>
      </c>
      <c r="Y106" s="8">
        <v>6.8402090627695644E-2</v>
      </c>
      <c r="Z106" s="9">
        <v>0.26601757302303503</v>
      </c>
      <c r="AA106" s="8">
        <v>-0.1128451380552221</v>
      </c>
    </row>
    <row r="107" spans="2:27" x14ac:dyDescent="0.3">
      <c r="B107" s="11">
        <v>6457</v>
      </c>
      <c r="C107" s="3" t="s">
        <v>326</v>
      </c>
      <c r="D107" s="3" t="str">
        <f>VLOOKUP(B107,기업리스트!B:G,2,FALSE)</f>
        <v>Glory Ltd.</v>
      </c>
      <c r="E107" s="3" t="s">
        <v>315</v>
      </c>
      <c r="F107" s="5">
        <v>-11.8</v>
      </c>
      <c r="G107" s="50">
        <v>2904</v>
      </c>
      <c r="H107" s="50">
        <v>1658</v>
      </c>
      <c r="I107" s="50">
        <v>-914</v>
      </c>
      <c r="J107" s="50">
        <v>-3797</v>
      </c>
      <c r="K107" s="50">
        <v>3090</v>
      </c>
      <c r="L107" s="51">
        <v>2144</v>
      </c>
      <c r="M107" s="51">
        <v>4151</v>
      </c>
      <c r="N107" s="51">
        <v>12632</v>
      </c>
      <c r="O107" s="51">
        <v>18553</v>
      </c>
      <c r="P107" s="51">
        <v>15942</v>
      </c>
      <c r="Q107" s="51">
        <v>10558</v>
      </c>
      <c r="R107" s="50">
        <v>8586</v>
      </c>
      <c r="S107" s="50">
        <v>10200</v>
      </c>
      <c r="T107" s="50">
        <v>5831</v>
      </c>
      <c r="U107" s="50">
        <v>2058</v>
      </c>
      <c r="V107" s="50">
        <v>4796</v>
      </c>
      <c r="W107" s="50">
        <v>7508</v>
      </c>
      <c r="X107" s="7">
        <v>-0.22326988473258849</v>
      </c>
      <c r="Y107" s="8">
        <v>-0.24164889836531619</v>
      </c>
      <c r="Z107" s="8">
        <v>-0.14208059981255861</v>
      </c>
      <c r="AA107" s="8">
        <v>-0.1176316364430849</v>
      </c>
    </row>
    <row r="108" spans="2:27" x14ac:dyDescent="0.3">
      <c r="B108" s="11">
        <v>8715</v>
      </c>
      <c r="C108" s="3" t="s">
        <v>326</v>
      </c>
      <c r="D108" s="3" t="str">
        <f>VLOOKUP(B108,기업리스트!B:G,2,FALSE)</f>
        <v>Anicom Holdings, Inc.</v>
      </c>
      <c r="E108" s="3" t="s">
        <v>315</v>
      </c>
      <c r="F108" s="5">
        <v>-12.1</v>
      </c>
      <c r="G108" s="50">
        <v>907</v>
      </c>
      <c r="H108" s="50">
        <v>694</v>
      </c>
      <c r="I108" s="50">
        <v>778</v>
      </c>
      <c r="J108" s="50">
        <v>1177</v>
      </c>
      <c r="K108" s="50">
        <v>744</v>
      </c>
      <c r="L108" s="51">
        <v>1120</v>
      </c>
      <c r="M108" s="51">
        <v>1199</v>
      </c>
      <c r="N108" s="50">
        <v>1405</v>
      </c>
      <c r="O108" s="50">
        <v>674</v>
      </c>
      <c r="P108" s="50">
        <v>988</v>
      </c>
      <c r="Q108" s="50">
        <v>1620</v>
      </c>
      <c r="R108" s="50">
        <v>1510</v>
      </c>
      <c r="S108" s="50">
        <v>663</v>
      </c>
      <c r="T108" s="50">
        <v>1447</v>
      </c>
      <c r="U108" s="50">
        <v>964</v>
      </c>
      <c r="V108" s="50">
        <v>1135</v>
      </c>
      <c r="W108" s="50">
        <v>155</v>
      </c>
      <c r="X108" s="7">
        <v>9.6005019870319952E-2</v>
      </c>
      <c r="Y108" s="8">
        <v>-0.1251908396946565</v>
      </c>
      <c r="Z108" s="8">
        <v>-8.1806282722513113E-2</v>
      </c>
      <c r="AA108" s="8">
        <v>-0.12069375148491319</v>
      </c>
    </row>
    <row r="109" spans="2:27" x14ac:dyDescent="0.3">
      <c r="B109" s="11">
        <v>8035</v>
      </c>
      <c r="C109" s="3" t="s">
        <v>326</v>
      </c>
      <c r="D109" s="3" t="str">
        <f>VLOOKUP(B109,기업리스트!B:G,2,FALSE)</f>
        <v>Tokyo Electron Limited</v>
      </c>
      <c r="E109" s="3" t="s">
        <v>315</v>
      </c>
      <c r="F109" s="5">
        <v>-12.2</v>
      </c>
      <c r="G109" s="50">
        <v>156043</v>
      </c>
      <c r="H109" s="50">
        <v>168579</v>
      </c>
      <c r="I109" s="50">
        <v>117519</v>
      </c>
      <c r="J109" s="50">
        <v>232646</v>
      </c>
      <c r="K109" s="50">
        <v>114773</v>
      </c>
      <c r="L109" s="50">
        <v>152786</v>
      </c>
      <c r="M109" s="50">
        <v>82434</v>
      </c>
      <c r="N109" s="50">
        <v>96145</v>
      </c>
      <c r="O109" s="50">
        <v>132460</v>
      </c>
      <c r="P109" s="50">
        <v>145225</v>
      </c>
      <c r="Q109" s="51">
        <v>165734</v>
      </c>
      <c r="R109" s="50">
        <v>148171</v>
      </c>
      <c r="S109" s="51">
        <v>199617</v>
      </c>
      <c r="T109" s="50">
        <v>183798</v>
      </c>
      <c r="U109" s="50">
        <v>144695</v>
      </c>
      <c r="V109" s="50">
        <v>158459</v>
      </c>
      <c r="W109" s="50">
        <v>116139</v>
      </c>
      <c r="X109" s="7">
        <v>5.855510537429387E-2</v>
      </c>
      <c r="Y109" s="8">
        <v>-3.0171226983307538E-2</v>
      </c>
      <c r="Z109" s="8">
        <v>1.521261132576557E-2</v>
      </c>
      <c r="AA109" s="8">
        <v>-0.12158719662553941</v>
      </c>
    </row>
    <row r="110" spans="2:27" x14ac:dyDescent="0.3">
      <c r="B110" s="11">
        <v>4189</v>
      </c>
      <c r="C110" s="3" t="s">
        <v>326</v>
      </c>
      <c r="D110" s="3" t="str">
        <f>VLOOKUP(B110,기업리스트!B:G,2,FALSE)</f>
        <v>KH Neochem Co., Ltd.</v>
      </c>
      <c r="E110" s="3" t="s">
        <v>304</v>
      </c>
      <c r="F110" s="5">
        <v>-15.9</v>
      </c>
      <c r="G110" s="50">
        <v>5688</v>
      </c>
      <c r="H110" s="50">
        <v>4657</v>
      </c>
      <c r="I110" s="50">
        <v>1759</v>
      </c>
      <c r="J110" s="50">
        <v>2664</v>
      </c>
      <c r="K110" s="50">
        <v>3377</v>
      </c>
      <c r="L110" s="50">
        <v>2014</v>
      </c>
      <c r="M110" s="50">
        <v>2479</v>
      </c>
      <c r="N110" s="50">
        <v>2362</v>
      </c>
      <c r="O110" s="50">
        <v>3092</v>
      </c>
      <c r="P110" s="50">
        <v>2492</v>
      </c>
      <c r="Q110" s="50">
        <v>2325</v>
      </c>
      <c r="R110" s="50">
        <v>2504</v>
      </c>
      <c r="S110" s="51">
        <v>4876</v>
      </c>
      <c r="T110" s="50">
        <v>2707</v>
      </c>
      <c r="U110" s="50">
        <v>3299</v>
      </c>
      <c r="V110" s="50">
        <v>2500</v>
      </c>
      <c r="W110" s="50">
        <v>2742</v>
      </c>
      <c r="X110" s="7">
        <v>1.7627285398048809E-2</v>
      </c>
      <c r="Y110" s="8">
        <v>7.8472446019980602E-2</v>
      </c>
      <c r="Z110" s="8">
        <v>-2.9881966233380458E-4</v>
      </c>
      <c r="AA110" s="8">
        <v>-0.15946794201165751</v>
      </c>
    </row>
    <row r="111" spans="2:27" x14ac:dyDescent="0.3">
      <c r="B111" s="11">
        <v>7313</v>
      </c>
      <c r="C111" s="3" t="s">
        <v>326</v>
      </c>
      <c r="D111" s="3" t="str">
        <f>VLOOKUP(B111,기업리스트!B:G,2,FALSE)</f>
        <v>TS TECH Co., Ltd.</v>
      </c>
      <c r="E111" s="3" t="s">
        <v>310</v>
      </c>
      <c r="F111" s="5">
        <v>-19.7</v>
      </c>
      <c r="G111" s="50">
        <v>4703</v>
      </c>
      <c r="H111" s="50">
        <v>4403</v>
      </c>
      <c r="I111" s="50">
        <v>5860</v>
      </c>
      <c r="J111" s="50">
        <v>-228</v>
      </c>
      <c r="K111" s="50">
        <v>5854</v>
      </c>
      <c r="L111" s="50">
        <v>4677</v>
      </c>
      <c r="M111" s="50">
        <v>3375</v>
      </c>
      <c r="N111" s="50">
        <v>100</v>
      </c>
      <c r="O111" s="50">
        <v>4979</v>
      </c>
      <c r="P111" s="51">
        <v>8964</v>
      </c>
      <c r="Q111" s="50">
        <v>3395</v>
      </c>
      <c r="R111" s="51">
        <v>2497</v>
      </c>
      <c r="S111" s="50">
        <v>4181</v>
      </c>
      <c r="T111" s="50">
        <v>4656</v>
      </c>
      <c r="U111" s="50">
        <v>4826</v>
      </c>
      <c r="V111" s="50">
        <v>1518</v>
      </c>
      <c r="W111" s="50">
        <v>1186</v>
      </c>
      <c r="X111" s="7">
        <v>-0.2262961601092609</v>
      </c>
      <c r="Y111" s="8">
        <v>9.7155271912553465E-2</v>
      </c>
      <c r="Z111" s="8">
        <v>-6.0581683168316802E-2</v>
      </c>
      <c r="AA111" s="8">
        <v>-0.19728608128581779</v>
      </c>
    </row>
    <row r="112" spans="2:27" x14ac:dyDescent="0.3">
      <c r="B112" s="11">
        <v>8410</v>
      </c>
      <c r="C112" s="3" t="s">
        <v>326</v>
      </c>
      <c r="D112" s="3" t="str">
        <f>VLOOKUP(B112,기업리스트!B:G,2,FALSE)</f>
        <v>Seven Bank, Ltd.</v>
      </c>
      <c r="E112" s="3" t="s">
        <v>315</v>
      </c>
      <c r="F112" s="5">
        <v>-19.8</v>
      </c>
      <c r="G112" s="50">
        <v>7488</v>
      </c>
      <c r="H112" s="50">
        <v>4359</v>
      </c>
      <c r="I112" s="50">
        <v>7237</v>
      </c>
      <c r="J112" s="50">
        <v>7166</v>
      </c>
      <c r="K112" s="50">
        <v>8265</v>
      </c>
      <c r="L112" s="50">
        <v>4755</v>
      </c>
      <c r="M112" s="50">
        <v>8109</v>
      </c>
      <c r="N112" s="51">
        <v>29980</v>
      </c>
      <c r="O112" s="50">
        <v>5757</v>
      </c>
      <c r="P112" s="50">
        <v>1283</v>
      </c>
      <c r="Q112" s="50">
        <v>6975</v>
      </c>
      <c r="R112" s="50">
        <v>9284</v>
      </c>
      <c r="S112" s="50">
        <v>5857</v>
      </c>
      <c r="T112" s="51">
        <v>6718</v>
      </c>
      <c r="U112" s="50">
        <v>6437</v>
      </c>
      <c r="V112" s="50">
        <v>8070</v>
      </c>
      <c r="W112" s="50">
        <v>504</v>
      </c>
      <c r="X112" s="10">
        <v>0.2322748835420316</v>
      </c>
      <c r="Y112" s="8">
        <v>-1.865852812651736E-2</v>
      </c>
      <c r="Z112" s="8">
        <v>-4.2903590613514231E-2</v>
      </c>
      <c r="AA112" s="8">
        <v>-0.19765896167195929</v>
      </c>
    </row>
    <row r="113" spans="2:27" x14ac:dyDescent="0.3">
      <c r="B113" s="11">
        <v>6448</v>
      </c>
      <c r="C113" s="3" t="s">
        <v>326</v>
      </c>
      <c r="D113" s="3" t="str">
        <f>VLOOKUP(B113,기업리스트!B:G,2,FALSE)</f>
        <v>Brother Industries, Ltd.</v>
      </c>
      <c r="E113" s="3" t="s">
        <v>315</v>
      </c>
      <c r="F113" s="5">
        <v>-33.200000000000003</v>
      </c>
      <c r="G113" s="50">
        <v>24843</v>
      </c>
      <c r="H113" s="50">
        <v>8662</v>
      </c>
      <c r="I113" s="50">
        <v>25019</v>
      </c>
      <c r="J113" s="50">
        <v>12449</v>
      </c>
      <c r="K113" s="50">
        <v>21544</v>
      </c>
      <c r="L113" s="50">
        <v>1743</v>
      </c>
      <c r="M113" s="50">
        <v>22026</v>
      </c>
      <c r="N113" s="50">
        <v>17702</v>
      </c>
      <c r="O113" s="50">
        <v>21355</v>
      </c>
      <c r="P113" s="51">
        <v>14474</v>
      </c>
      <c r="Q113" s="50">
        <v>21803</v>
      </c>
      <c r="R113" s="50">
        <v>16742</v>
      </c>
      <c r="S113" s="50">
        <v>25535</v>
      </c>
      <c r="T113" s="50">
        <v>12580</v>
      </c>
      <c r="U113" s="50">
        <v>15953</v>
      </c>
      <c r="V113" s="50">
        <v>22770</v>
      </c>
      <c r="W113" s="50">
        <v>0</v>
      </c>
      <c r="X113" s="7">
        <v>-2.4110802759884978E-2</v>
      </c>
      <c r="Y113" s="8">
        <v>-7.6310983563788182E-2</v>
      </c>
      <c r="Z113" s="8">
        <v>8.5129219036859105E-2</v>
      </c>
      <c r="AA113" s="8">
        <v>-0.33232254873890521</v>
      </c>
    </row>
    <row r="114" spans="2:27" x14ac:dyDescent="0.3">
      <c r="B114" s="47">
        <v>4521</v>
      </c>
      <c r="C114" s="33" t="s">
        <v>326</v>
      </c>
      <c r="D114" s="33" t="str">
        <f>VLOOKUP(B114,기업리스트!B:G,2,FALSE)</f>
        <v>Kaken Pharmaceutical Co., Ltd.</v>
      </c>
      <c r="E114" s="33" t="s">
        <v>315</v>
      </c>
      <c r="F114" s="34">
        <v>-331</v>
      </c>
      <c r="G114" s="52">
        <v>4853</v>
      </c>
      <c r="H114" s="52">
        <v>3175</v>
      </c>
      <c r="I114" s="52">
        <v>4057</v>
      </c>
      <c r="J114" s="52">
        <v>4152</v>
      </c>
      <c r="K114" s="52">
        <v>4186</v>
      </c>
      <c r="L114" s="52">
        <v>-4395</v>
      </c>
      <c r="M114" s="52">
        <v>3294</v>
      </c>
      <c r="N114" s="52">
        <v>2220</v>
      </c>
      <c r="O114" s="52">
        <v>3360</v>
      </c>
      <c r="P114" s="53">
        <v>640</v>
      </c>
      <c r="Q114" s="52">
        <v>2751</v>
      </c>
      <c r="R114" s="53">
        <v>16829</v>
      </c>
      <c r="S114" s="53">
        <v>5844</v>
      </c>
      <c r="T114" s="52">
        <v>-4388</v>
      </c>
      <c r="U114" s="52">
        <v>16</v>
      </c>
      <c r="V114" s="52">
        <v>187</v>
      </c>
      <c r="W114" s="52">
        <v>352</v>
      </c>
      <c r="X114" s="35">
        <v>-0.19290976058931861</v>
      </c>
      <c r="Y114" s="37">
        <v>-0.1300152120174938</v>
      </c>
      <c r="Z114" s="37">
        <v>-0.90934921588984208</v>
      </c>
      <c r="AA114" s="37">
        <v>-3.3104279686558171</v>
      </c>
    </row>
    <row r="115" spans="2:27" x14ac:dyDescent="0.3">
      <c r="B115" s="11" t="s">
        <v>348</v>
      </c>
      <c r="C115" s="3" t="s">
        <v>327</v>
      </c>
      <c r="D115" s="3" t="str">
        <f>VLOOKUP(B115,기업리스트!B:G,2,FALSE)</f>
        <v>Kalyan Jewellers India Limited</v>
      </c>
      <c r="E115" s="3" t="s">
        <v>315</v>
      </c>
      <c r="F115" s="12">
        <v>20.100000000000001</v>
      </c>
      <c r="G115" s="50">
        <v>2404</v>
      </c>
      <c r="H115" s="50">
        <v>1804</v>
      </c>
      <c r="I115" s="50">
        <v>2052</v>
      </c>
      <c r="J115" s="50">
        <v>2058</v>
      </c>
      <c r="K115" s="50">
        <v>2649</v>
      </c>
      <c r="L115" s="50">
        <v>2081</v>
      </c>
      <c r="M115" s="50">
        <v>2589</v>
      </c>
      <c r="N115" s="50">
        <v>2467</v>
      </c>
      <c r="O115" s="50">
        <v>3001</v>
      </c>
      <c r="P115" s="50">
        <v>2072</v>
      </c>
      <c r="Q115" s="50">
        <v>3006</v>
      </c>
      <c r="R115" s="50">
        <v>2423</v>
      </c>
      <c r="S115" s="50">
        <v>3499</v>
      </c>
      <c r="T115" s="50">
        <v>2955</v>
      </c>
      <c r="U115" s="50">
        <v>4103</v>
      </c>
      <c r="V115" s="51">
        <v>3938</v>
      </c>
      <c r="W115" s="51">
        <v>6416</v>
      </c>
      <c r="X115" s="7">
        <v>8.0272727272727273E-2</v>
      </c>
      <c r="Y115" s="8">
        <v>9.2316755028191588E-2</v>
      </c>
      <c r="Z115" s="9">
        <v>0.1167180277349769</v>
      </c>
      <c r="AA115" s="9">
        <v>0.20124180751983431</v>
      </c>
    </row>
    <row r="116" spans="2:27" x14ac:dyDescent="0.3">
      <c r="B116" s="11" t="s">
        <v>351</v>
      </c>
      <c r="C116" s="3" t="s">
        <v>327</v>
      </c>
      <c r="D116" s="3" t="str">
        <f>VLOOKUP(B116,기업리스트!B:G,2,FALSE)</f>
        <v>Sonata Software Limited</v>
      </c>
      <c r="E116" s="3" t="s">
        <v>315</v>
      </c>
      <c r="F116" s="5">
        <v>9.6</v>
      </c>
      <c r="G116" s="50">
        <v>1190</v>
      </c>
      <c r="H116" s="50">
        <v>1577</v>
      </c>
      <c r="I116" s="50">
        <v>1287</v>
      </c>
      <c r="J116" s="50">
        <v>1410</v>
      </c>
      <c r="K116" s="50">
        <v>1426</v>
      </c>
      <c r="L116" s="50">
        <v>1376</v>
      </c>
      <c r="M116" s="50">
        <v>1471</v>
      </c>
      <c r="N116" s="50">
        <v>1640</v>
      </c>
      <c r="O116" s="50">
        <v>1740</v>
      </c>
      <c r="P116" s="50">
        <v>1654</v>
      </c>
      <c r="Q116" s="50">
        <v>1429</v>
      </c>
      <c r="R116" s="50">
        <v>1443</v>
      </c>
      <c r="S116" s="50">
        <v>1313</v>
      </c>
      <c r="T116" s="50">
        <v>1509</v>
      </c>
      <c r="U116" s="50">
        <v>1336</v>
      </c>
      <c r="V116" s="50">
        <v>1464</v>
      </c>
      <c r="W116" s="50">
        <v>1851</v>
      </c>
      <c r="X116" s="7">
        <v>-2.483301935262883E-2</v>
      </c>
      <c r="Y116" s="8">
        <v>-1.633298208640677E-2</v>
      </c>
      <c r="Z116" s="8">
        <v>3.7493304767006741E-3</v>
      </c>
      <c r="AA116" s="8">
        <v>9.5695482034863E-2</v>
      </c>
    </row>
    <row r="117" spans="2:27" x14ac:dyDescent="0.3">
      <c r="B117" s="11" t="s">
        <v>349</v>
      </c>
      <c r="C117" s="3" t="s">
        <v>327</v>
      </c>
      <c r="D117" s="3" t="str">
        <f>VLOOKUP(B117,기업리스트!B:G,2,FALSE)</f>
        <v>G R Infraprojects Limited</v>
      </c>
      <c r="E117" s="3" t="s">
        <v>315</v>
      </c>
      <c r="F117" s="5">
        <v>7.1</v>
      </c>
      <c r="G117" s="50">
        <v>2837</v>
      </c>
      <c r="H117" s="50">
        <v>4538</v>
      </c>
      <c r="I117" s="50">
        <v>6236</v>
      </c>
      <c r="J117" s="50">
        <v>5393</v>
      </c>
      <c r="K117" s="51">
        <v>5336</v>
      </c>
      <c r="L117" s="50">
        <v>6181</v>
      </c>
      <c r="M117" s="50">
        <v>5471</v>
      </c>
      <c r="N117" s="50">
        <v>4053</v>
      </c>
      <c r="O117" s="50">
        <v>4466</v>
      </c>
      <c r="P117" s="50">
        <v>4857</v>
      </c>
      <c r="Q117" s="50">
        <v>3049</v>
      </c>
      <c r="R117" s="50">
        <v>2900</v>
      </c>
      <c r="S117" s="50">
        <v>3087</v>
      </c>
      <c r="T117" s="50">
        <v>5618</v>
      </c>
      <c r="U117" s="50">
        <v>3458</v>
      </c>
      <c r="V117" s="50">
        <v>3361</v>
      </c>
      <c r="W117" s="50">
        <v>4191</v>
      </c>
      <c r="X117" s="7">
        <v>5.4775786367235353E-2</v>
      </c>
      <c r="Y117" s="8">
        <v>2.7910468131568281E-2</v>
      </c>
      <c r="Z117" s="8">
        <v>3.0604793201885361E-2</v>
      </c>
      <c r="AA117" s="8">
        <v>7.111569183200217E-2</v>
      </c>
    </row>
    <row r="118" spans="2:27" x14ac:dyDescent="0.3">
      <c r="B118" s="11" t="s">
        <v>102</v>
      </c>
      <c r="C118" s="3" t="s">
        <v>327</v>
      </c>
      <c r="D118" s="3" t="str">
        <f>VLOOKUP(B118,기업리스트!B:G,2,FALSE)</f>
        <v>Embassy Office Parks REIT</v>
      </c>
      <c r="E118" s="3" t="s">
        <v>315</v>
      </c>
      <c r="F118" s="5">
        <v>6.8</v>
      </c>
      <c r="G118" s="50">
        <v>4133</v>
      </c>
      <c r="H118" s="50">
        <v>4040</v>
      </c>
      <c r="I118" s="50">
        <v>4348</v>
      </c>
      <c r="J118" s="50">
        <v>4047</v>
      </c>
      <c r="K118" s="50">
        <v>4134</v>
      </c>
      <c r="L118" s="50">
        <v>3063</v>
      </c>
      <c r="M118" s="50">
        <v>5048</v>
      </c>
      <c r="N118" s="50">
        <v>4661</v>
      </c>
      <c r="O118" s="50">
        <v>5084</v>
      </c>
      <c r="P118" s="51">
        <v>5025</v>
      </c>
      <c r="Q118" s="50">
        <v>4862</v>
      </c>
      <c r="R118" s="50">
        <v>5285</v>
      </c>
      <c r="S118" s="50">
        <v>4949</v>
      </c>
      <c r="T118" s="50">
        <v>5410</v>
      </c>
      <c r="U118" s="50">
        <v>5524</v>
      </c>
      <c r="V118" s="50">
        <v>6035</v>
      </c>
      <c r="W118" s="50">
        <v>6431</v>
      </c>
      <c r="X118" s="7">
        <v>1.9134237860941369E-2</v>
      </c>
      <c r="Y118" s="8">
        <v>3.2283234175363378E-2</v>
      </c>
      <c r="Z118" s="8">
        <v>3.5430839002267511E-2</v>
      </c>
      <c r="AA118" s="8">
        <v>6.7615658362989217E-2</v>
      </c>
    </row>
    <row r="119" spans="2:27" x14ac:dyDescent="0.3">
      <c r="B119" s="11" t="s">
        <v>221</v>
      </c>
      <c r="C119" s="3" t="s">
        <v>327</v>
      </c>
      <c r="D119" s="3" t="str">
        <f>VLOOKUP(B119,기업리스트!B:G,2,FALSE)</f>
        <v>India Shelter Finance Corporation Limited</v>
      </c>
      <c r="E119" s="3" t="s">
        <v>315</v>
      </c>
      <c r="F119" s="5">
        <v>6.2</v>
      </c>
      <c r="G119" s="50">
        <v>519.99</v>
      </c>
      <c r="H119" s="50">
        <v>641.53</v>
      </c>
      <c r="I119" s="50">
        <v>340.17</v>
      </c>
      <c r="J119" s="50">
        <v>471.08</v>
      </c>
      <c r="K119" s="50">
        <v>519.65</v>
      </c>
      <c r="L119" s="50">
        <v>681.12</v>
      </c>
      <c r="M119" s="51">
        <v>609.83000000000004</v>
      </c>
      <c r="N119" s="51">
        <v>773.75</v>
      </c>
      <c r="O119" s="51">
        <v>811.59</v>
      </c>
      <c r="P119" s="51">
        <v>996.68</v>
      </c>
      <c r="Q119" s="51">
        <v>1081</v>
      </c>
      <c r="R119" s="51">
        <v>1172</v>
      </c>
      <c r="S119" s="51">
        <v>1244</v>
      </c>
      <c r="T119" s="50">
        <v>1395</v>
      </c>
      <c r="U119" s="50">
        <v>1552</v>
      </c>
      <c r="V119" s="50">
        <v>1581</v>
      </c>
      <c r="W119" s="50">
        <v>1599</v>
      </c>
      <c r="X119" s="7">
        <v>8.8640045575118842E-2</v>
      </c>
      <c r="Y119" s="8">
        <v>9.6279640228945196E-2</v>
      </c>
      <c r="Z119" s="8">
        <v>7.6263285474547748E-2</v>
      </c>
      <c r="AA119" s="8">
        <v>6.1503811503811567E-2</v>
      </c>
    </row>
    <row r="120" spans="2:27" x14ac:dyDescent="0.3">
      <c r="B120" s="11" t="s">
        <v>203</v>
      </c>
      <c r="C120" s="3" t="s">
        <v>327</v>
      </c>
      <c r="D120" s="3" t="str">
        <f>VLOOKUP(B120,기업리스트!B:G,2,FALSE)</f>
        <v>INOX India Limited</v>
      </c>
      <c r="E120" s="3" t="s">
        <v>310</v>
      </c>
      <c r="F120" s="5">
        <v>4.7</v>
      </c>
      <c r="G120" s="50"/>
      <c r="H120" s="50"/>
      <c r="I120" s="50"/>
      <c r="J120" s="50">
        <v>530.11</v>
      </c>
      <c r="K120" s="50">
        <v>530.11</v>
      </c>
      <c r="L120" s="50">
        <v>485.7</v>
      </c>
      <c r="M120" s="50">
        <v>383.77</v>
      </c>
      <c r="N120" s="50">
        <v>678.91</v>
      </c>
      <c r="O120" s="50">
        <v>547.37</v>
      </c>
      <c r="P120" s="50">
        <v>614.6</v>
      </c>
      <c r="Q120" s="50">
        <v>505.1</v>
      </c>
      <c r="R120" s="50">
        <v>645.98</v>
      </c>
      <c r="S120" s="50">
        <v>579.88</v>
      </c>
      <c r="T120" s="50">
        <v>628.12</v>
      </c>
      <c r="U120" s="51">
        <v>749.66</v>
      </c>
      <c r="V120" s="50">
        <v>685.68</v>
      </c>
      <c r="W120" s="50">
        <v>702.91</v>
      </c>
      <c r="X120" s="7">
        <v>5.7640819249986652E-3</v>
      </c>
      <c r="Y120" s="9">
        <v>0.10366753141055</v>
      </c>
      <c r="Z120" s="8">
        <v>1.5247883732006031E-2</v>
      </c>
      <c r="AA120" s="8">
        <v>4.6543388289058463E-2</v>
      </c>
    </row>
    <row r="121" spans="2:27" x14ac:dyDescent="0.3">
      <c r="B121" s="11" t="s">
        <v>173</v>
      </c>
      <c r="C121" s="3" t="s">
        <v>327</v>
      </c>
      <c r="D121" s="3" t="str">
        <f>VLOOKUP(B121,기업리스트!B:G,2,FALSE)</f>
        <v>Lemon Tree Hotels Limited</v>
      </c>
      <c r="E121" s="3" t="s">
        <v>315</v>
      </c>
      <c r="F121" s="5">
        <v>4.0999999999999996</v>
      </c>
      <c r="G121" s="50">
        <v>378.68</v>
      </c>
      <c r="H121" s="50">
        <v>2.82</v>
      </c>
      <c r="I121" s="50">
        <v>630.89</v>
      </c>
      <c r="J121" s="50">
        <v>685.99</v>
      </c>
      <c r="K121" s="51">
        <v>1035</v>
      </c>
      <c r="L121" s="51">
        <v>1182</v>
      </c>
      <c r="M121" s="50">
        <v>840.52</v>
      </c>
      <c r="N121" s="50">
        <v>821.87</v>
      </c>
      <c r="O121" s="50">
        <v>1086</v>
      </c>
      <c r="P121" s="50">
        <v>1424</v>
      </c>
      <c r="Q121" s="50">
        <v>808.5</v>
      </c>
      <c r="R121" s="50">
        <v>964.4</v>
      </c>
      <c r="S121" s="50">
        <v>1498</v>
      </c>
      <c r="T121" s="50">
        <v>1729</v>
      </c>
      <c r="U121" s="50">
        <v>1079</v>
      </c>
      <c r="V121" s="50">
        <v>981.25</v>
      </c>
      <c r="W121" s="50">
        <v>1716</v>
      </c>
      <c r="X121" s="7">
        <v>6.4964109991693109E-2</v>
      </c>
      <c r="Y121" s="8">
        <v>5.4101082021640552E-2</v>
      </c>
      <c r="Z121" s="8">
        <v>3.1971007893138999E-3</v>
      </c>
      <c r="AA121" s="8">
        <v>4.1231263889545573E-2</v>
      </c>
    </row>
    <row r="122" spans="2:27" x14ac:dyDescent="0.3">
      <c r="B122" s="11" t="s">
        <v>63</v>
      </c>
      <c r="C122" s="3" t="s">
        <v>327</v>
      </c>
      <c r="D122" s="3" t="str">
        <f>VLOOKUP(B122,기업리스트!B:G,2,FALSE)</f>
        <v>Shree Cement Limited</v>
      </c>
      <c r="E122" s="3" t="s">
        <v>315</v>
      </c>
      <c r="F122" s="5">
        <v>4</v>
      </c>
      <c r="G122" s="50">
        <v>5599</v>
      </c>
      <c r="H122" s="50">
        <v>6199</v>
      </c>
      <c r="I122" s="50">
        <v>4512</v>
      </c>
      <c r="J122" s="50">
        <v>1471</v>
      </c>
      <c r="K122" s="50">
        <v>2841</v>
      </c>
      <c r="L122" s="50">
        <v>4200</v>
      </c>
      <c r="M122" s="51">
        <v>6055</v>
      </c>
      <c r="N122" s="51">
        <v>4743</v>
      </c>
      <c r="O122" s="51">
        <v>8201</v>
      </c>
      <c r="P122" s="51">
        <v>7187</v>
      </c>
      <c r="Q122" s="50">
        <v>2229</v>
      </c>
      <c r="R122" s="50">
        <v>-1024</v>
      </c>
      <c r="S122" s="50">
        <v>1657</v>
      </c>
      <c r="T122" s="50">
        <v>6360</v>
      </c>
      <c r="U122" s="51">
        <v>6788</v>
      </c>
      <c r="V122" s="51">
        <v>3061</v>
      </c>
      <c r="W122" s="50">
        <v>2375</v>
      </c>
      <c r="X122" s="7">
        <v>-8.2296745944870131E-2</v>
      </c>
      <c r="Y122" s="9">
        <v>0.49436130991108218</v>
      </c>
      <c r="Z122" s="9">
        <v>0.29642261084101312</v>
      </c>
      <c r="AA122" s="8">
        <v>4.01880667189074E-2</v>
      </c>
    </row>
    <row r="123" spans="2:27" x14ac:dyDescent="0.3">
      <c r="B123" s="11" t="s">
        <v>57</v>
      </c>
      <c r="C123" s="3" t="s">
        <v>327</v>
      </c>
      <c r="D123" s="3" t="str">
        <f>VLOOKUP(B123,기업리스트!B:G,2,FALSE)</f>
        <v>Siemens Limited</v>
      </c>
      <c r="E123" s="3" t="s">
        <v>315</v>
      </c>
      <c r="F123" s="5">
        <v>1.8</v>
      </c>
      <c r="G123" s="50">
        <v>2840</v>
      </c>
      <c r="H123" s="50">
        <v>4048</v>
      </c>
      <c r="I123" s="50">
        <v>3335</v>
      </c>
      <c r="J123" s="50">
        <v>5666</v>
      </c>
      <c r="K123" s="51">
        <v>5231</v>
      </c>
      <c r="L123" s="50">
        <v>5427</v>
      </c>
      <c r="M123" s="50">
        <v>4790</v>
      </c>
      <c r="N123" s="50">
        <v>6021</v>
      </c>
      <c r="O123" s="50">
        <v>5176</v>
      </c>
      <c r="P123" s="51">
        <v>7982</v>
      </c>
      <c r="Q123" s="50">
        <v>6060</v>
      </c>
      <c r="R123" s="51">
        <v>8612</v>
      </c>
      <c r="S123" s="50">
        <v>3202</v>
      </c>
      <c r="T123" s="50">
        <v>3989</v>
      </c>
      <c r="U123" s="50">
        <v>4503</v>
      </c>
      <c r="V123" s="50">
        <v>5455</v>
      </c>
      <c r="W123" s="50">
        <v>3505</v>
      </c>
      <c r="X123" s="7">
        <v>-0.15443224009900991</v>
      </c>
      <c r="Y123" s="8">
        <v>-7.1216210035219274E-2</v>
      </c>
      <c r="Z123" s="8">
        <v>-0.15547128927410611</v>
      </c>
      <c r="AA123" s="8">
        <v>1.7668668727039542E-2</v>
      </c>
    </row>
    <row r="124" spans="2:27" x14ac:dyDescent="0.3">
      <c r="B124" s="11" t="s">
        <v>141</v>
      </c>
      <c r="C124" s="3" t="s">
        <v>327</v>
      </c>
      <c r="D124" s="3" t="str">
        <f>VLOOKUP(B124,기업리스트!B:G,2,FALSE)</f>
        <v>Crompton Greaves Consumer Electricals Limited</v>
      </c>
      <c r="E124" s="3" t="s">
        <v>315</v>
      </c>
      <c r="F124" s="5">
        <v>0.2</v>
      </c>
      <c r="G124" s="50">
        <v>1914</v>
      </c>
      <c r="H124" s="50">
        <v>2143</v>
      </c>
      <c r="I124" s="50">
        <v>1924</v>
      </c>
      <c r="J124" s="50">
        <v>1648</v>
      </c>
      <c r="K124" s="50">
        <v>1227</v>
      </c>
      <c r="L124" s="50">
        <v>1747</v>
      </c>
      <c r="M124" s="50">
        <v>1566</v>
      </c>
      <c r="N124" s="50">
        <v>1424</v>
      </c>
      <c r="O124" s="50">
        <v>1173</v>
      </c>
      <c r="P124" s="50">
        <v>1686</v>
      </c>
      <c r="Q124" s="50">
        <v>1952</v>
      </c>
      <c r="R124" s="50">
        <v>1653</v>
      </c>
      <c r="S124" s="50">
        <v>1501</v>
      </c>
      <c r="T124" s="50">
        <v>2248</v>
      </c>
      <c r="U124" s="50">
        <v>1522</v>
      </c>
      <c r="V124" s="50">
        <v>1143</v>
      </c>
      <c r="W124" s="50">
        <v>1517</v>
      </c>
      <c r="X124" s="7">
        <v>8.2744405182567649E-2</v>
      </c>
      <c r="Y124" s="8">
        <v>-5.8471580092466668E-2</v>
      </c>
      <c r="Z124" s="8">
        <v>-7.3656845753899525E-2</v>
      </c>
      <c r="AA124" s="8">
        <v>2.4945431867788859E-3</v>
      </c>
    </row>
    <row r="125" spans="2:27" x14ac:dyDescent="0.3">
      <c r="B125" s="11" t="s">
        <v>134</v>
      </c>
      <c r="C125" s="3" t="s">
        <v>327</v>
      </c>
      <c r="D125" s="3" t="str">
        <f>VLOOKUP(B125,기업리스트!B:G,2,FALSE)</f>
        <v>Sun TV Network Limited</v>
      </c>
      <c r="E125" s="3" t="s">
        <v>315</v>
      </c>
      <c r="F125" s="5">
        <v>-1.6</v>
      </c>
      <c r="G125" s="50">
        <v>5768</v>
      </c>
      <c r="H125" s="50">
        <v>4999</v>
      </c>
      <c r="I125" s="50">
        <v>5608</v>
      </c>
      <c r="J125" s="50">
        <v>4574</v>
      </c>
      <c r="K125" s="50">
        <v>4707</v>
      </c>
      <c r="L125" s="50">
        <v>4223</v>
      </c>
      <c r="M125" s="50">
        <v>7079</v>
      </c>
      <c r="N125" s="50">
        <v>5091</v>
      </c>
      <c r="O125" s="50">
        <v>4740</v>
      </c>
      <c r="P125" s="50">
        <v>4340</v>
      </c>
      <c r="Q125" s="50">
        <v>6056</v>
      </c>
      <c r="R125" s="50">
        <v>3451</v>
      </c>
      <c r="S125" s="50">
        <v>3311</v>
      </c>
      <c r="T125" s="50">
        <v>3525</v>
      </c>
      <c r="U125" s="50">
        <v>5118</v>
      </c>
      <c r="V125" s="50">
        <v>3805</v>
      </c>
      <c r="W125" s="50">
        <v>3064</v>
      </c>
      <c r="X125" s="7">
        <v>-4.7499708590744823E-2</v>
      </c>
      <c r="Y125" s="8">
        <v>-5.7394603194027997E-2</v>
      </c>
      <c r="Z125" s="8">
        <v>2.297955209347613E-2</v>
      </c>
      <c r="AA125" s="8">
        <v>-1.5673583349197329E-2</v>
      </c>
    </row>
    <row r="126" spans="2:27" x14ac:dyDescent="0.3">
      <c r="B126" s="11" t="s">
        <v>263</v>
      </c>
      <c r="C126" s="3" t="s">
        <v>327</v>
      </c>
      <c r="D126" s="3" t="str">
        <f>VLOOKUP(B126,기업리스트!B:G,2,FALSE)</f>
        <v>Sapphire Foods India Limited</v>
      </c>
      <c r="E126" s="3" t="s">
        <v>315</v>
      </c>
      <c r="F126" s="5">
        <v>-2</v>
      </c>
      <c r="G126" s="50">
        <v>631.86</v>
      </c>
      <c r="H126" s="50">
        <v>433.24</v>
      </c>
      <c r="I126" s="50">
        <v>494.52</v>
      </c>
      <c r="J126" s="50">
        <v>403.71</v>
      </c>
      <c r="K126" s="50">
        <v>486.11</v>
      </c>
      <c r="L126" s="50">
        <v>273.04000000000002</v>
      </c>
      <c r="M126" s="50">
        <v>487.2</v>
      </c>
      <c r="N126" s="50">
        <v>383.61</v>
      </c>
      <c r="O126" s="50">
        <v>343.57</v>
      </c>
      <c r="P126" s="50">
        <v>166.23</v>
      </c>
      <c r="Q126" s="50">
        <v>338.21</v>
      </c>
      <c r="R126" s="50">
        <v>239.32</v>
      </c>
      <c r="S126" s="50">
        <v>338.31</v>
      </c>
      <c r="T126" s="50">
        <v>212.58</v>
      </c>
      <c r="U126" s="50">
        <v>209.01</v>
      </c>
      <c r="V126" s="50">
        <v>48.43</v>
      </c>
      <c r="W126" s="50">
        <v>322.45</v>
      </c>
      <c r="X126" s="7">
        <v>4.2834567079763852E-2</v>
      </c>
      <c r="Y126" s="8">
        <v>-0.1144963754630368</v>
      </c>
      <c r="Z126" s="8">
        <v>-0.1910390104281339</v>
      </c>
      <c r="AA126" s="8">
        <v>-1.9620699466801891E-2</v>
      </c>
    </row>
    <row r="127" spans="2:27" x14ac:dyDescent="0.3">
      <c r="B127" s="11" t="s">
        <v>130</v>
      </c>
      <c r="C127" s="3" t="s">
        <v>327</v>
      </c>
      <c r="D127" s="3" t="str">
        <f>VLOOKUP(B127,기업리스트!B:G,2,FALSE)</f>
        <v>Ola Electric Mobility Limited</v>
      </c>
      <c r="E127" s="3" t="s">
        <v>310</v>
      </c>
      <c r="F127" s="5">
        <v>-5.8</v>
      </c>
      <c r="G127" s="50"/>
      <c r="H127" s="50"/>
      <c r="I127" s="50"/>
      <c r="J127" s="50"/>
      <c r="K127" s="50"/>
      <c r="L127" s="50"/>
      <c r="M127" s="50"/>
      <c r="N127" s="50">
        <v>-2613</v>
      </c>
      <c r="O127" s="50">
        <v>-5270</v>
      </c>
      <c r="P127" s="50">
        <v>-4040</v>
      </c>
      <c r="Q127" s="50">
        <v>-4110</v>
      </c>
      <c r="R127" s="50">
        <v>-3310</v>
      </c>
      <c r="S127" s="50">
        <v>-5110</v>
      </c>
      <c r="T127" s="51">
        <v>-5980</v>
      </c>
      <c r="U127" s="51">
        <v>-8370</v>
      </c>
      <c r="V127" s="50">
        <v>-4020</v>
      </c>
      <c r="W127" s="50">
        <v>-3750</v>
      </c>
      <c r="X127" s="10">
        <v>0.11707905853952939</v>
      </c>
      <c r="Y127" s="9">
        <v>0.23014586709886539</v>
      </c>
      <c r="Z127" s="8">
        <v>3.1181379007465981E-2</v>
      </c>
      <c r="AA127" s="8">
        <v>-5.7921635434412311E-2</v>
      </c>
    </row>
    <row r="128" spans="2:27" hidden="1" x14ac:dyDescent="0.3">
      <c r="B128" s="3" t="s">
        <v>181</v>
      </c>
      <c r="C128" s="3" t="s">
        <v>302</v>
      </c>
      <c r="D128" s="3" t="s">
        <v>331</v>
      </c>
      <c r="E128" s="3" t="s">
        <v>332</v>
      </c>
      <c r="F128" s="5">
        <v>15.9</v>
      </c>
      <c r="G128" s="4">
        <v>-48</v>
      </c>
      <c r="H128" s="4">
        <v>-91</v>
      </c>
      <c r="I128" s="4">
        <v>-149</v>
      </c>
      <c r="J128" s="4">
        <v>-5</v>
      </c>
      <c r="K128" s="4">
        <v>23</v>
      </c>
      <c r="L128" s="4">
        <v>18</v>
      </c>
      <c r="M128" s="4">
        <v>-64</v>
      </c>
      <c r="N128" s="4">
        <v>62</v>
      </c>
      <c r="O128" s="4">
        <v>-94</v>
      </c>
      <c r="P128" s="6">
        <v>-52</v>
      </c>
      <c r="Q128" s="6">
        <v>-102</v>
      </c>
      <c r="R128" s="6">
        <v>-52</v>
      </c>
      <c r="S128" s="4">
        <v>-91</v>
      </c>
      <c r="T128" s="4">
        <v>-31</v>
      </c>
      <c r="U128" s="4">
        <v>-102</v>
      </c>
      <c r="V128" s="6">
        <v>-109</v>
      </c>
      <c r="W128" s="6">
        <v>-144</v>
      </c>
      <c r="X128" s="7">
        <v>-7.0707070707070718E-2</v>
      </c>
      <c r="Y128" s="8">
        <v>0</v>
      </c>
      <c r="Z128" s="9">
        <v>0.20652173913043481</v>
      </c>
      <c r="AA128" s="9">
        <v>0.15915915915915921</v>
      </c>
    </row>
    <row r="129" spans="2:27" x14ac:dyDescent="0.3">
      <c r="B129" s="11" t="s">
        <v>258</v>
      </c>
      <c r="C129" s="3" t="s">
        <v>327</v>
      </c>
      <c r="D129" s="3" t="str">
        <f>VLOOKUP(B129,기업리스트!B:G,2,FALSE)</f>
        <v>Max Estates Limited</v>
      </c>
      <c r="E129" s="3" t="s">
        <v>315</v>
      </c>
      <c r="F129" s="5">
        <v>-13.8</v>
      </c>
      <c r="G129" s="50"/>
      <c r="H129" s="50"/>
      <c r="I129" s="50">
        <v>107.15</v>
      </c>
      <c r="J129" s="50">
        <v>103.9</v>
      </c>
      <c r="K129" s="50">
        <v>99.88</v>
      </c>
      <c r="L129" s="50">
        <v>79.239999999999995</v>
      </c>
      <c r="M129" s="50">
        <v>46.29</v>
      </c>
      <c r="N129" s="50">
        <v>14.82</v>
      </c>
      <c r="O129" s="50">
        <v>56.83</v>
      </c>
      <c r="P129" s="50">
        <v>79.03</v>
      </c>
      <c r="Q129" s="51">
        <v>136.76</v>
      </c>
      <c r="R129" s="51">
        <v>127.29</v>
      </c>
      <c r="S129" s="51">
        <v>352.61</v>
      </c>
      <c r="T129" s="51">
        <v>378.21</v>
      </c>
      <c r="U129" s="51">
        <v>341.58</v>
      </c>
      <c r="V129" s="51">
        <v>279.05</v>
      </c>
      <c r="W129" s="50">
        <v>165.84</v>
      </c>
      <c r="X129" s="10">
        <v>0.43004786614727819</v>
      </c>
      <c r="Y129" s="9">
        <v>0.2058761446219104</v>
      </c>
      <c r="Z129" s="9">
        <v>0.12649934566429669</v>
      </c>
      <c r="AA129" s="8">
        <v>-0.13819971142106621</v>
      </c>
    </row>
  </sheetData>
  <autoFilter ref="B2:AA129" xr:uid="{00000000-0009-0000-0000-000002000000}">
    <filterColumn colId="3">
      <filters>
        <filter val="Dec'25"/>
        <filter val="H2 2025"/>
        <filter val="Jun'26"/>
        <filter val="Mar'26"/>
        <filter val="Sep'26"/>
      </filters>
    </filterColumn>
    <sortState xmlns:xlrd2="http://schemas.microsoft.com/office/spreadsheetml/2017/richdata2" ref="B3:AA129">
      <sortCondition descending="1" ref="C2:C129"/>
    </sortState>
  </autoFilter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23"/>
  <sheetViews>
    <sheetView workbookViewId="0">
      <selection activeCell="B2" sqref="B2:W14"/>
    </sheetView>
  </sheetViews>
  <sheetFormatPr defaultRowHeight="16.5" x14ac:dyDescent="0.3"/>
  <cols>
    <col min="1" max="1" width="3" customWidth="1"/>
    <col min="2" max="2" width="18" customWidth="1"/>
    <col min="3" max="7" width="9.5" hidden="1" customWidth="1"/>
    <col min="8" max="8" width="9.875" customWidth="1"/>
    <col min="9" max="16" width="9.5" customWidth="1"/>
    <col min="17" max="17" width="10" customWidth="1"/>
    <col min="18" max="18" width="11" customWidth="1"/>
    <col min="19" max="23" width="9.5" customWidth="1"/>
  </cols>
  <sheetData>
    <row r="2" spans="2:28" x14ac:dyDescent="0.3">
      <c r="B2" s="13" t="s">
        <v>352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28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2:28" x14ac:dyDescent="0.3">
      <c r="B4" s="15">
        <v>7287</v>
      </c>
      <c r="C4" s="16">
        <v>6</v>
      </c>
      <c r="D4" s="16">
        <v>7</v>
      </c>
      <c r="E4" s="16">
        <v>8</v>
      </c>
      <c r="F4" s="16">
        <v>9</v>
      </c>
      <c r="G4" s="16">
        <v>10</v>
      </c>
      <c r="H4" s="16">
        <v>11</v>
      </c>
      <c r="I4" s="16">
        <v>12</v>
      </c>
      <c r="J4" s="16">
        <v>13</v>
      </c>
      <c r="K4" s="16">
        <v>14</v>
      </c>
      <c r="L4" s="16">
        <v>15</v>
      </c>
      <c r="M4" s="16">
        <v>16</v>
      </c>
      <c r="N4" s="16">
        <v>17</v>
      </c>
      <c r="O4" s="16">
        <v>18</v>
      </c>
      <c r="P4" s="16">
        <v>19</v>
      </c>
      <c r="Q4" s="16">
        <v>20</v>
      </c>
      <c r="R4" s="16">
        <v>21</v>
      </c>
      <c r="S4" s="16">
        <v>22</v>
      </c>
      <c r="Z4" s="11" t="s">
        <v>100</v>
      </c>
      <c r="AA4" s="11">
        <v>6366</v>
      </c>
      <c r="AB4" s="3" t="s">
        <v>202</v>
      </c>
    </row>
    <row r="5" spans="2:28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Z5" s="11" t="s">
        <v>36</v>
      </c>
      <c r="AA5" s="11">
        <v>5021</v>
      </c>
      <c r="AB5" s="3" t="s">
        <v>108</v>
      </c>
    </row>
    <row r="6" spans="2:28" ht="18" customHeight="1" x14ac:dyDescent="0.3">
      <c r="B6" s="18"/>
      <c r="C6" s="19" t="s">
        <v>353</v>
      </c>
      <c r="D6" s="19" t="s">
        <v>354</v>
      </c>
      <c r="E6" s="19" t="s">
        <v>355</v>
      </c>
      <c r="F6" s="19" t="s">
        <v>356</v>
      </c>
      <c r="G6" s="19" t="s">
        <v>357</v>
      </c>
      <c r="H6" s="19" t="s">
        <v>290</v>
      </c>
      <c r="I6" s="19" t="s">
        <v>358</v>
      </c>
      <c r="J6" s="19" t="s">
        <v>359</v>
      </c>
      <c r="K6" s="19" t="s">
        <v>360</v>
      </c>
      <c r="L6" s="19" t="s">
        <v>294</v>
      </c>
      <c r="M6" s="19" t="s">
        <v>295</v>
      </c>
      <c r="N6" s="19" t="s">
        <v>296</v>
      </c>
      <c r="O6" s="19" t="s">
        <v>297</v>
      </c>
      <c r="P6" s="19" t="s">
        <v>298</v>
      </c>
      <c r="Q6" s="19" t="s">
        <v>299</v>
      </c>
      <c r="R6" s="19" t="s">
        <v>300</v>
      </c>
      <c r="S6" s="20" t="s">
        <v>301</v>
      </c>
      <c r="T6" s="19" t="s">
        <v>361</v>
      </c>
      <c r="U6" s="19" t="s">
        <v>362</v>
      </c>
      <c r="V6" s="19" t="s">
        <v>363</v>
      </c>
      <c r="W6" s="19" t="s">
        <v>364</v>
      </c>
      <c r="Z6" s="11" t="s">
        <v>59</v>
      </c>
      <c r="AA6" s="11">
        <v>6976</v>
      </c>
      <c r="AB6" s="3" t="s">
        <v>121</v>
      </c>
    </row>
    <row r="7" spans="2:28" x14ac:dyDescent="0.3">
      <c r="B7" s="21" t="s">
        <v>365</v>
      </c>
      <c r="C7" s="22">
        <f>VLOOKUP($B$4,Revenue!$B:$W,C4,FALSE)</f>
        <v>55708</v>
      </c>
      <c r="D7" s="22">
        <f>VLOOKUP($B$4,Revenue!$B:$W,D4,FALSE)</f>
        <v>62912</v>
      </c>
      <c r="E7" s="22">
        <f>VLOOKUP($B$4,Revenue!$B:$W,E4,FALSE)</f>
        <v>56212</v>
      </c>
      <c r="F7" s="22">
        <f>VLOOKUP($B$4,Revenue!$B:$W,F4,FALSE)</f>
        <v>71742</v>
      </c>
      <c r="G7" s="22">
        <f>VLOOKUP($B$4,Revenue!$B:$W,G4,FALSE)</f>
        <v>71570</v>
      </c>
      <c r="H7" s="22">
        <f>VLOOKUP($B$4,Revenue!$B:$W,H4,FALSE)</f>
        <v>76251</v>
      </c>
      <c r="I7" s="22">
        <f>VLOOKUP($B$4,Revenue!$B:$W,I4,FALSE)</f>
        <v>74397</v>
      </c>
      <c r="J7" s="22">
        <f>VLOOKUP($B$4,Revenue!$B:$W,J4,FALSE)</f>
        <v>75794</v>
      </c>
      <c r="K7" s="22">
        <f>VLOOKUP($B$4,Revenue!$B:$W,K4,FALSE)</f>
        <v>79454</v>
      </c>
      <c r="L7" s="22">
        <f>VLOOKUP($B$4,Revenue!$B:$W,L4,FALSE)</f>
        <v>82709</v>
      </c>
      <c r="M7" s="22">
        <f>VLOOKUP($B$4,Revenue!$B:$W,M4,FALSE)</f>
        <v>76383</v>
      </c>
      <c r="N7" s="22">
        <f>VLOOKUP($B$4,Revenue!$B:$W,N4,FALSE)</f>
        <v>76064</v>
      </c>
      <c r="O7" s="22">
        <f>VLOOKUP($B$4,Revenue!$B:$W,O4,FALSE)</f>
        <v>75353</v>
      </c>
      <c r="P7" s="22">
        <f>VLOOKUP($B$4,Revenue!$B:$W,P4,FALSE)</f>
        <v>88597</v>
      </c>
      <c r="Q7" s="22">
        <f>VLOOKUP($B$4,Revenue!$B:$W,Q4,FALSE)</f>
        <v>76224</v>
      </c>
      <c r="R7" s="22">
        <f>VLOOKUP($B$4,Revenue!$B:$W,R4,FALSE)</f>
        <v>80018</v>
      </c>
      <c r="S7" s="23">
        <f>VLOOKUP($B$4,Revenue!$B:$W,S4,FALSE)</f>
        <v>78120</v>
      </c>
      <c r="T7" s="22"/>
      <c r="U7" s="22"/>
      <c r="V7" s="22"/>
      <c r="W7" s="22"/>
      <c r="Z7" s="11" t="s">
        <v>89</v>
      </c>
      <c r="AA7" s="11">
        <v>6804</v>
      </c>
      <c r="AB7" s="3" t="s">
        <v>239</v>
      </c>
    </row>
    <row r="8" spans="2:28" x14ac:dyDescent="0.3">
      <c r="B8" s="21" t="s">
        <v>366</v>
      </c>
      <c r="C8" s="22">
        <f>VLOOKUP($B$4,'Operating Income'!$B:$W,C4,FALSE)</f>
        <v>-1954</v>
      </c>
      <c r="D8" s="22">
        <f>VLOOKUP($B$4,'Operating Income'!$B:$W,D4,FALSE)</f>
        <v>2675</v>
      </c>
      <c r="E8" s="22">
        <f>VLOOKUP($B$4,'Operating Income'!$B:$W,E4,FALSE)</f>
        <v>-3297</v>
      </c>
      <c r="F8" s="22">
        <f>VLOOKUP($B$4,'Operating Income'!$B:$W,F4,FALSE)</f>
        <v>3047</v>
      </c>
      <c r="G8" s="22">
        <f>VLOOKUP($B$4,'Operating Income'!$B:$W,G4,FALSE)</f>
        <v>1804</v>
      </c>
      <c r="H8" s="22">
        <f>VLOOKUP($B$4,'Operating Income'!$B:$W,H4,FALSE)</f>
        <v>1254</v>
      </c>
      <c r="I8" s="22">
        <f>VLOOKUP($B$4,'Operating Income'!$B:$W,I4,FALSE)</f>
        <v>2307</v>
      </c>
      <c r="J8" s="22">
        <f>VLOOKUP($B$4,'Operating Income'!$B:$W,J4,FALSE)</f>
        <v>2486</v>
      </c>
      <c r="K8" s="22">
        <f>VLOOKUP($B$4,'Operating Income'!$B:$W,K4,FALSE)</f>
        <v>1849</v>
      </c>
      <c r="L8" s="22">
        <f>VLOOKUP($B$4,'Operating Income'!$B:$W,L4,FALSE)</f>
        <v>3598</v>
      </c>
      <c r="M8" s="22">
        <f>VLOOKUP($B$4,'Operating Income'!$B:$W,M4,FALSE)</f>
        <v>2182</v>
      </c>
      <c r="N8" s="22">
        <f>VLOOKUP($B$4,'Operating Income'!$B:$W,N4,FALSE)</f>
        <v>1265</v>
      </c>
      <c r="O8" s="22">
        <f>VLOOKUP($B$4,'Operating Income'!$B:$W,O4,FALSE)</f>
        <v>2179</v>
      </c>
      <c r="P8" s="22">
        <f>VLOOKUP($B$4,'Operating Income'!$B:$W,P4,FALSE)</f>
        <v>3725</v>
      </c>
      <c r="Q8" s="22">
        <f>VLOOKUP($B$4,'Operating Income'!$B:$W,Q4,FALSE)</f>
        <v>1522</v>
      </c>
      <c r="R8" s="22">
        <f>VLOOKUP($B$4,'Operating Income'!$B:$W,R4,FALSE)</f>
        <v>3727</v>
      </c>
      <c r="S8" s="23">
        <f>VLOOKUP($B$4,'Operating Income'!$B:$W,S4,FALSE)</f>
        <v>3318</v>
      </c>
      <c r="T8" s="22"/>
      <c r="U8" s="22"/>
      <c r="V8" s="22"/>
      <c r="W8" s="22"/>
      <c r="Z8" s="11" t="s">
        <v>55</v>
      </c>
      <c r="AA8" s="11">
        <v>5214</v>
      </c>
      <c r="AB8" s="3" t="s">
        <v>118</v>
      </c>
    </row>
    <row r="9" spans="2:28" x14ac:dyDescent="0.3">
      <c r="B9" s="21" t="s">
        <v>367</v>
      </c>
      <c r="C9" s="22">
        <f>AVERAGE(C8:C8)</f>
        <v>-1954</v>
      </c>
      <c r="D9" s="22">
        <f>AVERAGE(C8:D8)</f>
        <v>360.5</v>
      </c>
      <c r="E9" s="22">
        <f>AVERAGE(C8:E8)</f>
        <v>-858.66666666666663</v>
      </c>
      <c r="F9" s="22">
        <f t="shared" ref="F9:R9" si="0">AVERAGE(C8:F8)</f>
        <v>117.75</v>
      </c>
      <c r="G9" s="22">
        <f t="shared" si="0"/>
        <v>1057.25</v>
      </c>
      <c r="H9" s="22">
        <f t="shared" si="0"/>
        <v>702</v>
      </c>
      <c r="I9" s="22">
        <f t="shared" si="0"/>
        <v>2103</v>
      </c>
      <c r="J9" s="22">
        <f>AVERAGE(G8:J8)</f>
        <v>1962.75</v>
      </c>
      <c r="K9" s="22">
        <f t="shared" si="0"/>
        <v>1974</v>
      </c>
      <c r="L9" s="22">
        <f t="shared" si="0"/>
        <v>2560</v>
      </c>
      <c r="M9" s="22">
        <f t="shared" si="0"/>
        <v>2528.75</v>
      </c>
      <c r="N9" s="22">
        <f t="shared" si="0"/>
        <v>2223.5</v>
      </c>
      <c r="O9" s="22">
        <f t="shared" si="0"/>
        <v>2306</v>
      </c>
      <c r="P9" s="22">
        <f t="shared" si="0"/>
        <v>2337.75</v>
      </c>
      <c r="Q9" s="22">
        <f t="shared" si="0"/>
        <v>2172.75</v>
      </c>
      <c r="R9" s="22">
        <f t="shared" si="0"/>
        <v>2788.25</v>
      </c>
      <c r="S9" s="23">
        <f>AVERAGE(P8:S8)</f>
        <v>3073</v>
      </c>
      <c r="T9" s="22"/>
      <c r="U9" s="22"/>
      <c r="V9" s="22"/>
      <c r="W9" s="22"/>
      <c r="Z9" s="11" t="s">
        <v>190</v>
      </c>
      <c r="AA9" s="11">
        <v>6652</v>
      </c>
      <c r="AB9" s="3" t="s">
        <v>268</v>
      </c>
    </row>
    <row r="10" spans="2:28" x14ac:dyDescent="0.3">
      <c r="B10" s="21" t="s">
        <v>368</v>
      </c>
      <c r="C10" s="22">
        <f>SUM(C8:C8)</f>
        <v>-1954</v>
      </c>
      <c r="D10" s="22">
        <f>SUM(C8:D8)</f>
        <v>721</v>
      </c>
      <c r="E10" s="22">
        <f>SUM(C8:E8)</f>
        <v>-2576</v>
      </c>
      <c r="F10" s="22">
        <f t="shared" ref="F10:S10" si="1">SUM(C8:F8)</f>
        <v>471</v>
      </c>
      <c r="G10" s="22">
        <f t="shared" si="1"/>
        <v>4229</v>
      </c>
      <c r="H10" s="22">
        <f t="shared" si="1"/>
        <v>2808</v>
      </c>
      <c r="I10" s="22">
        <f t="shared" si="1"/>
        <v>8412</v>
      </c>
      <c r="J10" s="22">
        <f t="shared" si="1"/>
        <v>7851</v>
      </c>
      <c r="K10" s="22">
        <f t="shared" si="1"/>
        <v>7896</v>
      </c>
      <c r="L10" s="22">
        <f t="shared" si="1"/>
        <v>10240</v>
      </c>
      <c r="M10" s="22">
        <f t="shared" si="1"/>
        <v>10115</v>
      </c>
      <c r="N10" s="22">
        <f t="shared" si="1"/>
        <v>8894</v>
      </c>
      <c r="O10" s="22">
        <f t="shared" si="1"/>
        <v>9224</v>
      </c>
      <c r="P10" s="22">
        <f t="shared" si="1"/>
        <v>9351</v>
      </c>
      <c r="Q10" s="22">
        <f t="shared" si="1"/>
        <v>8691</v>
      </c>
      <c r="R10" s="22">
        <f t="shared" si="1"/>
        <v>11153</v>
      </c>
      <c r="S10" s="23">
        <f t="shared" si="1"/>
        <v>12292</v>
      </c>
      <c r="T10" s="22"/>
      <c r="U10" s="22"/>
      <c r="V10" s="22"/>
      <c r="W10" s="22"/>
      <c r="Z10" s="11" t="s">
        <v>21</v>
      </c>
      <c r="AA10" s="11">
        <v>4751</v>
      </c>
      <c r="AB10" s="3" t="s">
        <v>98</v>
      </c>
    </row>
    <row r="11" spans="2:28" x14ac:dyDescent="0.3">
      <c r="B11" s="21" t="s">
        <v>369</v>
      </c>
      <c r="C11" s="24"/>
      <c r="D11" s="24">
        <f t="shared" ref="D11:S11" si="2">D9/C9-1</f>
        <v>-1.1844933469805528</v>
      </c>
      <c r="E11" s="24">
        <f t="shared" si="2"/>
        <v>-3.3818770226537214</v>
      </c>
      <c r="F11" s="24">
        <f t="shared" si="2"/>
        <v>-1.1371312111801242</v>
      </c>
      <c r="G11" s="24">
        <f t="shared" si="2"/>
        <v>7.9787685774946926</v>
      </c>
      <c r="H11" s="24">
        <f t="shared" si="2"/>
        <v>-0.33601324190115867</v>
      </c>
      <c r="I11" s="24">
        <f t="shared" si="2"/>
        <v>1.9957264957264957</v>
      </c>
      <c r="J11" s="24">
        <f t="shared" si="2"/>
        <v>-6.6690442225392332E-2</v>
      </c>
      <c r="K11" s="24">
        <f t="shared" si="2"/>
        <v>5.7317539166985565E-3</v>
      </c>
      <c r="L11" s="24">
        <f t="shared" si="2"/>
        <v>0.29685916919959476</v>
      </c>
      <c r="M11" s="24">
        <f t="shared" si="2"/>
        <v>-1.220703125E-2</v>
      </c>
      <c r="N11" s="24">
        <f t="shared" si="2"/>
        <v>-0.12071181413741972</v>
      </c>
      <c r="O11" s="24">
        <f t="shared" si="2"/>
        <v>3.7103665392399288E-2</v>
      </c>
      <c r="P11" s="25">
        <f t="shared" si="2"/>
        <v>1.3768430182133473E-2</v>
      </c>
      <c r="Q11" s="25">
        <f t="shared" si="2"/>
        <v>-7.0580686557587424E-2</v>
      </c>
      <c r="R11" s="25">
        <f t="shared" si="2"/>
        <v>0.2832815556322632</v>
      </c>
      <c r="S11" s="26">
        <f t="shared" si="2"/>
        <v>0.10212498879225329</v>
      </c>
      <c r="T11" s="27"/>
      <c r="U11" s="27"/>
      <c r="V11" s="27"/>
      <c r="W11" s="27"/>
      <c r="AA11" s="11">
        <v>1968</v>
      </c>
      <c r="AB11" s="3" t="s">
        <v>229</v>
      </c>
    </row>
    <row r="12" spans="2:28" x14ac:dyDescent="0.3">
      <c r="B12" s="21" t="s">
        <v>336</v>
      </c>
      <c r="C12" s="28">
        <f t="shared" ref="C12:F12" si="3">IFERROR(C8/C7,"-")</f>
        <v>-3.5075752136138436E-2</v>
      </c>
      <c r="D12" s="28">
        <f t="shared" si="3"/>
        <v>4.2519710071210581E-2</v>
      </c>
      <c r="E12" s="28">
        <f t="shared" si="3"/>
        <v>-5.8652956664057496E-2</v>
      </c>
      <c r="F12" s="28">
        <f t="shared" si="3"/>
        <v>4.2471634467954614E-2</v>
      </c>
      <c r="G12" s="28">
        <f>IFERROR(G8/G7,"-")</f>
        <v>2.5206091937962832E-2</v>
      </c>
      <c r="H12" s="28">
        <f t="shared" ref="H12:S12" si="4">IFERROR(H8/H7,"-")</f>
        <v>1.6445685958216941E-2</v>
      </c>
      <c r="I12" s="28">
        <f t="shared" si="4"/>
        <v>3.1009314891729506E-2</v>
      </c>
      <c r="J12" s="28">
        <f t="shared" si="4"/>
        <v>3.2799430034039637E-2</v>
      </c>
      <c r="K12" s="28">
        <f t="shared" si="4"/>
        <v>2.3271326805447176E-2</v>
      </c>
      <c r="L12" s="28">
        <f t="shared" si="4"/>
        <v>4.3501916357349263E-2</v>
      </c>
      <c r="M12" s="28">
        <f t="shared" si="4"/>
        <v>2.8566565858895304E-2</v>
      </c>
      <c r="N12" s="28">
        <f t="shared" si="4"/>
        <v>1.6630732015145141E-2</v>
      </c>
      <c r="O12" s="28">
        <f t="shared" si="4"/>
        <v>2.8917229572810638E-2</v>
      </c>
      <c r="P12" s="28">
        <f t="shared" si="4"/>
        <v>4.2044313012855966E-2</v>
      </c>
      <c r="Q12" s="28">
        <f t="shared" si="4"/>
        <v>1.9967464315701091E-2</v>
      </c>
      <c r="R12" s="28">
        <f t="shared" si="4"/>
        <v>4.6577020170461648E-2</v>
      </c>
      <c r="S12" s="29">
        <f t="shared" si="4"/>
        <v>4.2473118279569892E-2</v>
      </c>
      <c r="T12" s="30"/>
      <c r="U12" s="30"/>
      <c r="V12" s="30"/>
      <c r="W12" s="30"/>
      <c r="AA12" s="11">
        <v>7322</v>
      </c>
      <c r="AB12" s="3" t="s">
        <v>240</v>
      </c>
    </row>
    <row r="13" spans="2:28" x14ac:dyDescent="0.3">
      <c r="B13" s="21" t="s">
        <v>370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4" si="5">G8/C8-1</f>
        <v>-1.9232343909928353</v>
      </c>
      <c r="H13" s="30">
        <f t="shared" si="5"/>
        <v>-0.53121495327102797</v>
      </c>
      <c r="I13" s="30">
        <f t="shared" si="5"/>
        <v>-1.6997270245677889</v>
      </c>
      <c r="J13" s="30">
        <f t="shared" si="5"/>
        <v>-0.18411552346570392</v>
      </c>
      <c r="K13" s="30">
        <f t="shared" si="5"/>
        <v>2.4944567627494418E-2</v>
      </c>
      <c r="L13" s="30">
        <f t="shared" si="5"/>
        <v>1.869218500797448</v>
      </c>
      <c r="M13" s="30">
        <f t="shared" si="5"/>
        <v>-5.4182921543129647E-2</v>
      </c>
      <c r="N13" s="30">
        <f t="shared" si="5"/>
        <v>-0.49115044247787609</v>
      </c>
      <c r="O13" s="30">
        <f t="shared" si="5"/>
        <v>0.1784748512709573</v>
      </c>
      <c r="P13" s="31">
        <f t="shared" si="5"/>
        <v>3.5297387437465355E-2</v>
      </c>
      <c r="Q13" s="31">
        <f t="shared" si="5"/>
        <v>-0.30247479376718611</v>
      </c>
      <c r="R13" s="31">
        <f t="shared" si="5"/>
        <v>1.9462450592885374</v>
      </c>
      <c r="S13" s="32">
        <f t="shared" si="5"/>
        <v>0.52271684258834328</v>
      </c>
      <c r="T13" s="30"/>
      <c r="U13" s="30"/>
      <c r="V13" s="30"/>
      <c r="W13" s="30"/>
      <c r="AA13" s="11">
        <v>8522</v>
      </c>
      <c r="AB13" s="3" t="s">
        <v>177</v>
      </c>
    </row>
    <row r="14" spans="2:28" x14ac:dyDescent="0.3">
      <c r="B14" s="21" t="s">
        <v>371</v>
      </c>
      <c r="G14" s="30">
        <f>G7/C7-1</f>
        <v>0.28473468801608393</v>
      </c>
      <c r="H14" s="30">
        <f t="shared" ref="H14:S14" si="6">H7/D7-1</f>
        <v>0.21202632248219744</v>
      </c>
      <c r="I14" s="30">
        <f t="shared" si="6"/>
        <v>0.32350743613463306</v>
      </c>
      <c r="J14" s="30">
        <f t="shared" si="6"/>
        <v>5.6480165035822871E-2</v>
      </c>
      <c r="K14" s="30">
        <f t="shared" si="6"/>
        <v>0.1101578873829816</v>
      </c>
      <c r="L14" s="30">
        <f t="shared" si="6"/>
        <v>8.4693971226606823E-2</v>
      </c>
      <c r="M14" s="30">
        <f t="shared" si="6"/>
        <v>2.6694624783257348E-2</v>
      </c>
      <c r="N14" s="30">
        <f t="shared" si="6"/>
        <v>3.5622872522891313E-3</v>
      </c>
      <c r="O14" s="30">
        <f t="shared" si="6"/>
        <v>-5.1614770810783583E-2</v>
      </c>
      <c r="P14" s="30">
        <f t="shared" si="6"/>
        <v>7.1189350614806024E-2</v>
      </c>
      <c r="Q14" s="30">
        <f t="shared" si="6"/>
        <v>-2.0816150190486882E-3</v>
      </c>
      <c r="R14" s="30">
        <f t="shared" si="6"/>
        <v>5.1982541018090078E-2</v>
      </c>
      <c r="S14" s="30">
        <f t="shared" si="6"/>
        <v>3.6720502169787617E-2</v>
      </c>
      <c r="AA14" s="11">
        <v>9684</v>
      </c>
      <c r="AB14" s="3" t="s">
        <v>79</v>
      </c>
    </row>
    <row r="15" spans="2:28" x14ac:dyDescent="0.3">
      <c r="AA15" s="11">
        <v>1720</v>
      </c>
      <c r="AB15" s="3" t="s">
        <v>234</v>
      </c>
    </row>
    <row r="16" spans="2:28" x14ac:dyDescent="0.3">
      <c r="AA16" s="59">
        <v>1965</v>
      </c>
      <c r="AB16" s="3" t="s">
        <v>215</v>
      </c>
    </row>
    <row r="17" spans="27:28" x14ac:dyDescent="0.3">
      <c r="AA17" s="11">
        <v>8424</v>
      </c>
      <c r="AB17" s="3" t="s">
        <v>136</v>
      </c>
    </row>
    <row r="18" spans="27:28" x14ac:dyDescent="0.3">
      <c r="AA18" s="11">
        <v>6406</v>
      </c>
      <c r="AB18" s="3" t="s">
        <v>125</v>
      </c>
    </row>
    <row r="19" spans="27:28" x14ac:dyDescent="0.3">
      <c r="AA19" s="11">
        <v>6332</v>
      </c>
      <c r="AB19" s="3" t="s">
        <v>249</v>
      </c>
    </row>
    <row r="20" spans="27:28" x14ac:dyDescent="0.3">
      <c r="AA20" s="11">
        <v>1515</v>
      </c>
      <c r="AB20" s="3" t="s">
        <v>212</v>
      </c>
    </row>
    <row r="21" spans="27:28" x14ac:dyDescent="0.3">
      <c r="AA21" s="11">
        <v>2004</v>
      </c>
      <c r="AB21" s="3" t="s">
        <v>265</v>
      </c>
    </row>
    <row r="22" spans="27:28" x14ac:dyDescent="0.3">
      <c r="AA22" s="11">
        <v>8359</v>
      </c>
      <c r="AB22" s="3" t="s">
        <v>104</v>
      </c>
    </row>
    <row r="23" spans="27:28" x14ac:dyDescent="0.3">
      <c r="AA23" s="11">
        <v>7287</v>
      </c>
      <c r="AB23" s="3" t="s">
        <v>227</v>
      </c>
    </row>
  </sheetData>
  <phoneticPr fontId="5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2026-02-08T09:48:27Z</dcterms:created>
  <dcterms:modified xsi:type="dcterms:W3CDTF">2026-02-08T10:25:53Z</dcterms:modified>
</cp:coreProperties>
</file>