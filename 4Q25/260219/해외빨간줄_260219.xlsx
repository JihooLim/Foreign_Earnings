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127" documentId="11_8F59755C3099D0BD247D89F31FFFCA7A2E86D45A" xr6:coauthVersionLast="47" xr6:coauthVersionMax="47" xr10:uidLastSave="{A8590A64-22A9-433E-9416-78151685CD80}"/>
  <bookViews>
    <workbookView xWindow="28680" yWindow="465" windowWidth="29040" windowHeight="15720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Income'!$B$2:$AA$134</definedName>
    <definedName name="_xlnm._FilterDatabase" localSheetId="1" hidden="1">Revenue!$B$2:$AA$134</definedName>
    <definedName name="_xlnm._FilterDatabase" localSheetId="0" hidden="1">기업리스트!$B$3:$G$205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D8" i="4"/>
  <c r="E8" i="4"/>
  <c r="F8" i="4"/>
  <c r="G8" i="4"/>
  <c r="H8" i="4"/>
  <c r="H13" i="4" s="1"/>
  <c r="I8" i="4"/>
  <c r="J8" i="4"/>
  <c r="K8" i="4"/>
  <c r="L8" i="4"/>
  <c r="M8" i="4"/>
  <c r="N8" i="4"/>
  <c r="O8" i="4"/>
  <c r="P8" i="4"/>
  <c r="Q8" i="4"/>
  <c r="R8" i="4"/>
  <c r="S8" i="4"/>
  <c r="C8" i="4"/>
  <c r="C7" i="4"/>
  <c r="H14" i="4"/>
  <c r="K14" i="4" l="1"/>
  <c r="H10" i="4"/>
  <c r="I14" i="4"/>
  <c r="J14" i="4"/>
  <c r="N14" i="4"/>
  <c r="G10" i="4"/>
  <c r="D9" i="4"/>
  <c r="O9" i="4"/>
  <c r="M9" i="4"/>
  <c r="P9" i="4"/>
  <c r="N9" i="4"/>
  <c r="S14" i="4"/>
  <c r="L9" i="4"/>
  <c r="S13" i="4"/>
  <c r="R13" i="4"/>
  <c r="Q13" i="4"/>
  <c r="S10" i="4"/>
  <c r="P14" i="4"/>
  <c r="Q10" i="4"/>
  <c r="L14" i="4"/>
  <c r="Q14" i="4"/>
  <c r="R14" i="4"/>
  <c r="J10" i="4"/>
  <c r="I10" i="4"/>
  <c r="M14" i="4"/>
  <c r="M12" i="4"/>
  <c r="R10" i="4"/>
  <c r="O14" i="4"/>
  <c r="C9" i="4"/>
  <c r="G14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K10" i="4"/>
  <c r="N12" i="4"/>
  <c r="J9" i="4"/>
  <c r="E10" i="4"/>
  <c r="H12" i="4"/>
  <c r="C13" i="4"/>
  <c r="O13" i="4"/>
  <c r="K9" i="4"/>
  <c r="F10" i="4"/>
  <c r="I12" i="4"/>
  <c r="D13" i="4"/>
  <c r="P13" i="4"/>
  <c r="I13" i="4"/>
  <c r="J12" i="4"/>
  <c r="E13" i="4"/>
  <c r="K12" i="4"/>
  <c r="F13" i="4"/>
  <c r="L12" i="4"/>
  <c r="G13" i="4"/>
  <c r="N11" i="4" l="1"/>
  <c r="E11" i="4"/>
  <c r="P11" i="4"/>
  <c r="D11" i="4"/>
  <c r="M11" i="4"/>
  <c r="Q11" i="4"/>
  <c r="O11" i="4"/>
  <c r="K11" i="4"/>
  <c r="S11" i="4"/>
  <c r="H11" i="4"/>
  <c r="F11" i="4"/>
  <c r="L11" i="4"/>
  <c r="I11" i="4"/>
  <c r="J11" i="4"/>
  <c r="G11" i="4"/>
  <c r="R11" i="4"/>
  <c r="D105" i="2" l="1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AA19" i="3"/>
  <c r="F19" i="3" s="1"/>
</calcChain>
</file>

<file path=xl/sharedStrings.xml><?xml version="1.0" encoding="utf-8"?>
<sst xmlns="http://schemas.openxmlformats.org/spreadsheetml/2006/main" count="2020" uniqueCount="536">
  <si>
    <t>실적 기업 정보</t>
  </si>
  <si>
    <t>Ticker</t>
  </si>
  <si>
    <t>Company</t>
  </si>
  <si>
    <t>Date</t>
  </si>
  <si>
    <t>Time</t>
  </si>
  <si>
    <t>Quarter Ending</t>
  </si>
  <si>
    <t>Market Cap (mil$)</t>
  </si>
  <si>
    <t>WMT</t>
  </si>
  <si>
    <t>Walmart Inc.</t>
  </si>
  <si>
    <t>19-Feb-26</t>
  </si>
  <si>
    <t>Pre Market</t>
  </si>
  <si>
    <t>Jan-26</t>
  </si>
  <si>
    <t>BABA</t>
  </si>
  <si>
    <t>Alibaba Group Holding Limited</t>
  </si>
  <si>
    <t>Dec-25</t>
  </si>
  <si>
    <t>AIR</t>
  </si>
  <si>
    <t>Airbus SE</t>
  </si>
  <si>
    <t>RIO</t>
  </si>
  <si>
    <t>Rio Tinto Group</t>
  </si>
  <si>
    <t>DE</t>
  </si>
  <si>
    <t>Deere &amp; Company</t>
  </si>
  <si>
    <t>Feb-26</t>
  </si>
  <si>
    <t>NEM</t>
  </si>
  <si>
    <t>Newmont Corporation</t>
  </si>
  <si>
    <t>After Hours</t>
  </si>
  <si>
    <t>SO</t>
  </si>
  <si>
    <t>The Southern Company</t>
  </si>
  <si>
    <t>ZURN</t>
  </si>
  <si>
    <t>Zurich Insurance Group AG</t>
  </si>
  <si>
    <t>NU</t>
  </si>
  <si>
    <t>Nu Holdings Ltd.</t>
  </si>
  <si>
    <t>PWR</t>
  </si>
  <si>
    <t>Quanta Services, Inc.</t>
  </si>
  <si>
    <t>GFI</t>
  </si>
  <si>
    <t>Gold Fields Limited</t>
  </si>
  <si>
    <t>TRGP</t>
  </si>
  <si>
    <t>Targa Resources Corp.</t>
  </si>
  <si>
    <t>FIX</t>
  </si>
  <si>
    <t>Comfort Systems USA, Inc.</t>
  </si>
  <si>
    <t>CPRT</t>
  </si>
  <si>
    <t>Copart, Inc.</t>
  </si>
  <si>
    <t>CVE</t>
  </si>
  <si>
    <t>Cenovus Energy Inc.</t>
  </si>
  <si>
    <t>FFH</t>
  </si>
  <si>
    <t>Fairfax Financial Holdings Limited</t>
  </si>
  <si>
    <t>LYV</t>
  </si>
  <si>
    <t>Live Nation Entertainment, Inc.</t>
  </si>
  <si>
    <t>HOT</t>
  </si>
  <si>
    <t>HOCHTIEF Aktiengesellschaft</t>
  </si>
  <si>
    <t>INSM</t>
  </si>
  <si>
    <t>Insmed Incorporated</t>
  </si>
  <si>
    <t>PKN</t>
  </si>
  <si>
    <t>Orlen S.A.</t>
  </si>
  <si>
    <t>EXR</t>
  </si>
  <si>
    <t>Extra Space Storage Inc.</t>
  </si>
  <si>
    <t>CNP</t>
  </si>
  <si>
    <t>CenterPoint Energy, Inc.</t>
  </si>
  <si>
    <t>TECK.B</t>
  </si>
  <si>
    <t>Teck Resources Limited</t>
  </si>
  <si>
    <t>RI</t>
  </si>
  <si>
    <t>Pernod Ricard SA</t>
  </si>
  <si>
    <t>BXB</t>
  </si>
  <si>
    <t>Brambles Limited</t>
  </si>
  <si>
    <t>REP</t>
  </si>
  <si>
    <t>Repsol, S.A.</t>
  </si>
  <si>
    <t>NUTRESA</t>
  </si>
  <si>
    <t>Grupo Nutresa S. A.</t>
  </si>
  <si>
    <t>EVRG</t>
  </si>
  <si>
    <t>Evergy, Inc.</t>
  </si>
  <si>
    <t>LNT</t>
  </si>
  <si>
    <t>Alliant Energy Corporation</t>
  </si>
  <si>
    <t>FNF</t>
  </si>
  <si>
    <t>Fidelity National Financial, Inc.</t>
  </si>
  <si>
    <t>LUG</t>
  </si>
  <si>
    <t>Lundin Gold Inc.</t>
  </si>
  <si>
    <t>FTI</t>
  </si>
  <si>
    <t>TechnipFMC plc</t>
  </si>
  <si>
    <t>KBX</t>
  </si>
  <si>
    <t>Knorr-Bremse AG</t>
  </si>
  <si>
    <t>KLAR</t>
  </si>
  <si>
    <t>Klarna Group plc</t>
  </si>
  <si>
    <t>2020</t>
  </si>
  <si>
    <t>SABIC Agri-Nutrients Company</t>
  </si>
  <si>
    <t>ULS</t>
  </si>
  <si>
    <t>UL Solutions Inc.</t>
  </si>
  <si>
    <t>Etihad Etisalat Company</t>
  </si>
  <si>
    <t>GLPI</t>
  </si>
  <si>
    <t>Gaming and Leisure Properties, Inc.</t>
  </si>
  <si>
    <t>LUN</t>
  </si>
  <si>
    <t>Lundin Mining Corporation</t>
  </si>
  <si>
    <t>ABB India Limited</t>
  </si>
  <si>
    <t>AMH</t>
  </si>
  <si>
    <t>American Homes 4 Rent</t>
  </si>
  <si>
    <t>BESI</t>
  </si>
  <si>
    <t>BE Semiconductor Industries N.V.</t>
  </si>
  <si>
    <t>AC</t>
  </si>
  <si>
    <t>Accor SA</t>
  </si>
  <si>
    <t>DTM</t>
  </si>
  <si>
    <t>DT Midstream, Inc.</t>
  </si>
  <si>
    <t>POOL</t>
  </si>
  <si>
    <t>Pool Corporation</t>
  </si>
  <si>
    <t>W</t>
  </si>
  <si>
    <t>Wayfair Inc.</t>
  </si>
  <si>
    <t>RNO</t>
  </si>
  <si>
    <t>Renault SA</t>
  </si>
  <si>
    <t>AKAM</t>
  </si>
  <si>
    <t>Akamai Technologies, Inc.</t>
  </si>
  <si>
    <t>TXRH</t>
  </si>
  <si>
    <t>Texas Roadhouse, Inc.</t>
  </si>
  <si>
    <t>LI</t>
  </si>
  <si>
    <t>Klépierre SA</t>
  </si>
  <si>
    <t>CNA</t>
  </si>
  <si>
    <t>Centrica plc</t>
  </si>
  <si>
    <t>SFM</t>
  </si>
  <si>
    <t>Sprouts Farmers Market, Inc.</t>
  </si>
  <si>
    <t>MDGL</t>
  </si>
  <si>
    <t>Madrigal Pharmaceuticals, Inc.</t>
  </si>
  <si>
    <t>FYBR</t>
  </si>
  <si>
    <t>Frontier Communications Parent, Inc.</t>
  </si>
  <si>
    <t>NICE</t>
  </si>
  <si>
    <t>NICE Ltd.</t>
  </si>
  <si>
    <t>ONTO</t>
  </si>
  <si>
    <t>Onto Innovation Inc.</t>
  </si>
  <si>
    <t>EPAM</t>
  </si>
  <si>
    <t>EPAM Systems, Inc.</t>
  </si>
  <si>
    <t>AG</t>
  </si>
  <si>
    <t>First Majestic Silver Corp.</t>
  </si>
  <si>
    <t>LKQ</t>
  </si>
  <si>
    <t>LKQ Corporation</t>
  </si>
  <si>
    <t>DBX</t>
  </si>
  <si>
    <t>Dropbox, Inc.</t>
  </si>
  <si>
    <t>FND</t>
  </si>
  <si>
    <t>Floor &amp; Decor Holdings, Inc.</t>
  </si>
  <si>
    <t>GH</t>
  </si>
  <si>
    <t>Guardant Health, Inc.</t>
  </si>
  <si>
    <t>GTT</t>
  </si>
  <si>
    <t>Gaztransport &amp; Technigaz SA</t>
  </si>
  <si>
    <t>ELD</t>
  </si>
  <si>
    <t>Eldorado Gold Corporation</t>
  </si>
  <si>
    <t>OPEN</t>
  </si>
  <si>
    <t>Opendoor Technologies Inc.</t>
  </si>
  <si>
    <t>KIO</t>
  </si>
  <si>
    <t>Kumba Iron Ore Limited</t>
  </si>
  <si>
    <t>ESAB</t>
  </si>
  <si>
    <t>ESAB Corporation</t>
  </si>
  <si>
    <t>PRAX</t>
  </si>
  <si>
    <t>Praxis Precision Medicines, Inc.</t>
  </si>
  <si>
    <t>IDA</t>
  </si>
  <si>
    <t>IDACORP, Inc.</t>
  </si>
  <si>
    <t>NEX</t>
  </si>
  <si>
    <t>Nexans S.A.</t>
  </si>
  <si>
    <t>CWST</t>
  </si>
  <si>
    <t>Casella Waste Systems, Inc.</t>
  </si>
  <si>
    <t>PTCT</t>
  </si>
  <si>
    <t>PTC Therapeutics, Inc.</t>
  </si>
  <si>
    <t>GATX</t>
  </si>
  <si>
    <t>GATX Corporation</t>
  </si>
  <si>
    <t>The Yokohama Rubber Company, Limited</t>
  </si>
  <si>
    <t>GRUMA B</t>
  </si>
  <si>
    <t>Gruma, S.A.B. de C.V.</t>
  </si>
  <si>
    <t>IRTC</t>
  </si>
  <si>
    <t>iRhythm Holdings, Inc.</t>
  </si>
  <si>
    <t>OLED</t>
  </si>
  <si>
    <t>Universal Display Corporation</t>
  </si>
  <si>
    <t>ETSY</t>
  </si>
  <si>
    <t>Etsy, Inc.</t>
  </si>
  <si>
    <t>LMND</t>
  </si>
  <si>
    <t>Lemonade, Inc.</t>
  </si>
  <si>
    <t>ZEAL</t>
  </si>
  <si>
    <t>Zealand Pharma A/S</t>
  </si>
  <si>
    <t>FDJU</t>
  </si>
  <si>
    <t>FDJ United</t>
  </si>
  <si>
    <t>ST</t>
  </si>
  <si>
    <t>Sensata Technologies Holding plc</t>
  </si>
  <si>
    <t>WK</t>
  </si>
  <si>
    <t>Workiva Inc.</t>
  </si>
  <si>
    <t>HHH</t>
  </si>
  <si>
    <t>Howard Hughes Holdings Inc.</t>
  </si>
  <si>
    <t>MNDI</t>
  </si>
  <si>
    <t>Mondi plc</t>
  </si>
  <si>
    <t>QUB</t>
  </si>
  <si>
    <t>Qube Holdings Limited</t>
  </si>
  <si>
    <t>CHH</t>
  </si>
  <si>
    <t>Choice Hotels International, Inc.</t>
  </si>
  <si>
    <t>KRN</t>
  </si>
  <si>
    <t>Krones AG</t>
  </si>
  <si>
    <t>RIG</t>
  </si>
  <si>
    <t>Transocean Ltd.</t>
  </si>
  <si>
    <t>FG</t>
  </si>
  <si>
    <t>F&amp;G Annuities &amp; Life, Inc.</t>
  </si>
  <si>
    <t>VICR</t>
  </si>
  <si>
    <t>Vicor Corporation</t>
  </si>
  <si>
    <t>RMS</t>
  </si>
  <si>
    <t>Ramelius Resources Limited</t>
  </si>
  <si>
    <t>PRU</t>
  </si>
  <si>
    <t>Perseus Mining Limited</t>
  </si>
  <si>
    <t>LAUR</t>
  </si>
  <si>
    <t>Laureate Education, Inc.</t>
  </si>
  <si>
    <t>GRUPOAVAL</t>
  </si>
  <si>
    <t>Grupo Aval Acciones y Valores S.A.</t>
  </si>
  <si>
    <t>VAL</t>
  </si>
  <si>
    <t>Valaris Limited</t>
  </si>
  <si>
    <t>WSC</t>
  </si>
  <si>
    <t>WillScot Holdings Corporation</t>
  </si>
  <si>
    <t>BRC</t>
  </si>
  <si>
    <t>Brady Corporation</t>
  </si>
  <si>
    <t>GRAL</t>
  </si>
  <si>
    <t>GRAIL, Inc.</t>
  </si>
  <si>
    <t>ICUI</t>
  </si>
  <si>
    <t>ICU Medical, Inc.</t>
  </si>
  <si>
    <t>ARCAD</t>
  </si>
  <si>
    <t>Arcadis NV</t>
  </si>
  <si>
    <t>CARG</t>
  </si>
  <si>
    <t>CarGurus, Inc.</t>
  </si>
  <si>
    <t>COLD</t>
  </si>
  <si>
    <t>Americold Realty Trust, Inc.</t>
  </si>
  <si>
    <t>YETI</t>
  </si>
  <si>
    <t>YETI Holdings, Inc.</t>
  </si>
  <si>
    <t>CMBN</t>
  </si>
  <si>
    <t>Cembra Money Bank AG</t>
  </si>
  <si>
    <t>GTX</t>
  </si>
  <si>
    <t>Garrett Motion Inc.</t>
  </si>
  <si>
    <t>VGP</t>
  </si>
  <si>
    <t>VGP NV</t>
  </si>
  <si>
    <t>TLX</t>
  </si>
  <si>
    <t>Telix Pharmaceuticals Limited</t>
  </si>
  <si>
    <t>SORIANA B</t>
  </si>
  <si>
    <t>Organización Soriana, S. A. B. de C. V.</t>
  </si>
  <si>
    <t>AF</t>
  </si>
  <si>
    <t>Air France-KLM SA</t>
  </si>
  <si>
    <t>TVTX</t>
  </si>
  <si>
    <t>Travere Therapeutics, Inc.</t>
  </si>
  <si>
    <t>ASMDEE B</t>
  </si>
  <si>
    <t>Asmodee Group AB (publ)</t>
  </si>
  <si>
    <t>MMB</t>
  </si>
  <si>
    <t>Lagardere SA</t>
  </si>
  <si>
    <t>APPN</t>
  </si>
  <si>
    <t>Appian Corporation</t>
  </si>
  <si>
    <t>TKO</t>
  </si>
  <si>
    <t>Tikehau Capital</t>
  </si>
  <si>
    <t>S59</t>
  </si>
  <si>
    <t>SIA Engineering Company Limited</t>
  </si>
  <si>
    <t>MPT</t>
  </si>
  <si>
    <t>Medical Properties Trust, Inc.</t>
  </si>
  <si>
    <t>CENX</t>
  </si>
  <si>
    <t>Century Aluminum Company</t>
  </si>
  <si>
    <t>DSV</t>
  </si>
  <si>
    <t>Discovery Silver Corp.</t>
  </si>
  <si>
    <t>VC</t>
  </si>
  <si>
    <t>Visteon Corporation</t>
  </si>
  <si>
    <t>HG</t>
  </si>
  <si>
    <t>Hamilton Insurance Group, Ltd.</t>
  </si>
  <si>
    <t>RNG</t>
  </si>
  <si>
    <t>RingCentral, Inc.</t>
  </si>
  <si>
    <t>COFA</t>
  </si>
  <si>
    <t>COFACE SA</t>
  </si>
  <si>
    <t>ALRM</t>
  </si>
  <si>
    <t>Alarm.com Holdings, Inc.</t>
  </si>
  <si>
    <t>AZE</t>
  </si>
  <si>
    <t>Azelis Group NV</t>
  </si>
  <si>
    <t>ITGR</t>
  </si>
  <si>
    <t>Integer Holdings Corporation</t>
  </si>
  <si>
    <t>NVG</t>
  </si>
  <si>
    <t>The Navigator Company, S.A.</t>
  </si>
  <si>
    <t>VESTA *</t>
  </si>
  <si>
    <t>Corporación Inmobiliaria Vesta, S.A.B. de C.V.</t>
  </si>
  <si>
    <t>BAMNB</t>
  </si>
  <si>
    <t>Koninklijke BAM Groep nv</t>
  </si>
  <si>
    <t>MEGA CPO</t>
  </si>
  <si>
    <t>Megacable Holdings, S. A. B. de C. V.</t>
  </si>
  <si>
    <t>FUN</t>
  </si>
  <si>
    <t>Six Flags Entertainment Corporation</t>
  </si>
  <si>
    <t>CC</t>
  </si>
  <si>
    <t>The Chemours Company</t>
  </si>
  <si>
    <t>CG</t>
  </si>
  <si>
    <t>Centerra Gold Inc.</t>
  </si>
  <si>
    <t>DOFG</t>
  </si>
  <si>
    <t>DOF Group ASA</t>
  </si>
  <si>
    <t>BEI.UN</t>
  </si>
  <si>
    <t>Boardwalk Real Estate Investment Trust</t>
  </si>
  <si>
    <t>NK</t>
  </si>
  <si>
    <t>Imerys S.A.</t>
  </si>
  <si>
    <t>SII</t>
  </si>
  <si>
    <t>Sprott Inc.</t>
  </si>
  <si>
    <t>PK</t>
  </si>
  <si>
    <t>Park Hotels &amp; Resorts Inc.</t>
  </si>
  <si>
    <t>GIMB</t>
  </si>
  <si>
    <t>Gimv NV</t>
  </si>
  <si>
    <t>Sep-25</t>
  </si>
  <si>
    <t>AIF</t>
  </si>
  <si>
    <t>Altus Group Limited</t>
  </si>
  <si>
    <t>AGM</t>
  </si>
  <si>
    <t>Federal Agricultural Mortgage Corporation</t>
  </si>
  <si>
    <t>BURE</t>
  </si>
  <si>
    <t>Bure Equity AB (publ)</t>
  </si>
  <si>
    <t>SEM</t>
  </si>
  <si>
    <t>Select Medical Holdings Corporation</t>
  </si>
  <si>
    <t>BRSAN</t>
  </si>
  <si>
    <t>Borusan Birlesik Boru Fabrikalari Sanayi ve Ticaret A.S.</t>
  </si>
  <si>
    <t>PRDO</t>
  </si>
  <si>
    <t>Perdoceo Education Corporation</t>
  </si>
  <si>
    <t>XPRO</t>
  </si>
  <si>
    <t>Expro Group Holdings N.V.</t>
  </si>
  <si>
    <t>A004370</t>
  </si>
  <si>
    <t>Nongshim Co., Ltd.</t>
  </si>
  <si>
    <t>MD</t>
  </si>
  <si>
    <t>Pediatrix Medical Group, Inc.</t>
  </si>
  <si>
    <t>LZ</t>
  </si>
  <si>
    <t>LegalZoom.com, Inc.</t>
  </si>
  <si>
    <t>JDAN</t>
  </si>
  <si>
    <t>Jeudan A/S</t>
  </si>
  <si>
    <t>NMM</t>
  </si>
  <si>
    <t>Navios Maritime Partners L.P.</t>
  </si>
  <si>
    <t>SVV</t>
  </si>
  <si>
    <t>Savers Value Village, Inc.</t>
  </si>
  <si>
    <t>FIVN</t>
  </si>
  <si>
    <t>Five9, Inc.</t>
  </si>
  <si>
    <t>ARDX</t>
  </si>
  <si>
    <t>Ardelyx, Inc.</t>
  </si>
  <si>
    <t>TNDM</t>
  </si>
  <si>
    <t>Tandem Diabetes Care, Inc.</t>
  </si>
  <si>
    <t>NABL</t>
  </si>
  <si>
    <t>N-able, Inc.</t>
  </si>
  <si>
    <t>WKC</t>
  </si>
  <si>
    <t>World Kinect Corporation</t>
  </si>
  <si>
    <t>SIA</t>
  </si>
  <si>
    <t>Sienna Senior Living Inc.</t>
  </si>
  <si>
    <t>ZUGN</t>
  </si>
  <si>
    <t>Zug Estates Holding AG</t>
  </si>
  <si>
    <t>DVAX</t>
  </si>
  <si>
    <t>Dynavax Technologies Corporation</t>
  </si>
  <si>
    <t>8987</t>
  </si>
  <si>
    <t>Japan Excellent, Inc.</t>
  </si>
  <si>
    <t>Qassim Cement Company</t>
  </si>
  <si>
    <t>BIOT</t>
  </si>
  <si>
    <t>Biotage AB (publ)</t>
  </si>
  <si>
    <t>IAU</t>
  </si>
  <si>
    <t>i-80 Gold Corp.</t>
  </si>
  <si>
    <t>HLIT</t>
  </si>
  <si>
    <t>Harmonic Inc.</t>
  </si>
  <si>
    <t>SPB</t>
  </si>
  <si>
    <t>Superior Plus Corp.</t>
  </si>
  <si>
    <t>THRM</t>
  </si>
  <si>
    <t>Gentherm Incorporated</t>
  </si>
  <si>
    <t>ATX</t>
  </si>
  <si>
    <t>ATEX Resources Inc.</t>
  </si>
  <si>
    <t>DMLP</t>
  </si>
  <si>
    <t>Dorchester Minerals, L.P.</t>
  </si>
  <si>
    <t>PLSE</t>
  </si>
  <si>
    <t>Pulse Biosciences, Inc.</t>
  </si>
  <si>
    <t>UPBD</t>
  </si>
  <si>
    <t>Upbound Group, Inc.</t>
  </si>
  <si>
    <t>EIG</t>
  </si>
  <si>
    <t>Employers Holdings, Inc.</t>
  </si>
  <si>
    <t>MSEX</t>
  </si>
  <si>
    <t>Middlesex Water Company</t>
  </si>
  <si>
    <t>VHP</t>
  </si>
  <si>
    <t>Vital Healthcare Property Trust</t>
  </si>
  <si>
    <t>MRC</t>
  </si>
  <si>
    <t>Morguard Corporation</t>
  </si>
  <si>
    <t>AXTI</t>
  </si>
  <si>
    <t>AXT, Inc.</t>
  </si>
  <si>
    <t>INDI</t>
  </si>
  <si>
    <t>indie Semiconductor, Inc.</t>
  </si>
  <si>
    <t>KIN</t>
  </si>
  <si>
    <t>Kinepolis Group NV</t>
  </si>
  <si>
    <t>BITTI</t>
  </si>
  <si>
    <t>Bittium Oyj</t>
  </si>
  <si>
    <t>STGT</t>
  </si>
  <si>
    <t>Sri Trang Gloves (Thailand) Public Company Limited</t>
  </si>
  <si>
    <t>DFDS</t>
  </si>
  <si>
    <t>DFDS A/S</t>
  </si>
  <si>
    <t>PL8</t>
  </si>
  <si>
    <t>Plato Income Maximiser Limited</t>
  </si>
  <si>
    <t>ALIT</t>
  </si>
  <si>
    <t>Alight, Inc.</t>
  </si>
  <si>
    <t>MTUS</t>
  </si>
  <si>
    <t>Metallus Inc.</t>
  </si>
  <si>
    <t>Bank of Kaohsiung Co., Ltd.</t>
  </si>
  <si>
    <t>OVZON</t>
  </si>
  <si>
    <t>Ovzon AB (publ)</t>
  </si>
  <si>
    <t>TALK</t>
  </si>
  <si>
    <t>Talkspace, Inc.</t>
  </si>
  <si>
    <t>DGIC.A</t>
  </si>
  <si>
    <t>Donegal Group Inc.</t>
  </si>
  <si>
    <t>ESSA</t>
  </si>
  <si>
    <t>PT ESSA Industries Indonesia Tbk.</t>
  </si>
  <si>
    <t>MTY</t>
  </si>
  <si>
    <t>MTY Food Group Inc.</t>
  </si>
  <si>
    <t>Nov-25</t>
  </si>
  <si>
    <t>AMN</t>
  </si>
  <si>
    <t>AMN Healthcare Services, Inc.</t>
  </si>
  <si>
    <t>IRES</t>
  </si>
  <si>
    <t>Irish Residential Properties REIT Plc</t>
  </si>
  <si>
    <t>NLFSK</t>
  </si>
  <si>
    <t>Nilfisk Holding A/S</t>
  </si>
  <si>
    <t>CTO</t>
  </si>
  <si>
    <t>CTO Realty Growth, Inc.</t>
  </si>
  <si>
    <t>WEAV</t>
  </si>
  <si>
    <t>Weave Communications, Inc.</t>
  </si>
  <si>
    <t>PWH</t>
  </si>
  <si>
    <t>PWR Holdings Limited</t>
  </si>
  <si>
    <t>ACIC</t>
  </si>
  <si>
    <t>American Coastal Insurance Corporation</t>
  </si>
  <si>
    <t>PRTA</t>
  </si>
  <si>
    <t>Prothena Corporation plc</t>
  </si>
  <si>
    <t>VPLAY B</t>
  </si>
  <si>
    <t>Viaplay Group AB (publ)</t>
  </si>
  <si>
    <t>RFF</t>
  </si>
  <si>
    <t>Rural Funds Group</t>
  </si>
  <si>
    <t>MYS</t>
  </si>
  <si>
    <t>MyState Limited</t>
  </si>
  <si>
    <t>Anpec Electronics Corporation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</si>
  <si>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</si>
  <si>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</si>
  <si>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</si>
  <si>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</si>
  <si>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</si>
  <si>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</si>
  <si>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</si>
  <si>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</si>
  <si>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</si>
  <si>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</si>
  <si>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</si>
  <si>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</si>
  <si>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</si>
  <si>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</si>
  <si>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</si>
  <si>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</si>
  <si>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</si>
  <si>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</si>
  <si>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</si>
  <si>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</si>
  <si>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</si>
  <si>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</si>
  <si>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Biotechnology</t>
  </si>
  <si>
    <t>Dec'25</t>
  </si>
  <si>
    <t>Asset Management</t>
  </si>
  <si>
    <t>Silver</t>
  </si>
  <si>
    <t>Lodging</t>
  </si>
  <si>
    <t>Insurance - Property &amp; Casualty</t>
  </si>
  <si>
    <t>Engineering &amp; Construction</t>
  </si>
  <si>
    <t>Diagnostics &amp; Research</t>
  </si>
  <si>
    <t>Education &amp; Training Services</t>
  </si>
  <si>
    <t>Insurance - Life</t>
  </si>
  <si>
    <t>Medical Devices</t>
  </si>
  <si>
    <t>Insurance - Reinsurance</t>
  </si>
  <si>
    <t>Gold</t>
  </si>
  <si>
    <t>Software - Infrastructure</t>
  </si>
  <si>
    <t>Software - Application</t>
  </si>
  <si>
    <t>Health Information Services</t>
  </si>
  <si>
    <t>Specialty Business Services</t>
  </si>
  <si>
    <t>Specialty Retail</t>
  </si>
  <si>
    <t>Aerospace &amp; Defense</t>
  </si>
  <si>
    <t>Jun'26</t>
  </si>
  <si>
    <t>Insurance - Specialty</t>
  </si>
  <si>
    <t>Information Technology Services</t>
  </si>
  <si>
    <t>Utilities - Regulated Electric</t>
  </si>
  <si>
    <t>Entertainment</t>
  </si>
  <si>
    <t>Marine Shipping</t>
  </si>
  <si>
    <t>Electronic Components</t>
  </si>
  <si>
    <t>Farm &amp; Heavy Construction Machinery</t>
  </si>
  <si>
    <t>Mar'26</t>
  </si>
  <si>
    <t>Steel</t>
  </si>
  <si>
    <t>Waste Management</t>
  </si>
  <si>
    <t>Rental &amp; Leasing Services</t>
  </si>
  <si>
    <t>Auto Parts</t>
  </si>
  <si>
    <t>Leisure</t>
  </si>
  <si>
    <t>Security &amp; Protection Services</t>
  </si>
  <si>
    <t>Grocery Stores</t>
  </si>
  <si>
    <t>Internet Retail</t>
  </si>
  <si>
    <t>Medical Care Facilities</t>
  </si>
  <si>
    <t>Oil &amp; Gas Equipment &amp; Services</t>
  </si>
  <si>
    <t>Discount Stores</t>
  </si>
  <si>
    <t>Sep'26</t>
  </si>
  <si>
    <t>Auto &amp; Truck Dealerships</t>
  </si>
  <si>
    <t>Restaurants</t>
  </si>
  <si>
    <t>Home Improvement Retail</t>
  </si>
  <si>
    <t>Semiconductor Equipment &amp; Materials</t>
  </si>
  <si>
    <t>Scientific &amp; Technical Instruments</t>
  </si>
  <si>
    <t>Aluminum</t>
  </si>
  <si>
    <t>Industrial Distribution</t>
  </si>
  <si>
    <t>REIT - Industrial</t>
  </si>
  <si>
    <t>Household &amp; Personal Products</t>
  </si>
  <si>
    <t>Specialty Chemicals</t>
  </si>
  <si>
    <t>Oil &amp; Gas Refining &amp; Marketing</t>
  </si>
  <si>
    <t>Oil &amp; Gas Midstream</t>
  </si>
  <si>
    <t>Oil &amp; Gas Integrated</t>
  </si>
  <si>
    <t>Medical Instruments &amp; Supplies</t>
  </si>
  <si>
    <t>Real Estate Services</t>
  </si>
  <si>
    <t>Communication Equipment</t>
  </si>
  <si>
    <t>Real Estate - Development</t>
  </si>
  <si>
    <t>Japan</t>
  </si>
  <si>
    <t>N/A</t>
  </si>
  <si>
    <t>Unknown</t>
  </si>
  <si>
    <t>France</t>
  </si>
  <si>
    <t>Sweden</t>
  </si>
  <si>
    <t>Sep'25</t>
  </si>
  <si>
    <t>H1 2025</t>
  </si>
  <si>
    <t>Drug Manufacturers - Specialty &amp; Generic</t>
  </si>
  <si>
    <t>Other Industrial Metals &amp; Mining</t>
  </si>
  <si>
    <t>H2 2025</t>
  </si>
  <si>
    <t>Credit Services</t>
  </si>
  <si>
    <t>REIT - Healthcare Facilities</t>
  </si>
  <si>
    <t>Oil &amp; Gas Drilling</t>
  </si>
  <si>
    <t>Metal Fabrication</t>
  </si>
  <si>
    <t>REIT - Residential</t>
  </si>
  <si>
    <t>Telecom Services</t>
  </si>
  <si>
    <t>REIT - Specialty</t>
  </si>
  <si>
    <t>Utilities - Regulated Water</t>
  </si>
  <si>
    <t>REIT - Hotel &amp; Motel</t>
  </si>
  <si>
    <t>Auto Manufacturers</t>
  </si>
  <si>
    <t>Oil &amp; Gas E&amp;P</t>
  </si>
  <si>
    <t>Hong Kong</t>
  </si>
  <si>
    <t>Semiconductors</t>
  </si>
  <si>
    <t>opm</t>
  </si>
  <si>
    <t>(단위: mil $)</t>
    <phoneticPr fontId="6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</si>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</sst>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9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3" fillId="0" borderId="1" xfId="0" applyFont="1" applyBorder="1"/>
    <xf numFmtId="0" fontId="2" fillId="0" borderId="0" xfId="0" applyFont="1"/>
    <xf numFmtId="0" fontId="5" fillId="0" borderId="0" xfId="0" applyFont="1"/>
    <xf numFmtId="176" fontId="2" fillId="4" borderId="0" xfId="0" applyNumberFormat="1" applyFont="1" applyFill="1"/>
    <xf numFmtId="0" fontId="3" fillId="0" borderId="2" xfId="0" applyFont="1" applyBorder="1"/>
    <xf numFmtId="176" fontId="3" fillId="0" borderId="2" xfId="0" applyNumberFormat="1" applyFont="1" applyBorder="1"/>
    <xf numFmtId="177" fontId="3" fillId="0" borderId="3" xfId="0" applyNumberFormat="1" applyFont="1" applyBorder="1"/>
    <xf numFmtId="177" fontId="3" fillId="0" borderId="2" xfId="0" applyNumberFormat="1" applyFont="1" applyBorder="1"/>
    <xf numFmtId="177" fontId="3" fillId="3" borderId="2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0" borderId="2" xfId="0" applyFont="1" applyBorder="1"/>
    <xf numFmtId="177" fontId="3" fillId="4" borderId="0" xfId="0" applyNumberFormat="1" applyFont="1" applyFill="1"/>
    <xf numFmtId="179" fontId="3" fillId="0" borderId="0" xfId="0" applyNumberFormat="1" applyFont="1"/>
    <xf numFmtId="179" fontId="3" fillId="3" borderId="0" xfId="0" applyNumberFormat="1" applyFont="1" applyFill="1"/>
    <xf numFmtId="179" fontId="0" fillId="0" borderId="0" xfId="0" applyNumberFormat="1"/>
    <xf numFmtId="179" fontId="3" fillId="0" borderId="2" xfId="0" applyNumberFormat="1" applyFont="1" applyBorder="1"/>
    <xf numFmtId="179" fontId="3" fillId="3" borderId="2" xfId="0" applyNumberFormat="1" applyFont="1" applyFill="1" applyBorder="1"/>
    <xf numFmtId="179" fontId="3" fillId="4" borderId="0" xfId="0" applyNumberFormat="1" applyFont="1" applyFill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5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5" xfId="0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179" fontId="8" fillId="0" borderId="0" xfId="0" applyNumberFormat="1" applyFont="1" applyAlignment="1">
      <alignment vertical="center"/>
    </xf>
    <xf numFmtId="179" fontId="8" fillId="0" borderId="5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5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5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5" xfId="1" applyFont="1" applyBorder="1">
      <alignment vertical="center"/>
    </xf>
    <xf numFmtId="0" fontId="2" fillId="0" borderId="0" xfId="0" applyFont="1" applyBorder="1"/>
    <xf numFmtId="0" fontId="3" fillId="0" borderId="0" xfId="0" applyFont="1" applyBorder="1"/>
    <xf numFmtId="176" fontId="3" fillId="0" borderId="0" xfId="0" applyNumberFormat="1" applyFont="1" applyBorder="1"/>
    <xf numFmtId="179" fontId="3" fillId="0" borderId="0" xfId="0" applyNumberFormat="1" applyFont="1" applyBorder="1"/>
    <xf numFmtId="179" fontId="3" fillId="3" borderId="0" xfId="0" applyNumberFormat="1" applyFont="1" applyFill="1" applyBorder="1"/>
    <xf numFmtId="177" fontId="3" fillId="0" borderId="0" xfId="0" applyNumberFormat="1" applyFont="1" applyBorder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5"/>
  <sheetViews>
    <sheetView tabSelected="1" workbookViewId="0">
      <selection activeCell="K8" sqref="K8"/>
    </sheetView>
  </sheetViews>
  <sheetFormatPr defaultRowHeight="16.5" x14ac:dyDescent="0.3"/>
  <cols>
    <col min="1" max="1" width="3" customWidth="1"/>
    <col min="2" max="2" width="12" style="13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1067130</v>
      </c>
    </row>
    <row r="5" spans="2:7" x14ac:dyDescent="0.3">
      <c r="B5" s="12" t="s">
        <v>12</v>
      </c>
      <c r="C5" s="3" t="s">
        <v>13</v>
      </c>
      <c r="D5" s="3" t="s">
        <v>9</v>
      </c>
      <c r="E5" s="3"/>
      <c r="F5" s="3" t="s">
        <v>14</v>
      </c>
      <c r="G5" s="4">
        <v>348128</v>
      </c>
    </row>
    <row r="6" spans="2:7" x14ac:dyDescent="0.3">
      <c r="B6" s="12" t="s">
        <v>15</v>
      </c>
      <c r="C6" s="3" t="s">
        <v>16</v>
      </c>
      <c r="D6" s="3" t="s">
        <v>9</v>
      </c>
      <c r="E6" s="3"/>
      <c r="F6" s="3" t="s">
        <v>14</v>
      </c>
      <c r="G6" s="4">
        <v>180309</v>
      </c>
    </row>
    <row r="7" spans="2:7" x14ac:dyDescent="0.3">
      <c r="B7" s="12" t="s">
        <v>17</v>
      </c>
      <c r="C7" s="3" t="s">
        <v>18</v>
      </c>
      <c r="D7" s="3" t="s">
        <v>9</v>
      </c>
      <c r="E7" s="3"/>
      <c r="F7" s="3" t="s">
        <v>14</v>
      </c>
      <c r="G7" s="4">
        <v>167674</v>
      </c>
    </row>
    <row r="8" spans="2:7" x14ac:dyDescent="0.3">
      <c r="B8" s="12" t="s">
        <v>19</v>
      </c>
      <c r="C8" s="3" t="s">
        <v>20</v>
      </c>
      <c r="D8" s="3" t="s">
        <v>9</v>
      </c>
      <c r="E8" s="3"/>
      <c r="F8" s="3" t="s">
        <v>21</v>
      </c>
      <c r="G8" s="4">
        <v>163436</v>
      </c>
    </row>
    <row r="9" spans="2:7" x14ac:dyDescent="0.3">
      <c r="B9" s="12" t="s">
        <v>22</v>
      </c>
      <c r="C9" s="3" t="s">
        <v>23</v>
      </c>
      <c r="D9" s="3" t="s">
        <v>9</v>
      </c>
      <c r="E9" s="3" t="s">
        <v>24</v>
      </c>
      <c r="F9" s="3" t="s">
        <v>14</v>
      </c>
      <c r="G9" s="4">
        <v>136937</v>
      </c>
    </row>
    <row r="10" spans="2:7" x14ac:dyDescent="0.3">
      <c r="B10" s="12" t="s">
        <v>25</v>
      </c>
      <c r="C10" s="3" t="s">
        <v>26</v>
      </c>
      <c r="D10" s="3" t="s">
        <v>9</v>
      </c>
      <c r="E10" s="3"/>
      <c r="F10" s="3" t="s">
        <v>14</v>
      </c>
      <c r="G10" s="4">
        <v>104550</v>
      </c>
    </row>
    <row r="11" spans="2:7" x14ac:dyDescent="0.3">
      <c r="B11" s="12" t="s">
        <v>27</v>
      </c>
      <c r="C11" s="3" t="s">
        <v>28</v>
      </c>
      <c r="D11" s="3" t="s">
        <v>9</v>
      </c>
      <c r="E11" s="3"/>
      <c r="F11" s="3" t="s">
        <v>14</v>
      </c>
      <c r="G11" s="4">
        <v>101966</v>
      </c>
    </row>
    <row r="12" spans="2:7" x14ac:dyDescent="0.3">
      <c r="B12" s="12" t="s">
        <v>29</v>
      </c>
      <c r="C12" s="3" t="s">
        <v>30</v>
      </c>
      <c r="D12" s="3" t="s">
        <v>9</v>
      </c>
      <c r="E12" s="3"/>
      <c r="F12" s="3" t="s">
        <v>14</v>
      </c>
      <c r="G12" s="4">
        <v>81502.58</v>
      </c>
    </row>
    <row r="13" spans="2:7" x14ac:dyDescent="0.3">
      <c r="B13" s="12" t="s">
        <v>31</v>
      </c>
      <c r="C13" s="3" t="s">
        <v>32</v>
      </c>
      <c r="D13" s="3" t="s">
        <v>9</v>
      </c>
      <c r="E13" s="3" t="s">
        <v>10</v>
      </c>
      <c r="F13" s="3" t="s">
        <v>14</v>
      </c>
      <c r="G13" s="4">
        <v>78148.649999999994</v>
      </c>
    </row>
    <row r="14" spans="2:7" x14ac:dyDescent="0.3">
      <c r="B14" s="12" t="s">
        <v>33</v>
      </c>
      <c r="C14" s="3" t="s">
        <v>34</v>
      </c>
      <c r="D14" s="3" t="s">
        <v>9</v>
      </c>
      <c r="E14" s="3"/>
      <c r="F14" s="3" t="s">
        <v>14</v>
      </c>
      <c r="G14" s="4">
        <v>48494.98</v>
      </c>
    </row>
    <row r="15" spans="2:7" x14ac:dyDescent="0.3">
      <c r="B15" s="12" t="s">
        <v>35</v>
      </c>
      <c r="C15" s="3" t="s">
        <v>36</v>
      </c>
      <c r="D15" s="3" t="s">
        <v>9</v>
      </c>
      <c r="E15" s="3"/>
      <c r="F15" s="3" t="s">
        <v>14</v>
      </c>
      <c r="G15" s="4">
        <v>48059.91</v>
      </c>
    </row>
    <row r="16" spans="2:7" x14ac:dyDescent="0.3">
      <c r="B16" s="12" t="s">
        <v>37</v>
      </c>
      <c r="C16" s="3" t="s">
        <v>38</v>
      </c>
      <c r="D16" s="3" t="s">
        <v>9</v>
      </c>
      <c r="E16" s="3" t="s">
        <v>24</v>
      </c>
      <c r="F16" s="3" t="s">
        <v>14</v>
      </c>
      <c r="G16" s="4">
        <v>43296.480000000003</v>
      </c>
    </row>
    <row r="17" spans="2:7" x14ac:dyDescent="0.3">
      <c r="B17" s="12" t="s">
        <v>39</v>
      </c>
      <c r="C17" s="3" t="s">
        <v>40</v>
      </c>
      <c r="D17" s="3" t="s">
        <v>9</v>
      </c>
      <c r="E17" s="3" t="s">
        <v>24</v>
      </c>
      <c r="F17" s="3" t="s">
        <v>11</v>
      </c>
      <c r="G17" s="4">
        <v>39069.19</v>
      </c>
    </row>
    <row r="18" spans="2:7" x14ac:dyDescent="0.3">
      <c r="B18" s="12" t="s">
        <v>41</v>
      </c>
      <c r="C18" s="3" t="s">
        <v>42</v>
      </c>
      <c r="D18" s="3" t="s">
        <v>9</v>
      </c>
      <c r="E18" s="3"/>
      <c r="F18" s="3" t="s">
        <v>14</v>
      </c>
      <c r="G18" s="4">
        <v>38828.82</v>
      </c>
    </row>
    <row r="19" spans="2:7" x14ac:dyDescent="0.3">
      <c r="B19" s="12" t="s">
        <v>43</v>
      </c>
      <c r="C19" s="3" t="s">
        <v>44</v>
      </c>
      <c r="D19" s="3" t="s">
        <v>9</v>
      </c>
      <c r="E19" s="3"/>
      <c r="F19" s="3" t="s">
        <v>14</v>
      </c>
      <c r="G19" s="4">
        <v>37602.269999999997</v>
      </c>
    </row>
    <row r="20" spans="2:7" x14ac:dyDescent="0.3">
      <c r="B20" s="12" t="s">
        <v>45</v>
      </c>
      <c r="C20" s="3" t="s">
        <v>46</v>
      </c>
      <c r="D20" s="3" t="s">
        <v>9</v>
      </c>
      <c r="E20" s="3" t="s">
        <v>24</v>
      </c>
      <c r="F20" s="3" t="s">
        <v>14</v>
      </c>
      <c r="G20" s="4">
        <v>32704.35</v>
      </c>
    </row>
    <row r="21" spans="2:7" x14ac:dyDescent="0.3">
      <c r="B21" s="12" t="s">
        <v>47</v>
      </c>
      <c r="C21" s="3" t="s">
        <v>48</v>
      </c>
      <c r="D21" s="3" t="s">
        <v>9</v>
      </c>
      <c r="E21" s="3"/>
      <c r="F21" s="3" t="s">
        <v>14</v>
      </c>
      <c r="G21" s="4">
        <v>32519.599999999999</v>
      </c>
    </row>
    <row r="22" spans="2:7" x14ac:dyDescent="0.3">
      <c r="B22" s="12" t="s">
        <v>49</v>
      </c>
      <c r="C22" s="3" t="s">
        <v>50</v>
      </c>
      <c r="D22" s="3" t="s">
        <v>9</v>
      </c>
      <c r="E22" s="3" t="s">
        <v>10</v>
      </c>
      <c r="F22" s="3" t="s">
        <v>14</v>
      </c>
      <c r="G22" s="4">
        <v>31961.16</v>
      </c>
    </row>
    <row r="23" spans="2:7" x14ac:dyDescent="0.3">
      <c r="B23" s="12" t="s">
        <v>51</v>
      </c>
      <c r="C23" s="3" t="s">
        <v>52</v>
      </c>
      <c r="D23" s="3" t="s">
        <v>9</v>
      </c>
      <c r="E23" s="3"/>
      <c r="F23" s="3" t="s">
        <v>14</v>
      </c>
      <c r="G23" s="4">
        <v>31791.73</v>
      </c>
    </row>
    <row r="24" spans="2:7" x14ac:dyDescent="0.3">
      <c r="B24" s="12" t="s">
        <v>53</v>
      </c>
      <c r="C24" s="3" t="s">
        <v>54</v>
      </c>
      <c r="D24" s="3" t="s">
        <v>9</v>
      </c>
      <c r="E24" s="3"/>
      <c r="F24" s="3" t="s">
        <v>14</v>
      </c>
      <c r="G24" s="4">
        <v>31597.3</v>
      </c>
    </row>
    <row r="25" spans="2:7" x14ac:dyDescent="0.3">
      <c r="B25" s="12" t="s">
        <v>55</v>
      </c>
      <c r="C25" s="3" t="s">
        <v>56</v>
      </c>
      <c r="D25" s="3" t="s">
        <v>9</v>
      </c>
      <c r="E25" s="3" t="s">
        <v>10</v>
      </c>
      <c r="F25" s="3" t="s">
        <v>14</v>
      </c>
      <c r="G25" s="4">
        <v>25925.4</v>
      </c>
    </row>
    <row r="26" spans="2:7" x14ac:dyDescent="0.3">
      <c r="B26" s="12" t="s">
        <v>57</v>
      </c>
      <c r="C26" s="3" t="s">
        <v>58</v>
      </c>
      <c r="D26" s="3" t="s">
        <v>9</v>
      </c>
      <c r="E26" s="3"/>
      <c r="F26" s="3" t="s">
        <v>14</v>
      </c>
      <c r="G26" s="4">
        <v>24724.84</v>
      </c>
    </row>
    <row r="27" spans="2:7" x14ac:dyDescent="0.3">
      <c r="B27" s="12" t="s">
        <v>59</v>
      </c>
      <c r="C27" s="3" t="s">
        <v>60</v>
      </c>
      <c r="D27" s="3" t="s">
        <v>9</v>
      </c>
      <c r="E27" s="3"/>
      <c r="F27" s="3" t="s">
        <v>14</v>
      </c>
      <c r="G27" s="4">
        <v>21863.27</v>
      </c>
    </row>
    <row r="28" spans="2:7" x14ac:dyDescent="0.3">
      <c r="B28" s="12" t="s">
        <v>61</v>
      </c>
      <c r="C28" s="3" t="s">
        <v>62</v>
      </c>
      <c r="D28" s="3" t="s">
        <v>9</v>
      </c>
      <c r="E28" s="3"/>
      <c r="F28" s="3" t="s">
        <v>14</v>
      </c>
      <c r="G28" s="4">
        <v>21296.47</v>
      </c>
    </row>
    <row r="29" spans="2:7" x14ac:dyDescent="0.3">
      <c r="B29" s="12" t="s">
        <v>63</v>
      </c>
      <c r="C29" s="3" t="s">
        <v>64</v>
      </c>
      <c r="D29" s="3" t="s">
        <v>9</v>
      </c>
      <c r="E29" s="3"/>
      <c r="F29" s="3" t="s">
        <v>14</v>
      </c>
      <c r="G29" s="4">
        <v>20593.57</v>
      </c>
    </row>
    <row r="30" spans="2:7" x14ac:dyDescent="0.3">
      <c r="B30" s="12" t="s">
        <v>65</v>
      </c>
      <c r="C30" s="3" t="s">
        <v>66</v>
      </c>
      <c r="D30" s="3" t="s">
        <v>9</v>
      </c>
      <c r="E30" s="3"/>
      <c r="F30" s="3" t="s">
        <v>14</v>
      </c>
      <c r="G30" s="4">
        <v>20534.98</v>
      </c>
    </row>
    <row r="31" spans="2:7" x14ac:dyDescent="0.3">
      <c r="B31" s="12" t="s">
        <v>67</v>
      </c>
      <c r="C31" s="3" t="s">
        <v>68</v>
      </c>
      <c r="D31" s="3" t="s">
        <v>9</v>
      </c>
      <c r="E31" s="3" t="s">
        <v>10</v>
      </c>
      <c r="F31" s="3" t="s">
        <v>14</v>
      </c>
      <c r="G31" s="4">
        <v>17634.5</v>
      </c>
    </row>
    <row r="32" spans="2:7" x14ac:dyDescent="0.3">
      <c r="B32" s="12" t="s">
        <v>69</v>
      </c>
      <c r="C32" s="3" t="s">
        <v>70</v>
      </c>
      <c r="D32" s="3" t="s">
        <v>9</v>
      </c>
      <c r="E32" s="3" t="s">
        <v>24</v>
      </c>
      <c r="F32" s="3" t="s">
        <v>14</v>
      </c>
      <c r="G32" s="4">
        <v>17171.18</v>
      </c>
    </row>
    <row r="33" spans="2:7" x14ac:dyDescent="0.3">
      <c r="B33" s="12" t="s">
        <v>71</v>
      </c>
      <c r="C33" s="3" t="s">
        <v>72</v>
      </c>
      <c r="D33" s="3" t="s">
        <v>9</v>
      </c>
      <c r="E33" s="3" t="s">
        <v>24</v>
      </c>
      <c r="F33" s="3" t="s">
        <v>14</v>
      </c>
      <c r="G33" s="4">
        <v>15860.67</v>
      </c>
    </row>
    <row r="34" spans="2:7" x14ac:dyDescent="0.3">
      <c r="B34" s="12" t="s">
        <v>73</v>
      </c>
      <c r="C34" s="3" t="s">
        <v>74</v>
      </c>
      <c r="D34" s="3" t="s">
        <v>9</v>
      </c>
      <c r="E34" s="3"/>
      <c r="F34" s="3" t="s">
        <v>14</v>
      </c>
      <c r="G34" s="4">
        <v>15791.3</v>
      </c>
    </row>
    <row r="35" spans="2:7" x14ac:dyDescent="0.3">
      <c r="B35" s="12" t="s">
        <v>75</v>
      </c>
      <c r="C35" s="3" t="s">
        <v>76</v>
      </c>
      <c r="D35" s="3" t="s">
        <v>9</v>
      </c>
      <c r="E35" s="3" t="s">
        <v>10</v>
      </c>
      <c r="F35" s="3" t="s">
        <v>14</v>
      </c>
      <c r="G35" s="4">
        <v>15635.07</v>
      </c>
    </row>
    <row r="36" spans="2:7" x14ac:dyDescent="0.3">
      <c r="B36" s="12" t="s">
        <v>77</v>
      </c>
      <c r="C36" s="3" t="s">
        <v>78</v>
      </c>
      <c r="D36" s="3" t="s">
        <v>9</v>
      </c>
      <c r="E36" s="3"/>
      <c r="F36" s="3" t="s">
        <v>14</v>
      </c>
      <c r="G36" s="4">
        <v>15523.66</v>
      </c>
    </row>
    <row r="37" spans="2:7" x14ac:dyDescent="0.3">
      <c r="B37" s="12" t="s">
        <v>79</v>
      </c>
      <c r="C37" s="3" t="s">
        <v>80</v>
      </c>
      <c r="D37" s="3" t="s">
        <v>9</v>
      </c>
      <c r="E37" s="3"/>
      <c r="F37" s="3" t="s">
        <v>14</v>
      </c>
      <c r="G37" s="4">
        <v>15350.51</v>
      </c>
    </row>
    <row r="38" spans="2:7" x14ac:dyDescent="0.3">
      <c r="B38" s="12">
        <v>2020</v>
      </c>
      <c r="C38" s="3" t="s">
        <v>82</v>
      </c>
      <c r="D38" s="3" t="s">
        <v>9</v>
      </c>
      <c r="E38" s="3"/>
      <c r="F38" s="3" t="s">
        <v>14</v>
      </c>
      <c r="G38" s="4">
        <v>14799.55</v>
      </c>
    </row>
    <row r="39" spans="2:7" x14ac:dyDescent="0.3">
      <c r="B39" s="12" t="s">
        <v>83</v>
      </c>
      <c r="C39" s="3" t="s">
        <v>84</v>
      </c>
      <c r="D39" s="3" t="s">
        <v>9</v>
      </c>
      <c r="E39" s="3" t="s">
        <v>10</v>
      </c>
      <c r="F39" s="3" t="s">
        <v>14</v>
      </c>
      <c r="G39" s="4">
        <v>14505.75</v>
      </c>
    </row>
    <row r="40" spans="2:7" x14ac:dyDescent="0.3">
      <c r="B40" s="12">
        <v>7020</v>
      </c>
      <c r="C40" s="3" t="s">
        <v>85</v>
      </c>
      <c r="D40" s="3" t="s">
        <v>9</v>
      </c>
      <c r="E40" s="3"/>
      <c r="F40" s="3" t="s">
        <v>14</v>
      </c>
      <c r="G40" s="4">
        <v>13909.48</v>
      </c>
    </row>
    <row r="41" spans="2:7" x14ac:dyDescent="0.3">
      <c r="B41" s="12" t="s">
        <v>86</v>
      </c>
      <c r="C41" s="3" t="s">
        <v>87</v>
      </c>
      <c r="D41" s="3" t="s">
        <v>9</v>
      </c>
      <c r="E41" s="3" t="s">
        <v>24</v>
      </c>
      <c r="F41" s="3" t="s">
        <v>14</v>
      </c>
      <c r="G41" s="4">
        <v>13264.6</v>
      </c>
    </row>
    <row r="42" spans="2:7" x14ac:dyDescent="0.3">
      <c r="B42" s="12" t="s">
        <v>88</v>
      </c>
      <c r="C42" s="3" t="s">
        <v>89</v>
      </c>
      <c r="D42" s="3" t="s">
        <v>9</v>
      </c>
      <c r="E42" s="3"/>
      <c r="F42" s="3" t="s">
        <v>14</v>
      </c>
      <c r="G42" s="4">
        <v>12991.49</v>
      </c>
    </row>
    <row r="43" spans="2:7" x14ac:dyDescent="0.3">
      <c r="B43" s="12">
        <v>500002</v>
      </c>
      <c r="C43" s="3" t="s">
        <v>90</v>
      </c>
      <c r="D43" s="3" t="s">
        <v>9</v>
      </c>
      <c r="E43" s="3"/>
      <c r="F43" s="3" t="s">
        <v>14</v>
      </c>
      <c r="G43" s="4">
        <v>12369.81</v>
      </c>
    </row>
    <row r="44" spans="2:7" x14ac:dyDescent="0.3">
      <c r="B44" s="12" t="s">
        <v>91</v>
      </c>
      <c r="C44" s="3" t="s">
        <v>92</v>
      </c>
      <c r="D44" s="3" t="s">
        <v>9</v>
      </c>
      <c r="E44" s="3" t="s">
        <v>24</v>
      </c>
      <c r="F44" s="3" t="s">
        <v>14</v>
      </c>
      <c r="G44" s="4">
        <v>12106.51</v>
      </c>
    </row>
    <row r="45" spans="2:7" x14ac:dyDescent="0.3">
      <c r="B45" s="12" t="s">
        <v>93</v>
      </c>
      <c r="C45" s="3" t="s">
        <v>94</v>
      </c>
      <c r="D45" s="3" t="s">
        <v>9</v>
      </c>
      <c r="E45" s="3"/>
      <c r="F45" s="3" t="s">
        <v>14</v>
      </c>
      <c r="G45" s="4">
        <v>12099.47</v>
      </c>
    </row>
    <row r="46" spans="2:7" x14ac:dyDescent="0.3">
      <c r="B46" s="12" t="s">
        <v>95</v>
      </c>
      <c r="C46" s="3" t="s">
        <v>96</v>
      </c>
      <c r="D46" s="3" t="s">
        <v>9</v>
      </c>
      <c r="E46" s="3"/>
      <c r="F46" s="3" t="s">
        <v>14</v>
      </c>
      <c r="G46" s="4">
        <v>11733.29</v>
      </c>
    </row>
    <row r="47" spans="2:7" x14ac:dyDescent="0.3">
      <c r="B47" s="12" t="s">
        <v>97</v>
      </c>
      <c r="C47" s="3" t="s">
        <v>98</v>
      </c>
      <c r="D47" s="3" t="s">
        <v>9</v>
      </c>
      <c r="E47" s="3" t="s">
        <v>10</v>
      </c>
      <c r="F47" s="3" t="s">
        <v>14</v>
      </c>
      <c r="G47" s="4">
        <v>11631.33</v>
      </c>
    </row>
    <row r="48" spans="2:7" x14ac:dyDescent="0.3">
      <c r="B48" s="12" t="s">
        <v>99</v>
      </c>
      <c r="C48" s="3" t="s">
        <v>100</v>
      </c>
      <c r="D48" s="3" t="s">
        <v>9</v>
      </c>
      <c r="E48" s="3" t="s">
        <v>10</v>
      </c>
      <c r="F48" s="3" t="s">
        <v>14</v>
      </c>
      <c r="G48" s="4">
        <v>11554.03</v>
      </c>
    </row>
    <row r="49" spans="2:7" x14ac:dyDescent="0.3">
      <c r="B49" s="12" t="s">
        <v>101</v>
      </c>
      <c r="C49" s="3" t="s">
        <v>102</v>
      </c>
      <c r="D49" s="3" t="s">
        <v>9</v>
      </c>
      <c r="E49" s="3" t="s">
        <v>10</v>
      </c>
      <c r="F49" s="3" t="s">
        <v>14</v>
      </c>
      <c r="G49" s="4">
        <v>11478.88</v>
      </c>
    </row>
    <row r="50" spans="2:7" x14ac:dyDescent="0.3">
      <c r="B50" s="12" t="s">
        <v>103</v>
      </c>
      <c r="C50" s="3" t="s">
        <v>104</v>
      </c>
      <c r="D50" s="3" t="s">
        <v>9</v>
      </c>
      <c r="E50" s="3"/>
      <c r="F50" s="3" t="s">
        <v>14</v>
      </c>
      <c r="G50" s="4">
        <v>11342.72</v>
      </c>
    </row>
    <row r="51" spans="2:7" x14ac:dyDescent="0.3">
      <c r="B51" s="12" t="s">
        <v>105</v>
      </c>
      <c r="C51" s="3" t="s">
        <v>106</v>
      </c>
      <c r="D51" s="3" t="s">
        <v>9</v>
      </c>
      <c r="E51" s="3" t="s">
        <v>24</v>
      </c>
      <c r="F51" s="3" t="s">
        <v>14</v>
      </c>
      <c r="G51" s="4">
        <v>11120.98</v>
      </c>
    </row>
    <row r="52" spans="2:7" x14ac:dyDescent="0.3">
      <c r="B52" s="12" t="s">
        <v>107</v>
      </c>
      <c r="C52" s="3" t="s">
        <v>108</v>
      </c>
      <c r="D52" s="3" t="s">
        <v>9</v>
      </c>
      <c r="E52" s="3" t="s">
        <v>24</v>
      </c>
      <c r="F52" s="3" t="s">
        <v>14</v>
      </c>
      <c r="G52" s="4">
        <v>11063.36</v>
      </c>
    </row>
    <row r="53" spans="2:7" x14ac:dyDescent="0.3">
      <c r="B53" s="12" t="s">
        <v>109</v>
      </c>
      <c r="C53" s="3" t="s">
        <v>110</v>
      </c>
      <c r="D53" s="3" t="s">
        <v>9</v>
      </c>
      <c r="E53" s="3"/>
      <c r="F53" s="3" t="s">
        <v>14</v>
      </c>
      <c r="G53" s="4">
        <v>10940.85</v>
      </c>
    </row>
    <row r="54" spans="2:7" x14ac:dyDescent="0.3">
      <c r="B54" s="12" t="s">
        <v>111</v>
      </c>
      <c r="C54" s="3" t="s">
        <v>112</v>
      </c>
      <c r="D54" s="3" t="s">
        <v>9</v>
      </c>
      <c r="E54" s="3"/>
      <c r="F54" s="3" t="s">
        <v>14</v>
      </c>
      <c r="G54" s="4">
        <v>10663.16</v>
      </c>
    </row>
    <row r="55" spans="2:7" x14ac:dyDescent="0.3">
      <c r="B55" s="12" t="s">
        <v>113</v>
      </c>
      <c r="C55" s="3" t="s">
        <v>114</v>
      </c>
      <c r="D55" s="3" t="s">
        <v>9</v>
      </c>
      <c r="E55" s="3" t="s">
        <v>24</v>
      </c>
      <c r="F55" s="3" t="s">
        <v>14</v>
      </c>
      <c r="G55" s="4">
        <v>10352.129999999999</v>
      </c>
    </row>
    <row r="56" spans="2:7" x14ac:dyDescent="0.3">
      <c r="B56" s="12" t="s">
        <v>115</v>
      </c>
      <c r="C56" s="3" t="s">
        <v>116</v>
      </c>
      <c r="D56" s="3" t="s">
        <v>9</v>
      </c>
      <c r="E56" s="3" t="s">
        <v>10</v>
      </c>
      <c r="F56" s="3" t="s">
        <v>14</v>
      </c>
      <c r="G56" s="4">
        <v>9874.26</v>
      </c>
    </row>
    <row r="57" spans="2:7" x14ac:dyDescent="0.3">
      <c r="B57" s="12" t="s">
        <v>117</v>
      </c>
      <c r="C57" s="3" t="s">
        <v>118</v>
      </c>
      <c r="D57" s="3" t="s">
        <v>9</v>
      </c>
      <c r="E57" s="3"/>
      <c r="F57" s="3" t="s">
        <v>14</v>
      </c>
      <c r="G57" s="4">
        <v>9366.75</v>
      </c>
    </row>
    <row r="58" spans="2:7" x14ac:dyDescent="0.3">
      <c r="B58" s="12" t="s">
        <v>119</v>
      </c>
      <c r="C58" s="3" t="s">
        <v>120</v>
      </c>
      <c r="D58" s="3" t="s">
        <v>9</v>
      </c>
      <c r="E58" s="3"/>
      <c r="F58" s="3" t="s">
        <v>14</v>
      </c>
      <c r="G58" s="4">
        <v>9071.4599999999991</v>
      </c>
    </row>
    <row r="59" spans="2:7" x14ac:dyDescent="0.3">
      <c r="B59" s="12" t="s">
        <v>121</v>
      </c>
      <c r="C59" s="3" t="s">
        <v>122</v>
      </c>
      <c r="D59" s="3" t="s">
        <v>9</v>
      </c>
      <c r="E59" s="3" t="s">
        <v>24</v>
      </c>
      <c r="F59" s="3" t="s">
        <v>14</v>
      </c>
      <c r="G59" s="4">
        <v>8847.16</v>
      </c>
    </row>
    <row r="60" spans="2:7" x14ac:dyDescent="0.3">
      <c r="B60" s="12" t="s">
        <v>123</v>
      </c>
      <c r="C60" s="3" t="s">
        <v>124</v>
      </c>
      <c r="D60" s="3" t="s">
        <v>9</v>
      </c>
      <c r="E60" s="3" t="s">
        <v>10</v>
      </c>
      <c r="F60" s="3" t="s">
        <v>14</v>
      </c>
      <c r="G60" s="4">
        <v>8584.01</v>
      </c>
    </row>
    <row r="61" spans="2:7" x14ac:dyDescent="0.3">
      <c r="B61" s="12" t="s">
        <v>125</v>
      </c>
      <c r="C61" s="3" t="s">
        <v>126</v>
      </c>
      <c r="D61" s="3" t="s">
        <v>9</v>
      </c>
      <c r="E61" s="3"/>
      <c r="F61" s="3" t="s">
        <v>14</v>
      </c>
      <c r="G61" s="4">
        <v>8404.34</v>
      </c>
    </row>
    <row r="62" spans="2:7" x14ac:dyDescent="0.3">
      <c r="B62" s="12" t="s">
        <v>127</v>
      </c>
      <c r="C62" s="3" t="s">
        <v>128</v>
      </c>
      <c r="D62" s="3" t="s">
        <v>9</v>
      </c>
      <c r="E62" s="3" t="s">
        <v>10</v>
      </c>
      <c r="F62" s="3" t="s">
        <v>14</v>
      </c>
      <c r="G62" s="4">
        <v>8068.71</v>
      </c>
    </row>
    <row r="63" spans="2:7" x14ac:dyDescent="0.3">
      <c r="B63" s="12" t="s">
        <v>129</v>
      </c>
      <c r="C63" s="3" t="s">
        <v>130</v>
      </c>
      <c r="D63" s="3" t="s">
        <v>9</v>
      </c>
      <c r="E63" s="3" t="s">
        <v>24</v>
      </c>
      <c r="F63" s="3" t="s">
        <v>14</v>
      </c>
      <c r="G63" s="4">
        <v>7936.61</v>
      </c>
    </row>
    <row r="64" spans="2:7" x14ac:dyDescent="0.3">
      <c r="B64" s="12" t="s">
        <v>131</v>
      </c>
      <c r="C64" s="3" t="s">
        <v>132</v>
      </c>
      <c r="D64" s="3" t="s">
        <v>9</v>
      </c>
      <c r="E64" s="3" t="s">
        <v>24</v>
      </c>
      <c r="F64" s="3" t="s">
        <v>14</v>
      </c>
      <c r="G64" s="4">
        <v>7932.55</v>
      </c>
    </row>
    <row r="65" spans="2:7" x14ac:dyDescent="0.3">
      <c r="B65" s="12" t="s">
        <v>133</v>
      </c>
      <c r="C65" s="3" t="s">
        <v>134</v>
      </c>
      <c r="D65" s="3" t="s">
        <v>9</v>
      </c>
      <c r="E65" s="3" t="s">
        <v>24</v>
      </c>
      <c r="F65" s="3" t="s">
        <v>14</v>
      </c>
      <c r="G65" s="4">
        <v>7836.52</v>
      </c>
    </row>
    <row r="66" spans="2:7" x14ac:dyDescent="0.3">
      <c r="B66" s="12" t="s">
        <v>135</v>
      </c>
      <c r="C66" s="3" t="s">
        <v>136</v>
      </c>
      <c r="D66" s="3" t="s">
        <v>9</v>
      </c>
      <c r="E66" s="3"/>
      <c r="F66" s="3" t="s">
        <v>14</v>
      </c>
      <c r="G66" s="4">
        <v>7673.53</v>
      </c>
    </row>
    <row r="67" spans="2:7" x14ac:dyDescent="0.3">
      <c r="B67" s="12" t="s">
        <v>137</v>
      </c>
      <c r="C67" s="3" t="s">
        <v>138</v>
      </c>
      <c r="D67" s="3" t="s">
        <v>9</v>
      </c>
      <c r="E67" s="3" t="s">
        <v>24</v>
      </c>
      <c r="F67" s="3" t="s">
        <v>14</v>
      </c>
      <c r="G67" s="4">
        <v>7340.29</v>
      </c>
    </row>
    <row r="68" spans="2:7" x14ac:dyDescent="0.3">
      <c r="B68" s="12" t="s">
        <v>139</v>
      </c>
      <c r="C68" s="3" t="s">
        <v>140</v>
      </c>
      <c r="D68" s="3" t="s">
        <v>9</v>
      </c>
      <c r="E68" s="3"/>
      <c r="F68" s="3" t="s">
        <v>14</v>
      </c>
      <c r="G68" s="4">
        <v>7241.56</v>
      </c>
    </row>
    <row r="69" spans="2:7" x14ac:dyDescent="0.3">
      <c r="B69" s="12" t="s">
        <v>141</v>
      </c>
      <c r="C69" s="3" t="s">
        <v>142</v>
      </c>
      <c r="D69" s="3" t="s">
        <v>9</v>
      </c>
      <c r="E69" s="3"/>
      <c r="F69" s="3" t="s">
        <v>14</v>
      </c>
      <c r="G69" s="4">
        <v>7082.7</v>
      </c>
    </row>
    <row r="70" spans="2:7" x14ac:dyDescent="0.3">
      <c r="B70" s="12" t="s">
        <v>143</v>
      </c>
      <c r="C70" s="3" t="s">
        <v>144</v>
      </c>
      <c r="D70" s="3" t="s">
        <v>9</v>
      </c>
      <c r="E70" s="3"/>
      <c r="F70" s="3" t="s">
        <v>14</v>
      </c>
      <c r="G70" s="4">
        <v>6958.08</v>
      </c>
    </row>
    <row r="71" spans="2:7" x14ac:dyDescent="0.3">
      <c r="B71" s="12" t="s">
        <v>145</v>
      </c>
      <c r="C71" s="3" t="s">
        <v>146</v>
      </c>
      <c r="D71" s="3" t="s">
        <v>9</v>
      </c>
      <c r="E71" s="3" t="s">
        <v>10</v>
      </c>
      <c r="F71" s="3" t="s">
        <v>14</v>
      </c>
      <c r="G71" s="4">
        <v>6924.99</v>
      </c>
    </row>
    <row r="72" spans="2:7" x14ac:dyDescent="0.3">
      <c r="B72" s="12" t="s">
        <v>147</v>
      </c>
      <c r="C72" s="3" t="s">
        <v>148</v>
      </c>
      <c r="D72" s="3" t="s">
        <v>9</v>
      </c>
      <c r="E72" s="3" t="s">
        <v>10</v>
      </c>
      <c r="F72" s="3" t="s">
        <v>14</v>
      </c>
      <c r="G72" s="4">
        <v>6803.75</v>
      </c>
    </row>
    <row r="73" spans="2:7" x14ac:dyDescent="0.3">
      <c r="B73" s="12" t="s">
        <v>149</v>
      </c>
      <c r="C73" s="3" t="s">
        <v>150</v>
      </c>
      <c r="D73" s="3" t="s">
        <v>9</v>
      </c>
      <c r="E73" s="3"/>
      <c r="F73" s="3" t="s">
        <v>14</v>
      </c>
      <c r="G73" s="4">
        <v>6697.16</v>
      </c>
    </row>
    <row r="74" spans="2:7" x14ac:dyDescent="0.3">
      <c r="B74" s="12" t="s">
        <v>151</v>
      </c>
      <c r="C74" s="3" t="s">
        <v>152</v>
      </c>
      <c r="D74" s="3" t="s">
        <v>9</v>
      </c>
      <c r="E74" s="3" t="s">
        <v>24</v>
      </c>
      <c r="F74" s="3" t="s">
        <v>14</v>
      </c>
      <c r="G74" s="4">
        <v>6356.97</v>
      </c>
    </row>
    <row r="75" spans="2:7" x14ac:dyDescent="0.3">
      <c r="B75" s="12" t="s">
        <v>153</v>
      </c>
      <c r="C75" s="3" t="s">
        <v>154</v>
      </c>
      <c r="D75" s="3" t="s">
        <v>9</v>
      </c>
      <c r="E75" s="3" t="s">
        <v>24</v>
      </c>
      <c r="F75" s="3" t="s">
        <v>14</v>
      </c>
      <c r="G75" s="4">
        <v>6162.93</v>
      </c>
    </row>
    <row r="76" spans="2:7" x14ac:dyDescent="0.3">
      <c r="B76" s="12" t="s">
        <v>155</v>
      </c>
      <c r="C76" s="3" t="s">
        <v>156</v>
      </c>
      <c r="D76" s="3" t="s">
        <v>9</v>
      </c>
      <c r="E76" s="3" t="s">
        <v>10</v>
      </c>
      <c r="F76" s="3" t="s">
        <v>14</v>
      </c>
      <c r="G76" s="4">
        <v>6159.23</v>
      </c>
    </row>
    <row r="77" spans="2:7" x14ac:dyDescent="0.3">
      <c r="B77" s="12">
        <v>5101</v>
      </c>
      <c r="C77" s="3" t="s">
        <v>157</v>
      </c>
      <c r="D77" s="3" t="s">
        <v>9</v>
      </c>
      <c r="E77" s="3"/>
      <c r="F77" s="3" t="s">
        <v>14</v>
      </c>
      <c r="G77" s="4">
        <v>6060.35</v>
      </c>
    </row>
    <row r="78" spans="2:7" x14ac:dyDescent="0.3">
      <c r="B78" s="12" t="s">
        <v>158</v>
      </c>
      <c r="C78" s="3" t="s">
        <v>159</v>
      </c>
      <c r="D78" s="3" t="s">
        <v>9</v>
      </c>
      <c r="E78" s="3"/>
      <c r="F78" s="3" t="s">
        <v>14</v>
      </c>
      <c r="G78" s="4">
        <v>5987.44</v>
      </c>
    </row>
    <row r="79" spans="2:7" x14ac:dyDescent="0.3">
      <c r="B79" s="12" t="s">
        <v>160</v>
      </c>
      <c r="C79" s="3" t="s">
        <v>161</v>
      </c>
      <c r="D79" s="3" t="s">
        <v>9</v>
      </c>
      <c r="E79" s="3"/>
      <c r="F79" s="3" t="s">
        <v>14</v>
      </c>
      <c r="G79" s="4">
        <v>5940.89</v>
      </c>
    </row>
    <row r="80" spans="2:7" x14ac:dyDescent="0.3">
      <c r="B80" s="12" t="s">
        <v>162</v>
      </c>
      <c r="C80" s="3" t="s">
        <v>163</v>
      </c>
      <c r="D80" s="3" t="s">
        <v>9</v>
      </c>
      <c r="E80" s="3" t="s">
        <v>24</v>
      </c>
      <c r="F80" s="3" t="s">
        <v>14</v>
      </c>
      <c r="G80" s="4">
        <v>5857.68</v>
      </c>
    </row>
    <row r="81" spans="2:7" x14ac:dyDescent="0.3">
      <c r="B81" s="12" t="s">
        <v>164</v>
      </c>
      <c r="C81" s="3" t="s">
        <v>165</v>
      </c>
      <c r="D81" s="3" t="s">
        <v>9</v>
      </c>
      <c r="E81" s="3" t="s">
        <v>10</v>
      </c>
      <c r="F81" s="3" t="s">
        <v>14</v>
      </c>
      <c r="G81" s="4">
        <v>5780.22</v>
      </c>
    </row>
    <row r="82" spans="2:7" x14ac:dyDescent="0.3">
      <c r="B82" s="12" t="s">
        <v>166</v>
      </c>
      <c r="C82" s="3" t="s">
        <v>167</v>
      </c>
      <c r="D82" s="3" t="s">
        <v>9</v>
      </c>
      <c r="E82" s="3" t="s">
        <v>10</v>
      </c>
      <c r="F82" s="3" t="s">
        <v>14</v>
      </c>
      <c r="G82" s="4">
        <v>5743.08</v>
      </c>
    </row>
    <row r="83" spans="2:7" x14ac:dyDescent="0.3">
      <c r="B83" s="12" t="s">
        <v>168</v>
      </c>
      <c r="C83" s="3" t="s">
        <v>169</v>
      </c>
      <c r="D83" s="3" t="s">
        <v>9</v>
      </c>
      <c r="E83" s="3"/>
      <c r="F83" s="3" t="s">
        <v>14</v>
      </c>
      <c r="G83" s="4">
        <v>5412.11</v>
      </c>
    </row>
    <row r="84" spans="2:7" x14ac:dyDescent="0.3">
      <c r="B84" s="12" t="s">
        <v>170</v>
      </c>
      <c r="C84" s="3" t="s">
        <v>171</v>
      </c>
      <c r="D84" s="3" t="s">
        <v>9</v>
      </c>
      <c r="E84" s="3"/>
      <c r="F84" s="3" t="s">
        <v>14</v>
      </c>
      <c r="G84" s="4">
        <v>5290.47</v>
      </c>
    </row>
    <row r="85" spans="2:7" x14ac:dyDescent="0.3">
      <c r="B85" s="12" t="s">
        <v>172</v>
      </c>
      <c r="C85" s="3" t="s">
        <v>173</v>
      </c>
      <c r="D85" s="3" t="s">
        <v>9</v>
      </c>
      <c r="E85" s="3" t="s">
        <v>24</v>
      </c>
      <c r="F85" s="3" t="s">
        <v>14</v>
      </c>
      <c r="G85" s="4">
        <v>5264.83</v>
      </c>
    </row>
    <row r="86" spans="2:7" x14ac:dyDescent="0.3">
      <c r="B86" s="12" t="s">
        <v>174</v>
      </c>
      <c r="C86" s="3" t="s">
        <v>175</v>
      </c>
      <c r="D86" s="3" t="s">
        <v>9</v>
      </c>
      <c r="E86" s="3" t="s">
        <v>24</v>
      </c>
      <c r="F86" s="3" t="s">
        <v>14</v>
      </c>
      <c r="G86" s="4">
        <v>5224.3999999999996</v>
      </c>
    </row>
    <row r="87" spans="2:7" x14ac:dyDescent="0.3">
      <c r="B87" s="12" t="s">
        <v>176</v>
      </c>
      <c r="C87" s="3" t="s">
        <v>177</v>
      </c>
      <c r="D87" s="3" t="s">
        <v>9</v>
      </c>
      <c r="E87" s="3" t="s">
        <v>24</v>
      </c>
      <c r="F87" s="3" t="s">
        <v>14</v>
      </c>
      <c r="G87" s="4">
        <v>5185.2700000000004</v>
      </c>
    </row>
    <row r="88" spans="2:7" x14ac:dyDescent="0.3">
      <c r="B88" s="12" t="s">
        <v>178</v>
      </c>
      <c r="C88" s="3" t="s">
        <v>179</v>
      </c>
      <c r="D88" s="3" t="s">
        <v>9</v>
      </c>
      <c r="E88" s="3"/>
      <c r="F88" s="3" t="s">
        <v>14</v>
      </c>
      <c r="G88" s="4">
        <v>5087.32</v>
      </c>
    </row>
    <row r="89" spans="2:7" x14ac:dyDescent="0.3">
      <c r="B89" s="12" t="s">
        <v>180</v>
      </c>
      <c r="C89" s="3" t="s">
        <v>181</v>
      </c>
      <c r="D89" s="3" t="s">
        <v>9</v>
      </c>
      <c r="E89" s="3"/>
      <c r="F89" s="3" t="s">
        <v>14</v>
      </c>
      <c r="G89" s="4">
        <v>5049.66</v>
      </c>
    </row>
    <row r="90" spans="2:7" x14ac:dyDescent="0.3">
      <c r="B90" s="12" t="s">
        <v>182</v>
      </c>
      <c r="C90" s="3" t="s">
        <v>183</v>
      </c>
      <c r="D90" s="3" t="s">
        <v>9</v>
      </c>
      <c r="E90" s="3" t="s">
        <v>10</v>
      </c>
      <c r="F90" s="3" t="s">
        <v>14</v>
      </c>
      <c r="G90" s="4">
        <v>4787.05</v>
      </c>
    </row>
    <row r="91" spans="2:7" x14ac:dyDescent="0.3">
      <c r="B91" s="12" t="s">
        <v>184</v>
      </c>
      <c r="C91" s="3" t="s">
        <v>185</v>
      </c>
      <c r="D91" s="3" t="s">
        <v>9</v>
      </c>
      <c r="E91" s="3"/>
      <c r="F91" s="3" t="s">
        <v>14</v>
      </c>
      <c r="G91" s="4">
        <v>4771.43</v>
      </c>
    </row>
    <row r="92" spans="2:7" x14ac:dyDescent="0.3">
      <c r="B92" s="12" t="s">
        <v>186</v>
      </c>
      <c r="C92" s="3" t="s">
        <v>187</v>
      </c>
      <c r="D92" s="3" t="s">
        <v>9</v>
      </c>
      <c r="E92" s="3" t="s">
        <v>24</v>
      </c>
      <c r="F92" s="3" t="s">
        <v>14</v>
      </c>
      <c r="G92" s="4">
        <v>4736.2</v>
      </c>
    </row>
    <row r="93" spans="2:7" x14ac:dyDescent="0.3">
      <c r="B93" s="12" t="s">
        <v>188</v>
      </c>
      <c r="C93" s="3" t="s">
        <v>189</v>
      </c>
      <c r="D93" s="3" t="s">
        <v>9</v>
      </c>
      <c r="E93" s="3" t="s">
        <v>24</v>
      </c>
      <c r="F93" s="3" t="s">
        <v>14</v>
      </c>
      <c r="G93" s="4">
        <v>4571.68</v>
      </c>
    </row>
    <row r="94" spans="2:7" x14ac:dyDescent="0.3">
      <c r="B94" s="12" t="s">
        <v>190</v>
      </c>
      <c r="C94" s="3" t="s">
        <v>191</v>
      </c>
      <c r="D94" s="3" t="s">
        <v>9</v>
      </c>
      <c r="E94" s="3" t="s">
        <v>24</v>
      </c>
      <c r="F94" s="3" t="s">
        <v>14</v>
      </c>
      <c r="G94" s="4">
        <v>4502.32</v>
      </c>
    </row>
    <row r="95" spans="2:7" x14ac:dyDescent="0.3">
      <c r="B95" s="12" t="s">
        <v>192</v>
      </c>
      <c r="C95" s="3" t="s">
        <v>193</v>
      </c>
      <c r="D95" s="3" t="s">
        <v>9</v>
      </c>
      <c r="E95" s="3"/>
      <c r="F95" s="3" t="s">
        <v>14</v>
      </c>
      <c r="G95" s="4">
        <v>4474.1000000000004</v>
      </c>
    </row>
    <row r="96" spans="2:7" x14ac:dyDescent="0.3">
      <c r="B96" s="12" t="s">
        <v>194</v>
      </c>
      <c r="C96" s="3" t="s">
        <v>195</v>
      </c>
      <c r="D96" s="3" t="s">
        <v>9</v>
      </c>
      <c r="E96" s="3"/>
      <c r="F96" s="3" t="s">
        <v>14</v>
      </c>
      <c r="G96" s="4">
        <v>4408.8999999999996</v>
      </c>
    </row>
    <row r="97" spans="2:7" x14ac:dyDescent="0.3">
      <c r="B97" s="12" t="s">
        <v>196</v>
      </c>
      <c r="C97" s="3" t="s">
        <v>197</v>
      </c>
      <c r="D97" s="3" t="s">
        <v>9</v>
      </c>
      <c r="E97" s="3" t="s">
        <v>10</v>
      </c>
      <c r="F97" s="3" t="s">
        <v>14</v>
      </c>
      <c r="G97" s="4">
        <v>4345.74</v>
      </c>
    </row>
    <row r="98" spans="2:7" x14ac:dyDescent="0.3">
      <c r="B98" s="12" t="s">
        <v>198</v>
      </c>
      <c r="C98" s="3" t="s">
        <v>199</v>
      </c>
      <c r="D98" s="3" t="s">
        <v>9</v>
      </c>
      <c r="E98" s="3"/>
      <c r="F98" s="3" t="s">
        <v>14</v>
      </c>
      <c r="G98" s="4">
        <v>4022.2</v>
      </c>
    </row>
    <row r="99" spans="2:7" x14ac:dyDescent="0.3">
      <c r="B99" s="12" t="s">
        <v>200</v>
      </c>
      <c r="C99" s="3" t="s">
        <v>201</v>
      </c>
      <c r="D99" s="3" t="s">
        <v>9</v>
      </c>
      <c r="E99" s="3" t="s">
        <v>24</v>
      </c>
      <c r="F99" s="3" t="s">
        <v>14</v>
      </c>
      <c r="G99" s="4">
        <v>4010.43</v>
      </c>
    </row>
    <row r="100" spans="2:7" x14ac:dyDescent="0.3">
      <c r="B100" s="12" t="s">
        <v>202</v>
      </c>
      <c r="C100" s="3" t="s">
        <v>203</v>
      </c>
      <c r="D100" s="3" t="s">
        <v>9</v>
      </c>
      <c r="E100" s="3" t="s">
        <v>24</v>
      </c>
      <c r="F100" s="3" t="s">
        <v>14</v>
      </c>
      <c r="G100" s="4">
        <v>3924.57</v>
      </c>
    </row>
    <row r="101" spans="2:7" x14ac:dyDescent="0.3">
      <c r="B101" s="12" t="s">
        <v>204</v>
      </c>
      <c r="C101" s="3" t="s">
        <v>205</v>
      </c>
      <c r="D101" s="3" t="s">
        <v>9</v>
      </c>
      <c r="E101" s="3" t="s">
        <v>10</v>
      </c>
      <c r="F101" s="3" t="s">
        <v>11</v>
      </c>
      <c r="G101" s="4">
        <v>3743</v>
      </c>
    </row>
    <row r="102" spans="2:7" x14ac:dyDescent="0.3">
      <c r="B102" s="12" t="s">
        <v>206</v>
      </c>
      <c r="C102" s="3" t="s">
        <v>207</v>
      </c>
      <c r="D102" s="3" t="s">
        <v>9</v>
      </c>
      <c r="E102" s="3" t="s">
        <v>24</v>
      </c>
      <c r="F102" s="3" t="s">
        <v>14</v>
      </c>
      <c r="G102" s="4">
        <v>3700.39</v>
      </c>
    </row>
    <row r="103" spans="2:7" x14ac:dyDescent="0.3">
      <c r="B103" s="12" t="s">
        <v>208</v>
      </c>
      <c r="C103" s="3" t="s">
        <v>209</v>
      </c>
      <c r="D103" s="3" t="s">
        <v>9</v>
      </c>
      <c r="E103" s="3" t="s">
        <v>24</v>
      </c>
      <c r="F103" s="3" t="s">
        <v>14</v>
      </c>
      <c r="G103" s="4">
        <v>3643.5</v>
      </c>
    </row>
    <row r="104" spans="2:7" x14ac:dyDescent="0.3">
      <c r="B104" s="12" t="s">
        <v>210</v>
      </c>
      <c r="C104" s="3" t="s">
        <v>211</v>
      </c>
      <c r="D104" s="3" t="s">
        <v>9</v>
      </c>
      <c r="E104" s="3"/>
      <c r="F104" s="3" t="s">
        <v>14</v>
      </c>
      <c r="G104" s="4">
        <v>3630.65</v>
      </c>
    </row>
    <row r="105" spans="2:7" x14ac:dyDescent="0.3">
      <c r="B105" s="12" t="s">
        <v>212</v>
      </c>
      <c r="C105" s="3" t="s">
        <v>213</v>
      </c>
      <c r="D105" s="3" t="s">
        <v>9</v>
      </c>
      <c r="E105" s="3" t="s">
        <v>24</v>
      </c>
      <c r="F105" s="3" t="s">
        <v>14</v>
      </c>
      <c r="G105" s="4">
        <v>3543.22</v>
      </c>
    </row>
    <row r="106" spans="2:7" x14ac:dyDescent="0.3">
      <c r="B106" s="12" t="s">
        <v>214</v>
      </c>
      <c r="C106" s="3" t="s">
        <v>215</v>
      </c>
      <c r="D106" s="3" t="s">
        <v>9</v>
      </c>
      <c r="E106" s="3" t="s">
        <v>10</v>
      </c>
      <c r="F106" s="3" t="s">
        <v>14</v>
      </c>
      <c r="G106" s="4">
        <v>3540.74</v>
      </c>
    </row>
    <row r="107" spans="2:7" x14ac:dyDescent="0.3">
      <c r="B107" s="12" t="s">
        <v>216</v>
      </c>
      <c r="C107" s="3" t="s">
        <v>217</v>
      </c>
      <c r="D107" s="3" t="s">
        <v>9</v>
      </c>
      <c r="E107" s="3" t="s">
        <v>10</v>
      </c>
      <c r="F107" s="3" t="s">
        <v>14</v>
      </c>
      <c r="G107" s="4">
        <v>3520.04</v>
      </c>
    </row>
    <row r="108" spans="2:7" x14ac:dyDescent="0.3">
      <c r="B108" s="12" t="s">
        <v>218</v>
      </c>
      <c r="C108" s="3" t="s">
        <v>219</v>
      </c>
      <c r="D108" s="3" t="s">
        <v>9</v>
      </c>
      <c r="E108" s="3"/>
      <c r="F108" s="3" t="s">
        <v>14</v>
      </c>
      <c r="G108" s="4">
        <v>3412</v>
      </c>
    </row>
    <row r="109" spans="2:7" x14ac:dyDescent="0.3">
      <c r="B109" s="12" t="s">
        <v>220</v>
      </c>
      <c r="C109" s="3" t="s">
        <v>221</v>
      </c>
      <c r="D109" s="3" t="s">
        <v>9</v>
      </c>
      <c r="E109" s="3" t="s">
        <v>10</v>
      </c>
      <c r="F109" s="3" t="s">
        <v>14</v>
      </c>
      <c r="G109" s="4">
        <v>3249.8</v>
      </c>
    </row>
    <row r="110" spans="2:7" x14ac:dyDescent="0.3">
      <c r="B110" s="12" t="s">
        <v>222</v>
      </c>
      <c r="C110" s="3" t="s">
        <v>223</v>
      </c>
      <c r="D110" s="3" t="s">
        <v>9</v>
      </c>
      <c r="E110" s="3"/>
      <c r="F110" s="3" t="s">
        <v>14</v>
      </c>
      <c r="G110" s="4">
        <v>3162.69</v>
      </c>
    </row>
    <row r="111" spans="2:7" x14ac:dyDescent="0.3">
      <c r="B111" s="12" t="s">
        <v>224</v>
      </c>
      <c r="C111" s="3" t="s">
        <v>225</v>
      </c>
      <c r="D111" s="3" t="s">
        <v>9</v>
      </c>
      <c r="E111" s="3" t="s">
        <v>24</v>
      </c>
      <c r="F111" s="3" t="s">
        <v>14</v>
      </c>
      <c r="G111" s="4">
        <v>3151.33</v>
      </c>
    </row>
    <row r="112" spans="2:7" x14ac:dyDescent="0.3">
      <c r="B112" s="12" t="s">
        <v>226</v>
      </c>
      <c r="C112" s="3" t="s">
        <v>227</v>
      </c>
      <c r="D112" s="3" t="s">
        <v>9</v>
      </c>
      <c r="E112" s="3"/>
      <c r="F112" s="3" t="s">
        <v>14</v>
      </c>
      <c r="G112" s="4">
        <v>3106.57</v>
      </c>
    </row>
    <row r="113" spans="2:7" x14ac:dyDescent="0.3">
      <c r="B113" s="12" t="s">
        <v>228</v>
      </c>
      <c r="C113" s="3" t="s">
        <v>229</v>
      </c>
      <c r="D113" s="3" t="s">
        <v>9</v>
      </c>
      <c r="E113" s="3"/>
      <c r="F113" s="3" t="s">
        <v>14</v>
      </c>
      <c r="G113" s="4">
        <v>3095.48</v>
      </c>
    </row>
    <row r="114" spans="2:7" x14ac:dyDescent="0.3">
      <c r="B114" s="12" t="s">
        <v>230</v>
      </c>
      <c r="C114" s="3" t="s">
        <v>231</v>
      </c>
      <c r="D114" s="3" t="s">
        <v>9</v>
      </c>
      <c r="E114" s="3" t="s">
        <v>24</v>
      </c>
      <c r="F114" s="3" t="s">
        <v>14</v>
      </c>
      <c r="G114" s="4">
        <v>3076.06</v>
      </c>
    </row>
    <row r="115" spans="2:7" x14ac:dyDescent="0.3">
      <c r="B115" s="12" t="s">
        <v>232</v>
      </c>
      <c r="C115" s="3" t="s">
        <v>233</v>
      </c>
      <c r="D115" s="3" t="s">
        <v>9</v>
      </c>
      <c r="E115" s="3"/>
      <c r="F115" s="3" t="s">
        <v>14</v>
      </c>
      <c r="G115" s="4">
        <v>3056.21</v>
      </c>
    </row>
    <row r="116" spans="2:7" x14ac:dyDescent="0.3">
      <c r="B116" s="12" t="s">
        <v>234</v>
      </c>
      <c r="C116" s="3" t="s">
        <v>235</v>
      </c>
      <c r="D116" s="3" t="s">
        <v>9</v>
      </c>
      <c r="E116" s="3"/>
      <c r="F116" s="3" t="s">
        <v>14</v>
      </c>
      <c r="G116" s="4">
        <v>3032.26</v>
      </c>
    </row>
    <row r="117" spans="2:7" x14ac:dyDescent="0.3">
      <c r="B117" s="12" t="s">
        <v>236</v>
      </c>
      <c r="C117" s="3" t="s">
        <v>237</v>
      </c>
      <c r="D117" s="3" t="s">
        <v>9</v>
      </c>
      <c r="E117" s="3" t="s">
        <v>10</v>
      </c>
      <c r="F117" s="3" t="s">
        <v>14</v>
      </c>
      <c r="G117" s="4">
        <v>3023.06</v>
      </c>
    </row>
    <row r="118" spans="2:7" x14ac:dyDescent="0.3">
      <c r="B118" s="12" t="s">
        <v>238</v>
      </c>
      <c r="C118" s="3" t="s">
        <v>239</v>
      </c>
      <c r="D118" s="3" t="s">
        <v>9</v>
      </c>
      <c r="E118" s="3"/>
      <c r="F118" s="3" t="s">
        <v>14</v>
      </c>
      <c r="G118" s="4">
        <v>3002.49</v>
      </c>
    </row>
    <row r="119" spans="2:7" x14ac:dyDescent="0.3">
      <c r="B119" s="12" t="s">
        <v>240</v>
      </c>
      <c r="C119" s="3" t="s">
        <v>241</v>
      </c>
      <c r="D119" s="3" t="s">
        <v>9</v>
      </c>
      <c r="E119" s="3"/>
      <c r="F119" s="3" t="s">
        <v>14</v>
      </c>
      <c r="G119" s="4">
        <v>2973.4</v>
      </c>
    </row>
    <row r="120" spans="2:7" x14ac:dyDescent="0.3">
      <c r="B120" s="12" t="s">
        <v>242</v>
      </c>
      <c r="C120" s="3" t="s">
        <v>243</v>
      </c>
      <c r="D120" s="3" t="s">
        <v>9</v>
      </c>
      <c r="E120" s="3" t="s">
        <v>10</v>
      </c>
      <c r="F120" s="3" t="s">
        <v>14</v>
      </c>
      <c r="G120" s="4">
        <v>2963.6</v>
      </c>
    </row>
    <row r="121" spans="2:7" x14ac:dyDescent="0.3">
      <c r="B121" s="12" t="s">
        <v>244</v>
      </c>
      <c r="C121" s="3" t="s">
        <v>245</v>
      </c>
      <c r="D121" s="3" t="s">
        <v>9</v>
      </c>
      <c r="E121" s="3" t="s">
        <v>24</v>
      </c>
      <c r="F121" s="3" t="s">
        <v>14</v>
      </c>
      <c r="G121" s="4">
        <v>2945.87</v>
      </c>
    </row>
    <row r="122" spans="2:7" x14ac:dyDescent="0.3">
      <c r="B122" s="12" t="s">
        <v>246</v>
      </c>
      <c r="C122" s="3" t="s">
        <v>247</v>
      </c>
      <c r="D122" s="3" t="s">
        <v>9</v>
      </c>
      <c r="E122" s="3"/>
      <c r="F122" s="3" t="s">
        <v>14</v>
      </c>
      <c r="G122" s="4">
        <v>2907.7</v>
      </c>
    </row>
    <row r="123" spans="2:7" x14ac:dyDescent="0.3">
      <c r="B123" s="12" t="s">
        <v>248</v>
      </c>
      <c r="C123" s="3" t="s">
        <v>249</v>
      </c>
      <c r="D123" s="3" t="s">
        <v>9</v>
      </c>
      <c r="E123" s="3" t="s">
        <v>10</v>
      </c>
      <c r="F123" s="3" t="s">
        <v>14</v>
      </c>
      <c r="G123" s="4">
        <v>2822.05</v>
      </c>
    </row>
    <row r="124" spans="2:7" x14ac:dyDescent="0.3">
      <c r="B124" s="12" t="s">
        <v>250</v>
      </c>
      <c r="C124" s="3" t="s">
        <v>251</v>
      </c>
      <c r="D124" s="3" t="s">
        <v>9</v>
      </c>
      <c r="E124" s="3" t="s">
        <v>24</v>
      </c>
      <c r="F124" s="3" t="s">
        <v>14</v>
      </c>
      <c r="G124" s="4">
        <v>2767.89</v>
      </c>
    </row>
    <row r="125" spans="2:7" x14ac:dyDescent="0.3">
      <c r="B125" s="12" t="s">
        <v>252</v>
      </c>
      <c r="C125" s="3" t="s">
        <v>253</v>
      </c>
      <c r="D125" s="3" t="s">
        <v>9</v>
      </c>
      <c r="E125" s="3" t="s">
        <v>24</v>
      </c>
      <c r="F125" s="3" t="s">
        <v>14</v>
      </c>
      <c r="G125" s="4">
        <v>2689.57</v>
      </c>
    </row>
    <row r="126" spans="2:7" x14ac:dyDescent="0.3">
      <c r="B126" s="12" t="s">
        <v>254</v>
      </c>
      <c r="C126" s="3" t="s">
        <v>255</v>
      </c>
      <c r="D126" s="3" t="s">
        <v>9</v>
      </c>
      <c r="E126" s="3"/>
      <c r="F126" s="3" t="s">
        <v>14</v>
      </c>
      <c r="G126" s="4">
        <v>2607.35</v>
      </c>
    </row>
    <row r="127" spans="2:7" x14ac:dyDescent="0.3">
      <c r="B127" s="12" t="s">
        <v>256</v>
      </c>
      <c r="C127" s="3" t="s">
        <v>257</v>
      </c>
      <c r="D127" s="3" t="s">
        <v>9</v>
      </c>
      <c r="E127" s="3" t="s">
        <v>24</v>
      </c>
      <c r="F127" s="3" t="s">
        <v>14</v>
      </c>
      <c r="G127" s="4">
        <v>2601.7199999999998</v>
      </c>
    </row>
    <row r="128" spans="2:7" x14ac:dyDescent="0.3">
      <c r="B128" s="12" t="s">
        <v>258</v>
      </c>
      <c r="C128" s="3" t="s">
        <v>259</v>
      </c>
      <c r="D128" s="3" t="s">
        <v>9</v>
      </c>
      <c r="E128" s="3"/>
      <c r="F128" s="3" t="s">
        <v>14</v>
      </c>
      <c r="G128" s="4">
        <v>2598.89</v>
      </c>
    </row>
    <row r="129" spans="2:7" x14ac:dyDescent="0.3">
      <c r="B129" s="12" t="s">
        <v>260</v>
      </c>
      <c r="C129" s="3" t="s">
        <v>261</v>
      </c>
      <c r="D129" s="3" t="s">
        <v>9</v>
      </c>
      <c r="E129" s="3" t="s">
        <v>10</v>
      </c>
      <c r="F129" s="3" t="s">
        <v>14</v>
      </c>
      <c r="G129" s="4">
        <v>2547.9899999999998</v>
      </c>
    </row>
    <row r="130" spans="2:7" x14ac:dyDescent="0.3">
      <c r="B130" s="12" t="s">
        <v>262</v>
      </c>
      <c r="C130" s="3" t="s">
        <v>263</v>
      </c>
      <c r="D130" s="3" t="s">
        <v>9</v>
      </c>
      <c r="E130" s="3"/>
      <c r="F130" s="3" t="s">
        <v>14</v>
      </c>
      <c r="G130" s="4">
        <v>2521.36</v>
      </c>
    </row>
    <row r="131" spans="2:7" x14ac:dyDescent="0.3">
      <c r="B131" s="12" t="s">
        <v>264</v>
      </c>
      <c r="C131" s="3" t="s">
        <v>265</v>
      </c>
      <c r="D131" s="3" t="s">
        <v>9</v>
      </c>
      <c r="E131" s="3"/>
      <c r="F131" s="3" t="s">
        <v>14</v>
      </c>
      <c r="G131" s="4">
        <v>2500.06</v>
      </c>
    </row>
    <row r="132" spans="2:7" x14ac:dyDescent="0.3">
      <c r="B132" s="12" t="s">
        <v>266</v>
      </c>
      <c r="C132" s="3" t="s">
        <v>267</v>
      </c>
      <c r="D132" s="3" t="s">
        <v>9</v>
      </c>
      <c r="E132" s="3"/>
      <c r="F132" s="3" t="s">
        <v>14</v>
      </c>
      <c r="G132" s="4">
        <v>2494.77</v>
      </c>
    </row>
    <row r="133" spans="2:7" x14ac:dyDescent="0.3">
      <c r="B133" s="12" t="s">
        <v>268</v>
      </c>
      <c r="C133" s="3" t="s">
        <v>269</v>
      </c>
      <c r="D133" s="3" t="s">
        <v>9</v>
      </c>
      <c r="E133" s="3"/>
      <c r="F133" s="3" t="s">
        <v>14</v>
      </c>
      <c r="G133" s="4">
        <v>2451.04</v>
      </c>
    </row>
    <row r="134" spans="2:7" x14ac:dyDescent="0.3">
      <c r="B134" s="12" t="s">
        <v>270</v>
      </c>
      <c r="C134" s="3" t="s">
        <v>271</v>
      </c>
      <c r="D134" s="3" t="s">
        <v>9</v>
      </c>
      <c r="E134" s="3" t="s">
        <v>10</v>
      </c>
      <c r="F134" s="3" t="s">
        <v>14</v>
      </c>
      <c r="G134" s="4">
        <v>2419.56</v>
      </c>
    </row>
    <row r="135" spans="2:7" x14ac:dyDescent="0.3">
      <c r="B135" s="12" t="s">
        <v>272</v>
      </c>
      <c r="C135" s="3" t="s">
        <v>273</v>
      </c>
      <c r="D135" s="3" t="s">
        <v>9</v>
      </c>
      <c r="E135" s="3"/>
      <c r="F135" s="3" t="s">
        <v>14</v>
      </c>
      <c r="G135" s="4">
        <v>2414.63</v>
      </c>
    </row>
    <row r="136" spans="2:7" x14ac:dyDescent="0.3">
      <c r="B136" s="12" t="s">
        <v>274</v>
      </c>
      <c r="C136" s="3" t="s">
        <v>275</v>
      </c>
      <c r="D136" s="3" t="s">
        <v>9</v>
      </c>
      <c r="E136" s="3" t="s">
        <v>24</v>
      </c>
      <c r="F136" s="3" t="s">
        <v>14</v>
      </c>
      <c r="G136" s="4">
        <v>2345.09</v>
      </c>
    </row>
    <row r="137" spans="2:7" x14ac:dyDescent="0.3">
      <c r="B137" s="12" t="s">
        <v>276</v>
      </c>
      <c r="C137" s="3" t="s">
        <v>277</v>
      </c>
      <c r="D137" s="3" t="s">
        <v>9</v>
      </c>
      <c r="E137" s="3"/>
      <c r="F137" s="3" t="s">
        <v>14</v>
      </c>
      <c r="G137" s="4">
        <v>2284.8000000000002</v>
      </c>
    </row>
    <row r="138" spans="2:7" x14ac:dyDescent="0.3">
      <c r="B138" s="12" t="s">
        <v>278</v>
      </c>
      <c r="C138" s="3" t="s">
        <v>279</v>
      </c>
      <c r="D138" s="3" t="s">
        <v>9</v>
      </c>
      <c r="E138" s="3"/>
      <c r="F138" s="3" t="s">
        <v>14</v>
      </c>
      <c r="G138" s="4">
        <v>2238.42</v>
      </c>
    </row>
    <row r="139" spans="2:7" x14ac:dyDescent="0.3">
      <c r="B139" s="12" t="s">
        <v>280</v>
      </c>
      <c r="C139" s="3" t="s">
        <v>281</v>
      </c>
      <c r="D139" s="3" t="s">
        <v>9</v>
      </c>
      <c r="E139" s="3"/>
      <c r="F139" s="3" t="s">
        <v>14</v>
      </c>
      <c r="G139" s="4">
        <v>2187.63</v>
      </c>
    </row>
    <row r="140" spans="2:7" x14ac:dyDescent="0.3">
      <c r="B140" s="12" t="s">
        <v>282</v>
      </c>
      <c r="C140" s="3" t="s">
        <v>283</v>
      </c>
      <c r="D140" s="3" t="s">
        <v>9</v>
      </c>
      <c r="E140" s="3" t="s">
        <v>10</v>
      </c>
      <c r="F140" s="3" t="s">
        <v>14</v>
      </c>
      <c r="G140" s="4">
        <v>2099.41</v>
      </c>
    </row>
    <row r="141" spans="2:7" x14ac:dyDescent="0.3">
      <c r="B141" s="12" t="s">
        <v>284</v>
      </c>
      <c r="C141" s="3" t="s">
        <v>285</v>
      </c>
      <c r="D141" s="3" t="s">
        <v>9</v>
      </c>
      <c r="E141" s="3" t="s">
        <v>24</v>
      </c>
      <c r="F141" s="3" t="s">
        <v>14</v>
      </c>
      <c r="G141" s="4">
        <v>2096.9299999999998</v>
      </c>
    </row>
    <row r="142" spans="2:7" x14ac:dyDescent="0.3">
      <c r="B142" s="12" t="s">
        <v>286</v>
      </c>
      <c r="C142" s="3" t="s">
        <v>287</v>
      </c>
      <c r="D142" s="3" t="s">
        <v>9</v>
      </c>
      <c r="E142" s="3"/>
      <c r="F142" s="3" t="s">
        <v>288</v>
      </c>
      <c r="G142" s="4">
        <v>1998.64</v>
      </c>
    </row>
    <row r="143" spans="2:7" x14ac:dyDescent="0.3">
      <c r="B143" s="12" t="s">
        <v>289</v>
      </c>
      <c r="C143" s="3" t="s">
        <v>290</v>
      </c>
      <c r="D143" s="3" t="s">
        <v>9</v>
      </c>
      <c r="E143" s="3"/>
      <c r="F143" s="3" t="s">
        <v>14</v>
      </c>
      <c r="G143" s="4">
        <v>1931.99</v>
      </c>
    </row>
    <row r="144" spans="2:7" x14ac:dyDescent="0.3">
      <c r="B144" s="12" t="s">
        <v>291</v>
      </c>
      <c r="C144" s="3" t="s">
        <v>292</v>
      </c>
      <c r="D144" s="3" t="s">
        <v>9</v>
      </c>
      <c r="E144" s="3" t="s">
        <v>24</v>
      </c>
      <c r="F144" s="3" t="s">
        <v>14</v>
      </c>
      <c r="G144" s="4">
        <v>1902.39</v>
      </c>
    </row>
    <row r="145" spans="2:7" x14ac:dyDescent="0.3">
      <c r="B145" s="12" t="s">
        <v>293</v>
      </c>
      <c r="C145" s="3" t="s">
        <v>294</v>
      </c>
      <c r="D145" s="3" t="s">
        <v>9</v>
      </c>
      <c r="E145" s="3"/>
      <c r="F145" s="3" t="s">
        <v>14</v>
      </c>
      <c r="G145" s="4">
        <v>1885.44</v>
      </c>
    </row>
    <row r="146" spans="2:7" x14ac:dyDescent="0.3">
      <c r="B146" s="12" t="s">
        <v>295</v>
      </c>
      <c r="C146" s="3" t="s">
        <v>296</v>
      </c>
      <c r="D146" s="3" t="s">
        <v>9</v>
      </c>
      <c r="E146" s="3" t="s">
        <v>24</v>
      </c>
      <c r="F146" s="3" t="s">
        <v>14</v>
      </c>
      <c r="G146" s="4">
        <v>1875.84</v>
      </c>
    </row>
    <row r="147" spans="2:7" x14ac:dyDescent="0.3">
      <c r="B147" s="12" t="s">
        <v>297</v>
      </c>
      <c r="C147" s="3" t="s">
        <v>298</v>
      </c>
      <c r="D147" s="3" t="s">
        <v>9</v>
      </c>
      <c r="E147" s="3"/>
      <c r="F147" s="3" t="s">
        <v>14</v>
      </c>
      <c r="G147" s="4">
        <v>1852.9</v>
      </c>
    </row>
    <row r="148" spans="2:7" x14ac:dyDescent="0.3">
      <c r="B148" s="12" t="s">
        <v>299</v>
      </c>
      <c r="C148" s="3" t="s">
        <v>300</v>
      </c>
      <c r="D148" s="3" t="s">
        <v>9</v>
      </c>
      <c r="E148" s="3" t="s">
        <v>24</v>
      </c>
      <c r="F148" s="3" t="s">
        <v>14</v>
      </c>
      <c r="G148" s="4">
        <v>1851.84</v>
      </c>
    </row>
    <row r="149" spans="2:7" x14ac:dyDescent="0.3">
      <c r="B149" s="12" t="s">
        <v>301</v>
      </c>
      <c r="C149" s="3" t="s">
        <v>302</v>
      </c>
      <c r="D149" s="3" t="s">
        <v>9</v>
      </c>
      <c r="E149" s="3" t="s">
        <v>10</v>
      </c>
      <c r="F149" s="3" t="s">
        <v>14</v>
      </c>
      <c r="G149" s="4">
        <v>1843.71</v>
      </c>
    </row>
    <row r="150" spans="2:7" x14ac:dyDescent="0.3">
      <c r="B150" s="12" t="s">
        <v>303</v>
      </c>
      <c r="C150" s="3" t="s">
        <v>304</v>
      </c>
      <c r="D150" s="3" t="s">
        <v>9</v>
      </c>
      <c r="E150" s="3"/>
      <c r="F150" s="3" t="s">
        <v>14</v>
      </c>
      <c r="G150" s="4">
        <v>1828.49</v>
      </c>
    </row>
    <row r="151" spans="2:7" x14ac:dyDescent="0.3">
      <c r="B151" s="12" t="s">
        <v>305</v>
      </c>
      <c r="C151" s="3" t="s">
        <v>306</v>
      </c>
      <c r="D151" s="3" t="s">
        <v>9</v>
      </c>
      <c r="E151" s="3" t="s">
        <v>10</v>
      </c>
      <c r="F151" s="3" t="s">
        <v>14</v>
      </c>
      <c r="G151" s="4">
        <v>1813.26</v>
      </c>
    </row>
    <row r="152" spans="2:7" x14ac:dyDescent="0.3">
      <c r="B152" s="12" t="s">
        <v>307</v>
      </c>
      <c r="C152" s="3" t="s">
        <v>308</v>
      </c>
      <c r="D152" s="3" t="s">
        <v>9</v>
      </c>
      <c r="E152" s="3" t="s">
        <v>24</v>
      </c>
      <c r="F152" s="3" t="s">
        <v>14</v>
      </c>
      <c r="G152" s="4">
        <v>1785.11</v>
      </c>
    </row>
    <row r="153" spans="2:7" x14ac:dyDescent="0.3">
      <c r="B153" s="12" t="s">
        <v>309</v>
      </c>
      <c r="C153" s="3" t="s">
        <v>310</v>
      </c>
      <c r="D153" s="3" t="s">
        <v>9</v>
      </c>
      <c r="E153" s="3"/>
      <c r="F153" s="3" t="s">
        <v>14</v>
      </c>
      <c r="G153" s="4">
        <v>1742.12</v>
      </c>
    </row>
    <row r="154" spans="2:7" x14ac:dyDescent="0.3">
      <c r="B154" s="12" t="s">
        <v>311</v>
      </c>
      <c r="C154" s="3" t="s">
        <v>312</v>
      </c>
      <c r="D154" s="3" t="s">
        <v>9</v>
      </c>
      <c r="E154" s="3"/>
      <c r="F154" s="3" t="s">
        <v>14</v>
      </c>
      <c r="G154" s="4">
        <v>1684.72</v>
      </c>
    </row>
    <row r="155" spans="2:7" x14ac:dyDescent="0.3">
      <c r="B155" s="12" t="s">
        <v>313</v>
      </c>
      <c r="C155" s="3" t="s">
        <v>314</v>
      </c>
      <c r="D155" s="3" t="s">
        <v>9</v>
      </c>
      <c r="E155" s="3" t="s">
        <v>24</v>
      </c>
      <c r="F155" s="3" t="s">
        <v>14</v>
      </c>
      <c r="G155" s="4">
        <v>1641.95</v>
      </c>
    </row>
    <row r="156" spans="2:7" x14ac:dyDescent="0.3">
      <c r="B156" s="12" t="s">
        <v>315</v>
      </c>
      <c r="C156" s="3" t="s">
        <v>316</v>
      </c>
      <c r="D156" s="3" t="s">
        <v>9</v>
      </c>
      <c r="E156" s="3" t="s">
        <v>24</v>
      </c>
      <c r="F156" s="3" t="s">
        <v>14</v>
      </c>
      <c r="G156" s="4">
        <v>1487.67</v>
      </c>
    </row>
    <row r="157" spans="2:7" x14ac:dyDescent="0.3">
      <c r="B157" s="12" t="s">
        <v>317</v>
      </c>
      <c r="C157" s="3" t="s">
        <v>318</v>
      </c>
      <c r="D157" s="3" t="s">
        <v>9</v>
      </c>
      <c r="E157" s="3" t="s">
        <v>24</v>
      </c>
      <c r="F157" s="3" t="s">
        <v>14</v>
      </c>
      <c r="G157" s="4">
        <v>1479.71</v>
      </c>
    </row>
    <row r="158" spans="2:7" x14ac:dyDescent="0.3">
      <c r="B158" s="12" t="s">
        <v>319</v>
      </c>
      <c r="C158" s="3" t="s">
        <v>320</v>
      </c>
      <c r="D158" s="3" t="s">
        <v>9</v>
      </c>
      <c r="E158" s="3" t="s">
        <v>24</v>
      </c>
      <c r="F158" s="3" t="s">
        <v>14</v>
      </c>
      <c r="G158" s="4">
        <v>1450.29</v>
      </c>
    </row>
    <row r="159" spans="2:7" x14ac:dyDescent="0.3">
      <c r="B159" s="12" t="s">
        <v>321</v>
      </c>
      <c r="C159" s="3" t="s">
        <v>322</v>
      </c>
      <c r="D159" s="3" t="s">
        <v>9</v>
      </c>
      <c r="E159" s="3" t="s">
        <v>10</v>
      </c>
      <c r="F159" s="3" t="s">
        <v>14</v>
      </c>
      <c r="G159" s="4">
        <v>1419.83</v>
      </c>
    </row>
    <row r="160" spans="2:7" x14ac:dyDescent="0.3">
      <c r="B160" s="12" t="s">
        <v>323</v>
      </c>
      <c r="C160" s="3" t="s">
        <v>324</v>
      </c>
      <c r="D160" s="3" t="s">
        <v>9</v>
      </c>
      <c r="E160" s="3" t="s">
        <v>24</v>
      </c>
      <c r="F160" s="3" t="s">
        <v>14</v>
      </c>
      <c r="G160" s="4">
        <v>1412.3</v>
      </c>
    </row>
    <row r="161" spans="2:7" x14ac:dyDescent="0.3">
      <c r="B161" s="12" t="s">
        <v>325</v>
      </c>
      <c r="C161" s="3" t="s">
        <v>326</v>
      </c>
      <c r="D161" s="3" t="s">
        <v>9</v>
      </c>
      <c r="E161" s="3"/>
      <c r="F161" s="3" t="s">
        <v>14</v>
      </c>
      <c r="G161" s="4">
        <v>1370.14</v>
      </c>
    </row>
    <row r="162" spans="2:7" x14ac:dyDescent="0.3">
      <c r="B162" s="12" t="s">
        <v>327</v>
      </c>
      <c r="C162" s="3" t="s">
        <v>328</v>
      </c>
      <c r="D162" s="3" t="s">
        <v>9</v>
      </c>
      <c r="E162" s="3"/>
      <c r="F162" s="3" t="s">
        <v>14</v>
      </c>
      <c r="G162" s="4">
        <v>1367.89</v>
      </c>
    </row>
    <row r="163" spans="2:7" x14ac:dyDescent="0.3">
      <c r="B163" s="12" t="s">
        <v>329</v>
      </c>
      <c r="C163" s="3" t="s">
        <v>330</v>
      </c>
      <c r="D163" s="3" t="s">
        <v>9</v>
      </c>
      <c r="E163" s="3"/>
      <c r="F163" s="3" t="s">
        <v>14</v>
      </c>
      <c r="G163" s="4">
        <v>1268.19</v>
      </c>
    </row>
    <row r="164" spans="2:7" x14ac:dyDescent="0.3">
      <c r="B164" s="12">
        <v>8987</v>
      </c>
      <c r="C164" s="3" t="s">
        <v>332</v>
      </c>
      <c r="D164" s="3" t="s">
        <v>9</v>
      </c>
      <c r="E164" s="3"/>
      <c r="F164" s="3" t="s">
        <v>14</v>
      </c>
      <c r="G164" s="4">
        <v>1238.54</v>
      </c>
    </row>
    <row r="165" spans="2:7" x14ac:dyDescent="0.3">
      <c r="B165" s="12">
        <v>3040</v>
      </c>
      <c r="C165" s="3" t="s">
        <v>333</v>
      </c>
      <c r="D165" s="3" t="s">
        <v>9</v>
      </c>
      <c r="E165" s="3"/>
      <c r="F165" s="3" t="s">
        <v>14</v>
      </c>
      <c r="G165" s="4">
        <v>1213.8399999999999</v>
      </c>
    </row>
    <row r="166" spans="2:7" x14ac:dyDescent="0.3">
      <c r="B166" s="12" t="s">
        <v>334</v>
      </c>
      <c r="C166" s="3" t="s">
        <v>335</v>
      </c>
      <c r="D166" s="3" t="s">
        <v>9</v>
      </c>
      <c r="E166" s="3"/>
      <c r="F166" s="3" t="s">
        <v>14</v>
      </c>
      <c r="G166" s="4">
        <v>1182.8699999999999</v>
      </c>
    </row>
    <row r="167" spans="2:7" x14ac:dyDescent="0.3">
      <c r="B167" s="12" t="s">
        <v>336</v>
      </c>
      <c r="C167" s="3" t="s">
        <v>337</v>
      </c>
      <c r="D167" s="3" t="s">
        <v>9</v>
      </c>
      <c r="E167" s="3" t="s">
        <v>24</v>
      </c>
      <c r="F167" s="3" t="s">
        <v>14</v>
      </c>
      <c r="G167" s="4">
        <v>1180.97</v>
      </c>
    </row>
    <row r="168" spans="2:7" x14ac:dyDescent="0.3">
      <c r="B168" s="12" t="s">
        <v>338</v>
      </c>
      <c r="C168" s="3" t="s">
        <v>339</v>
      </c>
      <c r="D168" s="3" t="s">
        <v>9</v>
      </c>
      <c r="E168" s="3" t="s">
        <v>24</v>
      </c>
      <c r="F168" s="3" t="s">
        <v>14</v>
      </c>
      <c r="G168" s="4">
        <v>1153.76</v>
      </c>
    </row>
    <row r="169" spans="2:7" x14ac:dyDescent="0.3">
      <c r="B169" s="12" t="s">
        <v>340</v>
      </c>
      <c r="C169" s="3" t="s">
        <v>341</v>
      </c>
      <c r="D169" s="3" t="s">
        <v>9</v>
      </c>
      <c r="E169" s="3"/>
      <c r="F169" s="3" t="s">
        <v>14</v>
      </c>
      <c r="G169" s="4">
        <v>1140.18</v>
      </c>
    </row>
    <row r="170" spans="2:7" x14ac:dyDescent="0.3">
      <c r="B170" s="12" t="s">
        <v>342</v>
      </c>
      <c r="C170" s="3" t="s">
        <v>343</v>
      </c>
      <c r="D170" s="3" t="s">
        <v>9</v>
      </c>
      <c r="E170" s="3"/>
      <c r="F170" s="3" t="s">
        <v>14</v>
      </c>
      <c r="G170" s="4">
        <v>1126.99</v>
      </c>
    </row>
    <row r="171" spans="2:7" x14ac:dyDescent="0.3">
      <c r="B171" s="12" t="s">
        <v>344</v>
      </c>
      <c r="C171" s="3" t="s">
        <v>345</v>
      </c>
      <c r="D171" s="3" t="s">
        <v>9</v>
      </c>
      <c r="E171" s="3"/>
      <c r="F171" s="3" t="s">
        <v>14</v>
      </c>
      <c r="G171" s="4">
        <v>1097.22</v>
      </c>
    </row>
    <row r="172" spans="2:7" x14ac:dyDescent="0.3">
      <c r="B172" s="12" t="s">
        <v>346</v>
      </c>
      <c r="C172" s="3" t="s">
        <v>347</v>
      </c>
      <c r="D172" s="3" t="s">
        <v>9</v>
      </c>
      <c r="E172" s="3"/>
      <c r="F172" s="3" t="s">
        <v>14</v>
      </c>
      <c r="G172" s="4">
        <v>1094.43</v>
      </c>
    </row>
    <row r="173" spans="2:7" x14ac:dyDescent="0.3">
      <c r="B173" s="12" t="s">
        <v>348</v>
      </c>
      <c r="C173" s="3" t="s">
        <v>349</v>
      </c>
      <c r="D173" s="3" t="s">
        <v>9</v>
      </c>
      <c r="E173" s="3"/>
      <c r="F173" s="3" t="s">
        <v>14</v>
      </c>
      <c r="G173" s="4">
        <v>1022.61</v>
      </c>
    </row>
    <row r="174" spans="2:7" x14ac:dyDescent="0.3">
      <c r="B174" s="12" t="s">
        <v>350</v>
      </c>
      <c r="C174" s="3" t="s">
        <v>351</v>
      </c>
      <c r="D174" s="3" t="s">
        <v>9</v>
      </c>
      <c r="E174" s="3" t="s">
        <v>10</v>
      </c>
      <c r="F174" s="3" t="s">
        <v>14</v>
      </c>
      <c r="G174" s="4">
        <v>1021.46</v>
      </c>
    </row>
    <row r="175" spans="2:7" x14ac:dyDescent="0.3">
      <c r="B175" s="12" t="s">
        <v>352</v>
      </c>
      <c r="C175" s="3" t="s">
        <v>353</v>
      </c>
      <c r="D175" s="3" t="s">
        <v>9</v>
      </c>
      <c r="E175" s="3"/>
      <c r="F175" s="3" t="s">
        <v>14</v>
      </c>
      <c r="G175" s="4">
        <v>980.99</v>
      </c>
    </row>
    <row r="176" spans="2:7" x14ac:dyDescent="0.3">
      <c r="B176" s="12" t="s">
        <v>354</v>
      </c>
      <c r="C176" s="3" t="s">
        <v>355</v>
      </c>
      <c r="D176" s="3" t="s">
        <v>9</v>
      </c>
      <c r="E176" s="3" t="s">
        <v>24</v>
      </c>
      <c r="F176" s="3" t="s">
        <v>14</v>
      </c>
      <c r="G176" s="4">
        <v>972.82</v>
      </c>
    </row>
    <row r="177" spans="2:7" x14ac:dyDescent="0.3">
      <c r="B177" s="12" t="s">
        <v>356</v>
      </c>
      <c r="C177" s="3" t="s">
        <v>357</v>
      </c>
      <c r="D177" s="3" t="s">
        <v>9</v>
      </c>
      <c r="E177" s="3"/>
      <c r="F177" s="3" t="s">
        <v>14</v>
      </c>
      <c r="G177" s="4">
        <v>938.13</v>
      </c>
    </row>
    <row r="178" spans="2:7" x14ac:dyDescent="0.3">
      <c r="B178" s="12" t="s">
        <v>358</v>
      </c>
      <c r="C178" s="3" t="s">
        <v>359</v>
      </c>
      <c r="D178" s="3" t="s">
        <v>9</v>
      </c>
      <c r="E178" s="3"/>
      <c r="F178" s="3" t="s">
        <v>14</v>
      </c>
      <c r="G178" s="4">
        <v>935.5</v>
      </c>
    </row>
    <row r="179" spans="2:7" x14ac:dyDescent="0.3">
      <c r="B179" s="12" t="s">
        <v>360</v>
      </c>
      <c r="C179" s="3" t="s">
        <v>361</v>
      </c>
      <c r="D179" s="3" t="s">
        <v>9</v>
      </c>
      <c r="E179" s="3"/>
      <c r="F179" s="3" t="s">
        <v>14</v>
      </c>
      <c r="G179" s="4">
        <v>929.18</v>
      </c>
    </row>
    <row r="180" spans="2:7" x14ac:dyDescent="0.3">
      <c r="B180" s="12" t="s">
        <v>362</v>
      </c>
      <c r="C180" s="3" t="s">
        <v>363</v>
      </c>
      <c r="D180" s="3" t="s">
        <v>9</v>
      </c>
      <c r="E180" s="3" t="s">
        <v>24</v>
      </c>
      <c r="F180" s="3" t="s">
        <v>14</v>
      </c>
      <c r="G180" s="4">
        <v>905.67</v>
      </c>
    </row>
    <row r="181" spans="2:7" x14ac:dyDescent="0.3">
      <c r="B181" s="12" t="s">
        <v>364</v>
      </c>
      <c r="C181" s="3" t="s">
        <v>365</v>
      </c>
      <c r="D181" s="3" t="s">
        <v>9</v>
      </c>
      <c r="E181" s="3"/>
      <c r="F181" s="3" t="s">
        <v>14</v>
      </c>
      <c r="G181" s="4">
        <v>860.1</v>
      </c>
    </row>
    <row r="182" spans="2:7" x14ac:dyDescent="0.3">
      <c r="B182" s="12" t="s">
        <v>366</v>
      </c>
      <c r="C182" s="3" t="s">
        <v>367</v>
      </c>
      <c r="D182" s="3" t="s">
        <v>9</v>
      </c>
      <c r="E182" s="3"/>
      <c r="F182" s="3" t="s">
        <v>14</v>
      </c>
      <c r="G182" s="4">
        <v>856.26</v>
      </c>
    </row>
    <row r="183" spans="2:7" x14ac:dyDescent="0.3">
      <c r="B183" s="12" t="s">
        <v>368</v>
      </c>
      <c r="C183" s="3" t="s">
        <v>369</v>
      </c>
      <c r="D183" s="3" t="s">
        <v>9</v>
      </c>
      <c r="E183" s="3"/>
      <c r="F183" s="3" t="s">
        <v>14</v>
      </c>
      <c r="G183" s="4">
        <v>847.41</v>
      </c>
    </row>
    <row r="184" spans="2:7" x14ac:dyDescent="0.3">
      <c r="B184" s="12" t="s">
        <v>370</v>
      </c>
      <c r="C184" s="3" t="s">
        <v>371</v>
      </c>
      <c r="D184" s="3" t="s">
        <v>9</v>
      </c>
      <c r="E184" s="3"/>
      <c r="F184" s="3" t="s">
        <v>14</v>
      </c>
      <c r="G184" s="4">
        <v>828.69</v>
      </c>
    </row>
    <row r="185" spans="2:7" x14ac:dyDescent="0.3">
      <c r="B185" s="12" t="s">
        <v>372</v>
      </c>
      <c r="C185" s="3" t="s">
        <v>373</v>
      </c>
      <c r="D185" s="3" t="s">
        <v>9</v>
      </c>
      <c r="E185" s="3"/>
      <c r="F185" s="3" t="s">
        <v>14</v>
      </c>
      <c r="G185" s="4">
        <v>779.67</v>
      </c>
    </row>
    <row r="186" spans="2:7" x14ac:dyDescent="0.3">
      <c r="B186" s="12" t="s">
        <v>374</v>
      </c>
      <c r="C186" s="3" t="s">
        <v>375</v>
      </c>
      <c r="D186" s="3" t="s">
        <v>9</v>
      </c>
      <c r="E186" s="3" t="s">
        <v>10</v>
      </c>
      <c r="F186" s="3" t="s">
        <v>14</v>
      </c>
      <c r="G186" s="4">
        <v>778.94</v>
      </c>
    </row>
    <row r="187" spans="2:7" x14ac:dyDescent="0.3">
      <c r="B187" s="12" t="s">
        <v>376</v>
      </c>
      <c r="C187" s="3" t="s">
        <v>377</v>
      </c>
      <c r="D187" s="3" t="s">
        <v>9</v>
      </c>
      <c r="E187" s="3" t="s">
        <v>24</v>
      </c>
      <c r="F187" s="3" t="s">
        <v>14</v>
      </c>
      <c r="G187" s="4">
        <v>758.42</v>
      </c>
    </row>
    <row r="188" spans="2:7" x14ac:dyDescent="0.3">
      <c r="B188" s="12">
        <v>2836</v>
      </c>
      <c r="C188" s="3" t="s">
        <v>378</v>
      </c>
      <c r="D188" s="3" t="s">
        <v>9</v>
      </c>
      <c r="E188" s="3"/>
      <c r="F188" s="3" t="s">
        <v>14</v>
      </c>
      <c r="G188" s="4">
        <v>724.96</v>
      </c>
    </row>
    <row r="189" spans="2:7" x14ac:dyDescent="0.3">
      <c r="B189" s="12" t="s">
        <v>379</v>
      </c>
      <c r="C189" s="3" t="s">
        <v>380</v>
      </c>
      <c r="D189" s="3" t="s">
        <v>9</v>
      </c>
      <c r="E189" s="3"/>
      <c r="F189" s="3" t="s">
        <v>14</v>
      </c>
      <c r="G189" s="4">
        <v>689.23</v>
      </c>
    </row>
    <row r="190" spans="2:7" x14ac:dyDescent="0.3">
      <c r="B190" s="12" t="s">
        <v>381</v>
      </c>
      <c r="C190" s="3" t="s">
        <v>382</v>
      </c>
      <c r="D190" s="3" t="s">
        <v>9</v>
      </c>
      <c r="E190" s="3" t="s">
        <v>10</v>
      </c>
      <c r="F190" s="3" t="s">
        <v>14</v>
      </c>
      <c r="G190" s="4">
        <v>670.91</v>
      </c>
    </row>
    <row r="191" spans="2:7" x14ac:dyDescent="0.3">
      <c r="B191" s="12" t="s">
        <v>383</v>
      </c>
      <c r="C191" s="3" t="s">
        <v>384</v>
      </c>
      <c r="D191" s="3" t="s">
        <v>9</v>
      </c>
      <c r="E191" s="3"/>
      <c r="F191" s="3" t="s">
        <v>14</v>
      </c>
      <c r="G191" s="4">
        <v>653.9</v>
      </c>
    </row>
    <row r="192" spans="2:7" x14ac:dyDescent="0.3">
      <c r="B192" s="12" t="s">
        <v>385</v>
      </c>
      <c r="C192" s="3" t="s">
        <v>386</v>
      </c>
      <c r="D192" s="3" t="s">
        <v>9</v>
      </c>
      <c r="E192" s="3"/>
      <c r="F192" s="3" t="s">
        <v>14</v>
      </c>
      <c r="G192" s="4">
        <v>629.54999999999995</v>
      </c>
    </row>
    <row r="193" spans="2:7" x14ac:dyDescent="0.3">
      <c r="B193" s="12" t="s">
        <v>387</v>
      </c>
      <c r="C193" s="3" t="s">
        <v>388</v>
      </c>
      <c r="D193" s="3" t="s">
        <v>9</v>
      </c>
      <c r="E193" s="3"/>
      <c r="F193" s="3" t="s">
        <v>389</v>
      </c>
      <c r="G193" s="4">
        <v>628.85</v>
      </c>
    </row>
    <row r="194" spans="2:7" x14ac:dyDescent="0.3">
      <c r="B194" s="12" t="s">
        <v>390</v>
      </c>
      <c r="C194" s="3" t="s">
        <v>391</v>
      </c>
      <c r="D194" s="3" t="s">
        <v>9</v>
      </c>
      <c r="E194" s="3"/>
      <c r="F194" s="3" t="s">
        <v>14</v>
      </c>
      <c r="G194" s="4">
        <v>628.83000000000004</v>
      </c>
    </row>
    <row r="195" spans="2:7" x14ac:dyDescent="0.3">
      <c r="B195" s="12" t="s">
        <v>392</v>
      </c>
      <c r="C195" s="3" t="s">
        <v>393</v>
      </c>
      <c r="D195" s="3" t="s">
        <v>9</v>
      </c>
      <c r="E195" s="3"/>
      <c r="F195" s="3" t="s">
        <v>14</v>
      </c>
      <c r="G195" s="4">
        <v>607.58000000000004</v>
      </c>
    </row>
    <row r="196" spans="2:7" x14ac:dyDescent="0.3">
      <c r="B196" s="12" t="s">
        <v>394</v>
      </c>
      <c r="C196" s="3" t="s">
        <v>395</v>
      </c>
      <c r="D196" s="3" t="s">
        <v>9</v>
      </c>
      <c r="E196" s="3"/>
      <c r="F196" s="3" t="s">
        <v>14</v>
      </c>
      <c r="G196" s="4">
        <v>585.54</v>
      </c>
    </row>
    <row r="197" spans="2:7" x14ac:dyDescent="0.3">
      <c r="B197" s="12" t="s">
        <v>396</v>
      </c>
      <c r="C197" s="3" t="s">
        <v>397</v>
      </c>
      <c r="D197" s="3" t="s">
        <v>9</v>
      </c>
      <c r="E197" s="3" t="s">
        <v>24</v>
      </c>
      <c r="F197" s="3" t="s">
        <v>14</v>
      </c>
      <c r="G197" s="4">
        <v>584.97</v>
      </c>
    </row>
    <row r="198" spans="2:7" x14ac:dyDescent="0.3">
      <c r="B198" s="12" t="s">
        <v>398</v>
      </c>
      <c r="C198" s="3" t="s">
        <v>399</v>
      </c>
      <c r="D198" s="3" t="s">
        <v>9</v>
      </c>
      <c r="E198" s="3" t="s">
        <v>24</v>
      </c>
      <c r="F198" s="3" t="s">
        <v>14</v>
      </c>
      <c r="G198" s="4">
        <v>546.96</v>
      </c>
    </row>
    <row r="199" spans="2:7" x14ac:dyDescent="0.3">
      <c r="B199" s="12" t="s">
        <v>400</v>
      </c>
      <c r="C199" s="3" t="s">
        <v>401</v>
      </c>
      <c r="D199" s="3" t="s">
        <v>9</v>
      </c>
      <c r="E199" s="3"/>
      <c r="F199" s="3" t="s">
        <v>14</v>
      </c>
      <c r="G199" s="4">
        <v>540.9</v>
      </c>
    </row>
    <row r="200" spans="2:7" x14ac:dyDescent="0.3">
      <c r="B200" s="12" t="s">
        <v>402</v>
      </c>
      <c r="C200" s="3" t="s">
        <v>403</v>
      </c>
      <c r="D200" s="3" t="s">
        <v>9</v>
      </c>
      <c r="E200" s="3" t="s">
        <v>24</v>
      </c>
      <c r="F200" s="3" t="s">
        <v>14</v>
      </c>
      <c r="G200" s="4">
        <v>539.34</v>
      </c>
    </row>
    <row r="201" spans="2:7" x14ac:dyDescent="0.3">
      <c r="B201" s="12" t="s">
        <v>404</v>
      </c>
      <c r="C201" s="3" t="s">
        <v>405</v>
      </c>
      <c r="D201" s="3" t="s">
        <v>9</v>
      </c>
      <c r="E201" s="3" t="s">
        <v>24</v>
      </c>
      <c r="F201" s="3" t="s">
        <v>14</v>
      </c>
      <c r="G201" s="4">
        <v>538.29999999999995</v>
      </c>
    </row>
    <row r="202" spans="2:7" x14ac:dyDescent="0.3">
      <c r="B202" s="12" t="s">
        <v>406</v>
      </c>
      <c r="C202" s="3" t="s">
        <v>407</v>
      </c>
      <c r="D202" s="3" t="s">
        <v>9</v>
      </c>
      <c r="E202" s="3"/>
      <c r="F202" s="3" t="s">
        <v>14</v>
      </c>
      <c r="G202" s="4">
        <v>531.28</v>
      </c>
    </row>
    <row r="203" spans="2:7" x14ac:dyDescent="0.3">
      <c r="B203" s="12" t="s">
        <v>408</v>
      </c>
      <c r="C203" s="3" t="s">
        <v>409</v>
      </c>
      <c r="D203" s="3" t="s">
        <v>9</v>
      </c>
      <c r="E203" s="3"/>
      <c r="F203" s="3" t="s">
        <v>14</v>
      </c>
      <c r="G203" s="4">
        <v>523.19000000000005</v>
      </c>
    </row>
    <row r="204" spans="2:7" x14ac:dyDescent="0.3">
      <c r="B204" s="12" t="s">
        <v>410</v>
      </c>
      <c r="C204" s="3" t="s">
        <v>411</v>
      </c>
      <c r="D204" s="3" t="s">
        <v>9</v>
      </c>
      <c r="E204" s="3"/>
      <c r="F204" s="3" t="s">
        <v>14</v>
      </c>
      <c r="G204" s="4">
        <v>520.35</v>
      </c>
    </row>
    <row r="205" spans="2:7" x14ac:dyDescent="0.3">
      <c r="B205" s="12">
        <v>6138</v>
      </c>
      <c r="C205" s="3" t="s">
        <v>412</v>
      </c>
      <c r="D205" s="3" t="s">
        <v>9</v>
      </c>
      <c r="E205" s="3"/>
      <c r="F205" s="3" t="s">
        <v>14</v>
      </c>
      <c r="G205" s="4">
        <v>514.87</v>
      </c>
    </row>
  </sheetData>
  <autoFilter ref="B3:G205" xr:uid="{00000000-0009-0000-0000-000000000000}">
    <sortState xmlns:xlrd2="http://schemas.microsoft.com/office/spreadsheetml/2017/richdata2" ref="B4:G205">
      <sortCondition descending="1" ref="G3:G205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34"/>
  <sheetViews>
    <sheetView zoomScale="85" zoomScaleNormal="85" workbookViewId="0">
      <selection activeCell="D35" sqref="D35:D36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3.875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20" t="s">
        <v>1</v>
      </c>
      <c r="C2" s="20" t="s">
        <v>413</v>
      </c>
      <c r="D2" s="20" t="s">
        <v>414</v>
      </c>
      <c r="E2" s="20" t="s">
        <v>415</v>
      </c>
      <c r="F2" s="20" t="s">
        <v>416</v>
      </c>
      <c r="G2" s="20" t="s">
        <v>417</v>
      </c>
      <c r="H2" s="20" t="s">
        <v>418</v>
      </c>
      <c r="I2" s="20" t="s">
        <v>419</v>
      </c>
      <c r="J2" s="20" t="s">
        <v>420</v>
      </c>
      <c r="K2" s="20" t="s">
        <v>421</v>
      </c>
      <c r="L2" s="20" t="s">
        <v>422</v>
      </c>
      <c r="M2" s="20" t="s">
        <v>423</v>
      </c>
      <c r="N2" s="20" t="s">
        <v>424</v>
      </c>
      <c r="O2" s="20" t="s">
        <v>425</v>
      </c>
      <c r="P2" s="20" t="s">
        <v>426</v>
      </c>
      <c r="Q2" s="20" t="s">
        <v>427</v>
      </c>
      <c r="R2" s="20" t="s">
        <v>428</v>
      </c>
      <c r="S2" s="20" t="s">
        <v>429</v>
      </c>
      <c r="T2" s="20" t="s">
        <v>430</v>
      </c>
      <c r="U2" s="20" t="s">
        <v>431</v>
      </c>
      <c r="V2" s="20" t="s">
        <v>432</v>
      </c>
      <c r="W2" s="20" t="s">
        <v>433</v>
      </c>
      <c r="X2" s="20" t="s">
        <v>430</v>
      </c>
      <c r="Y2" s="20" t="s">
        <v>431</v>
      </c>
      <c r="Z2" s="20" t="s">
        <v>432</v>
      </c>
      <c r="AA2" s="20" t="s">
        <v>433</v>
      </c>
    </row>
    <row r="3" spans="2:27" x14ac:dyDescent="0.3">
      <c r="B3" s="12" t="s">
        <v>49</v>
      </c>
      <c r="C3" s="3" t="s">
        <v>434</v>
      </c>
      <c r="D3" s="3" t="s">
        <v>435</v>
      </c>
      <c r="E3" s="3" t="s">
        <v>436</v>
      </c>
      <c r="F3" s="14">
        <v>35.700000000000003</v>
      </c>
      <c r="G3" s="23">
        <v>56.12</v>
      </c>
      <c r="H3" s="23">
        <v>53.11</v>
      </c>
      <c r="I3" s="23">
        <v>65.22</v>
      </c>
      <c r="J3" s="23">
        <v>67.73</v>
      </c>
      <c r="K3" s="23">
        <v>59.3</v>
      </c>
      <c r="L3" s="23">
        <v>65.209999999999994</v>
      </c>
      <c r="M3" s="23">
        <v>77.23</v>
      </c>
      <c r="N3" s="23">
        <v>79.069999999999993</v>
      </c>
      <c r="O3" s="23">
        <v>83.69</v>
      </c>
      <c r="P3" s="23">
        <v>75.5</v>
      </c>
      <c r="Q3" s="23">
        <v>90.34</v>
      </c>
      <c r="R3" s="23">
        <v>93.43</v>
      </c>
      <c r="S3" s="23">
        <v>104.44</v>
      </c>
      <c r="T3" s="23">
        <v>92.82</v>
      </c>
      <c r="U3" s="23">
        <v>107.42</v>
      </c>
      <c r="V3" s="24">
        <v>142.34</v>
      </c>
      <c r="W3" s="24">
        <v>263.83999999999997</v>
      </c>
      <c r="X3" s="7">
        <v>4.7620356877732029E-2</v>
      </c>
      <c r="Y3" s="8">
        <v>4.482586672965394E-2</v>
      </c>
      <c r="Z3" s="9">
        <v>0.12285549220064799</v>
      </c>
      <c r="AA3" s="9">
        <v>0.35658359804930417</v>
      </c>
    </row>
    <row r="4" spans="2:27" x14ac:dyDescent="0.3">
      <c r="B4" s="12" t="s">
        <v>282</v>
      </c>
      <c r="C4" s="3" t="s">
        <v>434</v>
      </c>
      <c r="D4" s="3" t="s">
        <v>437</v>
      </c>
      <c r="E4" s="3" t="s">
        <v>436</v>
      </c>
      <c r="F4" s="14">
        <v>31.8</v>
      </c>
      <c r="G4" s="23">
        <v>47.29</v>
      </c>
      <c r="H4" s="23">
        <v>42.46</v>
      </c>
      <c r="I4" s="23">
        <v>30.55</v>
      </c>
      <c r="J4" s="23">
        <v>36.01</v>
      </c>
      <c r="K4" s="23">
        <v>36.159999999999997</v>
      </c>
      <c r="L4" s="23">
        <v>39.92</v>
      </c>
      <c r="M4" s="23">
        <v>36.28</v>
      </c>
      <c r="N4" s="23">
        <v>34.47</v>
      </c>
      <c r="O4" s="23">
        <v>40.69</v>
      </c>
      <c r="P4" s="23">
        <v>41.54</v>
      </c>
      <c r="Q4" s="23">
        <v>47.99</v>
      </c>
      <c r="R4" s="23">
        <v>46.51</v>
      </c>
      <c r="S4" s="23">
        <v>42.62</v>
      </c>
      <c r="T4" s="23">
        <v>43.36</v>
      </c>
      <c r="U4" s="23">
        <v>65.17</v>
      </c>
      <c r="V4" s="23">
        <v>65.11</v>
      </c>
      <c r="W4" s="24">
        <v>111.43</v>
      </c>
      <c r="X4" s="7">
        <v>1.018694727415204E-2</v>
      </c>
      <c r="Y4" s="8">
        <v>9.5190602836879412E-2</v>
      </c>
      <c r="Z4" s="8">
        <v>9.4100981483355328E-2</v>
      </c>
      <c r="AA4" s="9">
        <v>0.31818181818181812</v>
      </c>
    </row>
    <row r="5" spans="2:27" x14ac:dyDescent="0.3">
      <c r="B5" s="12" t="s">
        <v>125</v>
      </c>
      <c r="C5" s="3" t="s">
        <v>434</v>
      </c>
      <c r="D5" s="3" t="s">
        <v>438</v>
      </c>
      <c r="E5" s="3" t="s">
        <v>436</v>
      </c>
      <c r="F5" s="14">
        <v>30.2</v>
      </c>
      <c r="G5" s="23">
        <v>204.88</v>
      </c>
      <c r="H5" s="23">
        <v>156.84</v>
      </c>
      <c r="I5" s="23">
        <v>159.44</v>
      </c>
      <c r="J5" s="23">
        <v>159.75</v>
      </c>
      <c r="K5" s="23">
        <v>148.19</v>
      </c>
      <c r="L5" s="23">
        <v>156.94999999999999</v>
      </c>
      <c r="M5" s="23">
        <v>146.69</v>
      </c>
      <c r="N5" s="23">
        <v>133.21</v>
      </c>
      <c r="O5" s="23">
        <v>136.94999999999999</v>
      </c>
      <c r="P5" s="23">
        <v>106.01</v>
      </c>
      <c r="Q5" s="23">
        <v>136.16999999999999</v>
      </c>
      <c r="R5" s="23">
        <v>146.09</v>
      </c>
      <c r="S5" s="23">
        <v>172.34</v>
      </c>
      <c r="T5" s="24">
        <v>243.94</v>
      </c>
      <c r="U5" s="24">
        <v>264.23</v>
      </c>
      <c r="V5" s="24">
        <v>285.06</v>
      </c>
      <c r="W5" s="24">
        <v>463.92</v>
      </c>
      <c r="X5" s="10">
        <v>0.24603556839870849</v>
      </c>
      <c r="Y5" s="9">
        <v>0.18332522117559491</v>
      </c>
      <c r="Z5" s="9">
        <v>0.16812242922816359</v>
      </c>
      <c r="AA5" s="9">
        <v>0.30197707053864548</v>
      </c>
    </row>
    <row r="6" spans="2:27" x14ac:dyDescent="0.3">
      <c r="B6" s="12" t="s">
        <v>115</v>
      </c>
      <c r="C6" s="3" t="s">
        <v>434</v>
      </c>
      <c r="D6" s="3" t="s">
        <v>435</v>
      </c>
      <c r="E6" s="3" t="s">
        <v>436</v>
      </c>
      <c r="F6" s="14">
        <v>29.4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14.64</v>
      </c>
      <c r="R6" s="24">
        <v>62.18</v>
      </c>
      <c r="S6" s="24">
        <v>103.32</v>
      </c>
      <c r="T6" s="24">
        <v>137.25</v>
      </c>
      <c r="U6" s="24">
        <v>212.8</v>
      </c>
      <c r="V6" s="24">
        <v>287.27</v>
      </c>
      <c r="W6" s="24">
        <v>321.08</v>
      </c>
      <c r="X6" s="10">
        <v>0.76190740535139345</v>
      </c>
      <c r="Y6" s="9">
        <v>0.62434229181763756</v>
      </c>
      <c r="Z6" s="9">
        <v>0.43660168751818462</v>
      </c>
      <c r="AA6" s="9">
        <v>0.29401598617411961</v>
      </c>
    </row>
    <row r="7" spans="2:27" x14ac:dyDescent="0.3">
      <c r="B7" s="12" t="s">
        <v>274</v>
      </c>
      <c r="C7" s="3" t="s">
        <v>434</v>
      </c>
      <c r="D7" s="3" t="s">
        <v>437</v>
      </c>
      <c r="E7" s="3" t="s">
        <v>436</v>
      </c>
      <c r="F7" s="14">
        <v>25.7</v>
      </c>
      <c r="G7" s="23">
        <v>1917</v>
      </c>
      <c r="H7" s="23">
        <v>1511</v>
      </c>
      <c r="I7" s="23">
        <v>981.5</v>
      </c>
      <c r="J7" s="23">
        <v>1008</v>
      </c>
      <c r="K7" s="23">
        <v>616.5</v>
      </c>
      <c r="L7" s="23">
        <v>735.6</v>
      </c>
      <c r="M7" s="23">
        <v>329.3</v>
      </c>
      <c r="N7" s="23">
        <v>582.70000000000005</v>
      </c>
      <c r="O7" s="23">
        <v>773.4</v>
      </c>
      <c r="P7" s="23">
        <v>533</v>
      </c>
      <c r="Q7" s="24">
        <v>887.2</v>
      </c>
      <c r="R7" s="24">
        <v>2443</v>
      </c>
      <c r="S7" s="23">
        <v>876.8</v>
      </c>
      <c r="T7" s="23">
        <v>831.8</v>
      </c>
      <c r="U7" s="23">
        <v>1374</v>
      </c>
      <c r="V7" s="23">
        <v>125.6</v>
      </c>
      <c r="W7" s="24">
        <v>1700</v>
      </c>
      <c r="X7" s="7">
        <v>6.3037974683544329E-2</v>
      </c>
      <c r="Y7" s="8">
        <v>9.6610304040644523E-2</v>
      </c>
      <c r="Z7" s="8">
        <v>-0.41939336904589553</v>
      </c>
      <c r="AA7" s="9">
        <v>0.25659248176547611</v>
      </c>
    </row>
    <row r="8" spans="2:27" x14ac:dyDescent="0.3">
      <c r="B8" s="12" t="s">
        <v>182</v>
      </c>
      <c r="C8" s="3" t="s">
        <v>434</v>
      </c>
      <c r="D8" s="3" t="s">
        <v>439</v>
      </c>
      <c r="E8" s="3" t="s">
        <v>436</v>
      </c>
      <c r="F8" s="14">
        <v>21.5</v>
      </c>
      <c r="G8" s="23">
        <v>140.18</v>
      </c>
      <c r="H8" s="23">
        <v>131.09</v>
      </c>
      <c r="I8" s="23">
        <v>178.59</v>
      </c>
      <c r="J8" s="23">
        <v>194.16</v>
      </c>
      <c r="K8" s="23">
        <v>172.66</v>
      </c>
      <c r="L8" s="23">
        <v>162.18</v>
      </c>
      <c r="M8" s="23">
        <v>213.12</v>
      </c>
      <c r="N8" s="23">
        <v>207.92</v>
      </c>
      <c r="O8" s="23">
        <v>176.79</v>
      </c>
      <c r="P8" s="23">
        <v>202.96</v>
      </c>
      <c r="Q8" s="23">
        <v>258.89</v>
      </c>
      <c r="R8" s="23">
        <v>256.14</v>
      </c>
      <c r="S8" s="23">
        <v>188.97</v>
      </c>
      <c r="T8" s="23">
        <v>209.44</v>
      </c>
      <c r="U8" s="23">
        <v>259.08999999999997</v>
      </c>
      <c r="V8" s="23">
        <v>277.91000000000003</v>
      </c>
      <c r="W8" s="24">
        <v>390.15</v>
      </c>
      <c r="X8" s="7">
        <v>7.1447472876420282E-3</v>
      </c>
      <c r="Y8" s="8">
        <v>2.189525310913876E-4</v>
      </c>
      <c r="Z8" s="8">
        <v>2.382776585963842E-2</v>
      </c>
      <c r="AA8" s="9">
        <v>0.21507146598817631</v>
      </c>
    </row>
    <row r="9" spans="2:27" x14ac:dyDescent="0.3">
      <c r="B9" s="12" t="s">
        <v>166</v>
      </c>
      <c r="C9" s="3" t="s">
        <v>434</v>
      </c>
      <c r="D9" s="3" t="s">
        <v>440</v>
      </c>
      <c r="E9" s="3" t="s">
        <v>436</v>
      </c>
      <c r="F9" s="14">
        <v>12</v>
      </c>
      <c r="G9" s="23">
        <v>41</v>
      </c>
      <c r="H9" s="23">
        <v>44.3</v>
      </c>
      <c r="I9" s="23">
        <v>50</v>
      </c>
      <c r="J9" s="23">
        <v>74</v>
      </c>
      <c r="K9" s="24">
        <v>88.4</v>
      </c>
      <c r="L9" s="24">
        <v>95.2</v>
      </c>
      <c r="M9" s="24">
        <v>104.6</v>
      </c>
      <c r="N9" s="24">
        <v>115.2</v>
      </c>
      <c r="O9" s="23">
        <v>114.8</v>
      </c>
      <c r="P9" s="23">
        <v>119.1</v>
      </c>
      <c r="Q9" s="23">
        <v>122</v>
      </c>
      <c r="R9" s="23">
        <v>136.6</v>
      </c>
      <c r="S9" s="23">
        <v>148.80000000000001</v>
      </c>
      <c r="T9" s="23">
        <v>151.19999999999999</v>
      </c>
      <c r="U9" s="23">
        <v>164.1</v>
      </c>
      <c r="V9" s="23">
        <v>194.3</v>
      </c>
      <c r="W9" s="24">
        <v>228.1</v>
      </c>
      <c r="X9" s="7">
        <v>6.0968660968661048E-2</v>
      </c>
      <c r="Y9" s="8">
        <v>7.5366988900823495E-2</v>
      </c>
      <c r="Z9" s="8">
        <v>9.6054602963209446E-2</v>
      </c>
      <c r="AA9" s="9">
        <v>0.1204434993924668</v>
      </c>
    </row>
    <row r="10" spans="2:27" x14ac:dyDescent="0.3">
      <c r="B10" s="12" t="s">
        <v>37</v>
      </c>
      <c r="C10" s="3" t="s">
        <v>434</v>
      </c>
      <c r="D10" s="3" t="s">
        <v>441</v>
      </c>
      <c r="E10" s="3" t="s">
        <v>436</v>
      </c>
      <c r="F10" s="5">
        <v>9.3000000000000007</v>
      </c>
      <c r="G10" s="23">
        <v>856.08</v>
      </c>
      <c r="H10" s="23">
        <v>885.22</v>
      </c>
      <c r="I10" s="23">
        <v>1018</v>
      </c>
      <c r="J10" s="23">
        <v>1120</v>
      </c>
      <c r="K10" s="23">
        <v>1117</v>
      </c>
      <c r="L10" s="23">
        <v>1175</v>
      </c>
      <c r="M10" s="23">
        <v>1296</v>
      </c>
      <c r="N10" s="23">
        <v>1378</v>
      </c>
      <c r="O10" s="23">
        <v>1358</v>
      </c>
      <c r="P10" s="23">
        <v>1537</v>
      </c>
      <c r="Q10" s="23">
        <v>1810</v>
      </c>
      <c r="R10" s="23">
        <v>1812</v>
      </c>
      <c r="S10" s="23">
        <v>1868</v>
      </c>
      <c r="T10" s="23">
        <v>1831</v>
      </c>
      <c r="U10" s="23">
        <v>2173</v>
      </c>
      <c r="V10" s="23">
        <v>2451</v>
      </c>
      <c r="W10" s="23">
        <v>2646</v>
      </c>
      <c r="X10" s="7">
        <v>4.1838622456240149E-2</v>
      </c>
      <c r="Y10" s="8">
        <v>4.9583390247234023E-2</v>
      </c>
      <c r="Z10" s="8">
        <v>8.3159812597605409E-2</v>
      </c>
      <c r="AA10" s="8">
        <v>9.3475910128559381E-2</v>
      </c>
    </row>
    <row r="11" spans="2:27" x14ac:dyDescent="0.3">
      <c r="B11" s="12" t="s">
        <v>133</v>
      </c>
      <c r="C11" s="3" t="s">
        <v>434</v>
      </c>
      <c r="D11" s="3" t="s">
        <v>442</v>
      </c>
      <c r="E11" s="3" t="s">
        <v>436</v>
      </c>
      <c r="F11" s="5">
        <v>8.8000000000000007</v>
      </c>
      <c r="G11" s="23">
        <v>108.11</v>
      </c>
      <c r="H11" s="23">
        <v>96.1</v>
      </c>
      <c r="I11" s="23">
        <v>109.14</v>
      </c>
      <c r="J11" s="23">
        <v>117.4</v>
      </c>
      <c r="K11" s="23">
        <v>126.89</v>
      </c>
      <c r="L11" s="23">
        <v>128.71</v>
      </c>
      <c r="M11" s="23">
        <v>137.15</v>
      </c>
      <c r="N11" s="23">
        <v>143.03</v>
      </c>
      <c r="O11" s="23">
        <v>155.05000000000001</v>
      </c>
      <c r="P11" s="23">
        <v>168.49</v>
      </c>
      <c r="Q11" s="23">
        <v>177.24</v>
      </c>
      <c r="R11" s="23">
        <v>191.48</v>
      </c>
      <c r="S11" s="23">
        <v>201.81</v>
      </c>
      <c r="T11" s="23">
        <v>203.47</v>
      </c>
      <c r="U11" s="23">
        <v>232.09</v>
      </c>
      <c r="V11" s="23">
        <v>265.2</v>
      </c>
      <c r="W11" s="23">
        <v>281.27</v>
      </c>
      <c r="X11" s="7">
        <v>4.7332954453194853E-2</v>
      </c>
      <c r="Y11" s="8">
        <v>7.0865633074935319E-2</v>
      </c>
      <c r="Z11" s="8">
        <v>8.8942510707606726E-2</v>
      </c>
      <c r="AA11" s="8">
        <v>8.8037492936835937E-2</v>
      </c>
    </row>
    <row r="12" spans="2:27" x14ac:dyDescent="0.3">
      <c r="B12" s="12" t="s">
        <v>196</v>
      </c>
      <c r="C12" s="3" t="s">
        <v>434</v>
      </c>
      <c r="D12" s="3" t="s">
        <v>443</v>
      </c>
      <c r="E12" s="3" t="s">
        <v>436</v>
      </c>
      <c r="F12" s="5">
        <v>7.5</v>
      </c>
      <c r="G12" s="23">
        <v>296.73</v>
      </c>
      <c r="H12" s="23">
        <v>209.56</v>
      </c>
      <c r="I12" s="23">
        <v>385.38</v>
      </c>
      <c r="J12" s="23">
        <v>301</v>
      </c>
      <c r="K12" s="23">
        <v>346.33</v>
      </c>
      <c r="L12" s="23">
        <v>251.26</v>
      </c>
      <c r="M12" s="23">
        <v>462.07</v>
      </c>
      <c r="N12" s="23">
        <v>361.53</v>
      </c>
      <c r="O12" s="23">
        <v>409.43</v>
      </c>
      <c r="P12" s="23">
        <v>275.37</v>
      </c>
      <c r="Q12" s="23">
        <v>499.25</v>
      </c>
      <c r="R12" s="23">
        <v>368.63</v>
      </c>
      <c r="S12" s="23">
        <v>423.39</v>
      </c>
      <c r="T12" s="23">
        <v>236.16</v>
      </c>
      <c r="U12" s="23">
        <v>524.16</v>
      </c>
      <c r="V12" s="23">
        <v>400.22</v>
      </c>
      <c r="W12" s="23">
        <v>541.4</v>
      </c>
      <c r="X12" s="7">
        <v>-2.502808558443537E-2</v>
      </c>
      <c r="Y12" s="8">
        <v>1.6308439666629541E-2</v>
      </c>
      <c r="Z12" s="8">
        <v>2.0349923341536069E-2</v>
      </c>
      <c r="AA12" s="8">
        <v>7.4504555125542105E-2</v>
      </c>
    </row>
    <row r="13" spans="2:27" x14ac:dyDescent="0.3">
      <c r="B13" s="12" t="s">
        <v>194</v>
      </c>
      <c r="C13" s="3" t="s">
        <v>434</v>
      </c>
      <c r="D13" s="3" t="s">
        <v>444</v>
      </c>
      <c r="E13" s="3" t="s">
        <v>436</v>
      </c>
      <c r="F13" s="5">
        <v>6.7</v>
      </c>
      <c r="G13" s="23">
        <v>16424</v>
      </c>
      <c r="H13" s="23">
        <v>11855</v>
      </c>
      <c r="I13" s="23">
        <v>11392</v>
      </c>
      <c r="J13" s="23">
        <v>20201</v>
      </c>
      <c r="K13" s="23">
        <v>11135</v>
      </c>
      <c r="L13" s="23">
        <v>17045</v>
      </c>
      <c r="M13" s="23">
        <v>13498</v>
      </c>
      <c r="N13" s="23">
        <v>8352</v>
      </c>
      <c r="O13" s="23">
        <v>15084</v>
      </c>
      <c r="P13" s="24">
        <v>23509</v>
      </c>
      <c r="Q13" s="23">
        <v>14883</v>
      </c>
      <c r="R13" s="24">
        <v>19490</v>
      </c>
      <c r="S13" s="23">
        <v>12314</v>
      </c>
      <c r="T13" s="23">
        <v>13470</v>
      </c>
      <c r="U13" s="23">
        <v>13726</v>
      </c>
      <c r="V13" s="23">
        <v>17879</v>
      </c>
      <c r="W13" s="23">
        <v>16158</v>
      </c>
      <c r="X13" s="7">
        <v>-0.1430138469428458</v>
      </c>
      <c r="Y13" s="8">
        <v>-1.923300696510799E-2</v>
      </c>
      <c r="Z13" s="8">
        <v>-2.7305084745762761E-2</v>
      </c>
      <c r="AA13" s="8">
        <v>6.6981477286587987E-2</v>
      </c>
    </row>
    <row r="14" spans="2:27" x14ac:dyDescent="0.3">
      <c r="B14" s="12" t="s">
        <v>381</v>
      </c>
      <c r="C14" s="3" t="s">
        <v>434</v>
      </c>
      <c r="D14" s="3" t="s">
        <v>450</v>
      </c>
      <c r="E14" s="3" t="s">
        <v>436</v>
      </c>
      <c r="F14" s="5">
        <v>6.7</v>
      </c>
      <c r="G14" s="23">
        <v>29.17</v>
      </c>
      <c r="H14" s="23">
        <v>30.15</v>
      </c>
      <c r="I14" s="23">
        <v>29.84</v>
      </c>
      <c r="J14" s="23">
        <v>29.33</v>
      </c>
      <c r="K14" s="23">
        <v>30.24</v>
      </c>
      <c r="L14" s="23">
        <v>33.340000000000003</v>
      </c>
      <c r="M14" s="23">
        <v>35.65</v>
      </c>
      <c r="N14" s="23">
        <v>38.65</v>
      </c>
      <c r="O14" s="23">
        <v>42.42</v>
      </c>
      <c r="P14" s="23">
        <v>45.42</v>
      </c>
      <c r="Q14" s="23">
        <v>46.06</v>
      </c>
      <c r="R14" s="23">
        <v>47.4</v>
      </c>
      <c r="S14" s="23">
        <v>48.72</v>
      </c>
      <c r="T14" s="23">
        <v>52.18</v>
      </c>
      <c r="U14" s="23">
        <v>54.31</v>
      </c>
      <c r="V14" s="23">
        <v>59.38</v>
      </c>
      <c r="W14" s="23">
        <v>63</v>
      </c>
      <c r="X14" s="7">
        <v>3.6034115138592782E-2</v>
      </c>
      <c r="Y14" s="8">
        <v>4.2447005556699002E-2</v>
      </c>
      <c r="Z14" s="8">
        <v>5.912837471003396E-2</v>
      </c>
      <c r="AA14" s="8">
        <v>6.6545505382357151E-2</v>
      </c>
    </row>
    <row r="15" spans="2:27" x14ac:dyDescent="0.3">
      <c r="B15" s="12" t="s">
        <v>160</v>
      </c>
      <c r="C15" s="3" t="s">
        <v>434</v>
      </c>
      <c r="D15" s="3" t="s">
        <v>445</v>
      </c>
      <c r="E15" s="3" t="s">
        <v>436</v>
      </c>
      <c r="F15" s="5">
        <v>6.3</v>
      </c>
      <c r="G15" s="23">
        <v>81.8</v>
      </c>
      <c r="H15" s="23">
        <v>92.38</v>
      </c>
      <c r="I15" s="23">
        <v>102.05</v>
      </c>
      <c r="J15" s="23">
        <v>103.88</v>
      </c>
      <c r="K15" s="23">
        <v>112.62</v>
      </c>
      <c r="L15" s="23">
        <v>111.44</v>
      </c>
      <c r="M15" s="23">
        <v>124.13</v>
      </c>
      <c r="N15" s="23">
        <v>124.6</v>
      </c>
      <c r="O15" s="23">
        <v>132.51</v>
      </c>
      <c r="P15" s="23">
        <v>131.93</v>
      </c>
      <c r="Q15" s="23">
        <v>148.05000000000001</v>
      </c>
      <c r="R15" s="23">
        <v>147.54</v>
      </c>
      <c r="S15" s="23">
        <v>164.33</v>
      </c>
      <c r="T15" s="23">
        <v>158.68</v>
      </c>
      <c r="U15" s="23">
        <v>186.69</v>
      </c>
      <c r="V15" s="23">
        <v>192.88</v>
      </c>
      <c r="W15" s="23">
        <v>208.89</v>
      </c>
      <c r="X15" s="7">
        <v>4.5197262819971273E-2</v>
      </c>
      <c r="Y15" s="8">
        <v>6.2463627546071709E-2</v>
      </c>
      <c r="Z15" s="8">
        <v>6.8985454324143491E-2</v>
      </c>
      <c r="AA15" s="8">
        <v>6.34233823906174E-2</v>
      </c>
    </row>
    <row r="16" spans="2:27" x14ac:dyDescent="0.3">
      <c r="B16" s="12" t="s">
        <v>250</v>
      </c>
      <c r="C16" s="3" t="s">
        <v>434</v>
      </c>
      <c r="D16" s="3" t="s">
        <v>446</v>
      </c>
      <c r="E16" s="3" t="s">
        <v>436</v>
      </c>
      <c r="F16" s="5">
        <v>6</v>
      </c>
      <c r="G16" s="23"/>
      <c r="H16" s="23">
        <v>246.31</v>
      </c>
      <c r="I16" s="23">
        <v>493.69</v>
      </c>
      <c r="J16" s="23">
        <v>225.04</v>
      </c>
      <c r="K16" s="23">
        <v>261.85000000000002</v>
      </c>
      <c r="L16" s="23">
        <v>324.43</v>
      </c>
      <c r="M16" s="23">
        <v>360.58</v>
      </c>
      <c r="N16" s="24">
        <v>394.83</v>
      </c>
      <c r="O16" s="24">
        <v>497.39</v>
      </c>
      <c r="P16" s="24">
        <v>660.77</v>
      </c>
      <c r="Q16" s="24">
        <v>589.72</v>
      </c>
      <c r="R16" s="23">
        <v>518.82000000000005</v>
      </c>
      <c r="S16" s="23">
        <v>563.84</v>
      </c>
      <c r="T16" s="23">
        <v>771.31</v>
      </c>
      <c r="U16" s="23">
        <v>745.28</v>
      </c>
      <c r="V16" s="23">
        <v>665.03</v>
      </c>
      <c r="W16" s="23">
        <v>729.89</v>
      </c>
      <c r="X16" s="7">
        <v>4.7378008272078498E-2</v>
      </c>
      <c r="Y16" s="8">
        <v>6.3657828939022609E-2</v>
      </c>
      <c r="Z16" s="8">
        <v>5.6250841588919798E-2</v>
      </c>
      <c r="AA16" s="8">
        <v>6.0481667917215987E-2</v>
      </c>
    </row>
    <row r="17" spans="2:27" x14ac:dyDescent="0.3">
      <c r="B17" s="12" t="s">
        <v>22</v>
      </c>
      <c r="C17" s="3" t="s">
        <v>434</v>
      </c>
      <c r="D17" s="3" t="s">
        <v>447</v>
      </c>
      <c r="E17" s="3" t="s">
        <v>436</v>
      </c>
      <c r="F17" s="5">
        <v>5.4</v>
      </c>
      <c r="G17" s="23">
        <v>3390</v>
      </c>
      <c r="H17" s="23">
        <v>3023</v>
      </c>
      <c r="I17" s="23">
        <v>3058</v>
      </c>
      <c r="J17" s="23">
        <v>2634</v>
      </c>
      <c r="K17" s="23">
        <v>3200</v>
      </c>
      <c r="L17" s="23">
        <v>2679</v>
      </c>
      <c r="M17" s="23">
        <v>2683</v>
      </c>
      <c r="N17" s="23">
        <v>2493</v>
      </c>
      <c r="O17" s="23">
        <v>3957</v>
      </c>
      <c r="P17" s="24">
        <v>4023</v>
      </c>
      <c r="Q17" s="24">
        <v>4402</v>
      </c>
      <c r="R17" s="24">
        <v>4605</v>
      </c>
      <c r="S17" s="23">
        <v>5652</v>
      </c>
      <c r="T17" s="23">
        <v>5010</v>
      </c>
      <c r="U17" s="23">
        <v>5317</v>
      </c>
      <c r="V17" s="23">
        <v>5524</v>
      </c>
      <c r="W17" s="23">
        <v>6818</v>
      </c>
      <c r="X17" s="7">
        <v>5.2831602612140038E-2</v>
      </c>
      <c r="Y17" s="8">
        <v>4.6519904418119928E-2</v>
      </c>
      <c r="Z17" s="8">
        <v>4.4646327244461707E-2</v>
      </c>
      <c r="AA17" s="8">
        <v>5.422499186160068E-2</v>
      </c>
    </row>
    <row r="18" spans="2:27" x14ac:dyDescent="0.3">
      <c r="B18" s="12" t="s">
        <v>236</v>
      </c>
      <c r="C18" s="3" t="s">
        <v>434</v>
      </c>
      <c r="D18" s="3" t="s">
        <v>448</v>
      </c>
      <c r="E18" s="3" t="s">
        <v>436</v>
      </c>
      <c r="F18" s="5">
        <v>5.2</v>
      </c>
      <c r="G18" s="23">
        <v>104.99</v>
      </c>
      <c r="H18" s="23">
        <v>114.27</v>
      </c>
      <c r="I18" s="23">
        <v>110.06</v>
      </c>
      <c r="J18" s="23">
        <v>117.88</v>
      </c>
      <c r="K18" s="23">
        <v>125.79</v>
      </c>
      <c r="L18" s="23">
        <v>135.24</v>
      </c>
      <c r="M18" s="23">
        <v>127.72</v>
      </c>
      <c r="N18" s="23">
        <v>137.09</v>
      </c>
      <c r="O18" s="23">
        <v>145.32</v>
      </c>
      <c r="P18" s="23">
        <v>149.84</v>
      </c>
      <c r="Q18" s="23">
        <v>146.44999999999999</v>
      </c>
      <c r="R18" s="23">
        <v>154.05000000000001</v>
      </c>
      <c r="S18" s="23">
        <v>166.69</v>
      </c>
      <c r="T18" s="23">
        <v>166.43</v>
      </c>
      <c r="U18" s="23">
        <v>170.64</v>
      </c>
      <c r="V18" s="23">
        <v>187</v>
      </c>
      <c r="W18" s="23">
        <v>202.87</v>
      </c>
      <c r="X18" s="7">
        <v>2.688686125472017E-2</v>
      </c>
      <c r="Y18" s="8">
        <v>3.8177456519680408E-2</v>
      </c>
      <c r="Z18" s="8">
        <v>5.0090451650172563E-2</v>
      </c>
      <c r="AA18" s="8">
        <v>5.2377091898778261E-2</v>
      </c>
    </row>
    <row r="19" spans="2:27" x14ac:dyDescent="0.3">
      <c r="B19" s="12" t="s">
        <v>31</v>
      </c>
      <c r="C19" s="3" t="s">
        <v>434</v>
      </c>
      <c r="D19" s="3" t="s">
        <v>441</v>
      </c>
      <c r="E19" s="3" t="s">
        <v>436</v>
      </c>
      <c r="F19" s="5">
        <v>4.7</v>
      </c>
      <c r="G19" s="23">
        <v>3924</v>
      </c>
      <c r="H19" s="23">
        <v>3966</v>
      </c>
      <c r="I19" s="23">
        <v>4232</v>
      </c>
      <c r="J19" s="23">
        <v>4460</v>
      </c>
      <c r="K19" s="23">
        <v>4417</v>
      </c>
      <c r="L19" s="23">
        <v>4429</v>
      </c>
      <c r="M19" s="23">
        <v>5049</v>
      </c>
      <c r="N19" s="23">
        <v>5621</v>
      </c>
      <c r="O19" s="23">
        <v>5784</v>
      </c>
      <c r="P19" s="23">
        <v>5032</v>
      </c>
      <c r="Q19" s="23">
        <v>5594</v>
      </c>
      <c r="R19" s="23">
        <v>6493</v>
      </c>
      <c r="S19" s="23">
        <v>6553</v>
      </c>
      <c r="T19" s="23">
        <v>6233</v>
      </c>
      <c r="U19" s="23">
        <v>6773</v>
      </c>
      <c r="V19" s="23">
        <v>7631</v>
      </c>
      <c r="W19" s="23">
        <v>7842</v>
      </c>
      <c r="X19" s="7">
        <v>5.073504562352138E-2</v>
      </c>
      <c r="Y19" s="8">
        <v>4.7400796043903133E-2</v>
      </c>
      <c r="Z19" s="8">
        <v>4.3681867035160422E-2</v>
      </c>
      <c r="AA19" s="8">
        <v>4.7407134976094063E-2</v>
      </c>
    </row>
    <row r="20" spans="2:27" x14ac:dyDescent="0.3">
      <c r="B20" s="12" t="s">
        <v>174</v>
      </c>
      <c r="C20" s="3" t="s">
        <v>434</v>
      </c>
      <c r="D20" s="3" t="s">
        <v>449</v>
      </c>
      <c r="E20" s="3" t="s">
        <v>436</v>
      </c>
      <c r="F20" s="5">
        <v>4.5999999999999996</v>
      </c>
      <c r="G20" s="23">
        <v>120.78</v>
      </c>
      <c r="H20" s="23">
        <v>129.66999999999999</v>
      </c>
      <c r="I20" s="23">
        <v>131.55000000000001</v>
      </c>
      <c r="J20" s="23">
        <v>132.85</v>
      </c>
      <c r="K20" s="23">
        <v>143.80000000000001</v>
      </c>
      <c r="L20" s="23">
        <v>150.19</v>
      </c>
      <c r="M20" s="23">
        <v>155.02000000000001</v>
      </c>
      <c r="N20" s="23">
        <v>158.18</v>
      </c>
      <c r="O20" s="23">
        <v>166.65</v>
      </c>
      <c r="P20" s="23">
        <v>175.67</v>
      </c>
      <c r="Q20" s="23">
        <v>177.5</v>
      </c>
      <c r="R20" s="23">
        <v>185.62</v>
      </c>
      <c r="S20" s="23">
        <v>199.89</v>
      </c>
      <c r="T20" s="23">
        <v>206.28</v>
      </c>
      <c r="U20" s="23">
        <v>215.19</v>
      </c>
      <c r="V20" s="23">
        <v>224.17</v>
      </c>
      <c r="W20" s="23">
        <v>238.94</v>
      </c>
      <c r="X20" s="7">
        <v>4.1438782693453247E-2</v>
      </c>
      <c r="Y20" s="8">
        <v>4.8993227521480831E-2</v>
      </c>
      <c r="Z20" s="8">
        <v>4.7770700636942547E-2</v>
      </c>
      <c r="AA20" s="8">
        <v>4.6184050240677399E-2</v>
      </c>
    </row>
    <row r="21" spans="2:27" x14ac:dyDescent="0.3">
      <c r="B21" s="12" t="s">
        <v>299</v>
      </c>
      <c r="C21" s="3" t="s">
        <v>434</v>
      </c>
      <c r="D21" s="3" t="s">
        <v>443</v>
      </c>
      <c r="E21" s="3" t="s">
        <v>436</v>
      </c>
      <c r="F21" s="5">
        <v>4.3</v>
      </c>
      <c r="G21" s="23">
        <v>159.86000000000001</v>
      </c>
      <c r="H21" s="23">
        <v>182.96</v>
      </c>
      <c r="I21" s="23">
        <v>167.68</v>
      </c>
      <c r="J21" s="23">
        <v>168.42</v>
      </c>
      <c r="K21" s="23">
        <v>176.15</v>
      </c>
      <c r="L21" s="23">
        <v>195.6</v>
      </c>
      <c r="M21" s="23">
        <v>186.56</v>
      </c>
      <c r="N21" s="23">
        <v>179.92</v>
      </c>
      <c r="O21" s="23">
        <v>147.91999999999999</v>
      </c>
      <c r="P21" s="23">
        <v>168.26</v>
      </c>
      <c r="Q21" s="23">
        <v>166.74</v>
      </c>
      <c r="R21" s="23">
        <v>169.83</v>
      </c>
      <c r="S21" s="23">
        <v>176.43</v>
      </c>
      <c r="T21" s="23">
        <v>213</v>
      </c>
      <c r="U21" s="23">
        <v>209.58</v>
      </c>
      <c r="V21" s="23">
        <v>211.87</v>
      </c>
      <c r="W21" s="23">
        <v>211.64</v>
      </c>
      <c r="X21" s="7">
        <v>6.5672430496433121E-2</v>
      </c>
      <c r="Y21" s="8">
        <v>5.9008264462810052E-2</v>
      </c>
      <c r="Z21" s="8">
        <v>5.4679777326882117E-2</v>
      </c>
      <c r="AA21" s="8">
        <v>4.3421961325966978E-2</v>
      </c>
    </row>
    <row r="22" spans="2:27" x14ac:dyDescent="0.3">
      <c r="B22" s="12" t="s">
        <v>398</v>
      </c>
      <c r="C22" s="3" t="s">
        <v>434</v>
      </c>
      <c r="D22" s="3" t="s">
        <v>450</v>
      </c>
      <c r="E22" s="3" t="s">
        <v>436</v>
      </c>
      <c r="F22" s="5">
        <v>4</v>
      </c>
      <c r="G22" s="23">
        <v>31.84</v>
      </c>
      <c r="H22" s="23">
        <v>33.270000000000003</v>
      </c>
      <c r="I22" s="23">
        <v>34.93</v>
      </c>
      <c r="J22" s="23">
        <v>36.229999999999997</v>
      </c>
      <c r="K22" s="23">
        <v>37.69</v>
      </c>
      <c r="L22" s="23">
        <v>39.57</v>
      </c>
      <c r="M22" s="23">
        <v>41.67</v>
      </c>
      <c r="N22" s="23">
        <v>43.54</v>
      </c>
      <c r="O22" s="23">
        <v>45.69</v>
      </c>
      <c r="P22" s="23">
        <v>47.17</v>
      </c>
      <c r="Q22" s="23">
        <v>50.59</v>
      </c>
      <c r="R22" s="23">
        <v>52.39</v>
      </c>
      <c r="S22" s="23">
        <v>54.17</v>
      </c>
      <c r="T22" s="23">
        <v>55.81</v>
      </c>
      <c r="U22" s="23">
        <v>58.47</v>
      </c>
      <c r="V22" s="23">
        <v>61.34</v>
      </c>
      <c r="W22" s="23">
        <v>63.4</v>
      </c>
      <c r="X22" s="7">
        <v>4.228660924040728E-2</v>
      </c>
      <c r="Y22" s="8">
        <v>3.7002253944402597E-2</v>
      </c>
      <c r="Z22" s="8">
        <v>4.0527078427821113E-2</v>
      </c>
      <c r="AA22" s="8">
        <v>4.0167109099612741E-2</v>
      </c>
    </row>
    <row r="23" spans="2:27" x14ac:dyDescent="0.3">
      <c r="B23" s="12" t="s">
        <v>307</v>
      </c>
      <c r="C23" s="3" t="s">
        <v>434</v>
      </c>
      <c r="D23" s="3" t="s">
        <v>451</v>
      </c>
      <c r="E23" s="3" t="s">
        <v>436</v>
      </c>
      <c r="F23" s="5">
        <v>3.9</v>
      </c>
      <c r="G23" s="23">
        <v>142.13999999999999</v>
      </c>
      <c r="H23" s="23">
        <v>155.43</v>
      </c>
      <c r="I23" s="23">
        <v>162.65</v>
      </c>
      <c r="J23" s="23">
        <v>155.28</v>
      </c>
      <c r="K23" s="23">
        <v>146.63</v>
      </c>
      <c r="L23" s="23">
        <v>165.94</v>
      </c>
      <c r="M23" s="23">
        <v>168.85</v>
      </c>
      <c r="N23" s="23">
        <v>167.27</v>
      </c>
      <c r="O23" s="23">
        <v>158.66</v>
      </c>
      <c r="P23" s="23">
        <v>174.21</v>
      </c>
      <c r="Q23" s="23">
        <v>177.36</v>
      </c>
      <c r="R23" s="23">
        <v>168.6</v>
      </c>
      <c r="S23" s="23">
        <v>161.71</v>
      </c>
      <c r="T23" s="23">
        <v>183.11</v>
      </c>
      <c r="U23" s="23">
        <v>192.51</v>
      </c>
      <c r="V23" s="23">
        <v>190.16</v>
      </c>
      <c r="W23" s="23">
        <v>190.27</v>
      </c>
      <c r="X23" s="7">
        <v>1.3052149938405529E-2</v>
      </c>
      <c r="Y23" s="8">
        <v>2.1931729349431221E-2</v>
      </c>
      <c r="Z23" s="8">
        <v>3.0541271797486891E-2</v>
      </c>
      <c r="AA23" s="8">
        <v>3.9258271591362082E-2</v>
      </c>
    </row>
    <row r="24" spans="2:27" x14ac:dyDescent="0.3">
      <c r="B24" s="12" t="s">
        <v>313</v>
      </c>
      <c r="C24" s="3" t="s">
        <v>434</v>
      </c>
      <c r="D24" s="3" t="s">
        <v>452</v>
      </c>
      <c r="E24" s="3" t="s">
        <v>436</v>
      </c>
      <c r="F24" s="5">
        <v>3.9</v>
      </c>
      <c r="G24" s="23">
        <v>344.83</v>
      </c>
      <c r="H24" s="23">
        <v>327.47000000000003</v>
      </c>
      <c r="I24" s="23">
        <v>364.67</v>
      </c>
      <c r="J24" s="23">
        <v>378.29</v>
      </c>
      <c r="K24" s="23">
        <v>366.8</v>
      </c>
      <c r="L24" s="23">
        <v>345.68</v>
      </c>
      <c r="M24" s="23">
        <v>379.1</v>
      </c>
      <c r="N24" s="23">
        <v>392.7</v>
      </c>
      <c r="O24" s="23">
        <v>382.77</v>
      </c>
      <c r="P24" s="23">
        <v>354.17</v>
      </c>
      <c r="Q24" s="23">
        <v>386.66</v>
      </c>
      <c r="R24" s="23">
        <v>394.8</v>
      </c>
      <c r="S24" s="23">
        <v>401.99</v>
      </c>
      <c r="T24" s="23">
        <v>370.15</v>
      </c>
      <c r="U24" s="23">
        <v>417.21</v>
      </c>
      <c r="V24" s="23">
        <v>426.94</v>
      </c>
      <c r="W24" s="23">
        <v>464.67</v>
      </c>
      <c r="X24" s="7">
        <v>1.039268479858468E-2</v>
      </c>
      <c r="Y24" s="8">
        <v>1.9664006179196839E-2</v>
      </c>
      <c r="Z24" s="8">
        <v>2.028848278256468E-2</v>
      </c>
      <c r="AA24" s="8">
        <v>3.8780169400293378E-2</v>
      </c>
    </row>
    <row r="25" spans="2:27" x14ac:dyDescent="0.3">
      <c r="B25" s="12" t="s">
        <v>15</v>
      </c>
      <c r="C25" s="3" t="s">
        <v>434</v>
      </c>
      <c r="D25" s="3" t="s">
        <v>453</v>
      </c>
      <c r="E25" s="3" t="s">
        <v>454</v>
      </c>
      <c r="F25" s="5">
        <v>3.8</v>
      </c>
      <c r="G25" s="23">
        <v>436.6</v>
      </c>
      <c r="H25" s="23">
        <v>452.2</v>
      </c>
      <c r="I25" s="23">
        <v>476.1</v>
      </c>
      <c r="J25" s="23">
        <v>446.3</v>
      </c>
      <c r="K25" s="23">
        <v>469.8</v>
      </c>
      <c r="L25" s="23">
        <v>521.1</v>
      </c>
      <c r="M25" s="23">
        <v>553.29999999999995</v>
      </c>
      <c r="N25" s="23">
        <v>549.70000000000005</v>
      </c>
      <c r="O25" s="23">
        <v>545.4</v>
      </c>
      <c r="P25" s="23">
        <v>567.29999999999995</v>
      </c>
      <c r="Q25" s="23">
        <v>656.5</v>
      </c>
      <c r="R25" s="23">
        <v>661.7</v>
      </c>
      <c r="S25" s="23">
        <v>686.1</v>
      </c>
      <c r="T25" s="23">
        <v>678.2</v>
      </c>
      <c r="U25" s="23">
        <v>754.5</v>
      </c>
      <c r="V25" s="23">
        <v>739.6</v>
      </c>
      <c r="W25" s="23">
        <v>795.3</v>
      </c>
      <c r="X25" s="7">
        <v>4.3124902784258852E-2</v>
      </c>
      <c r="Y25" s="8">
        <v>3.6533084808946903E-2</v>
      </c>
      <c r="Z25" s="8">
        <v>2.8016543787088729E-2</v>
      </c>
      <c r="AA25" s="8">
        <v>3.8203190596137533E-2</v>
      </c>
    </row>
    <row r="26" spans="2:27" x14ac:dyDescent="0.3">
      <c r="B26" s="12" t="s">
        <v>206</v>
      </c>
      <c r="C26" s="3" t="s">
        <v>434</v>
      </c>
      <c r="D26" s="3" t="s">
        <v>442</v>
      </c>
      <c r="E26" s="3" t="s">
        <v>436</v>
      </c>
      <c r="F26" s="5">
        <v>3.8</v>
      </c>
      <c r="G26" s="23">
        <v>0</v>
      </c>
      <c r="H26" s="23">
        <v>0</v>
      </c>
      <c r="I26" s="23">
        <v>0</v>
      </c>
      <c r="J26" s="23">
        <v>0.33</v>
      </c>
      <c r="K26" s="24">
        <v>0.33</v>
      </c>
      <c r="L26" s="24">
        <v>19.64</v>
      </c>
      <c r="M26" s="24">
        <v>22.41</v>
      </c>
      <c r="N26" s="24">
        <v>20.72</v>
      </c>
      <c r="O26" s="24">
        <v>30.33</v>
      </c>
      <c r="P26" s="23">
        <v>26.72</v>
      </c>
      <c r="Q26" s="23">
        <v>31.97</v>
      </c>
      <c r="R26" s="23">
        <v>28.65</v>
      </c>
      <c r="S26" s="23">
        <v>38.25</v>
      </c>
      <c r="T26" s="23">
        <v>31.84</v>
      </c>
      <c r="U26" s="23">
        <v>35.54</v>
      </c>
      <c r="V26" s="23">
        <v>36.19</v>
      </c>
      <c r="W26" s="23">
        <v>43.6</v>
      </c>
      <c r="X26" s="7">
        <v>4.0767577036388232E-2</v>
      </c>
      <c r="Y26" s="8">
        <v>2.731237089740635E-2</v>
      </c>
      <c r="Z26" s="8">
        <v>5.6151325588322809E-2</v>
      </c>
      <c r="AA26" s="8">
        <v>3.77238753349316E-2</v>
      </c>
    </row>
    <row r="27" spans="2:27" x14ac:dyDescent="0.3">
      <c r="B27" s="12" t="s">
        <v>71</v>
      </c>
      <c r="C27" s="3" t="s">
        <v>434</v>
      </c>
      <c r="D27" s="3" t="s">
        <v>455</v>
      </c>
      <c r="E27" s="3" t="s">
        <v>436</v>
      </c>
      <c r="F27" s="5">
        <v>3.1</v>
      </c>
      <c r="G27" s="23">
        <v>4796</v>
      </c>
      <c r="H27" s="23">
        <v>3171</v>
      </c>
      <c r="I27" s="23">
        <v>2644</v>
      </c>
      <c r="J27" s="23">
        <v>3214</v>
      </c>
      <c r="K27" s="23">
        <v>2578</v>
      </c>
      <c r="L27" s="23">
        <v>2478</v>
      </c>
      <c r="M27" s="23">
        <v>3088</v>
      </c>
      <c r="N27" s="23">
        <v>2785</v>
      </c>
      <c r="O27" s="23">
        <v>3438</v>
      </c>
      <c r="P27" s="23">
        <v>3299</v>
      </c>
      <c r="Q27" s="23">
        <v>3189</v>
      </c>
      <c r="R27" s="23">
        <v>3603</v>
      </c>
      <c r="S27" s="23">
        <v>3622</v>
      </c>
      <c r="T27" s="23">
        <v>2751</v>
      </c>
      <c r="U27" s="23">
        <v>3656</v>
      </c>
      <c r="V27" s="23">
        <v>4029</v>
      </c>
      <c r="W27" s="23">
        <v>4051</v>
      </c>
      <c r="X27" s="7">
        <v>-3.9962079778312558E-2</v>
      </c>
      <c r="Y27" s="8">
        <v>3.5472844663881453E-2</v>
      </c>
      <c r="Z27" s="8">
        <v>3.125E-2</v>
      </c>
      <c r="AA27" s="8">
        <v>3.051643192488274E-2</v>
      </c>
    </row>
    <row r="28" spans="2:27" x14ac:dyDescent="0.3">
      <c r="B28" s="12" t="s">
        <v>17</v>
      </c>
      <c r="C28" s="3" t="s">
        <v>434</v>
      </c>
      <c r="D28" s="3" t="s">
        <v>500</v>
      </c>
      <c r="E28" s="3" t="s">
        <v>501</v>
      </c>
      <c r="F28" s="5">
        <v>3.1</v>
      </c>
      <c r="G28" s="23">
        <v>30412</v>
      </c>
      <c r="H28" s="25"/>
      <c r="I28" s="23">
        <v>29775</v>
      </c>
      <c r="J28" s="25"/>
      <c r="K28" s="23">
        <v>25779</v>
      </c>
      <c r="L28" s="25"/>
      <c r="M28" s="23">
        <v>26667</v>
      </c>
      <c r="N28" s="25"/>
      <c r="O28" s="23">
        <v>27374</v>
      </c>
      <c r="P28" s="25"/>
      <c r="Q28" s="23">
        <v>26802</v>
      </c>
      <c r="R28" s="25"/>
      <c r="S28" s="23">
        <v>26856</v>
      </c>
      <c r="T28" s="25"/>
      <c r="U28" s="23">
        <v>26873</v>
      </c>
      <c r="V28" s="25"/>
      <c r="W28" s="23">
        <v>30765</v>
      </c>
      <c r="X28" s="7">
        <v>-2.7127149961220901E-2</v>
      </c>
      <c r="Y28" s="8">
        <v>1.01011048376507E-2</v>
      </c>
      <c r="Z28" s="8">
        <v>1.912738279835402E-3</v>
      </c>
      <c r="AA28" s="8">
        <v>3.1425791205226927E-2</v>
      </c>
    </row>
    <row r="29" spans="2:27" x14ac:dyDescent="0.3">
      <c r="B29" s="12" t="s">
        <v>123</v>
      </c>
      <c r="C29" s="3" t="s">
        <v>434</v>
      </c>
      <c r="D29" s="3" t="s">
        <v>456</v>
      </c>
      <c r="E29" s="3" t="s">
        <v>436</v>
      </c>
      <c r="F29" s="5">
        <v>3</v>
      </c>
      <c r="G29" s="23">
        <v>1107</v>
      </c>
      <c r="H29" s="23">
        <v>1172</v>
      </c>
      <c r="I29" s="23">
        <v>1195</v>
      </c>
      <c r="J29" s="23">
        <v>1227</v>
      </c>
      <c r="K29" s="23">
        <v>1231</v>
      </c>
      <c r="L29" s="23">
        <v>1211</v>
      </c>
      <c r="M29" s="23">
        <v>1170</v>
      </c>
      <c r="N29" s="23">
        <v>1152</v>
      </c>
      <c r="O29" s="23">
        <v>1157</v>
      </c>
      <c r="P29" s="23">
        <v>1165</v>
      </c>
      <c r="Q29" s="23">
        <v>1147</v>
      </c>
      <c r="R29" s="23">
        <v>1168</v>
      </c>
      <c r="S29" s="23">
        <v>1248</v>
      </c>
      <c r="T29" s="23">
        <v>1302</v>
      </c>
      <c r="U29" s="23">
        <v>1353</v>
      </c>
      <c r="V29" s="23">
        <v>1394</v>
      </c>
      <c r="W29" s="23">
        <v>1408</v>
      </c>
      <c r="X29" s="7">
        <v>2.8976311336717409E-2</v>
      </c>
      <c r="Y29" s="8">
        <v>4.2343268242548859E-2</v>
      </c>
      <c r="Z29" s="8">
        <v>4.4567146519424172E-2</v>
      </c>
      <c r="AA29" s="8">
        <v>3.02057768548234E-2</v>
      </c>
    </row>
    <row r="30" spans="2:27" x14ac:dyDescent="0.3">
      <c r="B30" s="12" t="s">
        <v>321</v>
      </c>
      <c r="C30" s="3" t="s">
        <v>434</v>
      </c>
      <c r="D30" s="3" t="s">
        <v>456</v>
      </c>
      <c r="E30" s="3" t="s">
        <v>436</v>
      </c>
      <c r="F30" s="5">
        <v>2.8</v>
      </c>
      <c r="G30" s="23">
        <v>89.5</v>
      </c>
      <c r="H30" s="23">
        <v>90.86</v>
      </c>
      <c r="I30" s="23">
        <v>91.63</v>
      </c>
      <c r="J30" s="23">
        <v>93.53</v>
      </c>
      <c r="K30" s="23">
        <v>95.76</v>
      </c>
      <c r="L30" s="23">
        <v>99.82</v>
      </c>
      <c r="M30" s="23">
        <v>106.08</v>
      </c>
      <c r="N30" s="23">
        <v>107.57</v>
      </c>
      <c r="O30" s="23">
        <v>108.42</v>
      </c>
      <c r="P30" s="23">
        <v>113.75</v>
      </c>
      <c r="Q30" s="23">
        <v>119.45</v>
      </c>
      <c r="R30" s="23">
        <v>116.44</v>
      </c>
      <c r="S30" s="23">
        <v>116.51</v>
      </c>
      <c r="T30" s="23">
        <v>118.2</v>
      </c>
      <c r="U30" s="23">
        <v>131.25</v>
      </c>
      <c r="V30" s="23">
        <v>131.71</v>
      </c>
      <c r="W30" s="23">
        <v>130.27000000000001</v>
      </c>
      <c r="X30" s="7">
        <v>9.5462833851764906E-3</v>
      </c>
      <c r="Y30" s="8">
        <v>2.5074373140671291E-2</v>
      </c>
      <c r="Z30" s="8">
        <v>3.1654228855721563E-2</v>
      </c>
      <c r="AA30" s="8">
        <v>2.7648843611228321E-2</v>
      </c>
    </row>
    <row r="31" spans="2:27" x14ac:dyDescent="0.3">
      <c r="B31" s="12" t="s">
        <v>55</v>
      </c>
      <c r="C31" s="3" t="s">
        <v>434</v>
      </c>
      <c r="D31" s="3" t="s">
        <v>457</v>
      </c>
      <c r="E31" s="3" t="s">
        <v>436</v>
      </c>
      <c r="F31" s="5">
        <v>2.7</v>
      </c>
      <c r="G31" s="23">
        <v>0</v>
      </c>
      <c r="H31" s="23">
        <v>2763</v>
      </c>
      <c r="I31" s="23">
        <v>1944</v>
      </c>
      <c r="J31" s="23">
        <v>1903</v>
      </c>
      <c r="K31" s="24">
        <v>2711</v>
      </c>
      <c r="L31" s="23">
        <v>2779</v>
      </c>
      <c r="M31" s="23">
        <v>1875</v>
      </c>
      <c r="N31" s="23">
        <v>1860</v>
      </c>
      <c r="O31" s="23">
        <v>2182</v>
      </c>
      <c r="P31" s="23">
        <v>2620</v>
      </c>
      <c r="Q31" s="23">
        <v>1905</v>
      </c>
      <c r="R31" s="23">
        <v>1856</v>
      </c>
      <c r="S31" s="23">
        <v>2262</v>
      </c>
      <c r="T31" s="23">
        <v>2920</v>
      </c>
      <c r="U31" s="23">
        <v>1944</v>
      </c>
      <c r="V31" s="23">
        <v>1988</v>
      </c>
      <c r="W31" s="23">
        <v>2505</v>
      </c>
      <c r="X31" s="7">
        <v>3.4710170079833347E-2</v>
      </c>
      <c r="Y31" s="8">
        <v>4.360952700436016E-3</v>
      </c>
      <c r="Z31" s="8">
        <v>1.4696058784235079E-2</v>
      </c>
      <c r="AA31" s="8">
        <v>2.6662277814351491E-2</v>
      </c>
    </row>
    <row r="32" spans="2:27" x14ac:dyDescent="0.3">
      <c r="B32" s="12" t="s">
        <v>45</v>
      </c>
      <c r="C32" s="3" t="s">
        <v>434</v>
      </c>
      <c r="D32" s="3" t="s">
        <v>458</v>
      </c>
      <c r="E32" s="3" t="s">
        <v>436</v>
      </c>
      <c r="F32" s="5">
        <v>2.6</v>
      </c>
      <c r="G32" s="23">
        <v>2703</v>
      </c>
      <c r="H32" s="23">
        <v>1803</v>
      </c>
      <c r="I32" s="23">
        <v>4434</v>
      </c>
      <c r="J32" s="23">
        <v>6154</v>
      </c>
      <c r="K32" s="24">
        <v>4291</v>
      </c>
      <c r="L32" s="23">
        <v>3127</v>
      </c>
      <c r="M32" s="23">
        <v>5626</v>
      </c>
      <c r="N32" s="24">
        <v>8155</v>
      </c>
      <c r="O32" s="23">
        <v>5819</v>
      </c>
      <c r="P32" s="23">
        <v>3800</v>
      </c>
      <c r="Q32" s="23">
        <v>6023</v>
      </c>
      <c r="R32" s="23">
        <v>7651</v>
      </c>
      <c r="S32" s="23">
        <v>5682</v>
      </c>
      <c r="T32" s="23">
        <v>3382</v>
      </c>
      <c r="U32" s="23">
        <v>7007</v>
      </c>
      <c r="V32" s="23">
        <v>8499</v>
      </c>
      <c r="W32" s="23">
        <v>6314</v>
      </c>
      <c r="X32" s="7">
        <v>-1.8051476939022319E-2</v>
      </c>
      <c r="Y32" s="8">
        <v>4.3275573929105533E-2</v>
      </c>
      <c r="Z32" s="8">
        <v>3.574740746985916E-2</v>
      </c>
      <c r="AA32" s="8">
        <v>2.5722425722425779E-2</v>
      </c>
    </row>
    <row r="33" spans="2:27" x14ac:dyDescent="0.3">
      <c r="B33" s="12" t="s">
        <v>311</v>
      </c>
      <c r="C33" s="3" t="s">
        <v>434</v>
      </c>
      <c r="D33" s="3" t="s">
        <v>459</v>
      </c>
      <c r="E33" s="3" t="s">
        <v>436</v>
      </c>
      <c r="F33" s="5">
        <v>2.5</v>
      </c>
      <c r="G33" s="23">
        <v>268.14999999999998</v>
      </c>
      <c r="H33" s="23">
        <v>236.62</v>
      </c>
      <c r="I33" s="23">
        <v>280.66000000000003</v>
      </c>
      <c r="J33" s="23">
        <v>322.39</v>
      </c>
      <c r="K33" s="23">
        <v>370.86</v>
      </c>
      <c r="L33" s="23">
        <v>309.52</v>
      </c>
      <c r="M33" s="23">
        <v>346.94</v>
      </c>
      <c r="N33" s="23">
        <v>323.18</v>
      </c>
      <c r="O33" s="23">
        <v>327.25</v>
      </c>
      <c r="P33" s="23">
        <v>318.56</v>
      </c>
      <c r="Q33" s="23">
        <v>342.16</v>
      </c>
      <c r="R33" s="23">
        <v>340.84</v>
      </c>
      <c r="S33" s="23">
        <v>332.52</v>
      </c>
      <c r="T33" s="23">
        <v>304.11</v>
      </c>
      <c r="U33" s="23">
        <v>327.56</v>
      </c>
      <c r="V33" s="23">
        <v>346.92</v>
      </c>
      <c r="W33" s="23">
        <v>365.55</v>
      </c>
      <c r="X33" s="7">
        <v>-1.083143439673773E-2</v>
      </c>
      <c r="Y33" s="8">
        <v>-1.1063707251275029E-2</v>
      </c>
      <c r="Z33" s="8">
        <v>4.6588967303435869E-3</v>
      </c>
      <c r="AA33" s="8">
        <v>2.5192394230842519E-2</v>
      </c>
    </row>
    <row r="34" spans="2:27" x14ac:dyDescent="0.3">
      <c r="B34" s="12" t="s">
        <v>190</v>
      </c>
      <c r="C34" s="3" t="s">
        <v>434</v>
      </c>
      <c r="D34" s="3" t="s">
        <v>460</v>
      </c>
      <c r="E34" s="3" t="s">
        <v>436</v>
      </c>
      <c r="F34" s="5">
        <v>2.5</v>
      </c>
      <c r="G34" s="23">
        <v>90.28</v>
      </c>
      <c r="H34" s="23">
        <v>88.28</v>
      </c>
      <c r="I34" s="23">
        <v>102.19</v>
      </c>
      <c r="J34" s="23">
        <v>103.12</v>
      </c>
      <c r="K34" s="23">
        <v>105.49</v>
      </c>
      <c r="L34" s="23">
        <v>97.82</v>
      </c>
      <c r="M34" s="23">
        <v>106.75</v>
      </c>
      <c r="N34" s="23">
        <v>107.84</v>
      </c>
      <c r="O34" s="23">
        <v>92.65</v>
      </c>
      <c r="P34" s="23">
        <v>83.87</v>
      </c>
      <c r="Q34" s="23">
        <v>85.85</v>
      </c>
      <c r="R34" s="23">
        <v>93.17</v>
      </c>
      <c r="S34" s="23">
        <v>96.17</v>
      </c>
      <c r="T34" s="23">
        <v>93.97</v>
      </c>
      <c r="U34" s="24">
        <v>141.05000000000001</v>
      </c>
      <c r="V34" s="23">
        <v>110.42</v>
      </c>
      <c r="W34" s="23">
        <v>107.26</v>
      </c>
      <c r="X34" s="7">
        <v>2.8129003509162809E-2</v>
      </c>
      <c r="Y34" s="9">
        <v>0.14952865965976819</v>
      </c>
      <c r="Z34" s="8">
        <v>4.0649448581393077E-2</v>
      </c>
      <c r="AA34" s="8">
        <v>2.511265596340673E-2</v>
      </c>
    </row>
    <row r="35" spans="2:27" x14ac:dyDescent="0.3">
      <c r="B35" s="12" t="s">
        <v>19</v>
      </c>
      <c r="C35" s="3" t="s">
        <v>434</v>
      </c>
      <c r="D35" s="3" t="s">
        <v>461</v>
      </c>
      <c r="E35" s="3" t="s">
        <v>462</v>
      </c>
      <c r="F35" s="5">
        <v>2.4</v>
      </c>
      <c r="G35" s="23">
        <v>9569</v>
      </c>
      <c r="H35" s="23">
        <v>13370</v>
      </c>
      <c r="I35" s="23">
        <v>14102</v>
      </c>
      <c r="J35" s="23">
        <v>15522</v>
      </c>
      <c r="K35" s="23">
        <v>12652</v>
      </c>
      <c r="L35" s="23">
        <v>17387</v>
      </c>
      <c r="M35" s="23">
        <v>15801</v>
      </c>
      <c r="N35" s="23">
        <v>15383</v>
      </c>
      <c r="O35" s="23">
        <v>12185</v>
      </c>
      <c r="P35" s="23">
        <v>15235</v>
      </c>
      <c r="Q35" s="23">
        <v>13152</v>
      </c>
      <c r="R35" s="23">
        <v>10960</v>
      </c>
      <c r="S35" s="23">
        <v>8508</v>
      </c>
      <c r="T35" s="23">
        <v>12763</v>
      </c>
      <c r="U35" s="23">
        <v>12018</v>
      </c>
      <c r="V35" s="23">
        <v>12338</v>
      </c>
      <c r="W35" s="23">
        <v>9611</v>
      </c>
      <c r="X35" s="7">
        <v>-5.1656044300491089E-2</v>
      </c>
      <c r="Y35" s="8">
        <v>-2.498733005751053E-2</v>
      </c>
      <c r="Z35" s="8">
        <v>3.114194671066017E-2</v>
      </c>
      <c r="AA35" s="8">
        <v>2.4174282771166181E-2</v>
      </c>
    </row>
    <row r="36" spans="2:27" x14ac:dyDescent="0.3">
      <c r="B36" s="12" t="s">
        <v>376</v>
      </c>
      <c r="C36" s="3" t="s">
        <v>434</v>
      </c>
      <c r="D36" s="3" t="s">
        <v>463</v>
      </c>
      <c r="E36" s="3" t="s">
        <v>436</v>
      </c>
      <c r="F36" s="5">
        <v>2.4</v>
      </c>
      <c r="G36" s="23">
        <v>338.3</v>
      </c>
      <c r="H36" s="23">
        <v>352</v>
      </c>
      <c r="I36" s="23">
        <v>415.7</v>
      </c>
      <c r="J36" s="23">
        <v>316.8</v>
      </c>
      <c r="K36" s="23">
        <v>245.4</v>
      </c>
      <c r="L36" s="23">
        <v>323.5</v>
      </c>
      <c r="M36" s="23">
        <v>356.6</v>
      </c>
      <c r="N36" s="23">
        <v>354.2</v>
      </c>
      <c r="O36" s="23">
        <v>328.1</v>
      </c>
      <c r="P36" s="23">
        <v>321.60000000000002</v>
      </c>
      <c r="Q36" s="23">
        <v>294.7</v>
      </c>
      <c r="R36" s="23">
        <v>227.2</v>
      </c>
      <c r="S36" s="23">
        <v>240.5</v>
      </c>
      <c r="T36" s="23">
        <v>280.5</v>
      </c>
      <c r="U36" s="23">
        <v>304.60000000000002</v>
      </c>
      <c r="V36" s="23">
        <v>305.89999999999998</v>
      </c>
      <c r="W36" s="23">
        <v>267.3</v>
      </c>
      <c r="X36" s="7">
        <v>-3.7915129151291471E-2</v>
      </c>
      <c r="Y36" s="8">
        <v>9.4927605714831831E-3</v>
      </c>
      <c r="Z36" s="8">
        <v>7.4753039513677955E-2</v>
      </c>
      <c r="AA36" s="8">
        <v>2.368537339814392E-2</v>
      </c>
    </row>
    <row r="37" spans="2:27" x14ac:dyDescent="0.3">
      <c r="B37" s="12" t="s">
        <v>151</v>
      </c>
      <c r="C37" s="3" t="s">
        <v>434</v>
      </c>
      <c r="D37" s="3" t="s">
        <v>464</v>
      </c>
      <c r="E37" s="3" t="s">
        <v>436</v>
      </c>
      <c r="F37" s="5">
        <v>2.2999999999999998</v>
      </c>
      <c r="G37" s="23">
        <v>241.84</v>
      </c>
      <c r="H37" s="23">
        <v>234.03</v>
      </c>
      <c r="I37" s="23">
        <v>283.67</v>
      </c>
      <c r="J37" s="23">
        <v>295.27</v>
      </c>
      <c r="K37" s="23">
        <v>272.13</v>
      </c>
      <c r="L37" s="23">
        <v>262.60000000000002</v>
      </c>
      <c r="M37" s="23">
        <v>289.64999999999998</v>
      </c>
      <c r="N37" s="23">
        <v>352.74</v>
      </c>
      <c r="O37" s="23">
        <v>359.57</v>
      </c>
      <c r="P37" s="23">
        <v>341.01</v>
      </c>
      <c r="Q37" s="23">
        <v>377.16</v>
      </c>
      <c r="R37" s="23">
        <v>411.63</v>
      </c>
      <c r="S37" s="23">
        <v>427.49</v>
      </c>
      <c r="T37" s="23">
        <v>417.1</v>
      </c>
      <c r="U37" s="23">
        <v>465.33</v>
      </c>
      <c r="V37" s="23">
        <v>485.35</v>
      </c>
      <c r="W37" s="23">
        <v>469.06</v>
      </c>
      <c r="X37" s="7">
        <v>4.8860520519620643E-2</v>
      </c>
      <c r="Y37" s="8">
        <v>5.3980090364764921E-2</v>
      </c>
      <c r="Z37" s="8">
        <v>4.2821875635328688E-2</v>
      </c>
      <c r="AA37" s="8">
        <v>2.315529140463557E-2</v>
      </c>
    </row>
    <row r="38" spans="2:27" x14ac:dyDescent="0.3">
      <c r="B38" s="12" t="s">
        <v>119</v>
      </c>
      <c r="C38" s="3" t="s">
        <v>434</v>
      </c>
      <c r="D38" s="3" t="s">
        <v>449</v>
      </c>
      <c r="E38" s="3" t="s">
        <v>436</v>
      </c>
      <c r="F38" s="5">
        <v>2.2999999999999998</v>
      </c>
      <c r="G38" s="23">
        <v>519.69000000000005</v>
      </c>
      <c r="H38" s="23">
        <v>527.42999999999995</v>
      </c>
      <c r="I38" s="23">
        <v>530.58000000000004</v>
      </c>
      <c r="J38" s="23">
        <v>554.72</v>
      </c>
      <c r="K38" s="23">
        <v>568.55999999999995</v>
      </c>
      <c r="L38" s="23">
        <v>571.86</v>
      </c>
      <c r="M38" s="23">
        <v>581.11</v>
      </c>
      <c r="N38" s="23">
        <v>601.34</v>
      </c>
      <c r="O38" s="23">
        <v>623.19000000000005</v>
      </c>
      <c r="P38" s="23">
        <v>659.31</v>
      </c>
      <c r="Q38" s="23">
        <v>664.4</v>
      </c>
      <c r="R38" s="23">
        <v>689.96</v>
      </c>
      <c r="S38" s="23">
        <v>721.6</v>
      </c>
      <c r="T38" s="23">
        <v>700.19</v>
      </c>
      <c r="U38" s="23">
        <v>726.71</v>
      </c>
      <c r="V38" s="23">
        <v>732</v>
      </c>
      <c r="W38" s="23">
        <v>786.5</v>
      </c>
      <c r="X38" s="7">
        <v>1.494550812168449E-2</v>
      </c>
      <c r="Y38" s="8">
        <v>2.24447526250382E-2</v>
      </c>
      <c r="Z38" s="8">
        <v>1.481084813596101E-2</v>
      </c>
      <c r="AA38" s="8">
        <v>2.253081062315565E-2</v>
      </c>
    </row>
    <row r="39" spans="2:27" x14ac:dyDescent="0.3">
      <c r="B39" s="12" t="s">
        <v>25</v>
      </c>
      <c r="C39" s="3" t="s">
        <v>434</v>
      </c>
      <c r="D39" s="3" t="s">
        <v>457</v>
      </c>
      <c r="E39" s="3" t="s">
        <v>436</v>
      </c>
      <c r="F39" s="5">
        <v>2.2000000000000002</v>
      </c>
      <c r="G39" s="23">
        <v>5767</v>
      </c>
      <c r="H39" s="23">
        <v>6648</v>
      </c>
      <c r="I39" s="23">
        <v>7206</v>
      </c>
      <c r="J39" s="23">
        <v>8378</v>
      </c>
      <c r="K39" s="23">
        <v>7047</v>
      </c>
      <c r="L39" s="23">
        <v>6480</v>
      </c>
      <c r="M39" s="23">
        <v>5748</v>
      </c>
      <c r="N39" s="23">
        <v>6980</v>
      </c>
      <c r="O39" s="23">
        <v>6045</v>
      </c>
      <c r="P39" s="23">
        <v>6646</v>
      </c>
      <c r="Q39" s="23">
        <v>6463</v>
      </c>
      <c r="R39" s="23">
        <v>7274</v>
      </c>
      <c r="S39" s="23">
        <v>6341</v>
      </c>
      <c r="T39" s="23">
        <v>7775</v>
      </c>
      <c r="U39" s="23">
        <v>6973</v>
      </c>
      <c r="V39" s="23">
        <v>7823</v>
      </c>
      <c r="W39" s="23">
        <v>6981</v>
      </c>
      <c r="X39" s="7">
        <v>4.2246669660230607E-2</v>
      </c>
      <c r="Y39" s="8">
        <v>1.8310415395110139E-2</v>
      </c>
      <c r="Z39" s="8">
        <v>1.9356203504565791E-2</v>
      </c>
      <c r="AA39" s="8">
        <v>2.213613724405095E-2</v>
      </c>
    </row>
    <row r="40" spans="2:27" x14ac:dyDescent="0.3">
      <c r="B40" s="12" t="s">
        <v>155</v>
      </c>
      <c r="C40" s="3" t="s">
        <v>434</v>
      </c>
      <c r="D40" s="3" t="s">
        <v>465</v>
      </c>
      <c r="E40" s="3" t="s">
        <v>436</v>
      </c>
      <c r="F40" s="5">
        <v>2.1</v>
      </c>
      <c r="G40" s="23">
        <v>321</v>
      </c>
      <c r="H40" s="23">
        <v>316.60000000000002</v>
      </c>
      <c r="I40" s="23">
        <v>312.7</v>
      </c>
      <c r="J40" s="23">
        <v>321</v>
      </c>
      <c r="K40" s="23">
        <v>322.7</v>
      </c>
      <c r="L40" s="23">
        <v>338.9</v>
      </c>
      <c r="M40" s="23">
        <v>343.2</v>
      </c>
      <c r="N40" s="23">
        <v>360.1</v>
      </c>
      <c r="O40" s="23">
        <v>368.7</v>
      </c>
      <c r="P40" s="23">
        <v>379.9</v>
      </c>
      <c r="Q40" s="23">
        <v>386.7</v>
      </c>
      <c r="R40" s="23">
        <v>405.4</v>
      </c>
      <c r="S40" s="23">
        <v>413.5</v>
      </c>
      <c r="T40" s="23">
        <v>421.6</v>
      </c>
      <c r="U40" s="23">
        <v>430.5</v>
      </c>
      <c r="V40" s="23">
        <v>439.3</v>
      </c>
      <c r="W40" s="23">
        <v>449</v>
      </c>
      <c r="X40" s="7">
        <v>2.630085146641448E-2</v>
      </c>
      <c r="Y40" s="8">
        <v>2.6917404129793491E-2</v>
      </c>
      <c r="Z40" s="8">
        <v>2.0287253141831219E-2</v>
      </c>
      <c r="AA40" s="8">
        <v>2.082233562085745E-2</v>
      </c>
    </row>
    <row r="41" spans="2:27" x14ac:dyDescent="0.3">
      <c r="B41" s="12" t="s">
        <v>69</v>
      </c>
      <c r="C41" s="3" t="s">
        <v>434</v>
      </c>
      <c r="D41" s="3" t="s">
        <v>457</v>
      </c>
      <c r="E41" s="3" t="s">
        <v>436</v>
      </c>
      <c r="F41" s="5">
        <v>2.1</v>
      </c>
      <c r="G41" s="23">
        <v>927</v>
      </c>
      <c r="H41" s="23">
        <v>1068</v>
      </c>
      <c r="I41" s="23">
        <v>943</v>
      </c>
      <c r="J41" s="23">
        <v>1135</v>
      </c>
      <c r="K41" s="23">
        <v>1058</v>
      </c>
      <c r="L41" s="23">
        <v>1077</v>
      </c>
      <c r="M41" s="23">
        <v>912</v>
      </c>
      <c r="N41" s="23">
        <v>1077</v>
      </c>
      <c r="O41" s="23">
        <v>961</v>
      </c>
      <c r="P41" s="23">
        <v>1031</v>
      </c>
      <c r="Q41" s="23">
        <v>894</v>
      </c>
      <c r="R41" s="23">
        <v>1081</v>
      </c>
      <c r="S41" s="23">
        <v>976</v>
      </c>
      <c r="T41" s="23">
        <v>1128</v>
      </c>
      <c r="U41" s="23">
        <v>961</v>
      </c>
      <c r="V41" s="23">
        <v>1210</v>
      </c>
      <c r="W41" s="23">
        <v>1064</v>
      </c>
      <c r="X41" s="7">
        <v>2.435961828227029E-2</v>
      </c>
      <c r="Y41" s="8">
        <v>1.642559450845793E-2</v>
      </c>
      <c r="Z41" s="8">
        <v>3.1114327062228719E-2</v>
      </c>
      <c r="AA41" s="8">
        <v>2.0584795321637369E-2</v>
      </c>
    </row>
    <row r="42" spans="2:27" x14ac:dyDescent="0.3">
      <c r="B42" s="12" t="s">
        <v>342</v>
      </c>
      <c r="C42" s="3" t="s">
        <v>434</v>
      </c>
      <c r="D42" s="3" t="s">
        <v>466</v>
      </c>
      <c r="E42" s="3" t="s">
        <v>436</v>
      </c>
      <c r="F42" s="5">
        <v>2</v>
      </c>
      <c r="G42" s="23">
        <v>248.23</v>
      </c>
      <c r="H42" s="23">
        <v>267.66000000000003</v>
      </c>
      <c r="I42" s="23">
        <v>260.72000000000003</v>
      </c>
      <c r="J42" s="23">
        <v>332.96</v>
      </c>
      <c r="K42" s="23">
        <v>343.32</v>
      </c>
      <c r="L42" s="23">
        <v>363.63</v>
      </c>
      <c r="M42" s="23">
        <v>372.32</v>
      </c>
      <c r="N42" s="23">
        <v>366.2</v>
      </c>
      <c r="O42" s="23">
        <v>366.93</v>
      </c>
      <c r="P42" s="23">
        <v>356.02</v>
      </c>
      <c r="Q42" s="23">
        <v>375.68</v>
      </c>
      <c r="R42" s="23">
        <v>371.51</v>
      </c>
      <c r="S42" s="23">
        <v>352.91</v>
      </c>
      <c r="T42" s="23">
        <v>353.85</v>
      </c>
      <c r="U42" s="23">
        <v>375.09</v>
      </c>
      <c r="V42" s="23">
        <v>386.87</v>
      </c>
      <c r="W42" s="23">
        <v>382.79</v>
      </c>
      <c r="X42" s="7">
        <v>-1.4902617916104921E-3</v>
      </c>
      <c r="Y42" s="8">
        <v>-4.0579112074001777E-4</v>
      </c>
      <c r="Z42" s="8">
        <v>1.0568613419937201E-2</v>
      </c>
      <c r="AA42" s="8">
        <v>2.0344245329266149E-2</v>
      </c>
    </row>
    <row r="43" spans="2:27" x14ac:dyDescent="0.3">
      <c r="B43" s="12" t="s">
        <v>216</v>
      </c>
      <c r="C43" s="3" t="s">
        <v>434</v>
      </c>
      <c r="D43" s="3" t="s">
        <v>467</v>
      </c>
      <c r="E43" s="3" t="s">
        <v>436</v>
      </c>
      <c r="F43" s="5">
        <v>2</v>
      </c>
      <c r="G43" s="23">
        <v>443.13</v>
      </c>
      <c r="H43" s="23">
        <v>293.63</v>
      </c>
      <c r="I43" s="23">
        <v>420.04</v>
      </c>
      <c r="J43" s="23">
        <v>433.56</v>
      </c>
      <c r="K43" s="23">
        <v>448</v>
      </c>
      <c r="L43" s="23">
        <v>302.8</v>
      </c>
      <c r="M43" s="23">
        <v>402.56</v>
      </c>
      <c r="N43" s="23">
        <v>433.56</v>
      </c>
      <c r="O43" s="23">
        <v>519.79</v>
      </c>
      <c r="P43" s="23">
        <v>341.39</v>
      </c>
      <c r="Q43" s="23">
        <v>463.5</v>
      </c>
      <c r="R43" s="23">
        <v>478.44</v>
      </c>
      <c r="S43" s="23">
        <v>546.54</v>
      </c>
      <c r="T43" s="23">
        <v>351.13</v>
      </c>
      <c r="U43" s="23">
        <v>445.89</v>
      </c>
      <c r="V43" s="23">
        <v>487.77</v>
      </c>
      <c r="W43" s="23">
        <v>583.71</v>
      </c>
      <c r="X43" s="7">
        <v>5.3227824927453149E-3</v>
      </c>
      <c r="Y43" s="8">
        <v>-9.5726811661166478E-3</v>
      </c>
      <c r="Z43" s="8">
        <v>5.1207464324918286E-3</v>
      </c>
      <c r="AA43" s="8">
        <v>2.0296724238668021E-2</v>
      </c>
    </row>
    <row r="44" spans="2:27" x14ac:dyDescent="0.3">
      <c r="B44" s="12" t="s">
        <v>256</v>
      </c>
      <c r="C44" s="3" t="s">
        <v>434</v>
      </c>
      <c r="D44" s="3" t="s">
        <v>449</v>
      </c>
      <c r="E44" s="3" t="s">
        <v>436</v>
      </c>
      <c r="F44" s="5">
        <v>2</v>
      </c>
      <c r="G44" s="23">
        <v>195.29</v>
      </c>
      <c r="H44" s="23">
        <v>205.44</v>
      </c>
      <c r="I44" s="23">
        <v>212.85</v>
      </c>
      <c r="J44" s="23">
        <v>216.14</v>
      </c>
      <c r="K44" s="23">
        <v>208.14</v>
      </c>
      <c r="L44" s="23">
        <v>209.72</v>
      </c>
      <c r="M44" s="23">
        <v>223.88</v>
      </c>
      <c r="N44" s="23">
        <v>221.85</v>
      </c>
      <c r="O44" s="23">
        <v>226.24</v>
      </c>
      <c r="P44" s="23">
        <v>223.28</v>
      </c>
      <c r="Q44" s="23">
        <v>233.81</v>
      </c>
      <c r="R44" s="23">
        <v>240.5</v>
      </c>
      <c r="S44" s="23">
        <v>242.24</v>
      </c>
      <c r="T44" s="23">
        <v>238.82</v>
      </c>
      <c r="U44" s="23">
        <v>254.31</v>
      </c>
      <c r="V44" s="23">
        <v>256.39999999999998</v>
      </c>
      <c r="W44" s="23">
        <v>261.66000000000003</v>
      </c>
      <c r="X44" s="7">
        <v>1.6534905248821511E-2</v>
      </c>
      <c r="Y44" s="8">
        <v>2.145765514931397E-2</v>
      </c>
      <c r="Z44" s="8">
        <v>1.6293153801223429E-2</v>
      </c>
      <c r="AA44" s="8">
        <v>1.9581152888270559E-2</v>
      </c>
    </row>
    <row r="45" spans="2:27" x14ac:dyDescent="0.3">
      <c r="B45" s="12" t="s">
        <v>315</v>
      </c>
      <c r="C45" s="3" t="s">
        <v>434</v>
      </c>
      <c r="D45" s="3" t="s">
        <v>448</v>
      </c>
      <c r="E45" s="3" t="s">
        <v>436</v>
      </c>
      <c r="F45" s="5">
        <v>1.9</v>
      </c>
      <c r="G45" s="23">
        <v>173.6</v>
      </c>
      <c r="H45" s="23">
        <v>182.78</v>
      </c>
      <c r="I45" s="23">
        <v>189.38</v>
      </c>
      <c r="J45" s="23">
        <v>198.34</v>
      </c>
      <c r="K45" s="23">
        <v>208.35</v>
      </c>
      <c r="L45" s="23">
        <v>218.44</v>
      </c>
      <c r="M45" s="23">
        <v>222.88</v>
      </c>
      <c r="N45" s="23">
        <v>230.11</v>
      </c>
      <c r="O45" s="23">
        <v>239.06</v>
      </c>
      <c r="P45" s="23">
        <v>247.01</v>
      </c>
      <c r="Q45" s="23">
        <v>252.09</v>
      </c>
      <c r="R45" s="23">
        <v>264.18</v>
      </c>
      <c r="S45" s="23">
        <v>278.66000000000003</v>
      </c>
      <c r="T45" s="23">
        <v>279.70999999999998</v>
      </c>
      <c r="U45" s="23">
        <v>283.27</v>
      </c>
      <c r="V45" s="23">
        <v>285.83</v>
      </c>
      <c r="W45" s="23">
        <v>300.27999999999997</v>
      </c>
      <c r="X45" s="7">
        <v>3.1383764900090323E-2</v>
      </c>
      <c r="Y45" s="8">
        <v>2.9014367602173689E-2</v>
      </c>
      <c r="Z45" s="8">
        <v>1.957823153858684E-2</v>
      </c>
      <c r="AA45" s="8">
        <v>1.9175676514674441E-2</v>
      </c>
    </row>
    <row r="46" spans="2:27" x14ac:dyDescent="0.3">
      <c r="B46" s="12" t="s">
        <v>105</v>
      </c>
      <c r="C46" s="3" t="s">
        <v>434</v>
      </c>
      <c r="D46" s="3" t="s">
        <v>448</v>
      </c>
      <c r="E46" s="3" t="s">
        <v>436</v>
      </c>
      <c r="F46" s="5">
        <v>1.8</v>
      </c>
      <c r="G46" s="23">
        <v>905.36</v>
      </c>
      <c r="H46" s="23">
        <v>903.65</v>
      </c>
      <c r="I46" s="23">
        <v>903.33</v>
      </c>
      <c r="J46" s="23">
        <v>881.9</v>
      </c>
      <c r="K46" s="23">
        <v>927.78</v>
      </c>
      <c r="L46" s="23">
        <v>915.7</v>
      </c>
      <c r="M46" s="23">
        <v>935.72</v>
      </c>
      <c r="N46" s="23">
        <v>965.48</v>
      </c>
      <c r="O46" s="23">
        <v>995.02</v>
      </c>
      <c r="P46" s="23">
        <v>986.97</v>
      </c>
      <c r="Q46" s="23">
        <v>979.58</v>
      </c>
      <c r="R46" s="23">
        <v>1005</v>
      </c>
      <c r="S46" s="23">
        <v>1020</v>
      </c>
      <c r="T46" s="23">
        <v>1015</v>
      </c>
      <c r="U46" s="23">
        <v>1043</v>
      </c>
      <c r="V46" s="23">
        <v>1055</v>
      </c>
      <c r="W46" s="23">
        <v>1095</v>
      </c>
      <c r="X46" s="7">
        <v>7.0223346820157406E-3</v>
      </c>
      <c r="Y46" s="8">
        <v>1.5777767826489431E-2</v>
      </c>
      <c r="Z46" s="8">
        <v>1.2245897624295839E-2</v>
      </c>
      <c r="AA46" s="8">
        <v>1.8146624727800601E-2</v>
      </c>
    </row>
    <row r="47" spans="2:27" x14ac:dyDescent="0.3">
      <c r="B47" s="12" t="s">
        <v>204</v>
      </c>
      <c r="C47" s="3" t="s">
        <v>434</v>
      </c>
      <c r="D47" s="3" t="s">
        <v>468</v>
      </c>
      <c r="E47" s="3" t="s">
        <v>454</v>
      </c>
      <c r="F47" s="5">
        <v>1.8</v>
      </c>
      <c r="G47" s="23">
        <v>318.06</v>
      </c>
      <c r="H47" s="23">
        <v>338.55</v>
      </c>
      <c r="I47" s="23">
        <v>323.98</v>
      </c>
      <c r="J47" s="23">
        <v>322.57</v>
      </c>
      <c r="K47" s="23">
        <v>326.25</v>
      </c>
      <c r="L47" s="23">
        <v>337.12</v>
      </c>
      <c r="M47" s="23">
        <v>345.93</v>
      </c>
      <c r="N47" s="23">
        <v>331.98</v>
      </c>
      <c r="O47" s="23">
        <v>322.62</v>
      </c>
      <c r="P47" s="23">
        <v>343.38</v>
      </c>
      <c r="Q47" s="23">
        <v>343.4</v>
      </c>
      <c r="R47" s="23">
        <v>377.07</v>
      </c>
      <c r="S47" s="23">
        <v>356.68</v>
      </c>
      <c r="T47" s="23">
        <v>382.59</v>
      </c>
      <c r="U47" s="23">
        <v>397.28</v>
      </c>
      <c r="V47" s="23">
        <v>405.29</v>
      </c>
      <c r="W47" s="23">
        <v>384.14</v>
      </c>
      <c r="X47" s="7">
        <v>2.7602373761905771E-2</v>
      </c>
      <c r="Y47" s="8">
        <v>3.6910682724320631E-2</v>
      </c>
      <c r="Z47" s="8">
        <v>1.8644045401091439E-2</v>
      </c>
      <c r="AA47" s="8">
        <v>1.7809889482696128E-2</v>
      </c>
    </row>
    <row r="48" spans="2:27" x14ac:dyDescent="0.3">
      <c r="B48" s="12" t="s">
        <v>113</v>
      </c>
      <c r="C48" s="3" t="s">
        <v>434</v>
      </c>
      <c r="D48" s="3" t="s">
        <v>469</v>
      </c>
      <c r="E48" s="3" t="s">
        <v>436</v>
      </c>
      <c r="F48" s="5">
        <v>1.8</v>
      </c>
      <c r="G48" s="23">
        <v>1493</v>
      </c>
      <c r="H48" s="23">
        <v>1641</v>
      </c>
      <c r="I48" s="23">
        <v>1595</v>
      </c>
      <c r="J48" s="23">
        <v>1591</v>
      </c>
      <c r="K48" s="23">
        <v>1577</v>
      </c>
      <c r="L48" s="23">
        <v>1733</v>
      </c>
      <c r="M48" s="23">
        <v>1692</v>
      </c>
      <c r="N48" s="23">
        <v>1713</v>
      </c>
      <c r="O48" s="23">
        <v>1699</v>
      </c>
      <c r="P48" s="23">
        <v>1884</v>
      </c>
      <c r="Q48" s="23">
        <v>1894</v>
      </c>
      <c r="R48" s="23">
        <v>1946</v>
      </c>
      <c r="S48" s="23">
        <v>1996</v>
      </c>
      <c r="T48" s="23">
        <v>2236</v>
      </c>
      <c r="U48" s="23">
        <v>2221</v>
      </c>
      <c r="V48" s="23">
        <v>2200</v>
      </c>
      <c r="W48" s="23">
        <v>2149</v>
      </c>
      <c r="X48" s="7">
        <v>4.5595854922279688E-2</v>
      </c>
      <c r="Y48" s="8">
        <v>4.0510406342913807E-2</v>
      </c>
      <c r="Z48" s="8">
        <v>3.024169543993338E-2</v>
      </c>
      <c r="AA48" s="8">
        <v>1.7681728880157181E-2</v>
      </c>
    </row>
    <row r="49" spans="2:27" x14ac:dyDescent="0.3">
      <c r="B49" s="12" t="s">
        <v>101</v>
      </c>
      <c r="C49" s="3" t="s">
        <v>434</v>
      </c>
      <c r="D49" s="3" t="s">
        <v>470</v>
      </c>
      <c r="E49" s="3" t="s">
        <v>436</v>
      </c>
      <c r="F49" s="5">
        <v>1.8</v>
      </c>
      <c r="G49" s="23">
        <v>3252</v>
      </c>
      <c r="H49" s="23">
        <v>2993</v>
      </c>
      <c r="I49" s="23">
        <v>3284</v>
      </c>
      <c r="J49" s="23">
        <v>2840</v>
      </c>
      <c r="K49" s="23">
        <v>3101</v>
      </c>
      <c r="L49" s="23">
        <v>2774</v>
      </c>
      <c r="M49" s="23">
        <v>3171</v>
      </c>
      <c r="N49" s="23">
        <v>2944</v>
      </c>
      <c r="O49" s="23">
        <v>3114</v>
      </c>
      <c r="P49" s="23">
        <v>2729</v>
      </c>
      <c r="Q49" s="23">
        <v>3117</v>
      </c>
      <c r="R49" s="23">
        <v>2884</v>
      </c>
      <c r="S49" s="23">
        <v>3121</v>
      </c>
      <c r="T49" s="23">
        <v>2730</v>
      </c>
      <c r="U49" s="23">
        <v>3273</v>
      </c>
      <c r="V49" s="23">
        <v>3117</v>
      </c>
      <c r="W49" s="23">
        <v>3337</v>
      </c>
      <c r="X49" s="7">
        <v>8.4381064888949808E-5</v>
      </c>
      <c r="Y49" s="8">
        <v>1.3162335470806591E-2</v>
      </c>
      <c r="Z49" s="8">
        <v>1.9403730846102581E-2</v>
      </c>
      <c r="AA49" s="8">
        <v>1.7645617188138289E-2</v>
      </c>
    </row>
    <row r="50" spans="2:27" x14ac:dyDescent="0.3">
      <c r="B50" s="12" t="s">
        <v>295</v>
      </c>
      <c r="C50" s="3" t="s">
        <v>434</v>
      </c>
      <c r="D50" s="3" t="s">
        <v>471</v>
      </c>
      <c r="E50" s="3" t="s">
        <v>436</v>
      </c>
      <c r="F50" s="5">
        <v>1.6</v>
      </c>
      <c r="G50" s="23">
        <v>1560</v>
      </c>
      <c r="H50" s="23">
        <v>1600</v>
      </c>
      <c r="I50" s="23">
        <v>1585</v>
      </c>
      <c r="J50" s="23">
        <v>1568</v>
      </c>
      <c r="K50" s="23">
        <v>1581</v>
      </c>
      <c r="L50" s="23">
        <v>1665</v>
      </c>
      <c r="M50" s="23">
        <v>1675</v>
      </c>
      <c r="N50" s="23">
        <v>1666</v>
      </c>
      <c r="O50" s="23">
        <v>0</v>
      </c>
      <c r="P50" s="23">
        <v>1321</v>
      </c>
      <c r="Q50" s="23">
        <v>1282</v>
      </c>
      <c r="R50" s="23">
        <v>1272</v>
      </c>
      <c r="S50" s="24">
        <v>1313</v>
      </c>
      <c r="T50" s="23">
        <v>1353</v>
      </c>
      <c r="U50" s="23">
        <v>1340</v>
      </c>
      <c r="V50" s="23">
        <v>1363</v>
      </c>
      <c r="W50" s="23">
        <v>1397</v>
      </c>
      <c r="X50" s="7">
        <v>6.168080185042335E-3</v>
      </c>
      <c r="Y50" s="8">
        <v>1.111111111111107E-2</v>
      </c>
      <c r="Z50" s="8">
        <v>1.7241379310344751E-2</v>
      </c>
      <c r="AA50" s="8">
        <v>1.5645371577575059E-2</v>
      </c>
    </row>
    <row r="51" spans="2:27" x14ac:dyDescent="0.3">
      <c r="B51" s="12" t="s">
        <v>75</v>
      </c>
      <c r="C51" s="3" t="s">
        <v>434</v>
      </c>
      <c r="D51" s="3" t="s">
        <v>472</v>
      </c>
      <c r="E51" s="3" t="s">
        <v>436</v>
      </c>
      <c r="F51" s="5">
        <v>1.5</v>
      </c>
      <c r="G51" s="23">
        <v>1523</v>
      </c>
      <c r="H51" s="23">
        <v>1556</v>
      </c>
      <c r="I51" s="23">
        <v>1717</v>
      </c>
      <c r="J51" s="23">
        <v>1733</v>
      </c>
      <c r="K51" s="23">
        <v>1720</v>
      </c>
      <c r="L51" s="23">
        <v>1717</v>
      </c>
      <c r="M51" s="23">
        <v>1972</v>
      </c>
      <c r="N51" s="23">
        <v>2057</v>
      </c>
      <c r="O51" s="23">
        <v>2081</v>
      </c>
      <c r="P51" s="23">
        <v>2042</v>
      </c>
      <c r="Q51" s="23">
        <v>2326</v>
      </c>
      <c r="R51" s="23">
        <v>2348</v>
      </c>
      <c r="S51" s="23">
        <v>2367</v>
      </c>
      <c r="T51" s="23">
        <v>2234</v>
      </c>
      <c r="U51" s="23">
        <v>2535</v>
      </c>
      <c r="V51" s="23">
        <v>2647</v>
      </c>
      <c r="W51" s="23">
        <v>2517</v>
      </c>
      <c r="X51" s="7">
        <v>2.11383903996476E-2</v>
      </c>
      <c r="Y51" s="8">
        <v>2.2533692722372049E-2</v>
      </c>
      <c r="Z51" s="8">
        <v>3.1526781948544969E-2</v>
      </c>
      <c r="AA51" s="8">
        <v>1.5332720024532341E-2</v>
      </c>
    </row>
    <row r="52" spans="2:27" x14ac:dyDescent="0.3">
      <c r="B52" s="12" t="s">
        <v>7</v>
      </c>
      <c r="C52" s="3" t="s">
        <v>434</v>
      </c>
      <c r="D52" s="3" t="s">
        <v>473</v>
      </c>
      <c r="E52" s="3" t="s">
        <v>474</v>
      </c>
      <c r="F52" s="5">
        <v>1.4</v>
      </c>
      <c r="G52" s="23">
        <v>140525</v>
      </c>
      <c r="H52" s="23">
        <v>152871</v>
      </c>
      <c r="I52" s="23">
        <v>141569</v>
      </c>
      <c r="J52" s="23">
        <v>152859</v>
      </c>
      <c r="K52" s="23">
        <v>152813</v>
      </c>
      <c r="L52" s="23">
        <v>164048</v>
      </c>
      <c r="M52" s="23">
        <v>152301</v>
      </c>
      <c r="N52" s="23">
        <v>161632</v>
      </c>
      <c r="O52" s="23">
        <v>160804</v>
      </c>
      <c r="P52" s="23">
        <v>173388</v>
      </c>
      <c r="Q52" s="23">
        <v>161508</v>
      </c>
      <c r="R52" s="23">
        <v>169335</v>
      </c>
      <c r="S52" s="23">
        <v>169588</v>
      </c>
      <c r="T52" s="23">
        <v>180554</v>
      </c>
      <c r="U52" s="23">
        <v>165609</v>
      </c>
      <c r="V52" s="23">
        <v>177402</v>
      </c>
      <c r="W52" s="23">
        <v>179496</v>
      </c>
      <c r="X52" s="7">
        <v>1.0634903438460521E-2</v>
      </c>
      <c r="Y52" s="8">
        <v>6.0221590783937629E-3</v>
      </c>
      <c r="Z52" s="8">
        <v>1.1775163994009571E-2</v>
      </c>
      <c r="AA52" s="8">
        <v>1.429410245645624E-2</v>
      </c>
    </row>
    <row r="53" spans="2:27" x14ac:dyDescent="0.3">
      <c r="B53" s="12" t="s">
        <v>67</v>
      </c>
      <c r="C53" s="3" t="s">
        <v>434</v>
      </c>
      <c r="D53" s="3" t="s">
        <v>457</v>
      </c>
      <c r="E53" s="3" t="s">
        <v>436</v>
      </c>
      <c r="F53" s="5">
        <v>1.4</v>
      </c>
      <c r="G53" s="23">
        <v>1122</v>
      </c>
      <c r="H53" s="23">
        <v>1224</v>
      </c>
      <c r="I53" s="23">
        <v>1447</v>
      </c>
      <c r="J53" s="23">
        <v>1909</v>
      </c>
      <c r="K53" s="23">
        <v>1280</v>
      </c>
      <c r="L53" s="23">
        <v>1297</v>
      </c>
      <c r="M53" s="23">
        <v>1354</v>
      </c>
      <c r="N53" s="23">
        <v>1669</v>
      </c>
      <c r="O53" s="23">
        <v>1188</v>
      </c>
      <c r="P53" s="23">
        <v>1331</v>
      </c>
      <c r="Q53" s="23">
        <v>1448</v>
      </c>
      <c r="R53" s="23">
        <v>1811</v>
      </c>
      <c r="S53" s="23">
        <v>1257</v>
      </c>
      <c r="T53" s="23">
        <v>1375</v>
      </c>
      <c r="U53" s="23">
        <v>1437</v>
      </c>
      <c r="V53" s="23">
        <v>1810</v>
      </c>
      <c r="W53" s="23">
        <v>1340</v>
      </c>
      <c r="X53" s="7">
        <v>7.5252266119376632E-3</v>
      </c>
      <c r="Y53" s="8">
        <v>-1.8672551349516731E-3</v>
      </c>
      <c r="Z53" s="8">
        <v>-1.7006802721086789E-4</v>
      </c>
      <c r="AA53" s="8">
        <v>1.4118047286953541E-2</v>
      </c>
    </row>
    <row r="54" spans="2:27" x14ac:dyDescent="0.3">
      <c r="B54" s="12" t="s">
        <v>212</v>
      </c>
      <c r="C54" s="3" t="s">
        <v>434</v>
      </c>
      <c r="D54" s="3" t="s">
        <v>475</v>
      </c>
      <c r="E54" s="3" t="s">
        <v>436</v>
      </c>
      <c r="F54" s="5">
        <v>1.4</v>
      </c>
      <c r="G54" s="23">
        <v>339.34</v>
      </c>
      <c r="H54" s="23">
        <v>430.61</v>
      </c>
      <c r="I54" s="23">
        <v>511.23</v>
      </c>
      <c r="J54" s="23">
        <v>426.45</v>
      </c>
      <c r="K54" s="23">
        <v>286.74</v>
      </c>
      <c r="L54" s="23">
        <v>231.96</v>
      </c>
      <c r="M54" s="23">
        <v>239.74</v>
      </c>
      <c r="N54" s="23">
        <v>219.42</v>
      </c>
      <c r="O54" s="23">
        <v>223.12</v>
      </c>
      <c r="P54" s="23">
        <v>215.8</v>
      </c>
      <c r="Q54" s="23">
        <v>218.69</v>
      </c>
      <c r="R54" s="23">
        <v>231.36</v>
      </c>
      <c r="S54" s="23">
        <v>228.54</v>
      </c>
      <c r="T54" s="23">
        <v>225.16</v>
      </c>
      <c r="U54" s="23">
        <v>234.03</v>
      </c>
      <c r="V54" s="23">
        <v>238.7</v>
      </c>
      <c r="W54" s="23">
        <v>241.09</v>
      </c>
      <c r="X54" s="7">
        <v>1.0465233287492159E-2</v>
      </c>
      <c r="Y54" s="8">
        <v>1.6973720608575379E-2</v>
      </c>
      <c r="Z54" s="8">
        <v>7.9861602236994678E-3</v>
      </c>
      <c r="AA54" s="8">
        <v>1.3546625217231821E-2</v>
      </c>
    </row>
    <row r="55" spans="2:27" x14ac:dyDescent="0.3">
      <c r="B55" s="12" t="s">
        <v>220</v>
      </c>
      <c r="C55" s="3" t="s">
        <v>434</v>
      </c>
      <c r="D55" s="3" t="s">
        <v>466</v>
      </c>
      <c r="E55" s="3" t="s">
        <v>436</v>
      </c>
      <c r="F55" s="5">
        <v>1.3</v>
      </c>
      <c r="G55" s="23">
        <v>862</v>
      </c>
      <c r="H55" s="23">
        <v>901</v>
      </c>
      <c r="I55" s="23">
        <v>859</v>
      </c>
      <c r="J55" s="23">
        <v>945</v>
      </c>
      <c r="K55" s="23">
        <v>898</v>
      </c>
      <c r="L55" s="23">
        <v>970</v>
      </c>
      <c r="M55" s="23">
        <v>1011</v>
      </c>
      <c r="N55" s="23">
        <v>960</v>
      </c>
      <c r="O55" s="23">
        <v>945</v>
      </c>
      <c r="P55" s="23">
        <v>915</v>
      </c>
      <c r="Q55" s="23">
        <v>890</v>
      </c>
      <c r="R55" s="23">
        <v>826</v>
      </c>
      <c r="S55" s="23">
        <v>844</v>
      </c>
      <c r="T55" s="23">
        <v>878</v>
      </c>
      <c r="U55" s="23">
        <v>913</v>
      </c>
      <c r="V55" s="23">
        <v>902</v>
      </c>
      <c r="W55" s="23">
        <v>891</v>
      </c>
      <c r="X55" s="7">
        <v>-1.064748201438848E-2</v>
      </c>
      <c r="Y55" s="8">
        <v>6.6899360093077842E-3</v>
      </c>
      <c r="Z55" s="8">
        <v>2.1958971395550361E-2</v>
      </c>
      <c r="AA55" s="8">
        <v>1.328809725756286E-2</v>
      </c>
    </row>
    <row r="56" spans="2:27" x14ac:dyDescent="0.3">
      <c r="B56" s="12" t="s">
        <v>260</v>
      </c>
      <c r="C56" s="3" t="s">
        <v>434</v>
      </c>
      <c r="D56" s="3" t="s">
        <v>445</v>
      </c>
      <c r="E56" s="3" t="s">
        <v>436</v>
      </c>
      <c r="F56" s="5">
        <v>1.2</v>
      </c>
      <c r="G56" s="23">
        <v>0</v>
      </c>
      <c r="H56" s="23">
        <v>310.91000000000003</v>
      </c>
      <c r="I56" s="23">
        <v>350.08</v>
      </c>
      <c r="J56" s="23">
        <v>342.68</v>
      </c>
      <c r="K56" s="23">
        <v>0</v>
      </c>
      <c r="L56" s="23">
        <v>378.79</v>
      </c>
      <c r="M56" s="23">
        <v>0</v>
      </c>
      <c r="N56" s="23">
        <v>396.8</v>
      </c>
      <c r="O56" s="23">
        <v>0</v>
      </c>
      <c r="P56" s="23">
        <v>407.8</v>
      </c>
      <c r="Q56" s="24">
        <v>427.89</v>
      </c>
      <c r="R56" s="23">
        <v>431.42</v>
      </c>
      <c r="S56" s="24">
        <v>449.5</v>
      </c>
      <c r="T56" s="23">
        <v>437.39</v>
      </c>
      <c r="U56" s="23">
        <v>476.49</v>
      </c>
      <c r="V56" s="23">
        <v>467.69</v>
      </c>
      <c r="W56" s="23">
        <v>472.06</v>
      </c>
      <c r="X56" s="7">
        <v>1.7237462207490228E-2</v>
      </c>
      <c r="Y56" s="8">
        <v>2.7831863474974131E-2</v>
      </c>
      <c r="Z56" s="8">
        <v>2.0208379763762E-2</v>
      </c>
      <c r="AA56" s="8">
        <v>1.232066496638584E-2</v>
      </c>
    </row>
    <row r="57" spans="2:27" x14ac:dyDescent="0.3">
      <c r="B57" s="12" t="s">
        <v>252</v>
      </c>
      <c r="C57" s="3" t="s">
        <v>434</v>
      </c>
      <c r="D57" s="3" t="s">
        <v>449</v>
      </c>
      <c r="E57" s="3" t="s">
        <v>436</v>
      </c>
      <c r="F57" s="5">
        <v>1.2</v>
      </c>
      <c r="G57" s="23">
        <v>448.5</v>
      </c>
      <c r="H57" s="23">
        <v>467.66</v>
      </c>
      <c r="I57" s="23">
        <v>486.9</v>
      </c>
      <c r="J57" s="23">
        <v>509.03</v>
      </c>
      <c r="K57" s="23">
        <v>524.75</v>
      </c>
      <c r="L57" s="23">
        <v>533.69000000000005</v>
      </c>
      <c r="M57" s="23">
        <v>539.30999999999995</v>
      </c>
      <c r="N57" s="23">
        <v>558.16</v>
      </c>
      <c r="O57" s="23">
        <v>571.27</v>
      </c>
      <c r="P57" s="23">
        <v>584.21</v>
      </c>
      <c r="Q57" s="23">
        <v>592.91</v>
      </c>
      <c r="R57" s="23">
        <v>608.77</v>
      </c>
      <c r="S57" s="23">
        <v>614.51</v>
      </c>
      <c r="T57" s="23">
        <v>612.05999999999995</v>
      </c>
      <c r="U57" s="23">
        <v>620.4</v>
      </c>
      <c r="V57" s="23">
        <v>638.66</v>
      </c>
      <c r="W57" s="23">
        <v>644.03</v>
      </c>
      <c r="X57" s="7">
        <v>1.1602232961173129E-2</v>
      </c>
      <c r="Y57" s="8">
        <v>1.1320910120457E-2</v>
      </c>
      <c r="Z57" s="8">
        <v>1.217148395188428E-2</v>
      </c>
      <c r="AA57" s="8">
        <v>1.1876264769897119E-2</v>
      </c>
    </row>
    <row r="58" spans="2:27" x14ac:dyDescent="0.3">
      <c r="B58" s="12" t="s">
        <v>12</v>
      </c>
      <c r="C58" s="3" t="s">
        <v>434</v>
      </c>
      <c r="D58" s="3" t="s">
        <v>470</v>
      </c>
      <c r="E58" s="3" t="s">
        <v>454</v>
      </c>
      <c r="F58" s="5">
        <v>1.1000000000000001</v>
      </c>
      <c r="G58" s="23">
        <v>200690</v>
      </c>
      <c r="H58" s="23">
        <v>242580</v>
      </c>
      <c r="I58" s="23">
        <v>204052</v>
      </c>
      <c r="J58" s="23">
        <v>205555</v>
      </c>
      <c r="K58" s="23">
        <v>207176</v>
      </c>
      <c r="L58" s="23">
        <v>247756</v>
      </c>
      <c r="M58" s="23">
        <v>208200</v>
      </c>
      <c r="N58" s="23">
        <v>234156</v>
      </c>
      <c r="O58" s="23">
        <v>224790</v>
      </c>
      <c r="P58" s="23">
        <v>260348</v>
      </c>
      <c r="Q58" s="23">
        <v>221874</v>
      </c>
      <c r="R58" s="23">
        <v>243236</v>
      </c>
      <c r="S58" s="23">
        <v>236503</v>
      </c>
      <c r="T58" s="23">
        <v>280154</v>
      </c>
      <c r="U58" s="23">
        <v>236454</v>
      </c>
      <c r="V58" s="23">
        <v>247652</v>
      </c>
      <c r="W58" s="23">
        <v>247795</v>
      </c>
      <c r="X58" s="7">
        <v>2.0589192285342062E-2</v>
      </c>
      <c r="Y58" s="8">
        <v>1.485077416535696E-2</v>
      </c>
      <c r="Z58" s="8">
        <v>4.4321907929667503E-3</v>
      </c>
      <c r="AA58" s="8">
        <v>1.1283390772840241E-2</v>
      </c>
    </row>
    <row r="59" spans="2:27" x14ac:dyDescent="0.3">
      <c r="B59" s="12" t="s">
        <v>164</v>
      </c>
      <c r="C59" s="3" t="s">
        <v>434</v>
      </c>
      <c r="D59" s="3" t="s">
        <v>470</v>
      </c>
      <c r="E59" s="3" t="s">
        <v>436</v>
      </c>
      <c r="F59" s="5">
        <v>1</v>
      </c>
      <c r="G59" s="23">
        <v>717.14</v>
      </c>
      <c r="H59" s="23">
        <v>579.27</v>
      </c>
      <c r="I59" s="23">
        <v>585.14</v>
      </c>
      <c r="J59" s="23">
        <v>594.47</v>
      </c>
      <c r="K59" s="23">
        <v>807.24</v>
      </c>
      <c r="L59" s="23">
        <v>640.88</v>
      </c>
      <c r="M59" s="23">
        <v>628.88</v>
      </c>
      <c r="N59" s="23">
        <v>636.29999999999995</v>
      </c>
      <c r="O59" s="23">
        <v>842.32</v>
      </c>
      <c r="P59" s="23">
        <v>645.95000000000005</v>
      </c>
      <c r="Q59" s="23">
        <v>647.80999999999995</v>
      </c>
      <c r="R59" s="23">
        <v>662.41</v>
      </c>
      <c r="S59" s="23">
        <v>852.16</v>
      </c>
      <c r="T59" s="23">
        <v>651.17999999999995</v>
      </c>
      <c r="U59" s="23">
        <v>672.66</v>
      </c>
      <c r="V59" s="23">
        <v>678.03</v>
      </c>
      <c r="W59" s="23">
        <v>881.64</v>
      </c>
      <c r="X59" s="7">
        <v>1.8623167505242839E-3</v>
      </c>
      <c r="Y59" s="8">
        <v>8.8322267874152427E-3</v>
      </c>
      <c r="Z59" s="8">
        <v>5.5030809502503164E-3</v>
      </c>
      <c r="AA59" s="8">
        <v>1.0329253721929939E-2</v>
      </c>
    </row>
    <row r="60" spans="2:27" x14ac:dyDescent="0.3">
      <c r="B60" s="12" t="s">
        <v>111</v>
      </c>
      <c r="C60" s="3" t="s">
        <v>434</v>
      </c>
      <c r="D60" s="3" t="s">
        <v>440</v>
      </c>
      <c r="E60" s="3" t="s">
        <v>436</v>
      </c>
      <c r="F60" s="5">
        <v>0.9</v>
      </c>
      <c r="G60" s="23">
        <v>3054</v>
      </c>
      <c r="H60" s="23">
        <v>2885</v>
      </c>
      <c r="I60" s="23">
        <v>2926</v>
      </c>
      <c r="J60" s="23">
        <v>2957</v>
      </c>
      <c r="K60" s="23">
        <v>3111</v>
      </c>
      <c r="L60" s="23">
        <v>3152</v>
      </c>
      <c r="M60" s="23">
        <v>3304</v>
      </c>
      <c r="N60" s="23">
        <v>3336</v>
      </c>
      <c r="O60" s="23">
        <v>3507</v>
      </c>
      <c r="P60" s="23">
        <v>3444</v>
      </c>
      <c r="Q60" s="23">
        <v>3519</v>
      </c>
      <c r="R60" s="23">
        <v>3618</v>
      </c>
      <c r="S60" s="23">
        <v>3689</v>
      </c>
      <c r="T60" s="23">
        <v>3627</v>
      </c>
      <c r="U60" s="23">
        <v>3717</v>
      </c>
      <c r="V60" s="23">
        <v>3817</v>
      </c>
      <c r="W60" s="23">
        <v>3828</v>
      </c>
      <c r="X60" s="7">
        <v>1.282410651716881E-2</v>
      </c>
      <c r="Y60" s="8">
        <v>1.3699577942295701E-2</v>
      </c>
      <c r="Z60" s="8">
        <v>1.358269060132411E-2</v>
      </c>
      <c r="AA60" s="8">
        <v>9.3602693602694576E-3</v>
      </c>
    </row>
    <row r="61" spans="2:27" x14ac:dyDescent="0.3">
      <c r="B61" s="12" t="s">
        <v>107</v>
      </c>
      <c r="C61" s="3" t="s">
        <v>434</v>
      </c>
      <c r="D61" s="3" t="s">
        <v>476</v>
      </c>
      <c r="E61" s="3" t="s">
        <v>436</v>
      </c>
      <c r="F61" s="5">
        <v>0.8</v>
      </c>
      <c r="G61" s="23">
        <v>895.59</v>
      </c>
      <c r="H61" s="23">
        <v>987.49</v>
      </c>
      <c r="I61" s="23">
        <v>1025</v>
      </c>
      <c r="J61" s="23">
        <v>993.3</v>
      </c>
      <c r="K61" s="23">
        <v>1010</v>
      </c>
      <c r="L61" s="23">
        <v>1174</v>
      </c>
      <c r="M61" s="23">
        <v>1171</v>
      </c>
      <c r="N61" s="23">
        <v>1122</v>
      </c>
      <c r="O61" s="23">
        <v>1164</v>
      </c>
      <c r="P61" s="23">
        <v>1321</v>
      </c>
      <c r="Q61" s="23">
        <v>1341</v>
      </c>
      <c r="R61" s="23">
        <v>1273</v>
      </c>
      <c r="S61" s="23">
        <v>1438</v>
      </c>
      <c r="T61" s="23">
        <v>1448</v>
      </c>
      <c r="U61" s="23">
        <v>1512</v>
      </c>
      <c r="V61" s="23">
        <v>1436</v>
      </c>
      <c r="W61" s="23">
        <v>1482</v>
      </c>
      <c r="X61" s="7">
        <v>2.363670202866186E-2</v>
      </c>
      <c r="Y61" s="8">
        <v>3.1090909090909061E-2</v>
      </c>
      <c r="Z61" s="8">
        <v>2.874272615059081E-2</v>
      </c>
      <c r="AA61" s="8">
        <v>7.5419952005484348E-3</v>
      </c>
    </row>
    <row r="62" spans="2:27" x14ac:dyDescent="0.3">
      <c r="B62" s="12" t="s">
        <v>390</v>
      </c>
      <c r="C62" s="3" t="s">
        <v>434</v>
      </c>
      <c r="D62" s="3" t="s">
        <v>471</v>
      </c>
      <c r="E62" s="3" t="s">
        <v>436</v>
      </c>
      <c r="F62" s="5">
        <v>0.5</v>
      </c>
      <c r="G62" s="23">
        <v>1363</v>
      </c>
      <c r="H62" s="23">
        <v>1553</v>
      </c>
      <c r="I62" s="23">
        <v>1427</v>
      </c>
      <c r="J62" s="23">
        <v>1139</v>
      </c>
      <c r="K62" s="23">
        <v>1126</v>
      </c>
      <c r="L62" s="23">
        <v>1126</v>
      </c>
      <c r="M62" s="23">
        <v>991.3</v>
      </c>
      <c r="N62" s="23">
        <v>853.46</v>
      </c>
      <c r="O62" s="23">
        <v>818.27</v>
      </c>
      <c r="P62" s="23">
        <v>820.88</v>
      </c>
      <c r="Q62" s="23">
        <v>740.69</v>
      </c>
      <c r="R62" s="23">
        <v>687.51</v>
      </c>
      <c r="S62" s="23">
        <v>734.71</v>
      </c>
      <c r="T62" s="23">
        <v>689.53</v>
      </c>
      <c r="U62" s="23">
        <v>658.18</v>
      </c>
      <c r="V62" s="23">
        <v>634.5</v>
      </c>
      <c r="W62" s="23">
        <v>748.23</v>
      </c>
      <c r="X62" s="7">
        <v>-4.4021194521062117E-2</v>
      </c>
      <c r="Y62" s="8">
        <v>-2.89261123809792E-2</v>
      </c>
      <c r="Z62" s="8">
        <v>-1.9137667738895799E-2</v>
      </c>
      <c r="AA62" s="8">
        <v>4.9762230761303261E-3</v>
      </c>
    </row>
    <row r="63" spans="2:27" x14ac:dyDescent="0.3">
      <c r="B63" s="12" t="s">
        <v>131</v>
      </c>
      <c r="C63" s="3" t="s">
        <v>434</v>
      </c>
      <c r="D63" s="3" t="s">
        <v>477</v>
      </c>
      <c r="E63" s="3" t="s">
        <v>436</v>
      </c>
      <c r="F63" s="5">
        <v>0.5</v>
      </c>
      <c r="G63" s="23">
        <v>914.34</v>
      </c>
      <c r="H63" s="23">
        <v>1029</v>
      </c>
      <c r="I63" s="23">
        <v>1090</v>
      </c>
      <c r="J63" s="23">
        <v>1098</v>
      </c>
      <c r="K63" s="23">
        <v>1048</v>
      </c>
      <c r="L63" s="23">
        <v>1122</v>
      </c>
      <c r="M63" s="23">
        <v>1136</v>
      </c>
      <c r="N63" s="23">
        <v>1108</v>
      </c>
      <c r="O63" s="23">
        <v>1048</v>
      </c>
      <c r="P63" s="23">
        <v>1097</v>
      </c>
      <c r="Q63" s="23">
        <v>1133</v>
      </c>
      <c r="R63" s="23">
        <v>1118</v>
      </c>
      <c r="S63" s="23">
        <v>1107</v>
      </c>
      <c r="T63" s="23">
        <v>1161</v>
      </c>
      <c r="U63" s="23">
        <v>1214</v>
      </c>
      <c r="V63" s="23">
        <v>1180</v>
      </c>
      <c r="W63" s="23">
        <v>1130</v>
      </c>
      <c r="X63" s="7">
        <v>1.4365881032547771E-2</v>
      </c>
      <c r="Y63" s="8">
        <v>1.7924319539721179E-2</v>
      </c>
      <c r="Z63" s="8">
        <v>1.347826086956516E-2</v>
      </c>
      <c r="AA63" s="8">
        <v>4.933504933504862E-3</v>
      </c>
    </row>
    <row r="64" spans="2:27" x14ac:dyDescent="0.3">
      <c r="B64" s="12" t="s">
        <v>147</v>
      </c>
      <c r="C64" s="3" t="s">
        <v>434</v>
      </c>
      <c r="D64" s="3" t="s">
        <v>457</v>
      </c>
      <c r="E64" s="3" t="s">
        <v>436</v>
      </c>
      <c r="F64" s="5">
        <v>0.4</v>
      </c>
      <c r="G64" s="23">
        <v>335.01</v>
      </c>
      <c r="H64" s="23">
        <v>344.29</v>
      </c>
      <c r="I64" s="23">
        <v>358.72</v>
      </c>
      <c r="J64" s="23">
        <v>518.01</v>
      </c>
      <c r="K64" s="23">
        <v>422.96</v>
      </c>
      <c r="L64" s="23">
        <v>429.66</v>
      </c>
      <c r="M64" s="23">
        <v>413.84</v>
      </c>
      <c r="N64" s="23">
        <v>510.91</v>
      </c>
      <c r="O64" s="23">
        <v>411.95</v>
      </c>
      <c r="P64" s="23">
        <v>448.94</v>
      </c>
      <c r="Q64" s="23">
        <v>451.04</v>
      </c>
      <c r="R64" s="23">
        <v>528.53</v>
      </c>
      <c r="S64" s="23">
        <v>398.13</v>
      </c>
      <c r="T64" s="23">
        <v>432.46</v>
      </c>
      <c r="U64" s="23">
        <v>450.88</v>
      </c>
      <c r="V64" s="23">
        <v>524.41999999999996</v>
      </c>
      <c r="W64" s="23">
        <v>405.24</v>
      </c>
      <c r="X64" s="7">
        <v>-9.0220295186791422E-3</v>
      </c>
      <c r="Y64" s="8">
        <v>-8.8389976576563889E-5</v>
      </c>
      <c r="Z64" s="8">
        <v>-2.270718232044278E-3</v>
      </c>
      <c r="AA64" s="8">
        <v>3.9371168786581654E-3</v>
      </c>
    </row>
    <row r="65" spans="2:27" x14ac:dyDescent="0.3">
      <c r="B65" s="12" t="s">
        <v>121</v>
      </c>
      <c r="C65" s="3" t="s">
        <v>434</v>
      </c>
      <c r="D65" s="3" t="s">
        <v>478</v>
      </c>
      <c r="E65" s="3" t="s">
        <v>436</v>
      </c>
      <c r="F65" s="5">
        <v>0.3</v>
      </c>
      <c r="G65" s="23">
        <v>225.64</v>
      </c>
      <c r="H65" s="23">
        <v>241.35</v>
      </c>
      <c r="I65" s="23">
        <v>256.31</v>
      </c>
      <c r="J65" s="23">
        <v>254.25</v>
      </c>
      <c r="K65" s="23">
        <v>253.27</v>
      </c>
      <c r="L65" s="23">
        <v>199.17</v>
      </c>
      <c r="M65" s="23">
        <v>190.66</v>
      </c>
      <c r="N65" s="23">
        <v>207.19</v>
      </c>
      <c r="O65" s="23">
        <v>218.86</v>
      </c>
      <c r="P65" s="23">
        <v>228.85</v>
      </c>
      <c r="Q65" s="23">
        <v>242.33</v>
      </c>
      <c r="R65" s="23">
        <v>252.21</v>
      </c>
      <c r="S65" s="23">
        <v>263.94</v>
      </c>
      <c r="T65" s="23">
        <v>266.61</v>
      </c>
      <c r="U65" s="23">
        <v>253.6</v>
      </c>
      <c r="V65" s="23">
        <v>218.19</v>
      </c>
      <c r="W65" s="23">
        <v>266.87</v>
      </c>
      <c r="X65" s="7">
        <v>3.8244558556916219E-2</v>
      </c>
      <c r="Y65" s="8">
        <v>1.099415661063907E-2</v>
      </c>
      <c r="Z65" s="8">
        <v>-3.2826430969933318E-2</v>
      </c>
      <c r="AA65" s="8">
        <v>2.9231598060537318E-3</v>
      </c>
    </row>
    <row r="66" spans="2:27" x14ac:dyDescent="0.3">
      <c r="B66" s="12" t="s">
        <v>172</v>
      </c>
      <c r="C66" s="3" t="s">
        <v>434</v>
      </c>
      <c r="D66" s="3" t="s">
        <v>479</v>
      </c>
      <c r="E66" s="3" t="s">
        <v>436</v>
      </c>
      <c r="F66" s="5">
        <v>0.3</v>
      </c>
      <c r="G66" s="23">
        <v>934.6</v>
      </c>
      <c r="H66" s="23">
        <v>975.77</v>
      </c>
      <c r="I66" s="23">
        <v>1021</v>
      </c>
      <c r="J66" s="23">
        <v>1018</v>
      </c>
      <c r="K66" s="23">
        <v>1015</v>
      </c>
      <c r="L66" s="23">
        <v>998.18</v>
      </c>
      <c r="M66" s="23">
        <v>1062</v>
      </c>
      <c r="N66" s="23">
        <v>1001</v>
      </c>
      <c r="O66" s="23">
        <v>992.49</v>
      </c>
      <c r="P66" s="23">
        <v>1007</v>
      </c>
      <c r="Q66" s="23">
        <v>1036</v>
      </c>
      <c r="R66" s="23">
        <v>982.83</v>
      </c>
      <c r="S66" s="23">
        <v>907.69</v>
      </c>
      <c r="T66" s="23">
        <v>911.26</v>
      </c>
      <c r="U66" s="23">
        <v>943.38</v>
      </c>
      <c r="V66" s="23">
        <v>931.98</v>
      </c>
      <c r="W66" s="23">
        <v>917.9</v>
      </c>
      <c r="X66" s="7">
        <v>-2.433952287010099E-2</v>
      </c>
      <c r="Y66" s="8">
        <v>-2.4133743987409528E-2</v>
      </c>
      <c r="Z66" s="8">
        <v>-1.357752405771717E-2</v>
      </c>
      <c r="AA66" s="8">
        <v>2.7637095966499552E-3</v>
      </c>
    </row>
    <row r="67" spans="2:27" x14ac:dyDescent="0.3">
      <c r="B67" s="12" t="s">
        <v>248</v>
      </c>
      <c r="C67" s="3" t="s">
        <v>434</v>
      </c>
      <c r="D67" s="3" t="s">
        <v>466</v>
      </c>
      <c r="E67" s="3" t="s">
        <v>436</v>
      </c>
      <c r="F67" s="5">
        <v>0.2</v>
      </c>
      <c r="G67" s="23">
        <v>786</v>
      </c>
      <c r="H67" s="23">
        <v>818</v>
      </c>
      <c r="I67" s="23">
        <v>848</v>
      </c>
      <c r="J67" s="23">
        <v>1026</v>
      </c>
      <c r="K67" s="23">
        <v>1064</v>
      </c>
      <c r="L67" s="23">
        <v>967</v>
      </c>
      <c r="M67" s="23">
        <v>983</v>
      </c>
      <c r="N67" s="23">
        <v>1014</v>
      </c>
      <c r="O67" s="23">
        <v>990</v>
      </c>
      <c r="P67" s="23">
        <v>933</v>
      </c>
      <c r="Q67" s="23">
        <v>1014</v>
      </c>
      <c r="R67" s="23">
        <v>980</v>
      </c>
      <c r="S67" s="23">
        <v>939</v>
      </c>
      <c r="T67" s="23">
        <v>934</v>
      </c>
      <c r="U67" s="23">
        <v>969</v>
      </c>
      <c r="V67" s="23">
        <v>917</v>
      </c>
      <c r="W67" s="23">
        <v>948</v>
      </c>
      <c r="X67" s="7">
        <v>2.5866528711837589E-4</v>
      </c>
      <c r="Y67" s="8">
        <v>-1.1636927851047311E-2</v>
      </c>
      <c r="Z67" s="8">
        <v>-1.6483516483516539E-2</v>
      </c>
      <c r="AA67" s="8">
        <v>2.3942537909018569E-3</v>
      </c>
    </row>
    <row r="68" spans="2:27" x14ac:dyDescent="0.3">
      <c r="B68" s="12" t="s">
        <v>39</v>
      </c>
      <c r="C68" s="3" t="s">
        <v>434</v>
      </c>
      <c r="D68" s="3" t="s">
        <v>451</v>
      </c>
      <c r="E68" s="3" t="s">
        <v>462</v>
      </c>
      <c r="F68" s="5">
        <v>0.2</v>
      </c>
      <c r="G68" s="23">
        <v>810.13</v>
      </c>
      <c r="H68" s="23">
        <v>867.46</v>
      </c>
      <c r="I68" s="23">
        <v>939.94</v>
      </c>
      <c r="J68" s="23">
        <v>883.39</v>
      </c>
      <c r="K68" s="23">
        <v>893.37</v>
      </c>
      <c r="L68" s="23">
        <v>956.72</v>
      </c>
      <c r="M68" s="23">
        <v>1022</v>
      </c>
      <c r="N68" s="23">
        <v>997.59</v>
      </c>
      <c r="O68" s="23">
        <v>1020</v>
      </c>
      <c r="P68" s="23">
        <v>1020</v>
      </c>
      <c r="Q68" s="23">
        <v>1127</v>
      </c>
      <c r="R68" s="23">
        <v>1069</v>
      </c>
      <c r="S68" s="23">
        <v>1147</v>
      </c>
      <c r="T68" s="23">
        <v>1163</v>
      </c>
      <c r="U68" s="23">
        <v>1212</v>
      </c>
      <c r="V68" s="23">
        <v>1125</v>
      </c>
      <c r="W68" s="23">
        <v>1155</v>
      </c>
      <c r="X68" s="7">
        <v>3.2775613110245239E-2</v>
      </c>
      <c r="Y68" s="8">
        <v>1.8863737239236619E-2</v>
      </c>
      <c r="Z68" s="8">
        <v>1.2197778261816559E-2</v>
      </c>
      <c r="AA68" s="8">
        <v>1.721540778997221E-3</v>
      </c>
    </row>
    <row r="69" spans="2:27" x14ac:dyDescent="0.3">
      <c r="B69" s="12" t="s">
        <v>244</v>
      </c>
      <c r="C69" s="3" t="s">
        <v>434</v>
      </c>
      <c r="D69" s="3" t="s">
        <v>480</v>
      </c>
      <c r="E69" s="3" t="s">
        <v>436</v>
      </c>
      <c r="F69" s="5">
        <v>0.1</v>
      </c>
      <c r="G69" s="23">
        <v>659.1</v>
      </c>
      <c r="H69" s="23">
        <v>753.6</v>
      </c>
      <c r="I69" s="23">
        <v>856.6</v>
      </c>
      <c r="J69" s="23">
        <v>637.20000000000005</v>
      </c>
      <c r="K69" s="23">
        <v>529.9</v>
      </c>
      <c r="L69" s="23">
        <v>552.4</v>
      </c>
      <c r="M69" s="23">
        <v>575.5</v>
      </c>
      <c r="N69" s="23">
        <v>545.20000000000005</v>
      </c>
      <c r="O69" s="23">
        <v>512.29999999999995</v>
      </c>
      <c r="P69" s="23">
        <v>489.5</v>
      </c>
      <c r="Q69" s="23">
        <v>560.79999999999995</v>
      </c>
      <c r="R69" s="23">
        <v>539.1</v>
      </c>
      <c r="S69" s="23">
        <v>630.9</v>
      </c>
      <c r="T69" s="23">
        <v>633.9</v>
      </c>
      <c r="U69" s="23">
        <v>628.1</v>
      </c>
      <c r="V69" s="23">
        <v>632.20000000000005</v>
      </c>
      <c r="W69" s="23">
        <v>633.70000000000005</v>
      </c>
      <c r="X69" s="7">
        <v>6.5036256361752809E-2</v>
      </c>
      <c r="Y69" s="8">
        <v>2.8460269801666271E-2</v>
      </c>
      <c r="Z69" s="8">
        <v>3.8281250000000037E-2</v>
      </c>
      <c r="AA69" s="8">
        <v>1.1088669755654481E-3</v>
      </c>
    </row>
    <row r="70" spans="2:27" x14ac:dyDescent="0.3">
      <c r="B70" s="12" t="s">
        <v>99</v>
      </c>
      <c r="C70" s="3" t="s">
        <v>434</v>
      </c>
      <c r="D70" s="3" t="s">
        <v>481</v>
      </c>
      <c r="E70" s="3" t="s">
        <v>436</v>
      </c>
      <c r="F70" s="5">
        <v>-0.1</v>
      </c>
      <c r="G70" s="23">
        <v>1036</v>
      </c>
      <c r="H70" s="23">
        <v>1413</v>
      </c>
      <c r="I70" s="23">
        <v>2056</v>
      </c>
      <c r="J70" s="23">
        <v>1615</v>
      </c>
      <c r="K70" s="23">
        <v>1096</v>
      </c>
      <c r="L70" s="23">
        <v>1207</v>
      </c>
      <c r="M70" s="23">
        <v>1857</v>
      </c>
      <c r="N70" s="23">
        <v>1474</v>
      </c>
      <c r="O70" s="23">
        <v>1003</v>
      </c>
      <c r="P70" s="23">
        <v>1121</v>
      </c>
      <c r="Q70" s="23">
        <v>1770</v>
      </c>
      <c r="R70" s="23">
        <v>1433</v>
      </c>
      <c r="S70" s="23">
        <v>987.48</v>
      </c>
      <c r="T70" s="23">
        <v>1072</v>
      </c>
      <c r="U70" s="23">
        <v>1785</v>
      </c>
      <c r="V70" s="23">
        <v>1451</v>
      </c>
      <c r="W70" s="23">
        <v>982.21</v>
      </c>
      <c r="X70" s="7">
        <v>-9.2253006694932305E-3</v>
      </c>
      <c r="Y70" s="8">
        <v>2.8503671272859239E-3</v>
      </c>
      <c r="Z70" s="8">
        <v>3.410718752131725E-3</v>
      </c>
      <c r="AA70" s="8">
        <v>-9.9518834930911737E-4</v>
      </c>
    </row>
    <row r="71" spans="2:27" x14ac:dyDescent="0.3">
      <c r="B71" s="12" t="s">
        <v>214</v>
      </c>
      <c r="C71" s="3" t="s">
        <v>434</v>
      </c>
      <c r="D71" s="3" t="s">
        <v>482</v>
      </c>
      <c r="E71" s="3" t="s">
        <v>436</v>
      </c>
      <c r="F71" s="5">
        <v>-0.3</v>
      </c>
      <c r="G71" s="23">
        <v>714.48</v>
      </c>
      <c r="H71" s="23">
        <v>705.23</v>
      </c>
      <c r="I71" s="23">
        <v>729.4</v>
      </c>
      <c r="J71" s="23">
        <v>757.82</v>
      </c>
      <c r="K71" s="23">
        <v>721.37</v>
      </c>
      <c r="L71" s="23">
        <v>675.84</v>
      </c>
      <c r="M71" s="23">
        <v>648.9</v>
      </c>
      <c r="N71" s="23">
        <v>667.68</v>
      </c>
      <c r="O71" s="23">
        <v>679.47</v>
      </c>
      <c r="P71" s="23">
        <v>664.03</v>
      </c>
      <c r="Q71" s="23">
        <v>659.92</v>
      </c>
      <c r="R71" s="23">
        <v>673.13</v>
      </c>
      <c r="S71" s="23">
        <v>665.75</v>
      </c>
      <c r="T71" s="23">
        <v>627.62</v>
      </c>
      <c r="U71" s="23">
        <v>650.41</v>
      </c>
      <c r="V71" s="23">
        <v>663.62</v>
      </c>
      <c r="W71" s="23">
        <v>658.45</v>
      </c>
      <c r="X71" s="7">
        <v>-1.36734226368187E-2</v>
      </c>
      <c r="Y71" s="8">
        <v>-3.6208984092415131E-3</v>
      </c>
      <c r="Z71" s="8">
        <v>-3.6340569603080519E-3</v>
      </c>
      <c r="AA71" s="8">
        <v>-2.7997238628519878E-3</v>
      </c>
    </row>
    <row r="72" spans="2:27" x14ac:dyDescent="0.3">
      <c r="B72" s="12" t="s">
        <v>129</v>
      </c>
      <c r="C72" s="3" t="s">
        <v>434</v>
      </c>
      <c r="D72" s="3" t="s">
        <v>448</v>
      </c>
      <c r="E72" s="3" t="s">
        <v>436</v>
      </c>
      <c r="F72" s="5">
        <v>-0.3</v>
      </c>
      <c r="G72" s="23">
        <v>565.5</v>
      </c>
      <c r="H72" s="23">
        <v>562.4</v>
      </c>
      <c r="I72" s="23">
        <v>572.70000000000005</v>
      </c>
      <c r="J72" s="23">
        <v>591</v>
      </c>
      <c r="K72" s="23">
        <v>598.79999999999995</v>
      </c>
      <c r="L72" s="23">
        <v>611.1</v>
      </c>
      <c r="M72" s="23">
        <v>622.5</v>
      </c>
      <c r="N72" s="23">
        <v>633</v>
      </c>
      <c r="O72" s="23">
        <v>635</v>
      </c>
      <c r="P72" s="23">
        <v>631.29999999999995</v>
      </c>
      <c r="Q72" s="23">
        <v>634.5</v>
      </c>
      <c r="R72" s="23">
        <v>638.79999999999995</v>
      </c>
      <c r="S72" s="23">
        <v>643.6</v>
      </c>
      <c r="T72" s="23">
        <v>624.70000000000005</v>
      </c>
      <c r="U72" s="23">
        <v>625.70000000000005</v>
      </c>
      <c r="V72" s="23">
        <v>634.4</v>
      </c>
      <c r="W72" s="23">
        <v>636.20000000000005</v>
      </c>
      <c r="X72" s="7">
        <v>-2.5900635742877039E-3</v>
      </c>
      <c r="Y72" s="8">
        <v>-3.4623858986464469E-3</v>
      </c>
      <c r="Z72" s="8">
        <v>-1.7372078332280601E-3</v>
      </c>
      <c r="AA72" s="8">
        <v>-2.9267520961873128E-3</v>
      </c>
    </row>
    <row r="73" spans="2:27" x14ac:dyDescent="0.3">
      <c r="B73" s="12" t="s">
        <v>127</v>
      </c>
      <c r="C73" s="3" t="s">
        <v>434</v>
      </c>
      <c r="D73" s="3" t="s">
        <v>466</v>
      </c>
      <c r="E73" s="3" t="s">
        <v>436</v>
      </c>
      <c r="F73" s="5">
        <v>-0.4</v>
      </c>
      <c r="G73" s="23">
        <v>0</v>
      </c>
      <c r="H73" s="23">
        <v>3348</v>
      </c>
      <c r="I73" s="23">
        <v>3341</v>
      </c>
      <c r="J73" s="23">
        <v>3104</v>
      </c>
      <c r="K73" s="24">
        <v>3001</v>
      </c>
      <c r="L73" s="23">
        <v>3349</v>
      </c>
      <c r="M73" s="23">
        <v>3448</v>
      </c>
      <c r="N73" s="23">
        <v>3568</v>
      </c>
      <c r="O73" s="23">
        <v>3501</v>
      </c>
      <c r="P73" s="23">
        <v>3703</v>
      </c>
      <c r="Q73" s="23">
        <v>0</v>
      </c>
      <c r="R73" s="23">
        <v>3453</v>
      </c>
      <c r="S73" s="23">
        <v>3357</v>
      </c>
      <c r="T73" s="23">
        <v>3463</v>
      </c>
      <c r="U73" s="23">
        <v>0</v>
      </c>
      <c r="V73" s="23">
        <v>3499</v>
      </c>
      <c r="W73" s="23">
        <v>3312</v>
      </c>
      <c r="X73" s="7">
        <v>-2.2828878531342189E-2</v>
      </c>
      <c r="Y73" s="8">
        <v>0</v>
      </c>
      <c r="Z73" s="8">
        <v>4.4777572276841759E-3</v>
      </c>
      <c r="AA73" s="8">
        <v>-4.3608876829149823E-3</v>
      </c>
    </row>
    <row r="74" spans="2:27" x14ac:dyDescent="0.3">
      <c r="B74" s="12" t="s">
        <v>305</v>
      </c>
      <c r="C74" s="3" t="s">
        <v>434</v>
      </c>
      <c r="D74" s="3" t="s">
        <v>471</v>
      </c>
      <c r="E74" s="3" t="s">
        <v>436</v>
      </c>
      <c r="F74" s="5">
        <v>-0.4</v>
      </c>
      <c r="G74" s="23">
        <v>498.53</v>
      </c>
      <c r="H74" s="23">
        <v>482.23</v>
      </c>
      <c r="I74" s="23">
        <v>486.03</v>
      </c>
      <c r="J74" s="23">
        <v>489.92</v>
      </c>
      <c r="K74" s="23">
        <v>513.84</v>
      </c>
      <c r="L74" s="23">
        <v>491.01</v>
      </c>
      <c r="M74" s="23">
        <v>500.58</v>
      </c>
      <c r="N74" s="23">
        <v>506.61</v>
      </c>
      <c r="O74" s="23">
        <v>496.44</v>
      </c>
      <c r="P74" s="23">
        <v>495.1</v>
      </c>
      <c r="Q74" s="23">
        <v>504.3</v>
      </c>
      <c r="R74" s="23">
        <v>511.16</v>
      </c>
      <c r="S74" s="23">
        <v>502.36</v>
      </c>
      <c r="T74" s="23">
        <v>458.36</v>
      </c>
      <c r="U74" s="23">
        <v>468.84</v>
      </c>
      <c r="V74" s="23">
        <v>492.88</v>
      </c>
      <c r="W74" s="23">
        <v>493.77</v>
      </c>
      <c r="X74" s="7">
        <v>-1.8252091488981211E-2</v>
      </c>
      <c r="Y74" s="8">
        <v>-1.7943709581111019E-2</v>
      </c>
      <c r="Z74" s="8">
        <v>-9.4191846325074602E-3</v>
      </c>
      <c r="AA74" s="8">
        <v>-4.4682798943010971E-3</v>
      </c>
    </row>
    <row r="75" spans="2:27" x14ac:dyDescent="0.3">
      <c r="B75" s="12" t="s">
        <v>262</v>
      </c>
      <c r="C75" s="3" t="s">
        <v>434</v>
      </c>
      <c r="D75" s="3" t="s">
        <v>437</v>
      </c>
      <c r="E75" s="3" t="s">
        <v>436</v>
      </c>
      <c r="F75" s="5">
        <v>-0.5</v>
      </c>
      <c r="G75" s="23">
        <v>57.01</v>
      </c>
      <c r="H75" s="23">
        <v>56.96</v>
      </c>
      <c r="I75" s="23">
        <v>56.96</v>
      </c>
      <c r="J75" s="23">
        <v>56.13</v>
      </c>
      <c r="K75" s="23">
        <v>56.13</v>
      </c>
      <c r="L75" s="23">
        <v>55.41</v>
      </c>
      <c r="M75" s="23">
        <v>55.41</v>
      </c>
      <c r="N75" s="23">
        <v>55.77</v>
      </c>
      <c r="O75" s="23">
        <v>55.77</v>
      </c>
      <c r="P75" s="23">
        <v>56.38</v>
      </c>
      <c r="Q75" s="23">
        <v>56.38</v>
      </c>
      <c r="R75" s="23">
        <v>57.25</v>
      </c>
      <c r="S75" s="23">
        <v>57.25</v>
      </c>
      <c r="T75" s="23">
        <v>56.39</v>
      </c>
      <c r="U75" s="23">
        <v>56.39</v>
      </c>
      <c r="V75" s="23">
        <v>56.12</v>
      </c>
      <c r="W75" s="23">
        <v>56.12</v>
      </c>
      <c r="X75" s="7">
        <v>4.400246413815978E-5</v>
      </c>
      <c r="Y75" s="8">
        <v>4.4000528006238333E-5</v>
      </c>
      <c r="Z75" s="8">
        <v>-4.9718409010911513E-3</v>
      </c>
      <c r="AA75" s="8">
        <v>-4.9966836170683981E-3</v>
      </c>
    </row>
    <row r="76" spans="2:27" x14ac:dyDescent="0.3">
      <c r="B76" s="12" t="s">
        <v>340</v>
      </c>
      <c r="C76" s="3" t="s">
        <v>434</v>
      </c>
      <c r="D76" s="3" t="s">
        <v>483</v>
      </c>
      <c r="E76" s="3" t="s">
        <v>462</v>
      </c>
      <c r="F76" s="5">
        <v>-0.8</v>
      </c>
      <c r="G76" s="23">
        <v>757.2</v>
      </c>
      <c r="H76" s="23">
        <v>807.8</v>
      </c>
      <c r="I76" s="23">
        <v>818</v>
      </c>
      <c r="J76" s="23">
        <v>749.5</v>
      </c>
      <c r="K76" s="23">
        <v>713.3</v>
      </c>
      <c r="L76" s="23">
        <v>729.2</v>
      </c>
      <c r="M76" s="23">
        <v>735.5</v>
      </c>
      <c r="N76" s="23">
        <v>740.7</v>
      </c>
      <c r="O76" s="23">
        <v>692.2</v>
      </c>
      <c r="P76" s="23">
        <v>718.5</v>
      </c>
      <c r="Q76" s="23">
        <v>779.4</v>
      </c>
      <c r="R76" s="23">
        <v>773.7</v>
      </c>
      <c r="S76" s="23">
        <v>700.2</v>
      </c>
      <c r="T76" s="23">
        <v>675.7</v>
      </c>
      <c r="U76" s="23">
        <v>699.6</v>
      </c>
      <c r="V76" s="23">
        <v>733.5</v>
      </c>
      <c r="W76" s="23">
        <v>677</v>
      </c>
      <c r="X76" s="7">
        <v>-1.440204589810901E-2</v>
      </c>
      <c r="Y76" s="8">
        <v>-2.724479344486164E-2</v>
      </c>
      <c r="Z76" s="8">
        <v>-1.410922364172407E-2</v>
      </c>
      <c r="AA76" s="8">
        <v>-8.2591669633320652E-3</v>
      </c>
    </row>
    <row r="77" spans="2:27" x14ac:dyDescent="0.3">
      <c r="B77" s="12" t="s">
        <v>272</v>
      </c>
      <c r="C77" s="3" t="s">
        <v>434</v>
      </c>
      <c r="D77" s="3" t="s">
        <v>484</v>
      </c>
      <c r="E77" s="3" t="s">
        <v>436</v>
      </c>
      <c r="F77" s="5">
        <v>-1.1000000000000001</v>
      </c>
      <c r="G77" s="23">
        <v>1575</v>
      </c>
      <c r="H77" s="23">
        <v>1764</v>
      </c>
      <c r="I77" s="23">
        <v>1915</v>
      </c>
      <c r="J77" s="23">
        <v>1777</v>
      </c>
      <c r="K77" s="23">
        <v>1338</v>
      </c>
      <c r="L77" s="23">
        <v>1536</v>
      </c>
      <c r="M77" s="23">
        <v>1643</v>
      </c>
      <c r="N77" s="23">
        <v>1487</v>
      </c>
      <c r="O77" s="23">
        <v>1412</v>
      </c>
      <c r="P77" s="23">
        <v>1362</v>
      </c>
      <c r="Q77" s="23">
        <v>1554</v>
      </c>
      <c r="R77" s="23">
        <v>1508</v>
      </c>
      <c r="S77" s="23">
        <v>1394</v>
      </c>
      <c r="T77" s="23">
        <v>1368</v>
      </c>
      <c r="U77" s="23">
        <v>1615</v>
      </c>
      <c r="V77" s="23">
        <v>1495</v>
      </c>
      <c r="W77" s="23">
        <v>1330</v>
      </c>
      <c r="X77" s="7">
        <v>1.031282227569541E-3</v>
      </c>
      <c r="Y77" s="8">
        <v>1.047390109890101E-2</v>
      </c>
      <c r="Z77" s="8">
        <v>-2.2090059473236501E-3</v>
      </c>
      <c r="AA77" s="8">
        <v>-1.089918256130795E-2</v>
      </c>
    </row>
    <row r="78" spans="2:27" x14ac:dyDescent="0.3">
      <c r="B78" s="12" t="s">
        <v>374</v>
      </c>
      <c r="C78" s="3" t="s">
        <v>434</v>
      </c>
      <c r="D78" s="3" t="s">
        <v>449</v>
      </c>
      <c r="E78" s="3" t="s">
        <v>436</v>
      </c>
      <c r="F78" s="5">
        <v>-1.2</v>
      </c>
      <c r="G78" s="23">
        <v>864</v>
      </c>
      <c r="H78" s="23">
        <v>725</v>
      </c>
      <c r="I78" s="23">
        <v>715</v>
      </c>
      <c r="J78" s="23">
        <v>750</v>
      </c>
      <c r="K78" s="23">
        <v>942</v>
      </c>
      <c r="L78" s="23">
        <v>586</v>
      </c>
      <c r="M78" s="23">
        <v>561</v>
      </c>
      <c r="N78" s="23">
        <v>557</v>
      </c>
      <c r="O78" s="23">
        <v>682</v>
      </c>
      <c r="P78" s="23">
        <v>559</v>
      </c>
      <c r="Q78" s="23">
        <v>538</v>
      </c>
      <c r="R78" s="23">
        <v>555</v>
      </c>
      <c r="S78" s="23">
        <v>680</v>
      </c>
      <c r="T78" s="23">
        <v>548</v>
      </c>
      <c r="U78" s="23">
        <v>528</v>
      </c>
      <c r="V78" s="23">
        <v>533</v>
      </c>
      <c r="W78" s="23">
        <v>653</v>
      </c>
      <c r="X78" s="7">
        <v>-4.7169811320755262E-3</v>
      </c>
      <c r="Y78" s="8">
        <v>-4.3084877208100503E-3</v>
      </c>
      <c r="Z78" s="8">
        <v>-9.5196884465599263E-3</v>
      </c>
      <c r="AA78" s="8">
        <v>-1.179554390563564E-2</v>
      </c>
    </row>
    <row r="79" spans="2:27" x14ac:dyDescent="0.3">
      <c r="B79" s="12" t="s">
        <v>270</v>
      </c>
      <c r="C79" s="3" t="s">
        <v>434</v>
      </c>
      <c r="D79" s="3" t="s">
        <v>467</v>
      </c>
      <c r="E79" s="3" t="s">
        <v>436</v>
      </c>
      <c r="F79" s="5">
        <v>-1.2</v>
      </c>
      <c r="G79" s="23">
        <v>350.94</v>
      </c>
      <c r="H79" s="23">
        <v>98.84</v>
      </c>
      <c r="I79" s="23">
        <v>509.49</v>
      </c>
      <c r="J79" s="23">
        <v>843.06</v>
      </c>
      <c r="K79" s="23">
        <v>365.99</v>
      </c>
      <c r="L79" s="23">
        <v>84.55</v>
      </c>
      <c r="M79" s="23">
        <v>500.98</v>
      </c>
      <c r="N79" s="23">
        <v>842.01</v>
      </c>
      <c r="O79" s="23">
        <v>371.12</v>
      </c>
      <c r="P79" s="23">
        <v>101.62</v>
      </c>
      <c r="Q79" s="23">
        <v>571.62</v>
      </c>
      <c r="R79" s="24">
        <v>1348</v>
      </c>
      <c r="S79" s="24">
        <v>687.31</v>
      </c>
      <c r="T79" s="23">
        <v>202.06</v>
      </c>
      <c r="U79" s="24">
        <v>930.39</v>
      </c>
      <c r="V79" s="23">
        <v>1318</v>
      </c>
      <c r="W79" s="23">
        <v>650.09</v>
      </c>
      <c r="X79" s="7">
        <v>3.7082571855789892E-2</v>
      </c>
      <c r="Y79" s="9">
        <v>0.12772206380229201</v>
      </c>
      <c r="Z79" s="8">
        <v>-9.4704144253352496E-3</v>
      </c>
      <c r="AA79" s="8">
        <v>-1.186196522359895E-2</v>
      </c>
    </row>
    <row r="80" spans="2:27" x14ac:dyDescent="0.3">
      <c r="B80" s="12" t="s">
        <v>202</v>
      </c>
      <c r="C80" s="3" t="s">
        <v>434</v>
      </c>
      <c r="D80" s="3" t="s">
        <v>465</v>
      </c>
      <c r="E80" s="3" t="s">
        <v>436</v>
      </c>
      <c r="F80" s="5">
        <v>-1.6</v>
      </c>
      <c r="G80" s="23">
        <v>377.35</v>
      </c>
      <c r="H80" s="23">
        <v>451.17</v>
      </c>
      <c r="I80" s="23">
        <v>522.89</v>
      </c>
      <c r="J80" s="23">
        <v>578.01</v>
      </c>
      <c r="K80" s="24">
        <v>590.54999999999995</v>
      </c>
      <c r="L80" s="23">
        <v>565.47</v>
      </c>
      <c r="M80" s="23">
        <v>582.09</v>
      </c>
      <c r="N80" s="23">
        <v>604.83000000000004</v>
      </c>
      <c r="O80" s="23">
        <v>612.38</v>
      </c>
      <c r="P80" s="23">
        <v>587.17999999999995</v>
      </c>
      <c r="Q80" s="23">
        <v>604.59</v>
      </c>
      <c r="R80" s="23">
        <v>601.42999999999995</v>
      </c>
      <c r="S80" s="23">
        <v>602.52</v>
      </c>
      <c r="T80" s="23">
        <v>559.54999999999995</v>
      </c>
      <c r="U80" s="23">
        <v>589.08000000000004</v>
      </c>
      <c r="V80" s="23">
        <v>566.84</v>
      </c>
      <c r="W80" s="23">
        <v>565.97</v>
      </c>
      <c r="X80" s="7">
        <v>-1.153306730335746E-2</v>
      </c>
      <c r="Y80" s="8">
        <v>-6.5495821527054021E-3</v>
      </c>
      <c r="Z80" s="8">
        <v>-1.470300691156101E-2</v>
      </c>
      <c r="AA80" s="8">
        <v>-1.576797138900499E-2</v>
      </c>
    </row>
    <row r="81" spans="2:27" x14ac:dyDescent="0.3">
      <c r="B81" s="12" t="s">
        <v>323</v>
      </c>
      <c r="C81" s="3" t="s">
        <v>434</v>
      </c>
      <c r="D81" s="3" t="s">
        <v>485</v>
      </c>
      <c r="E81" s="3" t="s">
        <v>436</v>
      </c>
      <c r="F81" s="5">
        <v>-1.9</v>
      </c>
      <c r="G81" s="23">
        <v>9943</v>
      </c>
      <c r="H81" s="23">
        <v>12382</v>
      </c>
      <c r="I81" s="23">
        <v>17122</v>
      </c>
      <c r="J81" s="23">
        <v>15661</v>
      </c>
      <c r="K81" s="23">
        <v>13878</v>
      </c>
      <c r="L81" s="23">
        <v>12482</v>
      </c>
      <c r="M81" s="23">
        <v>10981</v>
      </c>
      <c r="N81" s="23">
        <v>12245</v>
      </c>
      <c r="O81" s="23">
        <v>12003</v>
      </c>
      <c r="P81" s="23">
        <v>10951</v>
      </c>
      <c r="Q81" s="23">
        <v>10965</v>
      </c>
      <c r="R81" s="23">
        <v>10491</v>
      </c>
      <c r="S81" s="23">
        <v>9761</v>
      </c>
      <c r="T81" s="23">
        <v>9453</v>
      </c>
      <c r="U81" s="23">
        <v>9043</v>
      </c>
      <c r="V81" s="23">
        <v>9392</v>
      </c>
      <c r="W81" s="23">
        <v>9029</v>
      </c>
      <c r="X81" s="7">
        <v>-3.5524568393094258E-2</v>
      </c>
      <c r="Y81" s="8">
        <v>-4.725842144086545E-2</v>
      </c>
      <c r="Z81" s="8">
        <v>-2.836275420666878E-2</v>
      </c>
      <c r="AA81" s="8">
        <v>-1.944274748333286E-2</v>
      </c>
    </row>
    <row r="82" spans="2:27" x14ac:dyDescent="0.3">
      <c r="B82" s="12" t="s">
        <v>200</v>
      </c>
      <c r="C82" s="3" t="s">
        <v>434</v>
      </c>
      <c r="D82" s="3" t="s">
        <v>472</v>
      </c>
      <c r="E82" s="3" t="s">
        <v>436</v>
      </c>
      <c r="F82" s="5">
        <v>-1.9</v>
      </c>
      <c r="G82" s="23">
        <v>305.5</v>
      </c>
      <c r="H82" s="23">
        <v>318.39999999999998</v>
      </c>
      <c r="I82" s="23">
        <v>413.3</v>
      </c>
      <c r="J82" s="23">
        <v>437.2</v>
      </c>
      <c r="K82" s="23">
        <v>433.6</v>
      </c>
      <c r="L82" s="23">
        <v>430.1</v>
      </c>
      <c r="M82" s="23">
        <v>415.2</v>
      </c>
      <c r="N82" s="23">
        <v>455.1</v>
      </c>
      <c r="O82" s="23">
        <v>483.8</v>
      </c>
      <c r="P82" s="23">
        <v>525</v>
      </c>
      <c r="Q82" s="24">
        <v>610.1</v>
      </c>
      <c r="R82" s="23">
        <v>643.1</v>
      </c>
      <c r="S82" s="23">
        <v>584.4</v>
      </c>
      <c r="T82" s="23">
        <v>620.70000000000005</v>
      </c>
      <c r="U82" s="23">
        <v>615.20000000000005</v>
      </c>
      <c r="V82" s="23">
        <v>595.70000000000005</v>
      </c>
      <c r="W82" s="23">
        <v>537.4</v>
      </c>
      <c r="X82" s="7">
        <v>4.0506221958859001E-2</v>
      </c>
      <c r="Y82" s="8">
        <v>2.0746044014154919E-3</v>
      </c>
      <c r="Z82" s="8">
        <v>-1.9241698465535469E-2</v>
      </c>
      <c r="AA82" s="8">
        <v>-1.9453642384105959E-2</v>
      </c>
    </row>
    <row r="83" spans="2:27" x14ac:dyDescent="0.3">
      <c r="B83" s="12" t="s">
        <v>35</v>
      </c>
      <c r="C83" s="3" t="s">
        <v>434</v>
      </c>
      <c r="D83" s="3" t="s">
        <v>486</v>
      </c>
      <c r="E83" s="3" t="s">
        <v>436</v>
      </c>
      <c r="F83" s="5">
        <v>-2</v>
      </c>
      <c r="G83" s="23">
        <v>5442</v>
      </c>
      <c r="H83" s="23">
        <v>4959</v>
      </c>
      <c r="I83" s="23">
        <v>6056</v>
      </c>
      <c r="J83" s="23">
        <v>5360</v>
      </c>
      <c r="K83" s="23">
        <v>4555</v>
      </c>
      <c r="L83" s="23">
        <v>4521</v>
      </c>
      <c r="M83" s="23">
        <v>3404</v>
      </c>
      <c r="N83" s="23">
        <v>3897</v>
      </c>
      <c r="O83" s="23">
        <v>4240</v>
      </c>
      <c r="P83" s="23">
        <v>4562</v>
      </c>
      <c r="Q83" s="23">
        <v>3562</v>
      </c>
      <c r="R83" s="23">
        <v>3852</v>
      </c>
      <c r="S83" s="23">
        <v>4405</v>
      </c>
      <c r="T83" s="23">
        <v>4562</v>
      </c>
      <c r="U83" s="23">
        <v>4260</v>
      </c>
      <c r="V83" s="23">
        <v>4151</v>
      </c>
      <c r="W83" s="23">
        <v>4056</v>
      </c>
      <c r="X83" s="7">
        <v>0</v>
      </c>
      <c r="Y83" s="8">
        <v>4.2610341249007977E-2</v>
      </c>
      <c r="Z83" s="8">
        <v>1.750687979389887E-2</v>
      </c>
      <c r="AA83" s="8">
        <v>-2.0082863390493699E-2</v>
      </c>
    </row>
    <row r="84" spans="2:27" x14ac:dyDescent="0.3">
      <c r="B84" s="12" t="s">
        <v>153</v>
      </c>
      <c r="C84" s="3" t="s">
        <v>434</v>
      </c>
      <c r="D84" s="3" t="s">
        <v>435</v>
      </c>
      <c r="E84" s="3" t="s">
        <v>436</v>
      </c>
      <c r="F84" s="5">
        <v>-2.7</v>
      </c>
      <c r="G84" s="23">
        <v>165.23</v>
      </c>
      <c r="H84" s="23">
        <v>148.74</v>
      </c>
      <c r="I84" s="23">
        <v>165.53</v>
      </c>
      <c r="J84" s="23">
        <v>217.13</v>
      </c>
      <c r="K84" s="23">
        <v>167.41</v>
      </c>
      <c r="L84" s="24">
        <v>220.38</v>
      </c>
      <c r="M84" s="23">
        <v>213.81</v>
      </c>
      <c r="N84" s="23">
        <v>196.58</v>
      </c>
      <c r="O84" s="24">
        <v>307.06</v>
      </c>
      <c r="P84" s="23">
        <v>210.12</v>
      </c>
      <c r="Q84" s="23">
        <v>186.7</v>
      </c>
      <c r="R84" s="23">
        <v>196.79</v>
      </c>
      <c r="S84" s="23">
        <v>213.17</v>
      </c>
      <c r="T84" s="24">
        <v>1176</v>
      </c>
      <c r="U84" s="23">
        <v>178.88</v>
      </c>
      <c r="V84" s="23">
        <v>211.01</v>
      </c>
      <c r="W84" s="23">
        <v>164.68</v>
      </c>
      <c r="X84" s="10">
        <v>1.1972036986539081</v>
      </c>
      <c r="Y84" s="8">
        <v>-4.4114494601332774E-3</v>
      </c>
      <c r="Z84" s="8">
        <v>8.0573876385394705E-3</v>
      </c>
      <c r="AA84" s="8">
        <v>-2.7255966634065151E-2</v>
      </c>
    </row>
    <row r="85" spans="2:27" x14ac:dyDescent="0.3">
      <c r="B85" s="12" t="s">
        <v>301</v>
      </c>
      <c r="C85" s="3" t="s">
        <v>434</v>
      </c>
      <c r="D85" s="3" t="s">
        <v>472</v>
      </c>
      <c r="E85" s="3" t="s">
        <v>436</v>
      </c>
      <c r="F85" s="5">
        <v>-3.3</v>
      </c>
      <c r="G85" s="23">
        <v>295.67</v>
      </c>
      <c r="H85" s="23">
        <v>280.48</v>
      </c>
      <c r="I85" s="23">
        <v>313.62</v>
      </c>
      <c r="J85" s="23">
        <v>334.35</v>
      </c>
      <c r="K85" s="23">
        <v>350.97</v>
      </c>
      <c r="L85" s="23">
        <v>339.28</v>
      </c>
      <c r="M85" s="23">
        <v>396.92</v>
      </c>
      <c r="N85" s="23">
        <v>369.82</v>
      </c>
      <c r="O85" s="23">
        <v>406.75</v>
      </c>
      <c r="P85" s="23">
        <v>383.49</v>
      </c>
      <c r="Q85" s="23">
        <v>469.64</v>
      </c>
      <c r="R85" s="23">
        <v>422.83</v>
      </c>
      <c r="S85" s="23">
        <v>436.84</v>
      </c>
      <c r="T85" s="23">
        <v>390.87</v>
      </c>
      <c r="U85" s="23">
        <v>422.74</v>
      </c>
      <c r="V85" s="23">
        <v>411.36</v>
      </c>
      <c r="W85" s="23">
        <v>382.13</v>
      </c>
      <c r="X85" s="7">
        <v>4.308734236338152E-3</v>
      </c>
      <c r="Y85" s="8">
        <v>-2.7264588589566149E-2</v>
      </c>
      <c r="Z85" s="8">
        <v>-6.8548001529928904E-3</v>
      </c>
      <c r="AA85" s="8">
        <v>-3.292193451718306E-2</v>
      </c>
    </row>
    <row r="86" spans="2:27" x14ac:dyDescent="0.3">
      <c r="B86" s="12" t="s">
        <v>41</v>
      </c>
      <c r="C86" s="3" t="s">
        <v>434</v>
      </c>
      <c r="D86" s="3" t="s">
        <v>487</v>
      </c>
      <c r="E86" s="3" t="s">
        <v>436</v>
      </c>
      <c r="F86" s="5">
        <v>-3.7</v>
      </c>
      <c r="G86" s="23">
        <v>13726</v>
      </c>
      <c r="H86" s="23">
        <v>16198</v>
      </c>
      <c r="I86" s="23">
        <v>19165</v>
      </c>
      <c r="J86" s="23">
        <v>17471</v>
      </c>
      <c r="K86" s="23">
        <v>14063</v>
      </c>
      <c r="L86" s="23">
        <v>12262</v>
      </c>
      <c r="M86" s="23">
        <v>12231</v>
      </c>
      <c r="N86" s="23">
        <v>14577</v>
      </c>
      <c r="O86" s="23">
        <v>13134</v>
      </c>
      <c r="P86" s="23">
        <v>13063</v>
      </c>
      <c r="Q86" s="23">
        <v>14582</v>
      </c>
      <c r="R86" s="23">
        <v>13819</v>
      </c>
      <c r="S86" s="23">
        <v>12813</v>
      </c>
      <c r="T86" s="23">
        <v>13299</v>
      </c>
      <c r="U86" s="23">
        <v>12319</v>
      </c>
      <c r="V86" s="23">
        <v>13195</v>
      </c>
      <c r="W86" s="23">
        <v>10883</v>
      </c>
      <c r="X86" s="7">
        <v>4.348066400132744E-3</v>
      </c>
      <c r="Y86" s="8">
        <v>-4.1513033588318371E-2</v>
      </c>
      <c r="Z86" s="8">
        <v>-1.1942583732057369E-2</v>
      </c>
      <c r="AA86" s="8">
        <v>-3.7384263743075241E-2</v>
      </c>
    </row>
    <row r="87" spans="2:27" x14ac:dyDescent="0.3">
      <c r="B87" s="12" t="s">
        <v>208</v>
      </c>
      <c r="C87" s="3" t="s">
        <v>434</v>
      </c>
      <c r="D87" s="3" t="s">
        <v>488</v>
      </c>
      <c r="E87" s="3" t="s">
        <v>436</v>
      </c>
      <c r="F87" s="5">
        <v>-3.8</v>
      </c>
      <c r="G87" s="23">
        <v>340.53</v>
      </c>
      <c r="H87" s="23">
        <v>543.12</v>
      </c>
      <c r="I87" s="23">
        <v>561</v>
      </c>
      <c r="J87" s="23">
        <v>597.86</v>
      </c>
      <c r="K87" s="24">
        <v>578.01</v>
      </c>
      <c r="L87" s="23">
        <v>568.65</v>
      </c>
      <c r="M87" s="23">
        <v>549.30999999999995</v>
      </c>
      <c r="N87" s="23">
        <v>553.30999999999995</v>
      </c>
      <c r="O87" s="23">
        <v>587.86</v>
      </c>
      <c r="P87" s="23">
        <v>566.66</v>
      </c>
      <c r="Q87" s="23">
        <v>596.46</v>
      </c>
      <c r="R87" s="23">
        <v>589.13</v>
      </c>
      <c r="S87" s="23">
        <v>629.80999999999995</v>
      </c>
      <c r="T87" s="23">
        <v>604.70000000000005</v>
      </c>
      <c r="U87" s="23">
        <v>548.87</v>
      </c>
      <c r="V87" s="23">
        <v>536.99</v>
      </c>
      <c r="W87" s="23">
        <v>540.70000000000005</v>
      </c>
      <c r="X87" s="7">
        <v>1.5969371048588199E-2</v>
      </c>
      <c r="Y87" s="8">
        <v>-1.9664476674517432E-2</v>
      </c>
      <c r="Z87" s="8">
        <v>-2.1976725071759629E-2</v>
      </c>
      <c r="AA87" s="8">
        <v>-3.8403358085132837E-2</v>
      </c>
    </row>
    <row r="88" spans="2:27" x14ac:dyDescent="0.3">
      <c r="B88" s="12" t="s">
        <v>139</v>
      </c>
      <c r="C88" s="3" t="s">
        <v>434</v>
      </c>
      <c r="D88" s="3" t="s">
        <v>489</v>
      </c>
      <c r="E88" s="3" t="s">
        <v>436</v>
      </c>
      <c r="F88" s="5">
        <v>-7.4</v>
      </c>
      <c r="G88" s="23">
        <v>3822</v>
      </c>
      <c r="H88" s="23">
        <v>5151</v>
      </c>
      <c r="I88" s="23">
        <v>4198</v>
      </c>
      <c r="J88" s="23">
        <v>3361</v>
      </c>
      <c r="K88" s="23">
        <v>2857</v>
      </c>
      <c r="L88" s="23">
        <v>3120</v>
      </c>
      <c r="M88" s="23">
        <v>1976</v>
      </c>
      <c r="N88" s="23">
        <v>980</v>
      </c>
      <c r="O88" s="23">
        <v>870</v>
      </c>
      <c r="P88" s="23">
        <v>1181</v>
      </c>
      <c r="Q88" s="23">
        <v>1511</v>
      </c>
      <c r="R88" s="23">
        <v>1377</v>
      </c>
      <c r="S88" s="23">
        <v>1084</v>
      </c>
      <c r="T88" s="23">
        <v>1153</v>
      </c>
      <c r="U88" s="23">
        <v>1567</v>
      </c>
      <c r="V88" s="23">
        <v>915</v>
      </c>
      <c r="W88" s="23">
        <v>736</v>
      </c>
      <c r="X88" s="7">
        <v>-5.4337279254802473E-3</v>
      </c>
      <c r="Y88" s="8">
        <v>1.0926829268292689E-2</v>
      </c>
      <c r="Z88" s="8">
        <v>-8.9171974522292974E-2</v>
      </c>
      <c r="AA88" s="8">
        <v>-7.3744437380801053E-2</v>
      </c>
    </row>
    <row r="89" spans="2:27" x14ac:dyDescent="0.3">
      <c r="B89" s="12" t="s">
        <v>338</v>
      </c>
      <c r="C89" s="3" t="s">
        <v>434</v>
      </c>
      <c r="D89" s="3" t="s">
        <v>490</v>
      </c>
      <c r="E89" s="3" t="s">
        <v>436</v>
      </c>
      <c r="F89" s="5">
        <v>-19.5</v>
      </c>
      <c r="G89" s="23">
        <v>155.80000000000001</v>
      </c>
      <c r="H89" s="23">
        <v>147.44</v>
      </c>
      <c r="I89" s="23">
        <v>157.44999999999999</v>
      </c>
      <c r="J89" s="23">
        <v>155.74</v>
      </c>
      <c r="K89" s="23">
        <v>164.33</v>
      </c>
      <c r="L89" s="23">
        <v>157.65</v>
      </c>
      <c r="M89" s="23">
        <v>155.96</v>
      </c>
      <c r="N89" s="23">
        <v>127.2</v>
      </c>
      <c r="O89" s="23">
        <v>167.09</v>
      </c>
      <c r="P89" s="23">
        <v>122.06</v>
      </c>
      <c r="Q89" s="23">
        <v>138.74</v>
      </c>
      <c r="R89" s="24">
        <v>195.76</v>
      </c>
      <c r="S89" s="23">
        <v>222.17</v>
      </c>
      <c r="T89" s="23">
        <v>133.13999999999999</v>
      </c>
      <c r="U89" s="23">
        <v>138.03</v>
      </c>
      <c r="V89" s="23">
        <v>142.38</v>
      </c>
      <c r="W89" s="23">
        <v>98.24</v>
      </c>
      <c r="X89" s="7">
        <v>1.6324606249907839E-2</v>
      </c>
      <c r="Y89" s="8">
        <v>-1.0292689291254711E-3</v>
      </c>
      <c r="Z89" s="8">
        <v>-7.7463358003192373E-2</v>
      </c>
      <c r="AA89" s="8">
        <v>-0.19494431510728011</v>
      </c>
    </row>
    <row r="90" spans="2:27" x14ac:dyDescent="0.3">
      <c r="B90" s="12" t="s">
        <v>176</v>
      </c>
      <c r="C90" s="3" t="s">
        <v>434</v>
      </c>
      <c r="D90" s="3" t="s">
        <v>491</v>
      </c>
      <c r="E90" s="3" t="s">
        <v>436</v>
      </c>
      <c r="F90" s="5">
        <v>-19.600000000000001</v>
      </c>
      <c r="G90" s="23">
        <v>805.68</v>
      </c>
      <c r="H90" s="23">
        <v>210.23</v>
      </c>
      <c r="I90" s="23">
        <v>276.70999999999998</v>
      </c>
      <c r="J90" s="23">
        <v>639.54999999999995</v>
      </c>
      <c r="K90" s="23">
        <v>482.01</v>
      </c>
      <c r="L90" s="23">
        <v>196.29</v>
      </c>
      <c r="M90" s="23">
        <v>0</v>
      </c>
      <c r="N90" s="23">
        <v>228.47</v>
      </c>
      <c r="O90" s="23">
        <v>312.95999999999998</v>
      </c>
      <c r="P90" s="23">
        <v>156.47999999999999</v>
      </c>
      <c r="Q90" s="24">
        <v>283.47000000000003</v>
      </c>
      <c r="R90" s="24">
        <v>327.14999999999998</v>
      </c>
      <c r="S90" s="24">
        <v>983.59</v>
      </c>
      <c r="T90" s="23">
        <v>199.33</v>
      </c>
      <c r="U90" s="23">
        <v>260.88</v>
      </c>
      <c r="V90" s="23">
        <v>390.24</v>
      </c>
      <c r="W90" s="23">
        <v>624.45000000000005</v>
      </c>
      <c r="X90" s="7">
        <v>2.447606372344624E-2</v>
      </c>
      <c r="Y90" s="8">
        <v>-1.259520278332227E-2</v>
      </c>
      <c r="Z90" s="8">
        <v>3.5624947062311119E-2</v>
      </c>
      <c r="AA90" s="8">
        <v>-0.1958190661054284</v>
      </c>
    </row>
    <row r="91" spans="2:27" x14ac:dyDescent="0.3">
      <c r="B91" s="49" t="s">
        <v>145</v>
      </c>
      <c r="C91" s="50" t="s">
        <v>434</v>
      </c>
      <c r="D91" s="50" t="s">
        <v>435</v>
      </c>
      <c r="E91" s="50" t="s">
        <v>436</v>
      </c>
      <c r="F91" s="51">
        <v>-100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0.68</v>
      </c>
      <c r="M91" s="53">
        <v>0.78</v>
      </c>
      <c r="N91" s="53">
        <v>0.47</v>
      </c>
      <c r="O91" s="53">
        <v>0.52</v>
      </c>
      <c r="P91" s="52">
        <v>0.43</v>
      </c>
      <c r="Q91" s="52">
        <v>0.36</v>
      </c>
      <c r="R91" s="52">
        <v>0.3</v>
      </c>
      <c r="S91" s="53">
        <v>7.46</v>
      </c>
      <c r="T91" s="52">
        <v>0</v>
      </c>
      <c r="U91" s="52">
        <v>0</v>
      </c>
      <c r="V91" s="52">
        <v>0</v>
      </c>
      <c r="W91" s="52">
        <v>0</v>
      </c>
      <c r="X91" s="7">
        <v>-5.0292397660818833E-2</v>
      </c>
      <c r="Y91" s="54">
        <v>-4.4334975369458067E-2</v>
      </c>
      <c r="Z91" s="54">
        <v>-3.8659793814432963E-2</v>
      </c>
      <c r="AA91" s="54">
        <v>-1</v>
      </c>
    </row>
    <row r="92" spans="2:27" x14ac:dyDescent="0.3">
      <c r="B92" s="21" t="s">
        <v>293</v>
      </c>
      <c r="C92" s="15" t="s">
        <v>496</v>
      </c>
      <c r="D92" s="15" t="str">
        <f>VLOOKUP(B92,기업리스트!B:G,2,FALSE)</f>
        <v>Bure Equity AB (publ)</v>
      </c>
      <c r="E92" s="15" t="s">
        <v>436</v>
      </c>
      <c r="F92" s="16">
        <v>-13.3</v>
      </c>
      <c r="G92" s="26">
        <v>1301</v>
      </c>
      <c r="H92" s="26">
        <v>-6603</v>
      </c>
      <c r="I92" s="26">
        <v>-2555</v>
      </c>
      <c r="J92" s="26">
        <v>-2434</v>
      </c>
      <c r="K92" s="26">
        <v>2419</v>
      </c>
      <c r="L92" s="26">
        <v>2434</v>
      </c>
      <c r="M92" s="26">
        <v>750</v>
      </c>
      <c r="N92" s="27">
        <v>-1363</v>
      </c>
      <c r="O92" s="27">
        <v>2990</v>
      </c>
      <c r="P92" s="27">
        <v>3002</v>
      </c>
      <c r="Q92" s="27">
        <v>1780</v>
      </c>
      <c r="R92" s="27">
        <v>2287</v>
      </c>
      <c r="S92" s="26">
        <v>-1260</v>
      </c>
      <c r="T92" s="26">
        <v>-2619</v>
      </c>
      <c r="U92" s="26">
        <v>-1225</v>
      </c>
      <c r="V92" s="27">
        <v>-205</v>
      </c>
      <c r="W92" s="26">
        <v>-552</v>
      </c>
      <c r="X92" s="17">
        <v>-0.96763642623515234</v>
      </c>
      <c r="Y92" s="18">
        <v>-15.98404255319149</v>
      </c>
      <c r="Z92" s="19">
        <v>0.88462903798367054</v>
      </c>
      <c r="AA92" s="18">
        <v>-0.13335844791862869</v>
      </c>
    </row>
    <row r="93" spans="2:27" x14ac:dyDescent="0.3">
      <c r="B93" s="12">
        <v>5101</v>
      </c>
      <c r="C93" s="3" t="s">
        <v>492</v>
      </c>
      <c r="D93" s="3" t="str">
        <f>VLOOKUP(B93,기업리스트!B:G,2,FALSE)</f>
        <v>The Yokohama Rubber Company, Limited</v>
      </c>
      <c r="E93" s="3" t="s">
        <v>436</v>
      </c>
      <c r="F93" s="5">
        <v>3.9</v>
      </c>
      <c r="G93" s="23">
        <v>210354</v>
      </c>
      <c r="H93" s="23">
        <v>185590</v>
      </c>
      <c r="I93" s="23">
        <v>205892</v>
      </c>
      <c r="J93" s="23">
        <v>224281</v>
      </c>
      <c r="K93" s="23">
        <v>244713</v>
      </c>
      <c r="L93" s="23">
        <v>204314</v>
      </c>
      <c r="M93" s="23">
        <v>238850</v>
      </c>
      <c r="N93" s="23">
        <v>249341</v>
      </c>
      <c r="O93" s="23">
        <v>292828</v>
      </c>
      <c r="P93" s="23">
        <v>252419</v>
      </c>
      <c r="Q93" s="23">
        <v>272864</v>
      </c>
      <c r="R93" s="23">
        <v>257623</v>
      </c>
      <c r="S93" s="23">
        <v>311840</v>
      </c>
      <c r="T93" s="23">
        <v>275118</v>
      </c>
      <c r="U93" s="23">
        <v>304083</v>
      </c>
      <c r="V93" s="23">
        <v>297988</v>
      </c>
      <c r="W93" s="23">
        <v>357770</v>
      </c>
      <c r="X93" s="7">
        <v>2.073449000955474E-2</v>
      </c>
      <c r="Y93" s="8">
        <v>2.7937840341135441E-2</v>
      </c>
      <c r="Z93" s="8">
        <v>3.514082447086353E-2</v>
      </c>
      <c r="AA93" s="8">
        <v>3.8628157933910723E-2</v>
      </c>
    </row>
    <row r="94" spans="2:27" x14ac:dyDescent="0.3">
      <c r="B94" s="12">
        <v>3040</v>
      </c>
      <c r="C94" s="3" t="s">
        <v>492</v>
      </c>
      <c r="D94" s="3" t="str">
        <f>VLOOKUP(B94,기업리스트!B:G,2,FALSE)</f>
        <v>Qassim Cement Company</v>
      </c>
      <c r="E94" s="3" t="s">
        <v>436</v>
      </c>
      <c r="F94" s="5">
        <v>2.6</v>
      </c>
      <c r="G94" s="23">
        <v>4672</v>
      </c>
      <c r="H94" s="23">
        <v>4837</v>
      </c>
      <c r="I94" s="23">
        <v>4037</v>
      </c>
      <c r="J94" s="23">
        <v>5613</v>
      </c>
      <c r="K94" s="23">
        <v>5270</v>
      </c>
      <c r="L94" s="23">
        <v>4670</v>
      </c>
      <c r="M94" s="23">
        <v>4130</v>
      </c>
      <c r="N94" s="23">
        <v>4877</v>
      </c>
      <c r="O94" s="23">
        <v>5381</v>
      </c>
      <c r="P94" s="23">
        <v>4575</v>
      </c>
      <c r="Q94" s="23">
        <v>3967</v>
      </c>
      <c r="R94" s="23">
        <v>4702</v>
      </c>
      <c r="S94" s="23">
        <v>5362</v>
      </c>
      <c r="T94" s="23">
        <v>4585</v>
      </c>
      <c r="U94" s="23">
        <v>4125</v>
      </c>
      <c r="V94" s="23">
        <v>5194</v>
      </c>
      <c r="W94" s="23">
        <v>5858</v>
      </c>
      <c r="X94" s="7">
        <v>5.374610340749264E-4</v>
      </c>
      <c r="Y94" s="8">
        <v>8.4873227331327961E-3</v>
      </c>
      <c r="Z94" s="8">
        <v>2.6206455736657031E-2</v>
      </c>
      <c r="AA94" s="8">
        <v>2.574483546143469E-2</v>
      </c>
    </row>
    <row r="95" spans="2:27" hidden="1" x14ac:dyDescent="0.3">
      <c r="B95" s="12" t="s">
        <v>230</v>
      </c>
      <c r="C95" s="3" t="s">
        <v>434</v>
      </c>
      <c r="D95" s="3" t="str">
        <f>VLOOKUP(B95,기업리스트!B:G,2,FALSE)</f>
        <v>Travere Therapeutics, Inc.</v>
      </c>
      <c r="E95" s="3" t="s">
        <v>497</v>
      </c>
      <c r="F95" s="5">
        <v>30.5</v>
      </c>
      <c r="G95" s="4">
        <v>68.22</v>
      </c>
      <c r="H95" s="4">
        <v>57.25</v>
      </c>
      <c r="I95" s="4">
        <v>48.49</v>
      </c>
      <c r="J95" s="4">
        <v>0</v>
      </c>
      <c r="K95" s="4">
        <v>28.08</v>
      </c>
      <c r="L95" s="4">
        <v>29.34</v>
      </c>
      <c r="M95" s="4">
        <v>30.89</v>
      </c>
      <c r="N95" s="6">
        <v>32.200000000000003</v>
      </c>
      <c r="O95" s="4">
        <v>37.1</v>
      </c>
      <c r="P95" s="6">
        <v>45.06</v>
      </c>
      <c r="Q95" s="4">
        <v>41.37</v>
      </c>
      <c r="R95" s="6">
        <v>54.12</v>
      </c>
      <c r="S95" s="6">
        <v>62.9</v>
      </c>
      <c r="T95" s="6">
        <v>74.790000000000006</v>
      </c>
      <c r="U95" s="6">
        <v>81.73</v>
      </c>
      <c r="V95" s="6">
        <v>114.45</v>
      </c>
      <c r="W95" s="6">
        <v>164.86</v>
      </c>
      <c r="X95" s="10">
        <v>0.1461292700909316</v>
      </c>
      <c r="Y95" s="9">
        <v>0.17308517025473891</v>
      </c>
      <c r="Z95" s="9">
        <v>0.22055275279666581</v>
      </c>
      <c r="AA95" s="9">
        <v>0.30538832479707678</v>
      </c>
    </row>
    <row r="96" spans="2:27" hidden="1" x14ac:dyDescent="0.3">
      <c r="B96" s="12" t="s">
        <v>224</v>
      </c>
      <c r="C96" s="3" t="s">
        <v>434</v>
      </c>
      <c r="D96" s="3" t="str">
        <f>VLOOKUP(B96,기업리스트!B:G,2,FALSE)</f>
        <v>Telix Pharmaceuticals Limited</v>
      </c>
      <c r="E96" s="3" t="s">
        <v>498</v>
      </c>
      <c r="F96" s="5">
        <v>29</v>
      </c>
      <c r="G96" s="3"/>
      <c r="H96" s="3"/>
      <c r="I96" s="3"/>
      <c r="J96" s="3"/>
      <c r="K96" s="3"/>
      <c r="L96" s="3"/>
      <c r="M96" s="3"/>
      <c r="N96" s="4">
        <v>2.78</v>
      </c>
      <c r="O96" s="4">
        <v>2.1800000000000002</v>
      </c>
      <c r="P96" s="4">
        <v>3.41</v>
      </c>
      <c r="Q96" s="4">
        <v>16.57</v>
      </c>
      <c r="R96" s="6">
        <v>92.47</v>
      </c>
      <c r="S96" s="6">
        <v>146.97999999999999</v>
      </c>
      <c r="T96" s="6">
        <v>192.03</v>
      </c>
      <c r="U96" s="6">
        <v>239.61</v>
      </c>
      <c r="V96" s="6">
        <v>259.45</v>
      </c>
      <c r="W96" s="6">
        <v>390.36</v>
      </c>
      <c r="X96" s="10">
        <v>0.72705546775623486</v>
      </c>
      <c r="Y96" s="9">
        <v>0.49780158464457092</v>
      </c>
      <c r="Z96" s="9">
        <v>0.24881908536857919</v>
      </c>
      <c r="AA96" s="9">
        <v>0.29040533606977958</v>
      </c>
    </row>
    <row r="97" spans="2:27" hidden="1" x14ac:dyDescent="0.3">
      <c r="B97" s="12" t="s">
        <v>33</v>
      </c>
      <c r="C97" s="3" t="s">
        <v>434</v>
      </c>
      <c r="D97" s="3" t="str">
        <f>VLOOKUP(B97,기업리스트!B:G,2,FALSE)</f>
        <v>Gold Fields Limited</v>
      </c>
      <c r="E97" s="3" t="s">
        <v>498</v>
      </c>
      <c r="F97" s="5">
        <v>12.5</v>
      </c>
      <c r="G97" s="3"/>
      <c r="H97" s="3"/>
      <c r="I97" s="3"/>
      <c r="J97" s="3"/>
      <c r="K97" s="3"/>
      <c r="L97" s="3"/>
      <c r="M97" s="3"/>
      <c r="N97" s="4">
        <v>2138</v>
      </c>
      <c r="O97" s="4">
        <v>1984</v>
      </c>
      <c r="P97" s="4">
        <v>2212</v>
      </c>
      <c r="Q97" s="4">
        <v>2235</v>
      </c>
      <c r="R97" s="4">
        <v>0</v>
      </c>
      <c r="S97" s="4">
        <v>2266</v>
      </c>
      <c r="T97" s="4">
        <v>2234</v>
      </c>
      <c r="U97" s="4">
        <v>2124</v>
      </c>
      <c r="V97" s="6">
        <v>3078</v>
      </c>
      <c r="W97" s="6">
        <v>3478</v>
      </c>
      <c r="X97" s="7">
        <v>3.277223298078447E-3</v>
      </c>
      <c r="Y97" s="8">
        <v>-1.648106904231628E-2</v>
      </c>
      <c r="Z97" s="9">
        <v>0.46467391304347833</v>
      </c>
      <c r="AA97" s="9">
        <v>0.1249226963512677</v>
      </c>
    </row>
    <row r="98" spans="2:27" hidden="1" x14ac:dyDescent="0.3">
      <c r="B98" s="12" t="s">
        <v>29</v>
      </c>
      <c r="C98" s="3" t="s">
        <v>434</v>
      </c>
      <c r="D98" s="3" t="str">
        <f>VLOOKUP(B98,기업리스트!B:G,2,FALSE)</f>
        <v>Nu Holdings Ltd.</v>
      </c>
      <c r="E98" s="3" t="s">
        <v>497</v>
      </c>
      <c r="F98" s="5">
        <v>8.8000000000000007</v>
      </c>
      <c r="G98" s="4">
        <v>252.51</v>
      </c>
      <c r="H98" s="4">
        <v>259.32</v>
      </c>
      <c r="I98" s="4">
        <v>328.54</v>
      </c>
      <c r="J98" s="4">
        <v>411.57</v>
      </c>
      <c r="K98" s="6">
        <v>471.5</v>
      </c>
      <c r="L98" s="6">
        <v>627.79999999999995</v>
      </c>
      <c r="M98" s="6">
        <v>703.66</v>
      </c>
      <c r="N98" s="6">
        <v>824.78</v>
      </c>
      <c r="O98" s="6">
        <v>971.6</v>
      </c>
      <c r="P98" s="6">
        <v>1207</v>
      </c>
      <c r="Q98" s="6">
        <v>1244</v>
      </c>
      <c r="R98" s="6">
        <v>1424</v>
      </c>
      <c r="S98" s="4">
        <v>1408</v>
      </c>
      <c r="T98" s="4">
        <v>1437</v>
      </c>
      <c r="U98" s="4">
        <v>1378</v>
      </c>
      <c r="V98" s="4">
        <v>1626</v>
      </c>
      <c r="W98" s="4">
        <v>1920</v>
      </c>
      <c r="X98" s="7">
        <v>4.3535869770963583E-2</v>
      </c>
      <c r="Y98" s="8">
        <v>2.430618538001084E-2</v>
      </c>
      <c r="Z98" s="8">
        <v>3.5771205950061891E-2</v>
      </c>
      <c r="AA98" s="8">
        <v>8.7536330996751621E-2</v>
      </c>
    </row>
    <row r="99" spans="2:27" hidden="1" x14ac:dyDescent="0.3">
      <c r="B99" s="12" t="s">
        <v>79</v>
      </c>
      <c r="C99" s="3" t="s">
        <v>434</v>
      </c>
      <c r="D99" s="3" t="str">
        <f>VLOOKUP(B99,기업리스트!B:G,2,FALSE)</f>
        <v>Klarna Group plc</v>
      </c>
      <c r="E99" s="3" t="s">
        <v>497</v>
      </c>
      <c r="F99" s="5">
        <v>7.7</v>
      </c>
      <c r="G99" s="4">
        <v>392.97</v>
      </c>
      <c r="H99" s="4">
        <v>400.65</v>
      </c>
      <c r="I99" s="4">
        <v>445.25</v>
      </c>
      <c r="J99" s="4">
        <v>430.78</v>
      </c>
      <c r="K99" s="4">
        <v>408.62</v>
      </c>
      <c r="L99" s="4">
        <v>372.39</v>
      </c>
      <c r="M99" s="4">
        <v>414.27</v>
      </c>
      <c r="N99" s="6">
        <v>730.51</v>
      </c>
      <c r="O99" s="4">
        <v>478.01</v>
      </c>
      <c r="P99" s="6">
        <v>575.08000000000004</v>
      </c>
      <c r="Q99" s="6">
        <v>681.25</v>
      </c>
      <c r="R99" s="4">
        <v>643</v>
      </c>
      <c r="S99" s="4">
        <v>680</v>
      </c>
      <c r="T99" s="4">
        <v>706</v>
      </c>
      <c r="U99" s="4">
        <v>701</v>
      </c>
      <c r="V99" s="4">
        <v>823</v>
      </c>
      <c r="W99" s="4">
        <v>903</v>
      </c>
      <c r="X99" s="7">
        <v>5.0757367223271288E-2</v>
      </c>
      <c r="Y99" s="8">
        <v>7.2871506318605839E-3</v>
      </c>
      <c r="Z99" s="8">
        <v>6.5934065934065922E-2</v>
      </c>
      <c r="AA99" s="8">
        <v>7.6632302405498232E-2</v>
      </c>
    </row>
    <row r="100" spans="2:27" hidden="1" x14ac:dyDescent="0.3">
      <c r="B100" s="12" t="s">
        <v>97</v>
      </c>
      <c r="C100" s="3" t="s">
        <v>434</v>
      </c>
      <c r="D100" s="3" t="str">
        <f>VLOOKUP(B100,기업리스트!B:G,2,FALSE)</f>
        <v>DT Midstream, Inc.</v>
      </c>
      <c r="E100" s="3" t="s">
        <v>497</v>
      </c>
      <c r="F100" s="5">
        <v>6</v>
      </c>
      <c r="G100" s="4">
        <v>212</v>
      </c>
      <c r="H100" s="4">
        <v>223</v>
      </c>
      <c r="I100" s="4">
        <v>215</v>
      </c>
      <c r="J100" s="4">
        <v>227</v>
      </c>
      <c r="K100" s="4">
        <v>235</v>
      </c>
      <c r="L100" s="4">
        <v>243</v>
      </c>
      <c r="M100" s="4">
        <v>220</v>
      </c>
      <c r="N100" s="4">
        <v>224</v>
      </c>
      <c r="O100" s="4">
        <v>234</v>
      </c>
      <c r="P100" s="4">
        <v>244</v>
      </c>
      <c r="Q100" s="4">
        <v>240</v>
      </c>
      <c r="R100" s="4">
        <v>244</v>
      </c>
      <c r="S100" s="4">
        <v>248</v>
      </c>
      <c r="T100" s="4">
        <v>249</v>
      </c>
      <c r="U100" s="4">
        <v>303</v>
      </c>
      <c r="V100" s="4">
        <v>309</v>
      </c>
      <c r="W100" s="4">
        <v>314</v>
      </c>
      <c r="X100" s="7">
        <v>5.1229508196721776E-3</v>
      </c>
      <c r="Y100" s="8">
        <v>6.4220183486238591E-2</v>
      </c>
      <c r="Z100" s="8">
        <v>6.2260536398467403E-2</v>
      </c>
      <c r="AA100" s="8">
        <v>5.9513074842200142E-2</v>
      </c>
    </row>
    <row r="101" spans="2:27" hidden="1" x14ac:dyDescent="0.3">
      <c r="B101" s="12" t="s">
        <v>360</v>
      </c>
      <c r="C101" s="3" t="s">
        <v>434</v>
      </c>
      <c r="D101" s="3" t="str">
        <f>VLOOKUP(B101,기업리스트!B:G,2,FALSE)</f>
        <v>AXT, Inc.</v>
      </c>
      <c r="E101" s="3" t="s">
        <v>497</v>
      </c>
      <c r="F101" s="5">
        <v>5</v>
      </c>
      <c r="G101" s="4">
        <v>34.58</v>
      </c>
      <c r="H101" s="4">
        <v>37.729999999999997</v>
      </c>
      <c r="I101" s="4">
        <v>39.65</v>
      </c>
      <c r="J101" s="4">
        <v>39.49</v>
      </c>
      <c r="K101" s="4">
        <v>35.18</v>
      </c>
      <c r="L101" s="4">
        <v>26.8</v>
      </c>
      <c r="M101" s="4">
        <v>19.41</v>
      </c>
      <c r="N101" s="4">
        <v>18.600000000000001</v>
      </c>
      <c r="O101" s="4">
        <v>17.37</v>
      </c>
      <c r="P101" s="4">
        <v>20.43</v>
      </c>
      <c r="Q101" s="4">
        <v>22.69</v>
      </c>
      <c r="R101" s="6">
        <v>27.92</v>
      </c>
      <c r="S101" s="4">
        <v>23.65</v>
      </c>
      <c r="T101" s="4">
        <v>25.11</v>
      </c>
      <c r="U101" s="4">
        <v>19.36</v>
      </c>
      <c r="V101" s="4">
        <v>17.97</v>
      </c>
      <c r="W101" s="4">
        <v>27.96</v>
      </c>
      <c r="X101" s="7">
        <v>4.9424437638610368E-2</v>
      </c>
      <c r="Y101" s="8">
        <v>-3.3511120056355148E-2</v>
      </c>
      <c r="Z101" s="8">
        <v>-0.1036026655560183</v>
      </c>
      <c r="AA101" s="8">
        <v>5.0063886630270733E-2</v>
      </c>
    </row>
    <row r="102" spans="2:27" hidden="1" x14ac:dyDescent="0.3">
      <c r="B102" s="12" t="s">
        <v>188</v>
      </c>
      <c r="C102" s="3" t="s">
        <v>434</v>
      </c>
      <c r="D102" s="3" t="str">
        <f>VLOOKUP(B102,기업리스트!B:G,2,FALSE)</f>
        <v>F&amp;G Annuities &amp; Life, Inc.</v>
      </c>
      <c r="E102" s="3" t="s">
        <v>497</v>
      </c>
      <c r="F102" s="5">
        <v>4.7</v>
      </c>
      <c r="G102" s="4">
        <v>926</v>
      </c>
      <c r="H102" s="4">
        <v>1693</v>
      </c>
      <c r="I102" s="4">
        <v>750</v>
      </c>
      <c r="J102" s="4">
        <v>76</v>
      </c>
      <c r="K102" s="4">
        <v>909</v>
      </c>
      <c r="L102" s="4">
        <v>647</v>
      </c>
      <c r="M102" s="4">
        <v>869</v>
      </c>
      <c r="N102" s="6">
        <v>1168</v>
      </c>
      <c r="O102" s="4">
        <v>851</v>
      </c>
      <c r="P102" s="6">
        <v>1649</v>
      </c>
      <c r="Q102" s="6">
        <v>1569</v>
      </c>
      <c r="R102" s="4">
        <v>1172</v>
      </c>
      <c r="S102" s="6">
        <v>1444</v>
      </c>
      <c r="T102" s="4">
        <v>1593</v>
      </c>
      <c r="U102" s="4">
        <v>908</v>
      </c>
      <c r="V102" s="4">
        <v>1364</v>
      </c>
      <c r="W102" s="4">
        <v>1694</v>
      </c>
      <c r="X102" s="7">
        <v>-9.5989029825163108E-3</v>
      </c>
      <c r="Y102" s="8">
        <v>-0.11439944617514709</v>
      </c>
      <c r="Z102" s="8">
        <v>3.752198553840147E-2</v>
      </c>
      <c r="AA102" s="8">
        <v>4.7089847428894327E-2</v>
      </c>
    </row>
    <row r="103" spans="2:27" hidden="1" x14ac:dyDescent="0.3">
      <c r="B103" s="12" t="s">
        <v>329</v>
      </c>
      <c r="C103" s="3" t="s">
        <v>434</v>
      </c>
      <c r="D103" s="3" t="str">
        <f>VLOOKUP(B103,기업리스트!B:G,2,FALSE)</f>
        <v>Dynavax Technologies Corporation</v>
      </c>
      <c r="E103" s="3" t="s">
        <v>497</v>
      </c>
      <c r="F103" s="5">
        <v>4.5</v>
      </c>
      <c r="G103" s="4">
        <v>108.27</v>
      </c>
      <c r="H103" s="4">
        <v>195.07</v>
      </c>
      <c r="I103" s="4">
        <v>113.99</v>
      </c>
      <c r="J103" s="4">
        <v>256.45999999999998</v>
      </c>
      <c r="K103" s="4">
        <v>167.74</v>
      </c>
      <c r="L103" s="4">
        <v>184.49</v>
      </c>
      <c r="M103" s="4">
        <v>46.93</v>
      </c>
      <c r="N103" s="4">
        <v>60.25</v>
      </c>
      <c r="O103" s="4">
        <v>69.510000000000005</v>
      </c>
      <c r="P103" s="4">
        <v>55.6</v>
      </c>
      <c r="Q103" s="4">
        <v>50.79</v>
      </c>
      <c r="R103" s="4">
        <v>73.8</v>
      </c>
      <c r="S103" s="4">
        <v>80.63</v>
      </c>
      <c r="T103" s="4">
        <v>72.03</v>
      </c>
      <c r="U103" s="4">
        <v>68.16</v>
      </c>
      <c r="V103" s="4">
        <v>95.44</v>
      </c>
      <c r="W103" s="4">
        <v>94.88</v>
      </c>
      <c r="X103" s="7">
        <v>6.2993635457403663E-2</v>
      </c>
      <c r="Y103" s="8">
        <v>6.2651036970243545E-2</v>
      </c>
      <c r="Z103" s="8">
        <v>7.3450546466634847E-2</v>
      </c>
      <c r="AA103" s="8">
        <v>4.5057863782963281E-2</v>
      </c>
    </row>
    <row r="104" spans="2:27" hidden="1" x14ac:dyDescent="0.3">
      <c r="B104" s="12" t="s">
        <v>396</v>
      </c>
      <c r="C104" s="3" t="s">
        <v>434</v>
      </c>
      <c r="D104" s="3" t="str">
        <f>VLOOKUP(B104,기업리스트!B:G,2,FALSE)</f>
        <v>CTO Realty Growth, Inc.</v>
      </c>
      <c r="E104" s="3" t="s">
        <v>497</v>
      </c>
      <c r="F104" s="5">
        <v>4.2</v>
      </c>
      <c r="G104" s="4">
        <v>16.579999999999998</v>
      </c>
      <c r="H104" s="4">
        <v>24.7</v>
      </c>
      <c r="I104" s="4">
        <v>17.21</v>
      </c>
      <c r="J104" s="4">
        <v>19.46</v>
      </c>
      <c r="K104" s="4">
        <v>23.12</v>
      </c>
      <c r="L104" s="4">
        <v>22.53</v>
      </c>
      <c r="M104" s="4">
        <v>24.72</v>
      </c>
      <c r="N104" s="4">
        <v>26.05</v>
      </c>
      <c r="O104" s="4">
        <v>28.47</v>
      </c>
      <c r="P104" s="4">
        <v>29.89</v>
      </c>
      <c r="Q104" s="4">
        <v>28.13</v>
      </c>
      <c r="R104" s="4">
        <v>28.85</v>
      </c>
      <c r="S104" s="4">
        <v>31.81</v>
      </c>
      <c r="T104" s="4">
        <v>35.74</v>
      </c>
      <c r="U104" s="4">
        <v>35.81</v>
      </c>
      <c r="V104" s="4">
        <v>37.64</v>
      </c>
      <c r="W104" s="4">
        <v>37.76</v>
      </c>
      <c r="X104" s="7">
        <v>4.9292214357937292E-2</v>
      </c>
      <c r="Y104" s="8">
        <v>6.1671886292459677E-2</v>
      </c>
      <c r="Z104" s="8">
        <v>6.6485137281597328E-2</v>
      </c>
      <c r="AA104" s="8">
        <v>4.2198581560283673E-2</v>
      </c>
    </row>
    <row r="105" spans="2:27" x14ac:dyDescent="0.3">
      <c r="B105" s="21" t="s">
        <v>280</v>
      </c>
      <c r="C105" s="15" t="s">
        <v>495</v>
      </c>
      <c r="D105" s="15" t="str">
        <f>VLOOKUP(B105,기업리스트!B:G,2,FALSE)</f>
        <v>Imerys S.A.</v>
      </c>
      <c r="E105" s="15" t="s">
        <v>436</v>
      </c>
      <c r="F105" s="16">
        <v>-0.9</v>
      </c>
      <c r="G105" s="26">
        <v>0</v>
      </c>
      <c r="H105" s="26">
        <v>1211</v>
      </c>
      <c r="I105" s="26">
        <v>0</v>
      </c>
      <c r="J105" s="26">
        <v>1116</v>
      </c>
      <c r="K105" s="27">
        <v>1024</v>
      </c>
      <c r="L105" s="26">
        <v>997</v>
      </c>
      <c r="M105" s="27">
        <v>985.4</v>
      </c>
      <c r="N105" s="26">
        <v>918</v>
      </c>
      <c r="O105" s="26">
        <v>894.4</v>
      </c>
      <c r="P105" s="26">
        <v>926</v>
      </c>
      <c r="Q105" s="26">
        <v>992.6</v>
      </c>
      <c r="R105" s="26">
        <v>855</v>
      </c>
      <c r="S105" s="26">
        <v>831.3</v>
      </c>
      <c r="T105" s="26">
        <v>871</v>
      </c>
      <c r="U105" s="26">
        <v>885.6</v>
      </c>
      <c r="V105" s="26">
        <v>827</v>
      </c>
      <c r="W105" s="26">
        <v>800.7</v>
      </c>
      <c r="X105" s="17">
        <v>-1.52570112901883E-2</v>
      </c>
      <c r="Y105" s="18">
        <v>-3.014169413222911E-2</v>
      </c>
      <c r="Z105" s="18">
        <v>-8.1326788463214061E-3</v>
      </c>
      <c r="AA105" s="18">
        <v>-8.9607309145216529E-3</v>
      </c>
    </row>
    <row r="106" spans="2:27" hidden="1" x14ac:dyDescent="0.3">
      <c r="B106" s="12" t="s">
        <v>317</v>
      </c>
      <c r="C106" s="3" t="s">
        <v>434</v>
      </c>
      <c r="D106" s="3" t="s">
        <v>435</v>
      </c>
      <c r="E106" s="3" t="s">
        <v>497</v>
      </c>
      <c r="F106" s="5">
        <v>3.1</v>
      </c>
      <c r="G106" s="4">
        <v>1.17</v>
      </c>
      <c r="H106" s="4">
        <v>1.03</v>
      </c>
      <c r="I106" s="4">
        <v>0.47</v>
      </c>
      <c r="J106" s="4">
        <v>2.5299999999999998</v>
      </c>
      <c r="K106" s="6">
        <v>4.99</v>
      </c>
      <c r="L106" s="6">
        <v>44.18</v>
      </c>
      <c r="M106" s="6">
        <v>11.37</v>
      </c>
      <c r="N106" s="6">
        <v>22.33</v>
      </c>
      <c r="O106" s="6">
        <v>56.39</v>
      </c>
      <c r="P106" s="4">
        <v>34.36</v>
      </c>
      <c r="Q106" s="6">
        <v>46.02</v>
      </c>
      <c r="R106" s="6">
        <v>73.22</v>
      </c>
      <c r="S106" s="6">
        <v>98.24</v>
      </c>
      <c r="T106" s="6">
        <v>116.13</v>
      </c>
      <c r="U106" s="4">
        <v>74.11</v>
      </c>
      <c r="V106" s="4">
        <v>97.66</v>
      </c>
      <c r="W106" s="4">
        <v>110.33</v>
      </c>
      <c r="X106" s="10">
        <v>0.3246902795425668</v>
      </c>
      <c r="Y106" s="8">
        <v>8.4200113905458451E-2</v>
      </c>
      <c r="Z106" s="8">
        <v>6.7569809234171885E-2</v>
      </c>
      <c r="AA106" s="8">
        <v>3.1309887605531772E-2</v>
      </c>
    </row>
    <row r="107" spans="2:27" hidden="1" x14ac:dyDescent="0.3">
      <c r="B107" s="12" t="s">
        <v>291</v>
      </c>
      <c r="C107" s="3" t="s">
        <v>434</v>
      </c>
      <c r="D107" s="3" t="s">
        <v>502</v>
      </c>
      <c r="E107" s="3" t="s">
        <v>497</v>
      </c>
      <c r="F107" s="5">
        <v>2.6</v>
      </c>
      <c r="G107" s="4">
        <v>61.14</v>
      </c>
      <c r="H107" s="4">
        <v>63.25</v>
      </c>
      <c r="I107" s="4">
        <v>86.78</v>
      </c>
      <c r="J107" s="4">
        <v>71.64</v>
      </c>
      <c r="K107" s="4">
        <v>70.61</v>
      </c>
      <c r="L107" s="4">
        <v>76.22</v>
      </c>
      <c r="M107" s="4">
        <v>82.84</v>
      </c>
      <c r="N107" s="4">
        <v>82.79</v>
      </c>
      <c r="O107" s="4">
        <v>95.97</v>
      </c>
      <c r="P107" s="4">
        <v>84.68</v>
      </c>
      <c r="Q107" s="4">
        <v>94.17</v>
      </c>
      <c r="R107" s="4">
        <v>83.06</v>
      </c>
      <c r="S107" s="4">
        <v>85.44</v>
      </c>
      <c r="T107" s="4">
        <v>97.91</v>
      </c>
      <c r="U107" s="4">
        <v>91.1</v>
      </c>
      <c r="V107" s="4">
        <v>93.98</v>
      </c>
      <c r="W107" s="4">
        <v>94.96</v>
      </c>
      <c r="X107" s="7">
        <v>3.8088383474881082E-2</v>
      </c>
      <c r="Y107" s="8">
        <v>-8.5140606800154783E-3</v>
      </c>
      <c r="Z107" s="8">
        <v>3.0544600151044769E-2</v>
      </c>
      <c r="AA107" s="8">
        <v>2.583937247238266E-2</v>
      </c>
    </row>
    <row r="108" spans="2:27" hidden="1" x14ac:dyDescent="0.3">
      <c r="B108" s="12" t="s">
        <v>242</v>
      </c>
      <c r="C108" s="3" t="s">
        <v>434</v>
      </c>
      <c r="D108" s="3" t="s">
        <v>503</v>
      </c>
      <c r="E108" s="3" t="s">
        <v>497</v>
      </c>
      <c r="F108" s="5">
        <v>2.5</v>
      </c>
      <c r="G108" s="4">
        <v>397.97</v>
      </c>
      <c r="H108" s="4">
        <v>416.19</v>
      </c>
      <c r="I108" s="4">
        <v>417.14</v>
      </c>
      <c r="J108" s="4">
        <v>415.01</v>
      </c>
      <c r="K108" s="4">
        <v>363.82</v>
      </c>
      <c r="L108" s="4">
        <v>387.68</v>
      </c>
      <c r="M108" s="4">
        <v>361.56</v>
      </c>
      <c r="N108" s="4">
        <v>349.62</v>
      </c>
      <c r="O108" s="4">
        <v>317.83999999999997</v>
      </c>
      <c r="P108" s="4">
        <v>-143.26</v>
      </c>
      <c r="Q108" s="4">
        <v>281.87</v>
      </c>
      <c r="R108" s="4">
        <v>275.58999999999997</v>
      </c>
      <c r="S108" s="4">
        <v>247.47</v>
      </c>
      <c r="T108" s="6">
        <v>235.27</v>
      </c>
      <c r="U108" s="4">
        <v>237.89</v>
      </c>
      <c r="V108" s="4">
        <v>265.68</v>
      </c>
      <c r="W108" s="4">
        <v>271.93</v>
      </c>
      <c r="X108" s="10">
        <v>0.57208276028836136</v>
      </c>
      <c r="Y108" s="8">
        <v>-4.2280330705633529E-2</v>
      </c>
      <c r="Z108" s="8">
        <v>-9.9476019353155198E-3</v>
      </c>
      <c r="AA108" s="8">
        <v>2.4799505226551499E-2</v>
      </c>
    </row>
    <row r="109" spans="2:27" hidden="1" x14ac:dyDescent="0.3">
      <c r="B109" s="12" t="s">
        <v>350</v>
      </c>
      <c r="C109" s="3" t="s">
        <v>434</v>
      </c>
      <c r="D109" s="3" t="s">
        <v>449</v>
      </c>
      <c r="E109" s="3" t="s">
        <v>497</v>
      </c>
      <c r="F109" s="5">
        <v>2.1</v>
      </c>
      <c r="G109" s="4">
        <v>1181</v>
      </c>
      <c r="H109" s="4">
        <v>1171</v>
      </c>
      <c r="I109" s="4">
        <v>1160</v>
      </c>
      <c r="J109" s="4">
        <v>1071</v>
      </c>
      <c r="K109" s="4">
        <v>1024</v>
      </c>
      <c r="L109" s="4">
        <v>990.46</v>
      </c>
      <c r="M109" s="4">
        <v>1016</v>
      </c>
      <c r="N109" s="4">
        <v>979.16</v>
      </c>
      <c r="O109" s="4">
        <v>979.1</v>
      </c>
      <c r="P109" s="4">
        <v>1018</v>
      </c>
      <c r="Q109" s="4">
        <v>1096</v>
      </c>
      <c r="R109" s="4">
        <v>1077</v>
      </c>
      <c r="S109" s="4">
        <v>1069</v>
      </c>
      <c r="T109" s="4">
        <v>1079</v>
      </c>
      <c r="U109" s="4">
        <v>1176</v>
      </c>
      <c r="V109" s="4">
        <v>1158</v>
      </c>
      <c r="W109" s="4">
        <v>1165</v>
      </c>
      <c r="X109" s="7">
        <v>1.4319248826291099E-2</v>
      </c>
      <c r="Y109" s="8">
        <v>1.8514232816477572E-2</v>
      </c>
      <c r="Z109" s="8">
        <v>1.840490797546002E-2</v>
      </c>
      <c r="AA109" s="8">
        <v>2.1419009370816641E-2</v>
      </c>
    </row>
    <row r="110" spans="2:27" hidden="1" x14ac:dyDescent="0.3">
      <c r="B110" s="12" t="s">
        <v>186</v>
      </c>
      <c r="C110" s="3" t="s">
        <v>434</v>
      </c>
      <c r="D110" s="3" t="s">
        <v>504</v>
      </c>
      <c r="E110" s="3" t="s">
        <v>497</v>
      </c>
      <c r="F110" s="5">
        <v>2.1</v>
      </c>
      <c r="G110" s="4">
        <v>626</v>
      </c>
      <c r="H110" s="4">
        <v>621</v>
      </c>
      <c r="I110" s="4">
        <v>586</v>
      </c>
      <c r="J110" s="4">
        <v>692</v>
      </c>
      <c r="K110" s="4">
        <v>691</v>
      </c>
      <c r="L110" s="4">
        <v>606</v>
      </c>
      <c r="M110" s="4">
        <v>649</v>
      </c>
      <c r="N110" s="4">
        <v>729</v>
      </c>
      <c r="O110" s="4">
        <v>713</v>
      </c>
      <c r="P110" s="4">
        <v>741</v>
      </c>
      <c r="Q110" s="4">
        <v>763</v>
      </c>
      <c r="R110" s="4">
        <v>861</v>
      </c>
      <c r="S110" s="4">
        <v>948</v>
      </c>
      <c r="T110" s="4">
        <v>952</v>
      </c>
      <c r="U110" s="4">
        <v>906</v>
      </c>
      <c r="V110" s="4">
        <v>988</v>
      </c>
      <c r="W110" s="4">
        <v>1028</v>
      </c>
      <c r="X110" s="7">
        <v>6.3688499849079427E-2</v>
      </c>
      <c r="Y110" s="8">
        <v>4.0578887627695792E-2</v>
      </c>
      <c r="Z110" s="8">
        <v>3.4633215162257917E-2</v>
      </c>
      <c r="AA110" s="8">
        <v>2.108592514496577E-2</v>
      </c>
    </row>
    <row r="111" spans="2:27" hidden="1" x14ac:dyDescent="0.3">
      <c r="B111" s="12" t="s">
        <v>143</v>
      </c>
      <c r="C111" s="3" t="s">
        <v>434</v>
      </c>
      <c r="D111" s="3" t="s">
        <v>505</v>
      </c>
      <c r="E111" s="3" t="s">
        <v>497</v>
      </c>
      <c r="F111" s="5">
        <v>2</v>
      </c>
      <c r="G111" s="4">
        <v>605.97</v>
      </c>
      <c r="H111" s="4">
        <v>624.22</v>
      </c>
      <c r="I111" s="4">
        <v>647.91</v>
      </c>
      <c r="J111" s="4">
        <v>661.18</v>
      </c>
      <c r="K111" s="4">
        <v>620.27</v>
      </c>
      <c r="L111" s="4">
        <v>664.13</v>
      </c>
      <c r="M111" s="4">
        <v>684</v>
      </c>
      <c r="N111" s="4">
        <v>720.42</v>
      </c>
      <c r="O111" s="4">
        <v>681</v>
      </c>
      <c r="P111" s="4">
        <v>689.35</v>
      </c>
      <c r="Q111" s="4">
        <v>689.74</v>
      </c>
      <c r="R111" s="4">
        <v>707.05</v>
      </c>
      <c r="S111" s="4">
        <v>673.25</v>
      </c>
      <c r="T111" s="4">
        <v>670.76</v>
      </c>
      <c r="U111" s="4">
        <v>678.14</v>
      </c>
      <c r="V111" s="4">
        <v>715.59</v>
      </c>
      <c r="W111" s="4">
        <v>727.85</v>
      </c>
      <c r="X111" s="7">
        <v>-6.7369962201789813E-3</v>
      </c>
      <c r="Y111" s="8">
        <v>-4.2323409223585804E-3</v>
      </c>
      <c r="Z111" s="8">
        <v>3.1291220870583998E-3</v>
      </c>
      <c r="AA111" s="8">
        <v>1.9943457011988071E-2</v>
      </c>
    </row>
    <row r="112" spans="2:27" hidden="1" x14ac:dyDescent="0.3">
      <c r="B112" s="12" t="s">
        <v>91</v>
      </c>
      <c r="C112" s="3" t="s">
        <v>434</v>
      </c>
      <c r="D112" s="3" t="s">
        <v>506</v>
      </c>
      <c r="E112" s="3" t="s">
        <v>497</v>
      </c>
      <c r="F112" s="5">
        <v>1.9</v>
      </c>
      <c r="G112" s="4">
        <v>339.56</v>
      </c>
      <c r="H112" s="4">
        <v>338.09</v>
      </c>
      <c r="I112" s="4">
        <v>356.11</v>
      </c>
      <c r="J112" s="4">
        <v>361.88</v>
      </c>
      <c r="K112" s="4">
        <v>391.63</v>
      </c>
      <c r="L112" s="4">
        <v>380.93</v>
      </c>
      <c r="M112" s="4">
        <v>397.7</v>
      </c>
      <c r="N112" s="4">
        <v>395.55</v>
      </c>
      <c r="O112" s="4">
        <v>421.7</v>
      </c>
      <c r="P112" s="4">
        <v>408.66</v>
      </c>
      <c r="Q112" s="4">
        <v>423.56</v>
      </c>
      <c r="R112" s="4">
        <v>423.49</v>
      </c>
      <c r="S112" s="4">
        <v>445.06</v>
      </c>
      <c r="T112" s="4">
        <v>436.59</v>
      </c>
      <c r="U112" s="4">
        <v>459.28</v>
      </c>
      <c r="V112" s="4">
        <v>457.5</v>
      </c>
      <c r="W112" s="4">
        <v>478.46</v>
      </c>
      <c r="X112" s="7">
        <v>1.642197357667419E-2</v>
      </c>
      <c r="Y112" s="8">
        <v>2.0662925898073729E-2</v>
      </c>
      <c r="Z112" s="8">
        <v>1.927545595719837E-2</v>
      </c>
      <c r="AA112" s="8">
        <v>1.857175425232005E-2</v>
      </c>
    </row>
    <row r="113" spans="2:27" hidden="1" x14ac:dyDescent="0.3">
      <c r="B113" s="12" t="s">
        <v>83</v>
      </c>
      <c r="C113" s="3" t="s">
        <v>434</v>
      </c>
      <c r="D113" s="3" t="s">
        <v>451</v>
      </c>
      <c r="E113" s="3" t="s">
        <v>497</v>
      </c>
      <c r="F113" s="5">
        <v>1.8</v>
      </c>
      <c r="G113" s="4">
        <v>576</v>
      </c>
      <c r="H113" s="4">
        <v>649</v>
      </c>
      <c r="I113" s="4">
        <v>623</v>
      </c>
      <c r="J113" s="4">
        <v>645</v>
      </c>
      <c r="K113" s="4">
        <v>623</v>
      </c>
      <c r="L113" s="4">
        <v>629</v>
      </c>
      <c r="M113" s="4">
        <v>629</v>
      </c>
      <c r="N113" s="4">
        <v>689</v>
      </c>
      <c r="O113" s="4">
        <v>676</v>
      </c>
      <c r="P113" s="4">
        <v>684</v>
      </c>
      <c r="Q113" s="4">
        <v>670</v>
      </c>
      <c r="R113" s="4">
        <v>730</v>
      </c>
      <c r="S113" s="4">
        <v>731</v>
      </c>
      <c r="T113" s="4">
        <v>739</v>
      </c>
      <c r="U113" s="4">
        <v>705</v>
      </c>
      <c r="V113" s="4">
        <v>776</v>
      </c>
      <c r="W113" s="4">
        <v>783</v>
      </c>
      <c r="X113" s="7">
        <v>1.9538188277087091E-2</v>
      </c>
      <c r="Y113" s="8">
        <v>1.219512195121952E-2</v>
      </c>
      <c r="Z113" s="8">
        <v>1.5834767641996539E-2</v>
      </c>
      <c r="AA113" s="8">
        <v>1.7621145374449251E-2</v>
      </c>
    </row>
    <row r="114" spans="2:27" hidden="1" x14ac:dyDescent="0.3">
      <c r="B114" s="12" t="s">
        <v>352</v>
      </c>
      <c r="C114" s="3" t="s">
        <v>434</v>
      </c>
      <c r="D114" s="3" t="s">
        <v>455</v>
      </c>
      <c r="E114" s="3" t="s">
        <v>497</v>
      </c>
      <c r="F114" s="5">
        <v>1.7</v>
      </c>
      <c r="G114" s="4">
        <v>168.3</v>
      </c>
      <c r="H114" s="4">
        <v>199.8</v>
      </c>
      <c r="I114" s="4">
        <v>152</v>
      </c>
      <c r="J114" s="4">
        <v>135.30000000000001</v>
      </c>
      <c r="K114" s="4">
        <v>204.4</v>
      </c>
      <c r="L114" s="4">
        <v>221.8</v>
      </c>
      <c r="M114" s="4">
        <v>206.5</v>
      </c>
      <c r="N114" s="6">
        <v>215.2</v>
      </c>
      <c r="O114" s="4">
        <v>203.5</v>
      </c>
      <c r="P114" s="4">
        <v>225.7</v>
      </c>
      <c r="Q114" s="4">
        <v>223.1</v>
      </c>
      <c r="R114" s="4">
        <v>217</v>
      </c>
      <c r="S114" s="4">
        <v>224</v>
      </c>
      <c r="T114" s="4">
        <v>216.6</v>
      </c>
      <c r="U114" s="4">
        <v>202.6</v>
      </c>
      <c r="V114" s="4">
        <v>246.3</v>
      </c>
      <c r="W114" s="4">
        <v>239.3</v>
      </c>
      <c r="X114" s="7">
        <v>-1.0227017307259939E-2</v>
      </c>
      <c r="Y114" s="8">
        <v>-2.327693879868287E-2</v>
      </c>
      <c r="Z114" s="8">
        <v>3.4061846082306342E-2</v>
      </c>
      <c r="AA114" s="8">
        <v>1.7200674536256289E-2</v>
      </c>
    </row>
    <row r="115" spans="2:27" hidden="1" x14ac:dyDescent="0.3">
      <c r="B115" s="12" t="s">
        <v>117</v>
      </c>
      <c r="C115" s="3" t="s">
        <v>434</v>
      </c>
      <c r="D115" s="3" t="s">
        <v>507</v>
      </c>
      <c r="E115" s="3" t="s">
        <v>497</v>
      </c>
      <c r="F115" s="5">
        <v>1</v>
      </c>
      <c r="G115" s="4">
        <v>1576</v>
      </c>
      <c r="H115" s="4">
        <v>1543</v>
      </c>
      <c r="I115" s="4">
        <v>1447</v>
      </c>
      <c r="J115" s="4">
        <v>1459</v>
      </c>
      <c r="K115" s="4">
        <v>1444</v>
      </c>
      <c r="L115" s="4">
        <v>1437</v>
      </c>
      <c r="M115" s="4">
        <v>1440</v>
      </c>
      <c r="N115" s="4">
        <v>1449</v>
      </c>
      <c r="O115" s="4">
        <v>1436</v>
      </c>
      <c r="P115" s="4">
        <v>1426</v>
      </c>
      <c r="Q115" s="4">
        <v>1462</v>
      </c>
      <c r="R115" s="4">
        <v>1480</v>
      </c>
      <c r="S115" s="4">
        <v>1489</v>
      </c>
      <c r="T115" s="4">
        <v>1506</v>
      </c>
      <c r="U115" s="4">
        <v>1511</v>
      </c>
      <c r="V115" s="4">
        <v>1539</v>
      </c>
      <c r="W115" s="4">
        <v>1550</v>
      </c>
      <c r="X115" s="7">
        <v>1.365886972853003E-2</v>
      </c>
      <c r="Y115" s="8">
        <v>8.2533265959239266E-3</v>
      </c>
      <c r="Z115" s="8">
        <v>9.8563314400266222E-3</v>
      </c>
      <c r="AA115" s="8">
        <v>1.00909842845327E-2</v>
      </c>
    </row>
    <row r="116" spans="2:27" hidden="1" x14ac:dyDescent="0.3">
      <c r="B116" s="12" t="s">
        <v>53</v>
      </c>
      <c r="C116" s="3" t="s">
        <v>434</v>
      </c>
      <c r="D116" s="3" t="s">
        <v>482</v>
      </c>
      <c r="E116" s="3" t="s">
        <v>497</v>
      </c>
      <c r="F116" s="5">
        <v>0.8</v>
      </c>
      <c r="G116" s="4">
        <v>420.75</v>
      </c>
      <c r="H116" s="4">
        <v>436.21</v>
      </c>
      <c r="I116" s="4">
        <v>452.66</v>
      </c>
      <c r="J116" s="4">
        <v>485.18</v>
      </c>
      <c r="K116" s="4">
        <v>510.05</v>
      </c>
      <c r="L116" s="4">
        <v>517.71</v>
      </c>
      <c r="M116" s="4">
        <v>513.36</v>
      </c>
      <c r="N116" s="4">
        <v>524.64</v>
      </c>
      <c r="O116" s="6">
        <v>763.08</v>
      </c>
      <c r="P116" s="6">
        <v>814.01</v>
      </c>
      <c r="Q116" s="6">
        <v>814.55</v>
      </c>
      <c r="R116" s="6">
        <v>827.92</v>
      </c>
      <c r="S116" s="4">
        <v>854.78</v>
      </c>
      <c r="T116" s="4">
        <v>840.66</v>
      </c>
      <c r="U116" s="4">
        <v>839.93</v>
      </c>
      <c r="V116" s="4">
        <v>857.9</v>
      </c>
      <c r="W116" s="4">
        <v>883.48</v>
      </c>
      <c r="X116" s="7">
        <v>8.0482958148861972E-3</v>
      </c>
      <c r="Y116" s="8">
        <v>7.6035603116921813E-3</v>
      </c>
      <c r="Z116" s="8">
        <v>8.9138908628159097E-3</v>
      </c>
      <c r="AA116" s="8">
        <v>8.4579181733253073E-3</v>
      </c>
    </row>
    <row r="117" spans="2:27" hidden="1" x14ac:dyDescent="0.3">
      <c r="B117" s="12" t="s">
        <v>86</v>
      </c>
      <c r="C117" s="3" t="s">
        <v>434</v>
      </c>
      <c r="D117" s="3" t="s">
        <v>508</v>
      </c>
      <c r="E117" s="3" t="s">
        <v>497</v>
      </c>
      <c r="F117" s="5">
        <v>0.8</v>
      </c>
      <c r="G117" s="4">
        <v>298.70999999999998</v>
      </c>
      <c r="H117" s="4">
        <v>298.33999999999997</v>
      </c>
      <c r="I117" s="4">
        <v>314.97000000000003</v>
      </c>
      <c r="J117" s="4">
        <v>326.51</v>
      </c>
      <c r="K117" s="4">
        <v>333.82</v>
      </c>
      <c r="L117" s="4">
        <v>336.39</v>
      </c>
      <c r="M117" s="4">
        <v>355.21</v>
      </c>
      <c r="N117" s="4">
        <v>356.59</v>
      </c>
      <c r="O117" s="4">
        <v>359.56</v>
      </c>
      <c r="P117" s="4">
        <v>369.03</v>
      </c>
      <c r="Q117" s="4">
        <v>375.96</v>
      </c>
      <c r="R117" s="4">
        <v>380.63</v>
      </c>
      <c r="S117" s="4">
        <v>385.34</v>
      </c>
      <c r="T117" s="4">
        <v>389.62</v>
      </c>
      <c r="U117" s="4">
        <v>395.24</v>
      </c>
      <c r="V117" s="4">
        <v>394.88</v>
      </c>
      <c r="W117" s="4">
        <v>397.61</v>
      </c>
      <c r="X117" s="7">
        <v>1.3627098003917929E-2</v>
      </c>
      <c r="Y117" s="8">
        <v>1.258855407920079E-2</v>
      </c>
      <c r="Z117" s="8">
        <v>9.1886280249930952E-3</v>
      </c>
      <c r="AA117" s="8">
        <v>7.839854831701798E-3</v>
      </c>
    </row>
    <row r="118" spans="2:27" hidden="1" x14ac:dyDescent="0.3">
      <c r="B118" s="12" t="s">
        <v>319</v>
      </c>
      <c r="C118" s="3" t="s">
        <v>434</v>
      </c>
      <c r="D118" s="3" t="s">
        <v>445</v>
      </c>
      <c r="E118" s="3" t="s">
        <v>497</v>
      </c>
      <c r="F118" s="5">
        <v>0.5</v>
      </c>
      <c r="G118" s="4">
        <v>179.63</v>
      </c>
      <c r="H118" s="4">
        <v>210</v>
      </c>
      <c r="I118" s="4">
        <v>175.91</v>
      </c>
      <c r="J118" s="4">
        <v>200.26</v>
      </c>
      <c r="K118" s="4">
        <v>204.55</v>
      </c>
      <c r="L118" s="4">
        <v>220.5</v>
      </c>
      <c r="M118" s="4">
        <v>169.38</v>
      </c>
      <c r="N118" s="4">
        <v>195.92</v>
      </c>
      <c r="O118" s="4">
        <v>185.62</v>
      </c>
      <c r="P118" s="4">
        <v>196.8</v>
      </c>
      <c r="Q118" s="4">
        <v>191.67</v>
      </c>
      <c r="R118" s="4">
        <v>221.91</v>
      </c>
      <c r="S118" s="4">
        <v>243.97</v>
      </c>
      <c r="T118" s="6">
        <v>282.64999999999998</v>
      </c>
      <c r="U118" s="4">
        <v>234.42</v>
      </c>
      <c r="V118" s="4">
        <v>240.68</v>
      </c>
      <c r="W118" s="4">
        <v>249.25</v>
      </c>
      <c r="X118" s="10">
        <v>0.1004857494001286</v>
      </c>
      <c r="Y118" s="8">
        <v>4.5469049138481273E-2</v>
      </c>
      <c r="Z118" s="8">
        <v>1.9095579632738339E-2</v>
      </c>
      <c r="AA118" s="8">
        <v>5.2709339935310684E-3</v>
      </c>
    </row>
    <row r="119" spans="2:27" hidden="1" x14ac:dyDescent="0.3">
      <c r="B119" s="12" t="s">
        <v>354</v>
      </c>
      <c r="C119" s="3" t="s">
        <v>434</v>
      </c>
      <c r="D119" s="3" t="s">
        <v>509</v>
      </c>
      <c r="E119" s="3" t="s">
        <v>497</v>
      </c>
      <c r="F119" s="5">
        <v>-0.5</v>
      </c>
      <c r="G119" s="4">
        <v>39.869999999999997</v>
      </c>
      <c r="H119" s="4">
        <v>34.020000000000003</v>
      </c>
      <c r="I119" s="4">
        <v>36.200000000000003</v>
      </c>
      <c r="J119" s="4">
        <v>39.68</v>
      </c>
      <c r="K119" s="4">
        <v>47.73</v>
      </c>
      <c r="L119" s="4">
        <v>38.82</v>
      </c>
      <c r="M119" s="4">
        <v>38.159999999999997</v>
      </c>
      <c r="N119" s="4">
        <v>42.8</v>
      </c>
      <c r="O119" s="4">
        <v>46.72</v>
      </c>
      <c r="P119" s="4">
        <v>38.6</v>
      </c>
      <c r="Q119" s="4">
        <v>40.520000000000003</v>
      </c>
      <c r="R119" s="4">
        <v>49.15</v>
      </c>
      <c r="S119" s="4">
        <v>55.1</v>
      </c>
      <c r="T119" s="4">
        <v>47.11</v>
      </c>
      <c r="U119" s="4">
        <v>44.3</v>
      </c>
      <c r="V119" s="4">
        <v>49.32</v>
      </c>
      <c r="W119" s="4">
        <v>54.09</v>
      </c>
      <c r="X119" s="7">
        <v>4.6408900038174217E-2</v>
      </c>
      <c r="Y119" s="8">
        <v>1.9699812382739209E-2</v>
      </c>
      <c r="Z119" s="8">
        <v>8.6885413472348461E-4</v>
      </c>
      <c r="AA119" s="8">
        <v>-5.1575345963335018E-3</v>
      </c>
    </row>
    <row r="120" spans="2:27" hidden="1" x14ac:dyDescent="0.3">
      <c r="B120" s="12" t="s">
        <v>284</v>
      </c>
      <c r="C120" s="3" t="s">
        <v>434</v>
      </c>
      <c r="D120" s="3" t="s">
        <v>510</v>
      </c>
      <c r="E120" s="3" t="s">
        <v>497</v>
      </c>
      <c r="F120" s="5">
        <v>-1.9</v>
      </c>
      <c r="G120" s="4">
        <v>423</v>
      </c>
      <c r="H120" s="4">
        <v>450</v>
      </c>
      <c r="I120" s="4">
        <v>479</v>
      </c>
      <c r="J120" s="4">
        <v>700</v>
      </c>
      <c r="K120" s="6">
        <v>663</v>
      </c>
      <c r="L120" s="4">
        <v>674</v>
      </c>
      <c r="M120" s="4">
        <v>652</v>
      </c>
      <c r="N120" s="4">
        <v>717</v>
      </c>
      <c r="O120" s="4">
        <v>681</v>
      </c>
      <c r="P120" s="4">
        <v>659</v>
      </c>
      <c r="Q120" s="4">
        <v>639</v>
      </c>
      <c r="R120" s="4">
        <v>687</v>
      </c>
      <c r="S120" s="4">
        <v>658</v>
      </c>
      <c r="T120" s="4">
        <v>608</v>
      </c>
      <c r="U120" s="4">
        <v>630</v>
      </c>
      <c r="V120" s="4">
        <v>674</v>
      </c>
      <c r="W120" s="4">
        <v>610</v>
      </c>
      <c r="X120" s="7">
        <v>-1.9296254256526701E-2</v>
      </c>
      <c r="Y120" s="8">
        <v>-3.4722222222222099E-3</v>
      </c>
      <c r="Z120" s="8">
        <v>-5.0329074719318578E-3</v>
      </c>
      <c r="AA120" s="8">
        <v>-1.8677042801556461E-2</v>
      </c>
    </row>
    <row r="121" spans="2:27" hidden="1" x14ac:dyDescent="0.3">
      <c r="B121" s="12" t="s">
        <v>162</v>
      </c>
      <c r="C121" s="3" t="s">
        <v>434</v>
      </c>
      <c r="D121" s="3" t="s">
        <v>460</v>
      </c>
      <c r="E121" s="3" t="s">
        <v>497</v>
      </c>
      <c r="F121" s="5">
        <v>-3.3</v>
      </c>
      <c r="G121" s="4">
        <v>143.62</v>
      </c>
      <c r="H121" s="4">
        <v>146.25</v>
      </c>
      <c r="I121" s="4">
        <v>150.47</v>
      </c>
      <c r="J121" s="4">
        <v>136.56</v>
      </c>
      <c r="K121" s="4">
        <v>160.56</v>
      </c>
      <c r="L121" s="4">
        <v>169.03</v>
      </c>
      <c r="M121" s="4">
        <v>130.47</v>
      </c>
      <c r="N121" s="4">
        <v>146.57</v>
      </c>
      <c r="O121" s="4">
        <v>141.08000000000001</v>
      </c>
      <c r="P121" s="4">
        <v>158.32</v>
      </c>
      <c r="Q121" s="4">
        <v>165.26</v>
      </c>
      <c r="R121" s="4">
        <v>158.51</v>
      </c>
      <c r="S121" s="4">
        <v>161.63</v>
      </c>
      <c r="T121" s="4">
        <v>162.29</v>
      </c>
      <c r="U121" s="4">
        <v>166.28</v>
      </c>
      <c r="V121" s="4">
        <v>171.79</v>
      </c>
      <c r="W121" s="4">
        <v>139.61000000000001</v>
      </c>
      <c r="X121" s="7">
        <v>6.1672776983781041E-3</v>
      </c>
      <c r="Y121" s="8">
        <v>1.574827463755923E-3</v>
      </c>
      <c r="Z121" s="8">
        <v>2.0471397080359392E-2</v>
      </c>
      <c r="AA121" s="8">
        <v>-3.3263342346561142E-2</v>
      </c>
    </row>
    <row r="122" spans="2:27" hidden="1" x14ac:dyDescent="0.3">
      <c r="B122" s="12" t="s">
        <v>238</v>
      </c>
      <c r="C122" s="3" t="s">
        <v>434</v>
      </c>
      <c r="D122" s="3" t="s">
        <v>458</v>
      </c>
      <c r="E122" s="3" t="s">
        <v>497</v>
      </c>
      <c r="F122" s="5">
        <v>-8.8000000000000007</v>
      </c>
      <c r="G122" s="3"/>
      <c r="H122" s="3"/>
      <c r="I122" s="4">
        <v>259.62</v>
      </c>
      <c r="J122" s="4">
        <v>268.06</v>
      </c>
      <c r="K122" s="4">
        <v>340.7</v>
      </c>
      <c r="L122" s="4">
        <v>271.77</v>
      </c>
      <c r="M122" s="4">
        <v>306.73</v>
      </c>
      <c r="N122" s="4">
        <v>305.19</v>
      </c>
      <c r="O122" s="4">
        <v>449.06</v>
      </c>
      <c r="P122" s="6">
        <v>614</v>
      </c>
      <c r="Q122" s="6">
        <v>1222</v>
      </c>
      <c r="R122" s="6">
        <v>1193</v>
      </c>
      <c r="S122" s="6">
        <v>1541</v>
      </c>
      <c r="T122" s="4">
        <v>642.20000000000005</v>
      </c>
      <c r="U122" s="4">
        <v>1269</v>
      </c>
      <c r="V122" s="4">
        <v>1308</v>
      </c>
      <c r="W122" s="4">
        <v>1120</v>
      </c>
      <c r="X122" s="7">
        <v>6.170678336980373E-3</v>
      </c>
      <c r="Y122" s="8">
        <v>1.02213909790787E-2</v>
      </c>
      <c r="Z122" s="8">
        <v>2.4756738138293381E-2</v>
      </c>
      <c r="AA122" s="8">
        <v>-8.8441662115037234E-2</v>
      </c>
    </row>
    <row r="123" spans="2:27" hidden="1" x14ac:dyDescent="0.3">
      <c r="B123" s="12" t="s">
        <v>109</v>
      </c>
      <c r="C123" s="3" t="s">
        <v>434</v>
      </c>
      <c r="D123" s="3" t="s">
        <v>511</v>
      </c>
      <c r="E123" s="3" t="s">
        <v>497</v>
      </c>
      <c r="F123" s="5">
        <v>-10.8</v>
      </c>
      <c r="G123" s="4">
        <v>7775</v>
      </c>
      <c r="H123" s="4">
        <v>10620</v>
      </c>
      <c r="I123" s="4">
        <v>9562</v>
      </c>
      <c r="J123" s="4">
        <v>8733</v>
      </c>
      <c r="K123" s="4">
        <v>9342</v>
      </c>
      <c r="L123" s="6">
        <v>17650</v>
      </c>
      <c r="M123" s="6">
        <v>18787</v>
      </c>
      <c r="N123" s="6">
        <v>28653</v>
      </c>
      <c r="O123" s="6">
        <v>34679</v>
      </c>
      <c r="P123" s="6">
        <v>41732</v>
      </c>
      <c r="Q123" s="4">
        <v>25634</v>
      </c>
      <c r="R123" s="4">
        <v>31678</v>
      </c>
      <c r="S123" s="4">
        <v>42874</v>
      </c>
      <c r="T123" s="4">
        <v>44274</v>
      </c>
      <c r="U123" s="4">
        <v>25927</v>
      </c>
      <c r="V123" s="4">
        <v>30246</v>
      </c>
      <c r="W123" s="4">
        <v>27365</v>
      </c>
      <c r="X123" s="7">
        <v>1.7911751856706019E-2</v>
      </c>
      <c r="Y123" s="8">
        <v>2.0282431122802258E-3</v>
      </c>
      <c r="Z123" s="8">
        <v>-9.8927137952236066E-3</v>
      </c>
      <c r="AA123" s="8">
        <v>-0.1082116368152608</v>
      </c>
    </row>
    <row r="124" spans="2:27" hidden="1" x14ac:dyDescent="0.3">
      <c r="B124" s="12" t="s">
        <v>346</v>
      </c>
      <c r="C124" s="3" t="s">
        <v>434</v>
      </c>
      <c r="D124" s="3" t="s">
        <v>512</v>
      </c>
      <c r="E124" s="3" t="s">
        <v>497</v>
      </c>
      <c r="F124" s="5">
        <v>-11.2</v>
      </c>
      <c r="G124" s="4">
        <v>23.97</v>
      </c>
      <c r="H124" s="4">
        <v>26.64</v>
      </c>
      <c r="I124" s="4">
        <v>40.4</v>
      </c>
      <c r="J124" s="4">
        <v>47.46</v>
      </c>
      <c r="K124" s="6">
        <v>44.06</v>
      </c>
      <c r="L124" s="4">
        <v>32.299999999999997</v>
      </c>
      <c r="M124" s="4">
        <v>40.17</v>
      </c>
      <c r="N124" s="4">
        <v>30.62</v>
      </c>
      <c r="O124" s="4">
        <v>42.59</v>
      </c>
      <c r="P124" s="4">
        <v>44.64</v>
      </c>
      <c r="Q124" s="4">
        <v>30.98</v>
      </c>
      <c r="R124" s="4">
        <v>37.36</v>
      </c>
      <c r="S124" s="4">
        <v>53.47</v>
      </c>
      <c r="T124" s="4">
        <v>32.83</v>
      </c>
      <c r="U124" s="4">
        <v>43.16</v>
      </c>
      <c r="V124" s="4">
        <v>32.4</v>
      </c>
      <c r="W124" s="4">
        <v>35.42</v>
      </c>
      <c r="X124" s="7">
        <v>-7.0952237909282068E-2</v>
      </c>
      <c r="Y124" s="8">
        <v>7.8763579927573879E-2</v>
      </c>
      <c r="Z124" s="8">
        <v>-2.9732645965711572E-2</v>
      </c>
      <c r="AA124" s="8">
        <v>-0.11151612504633621</v>
      </c>
    </row>
    <row r="125" spans="2:27" hidden="1" x14ac:dyDescent="0.3">
      <c r="B125" s="12" t="s">
        <v>331</v>
      </c>
      <c r="C125" s="3" t="s">
        <v>492</v>
      </c>
      <c r="D125" s="3" t="s">
        <v>493</v>
      </c>
      <c r="E125" s="3" t="s">
        <v>498</v>
      </c>
      <c r="F125" s="5">
        <v>-5.2</v>
      </c>
      <c r="G125" s="3"/>
      <c r="H125" s="3"/>
      <c r="I125" s="3"/>
      <c r="J125" s="3"/>
      <c r="K125" s="3"/>
      <c r="L125" s="3"/>
      <c r="M125" s="3"/>
      <c r="N125" s="4">
        <v>11044</v>
      </c>
      <c r="O125" s="4">
        <v>10568</v>
      </c>
      <c r="P125" s="4">
        <v>10666</v>
      </c>
      <c r="Q125" s="4">
        <v>11065</v>
      </c>
      <c r="R125" s="4">
        <v>10672</v>
      </c>
      <c r="S125" s="4">
        <v>13763</v>
      </c>
      <c r="T125" s="4">
        <v>10799</v>
      </c>
      <c r="U125" s="4">
        <v>11460</v>
      </c>
      <c r="V125" s="4">
        <v>12752</v>
      </c>
      <c r="W125" s="4">
        <v>11235</v>
      </c>
      <c r="X125" s="7">
        <v>2.8809080275526981E-3</v>
      </c>
      <c r="Y125" s="8">
        <v>8.5315017602971555E-3</v>
      </c>
      <c r="Z125" s="8">
        <v>4.4545337730757639E-2</v>
      </c>
      <c r="AA125" s="8">
        <v>-5.1830893508836628E-2</v>
      </c>
    </row>
    <row r="126" spans="2:27" hidden="1" x14ac:dyDescent="0.3">
      <c r="B126" s="12" t="s">
        <v>135</v>
      </c>
      <c r="C126" s="3" t="s">
        <v>495</v>
      </c>
      <c r="D126" s="3" t="s">
        <v>493</v>
      </c>
      <c r="E126" s="3" t="s">
        <v>498</v>
      </c>
      <c r="F126" s="5">
        <v>19.7</v>
      </c>
      <c r="G126" s="3"/>
      <c r="H126" s="3"/>
      <c r="I126" s="3"/>
      <c r="J126" s="3"/>
      <c r="K126" s="3"/>
      <c r="L126" s="3"/>
      <c r="M126" s="3"/>
      <c r="N126" s="4">
        <v>192.61</v>
      </c>
      <c r="O126" s="4">
        <v>165.29</v>
      </c>
      <c r="P126" s="4">
        <v>149.44999999999999</v>
      </c>
      <c r="Q126" s="4">
        <v>144.22</v>
      </c>
      <c r="R126" s="4">
        <v>163.07</v>
      </c>
      <c r="S126" s="4">
        <v>177.8</v>
      </c>
      <c r="T126" s="6">
        <v>249.9</v>
      </c>
      <c r="U126" s="6">
        <v>294.77999999999997</v>
      </c>
      <c r="V126" s="6">
        <v>346.61</v>
      </c>
      <c r="W126" s="6">
        <v>388.69</v>
      </c>
      <c r="X126" s="10">
        <v>0.15830365303999749</v>
      </c>
      <c r="Y126" s="9">
        <v>0.2048463244397882</v>
      </c>
      <c r="Z126" s="9">
        <v>0.2072610242222348</v>
      </c>
      <c r="AA126" s="9">
        <v>0.19726122216090339</v>
      </c>
    </row>
    <row r="127" spans="2:27" hidden="1" x14ac:dyDescent="0.3">
      <c r="B127" s="12" t="s">
        <v>170</v>
      </c>
      <c r="C127" s="3" t="s">
        <v>495</v>
      </c>
      <c r="D127" s="3" t="s">
        <v>493</v>
      </c>
      <c r="E127" s="3" t="s">
        <v>498</v>
      </c>
      <c r="F127" s="5">
        <v>10.199999999999999</v>
      </c>
      <c r="G127" s="3"/>
      <c r="H127" s="3"/>
      <c r="I127" s="3"/>
      <c r="J127" s="3"/>
      <c r="K127" s="3"/>
      <c r="L127" s="3"/>
      <c r="M127" s="3"/>
      <c r="N127" s="4">
        <v>1071</v>
      </c>
      <c r="O127" s="4">
        <v>1082</v>
      </c>
      <c r="P127" s="4">
        <v>1174</v>
      </c>
      <c r="Q127" s="4">
        <v>1212</v>
      </c>
      <c r="R127" s="4">
        <v>1249</v>
      </c>
      <c r="S127" s="4">
        <v>1289</v>
      </c>
      <c r="T127" s="4">
        <v>1333</v>
      </c>
      <c r="U127" s="4">
        <v>1428</v>
      </c>
      <c r="V127" s="4">
        <v>1637</v>
      </c>
      <c r="W127" s="6">
        <v>1867</v>
      </c>
      <c r="X127" s="7">
        <v>3.2290820471161608E-2</v>
      </c>
      <c r="Y127" s="8">
        <v>4.249458980916776E-2</v>
      </c>
      <c r="Z127" s="8">
        <v>7.3221362521230349E-2</v>
      </c>
      <c r="AA127" s="9">
        <v>0.1016353085985582</v>
      </c>
    </row>
    <row r="128" spans="2:27" hidden="1" x14ac:dyDescent="0.3">
      <c r="B128" s="12" t="s">
        <v>81</v>
      </c>
      <c r="C128" s="3" t="s">
        <v>513</v>
      </c>
      <c r="D128" s="3" t="s">
        <v>493</v>
      </c>
      <c r="E128" s="3" t="s">
        <v>498</v>
      </c>
      <c r="F128" s="5">
        <v>6.7</v>
      </c>
      <c r="G128" s="3"/>
      <c r="H128" s="3"/>
      <c r="I128" s="3"/>
      <c r="J128" s="3"/>
      <c r="K128" s="3"/>
      <c r="L128" s="3"/>
      <c r="M128" s="3"/>
      <c r="N128" s="4">
        <v>20843</v>
      </c>
      <c r="O128" s="4">
        <v>22812</v>
      </c>
      <c r="P128" s="4">
        <v>26516</v>
      </c>
      <c r="Q128" s="4">
        <v>25965</v>
      </c>
      <c r="R128" s="4">
        <v>27686</v>
      </c>
      <c r="S128" s="4">
        <v>29645</v>
      </c>
      <c r="T128" s="4">
        <v>32711</v>
      </c>
      <c r="U128" s="4">
        <v>33735</v>
      </c>
      <c r="V128" s="4">
        <v>37091</v>
      </c>
      <c r="W128" s="4">
        <v>38544</v>
      </c>
      <c r="X128" s="7">
        <v>5.6414599497322637E-2</v>
      </c>
      <c r="Y128" s="8">
        <v>6.6978716801572302E-2</v>
      </c>
      <c r="Z128" s="8">
        <v>7.598342179888018E-2</v>
      </c>
      <c r="AA128" s="8">
        <v>6.6818338814554457E-2</v>
      </c>
    </row>
    <row r="129" spans="2:27" hidden="1" x14ac:dyDescent="0.3">
      <c r="B129" s="12" t="s">
        <v>95</v>
      </c>
      <c r="C129" s="3" t="s">
        <v>495</v>
      </c>
      <c r="D129" s="3" t="s">
        <v>493</v>
      </c>
      <c r="E129" s="3" t="s">
        <v>498</v>
      </c>
      <c r="F129" s="5">
        <v>4.3</v>
      </c>
      <c r="G129" s="3"/>
      <c r="H129" s="3"/>
      <c r="I129" s="3"/>
      <c r="J129" s="3"/>
      <c r="K129" s="3"/>
      <c r="L129" s="3"/>
      <c r="M129" s="3"/>
      <c r="N129" s="4">
        <v>704</v>
      </c>
      <c r="O129" s="4">
        <v>824</v>
      </c>
      <c r="P129" s="4">
        <v>1380</v>
      </c>
      <c r="Q129" s="4">
        <v>1725</v>
      </c>
      <c r="R129" s="4">
        <v>0</v>
      </c>
      <c r="S129" s="6">
        <v>2402</v>
      </c>
      <c r="T129" s="4">
        <v>0</v>
      </c>
      <c r="U129" s="6">
        <v>2677</v>
      </c>
      <c r="V129" s="6">
        <v>2929</v>
      </c>
      <c r="W129" s="4">
        <v>2745</v>
      </c>
      <c r="X129" s="7">
        <v>-0.25059015798075179</v>
      </c>
      <c r="Y129" s="9">
        <v>0.23067603586140059</v>
      </c>
      <c r="Z129" s="9">
        <v>0.57668832447332141</v>
      </c>
      <c r="AA129" s="8">
        <v>4.2832167832167922E-2</v>
      </c>
    </row>
    <row r="130" spans="2:27" hidden="1" x14ac:dyDescent="0.3">
      <c r="B130" s="12" t="s">
        <v>149</v>
      </c>
      <c r="C130" s="3" t="s">
        <v>495</v>
      </c>
      <c r="D130" s="3" t="s">
        <v>493</v>
      </c>
      <c r="E130" s="3" t="s">
        <v>498</v>
      </c>
      <c r="F130" s="5">
        <v>4.2</v>
      </c>
      <c r="G130" s="3"/>
      <c r="H130" s="3"/>
      <c r="I130" s="3"/>
      <c r="J130" s="3"/>
      <c r="K130" s="3"/>
      <c r="L130" s="3"/>
      <c r="M130" s="3"/>
      <c r="N130" s="4">
        <v>3026</v>
      </c>
      <c r="O130" s="4">
        <v>3735</v>
      </c>
      <c r="P130" s="4">
        <v>3639</v>
      </c>
      <c r="Q130" s="4">
        <v>4342</v>
      </c>
      <c r="R130" s="4">
        <v>4027</v>
      </c>
      <c r="S130" s="4">
        <v>4009</v>
      </c>
      <c r="T130" s="4">
        <v>3781</v>
      </c>
      <c r="U130" s="4">
        <v>4224</v>
      </c>
      <c r="V130" s="4">
        <v>4322</v>
      </c>
      <c r="W130" s="4">
        <v>4696</v>
      </c>
      <c r="X130" s="7">
        <v>8.8655803209090056E-3</v>
      </c>
      <c r="Y130" s="8">
        <v>-7.3024320811931887E-3</v>
      </c>
      <c r="Z130" s="8">
        <v>1.839037466492122E-2</v>
      </c>
      <c r="AA130" s="8">
        <v>4.2054358472086273E-2</v>
      </c>
    </row>
    <row r="131" spans="2:27" hidden="1" x14ac:dyDescent="0.3">
      <c r="B131" s="12" t="s">
        <v>402</v>
      </c>
      <c r="C131" s="3" t="s">
        <v>494</v>
      </c>
      <c r="D131" s="3" t="s">
        <v>440</v>
      </c>
      <c r="E131" s="3" t="s">
        <v>497</v>
      </c>
      <c r="F131" s="5">
        <v>2.6</v>
      </c>
      <c r="G131" s="4">
        <v>162.74</v>
      </c>
      <c r="H131" s="4">
        <v>154.54</v>
      </c>
      <c r="I131" s="4">
        <v>58.43</v>
      </c>
      <c r="J131" s="4">
        <v>63.91</v>
      </c>
      <c r="K131" s="4">
        <v>72.75</v>
      </c>
      <c r="L131" s="4">
        <v>74.7</v>
      </c>
      <c r="M131" s="6">
        <v>87.08</v>
      </c>
      <c r="N131" s="4">
        <v>73.540000000000006</v>
      </c>
      <c r="O131" s="4">
        <v>52.53</v>
      </c>
      <c r="P131" s="4">
        <v>51.25</v>
      </c>
      <c r="Q131" s="4">
        <v>66.599999999999994</v>
      </c>
      <c r="R131" s="4">
        <v>68.66</v>
      </c>
      <c r="S131" s="6">
        <v>82.14</v>
      </c>
      <c r="T131" s="6">
        <v>79.27</v>
      </c>
      <c r="U131" s="4">
        <v>72.2</v>
      </c>
      <c r="V131" s="4">
        <v>86.47</v>
      </c>
      <c r="W131" s="4">
        <v>90.4</v>
      </c>
      <c r="X131" s="10">
        <v>0.10429927414852019</v>
      </c>
      <c r="Y131" s="8">
        <v>1.8876192402332629E-2</v>
      </c>
      <c r="Z131" s="8">
        <v>5.8920832368412279E-2</v>
      </c>
      <c r="AA131" s="8">
        <v>2.5806048487878149E-2</v>
      </c>
    </row>
    <row r="132" spans="2:27" hidden="1" x14ac:dyDescent="0.3">
      <c r="B132" s="12" t="s">
        <v>254</v>
      </c>
      <c r="C132" s="3" t="s">
        <v>495</v>
      </c>
      <c r="D132" s="3" t="s">
        <v>493</v>
      </c>
      <c r="E132" s="3" t="s">
        <v>497</v>
      </c>
      <c r="F132" s="5">
        <v>1.7</v>
      </c>
      <c r="G132" s="4">
        <v>403.82</v>
      </c>
      <c r="H132" s="4">
        <v>405.21</v>
      </c>
      <c r="I132" s="4">
        <v>427.69</v>
      </c>
      <c r="J132" s="4">
        <v>446.68</v>
      </c>
      <c r="K132" s="4">
        <v>476.56</v>
      </c>
      <c r="L132" s="4">
        <v>482.4</v>
      </c>
      <c r="M132" s="4">
        <v>470.16</v>
      </c>
      <c r="N132" s="4">
        <v>476.21</v>
      </c>
      <c r="O132" s="4">
        <v>455.79</v>
      </c>
      <c r="P132" s="4">
        <v>477.21</v>
      </c>
      <c r="Q132" s="4">
        <v>470.21</v>
      </c>
      <c r="R132" s="4">
        <v>468.23</v>
      </c>
      <c r="S132" s="4">
        <v>482.59</v>
      </c>
      <c r="T132" s="4">
        <v>485.73</v>
      </c>
      <c r="U132" s="4">
        <v>479.46</v>
      </c>
      <c r="V132" s="4">
        <v>466.48</v>
      </c>
      <c r="W132" s="4">
        <v>514.48</v>
      </c>
      <c r="X132" s="7">
        <v>4.4883681726231028E-3</v>
      </c>
      <c r="Y132" s="8">
        <v>4.8511611319725922E-3</v>
      </c>
      <c r="Z132" s="8">
        <v>-9.1335640210643554E-4</v>
      </c>
      <c r="AA132" s="8">
        <v>1.6659179003897021E-2</v>
      </c>
    </row>
    <row r="133" spans="2:27" hidden="1" x14ac:dyDescent="0.3">
      <c r="B133" s="12" t="s">
        <v>348</v>
      </c>
      <c r="C133" s="3" t="s">
        <v>494</v>
      </c>
      <c r="D133" s="3" t="s">
        <v>488</v>
      </c>
      <c r="E133" s="3" t="s">
        <v>497</v>
      </c>
      <c r="F133" s="5">
        <v>0</v>
      </c>
      <c r="G133" s="4">
        <v>0.56999999999999995</v>
      </c>
      <c r="H133" s="4">
        <v>0.84</v>
      </c>
      <c r="I133" s="4">
        <v>0.44</v>
      </c>
      <c r="J133" s="4">
        <v>0.27</v>
      </c>
      <c r="K133" s="4">
        <v>0</v>
      </c>
      <c r="L133" s="4">
        <v>-0.01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0.09</v>
      </c>
      <c r="X133" s="11"/>
      <c r="Y133" s="3"/>
      <c r="Z133" s="3"/>
      <c r="AA133" s="3"/>
    </row>
    <row r="134" spans="2:27" hidden="1" x14ac:dyDescent="0.3">
      <c r="B134" s="12" t="s">
        <v>362</v>
      </c>
      <c r="C134" s="3" t="s">
        <v>494</v>
      </c>
      <c r="D134" s="3" t="s">
        <v>514</v>
      </c>
      <c r="E134" s="3" t="s">
        <v>497</v>
      </c>
      <c r="F134" s="5">
        <v>-0.1</v>
      </c>
      <c r="G134" s="4">
        <v>12.16</v>
      </c>
      <c r="H134" s="4">
        <v>18.96</v>
      </c>
      <c r="I134" s="4">
        <v>22</v>
      </c>
      <c r="J134" s="4">
        <v>25.76</v>
      </c>
      <c r="K134" s="6">
        <v>30.02</v>
      </c>
      <c r="L134" s="6">
        <v>33.03</v>
      </c>
      <c r="M134" s="6">
        <v>40.450000000000003</v>
      </c>
      <c r="N134" s="6">
        <v>52.11</v>
      </c>
      <c r="O134" s="6">
        <v>60.48</v>
      </c>
      <c r="P134" s="6">
        <v>70.13</v>
      </c>
      <c r="Q134" s="4">
        <v>52.35</v>
      </c>
      <c r="R134" s="4">
        <v>52.36</v>
      </c>
      <c r="S134" s="4">
        <v>53.97</v>
      </c>
      <c r="T134" s="4">
        <v>58.01</v>
      </c>
      <c r="U134" s="4">
        <v>54.08</v>
      </c>
      <c r="V134" s="4">
        <v>51.63</v>
      </c>
      <c r="W134" s="4">
        <v>53.68</v>
      </c>
      <c r="X134" s="7">
        <v>-5.2969712862200091E-2</v>
      </c>
      <c r="Y134" s="8">
        <v>7.9837555955513118E-3</v>
      </c>
      <c r="Z134" s="8">
        <v>-3.3421847816134109E-3</v>
      </c>
      <c r="AA134" s="8">
        <v>-1.3321695989709781E-3</v>
      </c>
    </row>
  </sheetData>
  <autoFilter ref="B2:AA134" xr:uid="{00000000-0009-0000-0000-000001000000}">
    <filterColumn colId="3">
      <filters>
        <filter val="Dec'25"/>
        <filter val="H2 2025"/>
        <filter val="Jun'26"/>
        <filter val="Mar'26"/>
        <filter val="Sep'26"/>
      </filters>
    </filterColumn>
    <sortState xmlns:xlrd2="http://schemas.microsoft.com/office/spreadsheetml/2017/richdata2" ref="B3:AA105">
      <sortCondition descending="1" ref="C2:C134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34"/>
  <sheetViews>
    <sheetView zoomScale="70" zoomScaleNormal="70" workbookViewId="0">
      <selection activeCell="AE73" sqref="AE73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.625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20" t="s">
        <v>1</v>
      </c>
      <c r="C2" s="20" t="s">
        <v>413</v>
      </c>
      <c r="D2" s="20" t="s">
        <v>414</v>
      </c>
      <c r="E2" s="20" t="s">
        <v>415</v>
      </c>
      <c r="F2" s="20" t="s">
        <v>416</v>
      </c>
      <c r="G2" s="20" t="s">
        <v>417</v>
      </c>
      <c r="H2" s="20" t="s">
        <v>418</v>
      </c>
      <c r="I2" s="20" t="s">
        <v>419</v>
      </c>
      <c r="J2" s="20" t="s">
        <v>420</v>
      </c>
      <c r="K2" s="20" t="s">
        <v>421</v>
      </c>
      <c r="L2" s="20" t="s">
        <v>422</v>
      </c>
      <c r="M2" s="20" t="s">
        <v>423</v>
      </c>
      <c r="N2" s="20" t="s">
        <v>424</v>
      </c>
      <c r="O2" s="20" t="s">
        <v>425</v>
      </c>
      <c r="P2" s="20" t="s">
        <v>426</v>
      </c>
      <c r="Q2" s="20" t="s">
        <v>427</v>
      </c>
      <c r="R2" s="20" t="s">
        <v>428</v>
      </c>
      <c r="S2" s="20" t="s">
        <v>429</v>
      </c>
      <c r="T2" s="20" t="s">
        <v>430</v>
      </c>
      <c r="U2" s="20" t="s">
        <v>431</v>
      </c>
      <c r="V2" s="20" t="s">
        <v>432</v>
      </c>
      <c r="W2" s="20" t="s">
        <v>433</v>
      </c>
      <c r="X2" s="20" t="s">
        <v>430</v>
      </c>
      <c r="Y2" s="20" t="s">
        <v>431</v>
      </c>
      <c r="Z2" s="20" t="s">
        <v>432</v>
      </c>
      <c r="AA2" s="20" t="s">
        <v>433</v>
      </c>
    </row>
    <row r="3" spans="2:27" x14ac:dyDescent="0.3">
      <c r="B3" s="12" t="s">
        <v>374</v>
      </c>
      <c r="C3" s="3" t="s">
        <v>434</v>
      </c>
      <c r="D3" s="3" t="s">
        <v>449</v>
      </c>
      <c r="E3" s="3" t="s">
        <v>436</v>
      </c>
      <c r="F3" s="14">
        <v>325</v>
      </c>
      <c r="G3" s="23">
        <v>40</v>
      </c>
      <c r="H3" s="23">
        <v>-2</v>
      </c>
      <c r="I3" s="23">
        <v>-9</v>
      </c>
      <c r="J3" s="23">
        <v>-27</v>
      </c>
      <c r="K3" s="23">
        <v>18</v>
      </c>
      <c r="L3" s="24">
        <v>-40</v>
      </c>
      <c r="M3" s="23">
        <v>-11</v>
      </c>
      <c r="N3" s="23">
        <v>-30</v>
      </c>
      <c r="O3" s="24">
        <v>-23</v>
      </c>
      <c r="P3" s="23">
        <v>-40</v>
      </c>
      <c r="Q3" s="24">
        <v>-34</v>
      </c>
      <c r="R3" s="23">
        <v>-30</v>
      </c>
      <c r="S3" s="23">
        <v>-1</v>
      </c>
      <c r="T3" s="23">
        <v>-8</v>
      </c>
      <c r="U3" s="23">
        <v>9</v>
      </c>
      <c r="V3" s="23">
        <v>20</v>
      </c>
      <c r="W3" s="24">
        <v>64</v>
      </c>
      <c r="X3" s="7">
        <v>-0.30476190476190479</v>
      </c>
      <c r="Y3" s="8">
        <v>-0.58904109589041098</v>
      </c>
      <c r="Z3" s="8">
        <v>-1.666666666666667</v>
      </c>
      <c r="AA3" s="9">
        <v>3.25</v>
      </c>
    </row>
    <row r="4" spans="2:27" x14ac:dyDescent="0.3">
      <c r="B4" s="12" t="s">
        <v>381</v>
      </c>
      <c r="C4" s="3" t="s">
        <v>434</v>
      </c>
      <c r="D4" s="3" t="s">
        <v>450</v>
      </c>
      <c r="E4" s="3" t="s">
        <v>436</v>
      </c>
      <c r="F4" s="14">
        <v>189</v>
      </c>
      <c r="G4" s="23">
        <v>-28.58</v>
      </c>
      <c r="H4" s="23">
        <v>-21.21</v>
      </c>
      <c r="I4" s="23">
        <v>-21.07</v>
      </c>
      <c r="J4" s="23">
        <v>-19.55</v>
      </c>
      <c r="K4" s="23">
        <v>-15.2</v>
      </c>
      <c r="L4" s="23">
        <v>-9.0399999999999991</v>
      </c>
      <c r="M4" s="23">
        <v>-6.41</v>
      </c>
      <c r="N4" s="23">
        <v>-5.18</v>
      </c>
      <c r="O4" s="23">
        <v>-2.58</v>
      </c>
      <c r="P4" s="23">
        <v>-1.68</v>
      </c>
      <c r="Q4" s="23">
        <v>-3.49</v>
      </c>
      <c r="R4" s="23">
        <v>0.1</v>
      </c>
      <c r="S4" s="23">
        <v>1.77</v>
      </c>
      <c r="T4" s="23">
        <v>-1.0900000000000001</v>
      </c>
      <c r="U4" s="23">
        <v>-1.79</v>
      </c>
      <c r="V4" s="23">
        <v>2.2000000000000002</v>
      </c>
      <c r="W4" s="24">
        <v>3.83</v>
      </c>
      <c r="X4" s="7">
        <v>-0.17878787878787869</v>
      </c>
      <c r="Y4" s="8">
        <v>-0.62730627306273068</v>
      </c>
      <c r="Z4" s="8">
        <v>-2.0792079207920788</v>
      </c>
      <c r="AA4" s="9">
        <v>1.8899082568807339</v>
      </c>
    </row>
    <row r="5" spans="2:27" x14ac:dyDescent="0.3">
      <c r="B5" s="12" t="s">
        <v>125</v>
      </c>
      <c r="C5" s="3" t="s">
        <v>434</v>
      </c>
      <c r="D5" s="3" t="s">
        <v>438</v>
      </c>
      <c r="E5" s="3" t="s">
        <v>436</v>
      </c>
      <c r="F5" s="14">
        <v>105.6</v>
      </c>
      <c r="G5" s="23">
        <v>27.08</v>
      </c>
      <c r="H5" s="23">
        <v>-4.71</v>
      </c>
      <c r="I5" s="23">
        <v>-4.6900000000000004</v>
      </c>
      <c r="J5" s="23">
        <v>-13.74</v>
      </c>
      <c r="K5" s="23">
        <v>-28.47</v>
      </c>
      <c r="L5" s="24">
        <v>-115.47</v>
      </c>
      <c r="M5" s="23">
        <v>-11.89</v>
      </c>
      <c r="N5" s="23">
        <v>-9.25</v>
      </c>
      <c r="O5" s="24">
        <v>-193.17</v>
      </c>
      <c r="P5" s="23">
        <v>-22.8</v>
      </c>
      <c r="Q5" s="23">
        <v>-5.59</v>
      </c>
      <c r="R5" s="23">
        <v>7.59</v>
      </c>
      <c r="S5" s="23">
        <v>35.950000000000003</v>
      </c>
      <c r="T5" s="24">
        <v>37.869999999999997</v>
      </c>
      <c r="U5" s="24">
        <v>24.93</v>
      </c>
      <c r="V5" s="24">
        <v>76.87</v>
      </c>
      <c r="W5" s="24">
        <v>221.36</v>
      </c>
      <c r="X5" s="10">
        <v>4.0046204620462031</v>
      </c>
      <c r="Y5" s="9">
        <v>0.40253231337378009</v>
      </c>
      <c r="Z5" s="9">
        <v>0.65149520406244132</v>
      </c>
      <c r="AA5" s="9">
        <v>1.055745359298486</v>
      </c>
    </row>
    <row r="6" spans="2:27" x14ac:dyDescent="0.3">
      <c r="B6" s="12" t="s">
        <v>69</v>
      </c>
      <c r="C6" s="3" t="s">
        <v>434</v>
      </c>
      <c r="D6" s="3" t="s">
        <v>457</v>
      </c>
      <c r="E6" s="3" t="s">
        <v>436</v>
      </c>
      <c r="F6" s="14">
        <v>95.6</v>
      </c>
      <c r="G6" s="23">
        <v>123</v>
      </c>
      <c r="H6" s="23">
        <v>248</v>
      </c>
      <c r="I6" s="23">
        <v>212</v>
      </c>
      <c r="J6" s="23">
        <v>309</v>
      </c>
      <c r="K6" s="23">
        <v>132</v>
      </c>
      <c r="L6" s="23">
        <v>222</v>
      </c>
      <c r="M6" s="23">
        <v>217</v>
      </c>
      <c r="N6" s="24">
        <v>482</v>
      </c>
      <c r="O6" s="23">
        <v>-342</v>
      </c>
      <c r="P6" s="23">
        <v>222</v>
      </c>
      <c r="Q6" s="23">
        <v>190</v>
      </c>
      <c r="R6" s="23">
        <v>313</v>
      </c>
      <c r="S6" s="23">
        <v>-305</v>
      </c>
      <c r="T6" s="23">
        <v>257</v>
      </c>
      <c r="U6" s="23">
        <v>223</v>
      </c>
      <c r="V6" s="23">
        <v>349</v>
      </c>
      <c r="W6" s="24">
        <v>196</v>
      </c>
      <c r="X6" s="7">
        <v>8.3333333333333259E-2</v>
      </c>
      <c r="Y6" s="8">
        <v>7.2527472527472492E-2</v>
      </c>
      <c r="Z6" s="8">
        <v>7.3770491803278659E-2</v>
      </c>
      <c r="AA6" s="9">
        <v>0.95610687022900764</v>
      </c>
    </row>
    <row r="7" spans="2:27" x14ac:dyDescent="0.3">
      <c r="B7" s="12" t="s">
        <v>194</v>
      </c>
      <c r="C7" s="3" t="s">
        <v>434</v>
      </c>
      <c r="D7" s="3" t="s">
        <v>444</v>
      </c>
      <c r="E7" s="3" t="s">
        <v>436</v>
      </c>
      <c r="F7" s="14">
        <v>66.3</v>
      </c>
      <c r="G7" s="23">
        <v>2448</v>
      </c>
      <c r="H7" s="23">
        <v>-657</v>
      </c>
      <c r="I7" s="23">
        <v>-1061</v>
      </c>
      <c r="J7" s="23">
        <v>-126</v>
      </c>
      <c r="K7" s="23">
        <v>-1435</v>
      </c>
      <c r="L7" s="23">
        <v>1847</v>
      </c>
      <c r="M7" s="23">
        <v>621</v>
      </c>
      <c r="N7" s="23">
        <v>-1058</v>
      </c>
      <c r="O7" s="23">
        <v>2069</v>
      </c>
      <c r="P7" s="23">
        <v>1390</v>
      </c>
      <c r="Q7" s="24">
        <v>1415</v>
      </c>
      <c r="R7" s="24">
        <v>553</v>
      </c>
      <c r="S7" s="23">
        <v>-357</v>
      </c>
      <c r="T7" s="23">
        <v>920</v>
      </c>
      <c r="U7" s="23">
        <v>740</v>
      </c>
      <c r="V7" s="24">
        <v>1773</v>
      </c>
      <c r="W7" s="24">
        <v>1682</v>
      </c>
      <c r="X7" s="7">
        <v>-0.15661446184605129</v>
      </c>
      <c r="Y7" s="8">
        <v>-0.26669300671671281</v>
      </c>
      <c r="Z7" s="9">
        <v>0.65732758620689657</v>
      </c>
      <c r="AA7" s="9">
        <v>0.66287386215864763</v>
      </c>
    </row>
    <row r="8" spans="2:27" x14ac:dyDescent="0.3">
      <c r="B8" s="12" t="s">
        <v>274</v>
      </c>
      <c r="C8" s="3" t="s">
        <v>434</v>
      </c>
      <c r="D8" s="3" t="s">
        <v>437</v>
      </c>
      <c r="E8" s="3" t="s">
        <v>436</v>
      </c>
      <c r="F8" s="14">
        <v>38.299999999999997</v>
      </c>
      <c r="G8" s="23">
        <v>890</v>
      </c>
      <c r="H8" s="23">
        <v>740.2</v>
      </c>
      <c r="I8" s="23">
        <v>323.39999999999998</v>
      </c>
      <c r="J8" s="23">
        <v>404.2</v>
      </c>
      <c r="K8" s="23">
        <v>143.19999999999999</v>
      </c>
      <c r="L8" s="23">
        <v>156.1</v>
      </c>
      <c r="M8" s="23">
        <v>-85.6</v>
      </c>
      <c r="N8" s="23">
        <v>161.6</v>
      </c>
      <c r="O8" s="23">
        <v>-839.7</v>
      </c>
      <c r="P8" s="23">
        <v>127.9</v>
      </c>
      <c r="Q8" s="23">
        <v>223.6</v>
      </c>
      <c r="R8" s="23">
        <v>786.2</v>
      </c>
      <c r="S8" s="24">
        <v>231.7</v>
      </c>
      <c r="T8" s="23">
        <v>164.9</v>
      </c>
      <c r="U8" s="24">
        <v>393.7</v>
      </c>
      <c r="V8" s="23">
        <v>-37.4</v>
      </c>
      <c r="W8" s="24">
        <v>519.9</v>
      </c>
      <c r="X8" s="7">
        <v>2.701913246677368E-2</v>
      </c>
      <c r="Y8" s="9">
        <v>0.1209470989761092</v>
      </c>
      <c r="Z8" s="8">
        <v>-0.52242308912147162</v>
      </c>
      <c r="AA8" s="9">
        <v>0.3827865586399255</v>
      </c>
    </row>
    <row r="9" spans="2:27" x14ac:dyDescent="0.3">
      <c r="B9" s="12" t="s">
        <v>139</v>
      </c>
      <c r="C9" s="3" t="s">
        <v>434</v>
      </c>
      <c r="D9" s="3" t="s">
        <v>489</v>
      </c>
      <c r="E9" s="3" t="s">
        <v>436</v>
      </c>
      <c r="F9" s="14">
        <v>36.5</v>
      </c>
      <c r="G9" s="23">
        <v>-102</v>
      </c>
      <c r="H9" s="23">
        <v>118</v>
      </c>
      <c r="I9" s="23">
        <v>32</v>
      </c>
      <c r="J9" s="23">
        <v>-809</v>
      </c>
      <c r="K9" s="24">
        <v>-192</v>
      </c>
      <c r="L9" s="24">
        <v>-122</v>
      </c>
      <c r="M9" s="23">
        <v>-57</v>
      </c>
      <c r="N9" s="23">
        <v>-77</v>
      </c>
      <c r="O9" s="23">
        <v>-106</v>
      </c>
      <c r="P9" s="23">
        <v>-84</v>
      </c>
      <c r="Q9" s="23">
        <v>-72</v>
      </c>
      <c r="R9" s="23">
        <v>-66</v>
      </c>
      <c r="S9" s="23">
        <v>-81</v>
      </c>
      <c r="T9" s="23">
        <v>-53</v>
      </c>
      <c r="U9" s="23">
        <v>-4</v>
      </c>
      <c r="V9" s="23">
        <v>-65</v>
      </c>
      <c r="W9" s="24">
        <v>-155</v>
      </c>
      <c r="X9" s="7">
        <v>-0.1023102310231023</v>
      </c>
      <c r="Y9" s="8">
        <v>-0.25</v>
      </c>
      <c r="Z9" s="8">
        <v>-4.9019607843137081E-3</v>
      </c>
      <c r="AA9" s="9">
        <v>0.3645320197044335</v>
      </c>
    </row>
    <row r="10" spans="2:27" x14ac:dyDescent="0.3">
      <c r="B10" s="12" t="s">
        <v>282</v>
      </c>
      <c r="C10" s="3" t="s">
        <v>434</v>
      </c>
      <c r="D10" s="3" t="s">
        <v>437</v>
      </c>
      <c r="E10" s="3" t="s">
        <v>436</v>
      </c>
      <c r="F10" s="14">
        <v>36.299999999999997</v>
      </c>
      <c r="G10" s="23">
        <v>13.75</v>
      </c>
      <c r="H10" s="23">
        <v>11.04</v>
      </c>
      <c r="I10" s="23">
        <v>6.25</v>
      </c>
      <c r="J10" s="23">
        <v>9.0500000000000007</v>
      </c>
      <c r="K10" s="23">
        <v>17.07</v>
      </c>
      <c r="L10" s="23">
        <v>13.21</v>
      </c>
      <c r="M10" s="24">
        <v>11.49</v>
      </c>
      <c r="N10" s="23">
        <v>11.27</v>
      </c>
      <c r="O10" s="23">
        <v>10.88</v>
      </c>
      <c r="P10" s="23">
        <v>16.32</v>
      </c>
      <c r="Q10" s="24">
        <v>19.059999999999999</v>
      </c>
      <c r="R10" s="24">
        <v>20.36</v>
      </c>
      <c r="S10" s="23">
        <v>14.4</v>
      </c>
      <c r="T10" s="23">
        <v>16.64</v>
      </c>
      <c r="U10" s="23">
        <v>22.41</v>
      </c>
      <c r="V10" s="23">
        <v>16.86</v>
      </c>
      <c r="W10" s="24">
        <v>39.950000000000003</v>
      </c>
      <c r="X10" s="7">
        <v>4.5623039635014351E-3</v>
      </c>
      <c r="Y10" s="8">
        <v>4.7544706216293031E-2</v>
      </c>
      <c r="Z10" s="8">
        <v>-4.7419048909361883E-2</v>
      </c>
      <c r="AA10" s="9">
        <v>0.36339069833594068</v>
      </c>
    </row>
    <row r="11" spans="2:27" x14ac:dyDescent="0.3">
      <c r="B11" s="12" t="s">
        <v>15</v>
      </c>
      <c r="C11" s="3" t="s">
        <v>434</v>
      </c>
      <c r="D11" s="3" t="s">
        <v>453</v>
      </c>
      <c r="E11" s="3" t="s">
        <v>454</v>
      </c>
      <c r="F11" s="14">
        <v>34.4</v>
      </c>
      <c r="G11" s="23">
        <v>28.1</v>
      </c>
      <c r="H11" s="23">
        <v>31.4</v>
      </c>
      <c r="I11" s="23">
        <v>34.1</v>
      </c>
      <c r="J11" s="23">
        <v>31.8</v>
      </c>
      <c r="K11" s="23">
        <v>33.1</v>
      </c>
      <c r="L11" s="23">
        <v>35.700000000000003</v>
      </c>
      <c r="M11" s="23">
        <v>37.1</v>
      </c>
      <c r="N11" s="23">
        <v>37.4</v>
      </c>
      <c r="O11" s="23">
        <v>39.1</v>
      </c>
      <c r="P11" s="23">
        <v>45.4</v>
      </c>
      <c r="Q11" s="24">
        <v>53.8</v>
      </c>
      <c r="R11" s="23">
        <v>42.6</v>
      </c>
      <c r="S11" s="23">
        <v>-3.6</v>
      </c>
      <c r="T11" s="24">
        <v>64.7</v>
      </c>
      <c r="U11" s="24">
        <v>84</v>
      </c>
      <c r="V11" s="24">
        <v>61.9</v>
      </c>
      <c r="W11" s="24">
        <v>67.7</v>
      </c>
      <c r="X11" s="10">
        <v>0.13965267727930539</v>
      </c>
      <c r="Y11" s="9">
        <v>0.1917460317460318</v>
      </c>
      <c r="Z11" s="9">
        <v>0.10282365476824711</v>
      </c>
      <c r="AA11" s="9">
        <v>0.34444444444444461</v>
      </c>
    </row>
    <row r="12" spans="2:27" x14ac:dyDescent="0.3">
      <c r="B12" s="12" t="s">
        <v>252</v>
      </c>
      <c r="C12" s="3" t="s">
        <v>434</v>
      </c>
      <c r="D12" s="3" t="s">
        <v>449</v>
      </c>
      <c r="E12" s="3" t="s">
        <v>436</v>
      </c>
      <c r="F12" s="14">
        <v>29.6</v>
      </c>
      <c r="G12" s="23">
        <v>-103.26</v>
      </c>
      <c r="H12" s="23">
        <v>-103.54</v>
      </c>
      <c r="I12" s="23">
        <v>-106.34</v>
      </c>
      <c r="J12" s="23">
        <v>-74</v>
      </c>
      <c r="K12" s="24">
        <v>-348.96</v>
      </c>
      <c r="L12" s="23">
        <v>-49.66</v>
      </c>
      <c r="M12" s="23">
        <v>-41.46</v>
      </c>
      <c r="N12" s="23">
        <v>-49.73</v>
      </c>
      <c r="O12" s="23">
        <v>-38.479999999999997</v>
      </c>
      <c r="P12" s="23">
        <v>-6.32</v>
      </c>
      <c r="Q12" s="23">
        <v>-4.16</v>
      </c>
      <c r="R12" s="23">
        <v>8.14</v>
      </c>
      <c r="S12" s="23">
        <v>12.11</v>
      </c>
      <c r="T12" s="24">
        <v>17.43</v>
      </c>
      <c r="U12" s="24">
        <v>39.78</v>
      </c>
      <c r="V12" s="24">
        <v>33.270000000000003</v>
      </c>
      <c r="W12" s="24">
        <v>42.44</v>
      </c>
      <c r="X12" s="10">
        <v>2.430910951893551</v>
      </c>
      <c r="Y12" s="9">
        <v>1.310859188544153</v>
      </c>
      <c r="Z12" s="9">
        <v>0.32442550994061442</v>
      </c>
      <c r="AA12" s="9">
        <v>0.29564285018032971</v>
      </c>
    </row>
    <row r="13" spans="2:27" x14ac:dyDescent="0.3">
      <c r="B13" s="12" t="s">
        <v>111</v>
      </c>
      <c r="C13" s="3" t="s">
        <v>434</v>
      </c>
      <c r="D13" s="3" t="s">
        <v>440</v>
      </c>
      <c r="E13" s="3" t="s">
        <v>436</v>
      </c>
      <c r="F13" s="14">
        <v>25.9</v>
      </c>
      <c r="G13" s="23">
        <v>358</v>
      </c>
      <c r="H13" s="23">
        <v>383</v>
      </c>
      <c r="I13" s="23">
        <v>255</v>
      </c>
      <c r="J13" s="23">
        <v>-23</v>
      </c>
      <c r="K13" s="23">
        <v>311</v>
      </c>
      <c r="L13" s="23">
        <v>399</v>
      </c>
      <c r="M13" s="24">
        <v>392</v>
      </c>
      <c r="N13" s="24">
        <v>360</v>
      </c>
      <c r="O13" s="24">
        <v>494</v>
      </c>
      <c r="P13" s="23">
        <v>462</v>
      </c>
      <c r="Q13" s="23">
        <v>436</v>
      </c>
      <c r="R13" s="23">
        <v>393</v>
      </c>
      <c r="S13" s="23">
        <v>53</v>
      </c>
      <c r="T13" s="23">
        <v>381</v>
      </c>
      <c r="U13" s="23">
        <v>411</v>
      </c>
      <c r="V13" s="24">
        <v>549</v>
      </c>
      <c r="W13" s="24">
        <v>414</v>
      </c>
      <c r="X13" s="7">
        <v>-6.0267857142857102E-2</v>
      </c>
      <c r="Y13" s="8">
        <v>-1.9794140934283441E-2</v>
      </c>
      <c r="Z13" s="9">
        <v>0.12600969305331189</v>
      </c>
      <c r="AA13" s="9">
        <v>0.25896700143472029</v>
      </c>
    </row>
    <row r="14" spans="2:27" x14ac:dyDescent="0.3">
      <c r="B14" s="12" t="s">
        <v>37</v>
      </c>
      <c r="C14" s="3" t="s">
        <v>434</v>
      </c>
      <c r="D14" s="3" t="s">
        <v>441</v>
      </c>
      <c r="E14" s="3" t="s">
        <v>436</v>
      </c>
      <c r="F14" s="14">
        <v>18</v>
      </c>
      <c r="G14" s="23">
        <v>48.81</v>
      </c>
      <c r="H14" s="23">
        <v>35.369999999999997</v>
      </c>
      <c r="I14" s="23">
        <v>56.27</v>
      </c>
      <c r="J14" s="23">
        <v>81.03</v>
      </c>
      <c r="K14" s="24">
        <v>79.599999999999994</v>
      </c>
      <c r="L14" s="24">
        <v>63.07</v>
      </c>
      <c r="M14" s="24">
        <v>91.49</v>
      </c>
      <c r="N14" s="24">
        <v>134.56</v>
      </c>
      <c r="O14" s="24">
        <v>118.96</v>
      </c>
      <c r="P14" s="24">
        <v>134.63999999999999</v>
      </c>
      <c r="Q14" s="24">
        <v>184.06</v>
      </c>
      <c r="R14" s="24">
        <v>201.54</v>
      </c>
      <c r="S14" s="24">
        <v>226.1</v>
      </c>
      <c r="T14" s="23">
        <v>208.54</v>
      </c>
      <c r="U14" s="24">
        <v>299.43</v>
      </c>
      <c r="V14" s="24">
        <v>378.29</v>
      </c>
      <c r="W14" s="24">
        <v>426.35</v>
      </c>
      <c r="X14" s="7">
        <v>9.9016534019347846E-2</v>
      </c>
      <c r="Y14" s="9">
        <v>0.14065395494001759</v>
      </c>
      <c r="Z14" s="9">
        <v>0.18891418432894061</v>
      </c>
      <c r="AA14" s="9">
        <v>0.18002265453630131</v>
      </c>
    </row>
    <row r="15" spans="2:27" x14ac:dyDescent="0.3">
      <c r="B15" s="12" t="s">
        <v>22</v>
      </c>
      <c r="C15" s="3" t="s">
        <v>434</v>
      </c>
      <c r="D15" s="3" t="s">
        <v>447</v>
      </c>
      <c r="E15" s="3" t="s">
        <v>436</v>
      </c>
      <c r="F15" s="14">
        <v>17.8</v>
      </c>
      <c r="G15" s="23">
        <v>-645</v>
      </c>
      <c r="H15" s="23">
        <v>834</v>
      </c>
      <c r="I15" s="23">
        <v>562</v>
      </c>
      <c r="J15" s="23">
        <v>306</v>
      </c>
      <c r="K15" s="24">
        <v>-97</v>
      </c>
      <c r="L15" s="23">
        <v>513</v>
      </c>
      <c r="M15" s="23">
        <v>407</v>
      </c>
      <c r="N15" s="23">
        <v>275</v>
      </c>
      <c r="O15" s="23">
        <v>-487</v>
      </c>
      <c r="P15" s="24">
        <v>958</v>
      </c>
      <c r="Q15" s="24">
        <v>1344</v>
      </c>
      <c r="R15" s="24">
        <v>1298</v>
      </c>
      <c r="S15" s="24">
        <v>2310</v>
      </c>
      <c r="T15" s="24">
        <v>2016</v>
      </c>
      <c r="U15" s="24">
        <v>2417</v>
      </c>
      <c r="V15" s="24">
        <v>2588</v>
      </c>
      <c r="W15" s="24">
        <v>3974</v>
      </c>
      <c r="X15" s="10">
        <v>0.17901861252115059</v>
      </c>
      <c r="Y15" s="9">
        <v>0.15398966704936859</v>
      </c>
      <c r="Z15" s="9">
        <v>0.16042780748663099</v>
      </c>
      <c r="AA15" s="9">
        <v>0.17833029685992921</v>
      </c>
    </row>
    <row r="16" spans="2:27" x14ac:dyDescent="0.3">
      <c r="B16" s="12" t="s">
        <v>250</v>
      </c>
      <c r="C16" s="3" t="s">
        <v>434</v>
      </c>
      <c r="D16" s="3" t="s">
        <v>446</v>
      </c>
      <c r="E16" s="3" t="s">
        <v>436</v>
      </c>
      <c r="F16" s="14">
        <v>16.5</v>
      </c>
      <c r="G16" s="23"/>
      <c r="H16" s="23">
        <v>-73.680000000000007</v>
      </c>
      <c r="I16" s="23">
        <v>249.93</v>
      </c>
      <c r="J16" s="23">
        <v>-148.19</v>
      </c>
      <c r="K16" s="23">
        <v>-21.21</v>
      </c>
      <c r="L16" s="24">
        <v>62.15</v>
      </c>
      <c r="M16" s="23">
        <v>52.77</v>
      </c>
      <c r="N16" s="23">
        <v>58.89</v>
      </c>
      <c r="O16" s="24">
        <v>109.03</v>
      </c>
      <c r="P16" s="24">
        <v>285.76</v>
      </c>
      <c r="Q16" s="24">
        <v>210.69</v>
      </c>
      <c r="R16" s="23">
        <v>75.39</v>
      </c>
      <c r="S16" s="23">
        <v>75.569999999999993</v>
      </c>
      <c r="T16" s="23">
        <v>192.6</v>
      </c>
      <c r="U16" s="24">
        <v>279.7</v>
      </c>
      <c r="V16" s="24">
        <v>182.61</v>
      </c>
      <c r="W16" s="24">
        <v>196.17</v>
      </c>
      <c r="X16" s="7">
        <v>-0.14389644892726389</v>
      </c>
      <c r="Y16" s="9">
        <v>0.12451059990978799</v>
      </c>
      <c r="Z16" s="9">
        <v>0.1720309341205917</v>
      </c>
      <c r="AA16" s="9">
        <v>0.1650969225714598</v>
      </c>
    </row>
    <row r="17" spans="2:27" x14ac:dyDescent="0.3">
      <c r="B17" s="12" t="s">
        <v>196</v>
      </c>
      <c r="C17" s="3" t="s">
        <v>434</v>
      </c>
      <c r="D17" s="3" t="s">
        <v>443</v>
      </c>
      <c r="E17" s="3" t="s">
        <v>436</v>
      </c>
      <c r="F17" s="14">
        <v>14.7</v>
      </c>
      <c r="G17" s="23">
        <v>32.200000000000003</v>
      </c>
      <c r="H17" s="23">
        <v>10.029999999999999</v>
      </c>
      <c r="I17" s="23">
        <v>126.94</v>
      </c>
      <c r="J17" s="23">
        <v>56.32</v>
      </c>
      <c r="K17" s="24">
        <v>78.02</v>
      </c>
      <c r="L17" s="23">
        <v>15.63</v>
      </c>
      <c r="M17" s="24">
        <v>156.11000000000001</v>
      </c>
      <c r="N17" s="23">
        <v>58.71</v>
      </c>
      <c r="O17" s="24">
        <v>111.45</v>
      </c>
      <c r="P17" s="23">
        <v>11.13</v>
      </c>
      <c r="Q17" s="23">
        <v>166.6</v>
      </c>
      <c r="R17" s="23">
        <v>72.040000000000006</v>
      </c>
      <c r="S17" s="23">
        <v>124.22</v>
      </c>
      <c r="T17" s="23">
        <v>-13.19</v>
      </c>
      <c r="U17" s="23">
        <v>193.34</v>
      </c>
      <c r="V17" s="23">
        <v>71.47</v>
      </c>
      <c r="W17" s="24">
        <v>179.5</v>
      </c>
      <c r="X17" s="7">
        <v>-6.502847669723788E-2</v>
      </c>
      <c r="Y17" s="8">
        <v>7.6472102267852504E-2</v>
      </c>
      <c r="Z17" s="8">
        <v>-1.5143062086555581E-3</v>
      </c>
      <c r="AA17" s="9">
        <v>0.1470838654746702</v>
      </c>
    </row>
    <row r="18" spans="2:27" x14ac:dyDescent="0.3">
      <c r="B18" s="12" t="s">
        <v>295</v>
      </c>
      <c r="C18" s="3" t="s">
        <v>434</v>
      </c>
      <c r="D18" s="3" t="s">
        <v>471</v>
      </c>
      <c r="E18" s="3" t="s">
        <v>436</v>
      </c>
      <c r="F18" s="14">
        <v>14.6</v>
      </c>
      <c r="G18" s="23">
        <v>67.680000000000007</v>
      </c>
      <c r="H18" s="23">
        <v>103.99</v>
      </c>
      <c r="I18" s="23">
        <v>105.84</v>
      </c>
      <c r="J18" s="23">
        <v>83.03</v>
      </c>
      <c r="K18" s="23">
        <v>86.63</v>
      </c>
      <c r="L18" s="24">
        <v>151.46</v>
      </c>
      <c r="M18" s="24">
        <v>159.19999999999999</v>
      </c>
      <c r="N18" s="23">
        <v>129.96</v>
      </c>
      <c r="O18" s="23">
        <v>0</v>
      </c>
      <c r="P18" s="23">
        <v>118.47</v>
      </c>
      <c r="Q18" s="23">
        <v>73.86</v>
      </c>
      <c r="R18" s="23">
        <v>54.9</v>
      </c>
      <c r="S18" s="23">
        <v>21.09</v>
      </c>
      <c r="T18" s="23">
        <v>112.75</v>
      </c>
      <c r="U18" s="23">
        <v>86.53</v>
      </c>
      <c r="V18" s="23">
        <v>72.959999999999994</v>
      </c>
      <c r="W18" s="24">
        <v>63.94</v>
      </c>
      <c r="X18" s="7">
        <v>-2.1317829457364271E-2</v>
      </c>
      <c r="Y18" s="8">
        <v>4.8248286367098103E-2</v>
      </c>
      <c r="Z18" s="8">
        <v>6.5608311839285172E-2</v>
      </c>
      <c r="AA18" s="9">
        <v>0.1460812054682441</v>
      </c>
    </row>
    <row r="19" spans="2:27" x14ac:dyDescent="0.3">
      <c r="B19" s="12" t="s">
        <v>17</v>
      </c>
      <c r="C19" s="3" t="s">
        <v>434</v>
      </c>
      <c r="D19" s="3" t="s">
        <v>500</v>
      </c>
      <c r="E19" s="3" t="s">
        <v>501</v>
      </c>
      <c r="F19" s="14">
        <f>AA19*100</f>
        <v>11.665641341125799</v>
      </c>
      <c r="G19" s="23">
        <v>12268</v>
      </c>
      <c r="H19" s="25"/>
      <c r="I19" s="23">
        <v>11498</v>
      </c>
      <c r="J19" s="25"/>
      <c r="K19" s="23">
        <v>6597</v>
      </c>
      <c r="L19" s="25"/>
      <c r="M19" s="23">
        <v>7862</v>
      </c>
      <c r="N19" s="25"/>
      <c r="O19" s="23">
        <v>7005</v>
      </c>
      <c r="P19" s="25"/>
      <c r="Q19" s="23">
        <v>7718</v>
      </c>
      <c r="R19" s="25"/>
      <c r="S19" s="23">
        <v>6272</v>
      </c>
      <c r="T19" s="25"/>
      <c r="U19" s="23">
        <v>6732</v>
      </c>
      <c r="V19" s="25"/>
      <c r="W19" s="28">
        <v>7789</v>
      </c>
      <c r="X19" s="7">
        <v>-9.6858814824779538E-3</v>
      </c>
      <c r="Y19" s="8">
        <v>-4.97860490389187E-2</v>
      </c>
      <c r="Z19" s="8">
        <v>-7.0478913509649743E-2</v>
      </c>
      <c r="AA19" s="22">
        <f>SUM(U19,W19)/SUM(S19,U19)-1</f>
        <v>0.11665641341125799</v>
      </c>
    </row>
    <row r="20" spans="2:27" x14ac:dyDescent="0.3">
      <c r="B20" s="12" t="s">
        <v>145</v>
      </c>
      <c r="C20" s="3" t="s">
        <v>434</v>
      </c>
      <c r="D20" s="3" t="s">
        <v>435</v>
      </c>
      <c r="E20" s="3" t="s">
        <v>436</v>
      </c>
      <c r="F20" s="14">
        <v>11.3</v>
      </c>
      <c r="G20" s="23">
        <v>-58.66</v>
      </c>
      <c r="H20" s="23">
        <v>-68.849999999999994</v>
      </c>
      <c r="I20" s="23">
        <v>-59.39</v>
      </c>
      <c r="J20" s="23">
        <v>-44.29</v>
      </c>
      <c r="K20" s="23">
        <v>-40.450000000000003</v>
      </c>
      <c r="L20" s="23">
        <v>-38.090000000000003</v>
      </c>
      <c r="M20" s="23">
        <v>-34.96</v>
      </c>
      <c r="N20" s="23">
        <v>-25.52</v>
      </c>
      <c r="O20" s="23">
        <v>-27.81</v>
      </c>
      <c r="P20" s="23">
        <v>-41.89</v>
      </c>
      <c r="Q20" s="23">
        <v>-37.49</v>
      </c>
      <c r="R20" s="24">
        <v>-56.84</v>
      </c>
      <c r="S20" s="24">
        <v>-63.96</v>
      </c>
      <c r="T20" s="24">
        <v>-74.73</v>
      </c>
      <c r="U20" s="24">
        <v>-76.069999999999993</v>
      </c>
      <c r="V20" s="23">
        <v>-78.36</v>
      </c>
      <c r="W20" s="24">
        <v>-97.04</v>
      </c>
      <c r="X20" s="10">
        <v>0.1640523528824058</v>
      </c>
      <c r="Y20" s="9">
        <v>0.16556518753755059</v>
      </c>
      <c r="Z20" s="8">
        <v>7.9234167893961649E-2</v>
      </c>
      <c r="AA20" s="9">
        <v>0.1128548034934498</v>
      </c>
    </row>
    <row r="21" spans="2:27" x14ac:dyDescent="0.3">
      <c r="B21" s="12" t="s">
        <v>315</v>
      </c>
      <c r="C21" s="3" t="s">
        <v>434</v>
      </c>
      <c r="D21" s="3" t="s">
        <v>448</v>
      </c>
      <c r="E21" s="3" t="s">
        <v>436</v>
      </c>
      <c r="F21" s="5">
        <v>9.4</v>
      </c>
      <c r="G21" s="23">
        <v>1.98</v>
      </c>
      <c r="H21" s="23">
        <v>-27.28</v>
      </c>
      <c r="I21" s="23">
        <v>-20.86</v>
      </c>
      <c r="J21" s="23">
        <v>-20.93</v>
      </c>
      <c r="K21" s="23">
        <v>-3.09</v>
      </c>
      <c r="L21" s="23">
        <v>-28.4</v>
      </c>
      <c r="M21" s="23">
        <v>-24.44</v>
      </c>
      <c r="N21" s="23">
        <v>-25.74</v>
      </c>
      <c r="O21" s="24">
        <v>-11.82</v>
      </c>
      <c r="P21" s="23">
        <v>-20.7</v>
      </c>
      <c r="Q21" s="23">
        <v>-19.37</v>
      </c>
      <c r="R21" s="23">
        <v>-15.42</v>
      </c>
      <c r="S21" s="23">
        <v>16.48</v>
      </c>
      <c r="T21" s="23">
        <v>-5.43</v>
      </c>
      <c r="U21" s="23">
        <v>8.31</v>
      </c>
      <c r="V21" s="24">
        <v>16.14</v>
      </c>
      <c r="W21" s="23">
        <v>19.8</v>
      </c>
      <c r="X21" s="7">
        <v>-0.39143809279671871</v>
      </c>
      <c r="Y21" s="8">
        <v>-1.1659646166807081</v>
      </c>
      <c r="Z21" s="9">
        <v>8.0101522842639561</v>
      </c>
      <c r="AA21" s="8">
        <v>9.3521126760563345E-2</v>
      </c>
    </row>
    <row r="22" spans="2:27" x14ac:dyDescent="0.3">
      <c r="B22" s="12" t="s">
        <v>212</v>
      </c>
      <c r="C22" s="3" t="s">
        <v>434</v>
      </c>
      <c r="D22" s="3" t="s">
        <v>475</v>
      </c>
      <c r="E22" s="3" t="s">
        <v>436</v>
      </c>
      <c r="F22" s="5">
        <v>7.4</v>
      </c>
      <c r="G22" s="23">
        <v>44.57</v>
      </c>
      <c r="H22" s="23">
        <v>26.66</v>
      </c>
      <c r="I22" s="23">
        <v>23.54</v>
      </c>
      <c r="J22" s="23">
        <v>28.66</v>
      </c>
      <c r="K22" s="23">
        <v>29.79</v>
      </c>
      <c r="L22" s="23">
        <v>14.06</v>
      </c>
      <c r="M22" s="23">
        <v>17.739999999999998</v>
      </c>
      <c r="N22" s="23">
        <v>23.1</v>
      </c>
      <c r="O22" s="23">
        <v>-22.27</v>
      </c>
      <c r="P22" s="24">
        <v>26.28</v>
      </c>
      <c r="Q22" s="24">
        <v>34.07</v>
      </c>
      <c r="R22" s="24">
        <v>44.21</v>
      </c>
      <c r="S22" s="24">
        <v>53.28</v>
      </c>
      <c r="T22" s="24">
        <v>45.76</v>
      </c>
      <c r="U22" s="24">
        <v>57.4</v>
      </c>
      <c r="V22" s="23">
        <v>58.48</v>
      </c>
      <c r="W22" s="23">
        <v>69.13</v>
      </c>
      <c r="X22" s="10">
        <v>0.12341611758743019</v>
      </c>
      <c r="Y22" s="9">
        <v>0.13157004286036539</v>
      </c>
      <c r="Z22" s="8">
        <v>7.111886369299758E-2</v>
      </c>
      <c r="AA22" s="8">
        <v>7.3748371487065034E-2</v>
      </c>
    </row>
    <row r="23" spans="2:27" x14ac:dyDescent="0.3">
      <c r="B23" s="12" t="s">
        <v>190</v>
      </c>
      <c r="C23" s="3" t="s">
        <v>434</v>
      </c>
      <c r="D23" s="3" t="s">
        <v>460</v>
      </c>
      <c r="E23" s="3" t="s">
        <v>436</v>
      </c>
      <c r="F23" s="5">
        <v>7.4</v>
      </c>
      <c r="G23" s="23">
        <v>8.9</v>
      </c>
      <c r="H23" s="23">
        <v>4.78</v>
      </c>
      <c r="I23" s="23">
        <v>11.3</v>
      </c>
      <c r="J23" s="23">
        <v>9.5</v>
      </c>
      <c r="K23" s="23">
        <v>8.1199999999999992</v>
      </c>
      <c r="L23" s="24">
        <v>10.44</v>
      </c>
      <c r="M23" s="24">
        <v>17.86</v>
      </c>
      <c r="N23" s="24">
        <v>15.7</v>
      </c>
      <c r="O23" s="23">
        <v>7.35</v>
      </c>
      <c r="P23" s="23">
        <v>1.0900000000000001</v>
      </c>
      <c r="Q23" s="23">
        <v>2.5099999999999998</v>
      </c>
      <c r="R23" s="23">
        <v>5.39</v>
      </c>
      <c r="S23" s="24">
        <v>9.65</v>
      </c>
      <c r="T23" s="23">
        <v>0.18</v>
      </c>
      <c r="U23" s="24">
        <v>50.83</v>
      </c>
      <c r="V23" s="24">
        <v>21.26</v>
      </c>
      <c r="W23" s="23">
        <v>15.69</v>
      </c>
      <c r="X23" s="7">
        <v>-4.8819742489270353E-2</v>
      </c>
      <c r="Y23" s="9">
        <v>2.725324309080654</v>
      </c>
      <c r="Z23" s="9">
        <v>0.24027252081756251</v>
      </c>
      <c r="AA23" s="8">
        <v>7.373046875E-2</v>
      </c>
    </row>
    <row r="24" spans="2:27" x14ac:dyDescent="0.3">
      <c r="B24" s="12" t="s">
        <v>35</v>
      </c>
      <c r="C24" s="3" t="s">
        <v>434</v>
      </c>
      <c r="D24" s="3" t="s">
        <v>486</v>
      </c>
      <c r="E24" s="3" t="s">
        <v>436</v>
      </c>
      <c r="F24" s="5">
        <v>7</v>
      </c>
      <c r="G24" s="23">
        <v>373</v>
      </c>
      <c r="H24" s="23">
        <v>295.8</v>
      </c>
      <c r="I24" s="23">
        <v>451.9</v>
      </c>
      <c r="J24" s="23">
        <v>430</v>
      </c>
      <c r="K24" s="24">
        <v>551.4</v>
      </c>
      <c r="L24" s="24">
        <v>836.7</v>
      </c>
      <c r="M24" s="23">
        <v>649.1</v>
      </c>
      <c r="N24" s="23">
        <v>505.1</v>
      </c>
      <c r="O24" s="23">
        <v>635.29999999999995</v>
      </c>
      <c r="P24" s="23">
        <v>639.4</v>
      </c>
      <c r="Q24" s="23">
        <v>627.20000000000005</v>
      </c>
      <c r="R24" s="23">
        <v>728.2</v>
      </c>
      <c r="S24" s="23">
        <v>700.5</v>
      </c>
      <c r="T24" s="23">
        <v>543.29999999999995</v>
      </c>
      <c r="U24" s="24">
        <v>1034</v>
      </c>
      <c r="V24" s="23">
        <v>836.9</v>
      </c>
      <c r="W24" s="23">
        <v>917.4</v>
      </c>
      <c r="X24" s="7">
        <v>-3.56546581085595E-2</v>
      </c>
      <c r="Y24" s="9">
        <v>0.1565096952908589</v>
      </c>
      <c r="Z24" s="8">
        <v>3.616101131071181E-2</v>
      </c>
      <c r="AA24" s="8">
        <v>6.963752528333389E-2</v>
      </c>
    </row>
    <row r="25" spans="2:27" x14ac:dyDescent="0.3">
      <c r="B25" s="12" t="s">
        <v>41</v>
      </c>
      <c r="C25" s="3" t="s">
        <v>434</v>
      </c>
      <c r="D25" s="3" t="s">
        <v>487</v>
      </c>
      <c r="E25" s="3" t="s">
        <v>436</v>
      </c>
      <c r="F25" s="5">
        <v>6.5</v>
      </c>
      <c r="G25" s="23">
        <v>1691</v>
      </c>
      <c r="H25" s="23">
        <v>1880</v>
      </c>
      <c r="I25" s="23">
        <v>3552</v>
      </c>
      <c r="J25" s="23">
        <v>2073</v>
      </c>
      <c r="K25" s="23">
        <v>1401</v>
      </c>
      <c r="L25" s="23">
        <v>749</v>
      </c>
      <c r="M25" s="23">
        <v>1019</v>
      </c>
      <c r="N25" s="24">
        <v>2622</v>
      </c>
      <c r="O25" s="23">
        <v>951</v>
      </c>
      <c r="P25" s="24">
        <v>1588</v>
      </c>
      <c r="Q25" s="23">
        <v>1423</v>
      </c>
      <c r="R25" s="23">
        <v>998</v>
      </c>
      <c r="S25" s="23">
        <v>994</v>
      </c>
      <c r="T25" s="23">
        <v>1211</v>
      </c>
      <c r="U25" s="23">
        <v>724</v>
      </c>
      <c r="V25" s="24">
        <v>1452</v>
      </c>
      <c r="W25" s="23">
        <v>1277</v>
      </c>
      <c r="X25" s="7">
        <v>-7.5354787127723366E-2</v>
      </c>
      <c r="Y25" s="8">
        <v>-0.15110246433203631</v>
      </c>
      <c r="Z25" s="9">
        <v>0.11560988031576259</v>
      </c>
      <c r="AA25" s="8">
        <v>6.4597123944305057E-2</v>
      </c>
    </row>
    <row r="26" spans="2:27" x14ac:dyDescent="0.3">
      <c r="B26" s="12" t="s">
        <v>311</v>
      </c>
      <c r="C26" s="3" t="s">
        <v>434</v>
      </c>
      <c r="D26" s="3" t="s">
        <v>459</v>
      </c>
      <c r="E26" s="3" t="s">
        <v>436</v>
      </c>
      <c r="F26" s="5">
        <v>6.3</v>
      </c>
      <c r="G26" s="23">
        <v>104.69</v>
      </c>
      <c r="H26" s="23">
        <v>80.010000000000005</v>
      </c>
      <c r="I26" s="23">
        <v>117.42</v>
      </c>
      <c r="J26" s="23">
        <v>114.21</v>
      </c>
      <c r="K26" s="23">
        <v>135.72999999999999</v>
      </c>
      <c r="L26" s="23">
        <v>93.33</v>
      </c>
      <c r="M26" s="23">
        <v>128.68</v>
      </c>
      <c r="N26" s="23">
        <v>108.16</v>
      </c>
      <c r="O26" s="23">
        <v>105.62</v>
      </c>
      <c r="P26" s="23">
        <v>94.36</v>
      </c>
      <c r="Q26" s="23">
        <v>117.53</v>
      </c>
      <c r="R26" s="23">
        <v>122.54</v>
      </c>
      <c r="S26" s="23">
        <v>104.65</v>
      </c>
      <c r="T26" s="23">
        <v>74.89</v>
      </c>
      <c r="U26" s="23">
        <v>91.85</v>
      </c>
      <c r="V26" s="23">
        <v>85</v>
      </c>
      <c r="W26" s="23">
        <v>126.96</v>
      </c>
      <c r="X26" s="7">
        <v>-4.4342716589232063E-2</v>
      </c>
      <c r="Y26" s="8">
        <v>-6.1199685422177803E-2</v>
      </c>
      <c r="Z26" s="8">
        <v>-9.5296118599751289E-2</v>
      </c>
      <c r="AA26" s="8">
        <v>6.2599960717191871E-2</v>
      </c>
    </row>
    <row r="27" spans="2:27" x14ac:dyDescent="0.3">
      <c r="B27" s="12" t="s">
        <v>25</v>
      </c>
      <c r="C27" s="3" t="s">
        <v>434</v>
      </c>
      <c r="D27" s="3" t="s">
        <v>457</v>
      </c>
      <c r="E27" s="3" t="s">
        <v>436</v>
      </c>
      <c r="F27" s="5">
        <v>5.7</v>
      </c>
      <c r="G27" s="23">
        <v>-194</v>
      </c>
      <c r="H27" s="23">
        <v>1525</v>
      </c>
      <c r="I27" s="23">
        <v>1819</v>
      </c>
      <c r="J27" s="23">
        <v>2357</v>
      </c>
      <c r="K27" s="24">
        <v>553</v>
      </c>
      <c r="L27" s="23">
        <v>1367</v>
      </c>
      <c r="M27" s="23">
        <v>1438</v>
      </c>
      <c r="N27" s="23">
        <v>2260</v>
      </c>
      <c r="O27" s="24">
        <v>1355</v>
      </c>
      <c r="P27" s="23">
        <v>1855</v>
      </c>
      <c r="Q27" s="23">
        <v>2092</v>
      </c>
      <c r="R27" s="23">
        <v>2520</v>
      </c>
      <c r="S27" s="23">
        <v>601</v>
      </c>
      <c r="T27" s="23">
        <v>2163</v>
      </c>
      <c r="U27" s="23">
        <v>1958</v>
      </c>
      <c r="V27" s="23">
        <v>2860</v>
      </c>
      <c r="W27" s="23">
        <v>1033</v>
      </c>
      <c r="X27" s="7">
        <v>4.3576683644595438E-2</v>
      </c>
      <c r="Y27" s="8">
        <v>-1.8167028199566171E-2</v>
      </c>
      <c r="Z27" s="8">
        <v>4.6948356807511749E-2</v>
      </c>
      <c r="AA27" s="8">
        <v>5.6977050910050009E-2</v>
      </c>
    </row>
    <row r="28" spans="2:27" x14ac:dyDescent="0.3">
      <c r="B28" s="12" t="s">
        <v>321</v>
      </c>
      <c r="C28" s="3" t="s">
        <v>434</v>
      </c>
      <c r="D28" s="3" t="s">
        <v>456</v>
      </c>
      <c r="E28" s="3" t="s">
        <v>436</v>
      </c>
      <c r="F28" s="5">
        <v>5.0999999999999996</v>
      </c>
      <c r="G28" s="23">
        <v>8.6999999999999993</v>
      </c>
      <c r="H28" s="23">
        <v>11.67</v>
      </c>
      <c r="I28" s="23">
        <v>10.92</v>
      </c>
      <c r="J28" s="23">
        <v>12.68</v>
      </c>
      <c r="K28" s="24">
        <v>15.22</v>
      </c>
      <c r="L28" s="23">
        <v>15.69</v>
      </c>
      <c r="M28" s="23">
        <v>15.97</v>
      </c>
      <c r="N28" s="23">
        <v>17.91</v>
      </c>
      <c r="O28" s="23">
        <v>20.36</v>
      </c>
      <c r="P28" s="23">
        <v>19.71</v>
      </c>
      <c r="Q28" s="24">
        <v>27.16</v>
      </c>
      <c r="R28" s="23">
        <v>19.7</v>
      </c>
      <c r="S28" s="23">
        <v>10.85</v>
      </c>
      <c r="T28" s="23">
        <v>2.39</v>
      </c>
      <c r="U28" s="23">
        <v>16.09</v>
      </c>
      <c r="V28" s="23">
        <v>17.13</v>
      </c>
      <c r="W28" s="23">
        <v>13.24</v>
      </c>
      <c r="X28" s="7">
        <v>-0.2237148023766469</v>
      </c>
      <c r="Y28" s="8">
        <v>-0.18419301164725449</v>
      </c>
      <c r="Z28" s="8">
        <v>-5.2416887619824548E-2</v>
      </c>
      <c r="AA28" s="8">
        <v>5.1442100731812213E-2</v>
      </c>
    </row>
    <row r="29" spans="2:27" x14ac:dyDescent="0.3">
      <c r="B29" s="12" t="s">
        <v>313</v>
      </c>
      <c r="C29" s="3" t="s">
        <v>434</v>
      </c>
      <c r="D29" s="3" t="s">
        <v>452</v>
      </c>
      <c r="E29" s="3" t="s">
        <v>436</v>
      </c>
      <c r="F29" s="5">
        <v>4.9000000000000004</v>
      </c>
      <c r="G29" s="23">
        <v>43.11</v>
      </c>
      <c r="H29" s="23">
        <v>32.96</v>
      </c>
      <c r="I29" s="23">
        <v>61.43</v>
      </c>
      <c r="J29" s="23">
        <v>65.680000000000007</v>
      </c>
      <c r="K29" s="23">
        <v>46.16</v>
      </c>
      <c r="L29" s="23">
        <v>15.77</v>
      </c>
      <c r="M29" s="23">
        <v>68.86</v>
      </c>
      <c r="N29" s="23">
        <v>20.350000000000001</v>
      </c>
      <c r="O29" s="23">
        <v>36.880000000000003</v>
      </c>
      <c r="P29" s="23">
        <v>16.27</v>
      </c>
      <c r="Q29" s="23">
        <v>32.22</v>
      </c>
      <c r="R29" s="24">
        <v>48.64</v>
      </c>
      <c r="S29" s="23">
        <v>37.47</v>
      </c>
      <c r="T29" s="23">
        <v>10.4</v>
      </c>
      <c r="U29" s="23">
        <v>34.909999999999997</v>
      </c>
      <c r="V29" s="23">
        <v>36.25</v>
      </c>
      <c r="W29" s="23">
        <v>43.34</v>
      </c>
      <c r="X29" s="7">
        <v>-4.3610698365527563E-2</v>
      </c>
      <c r="Y29" s="8">
        <v>2.0896449933970329E-2</v>
      </c>
      <c r="Z29" s="8">
        <v>-9.4277887688327455E-2</v>
      </c>
      <c r="AA29" s="8">
        <v>4.9315298664202263E-2</v>
      </c>
    </row>
    <row r="30" spans="2:27" x14ac:dyDescent="0.3">
      <c r="B30" s="12" t="s">
        <v>75</v>
      </c>
      <c r="C30" s="3" t="s">
        <v>434</v>
      </c>
      <c r="D30" s="3" t="s">
        <v>472</v>
      </c>
      <c r="E30" s="3" t="s">
        <v>436</v>
      </c>
      <c r="F30" s="5">
        <v>4.4000000000000004</v>
      </c>
      <c r="G30" s="23">
        <v>16.3</v>
      </c>
      <c r="H30" s="23">
        <v>11.5</v>
      </c>
      <c r="I30" s="23">
        <v>84.2</v>
      </c>
      <c r="J30" s="23">
        <v>81.8</v>
      </c>
      <c r="K30" s="24">
        <v>108.4</v>
      </c>
      <c r="L30" s="24">
        <v>47.7</v>
      </c>
      <c r="M30" s="24">
        <v>164.4</v>
      </c>
      <c r="N30" s="24">
        <v>162.30000000000001</v>
      </c>
      <c r="O30" s="24">
        <v>214.4</v>
      </c>
      <c r="P30" s="24">
        <v>164.1</v>
      </c>
      <c r="Q30" s="24">
        <v>307.8</v>
      </c>
      <c r="R30" s="24">
        <v>286.8</v>
      </c>
      <c r="S30" s="23">
        <v>198.1</v>
      </c>
      <c r="T30" s="23">
        <v>258.5</v>
      </c>
      <c r="U30" s="23">
        <v>403</v>
      </c>
      <c r="V30" s="24">
        <v>405</v>
      </c>
      <c r="W30" s="23">
        <v>253.7</v>
      </c>
      <c r="X30" s="7">
        <v>9.8662207357859577E-2</v>
      </c>
      <c r="Y30" s="8">
        <v>9.0563165905631626E-2</v>
      </c>
      <c r="Z30" s="9">
        <v>0.1031053733426377</v>
      </c>
      <c r="AA30" s="8">
        <v>4.3966471611576852E-2</v>
      </c>
    </row>
    <row r="31" spans="2:27" x14ac:dyDescent="0.3">
      <c r="B31" s="12" t="s">
        <v>119</v>
      </c>
      <c r="C31" s="3" t="s">
        <v>434</v>
      </c>
      <c r="D31" s="3" t="s">
        <v>449</v>
      </c>
      <c r="E31" s="3" t="s">
        <v>436</v>
      </c>
      <c r="F31" s="5">
        <v>3.9</v>
      </c>
      <c r="G31" s="23">
        <v>68.19</v>
      </c>
      <c r="H31" s="23">
        <v>72.36</v>
      </c>
      <c r="I31" s="23">
        <v>84.69</v>
      </c>
      <c r="J31" s="23">
        <v>90.3</v>
      </c>
      <c r="K31" s="23">
        <v>87.87</v>
      </c>
      <c r="L31" s="23">
        <v>93.51</v>
      </c>
      <c r="M31" s="23">
        <v>105.43</v>
      </c>
      <c r="N31" s="23">
        <v>114.08</v>
      </c>
      <c r="O31" s="23">
        <v>117.94</v>
      </c>
      <c r="P31" s="23">
        <v>121.44</v>
      </c>
      <c r="Q31" s="23">
        <v>128.82</v>
      </c>
      <c r="R31" s="23">
        <v>142.19999999999999</v>
      </c>
      <c r="S31" s="23">
        <v>151.69999999999999</v>
      </c>
      <c r="T31" s="23">
        <v>148.16999999999999</v>
      </c>
      <c r="U31" s="23">
        <v>160.59</v>
      </c>
      <c r="V31" s="23">
        <v>169.45</v>
      </c>
      <c r="W31" s="23">
        <v>176.22</v>
      </c>
      <c r="X31" s="7">
        <v>4.9121581887680232E-2</v>
      </c>
      <c r="Y31" s="8">
        <v>5.5649950077948367E-2</v>
      </c>
      <c r="Z31" s="8">
        <v>4.5216208143895383E-2</v>
      </c>
      <c r="AA31" s="8">
        <v>3.8926195805750068E-2</v>
      </c>
    </row>
    <row r="32" spans="2:27" x14ac:dyDescent="0.3">
      <c r="B32" s="12" t="s">
        <v>129</v>
      </c>
      <c r="C32" s="3" t="s">
        <v>434</v>
      </c>
      <c r="D32" s="3" t="s">
        <v>448</v>
      </c>
      <c r="E32" s="3" t="s">
        <v>436</v>
      </c>
      <c r="F32" s="5">
        <v>3.5</v>
      </c>
      <c r="G32" s="23">
        <v>84.2</v>
      </c>
      <c r="H32" s="23">
        <v>89.5</v>
      </c>
      <c r="I32" s="23">
        <v>91.6</v>
      </c>
      <c r="J32" s="23">
        <v>93.3</v>
      </c>
      <c r="K32" s="23">
        <v>83.4</v>
      </c>
      <c r="L32" s="23">
        <v>84.1</v>
      </c>
      <c r="M32" s="23">
        <v>96.2</v>
      </c>
      <c r="N32" s="24">
        <v>132.1</v>
      </c>
      <c r="O32" s="23">
        <v>110.4</v>
      </c>
      <c r="P32" s="24">
        <v>143.5</v>
      </c>
      <c r="Q32" s="23">
        <v>127</v>
      </c>
      <c r="R32" s="23">
        <v>127.8</v>
      </c>
      <c r="S32" s="23">
        <v>135.19999999999999</v>
      </c>
      <c r="T32" s="23">
        <v>186.1</v>
      </c>
      <c r="U32" s="23">
        <v>172.2</v>
      </c>
      <c r="V32" s="23">
        <v>174.9</v>
      </c>
      <c r="W32" s="23">
        <v>158.30000000000001</v>
      </c>
      <c r="X32" s="7">
        <v>7.9850046860356239E-2</v>
      </c>
      <c r="Y32" s="8">
        <v>7.8458600937337142E-2</v>
      </c>
      <c r="Z32" s="8">
        <v>7.5808788025108598E-2</v>
      </c>
      <c r="AA32" s="8">
        <v>3.4560143626570998E-2</v>
      </c>
    </row>
    <row r="33" spans="2:27" x14ac:dyDescent="0.3">
      <c r="B33" s="12" t="s">
        <v>147</v>
      </c>
      <c r="C33" s="3" t="s">
        <v>434</v>
      </c>
      <c r="D33" s="3" t="s">
        <v>457</v>
      </c>
      <c r="E33" s="3" t="s">
        <v>436</v>
      </c>
      <c r="F33" s="5">
        <v>3.1</v>
      </c>
      <c r="G33" s="23">
        <v>28.8</v>
      </c>
      <c r="H33" s="23">
        <v>58.27</v>
      </c>
      <c r="I33" s="23">
        <v>79.31</v>
      </c>
      <c r="J33" s="23">
        <v>130.52000000000001</v>
      </c>
      <c r="K33" s="23">
        <v>40.68</v>
      </c>
      <c r="L33" s="23">
        <v>66.5</v>
      </c>
      <c r="M33" s="23">
        <v>80.69</v>
      </c>
      <c r="N33" s="23">
        <v>124.59</v>
      </c>
      <c r="O33" s="23">
        <v>35.18</v>
      </c>
      <c r="P33" s="23">
        <v>47.6</v>
      </c>
      <c r="Q33" s="23">
        <v>101.37</v>
      </c>
      <c r="R33" s="23">
        <v>131.61000000000001</v>
      </c>
      <c r="S33" s="23">
        <v>47.36</v>
      </c>
      <c r="T33" s="23">
        <v>53.43</v>
      </c>
      <c r="U33" s="23">
        <v>99.07</v>
      </c>
      <c r="V33" s="23">
        <v>143.32</v>
      </c>
      <c r="W33" s="23">
        <v>58.15</v>
      </c>
      <c r="X33" s="7">
        <v>1.777764225163159E-2</v>
      </c>
      <c r="Y33" s="8">
        <v>-6.8909728255984737E-3</v>
      </c>
      <c r="Z33" s="8">
        <v>3.5327480616647033E-2</v>
      </c>
      <c r="AA33" s="8">
        <v>3.1441226178681607E-2</v>
      </c>
    </row>
    <row r="34" spans="2:27" x14ac:dyDescent="0.3">
      <c r="B34" s="12" t="s">
        <v>55</v>
      </c>
      <c r="C34" s="3" t="s">
        <v>434</v>
      </c>
      <c r="D34" s="3" t="s">
        <v>457</v>
      </c>
      <c r="E34" s="3" t="s">
        <v>436</v>
      </c>
      <c r="F34" s="5">
        <v>2.9</v>
      </c>
      <c r="G34" s="23">
        <v>0</v>
      </c>
      <c r="H34" s="23">
        <v>482</v>
      </c>
      <c r="I34" s="23">
        <v>350</v>
      </c>
      <c r="J34" s="23">
        <v>377</v>
      </c>
      <c r="K34" s="24">
        <v>344</v>
      </c>
      <c r="L34" s="23">
        <v>537</v>
      </c>
      <c r="M34" s="23">
        <v>375</v>
      </c>
      <c r="N34" s="23">
        <v>512</v>
      </c>
      <c r="O34" s="23">
        <v>313</v>
      </c>
      <c r="P34" s="23">
        <v>613</v>
      </c>
      <c r="Q34" s="23">
        <v>461</v>
      </c>
      <c r="R34" s="23">
        <v>419</v>
      </c>
      <c r="S34" s="24">
        <v>500</v>
      </c>
      <c r="T34" s="23">
        <v>646</v>
      </c>
      <c r="U34" s="23">
        <v>412</v>
      </c>
      <c r="V34" s="23">
        <v>496</v>
      </c>
      <c r="W34" s="23">
        <v>559</v>
      </c>
      <c r="X34" s="7">
        <v>1.6557952834922229E-2</v>
      </c>
      <c r="Y34" s="8">
        <v>-2.4185587364264571E-2</v>
      </c>
      <c r="Z34" s="8">
        <v>3.8947900859888751E-2</v>
      </c>
      <c r="AA34" s="8">
        <v>2.8724440116845159E-2</v>
      </c>
    </row>
    <row r="35" spans="2:27" x14ac:dyDescent="0.3">
      <c r="B35" s="12" t="s">
        <v>113</v>
      </c>
      <c r="C35" s="3" t="s">
        <v>434</v>
      </c>
      <c r="D35" s="3" t="s">
        <v>469</v>
      </c>
      <c r="E35" s="3" t="s">
        <v>436</v>
      </c>
      <c r="F35" s="5">
        <v>2.5</v>
      </c>
      <c r="G35" s="23">
        <v>56.15</v>
      </c>
      <c r="H35" s="23">
        <v>119.64</v>
      </c>
      <c r="I35" s="23">
        <v>86.51</v>
      </c>
      <c r="J35" s="23">
        <v>90.34</v>
      </c>
      <c r="K35" s="23">
        <v>69.94</v>
      </c>
      <c r="L35" s="23">
        <v>133.37</v>
      </c>
      <c r="M35" s="23">
        <v>93.52</v>
      </c>
      <c r="N35" s="23">
        <v>87.66</v>
      </c>
      <c r="O35" s="23">
        <v>72.14</v>
      </c>
      <c r="P35" s="23">
        <v>148.27000000000001</v>
      </c>
      <c r="Q35" s="23">
        <v>127.32</v>
      </c>
      <c r="R35" s="23">
        <v>122.45</v>
      </c>
      <c r="S35" s="23">
        <v>106.46</v>
      </c>
      <c r="T35" s="24">
        <v>226.33</v>
      </c>
      <c r="U35" s="23">
        <v>179.36</v>
      </c>
      <c r="V35" s="23">
        <v>157.4</v>
      </c>
      <c r="W35" s="23">
        <v>123.07</v>
      </c>
      <c r="X35" s="10">
        <v>0.15472745292368659</v>
      </c>
      <c r="Y35" s="8">
        <v>8.9329854435594713E-2</v>
      </c>
      <c r="Z35" s="8">
        <v>5.5074062401512913E-2</v>
      </c>
      <c r="AA35" s="8">
        <v>2.4807706668658058E-2</v>
      </c>
    </row>
    <row r="36" spans="2:27" x14ac:dyDescent="0.3">
      <c r="B36" s="12" t="s">
        <v>155</v>
      </c>
      <c r="C36" s="3" t="s">
        <v>434</v>
      </c>
      <c r="D36" s="3" t="s">
        <v>465</v>
      </c>
      <c r="E36" s="3" t="s">
        <v>436</v>
      </c>
      <c r="F36" s="5">
        <v>2.2000000000000002</v>
      </c>
      <c r="G36" s="23">
        <v>70.099999999999994</v>
      </c>
      <c r="H36" s="23">
        <v>80.5</v>
      </c>
      <c r="I36" s="23">
        <v>80.099999999999994</v>
      </c>
      <c r="J36" s="23">
        <v>86.9</v>
      </c>
      <c r="K36" s="23">
        <v>82.6</v>
      </c>
      <c r="L36" s="23">
        <v>93.8</v>
      </c>
      <c r="M36" s="23">
        <v>94</v>
      </c>
      <c r="N36" s="23">
        <v>103.9</v>
      </c>
      <c r="O36" s="23">
        <v>98.8</v>
      </c>
      <c r="P36" s="23">
        <v>115.2</v>
      </c>
      <c r="Q36" s="23">
        <v>111.2</v>
      </c>
      <c r="R36" s="23">
        <v>127.8</v>
      </c>
      <c r="S36" s="23">
        <v>123.5</v>
      </c>
      <c r="T36" s="23">
        <v>135.4</v>
      </c>
      <c r="U36" s="23">
        <v>138.1</v>
      </c>
      <c r="V36" s="23">
        <v>132</v>
      </c>
      <c r="W36" s="23">
        <v>135.30000000000001</v>
      </c>
      <c r="X36" s="7">
        <v>4.2285953527318343E-2</v>
      </c>
      <c r="Y36" s="8">
        <v>5.4026913034745938E-2</v>
      </c>
      <c r="Z36" s="8">
        <v>8.0030487804878536E-3</v>
      </c>
      <c r="AA36" s="8">
        <v>2.2306238185255008E-2</v>
      </c>
    </row>
    <row r="37" spans="2:27" x14ac:dyDescent="0.3">
      <c r="B37" s="12" t="s">
        <v>204</v>
      </c>
      <c r="C37" s="3" t="s">
        <v>434</v>
      </c>
      <c r="D37" s="3" t="s">
        <v>468</v>
      </c>
      <c r="E37" s="3" t="s">
        <v>454</v>
      </c>
      <c r="F37" s="5">
        <v>2</v>
      </c>
      <c r="G37" s="23">
        <v>42.87</v>
      </c>
      <c r="H37" s="23">
        <v>52.89</v>
      </c>
      <c r="I37" s="23">
        <v>52.92</v>
      </c>
      <c r="J37" s="23">
        <v>51.39</v>
      </c>
      <c r="K37" s="23">
        <v>48.78</v>
      </c>
      <c r="L37" s="23">
        <v>63</v>
      </c>
      <c r="M37" s="23">
        <v>62.05</v>
      </c>
      <c r="N37" s="23">
        <v>59.73</v>
      </c>
      <c r="O37" s="23">
        <v>53.93</v>
      </c>
      <c r="P37" s="23">
        <v>63.54</v>
      </c>
      <c r="Q37" s="23">
        <v>66.22</v>
      </c>
      <c r="R37" s="23">
        <v>63.02</v>
      </c>
      <c r="S37" s="23">
        <v>56.93</v>
      </c>
      <c r="T37" s="23">
        <v>71.09</v>
      </c>
      <c r="U37" s="23">
        <v>71.599999999999994</v>
      </c>
      <c r="V37" s="23">
        <v>67.97</v>
      </c>
      <c r="W37" s="23">
        <v>62.19</v>
      </c>
      <c r="X37" s="7">
        <v>3.0235072684313691E-2</v>
      </c>
      <c r="Y37" s="8">
        <v>2.0912695327684139E-2</v>
      </c>
      <c r="Z37" s="8">
        <v>1.8847091075236081E-2</v>
      </c>
      <c r="AA37" s="8">
        <v>1.9656937852685189E-2</v>
      </c>
    </row>
    <row r="38" spans="2:27" x14ac:dyDescent="0.3">
      <c r="B38" s="12" t="s">
        <v>376</v>
      </c>
      <c r="C38" s="3" t="s">
        <v>434</v>
      </c>
      <c r="D38" s="3" t="s">
        <v>463</v>
      </c>
      <c r="E38" s="3" t="s">
        <v>436</v>
      </c>
      <c r="F38" s="5">
        <v>1.9</v>
      </c>
      <c r="G38" s="23">
        <v>70.099999999999994</v>
      </c>
      <c r="H38" s="23">
        <v>56.7</v>
      </c>
      <c r="I38" s="23">
        <v>103.3</v>
      </c>
      <c r="J38" s="23">
        <v>-12.4</v>
      </c>
      <c r="K38" s="23">
        <v>-39</v>
      </c>
      <c r="L38" s="23">
        <v>18.399999999999999</v>
      </c>
      <c r="M38" s="23">
        <v>34.1</v>
      </c>
      <c r="N38" s="24">
        <v>32.700000000000003</v>
      </c>
      <c r="O38" s="24">
        <v>-19.3</v>
      </c>
      <c r="P38" s="24">
        <v>27.1</v>
      </c>
      <c r="Q38" s="23">
        <v>3.8</v>
      </c>
      <c r="R38" s="23">
        <v>-9.1</v>
      </c>
      <c r="S38" s="24">
        <v>-16.399999999999999</v>
      </c>
      <c r="T38" s="23">
        <v>-1</v>
      </c>
      <c r="U38" s="23">
        <v>10.8</v>
      </c>
      <c r="V38" s="23">
        <v>12</v>
      </c>
      <c r="W38" s="23">
        <v>-16.3</v>
      </c>
      <c r="X38" s="7">
        <v>-5.2037037037037006</v>
      </c>
      <c r="Y38" s="8">
        <v>-0.3083700440528635</v>
      </c>
      <c r="Z38" s="8">
        <v>-1.343949044585987</v>
      </c>
      <c r="AA38" s="8">
        <v>1.851851851851816E-2</v>
      </c>
    </row>
    <row r="39" spans="2:27" x14ac:dyDescent="0.3">
      <c r="B39" s="12" t="s">
        <v>206</v>
      </c>
      <c r="C39" s="3" t="s">
        <v>434</v>
      </c>
      <c r="D39" s="3" t="s">
        <v>442</v>
      </c>
      <c r="E39" s="3" t="s">
        <v>436</v>
      </c>
      <c r="F39" s="5">
        <v>1.7</v>
      </c>
      <c r="G39" s="23">
        <v>-69.540000000000006</v>
      </c>
      <c r="H39" s="23">
        <v>-81.150000000000006</v>
      </c>
      <c r="I39" s="23">
        <v>-95.97</v>
      </c>
      <c r="J39" s="23">
        <v>-106.14</v>
      </c>
      <c r="K39" s="24">
        <v>-106.14</v>
      </c>
      <c r="L39" s="24">
        <v>-204.03</v>
      </c>
      <c r="M39" s="24">
        <v>-204.37</v>
      </c>
      <c r="N39" s="24">
        <v>-193.93</v>
      </c>
      <c r="O39" s="24">
        <v>-177.27</v>
      </c>
      <c r="P39" s="23">
        <v>-227.42</v>
      </c>
      <c r="Q39" s="23">
        <v>-220.36</v>
      </c>
      <c r="R39" s="23">
        <v>-183.51</v>
      </c>
      <c r="S39" s="23">
        <v>-115.47</v>
      </c>
      <c r="T39" s="23">
        <v>-153.63999999999999</v>
      </c>
      <c r="U39" s="23">
        <v>-130.85</v>
      </c>
      <c r="V39" s="23">
        <v>-125.29</v>
      </c>
      <c r="W39" s="23">
        <v>-124.41</v>
      </c>
      <c r="X39" s="7">
        <v>-9.8800149981252305E-2</v>
      </c>
      <c r="Y39" s="8">
        <v>-0.1330054384974293</v>
      </c>
      <c r="Z39" s="8">
        <v>-9.9782336709685171E-2</v>
      </c>
      <c r="AA39" s="8">
        <v>1.7020466444550131E-2</v>
      </c>
    </row>
    <row r="40" spans="2:27" x14ac:dyDescent="0.3">
      <c r="B40" s="12" t="s">
        <v>299</v>
      </c>
      <c r="C40" s="3" t="s">
        <v>434</v>
      </c>
      <c r="D40" s="3" t="s">
        <v>443</v>
      </c>
      <c r="E40" s="3" t="s">
        <v>436</v>
      </c>
      <c r="F40" s="5">
        <v>1.4</v>
      </c>
      <c r="G40" s="23">
        <v>34.58</v>
      </c>
      <c r="H40" s="23">
        <v>43.69</v>
      </c>
      <c r="I40" s="23">
        <v>34.17</v>
      </c>
      <c r="J40" s="23">
        <v>29.32</v>
      </c>
      <c r="K40" s="23">
        <v>25.44</v>
      </c>
      <c r="L40" s="23">
        <v>43.91</v>
      </c>
      <c r="M40" s="24">
        <v>48.86</v>
      </c>
      <c r="N40" s="24">
        <v>50.45</v>
      </c>
      <c r="O40" s="23">
        <v>21.49</v>
      </c>
      <c r="P40" s="23">
        <v>47.91</v>
      </c>
      <c r="Q40" s="23">
        <v>46.84</v>
      </c>
      <c r="R40" s="23">
        <v>44.79</v>
      </c>
      <c r="S40" s="24">
        <v>39.159999999999997</v>
      </c>
      <c r="T40" s="23">
        <v>51.73</v>
      </c>
      <c r="U40" s="23">
        <v>51.4</v>
      </c>
      <c r="V40" s="23">
        <v>50.96</v>
      </c>
      <c r="W40" s="23">
        <v>41.92</v>
      </c>
      <c r="X40" s="7">
        <v>2.1376608841634059E-2</v>
      </c>
      <c r="Y40" s="8">
        <v>2.498356344510189E-2</v>
      </c>
      <c r="Z40" s="8">
        <v>3.2980543083173108E-2</v>
      </c>
      <c r="AA40" s="8">
        <v>1.428201811125485E-2</v>
      </c>
    </row>
    <row r="41" spans="2:27" x14ac:dyDescent="0.3">
      <c r="B41" s="12" t="s">
        <v>39</v>
      </c>
      <c r="C41" s="3" t="s">
        <v>434</v>
      </c>
      <c r="D41" s="3" t="s">
        <v>451</v>
      </c>
      <c r="E41" s="3" t="s">
        <v>462</v>
      </c>
      <c r="F41" s="5">
        <v>1.4</v>
      </c>
      <c r="G41" s="23">
        <v>330.12</v>
      </c>
      <c r="H41" s="23">
        <v>347.33</v>
      </c>
      <c r="I41" s="23">
        <v>372.76</v>
      </c>
      <c r="J41" s="23">
        <v>324.79000000000002</v>
      </c>
      <c r="K41" s="23">
        <v>311.5</v>
      </c>
      <c r="L41" s="23">
        <v>365.53</v>
      </c>
      <c r="M41" s="23">
        <v>418.92</v>
      </c>
      <c r="N41" s="23">
        <v>390.62</v>
      </c>
      <c r="O41" s="23">
        <v>396.58</v>
      </c>
      <c r="P41" s="23">
        <v>379.9</v>
      </c>
      <c r="Q41" s="23">
        <v>437.2</v>
      </c>
      <c r="R41" s="23">
        <v>359.54</v>
      </c>
      <c r="S41" s="23">
        <v>406.37</v>
      </c>
      <c r="T41" s="23">
        <v>453.21</v>
      </c>
      <c r="U41" s="23">
        <v>451.55</v>
      </c>
      <c r="V41" s="23">
        <v>412.59</v>
      </c>
      <c r="W41" s="23">
        <v>430.69</v>
      </c>
      <c r="X41" s="7">
        <v>4.6310509725143938E-2</v>
      </c>
      <c r="Y41" s="8">
        <v>8.6637847758888054E-3</v>
      </c>
      <c r="Z41" s="8">
        <v>3.1753727546433463E-2</v>
      </c>
      <c r="AA41" s="8">
        <v>1.410902002645442E-2</v>
      </c>
    </row>
    <row r="42" spans="2:27" x14ac:dyDescent="0.3">
      <c r="B42" s="12" t="s">
        <v>67</v>
      </c>
      <c r="C42" s="3" t="s">
        <v>434</v>
      </c>
      <c r="D42" s="3" t="s">
        <v>457</v>
      </c>
      <c r="E42" s="3" t="s">
        <v>436</v>
      </c>
      <c r="F42" s="5">
        <v>1.3</v>
      </c>
      <c r="G42" s="23">
        <v>128.4</v>
      </c>
      <c r="H42" s="23">
        <v>234.7</v>
      </c>
      <c r="I42" s="23">
        <v>317.60000000000002</v>
      </c>
      <c r="J42" s="23">
        <v>574.9</v>
      </c>
      <c r="K42" s="23">
        <v>116.5</v>
      </c>
      <c r="L42" s="23">
        <v>264.5</v>
      </c>
      <c r="M42" s="23">
        <v>320.60000000000002</v>
      </c>
      <c r="N42" s="23">
        <v>479.5</v>
      </c>
      <c r="O42" s="23">
        <v>166.6</v>
      </c>
      <c r="P42" s="23">
        <v>255.6</v>
      </c>
      <c r="Q42" s="23">
        <v>353.5</v>
      </c>
      <c r="R42" s="24">
        <v>623.9</v>
      </c>
      <c r="S42" s="23">
        <v>218.4</v>
      </c>
      <c r="T42" s="23">
        <v>288.5</v>
      </c>
      <c r="U42" s="23">
        <v>341.9</v>
      </c>
      <c r="V42" s="23">
        <v>655.20000000000005</v>
      </c>
      <c r="W42" s="23">
        <v>237.7</v>
      </c>
      <c r="X42" s="7">
        <v>2.2667769050571659E-2</v>
      </c>
      <c r="Y42" s="8">
        <v>-7.8151317119180552E-3</v>
      </c>
      <c r="Z42" s="8">
        <v>2.1253480002715989E-2</v>
      </c>
      <c r="AA42" s="8">
        <v>1.2832446808510589E-2</v>
      </c>
    </row>
    <row r="43" spans="2:27" x14ac:dyDescent="0.3">
      <c r="B43" s="12" t="s">
        <v>256</v>
      </c>
      <c r="C43" s="3" t="s">
        <v>434</v>
      </c>
      <c r="D43" s="3" t="s">
        <v>449</v>
      </c>
      <c r="E43" s="3" t="s">
        <v>436</v>
      </c>
      <c r="F43" s="5">
        <v>0.9</v>
      </c>
      <c r="G43" s="23">
        <v>12.56</v>
      </c>
      <c r="H43" s="23">
        <v>10.050000000000001</v>
      </c>
      <c r="I43" s="23">
        <v>16.61</v>
      </c>
      <c r="J43" s="23">
        <v>20.18</v>
      </c>
      <c r="K43" s="23">
        <v>16.71</v>
      </c>
      <c r="L43" s="23">
        <v>10.36</v>
      </c>
      <c r="M43" s="23">
        <v>17.21</v>
      </c>
      <c r="N43" s="23">
        <v>22.12</v>
      </c>
      <c r="O43" s="24">
        <v>26.87</v>
      </c>
      <c r="P43" s="24">
        <v>18.760000000000002</v>
      </c>
      <c r="Q43" s="24">
        <v>25.8</v>
      </c>
      <c r="R43" s="24">
        <v>33.32</v>
      </c>
      <c r="S43" s="23">
        <v>30.63</v>
      </c>
      <c r="T43" s="24">
        <v>29.72</v>
      </c>
      <c r="U43" s="23">
        <v>32.119999999999997</v>
      </c>
      <c r="V43" s="23">
        <v>40.25</v>
      </c>
      <c r="W43" s="23">
        <v>31.84</v>
      </c>
      <c r="X43" s="10">
        <v>0.1010045157128374</v>
      </c>
      <c r="Y43" s="8">
        <v>5.2900309701180197E-2</v>
      </c>
      <c r="Z43" s="8">
        <v>5.5091819699499167E-2</v>
      </c>
      <c r="AA43" s="8">
        <v>9.1169379144062646E-3</v>
      </c>
    </row>
    <row r="44" spans="2:27" x14ac:dyDescent="0.3">
      <c r="B44" s="12" t="s">
        <v>307</v>
      </c>
      <c r="C44" s="3" t="s">
        <v>434</v>
      </c>
      <c r="D44" s="3" t="s">
        <v>451</v>
      </c>
      <c r="E44" s="3" t="s">
        <v>436</v>
      </c>
      <c r="F44" s="5">
        <v>0.6</v>
      </c>
      <c r="G44" s="23">
        <v>-25.65</v>
      </c>
      <c r="H44" s="23">
        <v>-25.08</v>
      </c>
      <c r="I44" s="23">
        <v>-10.4</v>
      </c>
      <c r="J44" s="23">
        <v>-9.16</v>
      </c>
      <c r="K44" s="23">
        <v>4.9400000000000004</v>
      </c>
      <c r="L44" s="23">
        <v>-0.17</v>
      </c>
      <c r="M44" s="23">
        <v>4.8499999999999996</v>
      </c>
      <c r="N44" s="24">
        <v>10.32</v>
      </c>
      <c r="O44" s="24">
        <v>9.92</v>
      </c>
      <c r="P44" s="24">
        <v>5.38</v>
      </c>
      <c r="Q44" s="23">
        <v>1.57</v>
      </c>
      <c r="R44" s="24">
        <v>22.19</v>
      </c>
      <c r="S44" s="23">
        <v>12.54</v>
      </c>
      <c r="T44" s="23">
        <v>-3.15</v>
      </c>
      <c r="U44" s="23">
        <v>-3.01</v>
      </c>
      <c r="V44" s="23">
        <v>6.58</v>
      </c>
      <c r="W44" s="23">
        <v>12.62</v>
      </c>
      <c r="X44" s="7">
        <v>-0.2046545105566219</v>
      </c>
      <c r="Y44" s="8">
        <v>-0.13815987933634991</v>
      </c>
      <c r="Z44" s="8">
        <v>-0.54637731886594332</v>
      </c>
      <c r="AA44" s="8">
        <v>6.1728395061728669E-3</v>
      </c>
    </row>
    <row r="45" spans="2:27" x14ac:dyDescent="0.3">
      <c r="B45" s="12" t="s">
        <v>49</v>
      </c>
      <c r="C45" s="3" t="s">
        <v>434</v>
      </c>
      <c r="D45" s="3" t="s">
        <v>435</v>
      </c>
      <c r="E45" s="3" t="s">
        <v>436</v>
      </c>
      <c r="F45" s="5">
        <v>0.5</v>
      </c>
      <c r="G45" s="23">
        <v>-99.44</v>
      </c>
      <c r="H45" s="23">
        <v>-101.45</v>
      </c>
      <c r="I45" s="23">
        <v>-100.94</v>
      </c>
      <c r="J45" s="23">
        <v>-122.46</v>
      </c>
      <c r="K45" s="24">
        <v>-153.28</v>
      </c>
      <c r="L45" s="24">
        <v>-157.66</v>
      </c>
      <c r="M45" s="24">
        <v>-222.03</v>
      </c>
      <c r="N45" s="23">
        <v>-138.66999999999999</v>
      </c>
      <c r="O45" s="23">
        <v>-162.57</v>
      </c>
      <c r="P45" s="23">
        <v>-157.41</v>
      </c>
      <c r="Q45" s="23">
        <v>-185.2</v>
      </c>
      <c r="R45" s="23">
        <v>-198.75</v>
      </c>
      <c r="S45" s="24">
        <v>-245.21</v>
      </c>
      <c r="T45" s="23">
        <v>-229.84</v>
      </c>
      <c r="U45" s="23">
        <v>-253.88</v>
      </c>
      <c r="V45" s="23">
        <v>-261.35000000000002</v>
      </c>
      <c r="W45" s="23">
        <v>-249.71</v>
      </c>
      <c r="X45" s="7">
        <v>9.208334922511674E-2</v>
      </c>
      <c r="Y45" s="8">
        <v>7.9953434225844111E-2</v>
      </c>
      <c r="Z45" s="8">
        <v>6.7480165574335782E-2</v>
      </c>
      <c r="AA45" s="8">
        <v>4.5441693258472249E-3</v>
      </c>
    </row>
    <row r="46" spans="2:27" x14ac:dyDescent="0.3">
      <c r="B46" s="12" t="s">
        <v>7</v>
      </c>
      <c r="C46" s="3" t="s">
        <v>434</v>
      </c>
      <c r="D46" s="3" t="s">
        <v>473</v>
      </c>
      <c r="E46" s="3" t="s">
        <v>474</v>
      </c>
      <c r="F46" s="5">
        <v>0</v>
      </c>
      <c r="G46" s="23">
        <v>5792</v>
      </c>
      <c r="H46" s="23">
        <v>8387</v>
      </c>
      <c r="I46" s="23">
        <v>5318</v>
      </c>
      <c r="J46" s="23">
        <v>6854</v>
      </c>
      <c r="K46" s="23">
        <v>5995</v>
      </c>
      <c r="L46" s="23">
        <v>6361</v>
      </c>
      <c r="M46" s="23">
        <v>6240</v>
      </c>
      <c r="N46" s="23">
        <v>7316</v>
      </c>
      <c r="O46" s="23">
        <v>6202</v>
      </c>
      <c r="P46" s="23">
        <v>7254</v>
      </c>
      <c r="Q46" s="23">
        <v>6841</v>
      </c>
      <c r="R46" s="23">
        <v>7940</v>
      </c>
      <c r="S46" s="23">
        <v>6708</v>
      </c>
      <c r="T46" s="23">
        <v>7460</v>
      </c>
      <c r="U46" s="23">
        <v>7135</v>
      </c>
      <c r="V46" s="23">
        <v>7786</v>
      </c>
      <c r="W46" s="23">
        <v>6696</v>
      </c>
      <c r="X46" s="7">
        <v>7.1669623908430244E-3</v>
      </c>
      <c r="Y46" s="8">
        <v>1.015579121904042E-2</v>
      </c>
      <c r="Z46" s="8">
        <v>-5.2662175563382707E-3</v>
      </c>
      <c r="AA46" s="8">
        <v>-4.1252707208905282E-4</v>
      </c>
    </row>
    <row r="47" spans="2:27" x14ac:dyDescent="0.3">
      <c r="B47" s="12" t="s">
        <v>262</v>
      </c>
      <c r="C47" s="3" t="s">
        <v>434</v>
      </c>
      <c r="D47" s="3" t="s">
        <v>437</v>
      </c>
      <c r="E47" s="3" t="s">
        <v>436</v>
      </c>
      <c r="F47" s="5">
        <v>-0.3</v>
      </c>
      <c r="G47" s="23">
        <v>44.54</v>
      </c>
      <c r="H47" s="23">
        <v>45.12</v>
      </c>
      <c r="I47" s="23">
        <v>45.12</v>
      </c>
      <c r="J47" s="23">
        <v>44.9</v>
      </c>
      <c r="K47" s="23">
        <v>44.9</v>
      </c>
      <c r="L47" s="23">
        <v>44.83</v>
      </c>
      <c r="M47" s="23">
        <v>44.83</v>
      </c>
      <c r="N47" s="23">
        <v>45.23</v>
      </c>
      <c r="O47" s="23">
        <v>45.23</v>
      </c>
      <c r="P47" s="23">
        <v>45.6</v>
      </c>
      <c r="Q47" s="23">
        <v>45.6</v>
      </c>
      <c r="R47" s="23">
        <v>46.26</v>
      </c>
      <c r="S47" s="23">
        <v>46.26</v>
      </c>
      <c r="T47" s="23">
        <v>45.77</v>
      </c>
      <c r="U47" s="23">
        <v>45.77</v>
      </c>
      <c r="V47" s="23">
        <v>45.8</v>
      </c>
      <c r="W47" s="23">
        <v>45.8</v>
      </c>
      <c r="X47" s="7">
        <v>9.253211408664086E-4</v>
      </c>
      <c r="Y47" s="8">
        <v>9.2446571319815263E-4</v>
      </c>
      <c r="Z47" s="8">
        <v>-2.4991850483538909E-3</v>
      </c>
      <c r="AA47" s="8">
        <v>-2.50544662309371E-3</v>
      </c>
    </row>
    <row r="48" spans="2:27" x14ac:dyDescent="0.3">
      <c r="B48" s="12" t="s">
        <v>31</v>
      </c>
      <c r="C48" s="3" t="s">
        <v>434</v>
      </c>
      <c r="D48" s="3" t="s">
        <v>441</v>
      </c>
      <c r="E48" s="3" t="s">
        <v>436</v>
      </c>
      <c r="F48" s="5">
        <v>-0.4</v>
      </c>
      <c r="G48" s="23">
        <v>130.38999999999999</v>
      </c>
      <c r="H48" s="23">
        <v>107.53</v>
      </c>
      <c r="I48" s="23">
        <v>193.4</v>
      </c>
      <c r="J48" s="23">
        <v>274.23</v>
      </c>
      <c r="K48" s="24">
        <v>263.3</v>
      </c>
      <c r="L48" s="23">
        <v>116.24</v>
      </c>
      <c r="M48" s="23">
        <v>269.89999999999998</v>
      </c>
      <c r="N48" s="24">
        <v>389.43</v>
      </c>
      <c r="O48" s="23">
        <v>317.37</v>
      </c>
      <c r="P48" s="23">
        <v>143.63999999999999</v>
      </c>
      <c r="Q48" s="23">
        <v>308.62</v>
      </c>
      <c r="R48" s="23">
        <v>425.32</v>
      </c>
      <c r="S48" s="23">
        <v>415.91</v>
      </c>
      <c r="T48" s="23">
        <v>230.51</v>
      </c>
      <c r="U48" s="23">
        <v>390.64</v>
      </c>
      <c r="V48" s="23">
        <v>542.19000000000005</v>
      </c>
      <c r="W48" s="23">
        <v>409.96</v>
      </c>
      <c r="X48" s="7">
        <v>6.7159390486204007E-2</v>
      </c>
      <c r="Y48" s="8">
        <v>5.9419281926453849E-2</v>
      </c>
      <c r="Z48" s="8">
        <v>7.9917668458266533E-2</v>
      </c>
      <c r="AA48" s="8">
        <v>-3.7676112078518509E-3</v>
      </c>
    </row>
    <row r="49" spans="2:27" x14ac:dyDescent="0.3">
      <c r="B49" s="12" t="s">
        <v>216</v>
      </c>
      <c r="C49" s="3" t="s">
        <v>434</v>
      </c>
      <c r="D49" s="3" t="s">
        <v>467</v>
      </c>
      <c r="E49" s="3" t="s">
        <v>436</v>
      </c>
      <c r="F49" s="5">
        <v>-0.5</v>
      </c>
      <c r="G49" s="23">
        <v>93.74</v>
      </c>
      <c r="H49" s="23">
        <v>33.29</v>
      </c>
      <c r="I49" s="23">
        <v>68.349999999999994</v>
      </c>
      <c r="J49" s="23">
        <v>68.47</v>
      </c>
      <c r="K49" s="23">
        <v>-43.74</v>
      </c>
      <c r="L49" s="23">
        <v>15.1</v>
      </c>
      <c r="M49" s="23">
        <v>50.33</v>
      </c>
      <c r="N49" s="23">
        <v>61.88</v>
      </c>
      <c r="O49" s="24">
        <v>96.19</v>
      </c>
      <c r="P49" s="23">
        <v>27.84</v>
      </c>
      <c r="Q49" s="23">
        <v>67.42</v>
      </c>
      <c r="R49" s="23">
        <v>69.64</v>
      </c>
      <c r="S49" s="23">
        <v>80.48</v>
      </c>
      <c r="T49" s="23">
        <v>21.67</v>
      </c>
      <c r="U49" s="23">
        <v>62.02</v>
      </c>
      <c r="V49" s="23">
        <v>54.35</v>
      </c>
      <c r="W49" s="23">
        <v>79.41</v>
      </c>
      <c r="X49" s="7">
        <v>-2.514467356752792E-2</v>
      </c>
      <c r="Y49" s="8">
        <v>-2.2574307094185061E-2</v>
      </c>
      <c r="Z49" s="8">
        <v>-6.5394978828963612E-2</v>
      </c>
      <c r="AA49" s="8">
        <v>-4.8965769723595676E-3</v>
      </c>
    </row>
    <row r="50" spans="2:27" x14ac:dyDescent="0.3">
      <c r="B50" s="12" t="s">
        <v>19</v>
      </c>
      <c r="C50" s="3" t="s">
        <v>434</v>
      </c>
      <c r="D50" s="3" t="s">
        <v>461</v>
      </c>
      <c r="E50" s="3" t="s">
        <v>462</v>
      </c>
      <c r="F50" s="5">
        <v>-1</v>
      </c>
      <c r="G50" s="23">
        <v>1222</v>
      </c>
      <c r="H50" s="23">
        <v>2627</v>
      </c>
      <c r="I50" s="23">
        <v>2632</v>
      </c>
      <c r="J50" s="23">
        <v>3454</v>
      </c>
      <c r="K50" s="24">
        <v>2530</v>
      </c>
      <c r="L50" s="24">
        <v>4050</v>
      </c>
      <c r="M50" s="23">
        <v>3749</v>
      </c>
      <c r="N50" s="23">
        <v>3051</v>
      </c>
      <c r="O50" s="23">
        <v>2255</v>
      </c>
      <c r="P50" s="23">
        <v>3173</v>
      </c>
      <c r="Q50" s="23">
        <v>2486</v>
      </c>
      <c r="R50" s="23">
        <v>1362</v>
      </c>
      <c r="S50" s="23">
        <v>958</v>
      </c>
      <c r="T50" s="23">
        <v>2368</v>
      </c>
      <c r="U50" s="23">
        <v>1814</v>
      </c>
      <c r="V50" s="23">
        <v>1528</v>
      </c>
      <c r="W50" s="23">
        <v>891</v>
      </c>
      <c r="X50" s="7">
        <v>-0.1008898358190249</v>
      </c>
      <c r="Y50" s="8">
        <v>-9.3671591859492587E-2</v>
      </c>
      <c r="Z50" s="8">
        <v>2.5530605967394541E-2</v>
      </c>
      <c r="AA50" s="8">
        <v>-1.0047990401919621E-2</v>
      </c>
    </row>
    <row r="51" spans="2:27" x14ac:dyDescent="0.3">
      <c r="B51" s="12" t="s">
        <v>220</v>
      </c>
      <c r="C51" s="3" t="s">
        <v>434</v>
      </c>
      <c r="D51" s="3" t="s">
        <v>466</v>
      </c>
      <c r="E51" s="3" t="s">
        <v>436</v>
      </c>
      <c r="F51" s="5">
        <v>-1</v>
      </c>
      <c r="G51" s="23">
        <v>122</v>
      </c>
      <c r="H51" s="23">
        <v>123</v>
      </c>
      <c r="I51" s="23">
        <v>116</v>
      </c>
      <c r="J51" s="23">
        <v>124</v>
      </c>
      <c r="K51" s="23">
        <v>140</v>
      </c>
      <c r="L51" s="23">
        <v>134</v>
      </c>
      <c r="M51" s="23">
        <v>140</v>
      </c>
      <c r="N51" s="23">
        <v>118</v>
      </c>
      <c r="O51" s="23">
        <v>124</v>
      </c>
      <c r="P51" s="23">
        <v>107</v>
      </c>
      <c r="Q51" s="23">
        <v>125</v>
      </c>
      <c r="R51" s="23">
        <v>114</v>
      </c>
      <c r="S51" s="23">
        <v>116</v>
      </c>
      <c r="T51" s="23">
        <v>119</v>
      </c>
      <c r="U51" s="23">
        <v>123</v>
      </c>
      <c r="V51" s="23">
        <v>130</v>
      </c>
      <c r="W51" s="23">
        <v>111</v>
      </c>
      <c r="X51" s="7">
        <v>2.5974025974025979E-2</v>
      </c>
      <c r="Y51" s="8">
        <v>-4.2194092827003704E-3</v>
      </c>
      <c r="Z51" s="8">
        <v>3.3898305084745672E-2</v>
      </c>
      <c r="AA51" s="8">
        <v>-1.0245901639344249E-2</v>
      </c>
    </row>
    <row r="52" spans="2:27" x14ac:dyDescent="0.3">
      <c r="B52" s="12" t="s">
        <v>260</v>
      </c>
      <c r="C52" s="3" t="s">
        <v>434</v>
      </c>
      <c r="D52" s="3" t="s">
        <v>445</v>
      </c>
      <c r="E52" s="3" t="s">
        <v>436</v>
      </c>
      <c r="F52" s="5">
        <v>-1.2</v>
      </c>
      <c r="G52" s="23">
        <v>0</v>
      </c>
      <c r="H52" s="23">
        <v>25.83</v>
      </c>
      <c r="I52" s="23">
        <v>37.130000000000003</v>
      </c>
      <c r="J52" s="23">
        <v>33.74</v>
      </c>
      <c r="K52" s="23">
        <v>0</v>
      </c>
      <c r="L52" s="24">
        <v>36.44</v>
      </c>
      <c r="M52" s="23">
        <v>0</v>
      </c>
      <c r="N52" s="24">
        <v>50.02</v>
      </c>
      <c r="O52" s="23">
        <v>0</v>
      </c>
      <c r="P52" s="24">
        <v>47.04</v>
      </c>
      <c r="Q52" s="24">
        <v>56.31</v>
      </c>
      <c r="R52" s="23">
        <v>61.03</v>
      </c>
      <c r="S52" s="24">
        <v>58.85</v>
      </c>
      <c r="T52" s="23">
        <v>55.4</v>
      </c>
      <c r="U52" s="23">
        <v>63.93</v>
      </c>
      <c r="V52" s="23">
        <v>66.81</v>
      </c>
      <c r="W52" s="23">
        <v>55.94</v>
      </c>
      <c r="X52" s="7">
        <v>3.7450163508488947E-2</v>
      </c>
      <c r="Y52" s="8">
        <v>3.2902975085280062E-2</v>
      </c>
      <c r="Z52" s="8">
        <v>2.4162869445257359E-2</v>
      </c>
      <c r="AA52" s="8">
        <v>-1.1878035838197579E-2</v>
      </c>
    </row>
    <row r="53" spans="2:27" x14ac:dyDescent="0.3">
      <c r="B53" s="12" t="s">
        <v>214</v>
      </c>
      <c r="C53" s="3" t="s">
        <v>434</v>
      </c>
      <c r="D53" s="3" t="s">
        <v>482</v>
      </c>
      <c r="E53" s="3" t="s">
        <v>436</v>
      </c>
      <c r="F53" s="5">
        <v>-1.3</v>
      </c>
      <c r="G53" s="23">
        <v>23.45</v>
      </c>
      <c r="H53" s="23">
        <v>17.600000000000001</v>
      </c>
      <c r="I53" s="23">
        <v>29.13</v>
      </c>
      <c r="J53" s="23">
        <v>40.409999999999997</v>
      </c>
      <c r="K53" s="24">
        <v>47.63</v>
      </c>
      <c r="L53" s="24">
        <v>37.090000000000003</v>
      </c>
      <c r="M53" s="23">
        <v>19.649999999999999</v>
      </c>
      <c r="N53" s="23">
        <v>45.35</v>
      </c>
      <c r="O53" s="23">
        <v>57.1</v>
      </c>
      <c r="P53" s="23">
        <v>50.93</v>
      </c>
      <c r="Q53" s="24">
        <v>65.010000000000005</v>
      </c>
      <c r="R53" s="23">
        <v>54.23</v>
      </c>
      <c r="S53" s="23">
        <v>56.84</v>
      </c>
      <c r="T53" s="23">
        <v>36.159999999999997</v>
      </c>
      <c r="U53" s="23">
        <v>46.61</v>
      </c>
      <c r="V53" s="23">
        <v>37.69</v>
      </c>
      <c r="W53" s="23">
        <v>54.61</v>
      </c>
      <c r="X53" s="7">
        <v>-6.5063213074313841E-2</v>
      </c>
      <c r="Y53" s="8">
        <v>-8.6694308330192205E-2</v>
      </c>
      <c r="Z53" s="8">
        <v>-8.5328105654147723E-2</v>
      </c>
      <c r="AA53" s="8">
        <v>-1.257755217146095E-2</v>
      </c>
    </row>
    <row r="54" spans="2:27" x14ac:dyDescent="0.3">
      <c r="B54" s="12" t="s">
        <v>133</v>
      </c>
      <c r="C54" s="3" t="s">
        <v>434</v>
      </c>
      <c r="D54" s="3" t="s">
        <v>442</v>
      </c>
      <c r="E54" s="3" t="s">
        <v>436</v>
      </c>
      <c r="F54" s="5">
        <v>-1.3</v>
      </c>
      <c r="G54" s="23">
        <v>-100.05</v>
      </c>
      <c r="H54" s="23">
        <v>-118.85</v>
      </c>
      <c r="I54" s="23">
        <v>-130.12</v>
      </c>
      <c r="J54" s="23">
        <v>-144.19999999999999</v>
      </c>
      <c r="K54" s="23">
        <v>-147.81</v>
      </c>
      <c r="L54" s="23">
        <v>-134.06</v>
      </c>
      <c r="M54" s="23">
        <v>-119.31</v>
      </c>
      <c r="N54" s="23">
        <v>-113.32</v>
      </c>
      <c r="O54" s="23">
        <v>-114.34</v>
      </c>
      <c r="P54" s="23">
        <v>-99.56</v>
      </c>
      <c r="Q54" s="23">
        <v>-100.32</v>
      </c>
      <c r="R54" s="23">
        <v>-116.99</v>
      </c>
      <c r="S54" s="23">
        <v>-126.73</v>
      </c>
      <c r="T54" s="23">
        <v>-110.55</v>
      </c>
      <c r="U54" s="23">
        <v>-106.18</v>
      </c>
      <c r="V54" s="23">
        <v>-98.87</v>
      </c>
      <c r="W54" s="23">
        <v>-120.81</v>
      </c>
      <c r="X54" s="7">
        <v>2.477457168620378E-2</v>
      </c>
      <c r="Y54" s="8">
        <v>1.289073670780261E-2</v>
      </c>
      <c r="Z54" s="8">
        <v>-3.9352807036594488E-2</v>
      </c>
      <c r="AA54" s="8">
        <v>-1.338367282345765E-2</v>
      </c>
    </row>
    <row r="55" spans="2:27" x14ac:dyDescent="0.3">
      <c r="B55" s="12" t="s">
        <v>305</v>
      </c>
      <c r="C55" s="3" t="s">
        <v>434</v>
      </c>
      <c r="D55" s="3" t="s">
        <v>471</v>
      </c>
      <c r="E55" s="3" t="s">
        <v>436</v>
      </c>
      <c r="F55" s="5">
        <v>-1.5</v>
      </c>
      <c r="G55" s="23">
        <v>71.06</v>
      </c>
      <c r="H55" s="23">
        <v>40.53</v>
      </c>
      <c r="I55" s="23">
        <v>55.49</v>
      </c>
      <c r="J55" s="23">
        <v>48.36</v>
      </c>
      <c r="K55" s="23">
        <v>55.61</v>
      </c>
      <c r="L55" s="23">
        <v>30.04</v>
      </c>
      <c r="M55" s="23">
        <v>48.5</v>
      </c>
      <c r="N55" s="23">
        <v>40.270000000000003</v>
      </c>
      <c r="O55" s="23">
        <v>39.04</v>
      </c>
      <c r="P55" s="23">
        <v>24.37</v>
      </c>
      <c r="Q55" s="23">
        <v>48.76</v>
      </c>
      <c r="R55" s="23">
        <v>52.45</v>
      </c>
      <c r="S55" s="24">
        <v>58.1</v>
      </c>
      <c r="T55" s="23">
        <v>38.71</v>
      </c>
      <c r="U55" s="23">
        <v>63.7</v>
      </c>
      <c r="V55" s="24">
        <v>74.010000000000005</v>
      </c>
      <c r="W55" s="23">
        <v>54.67</v>
      </c>
      <c r="X55" s="7">
        <v>7.8070557491289216E-2</v>
      </c>
      <c r="Y55" s="8">
        <v>7.5446924553075334E-2</v>
      </c>
      <c r="Z55" s="9">
        <v>0.1012396694214877</v>
      </c>
      <c r="AA55" s="8">
        <v>-1.462561828415487E-2</v>
      </c>
    </row>
    <row r="56" spans="2:27" x14ac:dyDescent="0.3">
      <c r="B56" s="12" t="s">
        <v>99</v>
      </c>
      <c r="C56" s="3" t="s">
        <v>434</v>
      </c>
      <c r="D56" s="3" t="s">
        <v>481</v>
      </c>
      <c r="E56" s="3" t="s">
        <v>436</v>
      </c>
      <c r="F56" s="5">
        <v>-1.5</v>
      </c>
      <c r="G56" s="23">
        <v>125.39</v>
      </c>
      <c r="H56" s="23">
        <v>235.72</v>
      </c>
      <c r="I56" s="23">
        <v>418.89</v>
      </c>
      <c r="J56" s="23">
        <v>263.88</v>
      </c>
      <c r="K56" s="23">
        <v>107.9</v>
      </c>
      <c r="L56" s="23">
        <v>145.77000000000001</v>
      </c>
      <c r="M56" s="23">
        <v>327.01</v>
      </c>
      <c r="N56" s="23">
        <v>194.44</v>
      </c>
      <c r="O56" s="23">
        <v>79.89</v>
      </c>
      <c r="P56" s="23">
        <v>108.72</v>
      </c>
      <c r="Q56" s="23">
        <v>271.48</v>
      </c>
      <c r="R56" s="23">
        <v>176.35</v>
      </c>
      <c r="S56" s="23">
        <v>60.65</v>
      </c>
      <c r="T56" s="23">
        <v>77.540000000000006</v>
      </c>
      <c r="U56" s="23">
        <v>272.67</v>
      </c>
      <c r="V56" s="23">
        <v>177.99</v>
      </c>
      <c r="W56" s="23">
        <v>52.01</v>
      </c>
      <c r="X56" s="7">
        <v>-5.0518470511989773E-2</v>
      </c>
      <c r="Y56" s="8">
        <v>2.0306474181770451E-3</v>
      </c>
      <c r="Z56" s="8">
        <v>2.7928679688697939E-3</v>
      </c>
      <c r="AA56" s="8">
        <v>-1.467266706291925E-2</v>
      </c>
    </row>
    <row r="57" spans="2:27" x14ac:dyDescent="0.3">
      <c r="B57" s="12" t="s">
        <v>105</v>
      </c>
      <c r="C57" s="3" t="s">
        <v>434</v>
      </c>
      <c r="D57" s="3" t="s">
        <v>448</v>
      </c>
      <c r="E57" s="3" t="s">
        <v>436</v>
      </c>
      <c r="F57" s="5">
        <v>-1.6</v>
      </c>
      <c r="G57" s="23">
        <v>213.05</v>
      </c>
      <c r="H57" s="23">
        <v>192.28</v>
      </c>
      <c r="I57" s="23">
        <v>185.53</v>
      </c>
      <c r="J57" s="23">
        <v>166.56</v>
      </c>
      <c r="K57" s="23">
        <v>174.49</v>
      </c>
      <c r="L57" s="23">
        <v>178.13</v>
      </c>
      <c r="M57" s="23">
        <v>161.47999999999999</v>
      </c>
      <c r="N57" s="23">
        <v>181.77</v>
      </c>
      <c r="O57" s="23">
        <v>185.95</v>
      </c>
      <c r="P57" s="23">
        <v>167.44</v>
      </c>
      <c r="Q57" s="23">
        <v>151.55000000000001</v>
      </c>
      <c r="R57" s="23">
        <v>157.69</v>
      </c>
      <c r="S57" s="23">
        <v>159.66999999999999</v>
      </c>
      <c r="T57" s="23">
        <v>155.04</v>
      </c>
      <c r="U57" s="23">
        <v>155.84</v>
      </c>
      <c r="V57" s="23">
        <v>166.03</v>
      </c>
      <c r="W57" s="23">
        <v>149.47999999999999</v>
      </c>
      <c r="X57" s="7">
        <v>-1.9486131845682379E-2</v>
      </c>
      <c r="Y57" s="8">
        <v>6.8755509255549194E-3</v>
      </c>
      <c r="Z57" s="8">
        <v>1.327518145931483E-2</v>
      </c>
      <c r="AA57" s="8">
        <v>-1.60074146218856E-2</v>
      </c>
    </row>
    <row r="58" spans="2:27" x14ac:dyDescent="0.3">
      <c r="B58" s="12" t="s">
        <v>202</v>
      </c>
      <c r="C58" s="3" t="s">
        <v>434</v>
      </c>
      <c r="D58" s="3" t="s">
        <v>465</v>
      </c>
      <c r="E58" s="3" t="s">
        <v>436</v>
      </c>
      <c r="F58" s="5">
        <v>-1.7</v>
      </c>
      <c r="G58" s="23">
        <v>78.8</v>
      </c>
      <c r="H58" s="23">
        <v>85.93</v>
      </c>
      <c r="I58" s="23">
        <v>119.12</v>
      </c>
      <c r="J58" s="23">
        <v>148.54</v>
      </c>
      <c r="K58" s="24">
        <v>164.77</v>
      </c>
      <c r="L58" s="24">
        <v>162.30000000000001</v>
      </c>
      <c r="M58" s="23">
        <v>168.8</v>
      </c>
      <c r="N58" s="23">
        <v>178.98</v>
      </c>
      <c r="O58" s="23">
        <v>176.28</v>
      </c>
      <c r="P58" s="23">
        <v>130.02000000000001</v>
      </c>
      <c r="Q58" s="23">
        <v>136.56</v>
      </c>
      <c r="R58" s="23">
        <v>157.62</v>
      </c>
      <c r="S58" s="23">
        <v>144.38999999999999</v>
      </c>
      <c r="T58" s="23">
        <v>119.66</v>
      </c>
      <c r="U58" s="23">
        <v>128.54</v>
      </c>
      <c r="V58" s="23">
        <v>120.03</v>
      </c>
      <c r="W58" s="23">
        <v>135.84</v>
      </c>
      <c r="X58" s="7">
        <v>-1.8220510385339232E-2</v>
      </c>
      <c r="Y58" s="8">
        <v>-1.4366838041667379E-2</v>
      </c>
      <c r="Z58" s="8">
        <v>-6.8319368968212224E-2</v>
      </c>
      <c r="AA58" s="8">
        <v>-1.6679021497405518E-2</v>
      </c>
    </row>
    <row r="59" spans="2:27" x14ac:dyDescent="0.3">
      <c r="B59" s="12" t="s">
        <v>115</v>
      </c>
      <c r="C59" s="3" t="s">
        <v>434</v>
      </c>
      <c r="D59" s="3" t="s">
        <v>435</v>
      </c>
      <c r="E59" s="3" t="s">
        <v>436</v>
      </c>
      <c r="F59" s="5">
        <v>-2.4</v>
      </c>
      <c r="G59" s="23">
        <v>-64.599999999999994</v>
      </c>
      <c r="H59" s="23">
        <v>-57.59</v>
      </c>
      <c r="I59" s="23">
        <v>-70.27</v>
      </c>
      <c r="J59" s="23">
        <v>-80.41</v>
      </c>
      <c r="K59" s="23">
        <v>-85.3</v>
      </c>
      <c r="L59" s="23">
        <v>-78.34</v>
      </c>
      <c r="M59" s="23">
        <v>-86.45</v>
      </c>
      <c r="N59" s="23">
        <v>-98.53</v>
      </c>
      <c r="O59" s="23">
        <v>-117.18</v>
      </c>
      <c r="P59" s="24">
        <v>-152.04</v>
      </c>
      <c r="Q59" s="24">
        <v>-162.54</v>
      </c>
      <c r="R59" s="23">
        <v>-116.3</v>
      </c>
      <c r="S59" s="23">
        <v>-67</v>
      </c>
      <c r="T59" s="23">
        <v>-79.31</v>
      </c>
      <c r="U59" s="23">
        <v>-47.2</v>
      </c>
      <c r="V59" s="23">
        <v>-113.98</v>
      </c>
      <c r="W59" s="23">
        <v>-59.61</v>
      </c>
      <c r="X59" s="7">
        <v>-0.1460793765566</v>
      </c>
      <c r="Y59" s="8">
        <v>-0.27129248500529218</v>
      </c>
      <c r="Z59" s="8">
        <v>-7.4884606694425324E-3</v>
      </c>
      <c r="AA59" s="8">
        <v>-2.4033301895996621E-2</v>
      </c>
    </row>
    <row r="60" spans="2:27" x14ac:dyDescent="0.3">
      <c r="B60" s="12" t="s">
        <v>182</v>
      </c>
      <c r="C60" s="3" t="s">
        <v>434</v>
      </c>
      <c r="D60" s="3" t="s">
        <v>439</v>
      </c>
      <c r="E60" s="3" t="s">
        <v>436</v>
      </c>
      <c r="F60" s="5">
        <v>-2.5</v>
      </c>
      <c r="G60" s="23">
        <v>107.78</v>
      </c>
      <c r="H60" s="23">
        <v>99.37</v>
      </c>
      <c r="I60" s="23">
        <v>154.07</v>
      </c>
      <c r="J60" s="23">
        <v>133.84</v>
      </c>
      <c r="K60" s="23">
        <v>86.92</v>
      </c>
      <c r="L60" s="23">
        <v>88.21</v>
      </c>
      <c r="M60" s="23">
        <v>133.77000000000001</v>
      </c>
      <c r="N60" s="23">
        <v>145.91</v>
      </c>
      <c r="O60" s="23">
        <v>67.41</v>
      </c>
      <c r="P60" s="23">
        <v>75.989999999999995</v>
      </c>
      <c r="Q60" s="23">
        <v>135.91999999999999</v>
      </c>
      <c r="R60" s="23">
        <v>152.77000000000001</v>
      </c>
      <c r="S60" s="24">
        <v>115.72</v>
      </c>
      <c r="T60" s="23">
        <v>80.03</v>
      </c>
      <c r="U60" s="23">
        <v>124.94</v>
      </c>
      <c r="V60" s="23">
        <v>143.91</v>
      </c>
      <c r="W60" s="23">
        <v>104.22</v>
      </c>
      <c r="X60" s="7">
        <v>8.4096586178186161E-3</v>
      </c>
      <c r="Y60" s="8">
        <v>-2.2665345553628868E-2</v>
      </c>
      <c r="Z60" s="8">
        <v>-1.871330207409283E-2</v>
      </c>
      <c r="AA60" s="8">
        <v>-2.4752475247524771E-2</v>
      </c>
    </row>
    <row r="61" spans="2:27" x14ac:dyDescent="0.3">
      <c r="B61" s="12" t="s">
        <v>131</v>
      </c>
      <c r="C61" s="3" t="s">
        <v>434</v>
      </c>
      <c r="D61" s="3" t="s">
        <v>477</v>
      </c>
      <c r="E61" s="3" t="s">
        <v>436</v>
      </c>
      <c r="F61" s="5">
        <v>-2.5</v>
      </c>
      <c r="G61" s="23">
        <v>64.48</v>
      </c>
      <c r="H61" s="23">
        <v>94.34</v>
      </c>
      <c r="I61" s="23">
        <v>106.41</v>
      </c>
      <c r="J61" s="23">
        <v>101.66</v>
      </c>
      <c r="K61" s="23">
        <v>99.12</v>
      </c>
      <c r="L61" s="23">
        <v>96.95</v>
      </c>
      <c r="M61" s="23">
        <v>94.97</v>
      </c>
      <c r="N61" s="23">
        <v>84.77</v>
      </c>
      <c r="O61" s="23">
        <v>47.07</v>
      </c>
      <c r="P61" s="23">
        <v>59.89</v>
      </c>
      <c r="Q61" s="23">
        <v>71.33</v>
      </c>
      <c r="R61" s="23">
        <v>66.319999999999993</v>
      </c>
      <c r="S61" s="23">
        <v>59.22</v>
      </c>
      <c r="T61" s="23">
        <v>63.85</v>
      </c>
      <c r="U61" s="23">
        <v>81.89</v>
      </c>
      <c r="V61" s="23">
        <v>72.02</v>
      </c>
      <c r="W61" s="23">
        <v>52.31</v>
      </c>
      <c r="X61" s="7">
        <v>1.5422963078361111E-2</v>
      </c>
      <c r="Y61" s="8">
        <v>4.050322184719235E-2</v>
      </c>
      <c r="Z61" s="8">
        <v>2.1011501032144109E-2</v>
      </c>
      <c r="AA61" s="8">
        <v>-2.4947649649794349E-2</v>
      </c>
    </row>
    <row r="62" spans="2:27" x14ac:dyDescent="0.3">
      <c r="B62" s="12" t="s">
        <v>151</v>
      </c>
      <c r="C62" s="3" t="s">
        <v>434</v>
      </c>
      <c r="D62" s="3" t="s">
        <v>464</v>
      </c>
      <c r="E62" s="3" t="s">
        <v>436</v>
      </c>
      <c r="F62" s="5">
        <v>-2.7</v>
      </c>
      <c r="G62" s="23">
        <v>17.510000000000002</v>
      </c>
      <c r="H62" s="23">
        <v>12.35</v>
      </c>
      <c r="I62" s="23">
        <v>32.92</v>
      </c>
      <c r="J62" s="23">
        <v>37.35</v>
      </c>
      <c r="K62" s="23">
        <v>18.829999999999998</v>
      </c>
      <c r="L62" s="23">
        <v>13.24</v>
      </c>
      <c r="M62" s="23">
        <v>32.54</v>
      </c>
      <c r="N62" s="23">
        <v>37.520000000000003</v>
      </c>
      <c r="O62" s="23">
        <v>22.66</v>
      </c>
      <c r="P62" s="23">
        <v>11.85</v>
      </c>
      <c r="Q62" s="23">
        <v>30.85</v>
      </c>
      <c r="R62" s="23">
        <v>38.31</v>
      </c>
      <c r="S62" s="23">
        <v>23.28</v>
      </c>
      <c r="T62" s="23">
        <v>8.67</v>
      </c>
      <c r="U62" s="23">
        <v>25.74</v>
      </c>
      <c r="V62" s="23">
        <v>33.99</v>
      </c>
      <c r="W62" s="23">
        <v>20.79</v>
      </c>
      <c r="X62" s="7">
        <v>-3.0491897593249662E-2</v>
      </c>
      <c r="Y62" s="8">
        <v>-5.0539016912273797E-2</v>
      </c>
      <c r="Z62" s="8">
        <v>-4.4999999999999929E-2</v>
      </c>
      <c r="AA62" s="8">
        <v>-2.7159685863874409E-2</v>
      </c>
    </row>
    <row r="63" spans="2:27" x14ac:dyDescent="0.3">
      <c r="B63" s="12" t="s">
        <v>123</v>
      </c>
      <c r="C63" s="3" t="s">
        <v>434</v>
      </c>
      <c r="D63" s="3" t="s">
        <v>456</v>
      </c>
      <c r="E63" s="3" t="s">
        <v>436</v>
      </c>
      <c r="F63" s="5">
        <v>-3.2</v>
      </c>
      <c r="G63" s="23">
        <v>169.27</v>
      </c>
      <c r="H63" s="23">
        <v>205.04</v>
      </c>
      <c r="I63" s="23">
        <v>125.12</v>
      </c>
      <c r="J63" s="23">
        <v>190.83</v>
      </c>
      <c r="K63" s="23">
        <v>200.76</v>
      </c>
      <c r="L63" s="23">
        <v>134.16</v>
      </c>
      <c r="M63" s="23">
        <v>150.44999999999999</v>
      </c>
      <c r="N63" s="23">
        <v>143.94999999999999</v>
      </c>
      <c r="O63" s="23">
        <v>161.52000000000001</v>
      </c>
      <c r="P63" s="23">
        <v>120.85</v>
      </c>
      <c r="Q63" s="23">
        <v>123.26</v>
      </c>
      <c r="R63" s="23">
        <v>180.58</v>
      </c>
      <c r="S63" s="23">
        <v>185.5</v>
      </c>
      <c r="T63" s="23">
        <v>109.04</v>
      </c>
      <c r="U63" s="23">
        <v>130.38</v>
      </c>
      <c r="V63" s="23">
        <v>148.94</v>
      </c>
      <c r="W63" s="23">
        <v>167.23</v>
      </c>
      <c r="X63" s="7">
        <v>-1.93546272472509E-2</v>
      </c>
      <c r="Y63" s="8">
        <v>1.1898793408870571E-2</v>
      </c>
      <c r="Z63" s="8">
        <v>-5.2254335260115581E-2</v>
      </c>
      <c r="AA63" s="8">
        <v>-3.1837033422785987E-2</v>
      </c>
    </row>
    <row r="64" spans="2:27" x14ac:dyDescent="0.3">
      <c r="B64" s="12" t="s">
        <v>71</v>
      </c>
      <c r="C64" s="3" t="s">
        <v>434</v>
      </c>
      <c r="D64" s="3" t="s">
        <v>455</v>
      </c>
      <c r="E64" s="3" t="s">
        <v>436</v>
      </c>
      <c r="F64" s="5">
        <v>-3.3</v>
      </c>
      <c r="G64" s="23">
        <v>718</v>
      </c>
      <c r="H64" s="23">
        <v>656</v>
      </c>
      <c r="I64" s="23">
        <v>573</v>
      </c>
      <c r="J64" s="23">
        <v>463</v>
      </c>
      <c r="K64" s="23">
        <v>-29</v>
      </c>
      <c r="L64" s="23">
        <v>27</v>
      </c>
      <c r="M64" s="23">
        <v>345</v>
      </c>
      <c r="N64" s="24">
        <v>598</v>
      </c>
      <c r="O64" s="23">
        <v>-8</v>
      </c>
      <c r="P64" s="24">
        <v>369</v>
      </c>
      <c r="Q64" s="24">
        <v>525</v>
      </c>
      <c r="R64" s="23">
        <v>440</v>
      </c>
      <c r="S64" s="24">
        <v>592</v>
      </c>
      <c r="T64" s="23">
        <v>280</v>
      </c>
      <c r="U64" s="23">
        <v>439</v>
      </c>
      <c r="V64" s="23">
        <v>556</v>
      </c>
      <c r="W64" s="23">
        <v>531</v>
      </c>
      <c r="X64" s="7">
        <v>-4.6209761163032208E-2</v>
      </c>
      <c r="Y64" s="8">
        <v>-4.6815459989112629E-2</v>
      </c>
      <c r="Z64" s="8">
        <v>6.6247858366647705E-2</v>
      </c>
      <c r="AA64" s="8">
        <v>-3.2672737011247947E-2</v>
      </c>
    </row>
    <row r="65" spans="2:27" x14ac:dyDescent="0.3">
      <c r="B65" s="12" t="s">
        <v>323</v>
      </c>
      <c r="C65" s="3" t="s">
        <v>434</v>
      </c>
      <c r="D65" s="3" t="s">
        <v>485</v>
      </c>
      <c r="E65" s="3" t="s">
        <v>436</v>
      </c>
      <c r="F65" s="5">
        <v>-3.8</v>
      </c>
      <c r="G65" s="23">
        <v>32.299999999999997</v>
      </c>
      <c r="H65" s="23">
        <v>41.3</v>
      </c>
      <c r="I65" s="23">
        <v>52.8</v>
      </c>
      <c r="J65" s="23">
        <v>99.5</v>
      </c>
      <c r="K65" s="24">
        <v>79.3</v>
      </c>
      <c r="L65" s="23">
        <v>64.5</v>
      </c>
      <c r="M65" s="23">
        <v>75.8</v>
      </c>
      <c r="N65" s="23">
        <v>73.3</v>
      </c>
      <c r="O65" s="23">
        <v>73.099999999999994</v>
      </c>
      <c r="P65" s="23">
        <v>63.5</v>
      </c>
      <c r="Q65" s="23">
        <v>53.2</v>
      </c>
      <c r="R65" s="23">
        <v>73.400000000000006</v>
      </c>
      <c r="S65" s="23">
        <v>56.7</v>
      </c>
      <c r="T65" s="23">
        <v>52.9</v>
      </c>
      <c r="U65" s="23">
        <v>59.6</v>
      </c>
      <c r="V65" s="23">
        <v>67.7</v>
      </c>
      <c r="W65" s="23">
        <v>47.7</v>
      </c>
      <c r="X65" s="7">
        <v>-4.2949756888168489E-2</v>
      </c>
      <c r="Y65" s="8">
        <v>2.7095681625740831E-2</v>
      </c>
      <c r="Z65" s="8">
        <v>-2.3495465787304329E-2</v>
      </c>
      <c r="AA65" s="8">
        <v>-3.7990713381173442E-2</v>
      </c>
    </row>
    <row r="66" spans="2:27" x14ac:dyDescent="0.3">
      <c r="B66" s="12" t="s">
        <v>248</v>
      </c>
      <c r="C66" s="3" t="s">
        <v>434</v>
      </c>
      <c r="D66" s="3" t="s">
        <v>466</v>
      </c>
      <c r="E66" s="3" t="s">
        <v>436</v>
      </c>
      <c r="F66" s="5">
        <v>-4</v>
      </c>
      <c r="G66" s="23">
        <v>60</v>
      </c>
      <c r="H66" s="23">
        <v>37</v>
      </c>
      <c r="I66" s="23">
        <v>36</v>
      </c>
      <c r="J66" s="23">
        <v>62</v>
      </c>
      <c r="K66" s="23">
        <v>65</v>
      </c>
      <c r="L66" s="24">
        <v>61</v>
      </c>
      <c r="M66" s="23">
        <v>42</v>
      </c>
      <c r="N66" s="24">
        <v>94</v>
      </c>
      <c r="O66" s="23">
        <v>82</v>
      </c>
      <c r="P66" s="23">
        <v>69</v>
      </c>
      <c r="Q66" s="24">
        <v>102</v>
      </c>
      <c r="R66" s="23">
        <v>82</v>
      </c>
      <c r="S66" s="23">
        <v>82</v>
      </c>
      <c r="T66" s="23">
        <v>93</v>
      </c>
      <c r="U66" s="23">
        <v>95</v>
      </c>
      <c r="V66" s="23">
        <v>80</v>
      </c>
      <c r="W66" s="23">
        <v>68</v>
      </c>
      <c r="X66" s="7">
        <v>7.1641791044776193E-2</v>
      </c>
      <c r="Y66" s="8">
        <v>-1.9498607242339872E-2</v>
      </c>
      <c r="Z66" s="8">
        <v>-5.6818181818182323E-3</v>
      </c>
      <c r="AA66" s="8">
        <v>-4.0000000000000042E-2</v>
      </c>
    </row>
    <row r="67" spans="2:27" x14ac:dyDescent="0.3">
      <c r="B67" s="12" t="s">
        <v>244</v>
      </c>
      <c r="C67" s="3" t="s">
        <v>434</v>
      </c>
      <c r="D67" s="3" t="s">
        <v>480</v>
      </c>
      <c r="E67" s="3" t="s">
        <v>436</v>
      </c>
      <c r="F67" s="5">
        <v>-4.9000000000000004</v>
      </c>
      <c r="G67" s="23">
        <v>54.5</v>
      </c>
      <c r="H67" s="23">
        <v>81.3</v>
      </c>
      <c r="I67" s="23">
        <v>9.9</v>
      </c>
      <c r="J67" s="23">
        <v>-51.5</v>
      </c>
      <c r="K67" s="23">
        <v>-30.5</v>
      </c>
      <c r="L67" s="23">
        <v>34.5</v>
      </c>
      <c r="M67" s="24">
        <v>-0.7</v>
      </c>
      <c r="N67" s="23">
        <v>-24.2</v>
      </c>
      <c r="O67" s="23">
        <v>30.6</v>
      </c>
      <c r="P67" s="23">
        <v>1.9</v>
      </c>
      <c r="Q67" s="24">
        <v>6.4</v>
      </c>
      <c r="R67" s="24">
        <v>63.8</v>
      </c>
      <c r="S67" s="24">
        <v>49.3</v>
      </c>
      <c r="T67" s="24">
        <v>46.1</v>
      </c>
      <c r="U67" s="23">
        <v>20.7</v>
      </c>
      <c r="V67" s="23">
        <v>58.3</v>
      </c>
      <c r="W67" s="23">
        <v>40.700000000000003</v>
      </c>
      <c r="X67" s="10">
        <v>0.36408566721581548</v>
      </c>
      <c r="Y67" s="8">
        <v>8.6352657004830968E-2</v>
      </c>
      <c r="Z67" s="8">
        <v>-3.0572540300166762E-2</v>
      </c>
      <c r="AA67" s="8">
        <v>-4.9311926605504541E-2</v>
      </c>
    </row>
    <row r="68" spans="2:27" x14ac:dyDescent="0.3">
      <c r="B68" s="12" t="s">
        <v>164</v>
      </c>
      <c r="C68" s="3" t="s">
        <v>434</v>
      </c>
      <c r="D68" s="3" t="s">
        <v>470</v>
      </c>
      <c r="E68" s="3" t="s">
        <v>436</v>
      </c>
      <c r="F68" s="5">
        <v>-6.5</v>
      </c>
      <c r="G68" s="23">
        <v>143.97999999999999</v>
      </c>
      <c r="H68" s="23">
        <v>84.32</v>
      </c>
      <c r="I68" s="23">
        <v>72.56</v>
      </c>
      <c r="J68" s="23">
        <v>90.24</v>
      </c>
      <c r="K68" s="23">
        <v>142.16999999999999</v>
      </c>
      <c r="L68" s="23">
        <v>78.2</v>
      </c>
      <c r="M68" s="23">
        <v>65.72</v>
      </c>
      <c r="N68" s="23">
        <v>88.56</v>
      </c>
      <c r="O68" s="23">
        <v>142.04</v>
      </c>
      <c r="P68" s="23">
        <v>68.09</v>
      </c>
      <c r="Q68" s="23">
        <v>70.17</v>
      </c>
      <c r="R68" s="23">
        <v>86.82</v>
      </c>
      <c r="S68" s="23">
        <v>155.13</v>
      </c>
      <c r="T68" s="23">
        <v>79.38</v>
      </c>
      <c r="U68" s="23">
        <v>76.430000000000007</v>
      </c>
      <c r="V68" s="23">
        <v>82.71</v>
      </c>
      <c r="W68" s="23">
        <v>129.4</v>
      </c>
      <c r="X68" s="7">
        <v>2.9694116409352711E-2</v>
      </c>
      <c r="Y68" s="8">
        <v>1.598978288633468E-2</v>
      </c>
      <c r="Z68" s="8">
        <v>-1.033286403861633E-2</v>
      </c>
      <c r="AA68" s="8">
        <v>-6.5362631779499414E-2</v>
      </c>
    </row>
    <row r="69" spans="2:27" x14ac:dyDescent="0.3">
      <c r="B69" s="12" t="s">
        <v>342</v>
      </c>
      <c r="C69" s="3" t="s">
        <v>434</v>
      </c>
      <c r="D69" s="3" t="s">
        <v>466</v>
      </c>
      <c r="E69" s="3" t="s">
        <v>436</v>
      </c>
      <c r="F69" s="5">
        <v>-6.9</v>
      </c>
      <c r="G69" s="23">
        <v>22.11</v>
      </c>
      <c r="H69" s="23">
        <v>14.37</v>
      </c>
      <c r="I69" s="23">
        <v>8.11</v>
      </c>
      <c r="J69" s="23">
        <v>22.83</v>
      </c>
      <c r="K69" s="23">
        <v>9.93</v>
      </c>
      <c r="L69" s="23">
        <v>18.940000000000001</v>
      </c>
      <c r="M69" s="24">
        <v>24.87</v>
      </c>
      <c r="N69" s="23">
        <v>24.84</v>
      </c>
      <c r="O69" s="24">
        <v>33.03</v>
      </c>
      <c r="P69" s="23">
        <v>25.29</v>
      </c>
      <c r="Q69" s="23">
        <v>35.43</v>
      </c>
      <c r="R69" s="23">
        <v>35</v>
      </c>
      <c r="S69" s="23">
        <v>26.91</v>
      </c>
      <c r="T69" s="23">
        <v>23.77</v>
      </c>
      <c r="U69" s="23">
        <v>26.12</v>
      </c>
      <c r="V69" s="23">
        <v>27.84</v>
      </c>
      <c r="W69" s="23">
        <v>19.64</v>
      </c>
      <c r="X69" s="7">
        <v>-1.2395009377803129E-2</v>
      </c>
      <c r="Y69" s="8">
        <v>-7.6872264883164121E-2</v>
      </c>
      <c r="Z69" s="8">
        <v>-6.4042933810375624E-2</v>
      </c>
      <c r="AA69" s="8">
        <v>-6.9476299694189558E-2</v>
      </c>
    </row>
    <row r="70" spans="2:27" x14ac:dyDescent="0.3">
      <c r="B70" s="12" t="s">
        <v>153</v>
      </c>
      <c r="C70" s="3" t="s">
        <v>434</v>
      </c>
      <c r="D70" s="3" t="s">
        <v>435</v>
      </c>
      <c r="E70" s="3" t="s">
        <v>436</v>
      </c>
      <c r="F70" s="5">
        <v>-7.1</v>
      </c>
      <c r="G70" s="23">
        <v>-125.47</v>
      </c>
      <c r="H70" s="23">
        <v>-95.87</v>
      </c>
      <c r="I70" s="23">
        <v>-100.1</v>
      </c>
      <c r="J70" s="23">
        <v>-73.489999999999995</v>
      </c>
      <c r="K70" s="23">
        <v>-160.66</v>
      </c>
      <c r="L70" s="23">
        <v>-115.22</v>
      </c>
      <c r="M70" s="23">
        <v>-120.64</v>
      </c>
      <c r="N70" s="23">
        <v>-116.66</v>
      </c>
      <c r="O70" s="23">
        <v>3.12</v>
      </c>
      <c r="P70" s="23">
        <v>-45.55</v>
      </c>
      <c r="Q70" s="23">
        <v>-33.36</v>
      </c>
      <c r="R70" s="23">
        <v>-51.97</v>
      </c>
      <c r="S70" s="24">
        <v>-15.87</v>
      </c>
      <c r="T70" s="23">
        <v>969.5</v>
      </c>
      <c r="U70" s="23">
        <v>-34.86</v>
      </c>
      <c r="V70" s="23">
        <v>3.49</v>
      </c>
      <c r="W70" s="23">
        <v>-81.62</v>
      </c>
      <c r="X70" s="7">
        <v>-6.9168654173764903</v>
      </c>
      <c r="Y70" s="8">
        <v>-1.727513532189362E-3</v>
      </c>
      <c r="Z70" s="8">
        <v>6.3982464236271408E-2</v>
      </c>
      <c r="AA70" s="8">
        <v>-7.1292260317047274E-2</v>
      </c>
    </row>
    <row r="71" spans="2:27" x14ac:dyDescent="0.3">
      <c r="B71" s="12" t="s">
        <v>107</v>
      </c>
      <c r="C71" s="3" t="s">
        <v>434</v>
      </c>
      <c r="D71" s="3" t="s">
        <v>476</v>
      </c>
      <c r="E71" s="3" t="s">
        <v>436</v>
      </c>
      <c r="F71" s="5">
        <v>-8.1</v>
      </c>
      <c r="G71" s="23">
        <v>65.02</v>
      </c>
      <c r="H71" s="23">
        <v>89.49</v>
      </c>
      <c r="I71" s="23">
        <v>86.33</v>
      </c>
      <c r="J71" s="23">
        <v>76.06</v>
      </c>
      <c r="K71" s="23">
        <v>69.92</v>
      </c>
      <c r="L71" s="23">
        <v>101</v>
      </c>
      <c r="M71" s="23">
        <v>95.49</v>
      </c>
      <c r="N71" s="23">
        <v>73.86</v>
      </c>
      <c r="O71" s="23">
        <v>83.92</v>
      </c>
      <c r="P71" s="23">
        <v>133.33000000000001</v>
      </c>
      <c r="Q71" s="24">
        <v>142.91</v>
      </c>
      <c r="R71" s="23">
        <v>102.87</v>
      </c>
      <c r="S71" s="24">
        <v>138.63999999999999</v>
      </c>
      <c r="T71" s="23">
        <v>134.76</v>
      </c>
      <c r="U71" s="23">
        <v>146.44999999999999</v>
      </c>
      <c r="V71" s="23">
        <v>97.09</v>
      </c>
      <c r="W71" s="23">
        <v>96.79</v>
      </c>
      <c r="X71" s="7">
        <v>2.7619507484306638E-3</v>
      </c>
      <c r="Y71" s="8">
        <v>6.8184444701260283E-3</v>
      </c>
      <c r="Z71" s="8">
        <v>-1.105754514845436E-2</v>
      </c>
      <c r="AA71" s="8">
        <v>-8.0957171044995446E-2</v>
      </c>
    </row>
    <row r="72" spans="2:27" x14ac:dyDescent="0.3">
      <c r="B72" s="12" t="s">
        <v>166</v>
      </c>
      <c r="C72" s="3" t="s">
        <v>434</v>
      </c>
      <c r="D72" s="3" t="s">
        <v>440</v>
      </c>
      <c r="E72" s="3" t="s">
        <v>436</v>
      </c>
      <c r="F72" s="5">
        <v>-9</v>
      </c>
      <c r="G72" s="23">
        <v>-68.400000000000006</v>
      </c>
      <c r="H72" s="23">
        <v>-72.099999999999994</v>
      </c>
      <c r="I72" s="23">
        <v>-64.599999999999994</v>
      </c>
      <c r="J72" s="23">
        <v>-81.7</v>
      </c>
      <c r="K72" s="23">
        <v>-68.099999999999994</v>
      </c>
      <c r="L72" s="23">
        <v>-64.7</v>
      </c>
      <c r="M72" s="23">
        <v>-65.900000000000006</v>
      </c>
      <c r="N72" s="23">
        <v>-52.2</v>
      </c>
      <c r="O72" s="23">
        <v>-39.9</v>
      </c>
      <c r="P72" s="23">
        <v>-44.6</v>
      </c>
      <c r="Q72" s="23">
        <v>-53.7</v>
      </c>
      <c r="R72" s="23">
        <v>-64</v>
      </c>
      <c r="S72" s="23">
        <v>-35.299999999999997</v>
      </c>
      <c r="T72" s="23">
        <v>-58.1</v>
      </c>
      <c r="U72" s="23">
        <v>-38.6</v>
      </c>
      <c r="V72" s="23">
        <v>-31.9</v>
      </c>
      <c r="W72" s="23">
        <v>-20.6</v>
      </c>
      <c r="X72" s="7">
        <v>6.8319838056680071E-2</v>
      </c>
      <c r="Y72" s="8">
        <v>-7.1530080530554208E-2</v>
      </c>
      <c r="Z72" s="8">
        <v>-0.16377551020408171</v>
      </c>
      <c r="AA72" s="8">
        <v>-8.9688834655277661E-2</v>
      </c>
    </row>
    <row r="73" spans="2:27" x14ac:dyDescent="0.3">
      <c r="B73" s="12" t="s">
        <v>200</v>
      </c>
      <c r="C73" s="3" t="s">
        <v>434</v>
      </c>
      <c r="D73" s="3" t="s">
        <v>472</v>
      </c>
      <c r="E73" s="3" t="s">
        <v>436</v>
      </c>
      <c r="F73" s="5">
        <v>-9.6</v>
      </c>
      <c r="G73" s="23">
        <v>-16.2</v>
      </c>
      <c r="H73" s="23">
        <v>-50.2</v>
      </c>
      <c r="I73" s="23">
        <v>14.3</v>
      </c>
      <c r="J73" s="23">
        <v>62.7</v>
      </c>
      <c r="K73" s="24">
        <v>36.799999999999997</v>
      </c>
      <c r="L73" s="24">
        <v>5.3</v>
      </c>
      <c r="M73" s="23">
        <v>-9.1</v>
      </c>
      <c r="N73" s="23">
        <v>14.3</v>
      </c>
      <c r="O73" s="23">
        <v>30.6</v>
      </c>
      <c r="P73" s="24">
        <v>27.6</v>
      </c>
      <c r="Q73" s="24">
        <v>109.9</v>
      </c>
      <c r="R73" s="24">
        <v>119.3</v>
      </c>
      <c r="S73" s="24">
        <v>108.9</v>
      </c>
      <c r="T73" s="24">
        <v>148</v>
      </c>
      <c r="U73" s="24">
        <v>164.9</v>
      </c>
      <c r="V73" s="23">
        <v>125.9</v>
      </c>
      <c r="W73" s="23">
        <v>56.4</v>
      </c>
      <c r="X73" s="10">
        <v>0.32923161060978939</v>
      </c>
      <c r="Y73" s="9">
        <v>0.1131454433244188</v>
      </c>
      <c r="Z73" s="8">
        <v>1.219737571613377E-2</v>
      </c>
      <c r="AA73" s="8">
        <v>-9.5855395289392131E-2</v>
      </c>
    </row>
    <row r="74" spans="2:27" x14ac:dyDescent="0.3">
      <c r="B74" s="12" t="s">
        <v>127</v>
      </c>
      <c r="C74" s="3" t="s">
        <v>434</v>
      </c>
      <c r="D74" s="3" t="s">
        <v>466</v>
      </c>
      <c r="E74" s="3" t="s">
        <v>436</v>
      </c>
      <c r="F74" s="5">
        <v>-10.199999999999999</v>
      </c>
      <c r="G74" s="23">
        <v>0</v>
      </c>
      <c r="H74" s="23">
        <v>374</v>
      </c>
      <c r="I74" s="23">
        <v>408</v>
      </c>
      <c r="J74" s="23">
        <v>357</v>
      </c>
      <c r="K74" s="24">
        <v>303</v>
      </c>
      <c r="L74" s="23">
        <v>383</v>
      </c>
      <c r="M74" s="23">
        <v>415</v>
      </c>
      <c r="N74" s="23">
        <v>337</v>
      </c>
      <c r="O74" s="23">
        <v>290</v>
      </c>
      <c r="P74" s="23">
        <v>327</v>
      </c>
      <c r="Q74" s="23">
        <v>0</v>
      </c>
      <c r="R74" s="23">
        <v>320</v>
      </c>
      <c r="S74" s="23">
        <v>305</v>
      </c>
      <c r="T74" s="23">
        <v>298</v>
      </c>
      <c r="U74" s="23">
        <v>0</v>
      </c>
      <c r="V74" s="23">
        <v>288</v>
      </c>
      <c r="W74" s="23">
        <v>214</v>
      </c>
      <c r="X74" s="7">
        <v>-3.0462184873949579E-2</v>
      </c>
      <c r="Y74" s="8">
        <v>0</v>
      </c>
      <c r="Z74" s="8">
        <v>-3.4669555796316358E-2</v>
      </c>
      <c r="AA74" s="8">
        <v>-0.10213243546576881</v>
      </c>
    </row>
    <row r="75" spans="2:27" x14ac:dyDescent="0.3">
      <c r="B75" s="12" t="s">
        <v>340</v>
      </c>
      <c r="C75" s="3" t="s">
        <v>434</v>
      </c>
      <c r="D75" s="3" t="s">
        <v>483</v>
      </c>
      <c r="E75" s="3" t="s">
        <v>462</v>
      </c>
      <c r="F75" s="5">
        <v>-11.2</v>
      </c>
      <c r="G75" s="23">
        <v>-6.4</v>
      </c>
      <c r="H75" s="23">
        <v>30.5</v>
      </c>
      <c r="I75" s="23">
        <v>38.799999999999997</v>
      </c>
      <c r="J75" s="23">
        <v>25.2</v>
      </c>
      <c r="K75" s="23">
        <v>-0.1</v>
      </c>
      <c r="L75" s="23">
        <v>11.6</v>
      </c>
      <c r="M75" s="24">
        <v>51.1</v>
      </c>
      <c r="N75" s="23">
        <v>21.5</v>
      </c>
      <c r="O75" s="24">
        <v>29.9</v>
      </c>
      <c r="P75" s="24">
        <v>57.8</v>
      </c>
      <c r="Q75" s="23">
        <v>63.6</v>
      </c>
      <c r="R75" s="23">
        <v>32.4</v>
      </c>
      <c r="S75" s="24">
        <v>49.5</v>
      </c>
      <c r="T75" s="23">
        <v>40.9</v>
      </c>
      <c r="U75" s="23">
        <v>45.3</v>
      </c>
      <c r="V75" s="23">
        <v>33</v>
      </c>
      <c r="W75" s="23">
        <v>30.6</v>
      </c>
      <c r="X75" s="7">
        <v>-8.3128381701918386E-2</v>
      </c>
      <c r="Y75" s="8">
        <v>-9.817596566523612E-2</v>
      </c>
      <c r="Z75" s="8">
        <v>3.5693039857227489E-3</v>
      </c>
      <c r="AA75" s="8">
        <v>-0.1120331950207467</v>
      </c>
    </row>
    <row r="76" spans="2:27" x14ac:dyDescent="0.3">
      <c r="B76" s="12" t="s">
        <v>172</v>
      </c>
      <c r="C76" s="3" t="s">
        <v>434</v>
      </c>
      <c r="D76" s="3" t="s">
        <v>479</v>
      </c>
      <c r="E76" s="3" t="s">
        <v>436</v>
      </c>
      <c r="F76" s="5">
        <v>-12.5</v>
      </c>
      <c r="G76" s="23">
        <v>152.88</v>
      </c>
      <c r="H76" s="23">
        <v>138.91</v>
      </c>
      <c r="I76" s="23">
        <v>151.19999999999999</v>
      </c>
      <c r="J76" s="23">
        <v>144.59</v>
      </c>
      <c r="K76" s="23">
        <v>100.72</v>
      </c>
      <c r="L76" s="23">
        <v>153.87</v>
      </c>
      <c r="M76" s="23">
        <v>162.49</v>
      </c>
      <c r="N76" s="23">
        <v>141.4</v>
      </c>
      <c r="O76" s="23">
        <v>120.22</v>
      </c>
      <c r="P76" s="23">
        <v>144.72999999999999</v>
      </c>
      <c r="Q76" s="23">
        <v>145.82</v>
      </c>
      <c r="R76" s="23">
        <v>-7.62</v>
      </c>
      <c r="S76" s="24">
        <v>189.99</v>
      </c>
      <c r="T76" s="23">
        <v>128.65</v>
      </c>
      <c r="U76" s="23">
        <v>144.04</v>
      </c>
      <c r="V76" s="24">
        <v>102.23</v>
      </c>
      <c r="W76" s="23">
        <v>119.1</v>
      </c>
      <c r="X76" s="7">
        <v>-3.4001522456229338E-2</v>
      </c>
      <c r="Y76" s="8">
        <v>-3.89633131949918E-3</v>
      </c>
      <c r="Z76" s="9">
        <v>0.24139673889157481</v>
      </c>
      <c r="AA76" s="8">
        <v>-0.12548901594944331</v>
      </c>
    </row>
    <row r="77" spans="2:27" x14ac:dyDescent="0.3">
      <c r="B77" s="12" t="s">
        <v>160</v>
      </c>
      <c r="C77" s="3" t="s">
        <v>434</v>
      </c>
      <c r="D77" s="3" t="s">
        <v>445</v>
      </c>
      <c r="E77" s="3" t="s">
        <v>436</v>
      </c>
      <c r="F77" s="5">
        <v>-14</v>
      </c>
      <c r="G77" s="23">
        <v>-32.200000000000003</v>
      </c>
      <c r="H77" s="23">
        <v>-21.94</v>
      </c>
      <c r="I77" s="23">
        <v>-23.45</v>
      </c>
      <c r="J77" s="23">
        <v>-18.77</v>
      </c>
      <c r="K77" s="23">
        <v>-18.36</v>
      </c>
      <c r="L77" s="24">
        <v>-39.5</v>
      </c>
      <c r="M77" s="23">
        <v>-18.87</v>
      </c>
      <c r="N77" s="23">
        <v>-24.6</v>
      </c>
      <c r="O77" s="23">
        <v>-26.33</v>
      </c>
      <c r="P77" s="23">
        <v>-38.14</v>
      </c>
      <c r="Q77" s="23">
        <v>-21.69</v>
      </c>
      <c r="R77" s="23">
        <v>-10.23</v>
      </c>
      <c r="S77" s="23">
        <v>-12.44</v>
      </c>
      <c r="T77" s="23">
        <v>-30.93</v>
      </c>
      <c r="U77" s="23">
        <v>-10.65</v>
      </c>
      <c r="V77" s="23">
        <v>-4</v>
      </c>
      <c r="W77" s="23">
        <v>-4.34</v>
      </c>
      <c r="X77" s="7">
        <v>-8.7393939393939357E-2</v>
      </c>
      <c r="Y77" s="8">
        <v>-0.1466330189932262</v>
      </c>
      <c r="Z77" s="8">
        <v>-9.6964980544747115E-2</v>
      </c>
      <c r="AA77" s="8">
        <v>-0.139607032057911</v>
      </c>
    </row>
    <row r="78" spans="2:27" x14ac:dyDescent="0.3">
      <c r="B78" s="12" t="s">
        <v>398</v>
      </c>
      <c r="C78" s="3" t="s">
        <v>434</v>
      </c>
      <c r="D78" s="3" t="s">
        <v>450</v>
      </c>
      <c r="E78" s="3" t="s">
        <v>436</v>
      </c>
      <c r="F78" s="5">
        <v>-15.2</v>
      </c>
      <c r="G78" s="23">
        <v>-13.65</v>
      </c>
      <c r="H78" s="23">
        <v>-13.51</v>
      </c>
      <c r="I78" s="23">
        <v>-14.59</v>
      </c>
      <c r="J78" s="23">
        <v>-11.86</v>
      </c>
      <c r="K78" s="23">
        <v>-9.75</v>
      </c>
      <c r="L78" s="23">
        <v>-8.52</v>
      </c>
      <c r="M78" s="23">
        <v>-9.83</v>
      </c>
      <c r="N78" s="23">
        <v>-8.02</v>
      </c>
      <c r="O78" s="23">
        <v>-7.99</v>
      </c>
      <c r="P78" s="23">
        <v>-8.16</v>
      </c>
      <c r="Q78" s="23">
        <v>-9.26</v>
      </c>
      <c r="R78" s="23">
        <v>-6.63</v>
      </c>
      <c r="S78" s="23">
        <v>-7.37</v>
      </c>
      <c r="T78" s="23">
        <v>-8.9499999999999993</v>
      </c>
      <c r="U78" s="23">
        <v>-9.34</v>
      </c>
      <c r="V78" s="23">
        <v>-8.61</v>
      </c>
      <c r="W78" s="23">
        <v>-2.16</v>
      </c>
      <c r="X78" s="7">
        <v>2.5143220878421468E-2</v>
      </c>
      <c r="Y78" s="8">
        <v>2.4837007140638971E-3</v>
      </c>
      <c r="Z78" s="8">
        <v>6.1319293899039902E-2</v>
      </c>
      <c r="AA78" s="8">
        <v>-0.15202801283921799</v>
      </c>
    </row>
    <row r="79" spans="2:27" x14ac:dyDescent="0.3">
      <c r="B79" s="12" t="s">
        <v>208</v>
      </c>
      <c r="C79" s="3" t="s">
        <v>434</v>
      </c>
      <c r="D79" s="3" t="s">
        <v>488</v>
      </c>
      <c r="E79" s="3" t="s">
        <v>436</v>
      </c>
      <c r="F79" s="5">
        <v>-15.4</v>
      </c>
      <c r="G79" s="23">
        <v>32.869999999999997</v>
      </c>
      <c r="H79" s="23">
        <v>-8.26</v>
      </c>
      <c r="I79" s="23">
        <v>-13.72</v>
      </c>
      <c r="J79" s="23">
        <v>9.84</v>
      </c>
      <c r="K79" s="23">
        <v>8.57</v>
      </c>
      <c r="L79" s="23">
        <v>19.71</v>
      </c>
      <c r="M79" s="24">
        <v>19.13</v>
      </c>
      <c r="N79" s="23">
        <v>14.44</v>
      </c>
      <c r="O79" s="23">
        <v>-5.44</v>
      </c>
      <c r="P79" s="23">
        <v>5.75</v>
      </c>
      <c r="Q79" s="24">
        <v>24.49</v>
      </c>
      <c r="R79" s="24">
        <v>21.12</v>
      </c>
      <c r="S79" s="24">
        <v>46.05</v>
      </c>
      <c r="T79" s="24">
        <v>29.59</v>
      </c>
      <c r="U79" s="23">
        <v>26.81</v>
      </c>
      <c r="V79" s="23">
        <v>26.86</v>
      </c>
      <c r="W79" s="23">
        <v>26.09</v>
      </c>
      <c r="X79" s="10">
        <v>0.2447387331896109</v>
      </c>
      <c r="Y79" s="8">
        <v>1.9134020618556621E-2</v>
      </c>
      <c r="Z79" s="8">
        <v>4.6451404062474833E-2</v>
      </c>
      <c r="AA79" s="8">
        <v>-0.1543577449539866</v>
      </c>
    </row>
    <row r="80" spans="2:27" x14ac:dyDescent="0.3">
      <c r="B80" s="12" t="s">
        <v>301</v>
      </c>
      <c r="C80" s="3" t="s">
        <v>434</v>
      </c>
      <c r="D80" s="3" t="s">
        <v>472</v>
      </c>
      <c r="E80" s="3" t="s">
        <v>436</v>
      </c>
      <c r="F80" s="5">
        <v>-16.600000000000001</v>
      </c>
      <c r="G80" s="23">
        <v>-54.83</v>
      </c>
      <c r="H80" s="23">
        <v>-6.01</v>
      </c>
      <c r="I80" s="23">
        <v>4.25</v>
      </c>
      <c r="J80" s="23">
        <v>-2.35</v>
      </c>
      <c r="K80" s="23">
        <v>29.88</v>
      </c>
      <c r="L80" s="24">
        <v>2.6</v>
      </c>
      <c r="M80" s="24">
        <v>24.07</v>
      </c>
      <c r="N80" s="23">
        <v>0.66</v>
      </c>
      <c r="O80" s="23">
        <v>10.61</v>
      </c>
      <c r="P80" s="24">
        <v>15.26</v>
      </c>
      <c r="Q80" s="24">
        <v>36.65</v>
      </c>
      <c r="R80" s="24">
        <v>31.15</v>
      </c>
      <c r="S80" s="24">
        <v>45.63</v>
      </c>
      <c r="T80" s="23">
        <v>17.809999999999999</v>
      </c>
      <c r="U80" s="23">
        <v>41.91</v>
      </c>
      <c r="V80" s="23">
        <v>33.53</v>
      </c>
      <c r="W80" s="23">
        <v>22.61</v>
      </c>
      <c r="X80" s="7">
        <v>1.981505944517847E-2</v>
      </c>
      <c r="Y80" s="8">
        <v>4.0079244132886327E-2</v>
      </c>
      <c r="Z80" s="8">
        <v>1.7435897435897459E-2</v>
      </c>
      <c r="AA80" s="8">
        <v>-0.1657546082949308</v>
      </c>
    </row>
    <row r="81" spans="2:27" x14ac:dyDescent="0.3">
      <c r="B81" s="12" t="s">
        <v>12</v>
      </c>
      <c r="C81" s="3" t="s">
        <v>434</v>
      </c>
      <c r="D81" s="3" t="s">
        <v>470</v>
      </c>
      <c r="E81" s="3" t="s">
        <v>454</v>
      </c>
      <c r="F81" s="5">
        <v>-19.7</v>
      </c>
      <c r="G81" s="23">
        <v>15006</v>
      </c>
      <c r="H81" s="23">
        <v>32209</v>
      </c>
      <c r="I81" s="23">
        <v>18435</v>
      </c>
      <c r="J81" s="23">
        <v>24943</v>
      </c>
      <c r="K81" s="24">
        <v>25137</v>
      </c>
      <c r="L81" s="23">
        <v>40556</v>
      </c>
      <c r="M81" s="23">
        <v>19184</v>
      </c>
      <c r="N81" s="24">
        <v>44521</v>
      </c>
      <c r="O81" s="23">
        <v>33584</v>
      </c>
      <c r="P81" s="23">
        <v>43085</v>
      </c>
      <c r="Q81" s="23">
        <v>29612</v>
      </c>
      <c r="R81" s="23">
        <v>39134</v>
      </c>
      <c r="S81" s="23">
        <v>35246</v>
      </c>
      <c r="T81" s="23">
        <v>48002</v>
      </c>
      <c r="U81" s="23">
        <v>33076</v>
      </c>
      <c r="V81" s="23">
        <v>34988</v>
      </c>
      <c r="W81" s="23">
        <v>5365</v>
      </c>
      <c r="X81" s="7">
        <v>3.3431467870571163E-2</v>
      </c>
      <c r="Y81" s="8">
        <v>2.279037330420941E-2</v>
      </c>
      <c r="Z81" s="8">
        <v>-2.6669582781201351E-2</v>
      </c>
      <c r="AA81" s="8">
        <v>-0.19747938035317761</v>
      </c>
    </row>
    <row r="82" spans="2:27" x14ac:dyDescent="0.3">
      <c r="B82" s="12" t="s">
        <v>45</v>
      </c>
      <c r="C82" s="3" t="s">
        <v>434</v>
      </c>
      <c r="D82" s="3" t="s">
        <v>458</v>
      </c>
      <c r="E82" s="3" t="s">
        <v>436</v>
      </c>
      <c r="F82" s="5">
        <v>-21.2</v>
      </c>
      <c r="G82" s="23">
        <v>-122.45</v>
      </c>
      <c r="H82" s="23">
        <v>28.73</v>
      </c>
      <c r="I82" s="23">
        <v>319.76</v>
      </c>
      <c r="J82" s="23">
        <v>470.96</v>
      </c>
      <c r="K82" s="23">
        <v>-61.71</v>
      </c>
      <c r="L82" s="24">
        <v>143.28</v>
      </c>
      <c r="M82" s="23">
        <v>362.96</v>
      </c>
      <c r="N82" s="24">
        <v>652.08000000000004</v>
      </c>
      <c r="O82" s="23">
        <v>-47.16</v>
      </c>
      <c r="P82" s="23">
        <v>-42.04</v>
      </c>
      <c r="Q82" s="24">
        <v>465.04</v>
      </c>
      <c r="R82" s="23">
        <v>635.55999999999995</v>
      </c>
      <c r="S82" s="24">
        <v>188.12</v>
      </c>
      <c r="T82" s="24">
        <v>112.57</v>
      </c>
      <c r="U82" s="23">
        <v>485.8</v>
      </c>
      <c r="V82" s="23">
        <v>777.6</v>
      </c>
      <c r="W82" s="23">
        <v>-143.28</v>
      </c>
      <c r="X82" s="10">
        <v>0.1240173901883401</v>
      </c>
      <c r="Y82" s="8">
        <v>1.481492053750477E-2</v>
      </c>
      <c r="Z82" s="8">
        <v>9.9883970324531557E-2</v>
      </c>
      <c r="AA82" s="8">
        <v>-0.21188039051461241</v>
      </c>
    </row>
    <row r="83" spans="2:27" x14ac:dyDescent="0.3">
      <c r="B83" s="12" t="s">
        <v>121</v>
      </c>
      <c r="C83" s="3" t="s">
        <v>434</v>
      </c>
      <c r="D83" s="3" t="s">
        <v>478</v>
      </c>
      <c r="E83" s="3" t="s">
        <v>436</v>
      </c>
      <c r="F83" s="5">
        <v>-23.3</v>
      </c>
      <c r="G83" s="23">
        <v>50</v>
      </c>
      <c r="H83" s="23">
        <v>58.74</v>
      </c>
      <c r="I83" s="23">
        <v>57.45</v>
      </c>
      <c r="J83" s="23">
        <v>59.31</v>
      </c>
      <c r="K83" s="23">
        <v>61.21</v>
      </c>
      <c r="L83" s="23">
        <v>33.35</v>
      </c>
      <c r="M83" s="23">
        <v>26</v>
      </c>
      <c r="N83" s="23">
        <v>34.01</v>
      </c>
      <c r="O83" s="23">
        <v>25.95</v>
      </c>
      <c r="P83" s="23">
        <v>43.53</v>
      </c>
      <c r="Q83" s="24">
        <v>50.16</v>
      </c>
      <c r="R83" s="24">
        <v>56.32</v>
      </c>
      <c r="S83" s="23">
        <v>39.89</v>
      </c>
      <c r="T83" s="24">
        <v>66.77</v>
      </c>
      <c r="U83" s="23">
        <v>54.18</v>
      </c>
      <c r="V83" s="23">
        <v>35.07</v>
      </c>
      <c r="W83" s="23">
        <v>-5.79</v>
      </c>
      <c r="X83" s="10">
        <v>0.1223802001053185</v>
      </c>
      <c r="Y83" s="8">
        <v>1.886084263864141E-2</v>
      </c>
      <c r="Z83" s="8">
        <v>-9.7854116780254241E-2</v>
      </c>
      <c r="AA83" s="8">
        <v>-0.2331682915624522</v>
      </c>
    </row>
    <row r="84" spans="2:27" x14ac:dyDescent="0.3">
      <c r="B84" s="12" t="s">
        <v>390</v>
      </c>
      <c r="C84" s="3" t="s">
        <v>434</v>
      </c>
      <c r="D84" s="3" t="s">
        <v>471</v>
      </c>
      <c r="E84" s="3" t="s">
        <v>436</v>
      </c>
      <c r="F84" s="5">
        <v>-26.2</v>
      </c>
      <c r="G84" s="23">
        <v>168.59</v>
      </c>
      <c r="H84" s="23">
        <v>207.93</v>
      </c>
      <c r="I84" s="23">
        <v>183.53</v>
      </c>
      <c r="J84" s="23">
        <v>136.37</v>
      </c>
      <c r="K84" s="23">
        <v>117.53</v>
      </c>
      <c r="L84" s="23">
        <v>125.75</v>
      </c>
      <c r="M84" s="23">
        <v>91.66</v>
      </c>
      <c r="N84" s="23">
        <v>86.93</v>
      </c>
      <c r="O84" s="23">
        <v>34.17</v>
      </c>
      <c r="P84" s="23">
        <v>39.950000000000003</v>
      </c>
      <c r="Q84" s="23">
        <v>37.68</v>
      </c>
      <c r="R84" s="23">
        <v>22.25</v>
      </c>
      <c r="S84" s="23">
        <v>19.91</v>
      </c>
      <c r="T84" s="23">
        <v>12.51</v>
      </c>
      <c r="U84" s="23">
        <v>4.0599999999999996</v>
      </c>
      <c r="V84" s="23">
        <v>8.44</v>
      </c>
      <c r="W84" s="23">
        <v>8.16</v>
      </c>
      <c r="X84" s="7">
        <v>-0.22906753485265899</v>
      </c>
      <c r="Y84" s="8">
        <v>-0.36404981050351931</v>
      </c>
      <c r="Z84" s="8">
        <v>-0.23514387876723991</v>
      </c>
      <c r="AA84" s="8">
        <v>-0.26157613535173641</v>
      </c>
    </row>
    <row r="85" spans="2:27" x14ac:dyDescent="0.3">
      <c r="B85" s="12" t="s">
        <v>270</v>
      </c>
      <c r="C85" s="3" t="s">
        <v>434</v>
      </c>
      <c r="D85" s="3" t="s">
        <v>467</v>
      </c>
      <c r="E85" s="3" t="s">
        <v>436</v>
      </c>
      <c r="F85" s="5">
        <v>-26.7</v>
      </c>
      <c r="G85" s="23">
        <v>33.82</v>
      </c>
      <c r="H85" s="23">
        <v>-82.22</v>
      </c>
      <c r="I85" s="23">
        <v>113.27</v>
      </c>
      <c r="J85" s="23">
        <v>290.58999999999997</v>
      </c>
      <c r="K85" s="23">
        <v>53.34</v>
      </c>
      <c r="L85" s="23">
        <v>-119.31</v>
      </c>
      <c r="M85" s="23">
        <v>100.8</v>
      </c>
      <c r="N85" s="23">
        <v>313.66000000000003</v>
      </c>
      <c r="O85" s="23">
        <v>51.38</v>
      </c>
      <c r="P85" s="23">
        <v>-117.27</v>
      </c>
      <c r="Q85" s="24">
        <v>138.91</v>
      </c>
      <c r="R85" s="24">
        <v>383.2</v>
      </c>
      <c r="S85" s="23">
        <v>81.47</v>
      </c>
      <c r="T85" s="23">
        <v>-312.08999999999997</v>
      </c>
      <c r="U85" s="23">
        <v>119.9</v>
      </c>
      <c r="V85" s="24">
        <v>436.61</v>
      </c>
      <c r="W85" s="23">
        <v>-5.64</v>
      </c>
      <c r="X85" s="7">
        <v>-0.40060866525467298</v>
      </c>
      <c r="Y85" s="8">
        <v>-6.5216645510995153E-2</v>
      </c>
      <c r="Z85" s="9">
        <v>0.1960143863769819</v>
      </c>
      <c r="AA85" s="8">
        <v>-0.26729878179753902</v>
      </c>
    </row>
    <row r="86" spans="2:27" x14ac:dyDescent="0.3">
      <c r="B86" s="12" t="s">
        <v>174</v>
      </c>
      <c r="C86" s="3" t="s">
        <v>434</v>
      </c>
      <c r="D86" s="3" t="s">
        <v>449</v>
      </c>
      <c r="E86" s="3" t="s">
        <v>436</v>
      </c>
      <c r="F86" s="5">
        <v>-33.299999999999997</v>
      </c>
      <c r="G86" s="23">
        <v>-11.1</v>
      </c>
      <c r="H86" s="23">
        <v>-17.18</v>
      </c>
      <c r="I86" s="23">
        <v>-28.19</v>
      </c>
      <c r="J86" s="23">
        <v>-30.12</v>
      </c>
      <c r="K86" s="23">
        <v>-10.18</v>
      </c>
      <c r="L86" s="24">
        <v>-46.84</v>
      </c>
      <c r="M86" s="23">
        <v>-22.09</v>
      </c>
      <c r="N86" s="23">
        <v>-15.53</v>
      </c>
      <c r="O86" s="23">
        <v>10.029999999999999</v>
      </c>
      <c r="P86" s="23">
        <v>-18.28</v>
      </c>
      <c r="Q86" s="23">
        <v>-23.15</v>
      </c>
      <c r="R86" s="24">
        <v>-21.78</v>
      </c>
      <c r="S86" s="24">
        <v>-13.32</v>
      </c>
      <c r="T86" s="23">
        <v>-24.75</v>
      </c>
      <c r="U86" s="23">
        <v>-22.15</v>
      </c>
      <c r="V86" s="23">
        <v>-3.41</v>
      </c>
      <c r="W86" s="23">
        <v>7.86</v>
      </c>
      <c r="X86" s="7">
        <v>8.4542009669410723E-2</v>
      </c>
      <c r="Y86" s="8">
        <v>-1.204819277108438E-2</v>
      </c>
      <c r="Z86" s="8">
        <v>-0.2240243902439025</v>
      </c>
      <c r="AA86" s="8">
        <v>-0.33286185761433279</v>
      </c>
    </row>
    <row r="87" spans="2:27" x14ac:dyDescent="0.3">
      <c r="B87" s="12" t="s">
        <v>176</v>
      </c>
      <c r="C87" s="3" t="s">
        <v>434</v>
      </c>
      <c r="D87" s="3" t="s">
        <v>491</v>
      </c>
      <c r="E87" s="3" t="s">
        <v>436</v>
      </c>
      <c r="F87" s="5">
        <v>-50.5</v>
      </c>
      <c r="G87" s="23">
        <v>209.55</v>
      </c>
      <c r="H87" s="23">
        <v>12.67</v>
      </c>
      <c r="I87" s="23">
        <v>59.03</v>
      </c>
      <c r="J87" s="23">
        <v>157.19999999999999</v>
      </c>
      <c r="K87" s="23">
        <v>110.57</v>
      </c>
      <c r="L87" s="23">
        <v>10.210000000000001</v>
      </c>
      <c r="M87" s="23">
        <v>0</v>
      </c>
      <c r="N87" s="23">
        <v>43.09</v>
      </c>
      <c r="O87" s="23">
        <v>101.96</v>
      </c>
      <c r="P87" s="23">
        <v>8.5399999999999991</v>
      </c>
      <c r="Q87" s="24">
        <v>88.46</v>
      </c>
      <c r="R87" s="24">
        <v>105.17</v>
      </c>
      <c r="S87" s="24">
        <v>335.56</v>
      </c>
      <c r="T87" s="23">
        <v>35.42</v>
      </c>
      <c r="U87" s="23">
        <v>66.2</v>
      </c>
      <c r="V87" s="24">
        <v>175.12</v>
      </c>
      <c r="W87" s="23">
        <v>26.17</v>
      </c>
      <c r="X87" s="7">
        <v>4.9987912149219937E-2</v>
      </c>
      <c r="Y87" s="8">
        <v>-3.9425444111864771E-2</v>
      </c>
      <c r="Z87" s="9">
        <v>0.1289757536646077</v>
      </c>
      <c r="AA87" s="8">
        <v>-0.50529152376286124</v>
      </c>
    </row>
    <row r="88" spans="2:27" x14ac:dyDescent="0.3">
      <c r="B88" s="12" t="s">
        <v>338</v>
      </c>
      <c r="C88" s="3" t="s">
        <v>434</v>
      </c>
      <c r="D88" s="3" t="s">
        <v>490</v>
      </c>
      <c r="E88" s="3" t="s">
        <v>436</v>
      </c>
      <c r="F88" s="5">
        <v>-62.7</v>
      </c>
      <c r="G88" s="23">
        <v>15.44</v>
      </c>
      <c r="H88" s="23">
        <v>3.69</v>
      </c>
      <c r="I88" s="23">
        <v>15.83</v>
      </c>
      <c r="J88" s="23">
        <v>11.75</v>
      </c>
      <c r="K88" s="23">
        <v>18.12</v>
      </c>
      <c r="L88" s="24">
        <v>11.26</v>
      </c>
      <c r="M88" s="23">
        <v>9.9600000000000009</v>
      </c>
      <c r="N88" s="23">
        <v>-7.88</v>
      </c>
      <c r="O88" s="23">
        <v>15.52</v>
      </c>
      <c r="P88" s="23">
        <v>-6.49</v>
      </c>
      <c r="Q88" s="23">
        <v>4.8499999999999996</v>
      </c>
      <c r="R88" s="24">
        <v>38.81</v>
      </c>
      <c r="S88" s="24">
        <v>55.87</v>
      </c>
      <c r="T88" s="24">
        <v>10.130000000000001</v>
      </c>
      <c r="U88" s="23">
        <v>6.16</v>
      </c>
      <c r="V88" s="23">
        <v>10.91</v>
      </c>
      <c r="W88" s="23">
        <v>3.77</v>
      </c>
      <c r="X88" s="10">
        <v>0.17863284608770419</v>
      </c>
      <c r="Y88" s="8">
        <v>1.1946014955316549E-2</v>
      </c>
      <c r="Z88" s="8">
        <v>-0.25141930251419309</v>
      </c>
      <c r="AA88" s="8">
        <v>-0.6271818947875285</v>
      </c>
    </row>
    <row r="89" spans="2:27" x14ac:dyDescent="0.3">
      <c r="B89" s="12" t="s">
        <v>236</v>
      </c>
      <c r="C89" s="3" t="s">
        <v>434</v>
      </c>
      <c r="D89" s="3" t="s">
        <v>448</v>
      </c>
      <c r="E89" s="3" t="s">
        <v>436</v>
      </c>
      <c r="F89" s="5">
        <v>-94.8</v>
      </c>
      <c r="G89" s="23">
        <v>-25.94</v>
      </c>
      <c r="H89" s="23">
        <v>-23.87</v>
      </c>
      <c r="I89" s="23">
        <v>-42.75</v>
      </c>
      <c r="J89" s="23">
        <v>-37.78</v>
      </c>
      <c r="K89" s="24">
        <v>-40.619999999999997</v>
      </c>
      <c r="L89" s="23">
        <v>-35.270000000000003</v>
      </c>
      <c r="M89" s="23">
        <v>-40.61</v>
      </c>
      <c r="N89" s="23">
        <v>-15.22</v>
      </c>
      <c r="O89" s="23">
        <v>-16.64</v>
      </c>
      <c r="P89" s="23">
        <v>-19.54</v>
      </c>
      <c r="Q89" s="23">
        <v>-37.799999999999997</v>
      </c>
      <c r="R89" s="23">
        <v>-7.16</v>
      </c>
      <c r="S89" s="23">
        <v>10.5</v>
      </c>
      <c r="T89" s="23">
        <v>-0.83</v>
      </c>
      <c r="U89" s="23">
        <v>-10.98</v>
      </c>
      <c r="V89" s="23">
        <v>13.11</v>
      </c>
      <c r="W89" s="23">
        <v>-0.69</v>
      </c>
      <c r="X89" s="7">
        <v>-0.3464814814814815</v>
      </c>
      <c r="Y89" s="8">
        <v>-0.7599886653442901</v>
      </c>
      <c r="Z89" s="8">
        <v>-2.3931523022432111</v>
      </c>
      <c r="AA89" s="8">
        <v>-0.94830508474576281</v>
      </c>
    </row>
    <row r="90" spans="2:27" x14ac:dyDescent="0.3">
      <c r="B90" s="12" t="s">
        <v>272</v>
      </c>
      <c r="C90" s="3" t="s">
        <v>434</v>
      </c>
      <c r="D90" s="3" t="s">
        <v>484</v>
      </c>
      <c r="E90" s="3" t="s">
        <v>436</v>
      </c>
      <c r="F90" s="5">
        <v>-103.5</v>
      </c>
      <c r="G90" s="23">
        <v>206</v>
      </c>
      <c r="H90" s="23">
        <v>316</v>
      </c>
      <c r="I90" s="23">
        <v>220</v>
      </c>
      <c r="J90" s="23">
        <v>261</v>
      </c>
      <c r="K90" s="23">
        <v>-2</v>
      </c>
      <c r="L90" s="23">
        <v>218</v>
      </c>
      <c r="M90" s="23">
        <v>195</v>
      </c>
      <c r="N90" s="23">
        <v>110</v>
      </c>
      <c r="O90" s="24">
        <v>96</v>
      </c>
      <c r="P90" s="23">
        <v>120</v>
      </c>
      <c r="Q90" s="23">
        <v>130</v>
      </c>
      <c r="R90" s="23">
        <v>122</v>
      </c>
      <c r="S90" s="23">
        <v>48</v>
      </c>
      <c r="T90" s="23">
        <v>88</v>
      </c>
      <c r="U90" s="23">
        <v>72</v>
      </c>
      <c r="V90" s="23">
        <v>104</v>
      </c>
      <c r="W90" s="23">
        <v>-275</v>
      </c>
      <c r="X90" s="7">
        <v>-7.6190476190476142E-2</v>
      </c>
      <c r="Y90" s="8">
        <v>-0.14948453608247431</v>
      </c>
      <c r="Z90" s="8">
        <v>-5.4545454545454557E-2</v>
      </c>
      <c r="AA90" s="8">
        <v>-1.0352564102564099</v>
      </c>
    </row>
    <row r="91" spans="2:27" x14ac:dyDescent="0.3">
      <c r="B91" s="12" t="s">
        <v>101</v>
      </c>
      <c r="C91" s="3" t="s">
        <v>434</v>
      </c>
      <c r="D91" s="3" t="s">
        <v>470</v>
      </c>
      <c r="E91" s="3" t="s">
        <v>436</v>
      </c>
      <c r="F91" s="5">
        <v>-247.5</v>
      </c>
      <c r="G91" s="23">
        <v>-196</v>
      </c>
      <c r="H91" s="23">
        <v>-310</v>
      </c>
      <c r="I91" s="23">
        <v>-372</v>
      </c>
      <c r="J91" s="23">
        <v>-341</v>
      </c>
      <c r="K91" s="24">
        <v>-330</v>
      </c>
      <c r="L91" s="23">
        <v>-269</v>
      </c>
      <c r="M91" s="23">
        <v>-141</v>
      </c>
      <c r="N91" s="23">
        <v>-152</v>
      </c>
      <c r="O91" s="23">
        <v>-172</v>
      </c>
      <c r="P91" s="23">
        <v>-156</v>
      </c>
      <c r="Q91" s="23">
        <v>-35</v>
      </c>
      <c r="R91" s="23">
        <v>-73</v>
      </c>
      <c r="S91" s="23">
        <v>-82</v>
      </c>
      <c r="T91" s="23">
        <v>-46</v>
      </c>
      <c r="U91" s="23">
        <v>26</v>
      </c>
      <c r="V91" s="23">
        <v>41</v>
      </c>
      <c r="W91" s="23">
        <v>69</v>
      </c>
      <c r="X91" s="7">
        <v>-0.31791907514450868</v>
      </c>
      <c r="Y91" s="8">
        <v>-0.25847457627118642</v>
      </c>
      <c r="Z91" s="8">
        <v>-0.65142857142857147</v>
      </c>
      <c r="AA91" s="8">
        <v>-2.4754098360655741</v>
      </c>
    </row>
    <row r="92" spans="2:27" x14ac:dyDescent="0.3">
      <c r="B92" s="21" t="s">
        <v>293</v>
      </c>
      <c r="C92" s="15" t="s">
        <v>496</v>
      </c>
      <c r="D92" s="15" t="str">
        <f>VLOOKUP(B92,기업리스트!B:G,2,FALSE)</f>
        <v>Bure Equity AB (publ)</v>
      </c>
      <c r="E92" s="15" t="s">
        <v>436</v>
      </c>
      <c r="F92" s="16">
        <v>-13.3</v>
      </c>
      <c r="G92" s="26">
        <v>1280</v>
      </c>
      <c r="H92" s="26">
        <v>-6618</v>
      </c>
      <c r="I92" s="26">
        <v>-2587</v>
      </c>
      <c r="J92" s="26">
        <v>-2445</v>
      </c>
      <c r="K92" s="26">
        <v>2405</v>
      </c>
      <c r="L92" s="26">
        <v>2419</v>
      </c>
      <c r="M92" s="26">
        <v>728</v>
      </c>
      <c r="N92" s="27">
        <v>-1377</v>
      </c>
      <c r="O92" s="27">
        <v>2964</v>
      </c>
      <c r="P92" s="27">
        <v>2980</v>
      </c>
      <c r="Q92" s="27">
        <v>1755</v>
      </c>
      <c r="R92" s="27">
        <v>2265</v>
      </c>
      <c r="S92" s="26">
        <v>-1295</v>
      </c>
      <c r="T92" s="26">
        <v>-2637</v>
      </c>
      <c r="U92" s="26">
        <v>-1251</v>
      </c>
      <c r="V92" s="27">
        <v>-220</v>
      </c>
      <c r="W92" s="26">
        <v>-578</v>
      </c>
      <c r="X92" s="17">
        <v>-0.98457493426818576</v>
      </c>
      <c r="Y92" s="18">
        <v>-34.159090909090907</v>
      </c>
      <c r="Z92" s="19">
        <v>0.8516106922549691</v>
      </c>
      <c r="AA92" s="18">
        <v>-0.13270405330372009</v>
      </c>
    </row>
    <row r="93" spans="2:27" x14ac:dyDescent="0.3">
      <c r="B93" s="12">
        <v>5101</v>
      </c>
      <c r="C93" s="3" t="s">
        <v>492</v>
      </c>
      <c r="D93" s="3" t="str">
        <f>VLOOKUP(B93,기업리스트!B:G,2,FALSE)</f>
        <v>The Yokohama Rubber Company, Limited</v>
      </c>
      <c r="E93" s="3" t="s">
        <v>436</v>
      </c>
      <c r="F93" s="14">
        <v>13.6</v>
      </c>
      <c r="G93" s="23">
        <v>4341</v>
      </c>
      <c r="H93" s="23">
        <v>13531</v>
      </c>
      <c r="I93" s="23">
        <v>13411</v>
      </c>
      <c r="J93" s="23">
        <v>18382</v>
      </c>
      <c r="K93" s="24">
        <v>23885</v>
      </c>
      <c r="L93" s="23">
        <v>13206</v>
      </c>
      <c r="M93" s="23">
        <v>14976</v>
      </c>
      <c r="N93" s="23">
        <v>24184</v>
      </c>
      <c r="O93" s="24">
        <v>46977</v>
      </c>
      <c r="P93" s="24">
        <v>26752</v>
      </c>
      <c r="Q93" s="24">
        <v>29501</v>
      </c>
      <c r="R93" s="23">
        <v>29521</v>
      </c>
      <c r="S93" s="23">
        <v>42972</v>
      </c>
      <c r="T93" s="23">
        <v>20759</v>
      </c>
      <c r="U93" s="23">
        <v>34099</v>
      </c>
      <c r="V93" s="23">
        <v>36799</v>
      </c>
      <c r="W93" s="24">
        <v>61244</v>
      </c>
      <c r="X93" s="7">
        <v>-4.6549018998648488E-2</v>
      </c>
      <c r="Y93" s="8">
        <v>3.7457333018337653E-2</v>
      </c>
      <c r="Z93" s="8">
        <v>5.7149138993804582E-2</v>
      </c>
      <c r="AA93" s="9">
        <v>0.13572112992000229</v>
      </c>
    </row>
    <row r="94" spans="2:27" x14ac:dyDescent="0.3">
      <c r="B94" s="12">
        <v>3040</v>
      </c>
      <c r="C94" s="3" t="s">
        <v>492</v>
      </c>
      <c r="D94" s="3" t="str">
        <f>VLOOKUP(B94,기업리스트!B:G,2,FALSE)</f>
        <v>Qassim Cement Company</v>
      </c>
      <c r="E94" s="3" t="s">
        <v>436</v>
      </c>
      <c r="F94" s="5">
        <v>-0.7</v>
      </c>
      <c r="G94" s="23">
        <v>702</v>
      </c>
      <c r="H94" s="23">
        <v>610</v>
      </c>
      <c r="I94" s="23">
        <v>86</v>
      </c>
      <c r="J94" s="23">
        <v>499</v>
      </c>
      <c r="K94" s="23">
        <v>843</v>
      </c>
      <c r="L94" s="23">
        <v>651</v>
      </c>
      <c r="M94" s="23">
        <v>275</v>
      </c>
      <c r="N94" s="24">
        <v>762</v>
      </c>
      <c r="O94" s="23">
        <v>921</v>
      </c>
      <c r="P94" s="23">
        <v>489</v>
      </c>
      <c r="Q94" s="23">
        <v>160</v>
      </c>
      <c r="R94" s="23">
        <v>393</v>
      </c>
      <c r="S94" s="23">
        <v>1002</v>
      </c>
      <c r="T94" s="23">
        <v>592</v>
      </c>
      <c r="U94" s="23">
        <v>202</v>
      </c>
      <c r="V94" s="24">
        <v>1070</v>
      </c>
      <c r="W94" s="23">
        <v>983</v>
      </c>
      <c r="X94" s="7">
        <v>5.0391389432485223E-2</v>
      </c>
      <c r="Y94" s="8">
        <v>1.956217978574748E-2</v>
      </c>
      <c r="Z94" s="9">
        <v>0.30927364093193233</v>
      </c>
      <c r="AA94" s="8">
        <v>-6.6294487090020624E-3</v>
      </c>
    </row>
    <row r="95" spans="2:27" hidden="1" x14ac:dyDescent="0.3">
      <c r="B95" s="3" t="s">
        <v>242</v>
      </c>
      <c r="C95" s="3" t="s">
        <v>434</v>
      </c>
      <c r="D95" s="3" t="str">
        <f>VLOOKUP(B95,기업리스트!B:G,2,FALSE)</f>
        <v>Medical Properties Trust, Inc.</v>
      </c>
      <c r="E95" s="3" t="s">
        <v>497</v>
      </c>
      <c r="F95" s="5">
        <v>37.5</v>
      </c>
      <c r="G95" s="4">
        <v>269.11</v>
      </c>
      <c r="H95" s="4">
        <v>285.83</v>
      </c>
      <c r="I95" s="4">
        <v>281.8</v>
      </c>
      <c r="J95" s="4">
        <v>270.68</v>
      </c>
      <c r="K95" s="4">
        <v>236.37</v>
      </c>
      <c r="L95" s="4">
        <v>255.63</v>
      </c>
      <c r="M95" s="4">
        <v>228.87</v>
      </c>
      <c r="N95" s="4">
        <v>-75.06</v>
      </c>
      <c r="O95" s="4">
        <v>195.45</v>
      </c>
      <c r="P95" s="4">
        <v>-254</v>
      </c>
      <c r="Q95" s="4">
        <v>168.11</v>
      </c>
      <c r="R95" s="6">
        <v>130.36000000000001</v>
      </c>
      <c r="S95" s="4">
        <v>0.98</v>
      </c>
      <c r="T95" s="6">
        <v>132.04</v>
      </c>
      <c r="U95" s="4">
        <v>124.37</v>
      </c>
      <c r="V95" s="4">
        <v>161.91</v>
      </c>
      <c r="W95" s="6">
        <v>158.21</v>
      </c>
      <c r="X95" s="10">
        <v>8.4937293729372882</v>
      </c>
      <c r="Y95" s="8">
        <v>-0.1013696725300702</v>
      </c>
      <c r="Z95" s="8">
        <v>8.1366860090264392E-2</v>
      </c>
      <c r="AA95" s="9">
        <v>0.37498211304555201</v>
      </c>
    </row>
    <row r="96" spans="2:27" hidden="1" x14ac:dyDescent="0.3">
      <c r="B96" s="3" t="s">
        <v>188</v>
      </c>
      <c r="C96" s="3" t="s">
        <v>434</v>
      </c>
      <c r="D96" s="3" t="str">
        <f>VLOOKUP(B96,기업리스트!B:G,2,FALSE)</f>
        <v>F&amp;G Annuities &amp; Life, Inc.</v>
      </c>
      <c r="E96" s="3" t="s">
        <v>497</v>
      </c>
      <c r="F96" s="5">
        <v>29.4</v>
      </c>
      <c r="G96" s="4">
        <v>478</v>
      </c>
      <c r="H96" s="4">
        <v>160</v>
      </c>
      <c r="I96" s="4">
        <v>353</v>
      </c>
      <c r="J96" s="4">
        <v>491</v>
      </c>
      <c r="K96" s="4">
        <v>244</v>
      </c>
      <c r="L96" s="4">
        <v>-266</v>
      </c>
      <c r="M96" s="4">
        <v>-181</v>
      </c>
      <c r="N96" s="4">
        <v>188</v>
      </c>
      <c r="O96" s="4">
        <v>404</v>
      </c>
      <c r="P96" s="4">
        <v>-349</v>
      </c>
      <c r="Q96" s="6">
        <v>172</v>
      </c>
      <c r="R96" s="6">
        <v>282</v>
      </c>
      <c r="S96" s="4">
        <v>6</v>
      </c>
      <c r="T96" s="6">
        <v>450</v>
      </c>
      <c r="U96" s="4">
        <v>14</v>
      </c>
      <c r="V96" s="4">
        <v>98</v>
      </c>
      <c r="W96" s="6">
        <v>173</v>
      </c>
      <c r="X96" s="10">
        <v>7.1981981981981988</v>
      </c>
      <c r="Y96" s="8">
        <v>-0.1736263736263737</v>
      </c>
      <c r="Z96" s="8">
        <v>-0.24468085106382981</v>
      </c>
      <c r="AA96" s="9">
        <v>0.29401408450704231</v>
      </c>
    </row>
    <row r="97" spans="2:27" hidden="1" x14ac:dyDescent="0.3">
      <c r="B97" s="3" t="s">
        <v>238</v>
      </c>
      <c r="C97" s="3" t="s">
        <v>434</v>
      </c>
      <c r="D97" s="3" t="str">
        <f>VLOOKUP(B97,기업리스트!B:G,2,FALSE)</f>
        <v>Tikehau Capital</v>
      </c>
      <c r="E97" s="3" t="s">
        <v>497</v>
      </c>
      <c r="F97" s="5">
        <v>25.8</v>
      </c>
      <c r="G97" s="3"/>
      <c r="H97" s="3"/>
      <c r="I97" s="4">
        <v>128.58000000000001</v>
      </c>
      <c r="J97" s="4">
        <v>126.03</v>
      </c>
      <c r="K97" s="4">
        <v>169.64</v>
      </c>
      <c r="L97" s="4">
        <v>120.15</v>
      </c>
      <c r="M97" s="4">
        <v>146.08000000000001</v>
      </c>
      <c r="N97" s="4">
        <v>143.87</v>
      </c>
      <c r="O97" s="4">
        <v>93.84</v>
      </c>
      <c r="P97" s="4">
        <v>62.88</v>
      </c>
      <c r="Q97" s="4">
        <v>161.41999999999999</v>
      </c>
      <c r="R97" s="4">
        <v>114.86</v>
      </c>
      <c r="S97" s="4">
        <v>76.13</v>
      </c>
      <c r="T97" s="4">
        <v>-298.83999999999997</v>
      </c>
      <c r="U97" s="6">
        <v>237.36</v>
      </c>
      <c r="V97" s="6">
        <v>368.31</v>
      </c>
      <c r="W97" s="6">
        <v>175.06</v>
      </c>
      <c r="X97" s="7">
        <v>-0.87100580317368581</v>
      </c>
      <c r="Y97" s="9">
        <v>1.4175844689191719</v>
      </c>
      <c r="Z97" s="9">
        <v>1.9569917380897219</v>
      </c>
      <c r="AA97" s="9">
        <v>0.25832985168163769</v>
      </c>
    </row>
    <row r="98" spans="2:27" hidden="1" x14ac:dyDescent="0.3">
      <c r="B98" s="3" t="s">
        <v>33</v>
      </c>
      <c r="C98" s="3" t="s">
        <v>434</v>
      </c>
      <c r="D98" s="3" t="str">
        <f>VLOOKUP(B98,기업리스트!B:G,2,FALSE)</f>
        <v>Gold Fields Limited</v>
      </c>
      <c r="E98" s="3" t="s">
        <v>498</v>
      </c>
      <c r="F98" s="5">
        <v>25.5</v>
      </c>
      <c r="G98" s="3"/>
      <c r="H98" s="3"/>
      <c r="I98" s="3"/>
      <c r="J98" s="3"/>
      <c r="K98" s="3"/>
      <c r="L98" s="3"/>
      <c r="M98" s="3"/>
      <c r="N98" s="4">
        <v>922.4</v>
      </c>
      <c r="O98" s="4">
        <v>711.8</v>
      </c>
      <c r="P98" s="4">
        <v>837.5</v>
      </c>
      <c r="Q98" s="4">
        <v>811.3</v>
      </c>
      <c r="R98" s="4">
        <v>0</v>
      </c>
      <c r="S98" s="4">
        <v>745</v>
      </c>
      <c r="T98" s="4">
        <v>676.8</v>
      </c>
      <c r="U98" s="4">
        <v>652.6</v>
      </c>
      <c r="V98" s="6">
        <v>1332</v>
      </c>
      <c r="W98" s="6">
        <v>1615</v>
      </c>
      <c r="X98" s="7">
        <v>-6.7131757039017526E-2</v>
      </c>
      <c r="Y98" s="8">
        <v>-7.1067126416192616E-2</v>
      </c>
      <c r="Z98" s="9">
        <v>0.64211338218279979</v>
      </c>
      <c r="AA98" s="9">
        <v>0.25540159699389359</v>
      </c>
    </row>
    <row r="99" spans="2:27" hidden="1" x14ac:dyDescent="0.3">
      <c r="B99" s="3" t="s">
        <v>396</v>
      </c>
      <c r="C99" s="3" t="s">
        <v>434</v>
      </c>
      <c r="D99" s="3" t="str">
        <f>VLOOKUP(B99,기업리스트!B:G,2,FALSE)</f>
        <v>CTO Realty Growth, Inc.</v>
      </c>
      <c r="E99" s="3" t="s">
        <v>497</v>
      </c>
      <c r="F99" s="5">
        <v>20.6</v>
      </c>
      <c r="G99" s="4">
        <v>4.09</v>
      </c>
      <c r="H99" s="4">
        <v>4.95</v>
      </c>
      <c r="I99" s="4">
        <v>3.73</v>
      </c>
      <c r="J99" s="4">
        <v>5.0199999999999996</v>
      </c>
      <c r="K99" s="4">
        <v>5.78</v>
      </c>
      <c r="L99" s="4">
        <v>3.18</v>
      </c>
      <c r="M99" s="4">
        <v>2.96</v>
      </c>
      <c r="N99" s="4">
        <v>4.58</v>
      </c>
      <c r="O99" s="4">
        <v>6.15</v>
      </c>
      <c r="P99" s="6">
        <v>6.85</v>
      </c>
      <c r="Q99" s="6">
        <v>5.36</v>
      </c>
      <c r="R99" s="4">
        <v>5.6</v>
      </c>
      <c r="S99" s="4">
        <v>5.85</v>
      </c>
      <c r="T99" s="4">
        <v>-7.28</v>
      </c>
      <c r="U99" s="6">
        <v>7.87</v>
      </c>
      <c r="V99" s="6">
        <v>7.72</v>
      </c>
      <c r="W99" s="6">
        <v>8.77</v>
      </c>
      <c r="X99" s="7">
        <v>-0.59721048182586645</v>
      </c>
      <c r="Y99" s="9">
        <v>0.26337880377754458</v>
      </c>
      <c r="Z99" s="9">
        <v>0.17607973421926931</v>
      </c>
      <c r="AA99" s="9">
        <v>0.20621468926553649</v>
      </c>
    </row>
    <row r="100" spans="2:27" hidden="1" x14ac:dyDescent="0.3">
      <c r="B100" s="3" t="s">
        <v>186</v>
      </c>
      <c r="C100" s="3" t="s">
        <v>434</v>
      </c>
      <c r="D100" s="3" t="str">
        <f>VLOOKUP(B100,기업리스트!B:G,2,FALSE)</f>
        <v>Transocean Ltd.</v>
      </c>
      <c r="E100" s="3" t="s">
        <v>497</v>
      </c>
      <c r="F100" s="5">
        <v>16.600000000000001</v>
      </c>
      <c r="G100" s="4">
        <v>3</v>
      </c>
      <c r="H100" s="4">
        <v>-24</v>
      </c>
      <c r="I100" s="4">
        <v>-51</v>
      </c>
      <c r="J100" s="4">
        <v>32</v>
      </c>
      <c r="K100" s="4">
        <v>56</v>
      </c>
      <c r="L100" s="4">
        <v>-45</v>
      </c>
      <c r="M100" s="4">
        <v>13</v>
      </c>
      <c r="N100" s="4">
        <v>11</v>
      </c>
      <c r="O100" s="4">
        <v>-47</v>
      </c>
      <c r="P100" s="4">
        <v>-41</v>
      </c>
      <c r="Q100" s="6">
        <v>3</v>
      </c>
      <c r="R100" s="4">
        <v>84</v>
      </c>
      <c r="S100" s="4">
        <v>148</v>
      </c>
      <c r="T100" s="6">
        <v>160</v>
      </c>
      <c r="U100" s="6">
        <v>62</v>
      </c>
      <c r="V100" s="6">
        <v>165</v>
      </c>
      <c r="W100" s="6">
        <v>237</v>
      </c>
      <c r="X100" s="10">
        <v>1.036082474226804</v>
      </c>
      <c r="Y100" s="9">
        <v>0.14936708860759479</v>
      </c>
      <c r="Z100" s="9">
        <v>0.1784140969162995</v>
      </c>
      <c r="AA100" s="9">
        <v>0.16635514018691591</v>
      </c>
    </row>
    <row r="101" spans="2:27" hidden="1" x14ac:dyDescent="0.3">
      <c r="B101" s="3" t="s">
        <v>29</v>
      </c>
      <c r="C101" s="3" t="s">
        <v>434</v>
      </c>
      <c r="D101" s="3" t="str">
        <f>VLOOKUP(B101,기업리스트!B:G,2,FALSE)</f>
        <v>Nu Holdings Ltd.</v>
      </c>
      <c r="E101" s="3" t="s">
        <v>497</v>
      </c>
      <c r="F101" s="5">
        <v>12.4</v>
      </c>
      <c r="G101" s="4">
        <v>-21.76</v>
      </c>
      <c r="H101" s="4">
        <v>-88.5</v>
      </c>
      <c r="I101" s="4">
        <v>-67.650000000000006</v>
      </c>
      <c r="J101" s="4">
        <v>-24.61</v>
      </c>
      <c r="K101" s="4">
        <v>5.1100000000000003</v>
      </c>
      <c r="L101" s="6">
        <v>-221.75</v>
      </c>
      <c r="M101" s="4">
        <v>243.63</v>
      </c>
      <c r="N101" s="6">
        <v>323.98</v>
      </c>
      <c r="O101" s="6">
        <v>411.55</v>
      </c>
      <c r="P101" s="6">
        <v>559.92999999999995</v>
      </c>
      <c r="Q101" s="6">
        <v>578.54</v>
      </c>
      <c r="R101" s="6">
        <v>725.42</v>
      </c>
      <c r="S101" s="6">
        <v>723.79</v>
      </c>
      <c r="T101" s="4">
        <v>767.45</v>
      </c>
      <c r="U101" s="4">
        <v>796.2</v>
      </c>
      <c r="V101" s="4">
        <v>880.39</v>
      </c>
      <c r="W101" s="6">
        <v>1117</v>
      </c>
      <c r="X101" s="7">
        <v>8.0195387374018434E-2</v>
      </c>
      <c r="Y101" s="8">
        <v>7.7869204350314858E-2</v>
      </c>
      <c r="Z101" s="8">
        <v>5.1436176921596077E-2</v>
      </c>
      <c r="AA101" s="9">
        <v>0.124125978982458</v>
      </c>
    </row>
    <row r="102" spans="2:27" hidden="1" x14ac:dyDescent="0.3">
      <c r="B102" s="3" t="s">
        <v>117</v>
      </c>
      <c r="C102" s="3" t="s">
        <v>434</v>
      </c>
      <c r="D102" s="3" t="str">
        <f>VLOOKUP(B102,기업리스트!B:G,2,FALSE)</f>
        <v>Frontier Communications Parent, Inc.</v>
      </c>
      <c r="E102" s="3" t="s">
        <v>497</v>
      </c>
      <c r="F102" s="5">
        <v>10.6</v>
      </c>
      <c r="G102" s="4">
        <v>284</v>
      </c>
      <c r="H102" s="4">
        <v>272</v>
      </c>
      <c r="I102" s="4">
        <v>121</v>
      </c>
      <c r="J102" s="4">
        <v>166</v>
      </c>
      <c r="K102" s="4">
        <v>119</v>
      </c>
      <c r="L102" s="4">
        <v>131</v>
      </c>
      <c r="M102" s="4">
        <v>143</v>
      </c>
      <c r="N102" s="4">
        <v>115</v>
      </c>
      <c r="O102" s="4">
        <v>114</v>
      </c>
      <c r="P102" s="4">
        <v>120</v>
      </c>
      <c r="Q102" s="4">
        <v>90</v>
      </c>
      <c r="R102" s="4">
        <v>91</v>
      </c>
      <c r="S102" s="4">
        <v>86</v>
      </c>
      <c r="T102" s="4">
        <v>86</v>
      </c>
      <c r="U102" s="4">
        <v>76</v>
      </c>
      <c r="V102" s="4">
        <v>44</v>
      </c>
      <c r="W102" s="6">
        <v>117</v>
      </c>
      <c r="X102" s="7">
        <v>-8.7855297157622747E-2</v>
      </c>
      <c r="Y102" s="8">
        <v>-3.966005665722383E-2</v>
      </c>
      <c r="Z102" s="8">
        <v>-0.1386430678466076</v>
      </c>
      <c r="AA102" s="9">
        <v>0.1061643835616439</v>
      </c>
    </row>
    <row r="103" spans="2:27" hidden="1" x14ac:dyDescent="0.3">
      <c r="B103" s="3" t="s">
        <v>86</v>
      </c>
      <c r="C103" s="3" t="s">
        <v>434</v>
      </c>
      <c r="D103" s="3" t="str">
        <f>VLOOKUP(B103,기업리스트!B:G,2,FALSE)</f>
        <v>Gaming and Leisure Properties, Inc.</v>
      </c>
      <c r="E103" s="3" t="s">
        <v>497</v>
      </c>
      <c r="F103" s="5">
        <v>6.5</v>
      </c>
      <c r="G103" s="4">
        <v>210.28</v>
      </c>
      <c r="H103" s="4">
        <v>197.42</v>
      </c>
      <c r="I103" s="4">
        <v>199.75</v>
      </c>
      <c r="J103" s="4">
        <v>240.4</v>
      </c>
      <c r="K103" s="4">
        <v>250.14</v>
      </c>
      <c r="L103" s="4">
        <v>275.45999999999998</v>
      </c>
      <c r="M103" s="4">
        <v>266.85000000000002</v>
      </c>
      <c r="N103" s="4">
        <v>238.28</v>
      </c>
      <c r="O103" s="4">
        <v>268.27999999999997</v>
      </c>
      <c r="P103" s="4">
        <v>293.08999999999997</v>
      </c>
      <c r="Q103" s="4">
        <v>257.61</v>
      </c>
      <c r="R103" s="4">
        <v>293.43</v>
      </c>
      <c r="S103" s="4">
        <v>267.64999999999998</v>
      </c>
      <c r="T103" s="4">
        <v>308.20999999999998</v>
      </c>
      <c r="U103" s="4">
        <v>258.70999999999998</v>
      </c>
      <c r="V103" s="4">
        <v>242.06</v>
      </c>
      <c r="W103" s="4">
        <v>337.16</v>
      </c>
      <c r="X103" s="7">
        <v>1.3599812912626691E-2</v>
      </c>
      <c r="Y103" s="8">
        <v>9.7612920401091152E-4</v>
      </c>
      <c r="Z103" s="8">
        <v>-4.5540780141844039E-2</v>
      </c>
      <c r="AA103" s="8">
        <v>6.4562570242330253E-2</v>
      </c>
    </row>
    <row r="104" spans="2:27" hidden="1" x14ac:dyDescent="0.3">
      <c r="B104" s="3" t="s">
        <v>97</v>
      </c>
      <c r="C104" s="3" t="s">
        <v>434</v>
      </c>
      <c r="D104" s="3" t="str">
        <f>VLOOKUP(B104,기업리스트!B:G,2,FALSE)</f>
        <v>DT Midstream, Inc.</v>
      </c>
      <c r="E104" s="3" t="s">
        <v>497</v>
      </c>
      <c r="F104" s="5">
        <v>6.1</v>
      </c>
      <c r="G104" s="4">
        <v>107</v>
      </c>
      <c r="H104" s="4">
        <v>110</v>
      </c>
      <c r="I104" s="4">
        <v>104</v>
      </c>
      <c r="J104" s="4">
        <v>114</v>
      </c>
      <c r="K104" s="4">
        <v>121</v>
      </c>
      <c r="L104" s="4">
        <v>116</v>
      </c>
      <c r="M104" s="4">
        <v>110</v>
      </c>
      <c r="N104" s="4">
        <v>114</v>
      </c>
      <c r="O104" s="4">
        <v>123</v>
      </c>
      <c r="P104" s="4">
        <v>120</v>
      </c>
      <c r="Q104" s="4">
        <v>124</v>
      </c>
      <c r="R104" s="4">
        <v>130</v>
      </c>
      <c r="S104" s="4">
        <v>122</v>
      </c>
      <c r="T104" s="4">
        <v>113</v>
      </c>
      <c r="U104" s="4">
        <v>148</v>
      </c>
      <c r="V104" s="4">
        <v>155</v>
      </c>
      <c r="W104" s="4">
        <v>155</v>
      </c>
      <c r="X104" s="7">
        <v>-1.4112903225806489E-2</v>
      </c>
      <c r="Y104" s="8">
        <v>4.9079754601226933E-2</v>
      </c>
      <c r="Z104" s="8">
        <v>4.8732943469785628E-2</v>
      </c>
      <c r="AA104" s="8">
        <v>6.1338289962825199E-2</v>
      </c>
    </row>
    <row r="105" spans="2:27" hidden="1" x14ac:dyDescent="0.3">
      <c r="B105" s="3" t="s">
        <v>83</v>
      </c>
      <c r="C105" s="3" t="s">
        <v>434</v>
      </c>
      <c r="D105" s="3" t="str">
        <f>VLOOKUP(B105,기업리스트!B:G,2,FALSE)</f>
        <v>UL Solutions Inc.</v>
      </c>
      <c r="E105" s="3" t="s">
        <v>497</v>
      </c>
      <c r="F105" s="5">
        <v>5.5</v>
      </c>
      <c r="G105" s="4">
        <v>59</v>
      </c>
      <c r="H105" s="4">
        <v>86</v>
      </c>
      <c r="I105" s="4">
        <v>96</v>
      </c>
      <c r="J105" s="4">
        <v>96</v>
      </c>
      <c r="K105" s="6">
        <v>112</v>
      </c>
      <c r="L105" s="4">
        <v>90</v>
      </c>
      <c r="M105" s="4">
        <v>73</v>
      </c>
      <c r="N105" s="4">
        <v>115</v>
      </c>
      <c r="O105" s="4">
        <v>124</v>
      </c>
      <c r="P105" s="4">
        <v>84</v>
      </c>
      <c r="Q105" s="4">
        <v>89</v>
      </c>
      <c r="R105" s="4">
        <v>124</v>
      </c>
      <c r="S105" s="4">
        <v>128</v>
      </c>
      <c r="T105" s="4">
        <v>114</v>
      </c>
      <c r="U105" s="4">
        <v>108</v>
      </c>
      <c r="V105" s="4">
        <v>138</v>
      </c>
      <c r="W105" s="4">
        <v>155</v>
      </c>
      <c r="X105" s="7">
        <v>7.0588235294117618E-2</v>
      </c>
      <c r="Y105" s="8">
        <v>4.1758241758241832E-2</v>
      </c>
      <c r="Z105" s="8">
        <v>2.953586497890304E-2</v>
      </c>
      <c r="AA105" s="8">
        <v>5.5327868852458988E-2</v>
      </c>
    </row>
    <row r="106" spans="2:27" hidden="1" x14ac:dyDescent="0.3">
      <c r="B106" s="3" t="s">
        <v>284</v>
      </c>
      <c r="C106" s="3" t="s">
        <v>434</v>
      </c>
      <c r="D106" s="3" t="str">
        <f>VLOOKUP(B106,기업리스트!B:G,2,FALSE)</f>
        <v>Park Hotels &amp; Resorts Inc.</v>
      </c>
      <c r="E106" s="3" t="s">
        <v>497</v>
      </c>
      <c r="F106" s="5">
        <v>4.0999999999999996</v>
      </c>
      <c r="G106" s="4">
        <v>-1</v>
      </c>
      <c r="H106" s="4">
        <v>3</v>
      </c>
      <c r="I106" s="4">
        <v>1</v>
      </c>
      <c r="J106" s="4">
        <v>126</v>
      </c>
      <c r="K106" s="6">
        <v>82</v>
      </c>
      <c r="L106" s="6">
        <v>95</v>
      </c>
      <c r="M106" s="6">
        <v>70</v>
      </c>
      <c r="N106" s="4">
        <v>108</v>
      </c>
      <c r="O106" s="4">
        <v>87</v>
      </c>
      <c r="P106" s="4">
        <v>57</v>
      </c>
      <c r="Q106" s="4">
        <v>84</v>
      </c>
      <c r="R106" s="4">
        <v>114</v>
      </c>
      <c r="S106" s="4">
        <v>89</v>
      </c>
      <c r="T106" s="4">
        <v>43</v>
      </c>
      <c r="U106" s="4">
        <v>61</v>
      </c>
      <c r="V106" s="4">
        <v>50</v>
      </c>
      <c r="W106" s="4">
        <v>99</v>
      </c>
      <c r="X106" s="7">
        <v>-4.0697674418604612E-2</v>
      </c>
      <c r="Y106" s="8">
        <v>-6.9696969696969702E-2</v>
      </c>
      <c r="Z106" s="8">
        <v>-0.20846905537459279</v>
      </c>
      <c r="AA106" s="8">
        <v>4.1152263374485631E-2</v>
      </c>
    </row>
    <row r="107" spans="2:27" hidden="1" x14ac:dyDescent="0.3">
      <c r="B107" s="3" t="s">
        <v>91</v>
      </c>
      <c r="C107" s="3" t="s">
        <v>434</v>
      </c>
      <c r="D107" s="3" t="str">
        <f>VLOOKUP(B107,기업리스트!B:G,2,FALSE)</f>
        <v>American Homes 4 Rent</v>
      </c>
      <c r="E107" s="3" t="s">
        <v>497</v>
      </c>
      <c r="F107" s="5">
        <v>3.1</v>
      </c>
      <c r="G107" s="4">
        <v>69.89</v>
      </c>
      <c r="H107" s="4">
        <v>74.040000000000006</v>
      </c>
      <c r="I107" s="4">
        <v>73.22</v>
      </c>
      <c r="J107" s="4">
        <v>72.92</v>
      </c>
      <c r="K107" s="4">
        <v>79.040000000000006</v>
      </c>
      <c r="L107" s="4">
        <v>82.53</v>
      </c>
      <c r="M107" s="4">
        <v>84.19</v>
      </c>
      <c r="N107" s="4">
        <v>85.02</v>
      </c>
      <c r="O107" s="4">
        <v>87.27</v>
      </c>
      <c r="P107" s="4">
        <v>96.23</v>
      </c>
      <c r="Q107" s="4">
        <v>95.29</v>
      </c>
      <c r="R107" s="4">
        <v>99.41</v>
      </c>
      <c r="S107" s="4">
        <v>99.51</v>
      </c>
      <c r="T107" s="4">
        <v>106.49</v>
      </c>
      <c r="U107" s="4">
        <v>109.91</v>
      </c>
      <c r="V107" s="4">
        <v>113.4</v>
      </c>
      <c r="W107" s="4">
        <v>112.66</v>
      </c>
      <c r="X107" s="7">
        <v>2.6278045282245751E-2</v>
      </c>
      <c r="Y107" s="8">
        <v>3.6486149238831977E-2</v>
      </c>
      <c r="Z107" s="8">
        <v>3.3684869498218362E-2</v>
      </c>
      <c r="AA107" s="8">
        <v>3.0630546691202021E-2</v>
      </c>
    </row>
    <row r="108" spans="2:27" x14ac:dyDescent="0.3">
      <c r="B108" s="21" t="s">
        <v>280</v>
      </c>
      <c r="C108" s="15" t="s">
        <v>495</v>
      </c>
      <c r="D108" s="15" t="str">
        <f>VLOOKUP(B108,기업리스트!B:G,2,FALSE)</f>
        <v>Imerys S.A.</v>
      </c>
      <c r="E108" s="15" t="s">
        <v>436</v>
      </c>
      <c r="F108" s="16">
        <v>-12.8</v>
      </c>
      <c r="G108" s="26">
        <v>0</v>
      </c>
      <c r="H108" s="26">
        <v>121</v>
      </c>
      <c r="I108" s="26">
        <v>0</v>
      </c>
      <c r="J108" s="26">
        <v>118</v>
      </c>
      <c r="K108" s="27">
        <v>60.4</v>
      </c>
      <c r="L108" s="26">
        <v>105</v>
      </c>
      <c r="M108" s="27">
        <v>64.5</v>
      </c>
      <c r="N108" s="26">
        <v>82</v>
      </c>
      <c r="O108" s="26">
        <v>-35.700000000000003</v>
      </c>
      <c r="P108" s="26">
        <v>123</v>
      </c>
      <c r="Q108" s="26">
        <v>40.299999999999997</v>
      </c>
      <c r="R108" s="26">
        <v>78</v>
      </c>
      <c r="S108" s="27">
        <v>42.1</v>
      </c>
      <c r="T108" s="26">
        <v>56</v>
      </c>
      <c r="U108" s="27">
        <v>73.3</v>
      </c>
      <c r="V108" s="26">
        <v>72</v>
      </c>
      <c r="W108" s="26">
        <v>10.9</v>
      </c>
      <c r="X108" s="17">
        <v>-0.23641496118560329</v>
      </c>
      <c r="Y108" s="19">
        <v>0.15249537892791129</v>
      </c>
      <c r="Z108" s="18">
        <v>-2.4057738572574209E-2</v>
      </c>
      <c r="AA108" s="18">
        <v>-0.1281840591618735</v>
      </c>
    </row>
    <row r="109" spans="2:27" hidden="1" x14ac:dyDescent="0.3">
      <c r="B109" s="3" t="s">
        <v>291</v>
      </c>
      <c r="C109" s="3" t="s">
        <v>434</v>
      </c>
      <c r="D109" s="3" t="s">
        <v>502</v>
      </c>
      <c r="E109" s="3" t="s">
        <v>497</v>
      </c>
      <c r="F109" s="5">
        <v>1.7</v>
      </c>
      <c r="G109" s="4">
        <v>44.69</v>
      </c>
      <c r="H109" s="4">
        <v>42.88</v>
      </c>
      <c r="I109" s="4">
        <v>65.5</v>
      </c>
      <c r="J109" s="4">
        <v>52.91</v>
      </c>
      <c r="K109" s="4">
        <v>52.05</v>
      </c>
      <c r="L109" s="4">
        <v>55.22</v>
      </c>
      <c r="M109" s="4">
        <v>60.15</v>
      </c>
      <c r="N109" s="4">
        <v>59.29</v>
      </c>
      <c r="O109" s="4">
        <v>73.25</v>
      </c>
      <c r="P109" s="4">
        <v>60.41</v>
      </c>
      <c r="Q109" s="4">
        <v>68.25</v>
      </c>
      <c r="R109" s="4">
        <v>59.22</v>
      </c>
      <c r="S109" s="4">
        <v>62.25</v>
      </c>
      <c r="T109" s="4">
        <v>68.39</v>
      </c>
      <c r="U109" s="4">
        <v>63.13</v>
      </c>
      <c r="V109" s="4">
        <v>65.430000000000007</v>
      </c>
      <c r="W109" s="4">
        <v>66.69</v>
      </c>
      <c r="X109" s="7">
        <v>3.1903410226682187E-2</v>
      </c>
      <c r="Y109" s="8">
        <v>-1.9836503816202389E-2</v>
      </c>
      <c r="Z109" s="8">
        <v>2.4546424759871899E-2</v>
      </c>
      <c r="AA109" s="8">
        <v>1.712962962962972E-2</v>
      </c>
    </row>
    <row r="110" spans="2:27" hidden="1" x14ac:dyDescent="0.3">
      <c r="B110" s="3" t="s">
        <v>53</v>
      </c>
      <c r="C110" s="3" t="s">
        <v>434</v>
      </c>
      <c r="D110" s="3" t="s">
        <v>482</v>
      </c>
      <c r="E110" s="3" t="s">
        <v>497</v>
      </c>
      <c r="F110" s="5">
        <v>1</v>
      </c>
      <c r="G110" s="4">
        <v>234.53</v>
      </c>
      <c r="H110" s="4">
        <v>243.72</v>
      </c>
      <c r="I110" s="4">
        <v>244.41</v>
      </c>
      <c r="J110" s="4">
        <v>271.61</v>
      </c>
      <c r="K110" s="4">
        <v>281.01</v>
      </c>
      <c r="L110" s="4">
        <v>282.02999999999997</v>
      </c>
      <c r="M110" s="4">
        <v>273.85000000000002</v>
      </c>
      <c r="N110" s="4">
        <v>286.58999999999997</v>
      </c>
      <c r="O110" s="4">
        <v>369.01</v>
      </c>
      <c r="P110" s="4">
        <v>362.26</v>
      </c>
      <c r="Q110" s="4">
        <v>350.84</v>
      </c>
      <c r="R110" s="4">
        <v>376.68</v>
      </c>
      <c r="S110" s="4">
        <v>393.44</v>
      </c>
      <c r="T110" s="4">
        <v>361.08</v>
      </c>
      <c r="U110" s="4">
        <v>372.9</v>
      </c>
      <c r="V110" s="4">
        <v>391.12</v>
      </c>
      <c r="W110" s="4">
        <v>409.27</v>
      </c>
      <c r="X110" s="7">
        <v>-7.9556640282629765E-4</v>
      </c>
      <c r="Y110" s="8">
        <v>1.4884888397074251E-2</v>
      </c>
      <c r="Z110" s="8">
        <v>9.6004255036234998E-3</v>
      </c>
      <c r="AA110" s="8">
        <v>1.0424486677993229E-2</v>
      </c>
    </row>
    <row r="111" spans="2:27" hidden="1" x14ac:dyDescent="0.3">
      <c r="B111" s="3" t="s">
        <v>143</v>
      </c>
      <c r="C111" s="3" t="s">
        <v>434</v>
      </c>
      <c r="D111" s="3" t="s">
        <v>505</v>
      </c>
      <c r="E111" s="3" t="s">
        <v>497</v>
      </c>
      <c r="F111" s="5">
        <v>0.9</v>
      </c>
      <c r="G111" s="4">
        <v>82.9</v>
      </c>
      <c r="H111" s="4">
        <v>83.99</v>
      </c>
      <c r="I111" s="4">
        <v>92.55</v>
      </c>
      <c r="J111" s="4">
        <v>93.99</v>
      </c>
      <c r="K111" s="4">
        <v>89.5</v>
      </c>
      <c r="L111" s="4">
        <v>94.27</v>
      </c>
      <c r="M111" s="4">
        <v>100.11</v>
      </c>
      <c r="N111" s="4">
        <v>113.81</v>
      </c>
      <c r="O111" s="4">
        <v>104.28</v>
      </c>
      <c r="P111" s="4">
        <v>121.48</v>
      </c>
      <c r="Q111" s="4">
        <v>112.58</v>
      </c>
      <c r="R111" s="4">
        <v>124.13</v>
      </c>
      <c r="S111" s="4">
        <v>107.89</v>
      </c>
      <c r="T111" s="4">
        <v>120.22</v>
      </c>
      <c r="U111" s="4">
        <v>114.34</v>
      </c>
      <c r="V111" s="4">
        <v>110.48</v>
      </c>
      <c r="W111" s="4">
        <v>111.97</v>
      </c>
      <c r="X111" s="7">
        <v>-2.7033985581874638E-3</v>
      </c>
      <c r="Y111" s="8">
        <v>3.7864119444086519E-3</v>
      </c>
      <c r="Z111" s="8">
        <v>-2.9255433151871069E-2</v>
      </c>
      <c r="AA111" s="8">
        <v>9.0080144834743248E-3</v>
      </c>
    </row>
    <row r="112" spans="2:27" hidden="1" x14ac:dyDescent="0.3">
      <c r="B112" s="3" t="s">
        <v>354</v>
      </c>
      <c r="C112" s="3" t="s">
        <v>434</v>
      </c>
      <c r="D112" s="3" t="s">
        <v>509</v>
      </c>
      <c r="E112" s="3" t="s">
        <v>497</v>
      </c>
      <c r="F112" s="5">
        <v>0.2</v>
      </c>
      <c r="G112" s="4">
        <v>11.93</v>
      </c>
      <c r="H112" s="4">
        <v>6.85</v>
      </c>
      <c r="I112" s="4">
        <v>8.43</v>
      </c>
      <c r="J112" s="4">
        <v>11.23</v>
      </c>
      <c r="K112" s="6">
        <v>17.71</v>
      </c>
      <c r="L112" s="4">
        <v>9.2799999999999994</v>
      </c>
      <c r="M112" s="4">
        <v>8.14</v>
      </c>
      <c r="N112" s="4">
        <v>11.32</v>
      </c>
      <c r="O112" s="4">
        <v>13.47</v>
      </c>
      <c r="P112" s="4">
        <v>8.89</v>
      </c>
      <c r="Q112" s="4">
        <v>11.13</v>
      </c>
      <c r="R112" s="6">
        <v>16.579999999999998</v>
      </c>
      <c r="S112" s="6">
        <v>18.77</v>
      </c>
      <c r="T112" s="4">
        <v>11.79</v>
      </c>
      <c r="U112" s="4">
        <v>12.72</v>
      </c>
      <c r="V112" s="4">
        <v>15.08</v>
      </c>
      <c r="W112" s="4">
        <v>18.87</v>
      </c>
      <c r="X112" s="7">
        <v>5.2374932273794528E-2</v>
      </c>
      <c r="Y112" s="8">
        <v>2.728676849150502E-2</v>
      </c>
      <c r="Z112" s="8">
        <v>-2.5058469762779811E-2</v>
      </c>
      <c r="AA112" s="8">
        <v>1.7135023989034439E-3</v>
      </c>
    </row>
    <row r="113" spans="2:27" hidden="1" x14ac:dyDescent="0.3">
      <c r="B113" s="3" t="s">
        <v>79</v>
      </c>
      <c r="C113" s="3" t="s">
        <v>434</v>
      </c>
      <c r="D113" s="3" t="s">
        <v>448</v>
      </c>
      <c r="E113" s="3" t="s">
        <v>497</v>
      </c>
      <c r="F113" s="5">
        <v>-0.2</v>
      </c>
      <c r="G113" s="4">
        <v>-82.42</v>
      </c>
      <c r="H113" s="4">
        <v>-84.03</v>
      </c>
      <c r="I113" s="4">
        <v>-257.33</v>
      </c>
      <c r="J113" s="4">
        <v>-248.96</v>
      </c>
      <c r="K113" s="6">
        <v>-315.35000000000002</v>
      </c>
      <c r="L113" s="6">
        <v>-287.39</v>
      </c>
      <c r="M113" s="4">
        <v>-148.66999999999999</v>
      </c>
      <c r="N113" s="4">
        <v>-100.58</v>
      </c>
      <c r="O113" s="4">
        <v>-72.62</v>
      </c>
      <c r="P113" s="4">
        <v>48.54</v>
      </c>
      <c r="Q113" s="4">
        <v>77.790000000000006</v>
      </c>
      <c r="R113" s="4">
        <v>85</v>
      </c>
      <c r="S113" s="6">
        <v>103</v>
      </c>
      <c r="T113" s="6">
        <v>148</v>
      </c>
      <c r="U113" s="4">
        <v>40</v>
      </c>
      <c r="V113" s="6">
        <v>125</v>
      </c>
      <c r="W113" s="4">
        <v>102</v>
      </c>
      <c r="X113" s="10">
        <v>0.31641905004294868</v>
      </c>
      <c r="Y113" s="8">
        <v>-9.1326518282220492E-2</v>
      </c>
      <c r="Z113" s="9">
        <v>0.1063829787234043</v>
      </c>
      <c r="AA113" s="8">
        <v>-2.4038461538461449E-3</v>
      </c>
    </row>
    <row r="114" spans="2:27" hidden="1" x14ac:dyDescent="0.3">
      <c r="B114" s="3" t="s">
        <v>350</v>
      </c>
      <c r="C114" s="3" t="s">
        <v>434</v>
      </c>
      <c r="D114" s="3" t="s">
        <v>449</v>
      </c>
      <c r="E114" s="3" t="s">
        <v>497</v>
      </c>
      <c r="F114" s="5">
        <v>-1.1000000000000001</v>
      </c>
      <c r="G114" s="4">
        <v>74.349999999999994</v>
      </c>
      <c r="H114" s="4">
        <v>43.9</v>
      </c>
      <c r="I114" s="4">
        <v>15.24</v>
      </c>
      <c r="J114" s="4">
        <v>58.08</v>
      </c>
      <c r="K114" s="4">
        <v>37.08</v>
      </c>
      <c r="L114" s="4">
        <v>41.9</v>
      </c>
      <c r="M114" s="6">
        <v>74.36</v>
      </c>
      <c r="N114" s="6">
        <v>93.58</v>
      </c>
      <c r="O114" s="6">
        <v>71.94</v>
      </c>
      <c r="P114" s="6">
        <v>70.16</v>
      </c>
      <c r="Q114" s="4">
        <v>71.91</v>
      </c>
      <c r="R114" s="4">
        <v>88.27</v>
      </c>
      <c r="S114" s="4">
        <v>81.03</v>
      </c>
      <c r="T114" s="4">
        <v>84.92</v>
      </c>
      <c r="U114" s="4">
        <v>81.209999999999994</v>
      </c>
      <c r="V114" s="4">
        <v>83.46</v>
      </c>
      <c r="W114" s="4">
        <v>77.5</v>
      </c>
      <c r="X114" s="7">
        <v>4.7403410733211297E-2</v>
      </c>
      <c r="Y114" s="8">
        <v>2.8516235856866912E-2</v>
      </c>
      <c r="Z114" s="8">
        <v>-1.4339802641385679E-2</v>
      </c>
      <c r="AA114" s="8">
        <v>-1.0676910047789151E-2</v>
      </c>
    </row>
    <row r="115" spans="2:27" hidden="1" x14ac:dyDescent="0.3">
      <c r="B115" s="3" t="s">
        <v>317</v>
      </c>
      <c r="C115" s="3" t="s">
        <v>434</v>
      </c>
      <c r="D115" s="3" t="s">
        <v>435</v>
      </c>
      <c r="E115" s="3" t="s">
        <v>497</v>
      </c>
      <c r="F115" s="5">
        <v>-6</v>
      </c>
      <c r="G115" s="4">
        <v>-38.64</v>
      </c>
      <c r="H115" s="4">
        <v>-38.869999999999997</v>
      </c>
      <c r="I115" s="4">
        <v>-27.81</v>
      </c>
      <c r="J115" s="4">
        <v>-26.22</v>
      </c>
      <c r="K115" s="4">
        <v>-21.88</v>
      </c>
      <c r="L115" s="4">
        <v>12.14</v>
      </c>
      <c r="M115" s="4">
        <v>-26.06</v>
      </c>
      <c r="N115" s="4">
        <v>-16.62</v>
      </c>
      <c r="O115" s="4">
        <v>7.4</v>
      </c>
      <c r="P115" s="6">
        <v>-27.99</v>
      </c>
      <c r="Q115" s="4">
        <v>-24.68</v>
      </c>
      <c r="R115" s="4">
        <v>-13.63</v>
      </c>
      <c r="S115" s="4">
        <v>2.23</v>
      </c>
      <c r="T115" s="4">
        <v>8.1300000000000008</v>
      </c>
      <c r="U115" s="6">
        <v>-36.35</v>
      </c>
      <c r="V115" s="4">
        <v>-14.4</v>
      </c>
      <c r="W115" s="4">
        <v>4.67</v>
      </c>
      <c r="X115" s="7">
        <v>-0.56375838926174493</v>
      </c>
      <c r="Y115" s="9">
        <v>0.41753130590339921</v>
      </c>
      <c r="Z115" s="8">
        <v>1.943462897526493E-2</v>
      </c>
      <c r="AA115" s="8">
        <v>-6.041099282000495E-2</v>
      </c>
    </row>
    <row r="116" spans="2:27" hidden="1" x14ac:dyDescent="0.3">
      <c r="B116" s="3" t="s">
        <v>319</v>
      </c>
      <c r="C116" s="3" t="s">
        <v>434</v>
      </c>
      <c r="D116" s="3" t="s">
        <v>445</v>
      </c>
      <c r="E116" s="3" t="s">
        <v>497</v>
      </c>
      <c r="F116" s="5">
        <v>-6.5</v>
      </c>
      <c r="G116" s="4">
        <v>7.72</v>
      </c>
      <c r="H116" s="4">
        <v>12.74</v>
      </c>
      <c r="I116" s="4">
        <v>-15.34</v>
      </c>
      <c r="J116" s="4">
        <v>-12.24</v>
      </c>
      <c r="K116" s="6">
        <v>-16.48</v>
      </c>
      <c r="L116" s="6">
        <v>-5.36</v>
      </c>
      <c r="M116" s="6">
        <v>-49.07</v>
      </c>
      <c r="N116" s="6">
        <v>-24.71</v>
      </c>
      <c r="O116" s="6">
        <v>-31.55</v>
      </c>
      <c r="P116" s="6">
        <v>-37.159999999999997</v>
      </c>
      <c r="Q116" s="4">
        <v>-41.68</v>
      </c>
      <c r="R116" s="4">
        <v>-30.77</v>
      </c>
      <c r="S116" s="4">
        <v>-26.09</v>
      </c>
      <c r="T116" s="4">
        <v>-0.57999999999999996</v>
      </c>
      <c r="U116" s="4">
        <v>-34.49</v>
      </c>
      <c r="V116" s="4">
        <v>-31.86</v>
      </c>
      <c r="W116" s="4">
        <v>-20.059999999999999</v>
      </c>
      <c r="X116" s="7">
        <v>-0.26956521739130418</v>
      </c>
      <c r="Y116" s="8">
        <v>-7.2538337368845851E-2</v>
      </c>
      <c r="Z116" s="8">
        <v>1.185684760143579E-2</v>
      </c>
      <c r="AA116" s="8">
        <v>-6.4824768866910354E-2</v>
      </c>
    </row>
    <row r="117" spans="2:27" hidden="1" x14ac:dyDescent="0.3">
      <c r="B117" s="3" t="s">
        <v>360</v>
      </c>
      <c r="C117" s="3" t="s">
        <v>434</v>
      </c>
      <c r="D117" s="3" t="s">
        <v>478</v>
      </c>
      <c r="E117" s="3" t="s">
        <v>497</v>
      </c>
      <c r="F117" s="5">
        <v>-8.6</v>
      </c>
      <c r="G117" s="4">
        <v>2.4</v>
      </c>
      <c r="H117" s="4">
        <v>3.03</v>
      </c>
      <c r="I117" s="4">
        <v>3.7</v>
      </c>
      <c r="J117" s="4">
        <v>5.29</v>
      </c>
      <c r="K117" s="6">
        <v>4.57</v>
      </c>
      <c r="L117" s="4">
        <v>-1</v>
      </c>
      <c r="M117" s="4">
        <v>-4.4400000000000004</v>
      </c>
      <c r="N117" s="4">
        <v>-6.85</v>
      </c>
      <c r="O117" s="6">
        <v>-6.73</v>
      </c>
      <c r="P117" s="6">
        <v>-3.56</v>
      </c>
      <c r="Q117" s="4">
        <v>-3.35</v>
      </c>
      <c r="R117" s="4">
        <v>-1.89</v>
      </c>
      <c r="S117" s="4">
        <v>-3.41</v>
      </c>
      <c r="T117" s="6">
        <v>-6.17</v>
      </c>
      <c r="U117" s="6">
        <v>-10.28</v>
      </c>
      <c r="V117" s="6">
        <v>-6.75</v>
      </c>
      <c r="W117" s="4">
        <v>-1.1200000000000001</v>
      </c>
      <c r="X117" s="10">
        <v>0.2137592137592137</v>
      </c>
      <c r="Y117" s="9">
        <v>0.46761133603238858</v>
      </c>
      <c r="Z117" s="9">
        <v>0.22344827586206881</v>
      </c>
      <c r="AA117" s="8">
        <v>-8.6057872980082606E-2</v>
      </c>
    </row>
    <row r="118" spans="2:27" hidden="1" x14ac:dyDescent="0.3">
      <c r="B118" s="3" t="s">
        <v>162</v>
      </c>
      <c r="C118" s="3" t="s">
        <v>434</v>
      </c>
      <c r="D118" s="3" t="s">
        <v>460</v>
      </c>
      <c r="E118" s="3" t="s">
        <v>497</v>
      </c>
      <c r="F118" s="5">
        <v>-9.3000000000000007</v>
      </c>
      <c r="G118" s="4">
        <v>57.73</v>
      </c>
      <c r="H118" s="4">
        <v>56.46</v>
      </c>
      <c r="I118" s="4">
        <v>62.25</v>
      </c>
      <c r="J118" s="4">
        <v>53.31</v>
      </c>
      <c r="K118" s="4">
        <v>68.459999999999994</v>
      </c>
      <c r="L118" s="6">
        <v>83.08</v>
      </c>
      <c r="M118" s="4">
        <v>45.37</v>
      </c>
      <c r="N118" s="4">
        <v>58.64</v>
      </c>
      <c r="O118" s="4">
        <v>48.44</v>
      </c>
      <c r="P118" s="4">
        <v>64.75</v>
      </c>
      <c r="Q118" s="4">
        <v>62.87</v>
      </c>
      <c r="R118" s="4">
        <v>56.44</v>
      </c>
      <c r="S118" s="4">
        <v>67.010000000000005</v>
      </c>
      <c r="T118" s="4">
        <v>52.49</v>
      </c>
      <c r="U118" s="4">
        <v>69.66</v>
      </c>
      <c r="V118" s="4">
        <v>68.540000000000006</v>
      </c>
      <c r="W118" s="4">
        <v>43.14</v>
      </c>
      <c r="X118" s="7">
        <v>-4.8831003305850877E-2</v>
      </c>
      <c r="Y118" s="8">
        <v>2.843264519911215E-2</v>
      </c>
      <c r="Z118" s="8">
        <v>4.9267100977198768E-2</v>
      </c>
      <c r="AA118" s="8">
        <v>-9.2627085758633987E-2</v>
      </c>
    </row>
    <row r="119" spans="2:27" hidden="1" x14ac:dyDescent="0.3">
      <c r="B119" s="3" t="s">
        <v>224</v>
      </c>
      <c r="C119" s="3" t="s">
        <v>434</v>
      </c>
      <c r="D119" s="3" t="s">
        <v>435</v>
      </c>
      <c r="E119" s="3" t="s">
        <v>498</v>
      </c>
      <c r="F119" s="5">
        <v>-26.8</v>
      </c>
      <c r="G119" s="3"/>
      <c r="H119" s="3"/>
      <c r="I119" s="3"/>
      <c r="J119" s="3"/>
      <c r="K119" s="3"/>
      <c r="L119" s="3"/>
      <c r="M119" s="3"/>
      <c r="N119" s="4">
        <v>-22.48</v>
      </c>
      <c r="O119" s="4">
        <v>-23.49</v>
      </c>
      <c r="P119" s="4">
        <v>-36.29</v>
      </c>
      <c r="Q119" s="4">
        <v>-43.73</v>
      </c>
      <c r="R119" s="4">
        <v>-7.22</v>
      </c>
      <c r="S119" s="4">
        <v>20.62</v>
      </c>
      <c r="T119" s="4">
        <v>14.25</v>
      </c>
      <c r="U119" s="4">
        <v>24.43</v>
      </c>
      <c r="V119" s="6">
        <v>21.94</v>
      </c>
      <c r="W119" s="4">
        <v>-1.1599999999999999</v>
      </c>
      <c r="X119" s="7">
        <v>-0.75863104172921048</v>
      </c>
      <c r="Y119" s="8">
        <v>-4.2388059701492544</v>
      </c>
      <c r="Z119" s="9">
        <v>0.55990783410138278</v>
      </c>
      <c r="AA119" s="8">
        <v>-0.26809453471196459</v>
      </c>
    </row>
    <row r="120" spans="2:27" hidden="1" x14ac:dyDescent="0.3">
      <c r="B120" s="3" t="s">
        <v>346</v>
      </c>
      <c r="C120" s="3" t="s">
        <v>434</v>
      </c>
      <c r="D120" s="3" t="s">
        <v>512</v>
      </c>
      <c r="E120" s="3" t="s">
        <v>497</v>
      </c>
      <c r="F120" s="5">
        <v>-31.3</v>
      </c>
      <c r="G120" s="4">
        <v>17.23</v>
      </c>
      <c r="H120" s="4">
        <v>25.53</v>
      </c>
      <c r="I120" s="4">
        <v>30.62</v>
      </c>
      <c r="J120" s="4">
        <v>37.32</v>
      </c>
      <c r="K120" s="6">
        <v>34.200000000000003</v>
      </c>
      <c r="L120" s="4">
        <v>28.46</v>
      </c>
      <c r="M120" s="4">
        <v>28.07</v>
      </c>
      <c r="N120" s="4">
        <v>21</v>
      </c>
      <c r="O120" s="4">
        <v>29.46</v>
      </c>
      <c r="P120" s="4">
        <v>35.58</v>
      </c>
      <c r="Q120" s="4">
        <v>18.170000000000002</v>
      </c>
      <c r="R120" s="4">
        <v>23.63</v>
      </c>
      <c r="S120" s="4">
        <v>36.409999999999997</v>
      </c>
      <c r="T120" s="4">
        <v>14.24</v>
      </c>
      <c r="U120" s="4">
        <v>17.64</v>
      </c>
      <c r="V120" s="4">
        <v>12.35</v>
      </c>
      <c r="W120" s="4">
        <v>11.17</v>
      </c>
      <c r="X120" s="7">
        <v>-0.18753844801827921</v>
      </c>
      <c r="Y120" s="8">
        <v>-5.7328285559762326E-3</v>
      </c>
      <c r="Z120" s="8">
        <v>-0.122715404699739</v>
      </c>
      <c r="AA120" s="8">
        <v>-0.31299603174603169</v>
      </c>
    </row>
    <row r="121" spans="2:27" hidden="1" x14ac:dyDescent="0.3">
      <c r="B121" s="3" t="s">
        <v>352</v>
      </c>
      <c r="C121" s="3" t="s">
        <v>434</v>
      </c>
      <c r="D121" s="3" t="s">
        <v>455</v>
      </c>
      <c r="E121" s="3" t="s">
        <v>497</v>
      </c>
      <c r="F121" s="5">
        <v>-37.5</v>
      </c>
      <c r="G121" s="4">
        <v>19.8</v>
      </c>
      <c r="H121" s="4">
        <v>68.5</v>
      </c>
      <c r="I121" s="4">
        <v>-2.4</v>
      </c>
      <c r="J121" s="4">
        <v>-21.1</v>
      </c>
      <c r="K121" s="4">
        <v>24.9</v>
      </c>
      <c r="L121" s="4">
        <v>57.8</v>
      </c>
      <c r="M121" s="6">
        <v>31.3</v>
      </c>
      <c r="N121" s="6">
        <v>55.1</v>
      </c>
      <c r="O121" s="4">
        <v>18.399999999999999</v>
      </c>
      <c r="P121" s="4">
        <v>60.3</v>
      </c>
      <c r="Q121" s="4">
        <v>35.299999999999997</v>
      </c>
      <c r="R121" s="4">
        <v>40</v>
      </c>
      <c r="S121" s="6">
        <v>36.700000000000003</v>
      </c>
      <c r="T121" s="4">
        <v>34.6</v>
      </c>
      <c r="U121" s="4">
        <v>16</v>
      </c>
      <c r="V121" s="4">
        <v>37</v>
      </c>
      <c r="W121" s="4">
        <v>-9.9</v>
      </c>
      <c r="X121" s="7">
        <v>-0.14915844457341851</v>
      </c>
      <c r="Y121" s="8">
        <v>-0.13165075034106399</v>
      </c>
      <c r="Z121" s="8">
        <v>-2.3566378633150031E-2</v>
      </c>
      <c r="AA121" s="8">
        <v>-0.37489943684633947</v>
      </c>
    </row>
    <row r="122" spans="2:27" hidden="1" x14ac:dyDescent="0.3">
      <c r="B122" s="3" t="s">
        <v>230</v>
      </c>
      <c r="C122" s="3" t="s">
        <v>434</v>
      </c>
      <c r="D122" s="3" t="s">
        <v>435</v>
      </c>
      <c r="E122" s="3" t="s">
        <v>497</v>
      </c>
      <c r="F122" s="5">
        <v>-47.4</v>
      </c>
      <c r="G122" s="4">
        <v>-17.850000000000001</v>
      </c>
      <c r="H122" s="4">
        <v>-48.89</v>
      </c>
      <c r="I122" s="4">
        <v>-57.05</v>
      </c>
      <c r="J122" s="4">
        <v>0</v>
      </c>
      <c r="K122" s="6">
        <v>-82.6</v>
      </c>
      <c r="L122" s="6">
        <v>-86.7</v>
      </c>
      <c r="M122" s="6">
        <v>-97.37</v>
      </c>
      <c r="N122" s="6">
        <v>-103.95</v>
      </c>
      <c r="O122" s="4">
        <v>-92.59</v>
      </c>
      <c r="P122" s="4">
        <v>-82.84</v>
      </c>
      <c r="Q122" s="4">
        <v>-73.77</v>
      </c>
      <c r="R122" s="4">
        <v>-67.05</v>
      </c>
      <c r="S122" s="4">
        <v>-56.03</v>
      </c>
      <c r="T122" s="4">
        <v>-59.33</v>
      </c>
      <c r="U122" s="4">
        <v>-42.67</v>
      </c>
      <c r="V122" s="4">
        <v>-12.65</v>
      </c>
      <c r="W122" s="4">
        <v>24.93</v>
      </c>
      <c r="X122" s="7">
        <v>-8.4057349208051746E-2</v>
      </c>
      <c r="Y122" s="8">
        <v>-0.1213990163166524</v>
      </c>
      <c r="Z122" s="8">
        <v>-0.24169184290030199</v>
      </c>
      <c r="AA122" s="8">
        <v>-0.4743379423482541</v>
      </c>
    </row>
    <row r="123" spans="2:27" hidden="1" x14ac:dyDescent="0.3">
      <c r="B123" s="3" t="s">
        <v>109</v>
      </c>
      <c r="C123" s="3" t="s">
        <v>434</v>
      </c>
      <c r="D123" s="3" t="s">
        <v>511</v>
      </c>
      <c r="E123" s="3" t="s">
        <v>497</v>
      </c>
      <c r="F123" s="5">
        <v>-55.7</v>
      </c>
      <c r="G123" s="4">
        <v>-97.8</v>
      </c>
      <c r="H123" s="4">
        <v>24.1</v>
      </c>
      <c r="I123" s="4">
        <v>-413.07</v>
      </c>
      <c r="J123" s="4">
        <v>-978.46</v>
      </c>
      <c r="K123" s="6">
        <v>-2130</v>
      </c>
      <c r="L123" s="4">
        <v>-133.62</v>
      </c>
      <c r="M123" s="4">
        <v>405.2</v>
      </c>
      <c r="N123" s="4">
        <v>1561</v>
      </c>
      <c r="O123" s="4">
        <v>2339</v>
      </c>
      <c r="P123" s="6">
        <v>3101</v>
      </c>
      <c r="Q123" s="4">
        <v>-584.9</v>
      </c>
      <c r="R123" s="4">
        <v>458.36</v>
      </c>
      <c r="S123" s="6">
        <v>3433</v>
      </c>
      <c r="T123" s="4">
        <v>3713</v>
      </c>
      <c r="U123" s="6">
        <v>271.64999999999998</v>
      </c>
      <c r="V123" s="4">
        <v>864.17</v>
      </c>
      <c r="W123" s="4">
        <v>-1177</v>
      </c>
      <c r="X123" s="7">
        <v>9.551366688204066E-2</v>
      </c>
      <c r="Y123" s="9">
        <v>0.1220250560584433</v>
      </c>
      <c r="Z123" s="8">
        <v>5.1524820308760377E-2</v>
      </c>
      <c r="AA123" s="8">
        <v>-0.55664093158267147</v>
      </c>
    </row>
    <row r="124" spans="2:27" hidden="1" x14ac:dyDescent="0.3">
      <c r="B124" s="3" t="s">
        <v>329</v>
      </c>
      <c r="C124" s="3" t="s">
        <v>434</v>
      </c>
      <c r="D124" s="3" t="s">
        <v>499</v>
      </c>
      <c r="E124" s="3" t="s">
        <v>497</v>
      </c>
      <c r="F124" s="5">
        <v>-1492</v>
      </c>
      <c r="G124" s="4">
        <v>16.07</v>
      </c>
      <c r="H124" s="4">
        <v>80.72</v>
      </c>
      <c r="I124" s="4">
        <v>30.76</v>
      </c>
      <c r="J124" s="4">
        <v>128.22999999999999</v>
      </c>
      <c r="K124" s="6">
        <v>61.4</v>
      </c>
      <c r="L124" s="4">
        <v>63.14</v>
      </c>
      <c r="M124" s="4">
        <v>-30.25</v>
      </c>
      <c r="N124" s="4">
        <v>-3.41</v>
      </c>
      <c r="O124" s="4">
        <v>5.12</v>
      </c>
      <c r="P124" s="4">
        <v>-8.49</v>
      </c>
      <c r="Q124" s="4">
        <v>-17.77</v>
      </c>
      <c r="R124" s="4">
        <v>5.2</v>
      </c>
      <c r="S124" s="4">
        <v>10.08</v>
      </c>
      <c r="T124" s="4">
        <v>-1.63</v>
      </c>
      <c r="U124" s="6">
        <v>-23.63</v>
      </c>
      <c r="V124" s="4">
        <v>14.43</v>
      </c>
      <c r="W124" s="4">
        <v>21.27</v>
      </c>
      <c r="X124" s="7">
        <v>-0.62477231329690353</v>
      </c>
      <c r="Y124" s="9">
        <v>1.4223300970873789</v>
      </c>
      <c r="Z124" s="8">
        <v>-0.92484969939879769</v>
      </c>
      <c r="AA124" s="8">
        <v>-14.920000000000019</v>
      </c>
    </row>
    <row r="125" spans="2:27" hidden="1" x14ac:dyDescent="0.3">
      <c r="B125" s="3" t="s">
        <v>331</v>
      </c>
      <c r="C125" s="3" t="s">
        <v>492</v>
      </c>
      <c r="D125" s="3" t="s">
        <v>493</v>
      </c>
      <c r="E125" s="3" t="s">
        <v>498</v>
      </c>
      <c r="F125" s="5">
        <v>-9.3000000000000007</v>
      </c>
      <c r="G125" s="3"/>
      <c r="H125" s="3"/>
      <c r="I125" s="3"/>
      <c r="J125" s="3"/>
      <c r="K125" s="3"/>
      <c r="L125" s="3"/>
      <c r="M125" s="3"/>
      <c r="N125" s="4">
        <v>4925</v>
      </c>
      <c r="O125" s="4">
        <v>4591</v>
      </c>
      <c r="P125" s="4">
        <v>4486</v>
      </c>
      <c r="Q125" s="4">
        <v>4711</v>
      </c>
      <c r="R125" s="4">
        <v>4105</v>
      </c>
      <c r="S125" s="6">
        <v>7121</v>
      </c>
      <c r="T125" s="4">
        <v>4608</v>
      </c>
      <c r="U125" s="4">
        <v>4836</v>
      </c>
      <c r="V125" s="4">
        <v>6098</v>
      </c>
      <c r="W125" s="4">
        <v>5019</v>
      </c>
      <c r="X125" s="7">
        <v>5.9736571512509773E-3</v>
      </c>
      <c r="Y125" s="8">
        <v>6.0842054027743231E-3</v>
      </c>
      <c r="Z125" s="8">
        <v>9.6419932268988928E-2</v>
      </c>
      <c r="AA125" s="8">
        <v>-9.2750297842298046E-2</v>
      </c>
    </row>
    <row r="126" spans="2:27" hidden="1" x14ac:dyDescent="0.3">
      <c r="B126" s="3" t="s">
        <v>135</v>
      </c>
      <c r="C126" s="3" t="s">
        <v>495</v>
      </c>
      <c r="D126" s="3" t="s">
        <v>493</v>
      </c>
      <c r="E126" s="3" t="s">
        <v>498</v>
      </c>
      <c r="F126" s="5">
        <v>18.3</v>
      </c>
      <c r="G126" s="3"/>
      <c r="H126" s="3"/>
      <c r="I126" s="3"/>
      <c r="J126" s="3"/>
      <c r="K126" s="3"/>
      <c r="L126" s="3"/>
      <c r="M126" s="3"/>
      <c r="N126" s="4">
        <v>102.88</v>
      </c>
      <c r="O126" s="4">
        <v>92.85</v>
      </c>
      <c r="P126" s="4">
        <v>71.739999999999995</v>
      </c>
      <c r="Q126" s="4">
        <v>75.94</v>
      </c>
      <c r="R126" s="4">
        <v>76.28</v>
      </c>
      <c r="S126" s="4">
        <v>91.52</v>
      </c>
      <c r="T126" s="6">
        <v>140.86000000000001</v>
      </c>
      <c r="U126" s="6">
        <v>193.2</v>
      </c>
      <c r="V126" s="6">
        <v>202.15</v>
      </c>
      <c r="W126" s="6">
        <v>206.49</v>
      </c>
      <c r="X126" s="10">
        <v>0.2190947128185623</v>
      </c>
      <c r="Y126" s="9">
        <v>0.30488819552782109</v>
      </c>
      <c r="Z126" s="9">
        <v>0.25080699796756067</v>
      </c>
      <c r="AA126" s="9">
        <v>0.1831519920985136</v>
      </c>
    </row>
    <row r="127" spans="2:27" hidden="1" x14ac:dyDescent="0.3">
      <c r="B127" s="3" t="s">
        <v>348</v>
      </c>
      <c r="C127" s="3" t="s">
        <v>434</v>
      </c>
      <c r="D127" s="3" t="s">
        <v>488</v>
      </c>
      <c r="E127" s="3" t="s">
        <v>497</v>
      </c>
      <c r="F127" s="5">
        <v>9.3000000000000007</v>
      </c>
      <c r="G127" s="4">
        <v>-14.27</v>
      </c>
      <c r="H127" s="4">
        <v>-15.41</v>
      </c>
      <c r="I127" s="4">
        <v>-17.27</v>
      </c>
      <c r="J127" s="4">
        <v>-14.01</v>
      </c>
      <c r="K127" s="4">
        <v>-18.03</v>
      </c>
      <c r="L127" s="4">
        <v>-8.75</v>
      </c>
      <c r="M127" s="4">
        <v>-9.56</v>
      </c>
      <c r="N127" s="4">
        <v>-10.23</v>
      </c>
      <c r="O127" s="4">
        <v>-11.25</v>
      </c>
      <c r="P127" s="4">
        <v>-12.53</v>
      </c>
      <c r="Q127" s="4">
        <v>-10.62</v>
      </c>
      <c r="R127" s="4">
        <v>-11.73</v>
      </c>
      <c r="S127" s="4">
        <v>-13.66</v>
      </c>
      <c r="T127" s="6">
        <v>-20.260000000000002</v>
      </c>
      <c r="U127" s="6">
        <v>-18.04</v>
      </c>
      <c r="V127" s="6">
        <v>-20.28</v>
      </c>
      <c r="W127" s="4">
        <v>-20.37</v>
      </c>
      <c r="X127" s="10">
        <v>0.1592501030078286</v>
      </c>
      <c r="Y127" s="9">
        <v>0.13186422605295881</v>
      </c>
      <c r="Z127" s="9">
        <v>0.13424399434762149</v>
      </c>
      <c r="AA127" s="8">
        <v>9.2884828349944604E-2</v>
      </c>
    </row>
    <row r="128" spans="2:27" hidden="1" x14ac:dyDescent="0.3">
      <c r="B128" s="3" t="s">
        <v>81</v>
      </c>
      <c r="C128" s="3" t="s">
        <v>513</v>
      </c>
      <c r="D128" s="3" t="s">
        <v>493</v>
      </c>
      <c r="E128" s="3" t="s">
        <v>498</v>
      </c>
      <c r="F128" s="5">
        <v>7.9</v>
      </c>
      <c r="G128" s="3"/>
      <c r="H128" s="3"/>
      <c r="I128" s="3"/>
      <c r="J128" s="3"/>
      <c r="K128" s="3"/>
      <c r="L128" s="3"/>
      <c r="M128" s="3"/>
      <c r="N128" s="4">
        <v>5539</v>
      </c>
      <c r="O128" s="4">
        <v>5905</v>
      </c>
      <c r="P128" s="4">
        <v>5091</v>
      </c>
      <c r="Q128" s="4">
        <v>5792</v>
      </c>
      <c r="R128" s="4">
        <v>5409</v>
      </c>
      <c r="S128" s="4">
        <v>7623</v>
      </c>
      <c r="T128" s="6">
        <v>7708</v>
      </c>
      <c r="U128" s="6">
        <v>8660</v>
      </c>
      <c r="V128" s="4">
        <v>7931</v>
      </c>
      <c r="W128" s="4">
        <v>10131</v>
      </c>
      <c r="X128" s="10">
        <v>0.1094292285176668</v>
      </c>
      <c r="Y128" s="9">
        <v>0.10809588421528731</v>
      </c>
      <c r="Z128" s="8">
        <v>8.5782312925170023E-2</v>
      </c>
      <c r="AA128" s="8">
        <v>7.8566505858028934E-2</v>
      </c>
    </row>
    <row r="129" spans="2:27" hidden="1" x14ac:dyDescent="0.3">
      <c r="B129" s="3" t="s">
        <v>95</v>
      </c>
      <c r="C129" s="3" t="s">
        <v>495</v>
      </c>
      <c r="D129" s="3" t="s">
        <v>493</v>
      </c>
      <c r="E129" s="3" t="s">
        <v>498</v>
      </c>
      <c r="F129" s="5">
        <v>7.4</v>
      </c>
      <c r="G129" s="3"/>
      <c r="H129" s="3"/>
      <c r="I129" s="3"/>
      <c r="J129" s="3"/>
      <c r="K129" s="3"/>
      <c r="L129" s="3"/>
      <c r="M129" s="3"/>
      <c r="N129" s="4">
        <v>-42</v>
      </c>
      <c r="O129" s="4">
        <v>-238</v>
      </c>
      <c r="P129" s="4">
        <v>11</v>
      </c>
      <c r="Q129" s="4">
        <v>98</v>
      </c>
      <c r="R129" s="4">
        <v>0</v>
      </c>
      <c r="S129" s="4">
        <v>316</v>
      </c>
      <c r="T129" s="4">
        <v>0</v>
      </c>
      <c r="U129" s="6">
        <v>345</v>
      </c>
      <c r="V129" s="6">
        <v>434</v>
      </c>
      <c r="W129" s="4">
        <v>397</v>
      </c>
      <c r="X129" s="7">
        <v>-2.5882352941176471E-2</v>
      </c>
      <c r="Y129" s="9">
        <v>0.59661835748792269</v>
      </c>
      <c r="Z129" s="9">
        <v>0.65658093797276851</v>
      </c>
      <c r="AA129" s="8">
        <v>7.3972602739726057E-2</v>
      </c>
    </row>
    <row r="130" spans="2:27" hidden="1" x14ac:dyDescent="0.3">
      <c r="B130" s="3" t="s">
        <v>149</v>
      </c>
      <c r="C130" s="3" t="s">
        <v>495</v>
      </c>
      <c r="D130" s="3" t="s">
        <v>493</v>
      </c>
      <c r="E130" s="3" t="s">
        <v>498</v>
      </c>
      <c r="F130" s="5">
        <v>6</v>
      </c>
      <c r="G130" s="3"/>
      <c r="H130" s="3"/>
      <c r="I130" s="3"/>
      <c r="J130" s="3"/>
      <c r="K130" s="3"/>
      <c r="L130" s="3"/>
      <c r="M130" s="3"/>
      <c r="N130" s="4">
        <v>158</v>
      </c>
      <c r="O130" s="4">
        <v>218</v>
      </c>
      <c r="P130" s="4">
        <v>181</v>
      </c>
      <c r="Q130" s="4">
        <v>248</v>
      </c>
      <c r="R130" s="4">
        <v>141</v>
      </c>
      <c r="S130" s="4">
        <v>245</v>
      </c>
      <c r="T130" s="4">
        <v>169</v>
      </c>
      <c r="U130" s="4">
        <v>324</v>
      </c>
      <c r="V130" s="6">
        <v>279</v>
      </c>
      <c r="W130" s="4">
        <v>306</v>
      </c>
      <c r="X130" s="7">
        <v>-1.4723926380368121E-2</v>
      </c>
      <c r="Y130" s="8">
        <v>9.4645080946450744E-2</v>
      </c>
      <c r="Z130" s="9">
        <v>0.15699658703071659</v>
      </c>
      <c r="AA130" s="8">
        <v>5.9980334316617423E-2</v>
      </c>
    </row>
    <row r="131" spans="2:27" hidden="1" x14ac:dyDescent="0.3">
      <c r="B131" s="3" t="s">
        <v>402</v>
      </c>
      <c r="C131" s="3" t="s">
        <v>434</v>
      </c>
      <c r="D131" s="3" t="s">
        <v>440</v>
      </c>
      <c r="E131" s="3" t="s">
        <v>497</v>
      </c>
      <c r="F131" s="5">
        <v>4.5</v>
      </c>
      <c r="G131" s="4">
        <v>-16.32</v>
      </c>
      <c r="H131" s="4">
        <v>-3.88</v>
      </c>
      <c r="I131" s="4">
        <v>0.04</v>
      </c>
      <c r="J131" s="4">
        <v>14.28</v>
      </c>
      <c r="K131" s="4">
        <v>-14.97</v>
      </c>
      <c r="L131" s="6">
        <v>-5.54</v>
      </c>
      <c r="M131" s="4">
        <v>37.56</v>
      </c>
      <c r="N131" s="6">
        <v>24.31</v>
      </c>
      <c r="O131" s="6">
        <v>21.01</v>
      </c>
      <c r="P131" s="6">
        <v>21.84</v>
      </c>
      <c r="Q131" s="4">
        <v>33.28</v>
      </c>
      <c r="R131" s="4">
        <v>27.5</v>
      </c>
      <c r="S131" s="6">
        <v>39.130000000000003</v>
      </c>
      <c r="T131" s="4">
        <v>11.68</v>
      </c>
      <c r="U131" s="4">
        <v>27.84</v>
      </c>
      <c r="V131" s="6">
        <v>38.89</v>
      </c>
      <c r="W131" s="4">
        <v>44.42</v>
      </c>
      <c r="X131" s="7">
        <v>-8.3449691991786423E-2</v>
      </c>
      <c r="Y131" s="8">
        <v>-4.8749887982794123E-2</v>
      </c>
      <c r="Z131" s="9">
        <v>0.1073009891662742</v>
      </c>
      <c r="AA131" s="8">
        <v>4.5005955419431531E-2</v>
      </c>
    </row>
    <row r="132" spans="2:27" hidden="1" x14ac:dyDescent="0.3">
      <c r="B132" s="3" t="s">
        <v>254</v>
      </c>
      <c r="C132" s="3" t="s">
        <v>495</v>
      </c>
      <c r="D132" s="3" t="s">
        <v>493</v>
      </c>
      <c r="E132" s="3" t="s">
        <v>497</v>
      </c>
      <c r="F132" s="5">
        <v>3.5</v>
      </c>
      <c r="G132" s="4">
        <v>91.34</v>
      </c>
      <c r="H132" s="4">
        <v>35.229999999999997</v>
      </c>
      <c r="I132" s="4">
        <v>80.84</v>
      </c>
      <c r="J132" s="4">
        <v>228.02</v>
      </c>
      <c r="K132" s="4">
        <v>-33.32</v>
      </c>
      <c r="L132" s="6">
        <v>107.37</v>
      </c>
      <c r="M132" s="4">
        <v>90.02</v>
      </c>
      <c r="N132" s="4">
        <v>93</v>
      </c>
      <c r="O132" s="6">
        <v>90.42</v>
      </c>
      <c r="P132" s="4">
        <v>133.11000000000001</v>
      </c>
      <c r="Q132" s="4">
        <v>106.76</v>
      </c>
      <c r="R132" s="4">
        <v>103.91</v>
      </c>
      <c r="S132" s="4">
        <v>114.45</v>
      </c>
      <c r="T132" s="4">
        <v>105.47</v>
      </c>
      <c r="U132" s="4">
        <v>91.24</v>
      </c>
      <c r="V132" s="4">
        <v>71.72</v>
      </c>
      <c r="W132" s="4">
        <v>128</v>
      </c>
      <c r="X132" s="7">
        <v>-6.03190537503E-2</v>
      </c>
      <c r="Y132" s="8">
        <v>-3.6043568127453129E-2</v>
      </c>
      <c r="Z132" s="8">
        <v>-7.7553183800322834E-2</v>
      </c>
      <c r="AA132" s="8">
        <v>3.5389678228165522E-2</v>
      </c>
    </row>
    <row r="133" spans="2:27" hidden="1" x14ac:dyDescent="0.3">
      <c r="B133" s="3" t="s">
        <v>170</v>
      </c>
      <c r="C133" s="3" t="s">
        <v>495</v>
      </c>
      <c r="D133" s="3" t="s">
        <v>493</v>
      </c>
      <c r="E133" s="3" t="s">
        <v>498</v>
      </c>
      <c r="F133" s="5">
        <v>2.7</v>
      </c>
      <c r="G133" s="3"/>
      <c r="H133" s="3"/>
      <c r="I133" s="3"/>
      <c r="J133" s="3"/>
      <c r="K133" s="3"/>
      <c r="L133" s="3"/>
      <c r="M133" s="3"/>
      <c r="N133" s="4">
        <v>200.8</v>
      </c>
      <c r="O133" s="4">
        <v>197.8</v>
      </c>
      <c r="P133" s="4">
        <v>195.3</v>
      </c>
      <c r="Q133" s="4">
        <v>245.2</v>
      </c>
      <c r="R133" s="4">
        <v>214</v>
      </c>
      <c r="S133" s="4">
        <v>239.7</v>
      </c>
      <c r="T133" s="6">
        <v>292.2</v>
      </c>
      <c r="U133" s="4">
        <v>285.10000000000002</v>
      </c>
      <c r="V133" s="4">
        <v>282.7</v>
      </c>
      <c r="W133" s="4">
        <v>269.60000000000002</v>
      </c>
      <c r="X133" s="10">
        <v>0.1083650190114067</v>
      </c>
      <c r="Y133" s="8">
        <v>4.025829885985277E-2</v>
      </c>
      <c r="Z133" s="8">
        <v>6.6634335596508221E-2</v>
      </c>
      <c r="AA133" s="8">
        <v>2.7189233427298291E-2</v>
      </c>
    </row>
    <row r="134" spans="2:27" hidden="1" x14ac:dyDescent="0.3">
      <c r="B134" s="3" t="s">
        <v>362</v>
      </c>
      <c r="C134" s="3" t="s">
        <v>434</v>
      </c>
      <c r="D134" s="3" t="s">
        <v>514</v>
      </c>
      <c r="E134" s="3" t="s">
        <v>497</v>
      </c>
      <c r="F134" s="5">
        <v>-5.5</v>
      </c>
      <c r="G134" s="4">
        <v>-21.26</v>
      </c>
      <c r="H134" s="4">
        <v>-24.92</v>
      </c>
      <c r="I134" s="4">
        <v>-34.33</v>
      </c>
      <c r="J134" s="4">
        <v>-29.98</v>
      </c>
      <c r="K134" s="4">
        <v>-25.86</v>
      </c>
      <c r="L134" s="4">
        <v>-28.96</v>
      </c>
      <c r="M134" s="4">
        <v>-34.44</v>
      </c>
      <c r="N134" s="4">
        <v>-37.33</v>
      </c>
      <c r="O134" s="4">
        <v>-36.15</v>
      </c>
      <c r="P134" s="4">
        <v>-13.25</v>
      </c>
      <c r="Q134" s="6">
        <v>-49.65</v>
      </c>
      <c r="R134" s="4">
        <v>-36.630000000000003</v>
      </c>
      <c r="S134" s="4">
        <v>-45.58</v>
      </c>
      <c r="T134" s="6">
        <v>-33.58</v>
      </c>
      <c r="U134" s="4">
        <v>-38.93</v>
      </c>
      <c r="V134" s="4">
        <v>-35.89</v>
      </c>
      <c r="W134" s="4">
        <v>-37.119999999999997</v>
      </c>
      <c r="X134" s="10">
        <v>0.1401006133278202</v>
      </c>
      <c r="Y134" s="8">
        <v>-6.4796905222437085E-2</v>
      </c>
      <c r="Z134" s="8">
        <v>-4.7828335056877558E-3</v>
      </c>
      <c r="AA134" s="8">
        <v>-5.4942200285751468E-2</v>
      </c>
    </row>
  </sheetData>
  <autoFilter ref="B2:AA134" xr:uid="{00000000-0009-0000-0000-000002000000}">
    <filterColumn colId="3">
      <filters>
        <filter val="Dec'25"/>
        <filter val="H2 2025"/>
        <filter val="Jun'26"/>
        <filter val="Mar'26"/>
        <filter val="Sep'26"/>
      </filters>
    </filterColumn>
    <sortState xmlns:xlrd2="http://schemas.microsoft.com/office/spreadsheetml/2017/richdata2" ref="B3:AA108">
      <sortCondition descending="1" ref="C2:C134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20"/>
  <sheetViews>
    <sheetView zoomScale="85" zoomScaleNormal="85" workbookViewId="0">
      <selection activeCell="B2" sqref="B2:W14"/>
    </sheetView>
  </sheetViews>
  <sheetFormatPr defaultRowHeight="16.5" x14ac:dyDescent="0.3"/>
  <cols>
    <col min="1" max="1" width="3" customWidth="1"/>
    <col min="2" max="2" width="18" customWidth="1"/>
    <col min="3" max="7" width="8" hidden="1" customWidth="1"/>
    <col min="8" max="23" width="10.125" customWidth="1"/>
  </cols>
  <sheetData>
    <row r="2" spans="2:28" x14ac:dyDescent="0.3">
      <c r="B2" s="29" t="s">
        <v>516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2:28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Y3" s="12" t="s">
        <v>374</v>
      </c>
      <c r="Z3" s="12">
        <v>5101</v>
      </c>
      <c r="AA3" s="3" t="s">
        <v>492</v>
      </c>
      <c r="AB3" s="3" t="s">
        <v>157</v>
      </c>
    </row>
    <row r="4" spans="2:28" x14ac:dyDescent="0.3">
      <c r="B4" s="31">
        <v>5101</v>
      </c>
      <c r="C4" s="32">
        <v>6</v>
      </c>
      <c r="D4" s="32">
        <v>7</v>
      </c>
      <c r="E4" s="32">
        <v>8</v>
      </c>
      <c r="F4" s="32">
        <v>9</v>
      </c>
      <c r="G4" s="32">
        <v>10</v>
      </c>
      <c r="H4" s="32">
        <v>11</v>
      </c>
      <c r="I4" s="32">
        <v>12</v>
      </c>
      <c r="J4" s="32">
        <v>13</v>
      </c>
      <c r="K4" s="32">
        <v>14</v>
      </c>
      <c r="L4" s="32">
        <v>15</v>
      </c>
      <c r="M4" s="32">
        <v>16</v>
      </c>
      <c r="N4" s="32">
        <v>17</v>
      </c>
      <c r="O4" s="32">
        <v>18</v>
      </c>
      <c r="P4" s="32">
        <v>19</v>
      </c>
      <c r="Q4" s="32">
        <v>20</v>
      </c>
      <c r="R4" s="32">
        <v>21</v>
      </c>
      <c r="S4" s="32">
        <v>22</v>
      </c>
      <c r="Y4" s="12" t="s">
        <v>381</v>
      </c>
    </row>
    <row r="5" spans="2:28" ht="14.25" customHeight="1" x14ac:dyDescent="0.3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Y5" s="12" t="s">
        <v>125</v>
      </c>
    </row>
    <row r="6" spans="2:28" ht="18" customHeight="1" x14ac:dyDescent="0.3">
      <c r="B6" s="34"/>
      <c r="C6" s="35" t="s">
        <v>517</v>
      </c>
      <c r="D6" s="35" t="s">
        <v>518</v>
      </c>
      <c r="E6" s="35" t="s">
        <v>519</v>
      </c>
      <c r="F6" s="35" t="s">
        <v>520</v>
      </c>
      <c r="G6" s="35" t="s">
        <v>521</v>
      </c>
      <c r="H6" s="35" t="s">
        <v>422</v>
      </c>
      <c r="I6" s="35" t="s">
        <v>522</v>
      </c>
      <c r="J6" s="35" t="s">
        <v>523</v>
      </c>
      <c r="K6" s="35" t="s">
        <v>524</v>
      </c>
      <c r="L6" s="35" t="s">
        <v>426</v>
      </c>
      <c r="M6" s="35" t="s">
        <v>427</v>
      </c>
      <c r="N6" s="35" t="s">
        <v>428</v>
      </c>
      <c r="O6" s="35" t="s">
        <v>429</v>
      </c>
      <c r="P6" s="35" t="s">
        <v>430</v>
      </c>
      <c r="Q6" s="35" t="s">
        <v>431</v>
      </c>
      <c r="R6" s="35" t="s">
        <v>432</v>
      </c>
      <c r="S6" s="36" t="s">
        <v>433</v>
      </c>
      <c r="T6" s="35" t="s">
        <v>525</v>
      </c>
      <c r="U6" s="35" t="s">
        <v>526</v>
      </c>
      <c r="V6" s="35" t="s">
        <v>527</v>
      </c>
      <c r="W6" s="35" t="s">
        <v>528</v>
      </c>
      <c r="Y6" s="12" t="s">
        <v>69</v>
      </c>
    </row>
    <row r="7" spans="2:28" x14ac:dyDescent="0.3">
      <c r="B7" s="37" t="s">
        <v>529</v>
      </c>
      <c r="C7" s="38">
        <f>VLOOKUP($B$4,Revenue!$B:$W,C4,FALSE)</f>
        <v>210354</v>
      </c>
      <c r="D7" s="38">
        <f>VLOOKUP($B$4,Revenue!$B:$W,D4,FALSE)</f>
        <v>185590</v>
      </c>
      <c r="E7" s="38">
        <f>VLOOKUP($B$4,Revenue!$B:$W,E4,FALSE)</f>
        <v>205892</v>
      </c>
      <c r="F7" s="38">
        <f>VLOOKUP($B$4,Revenue!$B:$W,F4,FALSE)</f>
        <v>224281</v>
      </c>
      <c r="G7" s="38">
        <f>VLOOKUP($B$4,Revenue!$B:$W,G4,FALSE)</f>
        <v>244713</v>
      </c>
      <c r="H7" s="38">
        <f>VLOOKUP($B$4,Revenue!$B:$W,H4,FALSE)</f>
        <v>204314</v>
      </c>
      <c r="I7" s="38">
        <f>VLOOKUP($B$4,Revenue!$B:$W,I4,FALSE)</f>
        <v>238850</v>
      </c>
      <c r="J7" s="38">
        <f>VLOOKUP($B$4,Revenue!$B:$W,J4,FALSE)</f>
        <v>249341</v>
      </c>
      <c r="K7" s="38">
        <f>VLOOKUP($B$4,Revenue!$B:$W,K4,FALSE)</f>
        <v>292828</v>
      </c>
      <c r="L7" s="38">
        <f>VLOOKUP($B$4,Revenue!$B:$W,L4,FALSE)</f>
        <v>252419</v>
      </c>
      <c r="M7" s="38">
        <f>VLOOKUP($B$4,Revenue!$B:$W,M4,FALSE)</f>
        <v>272864</v>
      </c>
      <c r="N7" s="38">
        <f>VLOOKUP($B$4,Revenue!$B:$W,N4,FALSE)</f>
        <v>257623</v>
      </c>
      <c r="O7" s="38">
        <f>VLOOKUP($B$4,Revenue!$B:$W,O4,FALSE)</f>
        <v>311840</v>
      </c>
      <c r="P7" s="38">
        <f>VLOOKUP($B$4,Revenue!$B:$W,P4,FALSE)</f>
        <v>275118</v>
      </c>
      <c r="Q7" s="38">
        <f>VLOOKUP($B$4,Revenue!$B:$W,Q4,FALSE)</f>
        <v>304083</v>
      </c>
      <c r="R7" s="38">
        <f>VLOOKUP($B$4,Revenue!$B:$W,R4,FALSE)</f>
        <v>297988</v>
      </c>
      <c r="S7" s="38">
        <f>VLOOKUP($B$4,Revenue!$B:$W,S4,FALSE)</f>
        <v>357770</v>
      </c>
      <c r="T7" s="38"/>
      <c r="U7" s="38"/>
      <c r="V7" s="38"/>
      <c r="W7" s="38"/>
      <c r="Y7" s="12" t="s">
        <v>194</v>
      </c>
    </row>
    <row r="8" spans="2:28" x14ac:dyDescent="0.3">
      <c r="B8" s="37" t="s">
        <v>530</v>
      </c>
      <c r="C8" s="38">
        <f>VLOOKUP($B$4,'Operating Income'!$B:$W,C4,FALSE)</f>
        <v>4341</v>
      </c>
      <c r="D8" s="38">
        <f>VLOOKUP($B$4,'Operating Income'!$B:$W,D4,FALSE)</f>
        <v>13531</v>
      </c>
      <c r="E8" s="38">
        <f>VLOOKUP($B$4,'Operating Income'!$B:$W,E4,FALSE)</f>
        <v>13411</v>
      </c>
      <c r="F8" s="38">
        <f>VLOOKUP($B$4,'Operating Income'!$B:$W,F4,FALSE)</f>
        <v>18382</v>
      </c>
      <c r="G8" s="38">
        <f>VLOOKUP($B$4,'Operating Income'!$B:$W,G4,FALSE)</f>
        <v>23885</v>
      </c>
      <c r="H8" s="38">
        <f>VLOOKUP($B$4,'Operating Income'!$B:$W,H4,FALSE)</f>
        <v>13206</v>
      </c>
      <c r="I8" s="38">
        <f>VLOOKUP($B$4,'Operating Income'!$B:$W,I4,FALSE)</f>
        <v>14976</v>
      </c>
      <c r="J8" s="38">
        <f>VLOOKUP($B$4,'Operating Income'!$B:$W,J4,FALSE)</f>
        <v>24184</v>
      </c>
      <c r="K8" s="38">
        <f>VLOOKUP($B$4,'Operating Income'!$B:$W,K4,FALSE)</f>
        <v>46977</v>
      </c>
      <c r="L8" s="38">
        <f>VLOOKUP($B$4,'Operating Income'!$B:$W,L4,FALSE)</f>
        <v>26752</v>
      </c>
      <c r="M8" s="38">
        <f>VLOOKUP($B$4,'Operating Income'!$B:$W,M4,FALSE)</f>
        <v>29501</v>
      </c>
      <c r="N8" s="38">
        <f>VLOOKUP($B$4,'Operating Income'!$B:$W,N4,FALSE)</f>
        <v>29521</v>
      </c>
      <c r="O8" s="38">
        <f>VLOOKUP($B$4,'Operating Income'!$B:$W,O4,FALSE)</f>
        <v>42972</v>
      </c>
      <c r="P8" s="38">
        <f>VLOOKUP($B$4,'Operating Income'!$B:$W,P4,FALSE)</f>
        <v>20759</v>
      </c>
      <c r="Q8" s="38">
        <f>VLOOKUP($B$4,'Operating Income'!$B:$W,Q4,FALSE)</f>
        <v>34099</v>
      </c>
      <c r="R8" s="38">
        <f>VLOOKUP($B$4,'Operating Income'!$B:$W,R4,FALSE)</f>
        <v>36799</v>
      </c>
      <c r="S8" s="38">
        <f>VLOOKUP($B$4,'Operating Income'!$B:$W,S4,FALSE)</f>
        <v>61244</v>
      </c>
      <c r="T8" s="38"/>
      <c r="U8" s="38"/>
      <c r="V8" s="38"/>
      <c r="W8" s="38"/>
      <c r="Y8" s="12" t="s">
        <v>274</v>
      </c>
    </row>
    <row r="9" spans="2:28" x14ac:dyDescent="0.3">
      <c r="B9" s="37" t="s">
        <v>531</v>
      </c>
      <c r="C9" s="38">
        <f>AVERAGE(C8:C8)</f>
        <v>4341</v>
      </c>
      <c r="D9" s="38">
        <f>AVERAGE(C8:D8)</f>
        <v>8936</v>
      </c>
      <c r="E9" s="38">
        <f>AVERAGE(C8:E8)</f>
        <v>10427.666666666666</v>
      </c>
      <c r="F9" s="38">
        <f t="shared" ref="F9:R9" si="0">AVERAGE(C8:F8)</f>
        <v>12416.25</v>
      </c>
      <c r="G9" s="38">
        <f t="shared" si="0"/>
        <v>17302.25</v>
      </c>
      <c r="H9" s="38">
        <f t="shared" si="0"/>
        <v>17221</v>
      </c>
      <c r="I9" s="38">
        <f t="shared" si="0"/>
        <v>17612.25</v>
      </c>
      <c r="J9" s="38">
        <f>AVERAGE(G8:J8)</f>
        <v>19062.75</v>
      </c>
      <c r="K9" s="38">
        <f t="shared" si="0"/>
        <v>24835.75</v>
      </c>
      <c r="L9" s="38">
        <f t="shared" si="0"/>
        <v>28222.25</v>
      </c>
      <c r="M9" s="38">
        <f t="shared" si="0"/>
        <v>31853.5</v>
      </c>
      <c r="N9" s="38">
        <f t="shared" si="0"/>
        <v>33187.75</v>
      </c>
      <c r="O9" s="38">
        <f t="shared" si="0"/>
        <v>32186.5</v>
      </c>
      <c r="P9" s="38">
        <f t="shared" si="0"/>
        <v>30688.25</v>
      </c>
      <c r="Q9" s="38">
        <f t="shared" si="0"/>
        <v>31837.75</v>
      </c>
      <c r="R9" s="38">
        <f t="shared" si="0"/>
        <v>33657.25</v>
      </c>
      <c r="S9" s="39">
        <f>AVERAGE(P8:S8)</f>
        <v>38225.25</v>
      </c>
      <c r="T9" s="38"/>
      <c r="U9" s="38"/>
      <c r="V9" s="38"/>
      <c r="W9" s="38"/>
      <c r="Y9" s="12"/>
    </row>
    <row r="10" spans="2:28" x14ac:dyDescent="0.3">
      <c r="B10" s="37" t="s">
        <v>532</v>
      </c>
      <c r="C10" s="38">
        <f>SUM(C8:C8)</f>
        <v>4341</v>
      </c>
      <c r="D10" s="38">
        <f>SUM(C8:D8)</f>
        <v>17872</v>
      </c>
      <c r="E10" s="38">
        <f>SUM(C8:E8)</f>
        <v>31283</v>
      </c>
      <c r="F10" s="38">
        <f t="shared" ref="F10:S10" si="1">SUM(C8:F8)</f>
        <v>49665</v>
      </c>
      <c r="G10" s="38">
        <f t="shared" si="1"/>
        <v>69209</v>
      </c>
      <c r="H10" s="38">
        <f t="shared" si="1"/>
        <v>68884</v>
      </c>
      <c r="I10" s="38">
        <f t="shared" si="1"/>
        <v>70449</v>
      </c>
      <c r="J10" s="38">
        <f t="shared" si="1"/>
        <v>76251</v>
      </c>
      <c r="K10" s="38">
        <f t="shared" si="1"/>
        <v>99343</v>
      </c>
      <c r="L10" s="38">
        <f t="shared" si="1"/>
        <v>112889</v>
      </c>
      <c r="M10" s="38">
        <f t="shared" si="1"/>
        <v>127414</v>
      </c>
      <c r="N10" s="38">
        <f t="shared" si="1"/>
        <v>132751</v>
      </c>
      <c r="O10" s="38">
        <f t="shared" si="1"/>
        <v>128746</v>
      </c>
      <c r="P10" s="38">
        <f t="shared" si="1"/>
        <v>122753</v>
      </c>
      <c r="Q10" s="38">
        <f t="shared" si="1"/>
        <v>127351</v>
      </c>
      <c r="R10" s="38">
        <f t="shared" si="1"/>
        <v>134629</v>
      </c>
      <c r="S10" s="39">
        <f t="shared" si="1"/>
        <v>152901</v>
      </c>
      <c r="T10" s="38"/>
      <c r="U10" s="38"/>
      <c r="V10" s="38"/>
      <c r="W10" s="38"/>
      <c r="Y10" s="12" t="s">
        <v>282</v>
      </c>
    </row>
    <row r="11" spans="2:28" x14ac:dyDescent="0.3">
      <c r="B11" s="37" t="s">
        <v>533</v>
      </c>
      <c r="C11" s="40"/>
      <c r="D11" s="40">
        <f t="shared" ref="D11:S11" si="2">D9/C9-1</f>
        <v>1.0585118636258928</v>
      </c>
      <c r="E11" s="40">
        <f t="shared" si="2"/>
        <v>0.16692778275141751</v>
      </c>
      <c r="F11" s="40">
        <f t="shared" si="2"/>
        <v>0.19070261803535482</v>
      </c>
      <c r="G11" s="40">
        <f t="shared" si="2"/>
        <v>0.39351656095842147</v>
      </c>
      <c r="H11" s="40">
        <f t="shared" si="2"/>
        <v>-4.6959210507303561E-3</v>
      </c>
      <c r="I11" s="40">
        <f t="shared" si="2"/>
        <v>2.2719354276755199E-2</v>
      </c>
      <c r="J11" s="40">
        <f t="shared" si="2"/>
        <v>8.2357450070263516E-2</v>
      </c>
      <c r="K11" s="40">
        <f t="shared" si="2"/>
        <v>0.30284192994190251</v>
      </c>
      <c r="L11" s="40">
        <f t="shared" si="2"/>
        <v>0.13635585798697436</v>
      </c>
      <c r="M11" s="40">
        <f t="shared" si="2"/>
        <v>0.12866621194270489</v>
      </c>
      <c r="N11" s="40">
        <f t="shared" si="2"/>
        <v>4.1887076773353016E-2</v>
      </c>
      <c r="O11" s="40">
        <f t="shared" si="2"/>
        <v>-3.0169264261662776E-2</v>
      </c>
      <c r="P11" s="41">
        <f t="shared" si="2"/>
        <v>-4.6549018998648495E-2</v>
      </c>
      <c r="Q11" s="41">
        <f t="shared" si="2"/>
        <v>3.7457333018337646E-2</v>
      </c>
      <c r="R11" s="41">
        <f t="shared" si="2"/>
        <v>5.7149138993804582E-2</v>
      </c>
      <c r="S11" s="42">
        <f t="shared" si="2"/>
        <v>0.13572112992000229</v>
      </c>
      <c r="T11" s="43"/>
      <c r="U11" s="43"/>
      <c r="V11" s="43"/>
      <c r="W11" s="43"/>
      <c r="Y11" s="12" t="s">
        <v>15</v>
      </c>
    </row>
    <row r="12" spans="2:28" x14ac:dyDescent="0.3">
      <c r="B12" s="37" t="s">
        <v>515</v>
      </c>
      <c r="C12" s="44">
        <f t="shared" ref="C12:F12" si="3">IFERROR(C8/C7,"-")</f>
        <v>2.0636641090732766E-2</v>
      </c>
      <c r="D12" s="44">
        <f t="shared" si="3"/>
        <v>7.2908023061587376E-2</v>
      </c>
      <c r="E12" s="44">
        <f t="shared" si="3"/>
        <v>6.5136090766032675E-2</v>
      </c>
      <c r="F12" s="44">
        <f t="shared" si="3"/>
        <v>8.1959684502922667E-2</v>
      </c>
      <c r="G12" s="44">
        <f>IFERROR(G8/G7,"-")</f>
        <v>9.7604132187501275E-2</v>
      </c>
      <c r="H12" s="44">
        <f t="shared" ref="H12:S12" si="4">IFERROR(H8/H7,"-")</f>
        <v>6.4635805671662244E-2</v>
      </c>
      <c r="I12" s="44">
        <f t="shared" si="4"/>
        <v>6.2700439606447556E-2</v>
      </c>
      <c r="J12" s="44">
        <f t="shared" si="4"/>
        <v>9.6991670042231318E-2</v>
      </c>
      <c r="K12" s="44">
        <f t="shared" si="4"/>
        <v>0.1604252325597279</v>
      </c>
      <c r="L12" s="44">
        <f t="shared" si="4"/>
        <v>0.10598251320225498</v>
      </c>
      <c r="M12" s="44">
        <f t="shared" si="4"/>
        <v>0.10811613111293539</v>
      </c>
      <c r="N12" s="44">
        <f t="shared" si="4"/>
        <v>0.11458992403628558</v>
      </c>
      <c r="O12" s="44">
        <f t="shared" si="4"/>
        <v>0.13780143663417138</v>
      </c>
      <c r="P12" s="44">
        <f t="shared" si="4"/>
        <v>7.5454895717473963E-2</v>
      </c>
      <c r="Q12" s="44">
        <f t="shared" si="4"/>
        <v>0.11213714676585011</v>
      </c>
      <c r="R12" s="44">
        <f t="shared" si="4"/>
        <v>0.12349154999530182</v>
      </c>
      <c r="S12" s="45">
        <f t="shared" si="4"/>
        <v>0.17118260334852001</v>
      </c>
      <c r="T12" s="46"/>
      <c r="U12" s="46"/>
      <c r="V12" s="46"/>
      <c r="W12" s="46"/>
      <c r="Y12" s="12" t="s">
        <v>252</v>
      </c>
    </row>
    <row r="13" spans="2:28" x14ac:dyDescent="0.3">
      <c r="B13" s="37" t="s">
        <v>534</v>
      </c>
      <c r="C13" s="46" t="e">
        <f>C8/#REF!-1</f>
        <v>#REF!</v>
      </c>
      <c r="D13" s="46" t="e">
        <f>D8/#REF!-1</f>
        <v>#REF!</v>
      </c>
      <c r="E13" s="46" t="e">
        <f>E8/#REF!-1</f>
        <v>#REF!</v>
      </c>
      <c r="F13" s="46" t="e">
        <f>F8/#REF!-1</f>
        <v>#REF!</v>
      </c>
      <c r="G13" s="46">
        <f t="shared" ref="G13:S13" si="5">G8/C8-1</f>
        <v>4.5021884358442756</v>
      </c>
      <c r="H13" s="46">
        <f t="shared" si="5"/>
        <v>-2.40189195181435E-2</v>
      </c>
      <c r="I13" s="46">
        <f t="shared" si="5"/>
        <v>0.11669525016777271</v>
      </c>
      <c r="J13" s="46">
        <f t="shared" si="5"/>
        <v>0.31563486018931552</v>
      </c>
      <c r="K13" s="46">
        <f t="shared" si="5"/>
        <v>0.96679924638894699</v>
      </c>
      <c r="L13" s="46">
        <f t="shared" si="5"/>
        <v>1.0257458730879905</v>
      </c>
      <c r="M13" s="46">
        <f t="shared" si="5"/>
        <v>0.96988514957264949</v>
      </c>
      <c r="N13" s="46">
        <f t="shared" si="5"/>
        <v>0.22068309626199145</v>
      </c>
      <c r="O13" s="46">
        <f t="shared" si="5"/>
        <v>-8.5254486237946181E-2</v>
      </c>
      <c r="P13" s="47">
        <f t="shared" si="5"/>
        <v>-0.2240206339712919</v>
      </c>
      <c r="Q13" s="47">
        <f t="shared" si="5"/>
        <v>0.155859123419545</v>
      </c>
      <c r="R13" s="47">
        <f t="shared" si="5"/>
        <v>0.24653636394431078</v>
      </c>
      <c r="S13" s="48">
        <f t="shared" si="5"/>
        <v>0.42520711160755842</v>
      </c>
      <c r="T13" s="46"/>
      <c r="U13" s="46"/>
      <c r="V13" s="46"/>
      <c r="W13" s="46"/>
      <c r="Y13" s="12" t="s">
        <v>111</v>
      </c>
    </row>
    <row r="14" spans="2:28" x14ac:dyDescent="0.3">
      <c r="B14" s="37" t="s">
        <v>535</v>
      </c>
      <c r="G14" s="46">
        <f>G7/C7-1</f>
        <v>0.16333894292478401</v>
      </c>
      <c r="H14" s="46">
        <f>H7/D7-1</f>
        <v>0.10088905652244184</v>
      </c>
      <c r="I14" s="46">
        <f t="shared" ref="I14:S14" si="6">I7/E7-1</f>
        <v>0.16007421366541674</v>
      </c>
      <c r="J14" s="46">
        <f t="shared" si="6"/>
        <v>0.11173483264297901</v>
      </c>
      <c r="K14" s="46">
        <f t="shared" si="6"/>
        <v>0.19661807913760199</v>
      </c>
      <c r="L14" s="46">
        <f t="shared" si="6"/>
        <v>0.2354464207053848</v>
      </c>
      <c r="M14" s="46">
        <f t="shared" si="6"/>
        <v>0.14240736864140668</v>
      </c>
      <c r="N14" s="46">
        <f t="shared" si="6"/>
        <v>3.3215556206159347E-2</v>
      </c>
      <c r="O14" s="46">
        <f t="shared" si="6"/>
        <v>6.4925485267802285E-2</v>
      </c>
      <c r="P14" s="46">
        <f t="shared" si="6"/>
        <v>8.9925877212095662E-2</v>
      </c>
      <c r="Q14" s="46">
        <f t="shared" si="6"/>
        <v>0.11441230796294133</v>
      </c>
      <c r="R14" s="46">
        <f t="shared" si="6"/>
        <v>0.15668243906794044</v>
      </c>
      <c r="S14" s="46">
        <f t="shared" si="6"/>
        <v>0.14728707029245758</v>
      </c>
      <c r="Y14" s="12" t="s">
        <v>37</v>
      </c>
    </row>
    <row r="15" spans="2:28" x14ac:dyDescent="0.3">
      <c r="Y15" s="12" t="s">
        <v>22</v>
      </c>
    </row>
    <row r="16" spans="2:28" x14ac:dyDescent="0.3">
      <c r="Y16" s="12" t="s">
        <v>250</v>
      </c>
    </row>
    <row r="17" spans="25:25" x14ac:dyDescent="0.3">
      <c r="Y17" s="12" t="s">
        <v>196</v>
      </c>
    </row>
    <row r="18" spans="25:25" x14ac:dyDescent="0.3">
      <c r="Y18" s="12" t="s">
        <v>295</v>
      </c>
    </row>
    <row r="19" spans="25:25" x14ac:dyDescent="0.3">
      <c r="Y19" s="12" t="s">
        <v>17</v>
      </c>
    </row>
    <row r="20" spans="25:25" x14ac:dyDescent="0.3">
      <c r="Y20" s="12"/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2026-02-20T07:15:25Z</dcterms:created>
  <dcterms:modified xsi:type="dcterms:W3CDTF">2026-02-20T08:32:32Z</dcterms:modified>
</cp:coreProperties>
</file>