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260129\"/>
    </mc:Choice>
  </mc:AlternateContent>
  <xr:revisionPtr revIDLastSave="0" documentId="13_ncr:1_{4B1383D8-D83C-4407-AD37-4D2ACD4192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definedNames>
    <definedName name="_xlnm._FilterDatabase" localSheetId="2" hidden="1">'Operating Income'!$B$2:$W$247</definedName>
    <definedName name="_xlnm._FilterDatabase" localSheetId="1" hidden="1">Revenue!$B$2:$W$394</definedName>
    <definedName name="_xlnm._FilterDatabase" localSheetId="0" hidden="1">'실적 기업 정보'!$B$4:$G$4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5" i="2" l="1"/>
  <c r="Y135" i="2"/>
  <c r="Z135" i="2"/>
  <c r="AA135" i="2"/>
  <c r="X136" i="2"/>
  <c r="Y136" i="2"/>
  <c r="Z136" i="2"/>
  <c r="AA136" i="2"/>
  <c r="X137" i="2"/>
  <c r="Y137" i="2"/>
  <c r="Z137" i="2"/>
  <c r="AA137" i="2"/>
  <c r="X138" i="2"/>
  <c r="Y138" i="2"/>
  <c r="Z138" i="2"/>
  <c r="AA138" i="2"/>
  <c r="X139" i="2"/>
  <c r="Y139" i="2"/>
  <c r="Z139" i="2"/>
  <c r="AA139" i="2"/>
  <c r="X140" i="2"/>
  <c r="Y140" i="2"/>
  <c r="Z140" i="2"/>
  <c r="AA140" i="2"/>
  <c r="X141" i="2"/>
  <c r="Y141" i="2"/>
  <c r="Z141" i="2"/>
  <c r="AA141" i="2"/>
  <c r="X142" i="2"/>
  <c r="Y142" i="2"/>
  <c r="Z142" i="2"/>
  <c r="AA142" i="2"/>
  <c r="X143" i="2"/>
  <c r="Y143" i="2"/>
  <c r="Z143" i="2"/>
  <c r="AA143" i="2"/>
  <c r="X144" i="2"/>
  <c r="Y144" i="2"/>
  <c r="Z144" i="2"/>
  <c r="AA144" i="2"/>
  <c r="X145" i="2"/>
  <c r="Y145" i="2"/>
  <c r="Z145" i="2"/>
  <c r="AA145" i="2"/>
  <c r="X146" i="2"/>
  <c r="Y146" i="2"/>
  <c r="Z146" i="2"/>
  <c r="AA146" i="2"/>
  <c r="X147" i="2"/>
  <c r="Y147" i="2"/>
  <c r="Z147" i="2"/>
  <c r="AA147" i="2"/>
  <c r="X148" i="2"/>
  <c r="Y148" i="2"/>
  <c r="Z148" i="2"/>
  <c r="AA148" i="2"/>
  <c r="X149" i="2"/>
  <c r="Y149" i="2"/>
  <c r="Z149" i="2"/>
  <c r="AA149" i="2"/>
  <c r="X150" i="2"/>
  <c r="Y150" i="2"/>
  <c r="Z150" i="2"/>
  <c r="AA150" i="2"/>
  <c r="X151" i="2"/>
  <c r="Y151" i="2"/>
  <c r="Z151" i="2"/>
  <c r="AA151" i="2"/>
  <c r="X152" i="2"/>
  <c r="Y152" i="2"/>
  <c r="Z152" i="2"/>
  <c r="AA152" i="2"/>
  <c r="X153" i="2"/>
  <c r="Y153" i="2"/>
  <c r="Z153" i="2"/>
  <c r="AA153" i="2"/>
  <c r="X154" i="2"/>
  <c r="Y154" i="2"/>
  <c r="Z154" i="2"/>
  <c r="AA154" i="2"/>
  <c r="X155" i="2"/>
  <c r="Y155" i="2"/>
  <c r="Z155" i="2"/>
  <c r="AA155" i="2"/>
  <c r="X156" i="2"/>
  <c r="Y156" i="2"/>
  <c r="Z156" i="2"/>
  <c r="AA156" i="2"/>
  <c r="X157" i="2"/>
  <c r="Y157" i="2"/>
  <c r="Z157" i="2"/>
  <c r="AA157" i="2"/>
  <c r="X158" i="2"/>
  <c r="Y158" i="2"/>
  <c r="Z158" i="2"/>
  <c r="AA158" i="2"/>
  <c r="X159" i="2"/>
  <c r="Y159" i="2"/>
  <c r="Z159" i="2"/>
  <c r="AA159" i="2"/>
  <c r="X160" i="2"/>
  <c r="Y160" i="2"/>
  <c r="Z160" i="2"/>
  <c r="AA160" i="2"/>
  <c r="X161" i="2"/>
  <c r="Y161" i="2"/>
  <c r="Z161" i="2"/>
  <c r="AA161" i="2"/>
  <c r="X162" i="2"/>
  <c r="Y162" i="2"/>
  <c r="Z162" i="2"/>
  <c r="AA162" i="2"/>
  <c r="X163" i="2"/>
  <c r="Y163" i="2"/>
  <c r="Z163" i="2"/>
  <c r="AA163" i="2"/>
  <c r="X164" i="2"/>
  <c r="Y164" i="2"/>
  <c r="Z164" i="2"/>
  <c r="AA164" i="2"/>
  <c r="X165" i="2"/>
  <c r="Y165" i="2"/>
  <c r="Z165" i="2"/>
  <c r="AA165" i="2"/>
  <c r="X166" i="2"/>
  <c r="Y166" i="2"/>
  <c r="Z166" i="2"/>
  <c r="AA166" i="2"/>
  <c r="X167" i="2"/>
  <c r="Y167" i="2"/>
  <c r="Z167" i="2"/>
  <c r="AA167" i="2"/>
  <c r="X168" i="2"/>
  <c r="Y168" i="2"/>
  <c r="Z168" i="2"/>
  <c r="AA168" i="2"/>
  <c r="X169" i="2"/>
  <c r="Y169" i="2"/>
  <c r="Z169" i="2"/>
  <c r="AA169" i="2"/>
  <c r="X170" i="2"/>
  <c r="Y170" i="2"/>
  <c r="Z170" i="2"/>
  <c r="AA170" i="2"/>
  <c r="X171" i="2"/>
  <c r="Y171" i="2"/>
  <c r="Z171" i="2"/>
  <c r="AA171" i="2"/>
  <c r="X172" i="2"/>
  <c r="Y172" i="2"/>
  <c r="Z172" i="2"/>
  <c r="AA172" i="2"/>
  <c r="X173" i="2"/>
  <c r="Y173" i="2"/>
  <c r="Z173" i="2"/>
  <c r="AA173" i="2"/>
  <c r="D228" i="2" l="1"/>
  <c r="AA468" i="1"/>
  <c r="Z468" i="1"/>
  <c r="Y468" i="1"/>
  <c r="X468" i="1"/>
  <c r="AA467" i="1"/>
  <c r="Z467" i="1"/>
  <c r="Y467" i="1"/>
  <c r="X467" i="1"/>
  <c r="AA466" i="1"/>
  <c r="Z466" i="1"/>
  <c r="Y466" i="1"/>
  <c r="X466" i="1"/>
  <c r="AA465" i="1"/>
  <c r="Z465" i="1"/>
  <c r="Y465" i="1"/>
  <c r="X465" i="1"/>
  <c r="AA464" i="1"/>
  <c r="Z464" i="1"/>
  <c r="Y464" i="1"/>
  <c r="X464" i="1"/>
  <c r="AA463" i="1"/>
  <c r="Z463" i="1"/>
  <c r="Y463" i="1"/>
  <c r="X463" i="1"/>
  <c r="AA462" i="1"/>
  <c r="Z462" i="1"/>
  <c r="Y462" i="1"/>
  <c r="X462" i="1"/>
  <c r="AA461" i="1"/>
  <c r="Z461" i="1"/>
  <c r="Y461" i="1"/>
  <c r="X461" i="1"/>
  <c r="AA460" i="1"/>
  <c r="Z460" i="1"/>
  <c r="Y460" i="1"/>
  <c r="X460" i="1"/>
  <c r="AA459" i="1"/>
  <c r="Z459" i="1"/>
  <c r="Y459" i="1"/>
  <c r="X459" i="1"/>
  <c r="AA458" i="1"/>
  <c r="Z458" i="1"/>
  <c r="Y458" i="1"/>
  <c r="X458" i="1"/>
  <c r="AA457" i="1"/>
  <c r="Z457" i="1"/>
  <c r="Y457" i="1"/>
  <c r="X457" i="1"/>
  <c r="AA456" i="1"/>
  <c r="Z456" i="1"/>
  <c r="Y456" i="1"/>
  <c r="X456" i="1"/>
  <c r="AA455" i="1"/>
  <c r="Z455" i="1"/>
  <c r="Y455" i="1"/>
  <c r="X455" i="1"/>
  <c r="AA454" i="1"/>
  <c r="Z454" i="1"/>
  <c r="Y454" i="1"/>
  <c r="X454" i="1"/>
  <c r="AA453" i="1"/>
  <c r="Z453" i="1"/>
  <c r="Y453" i="1"/>
  <c r="X453" i="1"/>
  <c r="AA452" i="1"/>
  <c r="Z452" i="1"/>
  <c r="Y452" i="1"/>
  <c r="X452" i="1"/>
  <c r="AA451" i="1"/>
  <c r="Z451" i="1"/>
  <c r="Y451" i="1"/>
  <c r="X451" i="1"/>
  <c r="AA450" i="1"/>
  <c r="Z450" i="1"/>
  <c r="Y450" i="1"/>
  <c r="X450" i="1"/>
  <c r="AA449" i="1"/>
  <c r="Z449" i="1"/>
  <c r="Y449" i="1"/>
  <c r="X449" i="1"/>
  <c r="AA448" i="1"/>
  <c r="Z448" i="1"/>
  <c r="Y448" i="1"/>
  <c r="X448" i="1"/>
  <c r="AA447" i="1"/>
  <c r="Z447" i="1"/>
  <c r="Y447" i="1"/>
  <c r="X447" i="1"/>
  <c r="AA446" i="1"/>
  <c r="Z446" i="1"/>
  <c r="Y446" i="1"/>
  <c r="X446" i="1"/>
  <c r="AA445" i="1"/>
  <c r="Z445" i="1"/>
  <c r="Y445" i="1"/>
  <c r="X445" i="1"/>
  <c r="AA444" i="1"/>
  <c r="Z444" i="1"/>
  <c r="Y444" i="1"/>
  <c r="X444" i="1"/>
  <c r="AA443" i="1"/>
  <c r="Z443" i="1"/>
  <c r="Y443" i="1"/>
  <c r="X443" i="1"/>
  <c r="AA442" i="1"/>
  <c r="Z442" i="1"/>
  <c r="Y442" i="1"/>
  <c r="X442" i="1"/>
  <c r="AA441" i="1"/>
  <c r="Z441" i="1"/>
  <c r="Y441" i="1"/>
  <c r="X441" i="1"/>
  <c r="AA440" i="1"/>
  <c r="Z440" i="1"/>
  <c r="Y440" i="1"/>
  <c r="X440" i="1"/>
  <c r="AA439" i="1"/>
  <c r="Z439" i="1"/>
  <c r="Y439" i="1"/>
  <c r="X439" i="1"/>
  <c r="AA438" i="1"/>
  <c r="Z438" i="1"/>
  <c r="Y438" i="1"/>
  <c r="X438" i="1"/>
  <c r="AA437" i="1"/>
  <c r="Z437" i="1"/>
  <c r="Y437" i="1"/>
  <c r="X437" i="1"/>
  <c r="AA436" i="1"/>
  <c r="Z436" i="1"/>
  <c r="Y436" i="1"/>
  <c r="X436" i="1"/>
  <c r="AA435" i="1"/>
  <c r="Z435" i="1"/>
  <c r="Y435" i="1"/>
  <c r="X435" i="1"/>
  <c r="AA434" i="1"/>
  <c r="Z434" i="1"/>
  <c r="Y434" i="1"/>
  <c r="X434" i="1"/>
  <c r="AA433" i="1"/>
  <c r="Z433" i="1"/>
  <c r="Y433" i="1"/>
  <c r="X433" i="1"/>
  <c r="AA432" i="1"/>
  <c r="Z432" i="1"/>
  <c r="Y432" i="1"/>
  <c r="X432" i="1"/>
  <c r="AA431" i="1"/>
  <c r="Z431" i="1"/>
  <c r="Y431" i="1"/>
  <c r="X431" i="1"/>
  <c r="AA430" i="1"/>
  <c r="Z430" i="1"/>
  <c r="Y430" i="1"/>
  <c r="X430" i="1"/>
  <c r="AA429" i="1"/>
  <c r="Z429" i="1"/>
  <c r="Y429" i="1"/>
  <c r="X429" i="1"/>
  <c r="AA428" i="1"/>
  <c r="Z428" i="1"/>
  <c r="Y428" i="1"/>
  <c r="X428" i="1"/>
  <c r="AA427" i="1"/>
  <c r="Z427" i="1"/>
  <c r="Y427" i="1"/>
  <c r="X427" i="1"/>
  <c r="AA426" i="1"/>
  <c r="Z426" i="1"/>
  <c r="Y426" i="1"/>
  <c r="X426" i="1"/>
  <c r="AA425" i="1"/>
  <c r="Z425" i="1"/>
  <c r="Y425" i="1"/>
  <c r="X425" i="1"/>
  <c r="AA424" i="1"/>
  <c r="Z424" i="1"/>
  <c r="Y424" i="1"/>
  <c r="X424" i="1"/>
  <c r="AA423" i="1"/>
  <c r="Z423" i="1"/>
  <c r="Y423" i="1"/>
  <c r="X423" i="1"/>
  <c r="AA422" i="1"/>
  <c r="Z422" i="1"/>
  <c r="Y422" i="1"/>
  <c r="X422" i="1"/>
  <c r="AA421" i="1"/>
  <c r="Z421" i="1"/>
  <c r="Y421" i="1"/>
  <c r="X421" i="1"/>
  <c r="AA420" i="1"/>
  <c r="Z420" i="1"/>
  <c r="Y420" i="1"/>
  <c r="X420" i="1"/>
  <c r="AA419" i="1"/>
  <c r="Z419" i="1"/>
  <c r="Y419" i="1"/>
  <c r="X419" i="1"/>
  <c r="AA418" i="1"/>
  <c r="Z418" i="1"/>
  <c r="Y418" i="1"/>
  <c r="X418" i="1"/>
  <c r="AA417" i="1"/>
  <c r="Z417" i="1"/>
  <c r="Y417" i="1"/>
  <c r="X417" i="1"/>
  <c r="AA416" i="1"/>
  <c r="Z416" i="1"/>
  <c r="Y416" i="1"/>
  <c r="X416" i="1"/>
  <c r="AA415" i="1"/>
  <c r="Z415" i="1"/>
  <c r="Y415" i="1"/>
  <c r="X415" i="1"/>
  <c r="AA414" i="1"/>
  <c r="Z414" i="1"/>
  <c r="Y414" i="1"/>
  <c r="X414" i="1"/>
  <c r="AA413" i="1"/>
  <c r="Z413" i="1"/>
  <c r="Y413" i="1"/>
  <c r="X413" i="1"/>
  <c r="AA412" i="1"/>
  <c r="Z412" i="1"/>
  <c r="Y412" i="1"/>
  <c r="X412" i="1"/>
  <c r="AA411" i="1"/>
  <c r="Z411" i="1"/>
  <c r="Y411" i="1"/>
  <c r="X411" i="1"/>
  <c r="AA410" i="1"/>
  <c r="Z410" i="1"/>
  <c r="Y410" i="1"/>
  <c r="X410" i="1"/>
  <c r="AA409" i="1"/>
  <c r="Z409" i="1"/>
  <c r="Y409" i="1"/>
  <c r="X409" i="1"/>
  <c r="AA408" i="1"/>
  <c r="Z408" i="1"/>
  <c r="Y408" i="1"/>
  <c r="X408" i="1"/>
  <c r="AA407" i="1"/>
  <c r="Z407" i="1"/>
  <c r="Y407" i="1"/>
  <c r="X407" i="1"/>
  <c r="AA406" i="1"/>
  <c r="Z406" i="1"/>
  <c r="Y406" i="1"/>
  <c r="X406" i="1"/>
  <c r="AA405" i="1"/>
  <c r="Z405" i="1"/>
  <c r="Y405" i="1"/>
  <c r="X405" i="1"/>
  <c r="AA404" i="1"/>
  <c r="Z404" i="1"/>
  <c r="Y404" i="1"/>
  <c r="X404" i="1"/>
  <c r="AA403" i="1"/>
  <c r="Z403" i="1"/>
  <c r="Y403" i="1"/>
  <c r="X403" i="1"/>
  <c r="AA402" i="1"/>
  <c r="Z402" i="1"/>
  <c r="Y402" i="1"/>
  <c r="X402" i="1"/>
  <c r="AA401" i="1"/>
  <c r="Z401" i="1"/>
  <c r="Y401" i="1"/>
  <c r="X401" i="1"/>
  <c r="AA400" i="1"/>
  <c r="Z400" i="1"/>
  <c r="Y400" i="1"/>
  <c r="X400" i="1"/>
  <c r="AA399" i="1"/>
  <c r="Z399" i="1"/>
  <c r="Y399" i="1"/>
  <c r="X399" i="1"/>
  <c r="AA398" i="1"/>
  <c r="Z398" i="1"/>
  <c r="Y398" i="1"/>
  <c r="X398" i="1"/>
  <c r="AA397" i="1"/>
  <c r="Z397" i="1"/>
  <c r="Y397" i="1"/>
  <c r="X397" i="1"/>
  <c r="AA396" i="1"/>
  <c r="Z396" i="1"/>
  <c r="Y396" i="1"/>
  <c r="X396" i="1"/>
  <c r="AA395" i="1"/>
  <c r="Z395" i="1"/>
  <c r="Y395" i="1"/>
  <c r="X395" i="1"/>
  <c r="G7" i="4" l="1"/>
  <c r="F7" i="4"/>
  <c r="E7" i="4"/>
  <c r="D7" i="4"/>
  <c r="C7" i="4"/>
  <c r="G8" i="4"/>
  <c r="F8" i="4"/>
  <c r="E8" i="4"/>
  <c r="D8" i="4"/>
  <c r="C8" i="4"/>
  <c r="AA458" i="2"/>
  <c r="Z458" i="2"/>
  <c r="Y458" i="2"/>
  <c r="X458" i="2"/>
  <c r="AA457" i="2"/>
  <c r="Z457" i="2"/>
  <c r="Y457" i="2"/>
  <c r="X457" i="2"/>
  <c r="AA456" i="2"/>
  <c r="Z456" i="2"/>
  <c r="Y456" i="2"/>
  <c r="X456" i="2"/>
  <c r="AA455" i="2"/>
  <c r="Z455" i="2"/>
  <c r="Y455" i="2"/>
  <c r="X455" i="2"/>
  <c r="AA454" i="2"/>
  <c r="Z454" i="2"/>
  <c r="Y454" i="2"/>
  <c r="X454" i="2"/>
  <c r="AA453" i="2"/>
  <c r="Z453" i="2"/>
  <c r="Y453" i="2"/>
  <c r="X453" i="2"/>
  <c r="AA452" i="2"/>
  <c r="Z452" i="2"/>
  <c r="Y452" i="2"/>
  <c r="X452" i="2"/>
  <c r="AA451" i="2"/>
  <c r="Z451" i="2"/>
  <c r="Y451" i="2"/>
  <c r="X451" i="2"/>
  <c r="AA450" i="2"/>
  <c r="Z450" i="2"/>
  <c r="Y450" i="2"/>
  <c r="X450" i="2"/>
  <c r="AA449" i="2"/>
  <c r="Z449" i="2"/>
  <c r="Y449" i="2"/>
  <c r="X449" i="2"/>
  <c r="AA448" i="2"/>
  <c r="Z448" i="2"/>
  <c r="Y448" i="2"/>
  <c r="X448" i="2"/>
  <c r="AA447" i="2"/>
  <c r="Z447" i="2"/>
  <c r="Y447" i="2"/>
  <c r="X447" i="2"/>
  <c r="AA446" i="2"/>
  <c r="Z446" i="2"/>
  <c r="Y446" i="2"/>
  <c r="X446" i="2"/>
  <c r="AA445" i="2"/>
  <c r="Z445" i="2"/>
  <c r="Y445" i="2"/>
  <c r="X445" i="2"/>
  <c r="AA444" i="2"/>
  <c r="Z444" i="2"/>
  <c r="Y444" i="2"/>
  <c r="X444" i="2"/>
  <c r="AA443" i="2"/>
  <c r="Z443" i="2"/>
  <c r="Y443" i="2"/>
  <c r="X443" i="2"/>
  <c r="AA442" i="2"/>
  <c r="Z442" i="2"/>
  <c r="Y442" i="2"/>
  <c r="X442" i="2"/>
  <c r="AA441" i="2"/>
  <c r="Z441" i="2"/>
  <c r="Y441" i="2"/>
  <c r="X441" i="2"/>
  <c r="AA440" i="2"/>
  <c r="Z440" i="2"/>
  <c r="Y440" i="2"/>
  <c r="X440" i="2"/>
  <c r="AA439" i="2"/>
  <c r="Z439" i="2"/>
  <c r="Y439" i="2"/>
  <c r="X439" i="2"/>
  <c r="AA438" i="2"/>
  <c r="Z438" i="2"/>
  <c r="Y438" i="2"/>
  <c r="X438" i="2"/>
  <c r="AA437" i="2"/>
  <c r="Z437" i="2"/>
  <c r="Y437" i="2"/>
  <c r="X437" i="2"/>
  <c r="AA436" i="2"/>
  <c r="Z436" i="2"/>
  <c r="Y436" i="2"/>
  <c r="X436" i="2"/>
  <c r="AA435" i="2"/>
  <c r="Z435" i="2"/>
  <c r="Y435" i="2"/>
  <c r="X435" i="2"/>
  <c r="AA434" i="2"/>
  <c r="Z434" i="2"/>
  <c r="Y434" i="2"/>
  <c r="X434" i="2"/>
  <c r="AA433" i="2"/>
  <c r="Z433" i="2"/>
  <c r="Y433" i="2"/>
  <c r="X433" i="2"/>
  <c r="AA432" i="2"/>
  <c r="Z432" i="2"/>
  <c r="Y432" i="2"/>
  <c r="X432" i="2"/>
  <c r="AA431" i="2"/>
  <c r="Z431" i="2"/>
  <c r="Y431" i="2"/>
  <c r="X431" i="2"/>
  <c r="AA430" i="2"/>
  <c r="Z430" i="2"/>
  <c r="Y430" i="2"/>
  <c r="X430" i="2"/>
  <c r="AA429" i="2"/>
  <c r="Z429" i="2"/>
  <c r="Y429" i="2"/>
  <c r="X429" i="2"/>
  <c r="AA428" i="2"/>
  <c r="Z428" i="2"/>
  <c r="Y428" i="2"/>
  <c r="X428" i="2"/>
  <c r="AA427" i="2"/>
  <c r="Z427" i="2"/>
  <c r="Y427" i="2"/>
  <c r="X427" i="2"/>
  <c r="AA426" i="2"/>
  <c r="Z426" i="2"/>
  <c r="Y426" i="2"/>
  <c r="X426" i="2"/>
  <c r="AA425" i="2"/>
  <c r="Z425" i="2"/>
  <c r="Y425" i="2"/>
  <c r="X425" i="2"/>
  <c r="AA424" i="2"/>
  <c r="Z424" i="2"/>
  <c r="Y424" i="2"/>
  <c r="X424" i="2"/>
  <c r="AA423" i="2"/>
  <c r="Z423" i="2"/>
  <c r="Y423" i="2"/>
  <c r="X423" i="2"/>
  <c r="AA422" i="2"/>
  <c r="Z422" i="2"/>
  <c r="Y422" i="2"/>
  <c r="X422" i="2"/>
  <c r="AA421" i="2"/>
  <c r="Z421" i="2"/>
  <c r="Y421" i="2"/>
  <c r="X421" i="2"/>
  <c r="AA420" i="2"/>
  <c r="Z420" i="2"/>
  <c r="Y420" i="2"/>
  <c r="X420" i="2"/>
  <c r="AA419" i="2"/>
  <c r="Z419" i="2"/>
  <c r="Y419" i="2"/>
  <c r="X419" i="2"/>
  <c r="AA418" i="2"/>
  <c r="Z418" i="2"/>
  <c r="Y418" i="2"/>
  <c r="X418" i="2"/>
  <c r="AA417" i="2"/>
  <c r="Z417" i="2"/>
  <c r="Y417" i="2"/>
  <c r="X417" i="2"/>
  <c r="AA416" i="2"/>
  <c r="Z416" i="2"/>
  <c r="Y416" i="2"/>
  <c r="X416" i="2"/>
  <c r="AA415" i="2"/>
  <c r="Z415" i="2"/>
  <c r="Y415" i="2"/>
  <c r="X415" i="2"/>
  <c r="AA414" i="2"/>
  <c r="Z414" i="2"/>
  <c r="Y414" i="2"/>
  <c r="X414" i="2"/>
  <c r="AA413" i="2"/>
  <c r="Z413" i="2"/>
  <c r="Y413" i="2"/>
  <c r="X413" i="2"/>
  <c r="AA412" i="2"/>
  <c r="Z412" i="2"/>
  <c r="Y412" i="2"/>
  <c r="X412" i="2"/>
  <c r="AA411" i="2"/>
  <c r="Z411" i="2"/>
  <c r="Y411" i="2"/>
  <c r="X411" i="2"/>
  <c r="AA410" i="2"/>
  <c r="Z410" i="2"/>
  <c r="Y410" i="2"/>
  <c r="X410" i="2"/>
  <c r="AA409" i="2"/>
  <c r="Z409" i="2"/>
  <c r="Y409" i="2"/>
  <c r="X409" i="2"/>
  <c r="AA408" i="2"/>
  <c r="Z408" i="2"/>
  <c r="Y408" i="2"/>
  <c r="X408" i="2"/>
  <c r="AA407" i="2"/>
  <c r="Z407" i="2"/>
  <c r="Y407" i="2"/>
  <c r="X407" i="2"/>
  <c r="AA406" i="2"/>
  <c r="Z406" i="2"/>
  <c r="Y406" i="2"/>
  <c r="X406" i="2"/>
  <c r="AA405" i="2"/>
  <c r="Z405" i="2"/>
  <c r="Y405" i="2"/>
  <c r="X405" i="2"/>
  <c r="AA404" i="2"/>
  <c r="Z404" i="2"/>
  <c r="Y404" i="2"/>
  <c r="X404" i="2"/>
  <c r="AA403" i="2"/>
  <c r="Z403" i="2"/>
  <c r="Y403" i="2"/>
  <c r="X403" i="2"/>
  <c r="AA402" i="2"/>
  <c r="Z402" i="2"/>
  <c r="Y402" i="2"/>
  <c r="X402" i="2"/>
  <c r="AA401" i="2"/>
  <c r="Z401" i="2"/>
  <c r="Y401" i="2"/>
  <c r="X401" i="2"/>
  <c r="AA400" i="2"/>
  <c r="Z400" i="2"/>
  <c r="Y400" i="2"/>
  <c r="X400" i="2"/>
  <c r="AA399" i="2"/>
  <c r="Z399" i="2"/>
  <c r="Y399" i="2"/>
  <c r="X399" i="2"/>
  <c r="AA398" i="2"/>
  <c r="Z398" i="2"/>
  <c r="Y398" i="2"/>
  <c r="X398" i="2"/>
  <c r="AA397" i="2"/>
  <c r="Z397" i="2"/>
  <c r="Y397" i="2"/>
  <c r="X397" i="2"/>
  <c r="AA396" i="2"/>
  <c r="Z396" i="2"/>
  <c r="Y396" i="2"/>
  <c r="X396" i="2"/>
  <c r="AA395" i="2"/>
  <c r="Z395" i="2"/>
  <c r="Y395" i="2"/>
  <c r="X395" i="2"/>
  <c r="AA394" i="2"/>
  <c r="Z394" i="2"/>
  <c r="Y394" i="2"/>
  <c r="X394" i="2"/>
  <c r="AA393" i="2"/>
  <c r="Z393" i="2"/>
  <c r="Y393" i="2"/>
  <c r="X393" i="2"/>
  <c r="AA392" i="2"/>
  <c r="Z392" i="2"/>
  <c r="Y392" i="2"/>
  <c r="X392" i="2"/>
  <c r="AA391" i="2"/>
  <c r="Z391" i="2"/>
  <c r="Y391" i="2"/>
  <c r="X391" i="2"/>
  <c r="AA390" i="2"/>
  <c r="Z390" i="2"/>
  <c r="Y390" i="2"/>
  <c r="X390" i="2"/>
  <c r="AA389" i="2"/>
  <c r="Z389" i="2"/>
  <c r="Y389" i="2"/>
  <c r="X389" i="2"/>
  <c r="AA388" i="2"/>
  <c r="Z388" i="2"/>
  <c r="Y388" i="2"/>
  <c r="X388" i="2"/>
  <c r="AA387" i="2"/>
  <c r="Z387" i="2"/>
  <c r="Y387" i="2"/>
  <c r="X387" i="2"/>
  <c r="AA386" i="2"/>
  <c r="Z386" i="2"/>
  <c r="Y386" i="2"/>
  <c r="X386" i="2"/>
  <c r="AA385" i="2"/>
  <c r="Z385" i="2"/>
  <c r="Y385" i="2"/>
  <c r="X385" i="2"/>
  <c r="AA384" i="2"/>
  <c r="Z384" i="2"/>
  <c r="Y384" i="2"/>
  <c r="X384" i="2"/>
  <c r="AA383" i="2"/>
  <c r="Z383" i="2"/>
  <c r="Y383" i="2"/>
  <c r="X383" i="2"/>
  <c r="AA382" i="2"/>
  <c r="Z382" i="2"/>
  <c r="Y382" i="2"/>
  <c r="X382" i="2"/>
  <c r="AA381" i="2"/>
  <c r="Z381" i="2"/>
  <c r="Y381" i="2"/>
  <c r="X381" i="2"/>
  <c r="AA380" i="2"/>
  <c r="Z380" i="2"/>
  <c r="Y380" i="2"/>
  <c r="X380" i="2"/>
  <c r="AA379" i="2"/>
  <c r="Z379" i="2"/>
  <c r="Y379" i="2"/>
  <c r="X379" i="2"/>
  <c r="AA378" i="2"/>
  <c r="Z378" i="2"/>
  <c r="Y378" i="2"/>
  <c r="X378" i="2"/>
  <c r="AA377" i="2"/>
  <c r="Z377" i="2"/>
  <c r="Y377" i="2"/>
  <c r="X377" i="2"/>
  <c r="AA376" i="2"/>
  <c r="Z376" i="2"/>
  <c r="Y376" i="2"/>
  <c r="X376" i="2"/>
  <c r="AA375" i="2"/>
  <c r="Z375" i="2"/>
  <c r="Y375" i="2"/>
  <c r="X375" i="2"/>
  <c r="AA374" i="2"/>
  <c r="Z374" i="2"/>
  <c r="Y374" i="2"/>
  <c r="X374" i="2"/>
  <c r="AA373" i="2"/>
  <c r="Z373" i="2"/>
  <c r="Y373" i="2"/>
  <c r="X373" i="2"/>
  <c r="AA372" i="2"/>
  <c r="Z372" i="2"/>
  <c r="Y372" i="2"/>
  <c r="X372" i="2"/>
  <c r="AA371" i="2"/>
  <c r="Z371" i="2"/>
  <c r="Y371" i="2"/>
  <c r="X371" i="2"/>
  <c r="AA370" i="2"/>
  <c r="Z370" i="2"/>
  <c r="Y370" i="2"/>
  <c r="X370" i="2"/>
  <c r="AA369" i="2"/>
  <c r="Z369" i="2"/>
  <c r="Y369" i="2"/>
  <c r="X369" i="2"/>
  <c r="AA368" i="2"/>
  <c r="Z368" i="2"/>
  <c r="Y368" i="2"/>
  <c r="X368" i="2"/>
  <c r="AA367" i="2"/>
  <c r="Z367" i="2"/>
  <c r="Y367" i="2"/>
  <c r="X367" i="2"/>
  <c r="AA366" i="2"/>
  <c r="Z366" i="2"/>
  <c r="Y366" i="2"/>
  <c r="X366" i="2"/>
  <c r="AA365" i="2"/>
  <c r="Z365" i="2"/>
  <c r="Y365" i="2"/>
  <c r="X365" i="2"/>
  <c r="AA364" i="2"/>
  <c r="Z364" i="2"/>
  <c r="Y364" i="2"/>
  <c r="X364" i="2"/>
  <c r="AA363" i="2"/>
  <c r="Z363" i="2"/>
  <c r="Y363" i="2"/>
  <c r="X363" i="2"/>
  <c r="AA362" i="2"/>
  <c r="Z362" i="2"/>
  <c r="Y362" i="2"/>
  <c r="X362" i="2"/>
  <c r="AA361" i="2"/>
  <c r="Z361" i="2"/>
  <c r="Y361" i="2"/>
  <c r="X361" i="2"/>
  <c r="AA360" i="2"/>
  <c r="Z360" i="2"/>
  <c r="Y360" i="2"/>
  <c r="X360" i="2"/>
  <c r="AA359" i="2"/>
  <c r="Z359" i="2"/>
  <c r="Y359" i="2"/>
  <c r="X359" i="2"/>
  <c r="AA358" i="2"/>
  <c r="Z358" i="2"/>
  <c r="Y358" i="2"/>
  <c r="X358" i="2"/>
  <c r="AA357" i="2"/>
  <c r="Z357" i="2"/>
  <c r="Y357" i="2"/>
  <c r="X357" i="2"/>
  <c r="AA356" i="2"/>
  <c r="Z356" i="2"/>
  <c r="Y356" i="2"/>
  <c r="X356" i="2"/>
  <c r="AA355" i="2"/>
  <c r="Z355" i="2"/>
  <c r="Y355" i="2"/>
  <c r="X355" i="2"/>
  <c r="AA354" i="2"/>
  <c r="Z354" i="2"/>
  <c r="Y354" i="2"/>
  <c r="X354" i="2"/>
  <c r="AA353" i="2"/>
  <c r="Z353" i="2"/>
  <c r="Y353" i="2"/>
  <c r="X353" i="2"/>
  <c r="AA352" i="2"/>
  <c r="Z352" i="2"/>
  <c r="Y352" i="2"/>
  <c r="X352" i="2"/>
  <c r="AA351" i="2"/>
  <c r="Z351" i="2"/>
  <c r="Y351" i="2"/>
  <c r="X351" i="2"/>
  <c r="AA350" i="2"/>
  <c r="Z350" i="2"/>
  <c r="Y350" i="2"/>
  <c r="X350" i="2"/>
  <c r="AA349" i="2"/>
  <c r="Z349" i="2"/>
  <c r="Y349" i="2"/>
  <c r="X349" i="2"/>
  <c r="AA348" i="2"/>
  <c r="Z348" i="2"/>
  <c r="Y348" i="2"/>
  <c r="X348" i="2"/>
  <c r="AA347" i="2"/>
  <c r="Z347" i="2"/>
  <c r="Y347" i="2"/>
  <c r="X347" i="2"/>
  <c r="AA346" i="2"/>
  <c r="Z346" i="2"/>
  <c r="Y346" i="2"/>
  <c r="X346" i="2"/>
  <c r="AA345" i="2"/>
  <c r="Z345" i="2"/>
  <c r="Y345" i="2"/>
  <c r="X345" i="2"/>
  <c r="AA344" i="2"/>
  <c r="Z344" i="2"/>
  <c r="Y344" i="2"/>
  <c r="X344" i="2"/>
  <c r="AA343" i="2"/>
  <c r="Z343" i="2"/>
  <c r="Y343" i="2"/>
  <c r="X343" i="2"/>
  <c r="AA342" i="2"/>
  <c r="Z342" i="2"/>
  <c r="Y342" i="2"/>
  <c r="X342" i="2"/>
  <c r="AA341" i="2"/>
  <c r="Z341" i="2"/>
  <c r="Y341" i="2"/>
  <c r="X341" i="2"/>
  <c r="AA340" i="2"/>
  <c r="Z340" i="2"/>
  <c r="Y340" i="2"/>
  <c r="X340" i="2"/>
  <c r="AA339" i="2"/>
  <c r="Z339" i="2"/>
  <c r="Y339" i="2"/>
  <c r="X339" i="2"/>
  <c r="AA338" i="2"/>
  <c r="Z338" i="2"/>
  <c r="Y338" i="2"/>
  <c r="X338" i="2"/>
  <c r="AA337" i="2"/>
  <c r="Z337" i="2"/>
  <c r="Y337" i="2"/>
  <c r="X337" i="2"/>
  <c r="AA336" i="2"/>
  <c r="Z336" i="2"/>
  <c r="Y336" i="2"/>
  <c r="X336" i="2"/>
  <c r="AA335" i="2"/>
  <c r="Z335" i="2"/>
  <c r="Y335" i="2"/>
  <c r="X335" i="2"/>
  <c r="AA334" i="2"/>
  <c r="Z334" i="2"/>
  <c r="Y334" i="2"/>
  <c r="X334" i="2"/>
  <c r="AA333" i="2"/>
  <c r="Z333" i="2"/>
  <c r="Y333" i="2"/>
  <c r="X333" i="2"/>
  <c r="AA332" i="2"/>
  <c r="Z332" i="2"/>
  <c r="Y332" i="2"/>
  <c r="X332" i="2"/>
  <c r="AA331" i="2"/>
  <c r="Z331" i="2"/>
  <c r="Y331" i="2"/>
  <c r="X331" i="2"/>
  <c r="AA330" i="2"/>
  <c r="Z330" i="2"/>
  <c r="Y330" i="2"/>
  <c r="X330" i="2"/>
  <c r="AA329" i="2"/>
  <c r="Z329" i="2"/>
  <c r="Y329" i="2"/>
  <c r="X329" i="2"/>
  <c r="AA328" i="2"/>
  <c r="Z328" i="2"/>
  <c r="Y328" i="2"/>
  <c r="X328" i="2"/>
  <c r="AA327" i="2"/>
  <c r="Z327" i="2"/>
  <c r="Y327" i="2"/>
  <c r="X327" i="2"/>
  <c r="AA326" i="2"/>
  <c r="Z326" i="2"/>
  <c r="Y326" i="2"/>
  <c r="X326" i="2"/>
  <c r="AA325" i="2"/>
  <c r="Z325" i="2"/>
  <c r="Y325" i="2"/>
  <c r="X325" i="2"/>
  <c r="AA324" i="2"/>
  <c r="Z324" i="2"/>
  <c r="Y324" i="2"/>
  <c r="X324" i="2"/>
  <c r="AA323" i="2"/>
  <c r="Z323" i="2"/>
  <c r="Y323" i="2"/>
  <c r="X323" i="2"/>
  <c r="AA322" i="2"/>
  <c r="Z322" i="2"/>
  <c r="Y322" i="2"/>
  <c r="X322" i="2"/>
  <c r="AA321" i="2"/>
  <c r="Z321" i="2"/>
  <c r="Y321" i="2"/>
  <c r="X321" i="2"/>
  <c r="AA320" i="2"/>
  <c r="Z320" i="2"/>
  <c r="Y320" i="2"/>
  <c r="X320" i="2"/>
  <c r="AA319" i="2"/>
  <c r="Z319" i="2"/>
  <c r="Y319" i="2"/>
  <c r="X319" i="2"/>
  <c r="AA318" i="2"/>
  <c r="Z318" i="2"/>
  <c r="Y318" i="2"/>
  <c r="X318" i="2"/>
  <c r="AA317" i="2"/>
  <c r="Z317" i="2"/>
  <c r="Y317" i="2"/>
  <c r="X317" i="2"/>
  <c r="AA316" i="2"/>
  <c r="Z316" i="2"/>
  <c r="Y316" i="2"/>
  <c r="X316" i="2"/>
  <c r="AA315" i="2"/>
  <c r="Z315" i="2"/>
  <c r="Y315" i="2"/>
  <c r="X315" i="2"/>
  <c r="AA314" i="2"/>
  <c r="Z314" i="2"/>
  <c r="Y314" i="2"/>
  <c r="X314" i="2"/>
  <c r="AA313" i="2"/>
  <c r="Z313" i="2"/>
  <c r="Y313" i="2"/>
  <c r="X313" i="2"/>
  <c r="AA312" i="2"/>
  <c r="Z312" i="2"/>
  <c r="Y312" i="2"/>
  <c r="X312" i="2"/>
  <c r="AA311" i="2"/>
  <c r="Z311" i="2"/>
  <c r="Y311" i="2"/>
  <c r="X311" i="2"/>
  <c r="AA310" i="2"/>
  <c r="Z310" i="2"/>
  <c r="Y310" i="2"/>
  <c r="X310" i="2"/>
  <c r="AA309" i="2"/>
  <c r="Z309" i="2"/>
  <c r="Y309" i="2"/>
  <c r="X309" i="2"/>
  <c r="AA308" i="2"/>
  <c r="Z308" i="2"/>
  <c r="Y308" i="2"/>
  <c r="X308" i="2"/>
  <c r="AA307" i="2"/>
  <c r="Z307" i="2"/>
  <c r="Y307" i="2"/>
  <c r="X307" i="2"/>
  <c r="AA306" i="2"/>
  <c r="Z306" i="2"/>
  <c r="Y306" i="2"/>
  <c r="X306" i="2"/>
  <c r="AA305" i="2"/>
  <c r="Z305" i="2"/>
  <c r="Y305" i="2"/>
  <c r="X305" i="2"/>
  <c r="AA304" i="2"/>
  <c r="Z304" i="2"/>
  <c r="Y304" i="2"/>
  <c r="X304" i="2"/>
  <c r="AA303" i="2"/>
  <c r="Z303" i="2"/>
  <c r="Y303" i="2"/>
  <c r="X303" i="2"/>
  <c r="AA302" i="2"/>
  <c r="Z302" i="2"/>
  <c r="Y302" i="2"/>
  <c r="X302" i="2"/>
  <c r="AA301" i="2"/>
  <c r="Z301" i="2"/>
  <c r="Y301" i="2"/>
  <c r="X301" i="2"/>
  <c r="AA300" i="2"/>
  <c r="Z300" i="2"/>
  <c r="Y300" i="2"/>
  <c r="X300" i="2"/>
  <c r="AA299" i="2"/>
  <c r="Z299" i="2"/>
  <c r="Y299" i="2"/>
  <c r="X299" i="2"/>
  <c r="AA298" i="2"/>
  <c r="Z298" i="2"/>
  <c r="Y298" i="2"/>
  <c r="X298" i="2"/>
  <c r="AA297" i="2"/>
  <c r="Z297" i="2"/>
  <c r="Y297" i="2"/>
  <c r="X297" i="2"/>
  <c r="AA296" i="2"/>
  <c r="Z296" i="2"/>
  <c r="Y296" i="2"/>
  <c r="X296" i="2"/>
  <c r="AA295" i="2"/>
  <c r="Z295" i="2"/>
  <c r="Y295" i="2"/>
  <c r="X295" i="2"/>
  <c r="AA294" i="2"/>
  <c r="Z294" i="2"/>
  <c r="Y294" i="2"/>
  <c r="X294" i="2"/>
  <c r="AA293" i="2"/>
  <c r="Z293" i="2"/>
  <c r="Y293" i="2"/>
  <c r="X293" i="2"/>
  <c r="AA292" i="2"/>
  <c r="Z292" i="2"/>
  <c r="Y292" i="2"/>
  <c r="X292" i="2"/>
  <c r="AA291" i="2"/>
  <c r="Z291" i="2"/>
  <c r="Y291" i="2"/>
  <c r="X291" i="2"/>
  <c r="AA290" i="2"/>
  <c r="Z290" i="2"/>
  <c r="Y290" i="2"/>
  <c r="X290" i="2"/>
  <c r="AA289" i="2"/>
  <c r="Z289" i="2"/>
  <c r="Y289" i="2"/>
  <c r="X289" i="2"/>
  <c r="AA288" i="2"/>
  <c r="Z288" i="2"/>
  <c r="Y288" i="2"/>
  <c r="X288" i="2"/>
  <c r="AA287" i="2"/>
  <c r="Z287" i="2"/>
  <c r="Y287" i="2"/>
  <c r="X287" i="2"/>
  <c r="AA286" i="2"/>
  <c r="Z286" i="2"/>
  <c r="Y286" i="2"/>
  <c r="X286" i="2"/>
  <c r="AA285" i="2"/>
  <c r="Z285" i="2"/>
  <c r="Y285" i="2"/>
  <c r="X285" i="2"/>
  <c r="AA284" i="2"/>
  <c r="Z284" i="2"/>
  <c r="Y284" i="2"/>
  <c r="X284" i="2"/>
  <c r="AA283" i="2"/>
  <c r="Z283" i="2"/>
  <c r="Y283" i="2"/>
  <c r="X283" i="2"/>
  <c r="AA282" i="2"/>
  <c r="Z282" i="2"/>
  <c r="Y282" i="2"/>
  <c r="X282" i="2"/>
  <c r="AA281" i="2"/>
  <c r="Z281" i="2"/>
  <c r="Y281" i="2"/>
  <c r="X281" i="2"/>
  <c r="AA280" i="2"/>
  <c r="Z280" i="2"/>
  <c r="Y280" i="2"/>
  <c r="X280" i="2"/>
  <c r="AA279" i="2"/>
  <c r="Z279" i="2"/>
  <c r="Y279" i="2"/>
  <c r="X279" i="2"/>
  <c r="AA278" i="2"/>
  <c r="Z278" i="2"/>
  <c r="Y278" i="2"/>
  <c r="X278" i="2"/>
  <c r="AA277" i="2"/>
  <c r="Z277" i="2"/>
  <c r="Y277" i="2"/>
  <c r="X277" i="2"/>
  <c r="AA276" i="2"/>
  <c r="Z276" i="2"/>
  <c r="Y276" i="2"/>
  <c r="X276" i="2"/>
  <c r="AA275" i="2"/>
  <c r="Z275" i="2"/>
  <c r="Y275" i="2"/>
  <c r="X275" i="2"/>
  <c r="AA274" i="2"/>
  <c r="Z274" i="2"/>
  <c r="Y274" i="2"/>
  <c r="X274" i="2"/>
  <c r="AA273" i="2"/>
  <c r="Z273" i="2"/>
  <c r="Y273" i="2"/>
  <c r="X273" i="2"/>
  <c r="AA272" i="2"/>
  <c r="Z272" i="2"/>
  <c r="Y272" i="2"/>
  <c r="X272" i="2"/>
  <c r="AA271" i="2"/>
  <c r="Z271" i="2"/>
  <c r="Y271" i="2"/>
  <c r="X271" i="2"/>
  <c r="AA270" i="2"/>
  <c r="Z270" i="2"/>
  <c r="Y270" i="2"/>
  <c r="X270" i="2"/>
  <c r="AA269" i="2"/>
  <c r="Z269" i="2"/>
  <c r="Y269" i="2"/>
  <c r="X269" i="2"/>
  <c r="AA268" i="2"/>
  <c r="Z268" i="2"/>
  <c r="Y268" i="2"/>
  <c r="X268" i="2"/>
  <c r="AA267" i="2"/>
  <c r="Z267" i="2"/>
  <c r="Y267" i="2"/>
  <c r="X267" i="2"/>
  <c r="AA266" i="2"/>
  <c r="Z266" i="2"/>
  <c r="Y266" i="2"/>
  <c r="X266" i="2"/>
  <c r="AA265" i="2"/>
  <c r="Z265" i="2"/>
  <c r="Y265" i="2"/>
  <c r="X265" i="2"/>
  <c r="AA264" i="2"/>
  <c r="Z264" i="2"/>
  <c r="Y264" i="2"/>
  <c r="X264" i="2"/>
  <c r="AA263" i="2"/>
  <c r="Z263" i="2"/>
  <c r="Y263" i="2"/>
  <c r="X263" i="2"/>
  <c r="AA262" i="2"/>
  <c r="Z262" i="2"/>
  <c r="Y262" i="2"/>
  <c r="X262" i="2"/>
  <c r="AA261" i="2"/>
  <c r="Z261" i="2"/>
  <c r="Y261" i="2"/>
  <c r="X261" i="2"/>
  <c r="AA260" i="2"/>
  <c r="Z260" i="2"/>
  <c r="Y260" i="2"/>
  <c r="X260" i="2"/>
  <c r="AA259" i="2"/>
  <c r="Z259" i="2"/>
  <c r="Y259" i="2"/>
  <c r="X259" i="2"/>
  <c r="AA258" i="2"/>
  <c r="Z258" i="2"/>
  <c r="Y258" i="2"/>
  <c r="X258" i="2"/>
  <c r="AA257" i="2"/>
  <c r="Z257" i="2"/>
  <c r="Y257" i="2"/>
  <c r="X257" i="2"/>
  <c r="AA256" i="2"/>
  <c r="Z256" i="2"/>
  <c r="Y256" i="2"/>
  <c r="X256" i="2"/>
  <c r="AA255" i="2"/>
  <c r="Z255" i="2"/>
  <c r="Y255" i="2"/>
  <c r="X255" i="2"/>
  <c r="AA254" i="2"/>
  <c r="Z254" i="2"/>
  <c r="Y254" i="2"/>
  <c r="X254" i="2"/>
  <c r="AA253" i="2"/>
  <c r="Z253" i="2"/>
  <c r="Y253" i="2"/>
  <c r="X253" i="2"/>
  <c r="AA252" i="2"/>
  <c r="Z252" i="2"/>
  <c r="Y252" i="2"/>
  <c r="X252" i="2"/>
  <c r="AA251" i="2"/>
  <c r="Z251" i="2"/>
  <c r="Y251" i="2"/>
  <c r="X251" i="2"/>
  <c r="AA250" i="2"/>
  <c r="Z250" i="2"/>
  <c r="Y250" i="2"/>
  <c r="X250" i="2"/>
  <c r="AA249" i="2"/>
  <c r="Z249" i="2"/>
  <c r="Y249" i="2"/>
  <c r="X249" i="2"/>
  <c r="AA248" i="2"/>
  <c r="Z248" i="2"/>
  <c r="Y248" i="2"/>
  <c r="X248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201" i="2"/>
  <c r="F201" i="2" s="1"/>
  <c r="Z201" i="2"/>
  <c r="Y201" i="2"/>
  <c r="X201" i="2"/>
  <c r="D393" i="1"/>
  <c r="D392" i="1"/>
  <c r="D391" i="1"/>
  <c r="D390" i="1"/>
  <c r="D388" i="1"/>
  <c r="D387" i="1"/>
  <c r="D386" i="1"/>
  <c r="D384" i="1"/>
  <c r="D383" i="1"/>
  <c r="D382" i="1"/>
  <c r="D379" i="1"/>
  <c r="D378" i="1"/>
  <c r="D377" i="1"/>
  <c r="D375" i="1"/>
  <c r="D374" i="1"/>
  <c r="D246" i="2"/>
  <c r="D245" i="2"/>
  <c r="D244" i="2"/>
  <c r="D243" i="2"/>
  <c r="D241" i="2"/>
  <c r="D240" i="2"/>
  <c r="D239" i="2"/>
  <c r="D237" i="2"/>
  <c r="D236" i="2"/>
  <c r="D235" i="2"/>
  <c r="D232" i="2"/>
  <c r="D231" i="2"/>
  <c r="D230" i="2"/>
  <c r="D227" i="2"/>
  <c r="C9" i="4"/>
  <c r="AA247" i="2"/>
  <c r="Z247" i="2"/>
  <c r="Y247" i="2"/>
  <c r="X247" i="2"/>
  <c r="AA246" i="2"/>
  <c r="Z246" i="2"/>
  <c r="Y246" i="2"/>
  <c r="X246" i="2"/>
  <c r="AA245" i="2"/>
  <c r="Z245" i="2"/>
  <c r="Y245" i="2"/>
  <c r="X245" i="2"/>
  <c r="AA244" i="2"/>
  <c r="Z244" i="2"/>
  <c r="Y244" i="2"/>
  <c r="X244" i="2"/>
  <c r="AA243" i="2"/>
  <c r="Z243" i="2"/>
  <c r="Y243" i="2"/>
  <c r="X243" i="2"/>
  <c r="AA242" i="2"/>
  <c r="Z242" i="2"/>
  <c r="Y242" i="2"/>
  <c r="X242" i="2"/>
  <c r="AA241" i="2"/>
  <c r="Z241" i="2"/>
  <c r="Y241" i="2"/>
  <c r="X241" i="2"/>
  <c r="AA240" i="2"/>
  <c r="Z240" i="2"/>
  <c r="Y240" i="2"/>
  <c r="X240" i="2"/>
  <c r="AA239" i="2"/>
  <c r="Z239" i="2"/>
  <c r="Y239" i="2"/>
  <c r="X239" i="2"/>
  <c r="AA238" i="2"/>
  <c r="Z238" i="2"/>
  <c r="Y238" i="2"/>
  <c r="X238" i="2"/>
  <c r="AA237" i="2"/>
  <c r="Z237" i="2"/>
  <c r="Y237" i="2"/>
  <c r="X237" i="2"/>
  <c r="AA236" i="2"/>
  <c r="Z236" i="2"/>
  <c r="Y236" i="2"/>
  <c r="X236" i="2"/>
  <c r="AA235" i="2"/>
  <c r="Z235" i="2"/>
  <c r="Y235" i="2"/>
  <c r="X235" i="2"/>
  <c r="AA234" i="2"/>
  <c r="Z234" i="2"/>
  <c r="Y234" i="2"/>
  <c r="X234" i="2"/>
  <c r="AA233" i="2"/>
  <c r="Z233" i="2"/>
  <c r="Y233" i="2"/>
  <c r="X233" i="2"/>
  <c r="AA232" i="2"/>
  <c r="Z232" i="2"/>
  <c r="Y232" i="2"/>
  <c r="X232" i="2"/>
  <c r="AA231" i="2"/>
  <c r="Z231" i="2"/>
  <c r="Y231" i="2"/>
  <c r="X231" i="2"/>
  <c r="AA230" i="2"/>
  <c r="Z230" i="2"/>
  <c r="Y230" i="2"/>
  <c r="X230" i="2"/>
  <c r="AA229" i="2"/>
  <c r="Z229" i="2"/>
  <c r="Y229" i="2"/>
  <c r="X229" i="2"/>
  <c r="AA228" i="2"/>
  <c r="Z228" i="2"/>
  <c r="Y228" i="2"/>
  <c r="X228" i="2"/>
  <c r="AA227" i="2"/>
  <c r="Z227" i="2"/>
  <c r="Y227" i="2"/>
  <c r="X227" i="2"/>
  <c r="AA226" i="2"/>
  <c r="Z226" i="2"/>
  <c r="Y226" i="2"/>
  <c r="X226" i="2"/>
  <c r="AA225" i="2"/>
  <c r="Z225" i="2"/>
  <c r="Y225" i="2"/>
  <c r="X225" i="2"/>
  <c r="AA224" i="2"/>
  <c r="Z224" i="2"/>
  <c r="Y224" i="2"/>
  <c r="X224" i="2"/>
  <c r="AA223" i="2"/>
  <c r="Z223" i="2"/>
  <c r="Y223" i="2"/>
  <c r="X223" i="2"/>
  <c r="AA222" i="2"/>
  <c r="Z222" i="2"/>
  <c r="Y222" i="2"/>
  <c r="X222" i="2"/>
  <c r="AA221" i="2"/>
  <c r="Z221" i="2"/>
  <c r="Y221" i="2"/>
  <c r="X221" i="2"/>
  <c r="AA220" i="2"/>
  <c r="Z220" i="2"/>
  <c r="Y220" i="2"/>
  <c r="X220" i="2"/>
  <c r="AA219" i="2"/>
  <c r="Z219" i="2"/>
  <c r="Y219" i="2"/>
  <c r="X219" i="2"/>
  <c r="AA218" i="2"/>
  <c r="Z218" i="2"/>
  <c r="Y218" i="2"/>
  <c r="X218" i="2"/>
  <c r="AA217" i="2"/>
  <c r="Z217" i="2"/>
  <c r="Y217" i="2"/>
  <c r="X217" i="2"/>
  <c r="AA216" i="2"/>
  <c r="Z216" i="2"/>
  <c r="Y216" i="2"/>
  <c r="X216" i="2"/>
  <c r="AA215" i="2"/>
  <c r="Z215" i="2"/>
  <c r="Y215" i="2"/>
  <c r="X215" i="2"/>
  <c r="AA214" i="2"/>
  <c r="Z214" i="2"/>
  <c r="Y214" i="2"/>
  <c r="X214" i="2"/>
  <c r="AA213" i="2"/>
  <c r="Z213" i="2"/>
  <c r="Y213" i="2"/>
  <c r="X213" i="2"/>
  <c r="AA212" i="2"/>
  <c r="Z212" i="2"/>
  <c r="Y212" i="2"/>
  <c r="X212" i="2"/>
  <c r="AA211" i="2"/>
  <c r="Z211" i="2"/>
  <c r="Y211" i="2"/>
  <c r="X211" i="2"/>
  <c r="AA210" i="2"/>
  <c r="Z210" i="2"/>
  <c r="Y210" i="2"/>
  <c r="X210" i="2"/>
  <c r="AA209" i="2"/>
  <c r="Z209" i="2"/>
  <c r="Y209" i="2"/>
  <c r="X209" i="2"/>
  <c r="AA208" i="2"/>
  <c r="Z208" i="2"/>
  <c r="Y208" i="2"/>
  <c r="X208" i="2"/>
  <c r="AA207" i="2"/>
  <c r="Z207" i="2"/>
  <c r="Y207" i="2"/>
  <c r="X207" i="2"/>
  <c r="AA206" i="2"/>
  <c r="Z206" i="2"/>
  <c r="Y206" i="2"/>
  <c r="X206" i="2"/>
  <c r="AA205" i="2"/>
  <c r="Z205" i="2"/>
  <c r="Y205" i="2"/>
  <c r="X205" i="2"/>
  <c r="AA204" i="2"/>
  <c r="Z204" i="2"/>
  <c r="Y204" i="2"/>
  <c r="X204" i="2"/>
  <c r="AA203" i="2"/>
  <c r="Z203" i="2"/>
  <c r="Y203" i="2"/>
  <c r="X203" i="2"/>
  <c r="AA202" i="2"/>
  <c r="Z202" i="2"/>
  <c r="Y202" i="2"/>
  <c r="X202" i="2"/>
  <c r="AA200" i="2"/>
  <c r="Z200" i="2"/>
  <c r="Y200" i="2"/>
  <c r="X200" i="2"/>
  <c r="AA199" i="2"/>
  <c r="Z199" i="2"/>
  <c r="Y199" i="2"/>
  <c r="X199" i="2"/>
  <c r="AA198" i="2"/>
  <c r="Z198" i="2"/>
  <c r="Y198" i="2"/>
  <c r="X198" i="2"/>
  <c r="AA197" i="2"/>
  <c r="Z197" i="2"/>
  <c r="Y197" i="2"/>
  <c r="X197" i="2"/>
  <c r="AA196" i="2"/>
  <c r="Z196" i="2"/>
  <c r="Y196" i="2"/>
  <c r="X196" i="2"/>
  <c r="AA195" i="2"/>
  <c r="Z195" i="2"/>
  <c r="Y195" i="2"/>
  <c r="X195" i="2"/>
  <c r="AA194" i="2"/>
  <c r="Z194" i="2"/>
  <c r="Y194" i="2"/>
  <c r="X194" i="2"/>
  <c r="AA193" i="2"/>
  <c r="Z193" i="2"/>
  <c r="Y193" i="2"/>
  <c r="X193" i="2"/>
  <c r="AA192" i="2"/>
  <c r="Z192" i="2"/>
  <c r="Y192" i="2"/>
  <c r="X192" i="2"/>
  <c r="AA191" i="2"/>
  <c r="Z191" i="2"/>
  <c r="Y191" i="2"/>
  <c r="X191" i="2"/>
  <c r="AA190" i="2"/>
  <c r="Z190" i="2"/>
  <c r="Y190" i="2"/>
  <c r="X190" i="2"/>
  <c r="AA189" i="2"/>
  <c r="Z189" i="2"/>
  <c r="Y189" i="2"/>
  <c r="X189" i="2"/>
  <c r="AA188" i="2"/>
  <c r="Z188" i="2"/>
  <c r="Y188" i="2"/>
  <c r="X188" i="2"/>
  <c r="AA187" i="2"/>
  <c r="Z187" i="2"/>
  <c r="Y187" i="2"/>
  <c r="X187" i="2"/>
  <c r="AA186" i="2"/>
  <c r="Z186" i="2"/>
  <c r="Y186" i="2"/>
  <c r="X186" i="2"/>
  <c r="AA185" i="2"/>
  <c r="Z185" i="2"/>
  <c r="Y185" i="2"/>
  <c r="X185" i="2"/>
  <c r="AA184" i="2"/>
  <c r="Z184" i="2"/>
  <c r="Y184" i="2"/>
  <c r="X184" i="2"/>
  <c r="AA183" i="2"/>
  <c r="Z183" i="2"/>
  <c r="Y183" i="2"/>
  <c r="X183" i="2"/>
  <c r="AA182" i="2"/>
  <c r="Z182" i="2"/>
  <c r="Y182" i="2"/>
  <c r="X182" i="2"/>
  <c r="AA181" i="2"/>
  <c r="Z181" i="2"/>
  <c r="Y181" i="2"/>
  <c r="X181" i="2"/>
  <c r="AA180" i="2"/>
  <c r="Z180" i="2"/>
  <c r="Y180" i="2"/>
  <c r="X180" i="2"/>
  <c r="AA179" i="2"/>
  <c r="Z179" i="2"/>
  <c r="Y179" i="2"/>
  <c r="X179" i="2"/>
  <c r="AA178" i="2"/>
  <c r="Z178" i="2"/>
  <c r="Y178" i="2"/>
  <c r="X178" i="2"/>
  <c r="AA177" i="2"/>
  <c r="Z177" i="2"/>
  <c r="Y177" i="2"/>
  <c r="X177" i="2"/>
  <c r="AA176" i="2"/>
  <c r="Z176" i="2"/>
  <c r="Y176" i="2"/>
  <c r="X176" i="2"/>
  <c r="AA175" i="2"/>
  <c r="Z175" i="2"/>
  <c r="Y175" i="2"/>
  <c r="X175" i="2"/>
  <c r="AA174" i="2"/>
  <c r="Z174" i="2"/>
  <c r="Y174" i="2"/>
  <c r="X174" i="2"/>
  <c r="X306" i="1"/>
  <c r="Y306" i="1"/>
  <c r="Z306" i="1"/>
  <c r="AA306" i="1"/>
  <c r="X307" i="1"/>
  <c r="Y307" i="1"/>
  <c r="Z307" i="1"/>
  <c r="AA307" i="1"/>
  <c r="X308" i="1"/>
  <c r="Y308" i="1"/>
  <c r="Z308" i="1"/>
  <c r="AA308" i="1"/>
  <c r="X309" i="1"/>
  <c r="Y309" i="1"/>
  <c r="Z309" i="1"/>
  <c r="AA309" i="1"/>
  <c r="X310" i="1"/>
  <c r="Y310" i="1"/>
  <c r="Z310" i="1"/>
  <c r="AA310" i="1"/>
  <c r="X311" i="1"/>
  <c r="Y311" i="1"/>
  <c r="Z311" i="1"/>
  <c r="AA311" i="1"/>
  <c r="X312" i="1"/>
  <c r="Y312" i="1"/>
  <c r="Z312" i="1"/>
  <c r="AA312" i="1"/>
  <c r="X313" i="1"/>
  <c r="Y313" i="1"/>
  <c r="Z313" i="1"/>
  <c r="AA313" i="1"/>
  <c r="X314" i="1"/>
  <c r="Y314" i="1"/>
  <c r="Z314" i="1"/>
  <c r="AA314" i="1"/>
  <c r="X315" i="1"/>
  <c r="Y315" i="1"/>
  <c r="Z315" i="1"/>
  <c r="AA315" i="1"/>
  <c r="X316" i="1"/>
  <c r="Y316" i="1"/>
  <c r="Z316" i="1"/>
  <c r="AA316" i="1"/>
  <c r="X317" i="1"/>
  <c r="Y317" i="1"/>
  <c r="Z317" i="1"/>
  <c r="AA317" i="1"/>
  <c r="X318" i="1"/>
  <c r="Y318" i="1"/>
  <c r="Z318" i="1"/>
  <c r="AA318" i="1"/>
  <c r="X319" i="1"/>
  <c r="Y319" i="1"/>
  <c r="Z319" i="1"/>
  <c r="AA319" i="1"/>
  <c r="X320" i="1"/>
  <c r="Y320" i="1"/>
  <c r="Z320" i="1"/>
  <c r="AA320" i="1"/>
  <c r="X321" i="1"/>
  <c r="Y321" i="1"/>
  <c r="Z321" i="1"/>
  <c r="AA321" i="1"/>
  <c r="X322" i="1"/>
  <c r="Y322" i="1"/>
  <c r="Z322" i="1"/>
  <c r="AA322" i="1"/>
  <c r="X323" i="1"/>
  <c r="Y323" i="1"/>
  <c r="Z323" i="1"/>
  <c r="AA323" i="1"/>
  <c r="X324" i="1"/>
  <c r="Y324" i="1"/>
  <c r="Z324" i="1"/>
  <c r="AA324" i="1"/>
  <c r="X325" i="1"/>
  <c r="Y325" i="1"/>
  <c r="Z325" i="1"/>
  <c r="AA325" i="1"/>
  <c r="X326" i="1"/>
  <c r="Y326" i="1"/>
  <c r="Z326" i="1"/>
  <c r="AA326" i="1"/>
  <c r="X327" i="1"/>
  <c r="Y327" i="1"/>
  <c r="Z327" i="1"/>
  <c r="AA327" i="1"/>
  <c r="X328" i="1"/>
  <c r="Y328" i="1"/>
  <c r="Z328" i="1"/>
  <c r="AA328" i="1"/>
  <c r="X329" i="1"/>
  <c r="Y329" i="1"/>
  <c r="Z329" i="1"/>
  <c r="AA329" i="1"/>
  <c r="X330" i="1"/>
  <c r="Y330" i="1"/>
  <c r="Z330" i="1"/>
  <c r="AA330" i="1"/>
  <c r="X331" i="1"/>
  <c r="Y331" i="1"/>
  <c r="Z331" i="1"/>
  <c r="AA331" i="1"/>
  <c r="X332" i="1"/>
  <c r="Y332" i="1"/>
  <c r="Z332" i="1"/>
  <c r="AA332" i="1"/>
  <c r="X333" i="1"/>
  <c r="Y333" i="1"/>
  <c r="Z333" i="1"/>
  <c r="AA333" i="1"/>
  <c r="X334" i="1"/>
  <c r="Y334" i="1"/>
  <c r="Z334" i="1"/>
  <c r="AA334" i="1"/>
  <c r="X335" i="1"/>
  <c r="Y335" i="1"/>
  <c r="Z335" i="1"/>
  <c r="AA335" i="1"/>
  <c r="X336" i="1"/>
  <c r="Y336" i="1"/>
  <c r="Z336" i="1"/>
  <c r="AA336" i="1"/>
  <c r="X337" i="1"/>
  <c r="Y337" i="1"/>
  <c r="Z337" i="1"/>
  <c r="AA337" i="1"/>
  <c r="X338" i="1"/>
  <c r="Y338" i="1"/>
  <c r="Z338" i="1"/>
  <c r="AA338" i="1"/>
  <c r="X339" i="1"/>
  <c r="Y339" i="1"/>
  <c r="Z339" i="1"/>
  <c r="AA339" i="1"/>
  <c r="X340" i="1"/>
  <c r="Y340" i="1"/>
  <c r="Z340" i="1"/>
  <c r="AA340" i="1"/>
  <c r="X341" i="1"/>
  <c r="Y341" i="1"/>
  <c r="Z341" i="1"/>
  <c r="AA341" i="1"/>
  <c r="X342" i="1"/>
  <c r="Y342" i="1"/>
  <c r="Z342" i="1"/>
  <c r="AA342" i="1"/>
  <c r="X343" i="1"/>
  <c r="Y343" i="1"/>
  <c r="Z343" i="1"/>
  <c r="AA343" i="1"/>
  <c r="X344" i="1"/>
  <c r="Y344" i="1"/>
  <c r="Z344" i="1"/>
  <c r="AA344" i="1"/>
  <c r="X345" i="1"/>
  <c r="Y345" i="1"/>
  <c r="Z345" i="1"/>
  <c r="AA345" i="1"/>
  <c r="X346" i="1"/>
  <c r="Y346" i="1"/>
  <c r="Z346" i="1"/>
  <c r="AA346" i="1"/>
  <c r="X347" i="1"/>
  <c r="Y347" i="1"/>
  <c r="Z347" i="1"/>
  <c r="AA347" i="1"/>
  <c r="X349" i="1"/>
  <c r="Y349" i="1"/>
  <c r="Z349" i="1"/>
  <c r="AA349" i="1"/>
  <c r="X350" i="1"/>
  <c r="Y350" i="1"/>
  <c r="Z350" i="1"/>
  <c r="AA350" i="1"/>
  <c r="X351" i="1"/>
  <c r="Y351" i="1"/>
  <c r="Z351" i="1"/>
  <c r="AA351" i="1"/>
  <c r="X352" i="1"/>
  <c r="Y352" i="1"/>
  <c r="Z352" i="1"/>
  <c r="AA352" i="1"/>
  <c r="X353" i="1"/>
  <c r="Y353" i="1"/>
  <c r="Z353" i="1"/>
  <c r="AA353" i="1"/>
  <c r="X354" i="1"/>
  <c r="Y354" i="1"/>
  <c r="Z354" i="1"/>
  <c r="AA354" i="1"/>
  <c r="X355" i="1"/>
  <c r="Y355" i="1"/>
  <c r="Z355" i="1"/>
  <c r="AA355" i="1"/>
  <c r="X356" i="1"/>
  <c r="Y356" i="1"/>
  <c r="Z356" i="1"/>
  <c r="AA356" i="1"/>
  <c r="X357" i="1"/>
  <c r="Y357" i="1"/>
  <c r="Z357" i="1"/>
  <c r="AA357" i="1"/>
  <c r="X358" i="1"/>
  <c r="Y358" i="1"/>
  <c r="Z358" i="1"/>
  <c r="AA358" i="1"/>
  <c r="X359" i="1"/>
  <c r="Y359" i="1"/>
  <c r="Z359" i="1"/>
  <c r="AA359" i="1"/>
  <c r="X360" i="1"/>
  <c r="Y360" i="1"/>
  <c r="Z360" i="1"/>
  <c r="AA360" i="1"/>
  <c r="X361" i="1"/>
  <c r="Y361" i="1"/>
  <c r="Z361" i="1"/>
  <c r="AA361" i="1"/>
  <c r="X362" i="1"/>
  <c r="Y362" i="1"/>
  <c r="Z362" i="1"/>
  <c r="AA362" i="1"/>
  <c r="X363" i="1"/>
  <c r="Y363" i="1"/>
  <c r="Z363" i="1"/>
  <c r="AA363" i="1"/>
  <c r="X364" i="1"/>
  <c r="Y364" i="1"/>
  <c r="Z364" i="1"/>
  <c r="AA364" i="1"/>
  <c r="X365" i="1"/>
  <c r="Y365" i="1"/>
  <c r="Z365" i="1"/>
  <c r="AA365" i="1"/>
  <c r="X366" i="1"/>
  <c r="Y366" i="1"/>
  <c r="Z366" i="1"/>
  <c r="AA366" i="1"/>
  <c r="X367" i="1"/>
  <c r="Y367" i="1"/>
  <c r="Z367" i="1"/>
  <c r="AA367" i="1"/>
  <c r="X368" i="1"/>
  <c r="Y368" i="1"/>
  <c r="Z368" i="1"/>
  <c r="AA368" i="1"/>
  <c r="X369" i="1"/>
  <c r="Y369" i="1"/>
  <c r="Z369" i="1"/>
  <c r="AA369" i="1"/>
  <c r="X370" i="1"/>
  <c r="Y370" i="1"/>
  <c r="Z370" i="1"/>
  <c r="AA370" i="1"/>
  <c r="X371" i="1"/>
  <c r="Y371" i="1"/>
  <c r="Z371" i="1"/>
  <c r="AA371" i="1"/>
  <c r="X372" i="1"/>
  <c r="Y372" i="1"/>
  <c r="Z372" i="1"/>
  <c r="AA372" i="1"/>
  <c r="X373" i="1"/>
  <c r="Y373" i="1"/>
  <c r="Z373" i="1"/>
  <c r="AA373" i="1"/>
  <c r="X374" i="1"/>
  <c r="Y374" i="1"/>
  <c r="Z374" i="1"/>
  <c r="AA374" i="1"/>
  <c r="X375" i="1"/>
  <c r="Y375" i="1"/>
  <c r="Z375" i="1"/>
  <c r="AA375" i="1"/>
  <c r="X376" i="1"/>
  <c r="Y376" i="1"/>
  <c r="Z376" i="1"/>
  <c r="AA376" i="1"/>
  <c r="X377" i="1"/>
  <c r="Y377" i="1"/>
  <c r="Z377" i="1"/>
  <c r="AA377" i="1"/>
  <c r="X378" i="1"/>
  <c r="Y378" i="1"/>
  <c r="Z378" i="1"/>
  <c r="AA378" i="1"/>
  <c r="X379" i="1"/>
  <c r="Y379" i="1"/>
  <c r="Z379" i="1"/>
  <c r="AA379" i="1"/>
  <c r="X380" i="1"/>
  <c r="Y380" i="1"/>
  <c r="Z380" i="1"/>
  <c r="AA380" i="1"/>
  <c r="X381" i="1"/>
  <c r="Y381" i="1"/>
  <c r="Z381" i="1"/>
  <c r="AA381" i="1"/>
  <c r="X382" i="1"/>
  <c r="Y382" i="1"/>
  <c r="Z382" i="1"/>
  <c r="AA382" i="1"/>
  <c r="X383" i="1"/>
  <c r="Y383" i="1"/>
  <c r="Z383" i="1"/>
  <c r="AA383" i="1"/>
  <c r="X384" i="1"/>
  <c r="Y384" i="1"/>
  <c r="Z384" i="1"/>
  <c r="AA384" i="1"/>
  <c r="X385" i="1"/>
  <c r="Y385" i="1"/>
  <c r="Z385" i="1"/>
  <c r="AA385" i="1"/>
  <c r="X386" i="1"/>
  <c r="Y386" i="1"/>
  <c r="Z386" i="1"/>
  <c r="AA386" i="1"/>
  <c r="X387" i="1"/>
  <c r="Y387" i="1"/>
  <c r="Z387" i="1"/>
  <c r="AA387" i="1"/>
  <c r="X388" i="1"/>
  <c r="Y388" i="1"/>
  <c r="Z388" i="1"/>
  <c r="AA388" i="1"/>
  <c r="X389" i="1"/>
  <c r="Y389" i="1"/>
  <c r="Z389" i="1"/>
  <c r="AA389" i="1"/>
  <c r="X390" i="1"/>
  <c r="Y390" i="1"/>
  <c r="Z390" i="1"/>
  <c r="AA390" i="1"/>
  <c r="X391" i="1"/>
  <c r="Y391" i="1"/>
  <c r="Z391" i="1"/>
  <c r="AA391" i="1"/>
  <c r="X392" i="1"/>
  <c r="Y392" i="1"/>
  <c r="Z392" i="1"/>
  <c r="AA392" i="1"/>
  <c r="X393" i="1"/>
  <c r="Y393" i="1"/>
  <c r="Z393" i="1"/>
  <c r="AA393" i="1"/>
  <c r="X394" i="1"/>
  <c r="Y394" i="1"/>
  <c r="Z394" i="1"/>
  <c r="AA394" i="1"/>
  <c r="X283" i="1"/>
  <c r="Y283" i="1"/>
  <c r="Z283" i="1"/>
  <c r="AA283" i="1"/>
  <c r="X284" i="1"/>
  <c r="Y284" i="1"/>
  <c r="Z284" i="1"/>
  <c r="AA284" i="1"/>
  <c r="X285" i="1"/>
  <c r="Y285" i="1"/>
  <c r="Z285" i="1"/>
  <c r="AA285" i="1"/>
  <c r="X286" i="1"/>
  <c r="Y286" i="1"/>
  <c r="Z286" i="1"/>
  <c r="AA286" i="1"/>
  <c r="X287" i="1"/>
  <c r="Y287" i="1"/>
  <c r="Z287" i="1"/>
  <c r="AA287" i="1"/>
  <c r="X288" i="1"/>
  <c r="Y288" i="1"/>
  <c r="Z288" i="1"/>
  <c r="AA288" i="1"/>
  <c r="X289" i="1"/>
  <c r="Y289" i="1"/>
  <c r="Z289" i="1"/>
  <c r="AA289" i="1"/>
  <c r="X290" i="1"/>
  <c r="Y290" i="1"/>
  <c r="Z290" i="1"/>
  <c r="AA290" i="1"/>
  <c r="X291" i="1"/>
  <c r="Y291" i="1"/>
  <c r="Z291" i="1"/>
  <c r="AA291" i="1"/>
  <c r="X292" i="1"/>
  <c r="Y292" i="1"/>
  <c r="Z292" i="1"/>
  <c r="AA292" i="1"/>
  <c r="X293" i="1"/>
  <c r="Y293" i="1"/>
  <c r="Z293" i="1"/>
  <c r="AA293" i="1"/>
  <c r="X294" i="1"/>
  <c r="Y294" i="1"/>
  <c r="Z294" i="1"/>
  <c r="AA294" i="1"/>
  <c r="X295" i="1"/>
  <c r="Y295" i="1"/>
  <c r="Z295" i="1"/>
  <c r="AA295" i="1"/>
  <c r="X296" i="1"/>
  <c r="Y296" i="1"/>
  <c r="Z296" i="1"/>
  <c r="AA296" i="1"/>
  <c r="X297" i="1"/>
  <c r="Y297" i="1"/>
  <c r="Z297" i="1"/>
  <c r="AA297" i="1"/>
  <c r="X298" i="1"/>
  <c r="Y298" i="1"/>
  <c r="Z298" i="1"/>
  <c r="AA298" i="1"/>
  <c r="X299" i="1"/>
  <c r="Y299" i="1"/>
  <c r="Z299" i="1"/>
  <c r="AA299" i="1"/>
  <c r="X300" i="1"/>
  <c r="Y300" i="1"/>
  <c r="Z300" i="1"/>
  <c r="AA300" i="1"/>
  <c r="X301" i="1"/>
  <c r="Y301" i="1"/>
  <c r="Z301" i="1"/>
  <c r="AA301" i="1"/>
  <c r="X302" i="1"/>
  <c r="Y302" i="1"/>
  <c r="Z302" i="1"/>
  <c r="AA302" i="1"/>
  <c r="X303" i="1"/>
  <c r="Y303" i="1"/>
  <c r="Z303" i="1"/>
  <c r="AA303" i="1"/>
  <c r="X304" i="1"/>
  <c r="Y304" i="1"/>
  <c r="Z304" i="1"/>
  <c r="AA304" i="1"/>
  <c r="X305" i="1"/>
  <c r="Y305" i="1"/>
  <c r="Z305" i="1"/>
  <c r="AA305" i="1"/>
  <c r="Y282" i="1"/>
  <c r="Z282" i="1"/>
  <c r="AA282" i="1"/>
  <c r="X282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G14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M14" i="4"/>
  <c r="N11" i="4"/>
  <c r="O11" i="4"/>
  <c r="O14" i="4"/>
  <c r="F11" i="4"/>
  <c r="P11" i="4"/>
  <c r="P14" i="4"/>
  <c r="R11" i="4"/>
  <c r="R14" i="4"/>
  <c r="J11" i="4"/>
  <c r="J14" i="4"/>
  <c r="H11" i="4"/>
  <c r="H14" i="4"/>
  <c r="N14" i="4"/>
  <c r="S14" i="4"/>
  <c r="S11" i="4"/>
  <c r="Q11" i="4"/>
  <c r="Q14" i="4"/>
  <c r="I11" i="4"/>
  <c r="I14" i="4"/>
  <c r="G11" i="4"/>
  <c r="E11" i="4"/>
  <c r="L14" i="4"/>
  <c r="K11" i="4"/>
  <c r="K14" i="4"/>
  <c r="L11" i="4"/>
</calcChain>
</file>

<file path=xl/sharedStrings.xml><?xml version="1.0" encoding="utf-8"?>
<sst xmlns="http://schemas.openxmlformats.org/spreadsheetml/2006/main" count="3635" uniqueCount="978">
  <si>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</si>
  <si>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</si>
  <si>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</si>
  <si>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</si>
  <si>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</si>
  <si>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</si>
  <si>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</si>
  <si>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</si>
  <si>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</si>
  <si>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</si>
  <si>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</si>
  <si>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</si>
  <si>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</si>
  <si>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</si>
  <si>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</si>
  <si>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</si>
  <si>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</si>
  <si>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</si>
  <si>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</si>
  <si>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</si>
  <si>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</si>
  <si>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</si>
  <si>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</si>
  <si>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</si>
  <si>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</si>
  <si>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</si>
  <si>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</si>
  <si>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</si>
  <si>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</si>
  <si>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</si>
  <si>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</si>
  <si>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</si>
  <si>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</si>
  <si>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</si>
  <si>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</si>
  <si>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</si>
  <si>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</si>
  <si>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</si>
  <si>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</si>
  <si>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</si>
  <si>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</si>
  <si>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</si>
  <si>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</si>
  <si>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</si>
  <si>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</si>
  <si>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</si>
  <si>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</si>
  <si>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</si>
  <si>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</si>
  <si>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</si>
  <si>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</si>
  <si>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</si>
  <si>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</si>
  <si>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</si>
  <si>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</si>
  <si>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</si>
  <si>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</si>
  <si>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</si>
  <si>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</si>
  <si>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</si>
  <si>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</si>
  <si>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</si>
  <si>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</si>
  <si>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</si>
  <si>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</si>
  <si>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</si>
  <si>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</si>
  <si>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</si>
  <si>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</si>
  <si>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</si>
  <si>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</si>
  <si>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</si>
  <si>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</si>
  <si>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</si>
  <si>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</si>
  <si>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</si>
  <si>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</si>
  <si>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</si>
  <si>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</si>
  <si>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</si>
  <si>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</si>
  <si>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</si>
  <si>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</si>
  <si>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</si>
  <si>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</si>
  <si>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</si>
  <si>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</si>
  <si>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</si>
  <si>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</si>
  <si>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</si>
  <si>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</si>
  <si>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</si>
  <si>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</si>
  <si>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</si>
  <si>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</si>
  <si>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</si>
  <si>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</si>
  <si>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</si>
  <si>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</si>
  <si>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</si>
  <si>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</si>
  <si>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</si>
  <si>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</si>
  <si>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</si>
  <si>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</si>
  <si>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</si>
  <si>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</si>
  <si>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</si>
  <si>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</si>
  <si>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</si>
  <si>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</si>
  <si>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</si>
  <si>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</si>
  <si>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</si>
  <si>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</si>
  <si>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</si>
  <si>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</si>
  <si>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</si>
  <si>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</si>
  <si>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</si>
  <si>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</si>
  <si>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</si>
  <si>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</si>
  <si>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</si>
  <si>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</si>
  <si>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</si>
  <si>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</si>
  <si>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</si>
  <si>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</si>
  <si>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</si>
  <si>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</si>
  <si>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</si>
  <si>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</si>
  <si>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</si>
  <si>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</si>
  <si>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</si>
  <si>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</si>
  <si>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</si>
  <si>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</si>
  <si>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</si>
  <si>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</si>
  <si>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</si>
  <si>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</si>
  <si>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</si>
  <si>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</si>
  <si>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</si>
  <si>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</si>
  <si>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</si>
  <si>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</si>
  <si>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</si>
  <si>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</si>
  <si>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</si>
  <si>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</si>
  <si>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</si>
  <si>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</si>
  <si>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</si>
  <si>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</si>
  <si>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</si>
  <si>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</si>
  <si>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</si>
  <si>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</si>
  <si>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</si>
  <si>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</si>
  <si>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</si>
  <si>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</si>
  <si>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</si>
  <si>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</si>
  <si>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</si>
  <si>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</si>
  <si>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</si>
  <si>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</si>
  <si>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</si>
  <si>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</si>
  <si>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</si>
  <si>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</si>
  <si>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</si>
  <si>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</si>
  <si>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</si>
  <si>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</si>
  <si>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</si>
  <si>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</si>
  <si>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</si>
  <si>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</si>
  <si>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</si>
  <si>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</si>
  <si>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</si>
  <si>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</si>
  <si>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</si>
  <si>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</si>
  <si>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</si>
  <si>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</si>
  <si>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</si>
  <si>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</si>
  <si>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260128 실적 기업 정보</t>
    <phoneticPr fontId="5" type="noConversion"/>
  </si>
  <si>
    <t>Company</t>
  </si>
  <si>
    <t>Date</t>
  </si>
  <si>
    <t>Time</t>
  </si>
  <si>
    <t>Quarter Ending</t>
  </si>
  <si>
    <t xml:space="preserve"> Market Cap (mil$)</t>
    <phoneticPr fontId="5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</si>
  <si>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</si>
  <si>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</si>
  <si>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</si>
  <si>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</si>
  <si>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</si>
  <si>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</si>
  <si>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</si>
  <si>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</si>
  <si>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</si>
  <si>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</si>
  <si>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</si>
  <si>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</si>
  <si>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</si>
  <si>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</si>
  <si>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</si>
  <si>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</si>
  <si>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</si>
  <si>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</si>
  <si>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</si>
  <si>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</si>
  <si>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</si>
  <si>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</si>
  <si>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</si>
  <si>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</si>
  <si>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</si>
  <si>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</si>
  <si>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</si>
  <si>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</si>
  <si>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</si>
  <si>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</si>
  <si>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</si>
  <si>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</si>
  <si>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</si>
  <si>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</si>
  <si>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</si>
  <si>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</si>
  <si>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</si>
  <si>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</si>
  <si>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</si>
  <si>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</si>
  <si>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</si>
  <si>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</si>
  <si>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</si>
  <si>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</si>
  <si>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</si>
  <si>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</si>
  <si>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</si>
  <si>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</si>
  <si>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</si>
  <si>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</si>
  <si>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</si>
  <si>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</si>
  <si>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</si>
  <si>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</si>
  <si>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</si>
  <si>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</si>
  <si>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</si>
  <si>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</si>
  <si>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</si>
  <si>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</si>
  <si>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</si>
  <si>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</si>
  <si>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</si>
  <si>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</si>
  <si>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</si>
  <si>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</si>
  <si>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</si>
  <si>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</si>
  <si>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</si>
  <si>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</si>
  <si>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</si>
  <si>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</si>
  <si>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</si>
  <si>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</si>
  <si>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</si>
  <si>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</si>
  <si>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</si>
  <si>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</si>
  <si>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</si>
  <si>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</si>
  <si>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</si>
  <si>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</si>
  <si>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</si>
  <si>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</si>
  <si>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</si>
  <si>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</si>
  <si>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</si>
  <si>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</si>
  <si>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</si>
  <si>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</si>
  <si>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</si>
  <si>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</si>
  <si>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</si>
  <si>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</si>
  <si>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</si>
  <si>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</si>
  <si>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</si>
  <si>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</si>
  <si>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</si>
  <si>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</si>
  <si>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</si>
  <si>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</si>
  <si>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</si>
  <si>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</si>
  <si>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</si>
  <si>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</si>
  <si>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</si>
  <si>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</si>
  <si>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</si>
  <si>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</si>
  <si>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</si>
  <si>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</si>
  <si>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</si>
  <si>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</si>
  <si>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</si>
  <si>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</si>
  <si>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</si>
  <si>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</si>
  <si>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</si>
  <si>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</si>
  <si>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</si>
  <si>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</si>
  <si>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</si>
  <si>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</si>
  <si>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</si>
  <si>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</si>
  <si>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</si>
  <si>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</si>
  <si>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</si>
  <si>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</si>
  <si>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</si>
  <si>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</si>
  <si>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</si>
  <si>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</si>
  <si>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</si>
  <si>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</si>
  <si>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</si>
  <si>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</si>
  <si>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</si>
  <si>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</si>
  <si>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</si>
  <si>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</si>
  <si>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</si>
  <si>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</si>
  <si>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</si>
  <si>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</si>
  <si>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</si>
  <si>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</si>
  <si>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</si>
  <si>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</si>
  <si>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</si>
  <si>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</si>
  <si>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</si>
  <si>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</si>
  <si>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</si>
  <si>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</si>
  <si>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</si>
  <si>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</si>
  <si>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</si>
  <si>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</si>
  <si>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</si>
  <si>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</si>
  <si>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</si>
  <si>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</si>
  <si>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</si>
  <si>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</si>
  <si>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</si>
  <si>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</si>
  <si>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</si>
  <si>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</si>
  <si>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</si>
  <si>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</si>
  <si>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</si>
  <si>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</si>
  <si>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</si>
  <si>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</si>
  <si>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</si>
  <si>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</si>
  <si>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</si>
  <si>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</si>
  <si>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</si>
  <si>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</si>
  <si>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</si>
  <si>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</si>
  <si>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</si>
  <si>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</si>
  <si>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</si>
  <si>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</si>
  <si>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</si>
  <si>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5" type="noConversion"/>
  </si>
  <si>
    <t>2Q25</t>
    <phoneticPr fontId="5" type="noConversion"/>
  </si>
  <si>
    <t>3Q25</t>
    <phoneticPr fontId="5" type="noConversion"/>
  </si>
  <si>
    <t>4Q25</t>
    <phoneticPr fontId="5" type="noConversion"/>
  </si>
  <si>
    <t>4Q21</t>
    <phoneticPr fontId="15" type="noConversion"/>
  </si>
  <si>
    <t>1Q22</t>
    <phoneticPr fontId="15" type="noConversion"/>
  </si>
  <si>
    <t>2Q22</t>
    <phoneticPr fontId="15" type="noConversion"/>
  </si>
  <si>
    <t>3Q22</t>
    <phoneticPr fontId="15" type="noConversion"/>
  </si>
  <si>
    <t>4Q22</t>
    <phoneticPr fontId="15" type="noConversion"/>
  </si>
  <si>
    <t>2Q23</t>
    <phoneticPr fontId="15" type="noConversion"/>
  </si>
  <si>
    <t>3Q23</t>
    <phoneticPr fontId="15" type="noConversion"/>
  </si>
  <si>
    <t>4Q23</t>
    <phoneticPr fontId="15" type="noConversion"/>
  </si>
  <si>
    <t>Revenue</t>
    <phoneticPr fontId="15" type="noConversion"/>
  </si>
  <si>
    <t>OP</t>
    <phoneticPr fontId="15" type="noConversion"/>
  </si>
  <si>
    <t>Trailing 4Q OP avg.</t>
    <phoneticPr fontId="15" type="noConversion"/>
  </si>
  <si>
    <t>Trailing 4Q OP sum.</t>
    <phoneticPr fontId="15" type="noConversion"/>
  </si>
  <si>
    <t>Trailing OP Delta</t>
    <phoneticPr fontId="15" type="noConversion"/>
  </si>
  <si>
    <t>opm</t>
  </si>
  <si>
    <t>op yoy</t>
    <phoneticPr fontId="15" type="noConversion"/>
  </si>
  <si>
    <t>rv yoy</t>
    <phoneticPr fontId="5" type="noConversion"/>
  </si>
  <si>
    <t>1Q26</t>
    <phoneticPr fontId="15" type="noConversion"/>
  </si>
  <si>
    <t>2Q26</t>
    <phoneticPr fontId="15" type="noConversion"/>
  </si>
  <si>
    <t>3Q26</t>
    <phoneticPr fontId="15" type="noConversion"/>
  </si>
  <si>
    <t>4Q26</t>
    <phoneticPr fontId="15" type="noConversion"/>
  </si>
  <si>
    <t>SBILIFE</t>
    <phoneticPr fontId="5" type="noConversion"/>
  </si>
  <si>
    <t>Industry</t>
    <phoneticPr fontId="5" type="noConversion"/>
  </si>
  <si>
    <t>GEV</t>
    <phoneticPr fontId="5" type="noConversion"/>
  </si>
  <si>
    <t>United States</t>
    <phoneticPr fontId="5" type="noConversion"/>
  </si>
  <si>
    <t>Ticker</t>
    <phoneticPr fontId="5" type="noConversion"/>
  </si>
  <si>
    <t>(단위: mil $)</t>
    <phoneticPr fontId="5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</si>
  <si>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</si>
  <si>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</si>
  <si>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</si>
  <si>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</si>
  <si>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</si>
  <si>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</si>
  <si>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</si>
  <si>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</si>
  <si>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</si>
  <si>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</si>
  <si>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</si>
  <si>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</si>
  <si>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</si>
  <si>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</si>
  <si>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</si>
  <si>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</si>
  <si>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</si>
  <si>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</si>
  <si>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</si>
  <si>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</si>
  <si>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</si>
  <si>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</si>
  <si>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</si>
  <si>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</si>
  <si>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</si>
  <si>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</si>
  <si>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</si>
  <si>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</si>
  <si>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</si>
  <si>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</si>
  <si>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</si>
  <si>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</si>
  <si>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</si>
  <si>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</si>
  <si>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</si>
  <si>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</si>
  <si>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</si>
  <si>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</si>
  <si>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</si>
  <si>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</si>
  <si>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</si>
  <si>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</si>
  <si>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</si>
  <si>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</si>
  <si>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</si>
  <si>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</si>
  <si>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</si>
  <si>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</si>
  <si>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</si>
  <si>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</si>
  <si>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</si>
  <si>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</si>
  <si>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</si>
  <si>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</si>
  <si>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</si>
  <si>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</si>
  <si>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</si>
  <si>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</si>
  <si>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</si>
  <si>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</si>
  <si>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</si>
  <si>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</si>
  <si>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</si>
  <si>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</si>
  <si>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</si>
  <si>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</si>
  <si>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</si>
  <si>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</si>
  <si>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</si>
  <si>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</si>
  <si>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</si>
  <si>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</si>
  <si>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</si>
  <si>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</si>
  <si>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</si>
  <si>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</si>
  <si>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</si>
  <si>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</si>
  <si>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</si>
  <si>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</si>
  <si>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</si>
  <si>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</si>
  <si>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</si>
  <si>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</si>
  <si>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</si>
  <si>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</si>
  <si>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</si>
  <si>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</si>
  <si>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</si>
  <si>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</si>
  <si>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</si>
  <si>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</si>
  <si>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</si>
  <si>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</si>
  <si>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</si>
  <si>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</si>
  <si>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</si>
  <si>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</si>
  <si>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</si>
  <si>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</si>
  <si>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</si>
  <si>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</si>
  <si>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</si>
  <si>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</si>
  <si>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</si>
  <si>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</si>
  <si>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</si>
  <si>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</si>
  <si>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</si>
  <si>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</si>
  <si>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</si>
  <si>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</si>
  <si>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</si>
  <si>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</si>
  <si>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</si>
  <si>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</si>
  <si>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</si>
  <si>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5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</si>
  <si>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</si>
  <si>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</si>
  <si>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</si>
  <si>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</si>
  <si>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</si>
  <si>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</si>
  <si>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</si>
  <si>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</si>
  <si>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</si>
  <si>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</si>
  <si>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</si>
  <si>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</si>
  <si>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</si>
  <si>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</si>
  <si>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</si>
  <si>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</si>
  <si>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</si>
  <si>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</si>
  <si>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</si>
  <si>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</si>
  <si>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</si>
  <si>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</si>
  <si>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</si>
  <si>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</si>
  <si>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</si>
  <si>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</si>
  <si>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</si>
  <si>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</si>
  <si>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</si>
  <si>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</si>
  <si>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</si>
  <si>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</si>
  <si>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</si>
  <si>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</si>
  <si>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</si>
  <si>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</si>
  <si>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</si>
  <si>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</si>
  <si>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</si>
  <si>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</si>
  <si>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</si>
  <si>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</si>
  <si>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</si>
  <si>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</si>
  <si>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</si>
  <si>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</si>
  <si>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</si>
  <si>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</si>
  <si>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</si>
  <si>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</si>
  <si>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</si>
  <si>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</si>
  <si>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</si>
  <si>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</si>
  <si>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</si>
  <si>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</si>
  <si>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</si>
  <si>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</si>
  <si>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</si>
  <si>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</si>
  <si>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</si>
  <si>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</si>
  <si>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</si>
  <si>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</si>
  <si>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</si>
  <si>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</si>
  <si>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</si>
  <si>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</si>
  <si>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</si>
  <si>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</si>
  <si>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</si>
  <si>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</si>
  <si>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</si>
  <si>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</si>
  <si>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</si>
  <si>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</si>
  <si>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</si>
  <si>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</si>
  <si>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</si>
  <si>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</si>
  <si>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</si>
  <si>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</si>
  <si>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</si>
  <si>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</si>
  <si>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</si>
  <si>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</si>
  <si>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</si>
  <si>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</si>
  <si>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</si>
  <si>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</si>
  <si>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</si>
  <si>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</si>
  <si>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</si>
  <si>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</si>
  <si>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</si>
  <si>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</si>
  <si>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</si>
  <si>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</si>
  <si>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</si>
  <si>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5" type="noConversion"/>
  </si>
  <si>
    <t>United States</t>
    <phoneticPr fontId="5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</si>
  <si>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</si>
  <si>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</si>
  <si>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</si>
  <si>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</si>
  <si>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</si>
  <si>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</si>
  <si>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</si>
  <si>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</si>
  <si>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</si>
  <si>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</si>
  <si>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</si>
  <si>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</si>
  <si>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</si>
  <si>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</si>
  <si>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</si>
  <si>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</si>
  <si>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</si>
  <si>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</si>
  <si>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</si>
  <si>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</si>
  <si>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</si>
  <si>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</si>
  <si>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</si>
  <si>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</si>
  <si>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</si>
  <si>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</si>
  <si>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</si>
  <si>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</si>
  <si>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</si>
  <si>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</si>
  <si>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</si>
  <si>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</si>
  <si>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</si>
  <si>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</si>
  <si>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</si>
  <si>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</si>
  <si>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</si>
  <si>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</si>
  <si>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</si>
  <si>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</si>
  <si>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</si>
  <si>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</si>
  <si>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</si>
  <si>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</si>
  <si>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</si>
  <si>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</si>
  <si>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</si>
  <si>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</si>
  <si>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</si>
  <si>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</si>
  <si>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</si>
  <si>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</si>
  <si>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</si>
  <si>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</si>
  <si>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</si>
  <si>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</si>
  <si>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</si>
  <si>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</si>
  <si>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</si>
  <si>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</si>
  <si>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</si>
  <si>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</si>
  <si>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</si>
  <si>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</si>
  <si>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</si>
  <si>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</si>
  <si>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</si>
  <si>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</si>
  <si>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</si>
  <si>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</si>
  <si>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</si>
  <si>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</si>
  <si>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</si>
  <si>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</si>
  <si>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</si>
  <si>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</si>
  <si>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</si>
  <si>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</si>
  <si>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</si>
  <si>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</si>
  <si>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</si>
  <si>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</si>
  <si>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</si>
  <si>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</si>
  <si>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</si>
  <si>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</si>
  <si>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</si>
  <si>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</si>
  <si>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</si>
  <si>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</si>
  <si>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</si>
  <si>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</si>
  <si>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</si>
  <si>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</si>
  <si>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</si>
  <si>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</si>
  <si>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</si>
  <si>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</si>
  <si>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</si>
  <si>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</si>
  <si>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</si>
  <si>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</si>
  <si>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</si>
  <si>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</si>
  <si>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</si>
  <si>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</si>
  <si>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</si>
  <si>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</si>
  <si>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</si>
  <si>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</si>
  <si>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</si>
  <si>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</si>
  <si>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</si>
  <si>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</si>
  <si>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</si>
  <si>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</si>
  <si>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</si>
  <si>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</si>
  <si>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</si>
  <si>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</si>
  <si>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</si>
  <si>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</si>
  <si>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</si>
  <si>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</si>
  <si>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</si>
  <si>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</si>
  <si>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</si>
  <si>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</si>
  <si>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</si>
  <si>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</si>
  <si>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</si>
  <si>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</si>
  <si>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</si>
  <si>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</si>
  <si>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</si>
  <si>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</si>
  <si>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</si>
  <si>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</si>
  <si>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</si>
  <si>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</si>
  <si>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</si>
  <si>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</si>
  <si>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5" type="noConversion"/>
  </si>
  <si>
    <t>Prestige Estates Projects Limited</t>
  </si>
  <si>
    <t>PAYTM</t>
    <phoneticPr fontId="5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</si>
  <si>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</si>
  <si>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</si>
  <si>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</si>
  <si>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</si>
  <si>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</si>
  <si>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</si>
  <si>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</si>
  <si>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</si>
  <si>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</si>
  <si>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</si>
  <si>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</si>
  <si>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</si>
  <si>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</si>
  <si>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</si>
  <si>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</si>
  <si>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</si>
  <si>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</si>
  <si>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</si>
  <si>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</si>
  <si>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</si>
  <si>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</si>
  <si>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SNDK</t>
    <phoneticPr fontId="5" type="noConversion"/>
  </si>
  <si>
    <t>CANBK</t>
    <phoneticPr fontId="5" type="noConversion"/>
  </si>
  <si>
    <t>PAYTM</t>
  </si>
  <si>
    <t>Oil &amp; Gas Refining &amp; Marketing</t>
    <phoneticPr fontId="5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</si>
  <si>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</si>
  <si>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</si>
  <si>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</si>
  <si>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</si>
  <si>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</si>
  <si>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</si>
  <si>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</si>
  <si>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</si>
  <si>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</si>
  <si>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</si>
  <si>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</si>
  <si>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</si>
  <si>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</si>
  <si>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</si>
  <si>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</si>
  <si>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</si>
  <si>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</si>
  <si>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</si>
  <si>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</si>
  <si>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</si>
  <si>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</si>
  <si>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</si>
  <si>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</si>
  <si>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</si>
  <si>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</si>
  <si>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</si>
  <si>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</si>
  <si>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</si>
  <si>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</si>
  <si>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</si>
  <si>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</si>
  <si>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</si>
  <si>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</si>
  <si>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</si>
  <si>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</si>
  <si>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</si>
  <si>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</si>
  <si>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</si>
  <si>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</si>
  <si>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</si>
  <si>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</si>
  <si>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</si>
  <si>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</si>
  <si>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</si>
  <si>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</si>
  <si>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</si>
  <si>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</si>
  <si>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</si>
  <si>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</si>
  <si>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</si>
  <si>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</si>
  <si>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</si>
  <si>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</si>
  <si>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</si>
  <si>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</si>
  <si>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</si>
  <si>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</si>
  <si>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</si>
  <si>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</si>
  <si>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</si>
  <si>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</si>
  <si>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</si>
  <si>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</si>
  <si>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</si>
  <si>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</si>
  <si>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</si>
  <si>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</si>
  <si>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</si>
  <si>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</si>
  <si>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</si>
  <si>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</si>
  <si>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</si>
  <si>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</si>
  <si>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</si>
  <si>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</si>
  <si>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</si>
  <si>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</si>
  <si>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</si>
  <si>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</si>
  <si>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</si>
  <si>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</si>
  <si>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</si>
  <si>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</si>
  <si>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</si>
  <si>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</si>
  <si>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</si>
  <si>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</si>
  <si>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</si>
  <si>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</si>
  <si>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</si>
  <si>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</si>
  <si>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</si>
  <si>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</si>
  <si>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</si>
  <si>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</si>
  <si>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</si>
  <si>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</si>
  <si>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</si>
  <si>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</si>
  <si>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</si>
  <si>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</si>
  <si>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</si>
  <si>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</si>
  <si>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</si>
  <si>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</si>
  <si>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</si>
  <si>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</si>
  <si>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</si>
  <si>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</si>
  <si>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</si>
  <si>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</si>
  <si>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</si>
  <si>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</si>
  <si>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</si>
  <si>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</si>
  <si>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</si>
  <si>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</si>
  <si>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</si>
  <si>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</si>
  <si>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</si>
  <si>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</si>
  <si>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</si>
  <si>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</si>
  <si>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</si>
  <si>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</si>
  <si>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</si>
  <si>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</si>
  <si>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</si>
  <si>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</si>
  <si>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</si>
  <si>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</si>
  <si>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</si>
  <si>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5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</si>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</sst>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,,"/>
    <numFmt numFmtId="177" formatCode="0.0%"/>
    <numFmt numFmtId="178" formatCode="0.0&quot;%&quot;"/>
    <numFmt numFmtId="179" formatCode="#,##0_);[Red]\(#,##0\)"/>
    <numFmt numFmtId="180" formatCode="0.00&quot;%&quot;"/>
    <numFmt numFmtId="181" formatCode="#,##0.0"/>
  </numFmts>
  <fonts count="1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b/>
      <sz val="10"/>
      <name val="pretendard"/>
      <family val="2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15" fontId="6" fillId="0" borderId="0" xfId="0" applyNumberFormat="1" applyFont="1" applyAlignment="1">
      <alignment vertical="center"/>
    </xf>
    <xf numFmtId="16" fontId="6" fillId="0" borderId="0" xfId="0" applyNumberFormat="1" applyFont="1" applyAlignment="1">
      <alignment vertical="center"/>
    </xf>
    <xf numFmtId="176" fontId="6" fillId="0" borderId="6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5" fontId="6" fillId="0" borderId="8" xfId="0" applyNumberFormat="1" applyFont="1" applyBorder="1" applyAlignment="1">
      <alignment vertical="center"/>
    </xf>
    <xf numFmtId="16" fontId="6" fillId="0" borderId="8" xfId="0" applyNumberFormat="1" applyFont="1" applyBorder="1" applyAlignment="1">
      <alignment vertical="center"/>
    </xf>
    <xf numFmtId="176" fontId="6" fillId="0" borderId="9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9" fillId="2" borderId="0" xfId="0" applyFont="1" applyFill="1"/>
    <xf numFmtId="177" fontId="7" fillId="0" borderId="1" xfId="0" applyNumberFormat="1" applyFont="1" applyBorder="1" applyAlignment="1">
      <alignment horizontal="center"/>
    </xf>
    <xf numFmtId="177" fontId="10" fillId="0" borderId="0" xfId="0" applyNumberFormat="1" applyFont="1"/>
    <xf numFmtId="177" fontId="7" fillId="0" borderId="1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top"/>
    </xf>
    <xf numFmtId="0" fontId="9" fillId="0" borderId="13" xfId="0" applyFont="1" applyBorder="1"/>
    <xf numFmtId="0" fontId="9" fillId="2" borderId="13" xfId="0" applyFont="1" applyFill="1" applyBorder="1"/>
    <xf numFmtId="0" fontId="2" fillId="0" borderId="13" xfId="0" applyFont="1" applyBorder="1"/>
    <xf numFmtId="0" fontId="2" fillId="2" borderId="13" xfId="0" applyFont="1" applyFill="1" applyBorder="1"/>
    <xf numFmtId="0" fontId="11" fillId="0" borderId="0" xfId="0" applyFont="1"/>
    <xf numFmtId="178" fontId="11" fillId="4" borderId="0" xfId="0" applyNumberFormat="1" applyFont="1" applyFill="1"/>
    <xf numFmtId="0" fontId="12" fillId="0" borderId="0" xfId="0" applyFont="1"/>
    <xf numFmtId="0" fontId="7" fillId="0" borderId="0" xfId="0" applyFont="1"/>
    <xf numFmtId="0" fontId="14" fillId="5" borderId="0" xfId="0" applyFont="1" applyFill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79" fontId="6" fillId="0" borderId="0" xfId="0" applyNumberFormat="1" applyFont="1" applyAlignment="1">
      <alignment vertical="center"/>
    </xf>
    <xf numFmtId="177" fontId="6" fillId="0" borderId="0" xfId="1" applyNumberFormat="1" applyFont="1" applyFill="1">
      <alignment vertical="center"/>
    </xf>
    <xf numFmtId="177" fontId="6" fillId="0" borderId="0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9" fontId="6" fillId="0" borderId="0" xfId="1" applyFont="1" applyAlignment="1">
      <alignment horizontal="right" vertical="center"/>
    </xf>
    <xf numFmtId="9" fontId="6" fillId="0" borderId="10" xfId="1" applyFont="1" applyBorder="1" applyAlignment="1">
      <alignment horizontal="right" vertical="center"/>
    </xf>
    <xf numFmtId="9" fontId="6" fillId="0" borderId="0" xfId="1" applyFont="1">
      <alignment vertical="center"/>
    </xf>
    <xf numFmtId="9" fontId="6" fillId="0" borderId="0" xfId="1" applyFont="1" applyBorder="1">
      <alignment vertical="center"/>
    </xf>
    <xf numFmtId="9" fontId="6" fillId="0" borderId="10" xfId="1" applyFont="1" applyBorder="1">
      <alignment vertical="center"/>
    </xf>
    <xf numFmtId="9" fontId="6" fillId="0" borderId="0" xfId="1" applyFont="1" applyFill="1">
      <alignment vertical="center"/>
    </xf>
    <xf numFmtId="179" fontId="6" fillId="0" borderId="10" xfId="0" applyNumberFormat="1" applyFont="1" applyBorder="1" applyAlignment="1">
      <alignment vertical="center"/>
    </xf>
    <xf numFmtId="0" fontId="16" fillId="0" borderId="0" xfId="0" applyFont="1"/>
    <xf numFmtId="178" fontId="9" fillId="0" borderId="0" xfId="0" applyNumberFormat="1" applyFont="1"/>
    <xf numFmtId="177" fontId="7" fillId="0" borderId="1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0" fontId="7" fillId="0" borderId="0" xfId="0" quotePrefix="1" applyFont="1" applyAlignment="1">
      <alignment vertical="center"/>
    </xf>
    <xf numFmtId="178" fontId="9" fillId="6" borderId="0" xfId="0" applyNumberFormat="1" applyFont="1" applyFill="1"/>
    <xf numFmtId="3" fontId="6" fillId="0" borderId="0" xfId="0" applyNumberFormat="1" applyFont="1"/>
    <xf numFmtId="0" fontId="10" fillId="0" borderId="0" xfId="0" applyFont="1"/>
    <xf numFmtId="177" fontId="6" fillId="0" borderId="0" xfId="0" applyNumberFormat="1" applyFont="1"/>
    <xf numFmtId="0" fontId="17" fillId="0" borderId="0" xfId="0" applyFont="1"/>
    <xf numFmtId="179" fontId="9" fillId="0" borderId="0" xfId="0" applyNumberFormat="1" applyFont="1"/>
    <xf numFmtId="179" fontId="9" fillId="2" borderId="0" xfId="0" applyNumberFormat="1" applyFont="1" applyFill="1"/>
    <xf numFmtId="179" fontId="9" fillId="2" borderId="13" xfId="0" applyNumberFormat="1" applyFont="1" applyFill="1" applyBorder="1"/>
    <xf numFmtId="179" fontId="9" fillId="0" borderId="13" xfId="0" applyNumberFormat="1" applyFont="1" applyBorder="1"/>
    <xf numFmtId="179" fontId="6" fillId="0" borderId="0" xfId="0" applyNumberFormat="1" applyFont="1"/>
    <xf numFmtId="179" fontId="10" fillId="0" borderId="0" xfId="0" applyNumberFormat="1" applyFont="1"/>
    <xf numFmtId="3" fontId="9" fillId="0" borderId="0" xfId="0" applyNumberFormat="1" applyFont="1"/>
    <xf numFmtId="3" fontId="9" fillId="2" borderId="0" xfId="0" applyNumberFormat="1" applyFont="1" applyFill="1"/>
    <xf numFmtId="3" fontId="9" fillId="2" borderId="13" xfId="0" applyNumberFormat="1" applyFont="1" applyFill="1" applyBorder="1"/>
    <xf numFmtId="3" fontId="9" fillId="0" borderId="13" xfId="0" applyNumberFormat="1" applyFont="1" applyBorder="1"/>
    <xf numFmtId="0" fontId="18" fillId="0" borderId="0" xfId="0" applyFont="1"/>
    <xf numFmtId="178" fontId="2" fillId="0" borderId="0" xfId="0" applyNumberFormat="1" applyFont="1"/>
    <xf numFmtId="0" fontId="7" fillId="0" borderId="0" xfId="0" applyFont="1" applyAlignment="1">
      <alignment horizontal="center"/>
    </xf>
    <xf numFmtId="178" fontId="9" fillId="7" borderId="0" xfId="0" applyNumberFormat="1" applyFont="1" applyFill="1"/>
    <xf numFmtId="41" fontId="9" fillId="0" borderId="0" xfId="2" applyFont="1" applyAlignment="1"/>
    <xf numFmtId="41" fontId="9" fillId="2" borderId="0" xfId="2" applyFont="1" applyFill="1" applyAlignment="1"/>
    <xf numFmtId="178" fontId="6" fillId="0" borderId="0" xfId="0" applyNumberFormat="1" applyFont="1"/>
    <xf numFmtId="0" fontId="6" fillId="2" borderId="0" xfId="0" applyFont="1" applyFill="1"/>
    <xf numFmtId="178" fontId="6" fillId="7" borderId="0" xfId="0" applyNumberFormat="1" applyFont="1" applyFill="1"/>
    <xf numFmtId="1" fontId="6" fillId="0" borderId="0" xfId="0" applyNumberFormat="1" applyFont="1"/>
    <xf numFmtId="1" fontId="6" fillId="2" borderId="0" xfId="0" applyNumberFormat="1" applyFont="1" applyFill="1"/>
    <xf numFmtId="180" fontId="6" fillId="7" borderId="0" xfId="0" applyNumberFormat="1" applyFont="1" applyFill="1"/>
    <xf numFmtId="181" fontId="6" fillId="0" borderId="0" xfId="0" applyNumberFormat="1" applyFont="1"/>
    <xf numFmtId="181" fontId="6" fillId="2" borderId="0" xfId="0" applyNumberFormat="1" applyFont="1" applyFill="1"/>
    <xf numFmtId="180" fontId="6" fillId="0" borderId="0" xfId="0" applyNumberFormat="1" applyFont="1"/>
    <xf numFmtId="0" fontId="6" fillId="0" borderId="14" xfId="0" applyFont="1" applyBorder="1"/>
    <xf numFmtId="0" fontId="7" fillId="0" borderId="14" xfId="0" applyFont="1" applyBorder="1"/>
    <xf numFmtId="180" fontId="6" fillId="0" borderId="14" xfId="0" applyNumberFormat="1" applyFont="1" applyBorder="1"/>
    <xf numFmtId="181" fontId="6" fillId="0" borderId="14" xfId="0" applyNumberFormat="1" applyFont="1" applyBorder="1"/>
    <xf numFmtId="180" fontId="6" fillId="7" borderId="14" xfId="0" applyNumberFormat="1" applyFont="1" applyFill="1" applyBorder="1"/>
    <xf numFmtId="181" fontId="6" fillId="2" borderId="14" xfId="0" applyNumberFormat="1" applyFont="1" applyFill="1" applyBorder="1"/>
    <xf numFmtId="178" fontId="6" fillId="7" borderId="14" xfId="0" applyNumberFormat="1" applyFont="1" applyFill="1" applyBorder="1"/>
    <xf numFmtId="1" fontId="6" fillId="0" borderId="14" xfId="0" applyNumberFormat="1" applyFont="1" applyBorder="1"/>
    <xf numFmtId="1" fontId="6" fillId="2" borderId="14" xfId="0" applyNumberFormat="1" applyFont="1" applyFill="1" applyBorder="1"/>
    <xf numFmtId="0" fontId="11" fillId="0" borderId="14" xfId="0" applyFont="1" applyBorder="1"/>
    <xf numFmtId="0" fontId="9" fillId="0" borderId="14" xfId="0" applyFont="1" applyBorder="1"/>
    <xf numFmtId="178" fontId="9" fillId="7" borderId="14" xfId="0" applyNumberFormat="1" applyFont="1" applyFill="1" applyBorder="1"/>
    <xf numFmtId="41" fontId="9" fillId="0" borderId="14" xfId="2" applyFont="1" applyBorder="1" applyAlignment="1"/>
    <xf numFmtId="41" fontId="9" fillId="2" borderId="14" xfId="2" applyFont="1" applyFill="1" applyBorder="1" applyAlignment="1"/>
    <xf numFmtId="41" fontId="9" fillId="0" borderId="0" xfId="2" applyFont="1" applyBorder="1" applyAlignment="1"/>
    <xf numFmtId="41" fontId="9" fillId="2" borderId="15" xfId="2" applyFont="1" applyFill="1" applyBorder="1" applyAlignment="1"/>
    <xf numFmtId="41" fontId="9" fillId="2" borderId="13" xfId="2" applyFont="1" applyFill="1" applyBorder="1" applyAlignment="1"/>
    <xf numFmtId="41" fontId="9" fillId="0" borderId="13" xfId="2" applyFont="1" applyBorder="1" applyAlignment="1"/>
    <xf numFmtId="1" fontId="6" fillId="2" borderId="15" xfId="0" applyNumberFormat="1" applyFont="1" applyFill="1" applyBorder="1"/>
    <xf numFmtId="1" fontId="6" fillId="2" borderId="13" xfId="0" applyNumberFormat="1" applyFont="1" applyFill="1" applyBorder="1"/>
    <xf numFmtId="1" fontId="6" fillId="0" borderId="13" xfId="0" applyNumberFormat="1" applyFont="1" applyBorder="1"/>
    <xf numFmtId="181" fontId="6" fillId="2" borderId="15" xfId="0" applyNumberFormat="1" applyFont="1" applyFill="1" applyBorder="1"/>
    <xf numFmtId="181" fontId="6" fillId="2" borderId="13" xfId="0" applyNumberFormat="1" applyFont="1" applyFill="1" applyBorder="1"/>
    <xf numFmtId="181" fontId="6" fillId="0" borderId="13" xfId="0" applyNumberFormat="1" applyFont="1" applyBorder="1"/>
    <xf numFmtId="177" fontId="10" fillId="0" borderId="16" xfId="0" applyNumberFormat="1" applyFont="1" applyBorder="1"/>
    <xf numFmtId="178" fontId="11" fillId="7" borderId="0" xfId="0" applyNumberFormat="1" applyFont="1" applyFill="1"/>
    <xf numFmtId="177" fontId="9" fillId="0" borderId="0" xfId="0" applyNumberFormat="1" applyFont="1"/>
    <xf numFmtId="0" fontId="6" fillId="0" borderId="17" xfId="0" applyFont="1" applyBorder="1"/>
    <xf numFmtId="0" fontId="9" fillId="0" borderId="17" xfId="0" applyFont="1" applyBorder="1"/>
    <xf numFmtId="0" fontId="16" fillId="0" borderId="17" xfId="0" applyFont="1" applyBorder="1"/>
    <xf numFmtId="178" fontId="9" fillId="0" borderId="17" xfId="0" applyNumberFormat="1" applyFont="1" applyBorder="1"/>
    <xf numFmtId="179" fontId="9" fillId="2" borderId="17" xfId="0" applyNumberFormat="1" applyFont="1" applyFill="1" applyBorder="1"/>
    <xf numFmtId="179" fontId="9" fillId="0" borderId="17" xfId="0" applyNumberFormat="1" applyFont="1" applyBorder="1"/>
    <xf numFmtId="179" fontId="9" fillId="0" borderId="18" xfId="0" applyNumberFormat="1" applyFont="1" applyBorder="1"/>
    <xf numFmtId="177" fontId="9" fillId="0" borderId="17" xfId="0" applyNumberFormat="1" applyFont="1" applyBorder="1"/>
    <xf numFmtId="0" fontId="11" fillId="0" borderId="17" xfId="0" applyFont="1" applyBorder="1"/>
    <xf numFmtId="177" fontId="10" fillId="0" borderId="17" xfId="0" applyNumberFormat="1" applyFont="1" applyBorder="1"/>
    <xf numFmtId="0" fontId="4" fillId="3" borderId="0" xfId="0" applyFont="1" applyFill="1" applyAlignment="1">
      <alignment horizontal="center" vertical="center"/>
    </xf>
    <xf numFmtId="3" fontId="9" fillId="8" borderId="0" xfId="0" applyNumberFormat="1" applyFont="1" applyFill="1"/>
    <xf numFmtId="3" fontId="9" fillId="8" borderId="13" xfId="0" applyNumberFormat="1" applyFont="1" applyFill="1" applyBorder="1"/>
    <xf numFmtId="177" fontId="9" fillId="8" borderId="0" xfId="0" applyNumberFormat="1" applyFont="1" applyFill="1"/>
    <xf numFmtId="0" fontId="16" fillId="0" borderId="14" xfId="0" applyFont="1" applyBorder="1"/>
    <xf numFmtId="178" fontId="11" fillId="7" borderId="14" xfId="0" applyNumberFormat="1" applyFont="1" applyFill="1" applyBorder="1"/>
    <xf numFmtId="3" fontId="9" fillId="0" borderId="14" xfId="0" applyNumberFormat="1" applyFont="1" applyBorder="1"/>
    <xf numFmtId="3" fontId="9" fillId="8" borderId="14" xfId="0" applyNumberFormat="1" applyFont="1" applyFill="1" applyBorder="1"/>
    <xf numFmtId="3" fontId="9" fillId="8" borderId="15" xfId="0" applyNumberFormat="1" applyFont="1" applyFill="1" applyBorder="1"/>
    <xf numFmtId="177" fontId="9" fillId="0" borderId="14" xfId="0" applyNumberFormat="1" applyFont="1" applyBorder="1"/>
    <xf numFmtId="177" fontId="9" fillId="8" borderId="14" xfId="0" applyNumberFormat="1" applyFont="1" applyFill="1" applyBorder="1"/>
    <xf numFmtId="178" fontId="9" fillId="0" borderId="14" xfId="0" applyNumberFormat="1" applyFont="1" applyBorder="1"/>
    <xf numFmtId="3" fontId="9" fillId="0" borderId="15" xfId="0" applyNumberFormat="1" applyFont="1" applyBorder="1"/>
    <xf numFmtId="0" fontId="6" fillId="0" borderId="0" xfId="0" applyFont="1" applyBorder="1"/>
    <xf numFmtId="0" fontId="11" fillId="0" borderId="0" xfId="0" applyFont="1" applyBorder="1"/>
    <xf numFmtId="0" fontId="9" fillId="0" borderId="0" xfId="0" applyFont="1" applyBorder="1"/>
    <xf numFmtId="0" fontId="16" fillId="0" borderId="0" xfId="0" applyFont="1" applyBorder="1"/>
    <xf numFmtId="0" fontId="11" fillId="0" borderId="19" xfId="0" applyFont="1" applyBorder="1"/>
    <xf numFmtId="0" fontId="9" fillId="0" borderId="19" xfId="0" applyFont="1" applyBorder="1"/>
    <xf numFmtId="0" fontId="16" fillId="0" borderId="19" xfId="0" applyFont="1" applyBorder="1"/>
    <xf numFmtId="178" fontId="9" fillId="0" borderId="0" xfId="0" applyNumberFormat="1" applyFont="1" applyBorder="1"/>
    <xf numFmtId="178" fontId="9" fillId="0" borderId="19" xfId="0" applyNumberFormat="1" applyFont="1" applyBorder="1"/>
    <xf numFmtId="3" fontId="9" fillId="0" borderId="0" xfId="0" applyNumberFormat="1" applyFont="1" applyBorder="1"/>
    <xf numFmtId="177" fontId="9" fillId="0" borderId="0" xfId="0" applyNumberFormat="1" applyFont="1" applyBorder="1"/>
    <xf numFmtId="3" fontId="9" fillId="0" borderId="19" xfId="0" applyNumberFormat="1" applyFont="1" applyBorder="1"/>
    <xf numFmtId="3" fontId="9" fillId="8" borderId="19" xfId="0" applyNumberFormat="1" applyFont="1" applyFill="1" applyBorder="1"/>
    <xf numFmtId="3" fontId="9" fillId="0" borderId="20" xfId="0" applyNumberFormat="1" applyFont="1" applyBorder="1"/>
    <xf numFmtId="177" fontId="9" fillId="0" borderId="19" xfId="0" applyNumberFormat="1" applyFont="1" applyBorder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2:G160"/>
  <sheetViews>
    <sheetView workbookViewId="0">
      <selection activeCell="B2" sqref="B2:C3"/>
    </sheetView>
  </sheetViews>
  <sheetFormatPr defaultRowHeight="16.5" x14ac:dyDescent="0.3"/>
  <cols>
    <col min="2" max="2" width="15.25" bestFit="1" customWidth="1"/>
    <col min="3" max="3" width="68.375" bestFit="1" customWidth="1"/>
    <col min="4" max="4" width="10.75" bestFit="1" customWidth="1"/>
    <col min="5" max="5" width="11.5" bestFit="1" customWidth="1"/>
    <col min="6" max="6" width="15.625" bestFit="1" customWidth="1"/>
    <col min="7" max="7" width="18.75" bestFit="1" customWidth="1"/>
  </cols>
  <sheetData>
    <row r="2" spans="2:7" x14ac:dyDescent="0.3">
      <c r="B2" s="120" t="s">
        <v>193</v>
      </c>
      <c r="C2" s="120"/>
      <c r="D2" s="4"/>
      <c r="E2" s="4"/>
      <c r="F2" s="4"/>
      <c r="G2" s="4"/>
    </row>
    <row r="3" spans="2:7" ht="17.25" thickBot="1" x14ac:dyDescent="0.35">
      <c r="B3" s="120"/>
      <c r="C3" s="120"/>
      <c r="D3" s="4"/>
      <c r="E3" s="4"/>
      <c r="F3" s="4"/>
      <c r="G3" s="4"/>
    </row>
    <row r="4" spans="2:7" x14ac:dyDescent="0.3">
      <c r="B4" s="5" t="s">
        <v>0</v>
      </c>
      <c r="C4" s="6" t="s">
        <v>194</v>
      </c>
      <c r="D4" s="6" t="s">
        <v>195</v>
      </c>
      <c r="E4" s="6" t="s">
        <v>196</v>
      </c>
      <c r="F4" s="6" t="s">
        <v>197</v>
      </c>
      <c r="G4" s="7" t="s">
        <v>198</v>
      </c>
    </row>
    <row r="5" spans="2:7" x14ac:dyDescent="0.3">
      <c r="B5" s="8" t="s">
        <v>22</v>
      </c>
      <c r="C5" s="9" t="s">
        <v>199</v>
      </c>
      <c r="D5" s="10">
        <v>46050</v>
      </c>
      <c r="E5" s="9" t="s">
        <v>200</v>
      </c>
      <c r="F5" s="11">
        <v>46381</v>
      </c>
      <c r="G5" s="12">
        <v>3417853190000</v>
      </c>
    </row>
    <row r="6" spans="2:7" x14ac:dyDescent="0.3">
      <c r="B6" s="8" t="s">
        <v>150</v>
      </c>
      <c r="C6" s="9" t="s">
        <v>201</v>
      </c>
      <c r="D6" s="10">
        <v>46050</v>
      </c>
      <c r="E6" s="9" t="s">
        <v>200</v>
      </c>
      <c r="F6" s="11">
        <v>46381</v>
      </c>
      <c r="G6" s="12">
        <v>1563357240000</v>
      </c>
    </row>
    <row r="7" spans="2:7" x14ac:dyDescent="0.3">
      <c r="B7" s="8" t="s">
        <v>148</v>
      </c>
      <c r="C7" s="9" t="s">
        <v>202</v>
      </c>
      <c r="D7" s="10">
        <v>46050</v>
      </c>
      <c r="E7" s="9"/>
      <c r="F7" s="11">
        <v>46381</v>
      </c>
      <c r="G7" s="12">
        <v>1455045890000</v>
      </c>
    </row>
    <row r="8" spans="2:7" x14ac:dyDescent="0.3">
      <c r="B8" s="8" t="s">
        <v>147</v>
      </c>
      <c r="C8" s="9" t="s">
        <v>203</v>
      </c>
      <c r="D8" s="10">
        <v>46050</v>
      </c>
      <c r="E8" s="9" t="s">
        <v>204</v>
      </c>
      <c r="F8" s="11">
        <v>46381</v>
      </c>
      <c r="G8" s="12">
        <v>522992700000</v>
      </c>
    </row>
    <row r="9" spans="2:7" x14ac:dyDescent="0.3">
      <c r="B9" s="8" t="s">
        <v>205</v>
      </c>
      <c r="C9" s="9" t="s">
        <v>206</v>
      </c>
      <c r="D9" s="10">
        <v>46050</v>
      </c>
      <c r="E9" s="9"/>
      <c r="F9" s="11">
        <v>46381</v>
      </c>
      <c r="G9" s="12">
        <v>354526930000</v>
      </c>
    </row>
    <row r="10" spans="2:7" x14ac:dyDescent="0.3">
      <c r="B10" s="8" t="s">
        <v>145</v>
      </c>
      <c r="C10" s="9" t="s">
        <v>207</v>
      </c>
      <c r="D10" s="10">
        <v>46050</v>
      </c>
      <c r="E10" s="9" t="s">
        <v>200</v>
      </c>
      <c r="F10" s="11">
        <v>46381</v>
      </c>
      <c r="G10" s="12">
        <v>273739180000</v>
      </c>
    </row>
    <row r="11" spans="2:7" x14ac:dyDescent="0.3">
      <c r="B11" s="8" t="s">
        <v>143</v>
      </c>
      <c r="C11" s="9" t="s">
        <v>208</v>
      </c>
      <c r="D11" s="10">
        <v>46050</v>
      </c>
      <c r="E11" s="9" t="s">
        <v>200</v>
      </c>
      <c r="F11" s="11">
        <v>46381</v>
      </c>
      <c r="G11" s="12">
        <v>273353960000</v>
      </c>
    </row>
    <row r="12" spans="2:7" x14ac:dyDescent="0.3">
      <c r="B12" s="8" t="s">
        <v>142</v>
      </c>
      <c r="C12" s="9" t="s">
        <v>209</v>
      </c>
      <c r="D12" s="10">
        <v>46050</v>
      </c>
      <c r="E12" s="9" t="s">
        <v>204</v>
      </c>
      <c r="F12" s="11">
        <v>46381</v>
      </c>
      <c r="G12" s="12">
        <v>184820140000</v>
      </c>
    </row>
    <row r="13" spans="2:7" x14ac:dyDescent="0.3">
      <c r="B13" s="8" t="s">
        <v>210</v>
      </c>
      <c r="C13" s="9" t="s">
        <v>211</v>
      </c>
      <c r="D13" s="10">
        <v>46050</v>
      </c>
      <c r="E13" s="9" t="s">
        <v>204</v>
      </c>
      <c r="F13" s="11">
        <v>46381</v>
      </c>
      <c r="G13" s="12">
        <v>178469170000</v>
      </c>
    </row>
    <row r="14" spans="2:7" x14ac:dyDescent="0.3">
      <c r="B14" s="8" t="s">
        <v>140</v>
      </c>
      <c r="C14" s="9" t="s">
        <v>212</v>
      </c>
      <c r="D14" s="10">
        <v>46050</v>
      </c>
      <c r="E14" s="9" t="s">
        <v>204</v>
      </c>
      <c r="F14" s="11">
        <v>46381</v>
      </c>
      <c r="G14" s="12">
        <v>167240110000</v>
      </c>
    </row>
    <row r="15" spans="2:7" x14ac:dyDescent="0.3">
      <c r="B15" s="8" t="s">
        <v>138</v>
      </c>
      <c r="C15" s="9" t="s">
        <v>213</v>
      </c>
      <c r="D15" s="10">
        <v>46050</v>
      </c>
      <c r="E15" s="9" t="s">
        <v>204</v>
      </c>
      <c r="F15" s="11">
        <v>46381</v>
      </c>
      <c r="G15" s="12">
        <v>165999210000</v>
      </c>
    </row>
    <row r="16" spans="2:7" x14ac:dyDescent="0.3">
      <c r="B16" s="8" t="s">
        <v>137</v>
      </c>
      <c r="C16" s="9" t="s">
        <v>214</v>
      </c>
      <c r="D16" s="10">
        <v>46050</v>
      </c>
      <c r="E16" s="9" t="s">
        <v>200</v>
      </c>
      <c r="F16" s="11">
        <v>46381</v>
      </c>
      <c r="G16" s="12">
        <v>138089320000</v>
      </c>
    </row>
    <row r="17" spans="2:7" x14ac:dyDescent="0.3">
      <c r="B17" s="8" t="s">
        <v>135</v>
      </c>
      <c r="C17" s="9" t="s">
        <v>215</v>
      </c>
      <c r="D17" s="10">
        <v>46050</v>
      </c>
      <c r="E17" s="9"/>
      <c r="F17" s="11">
        <v>46351</v>
      </c>
      <c r="G17" s="12">
        <v>120815420000</v>
      </c>
    </row>
    <row r="18" spans="2:7" x14ac:dyDescent="0.3">
      <c r="B18" s="8" t="s">
        <v>134</v>
      </c>
      <c r="C18" s="9" t="s">
        <v>216</v>
      </c>
      <c r="D18" s="10">
        <v>46050</v>
      </c>
      <c r="E18" s="9" t="s">
        <v>204</v>
      </c>
      <c r="F18" s="11">
        <v>46381</v>
      </c>
      <c r="G18" s="12">
        <v>111003700000</v>
      </c>
    </row>
    <row r="19" spans="2:7" x14ac:dyDescent="0.3">
      <c r="B19" s="8">
        <v>6857</v>
      </c>
      <c r="C19" s="9" t="s">
        <v>217</v>
      </c>
      <c r="D19" s="10">
        <v>46050</v>
      </c>
      <c r="E19" s="9"/>
      <c r="F19" s="11">
        <v>46381</v>
      </c>
      <c r="G19" s="12">
        <v>109823180000</v>
      </c>
    </row>
    <row r="20" spans="2:7" x14ac:dyDescent="0.3">
      <c r="B20" s="8" t="s">
        <v>133</v>
      </c>
      <c r="C20" s="9" t="s">
        <v>218</v>
      </c>
      <c r="D20" s="10">
        <v>46050</v>
      </c>
      <c r="E20" s="9" t="s">
        <v>204</v>
      </c>
      <c r="F20" s="11">
        <v>46381</v>
      </c>
      <c r="G20" s="12">
        <v>104295200000</v>
      </c>
    </row>
    <row r="21" spans="2:7" x14ac:dyDescent="0.3">
      <c r="B21" s="8" t="s">
        <v>130</v>
      </c>
      <c r="C21" s="9" t="s">
        <v>219</v>
      </c>
      <c r="D21" s="10">
        <v>46050</v>
      </c>
      <c r="E21" s="9" t="s">
        <v>204</v>
      </c>
      <c r="F21" s="11">
        <v>46381</v>
      </c>
      <c r="G21" s="12">
        <v>97979740000</v>
      </c>
    </row>
    <row r="22" spans="2:7" x14ac:dyDescent="0.3">
      <c r="B22" s="8" t="s">
        <v>128</v>
      </c>
      <c r="C22" s="9" t="s">
        <v>220</v>
      </c>
      <c r="D22" s="10">
        <v>46050</v>
      </c>
      <c r="E22" s="9" t="s">
        <v>200</v>
      </c>
      <c r="F22" s="11">
        <v>46381</v>
      </c>
      <c r="G22" s="12">
        <v>92349210000</v>
      </c>
    </row>
    <row r="23" spans="2:7" x14ac:dyDescent="0.3">
      <c r="B23" s="8" t="s">
        <v>126</v>
      </c>
      <c r="C23" s="9" t="s">
        <v>221</v>
      </c>
      <c r="D23" s="10">
        <v>46050</v>
      </c>
      <c r="E23" s="9" t="s">
        <v>204</v>
      </c>
      <c r="F23" s="11">
        <v>46381</v>
      </c>
      <c r="G23" s="12">
        <v>82463920000</v>
      </c>
    </row>
    <row r="24" spans="2:7" x14ac:dyDescent="0.3">
      <c r="B24" s="8" t="s">
        <v>125</v>
      </c>
      <c r="C24" s="9" t="s">
        <v>222</v>
      </c>
      <c r="D24" s="10">
        <v>46050</v>
      </c>
      <c r="E24" s="9" t="s">
        <v>204</v>
      </c>
      <c r="F24" s="11">
        <v>46381</v>
      </c>
      <c r="G24" s="12">
        <v>79991720000</v>
      </c>
    </row>
    <row r="25" spans="2:7" x14ac:dyDescent="0.3">
      <c r="B25" s="8" t="s">
        <v>223</v>
      </c>
      <c r="C25" s="9" t="s">
        <v>224</v>
      </c>
      <c r="D25" s="10">
        <v>46050</v>
      </c>
      <c r="E25" s="9"/>
      <c r="F25" s="11">
        <v>46381</v>
      </c>
      <c r="G25" s="12">
        <v>71617480000</v>
      </c>
    </row>
    <row r="26" spans="2:7" x14ac:dyDescent="0.3">
      <c r="B26" s="8" t="s">
        <v>225</v>
      </c>
      <c r="C26" s="9" t="s">
        <v>226</v>
      </c>
      <c r="D26" s="10">
        <v>46050</v>
      </c>
      <c r="E26" s="9"/>
      <c r="F26" s="11">
        <v>46381</v>
      </c>
      <c r="G26" s="12">
        <v>67136190000</v>
      </c>
    </row>
    <row r="27" spans="2:7" x14ac:dyDescent="0.3">
      <c r="B27" s="8" t="s">
        <v>123</v>
      </c>
      <c r="C27" s="9" t="s">
        <v>227</v>
      </c>
      <c r="D27" s="10">
        <v>46050</v>
      </c>
      <c r="E27" s="9" t="s">
        <v>200</v>
      </c>
      <c r="F27" s="11">
        <v>46381</v>
      </c>
      <c r="G27" s="12">
        <v>65616280000</v>
      </c>
    </row>
    <row r="28" spans="2:7" x14ac:dyDescent="0.3">
      <c r="B28" s="8" t="s">
        <v>121</v>
      </c>
      <c r="C28" s="9" t="s">
        <v>228</v>
      </c>
      <c r="D28" s="10">
        <v>46050</v>
      </c>
      <c r="E28" s="9" t="s">
        <v>200</v>
      </c>
      <c r="F28" s="11">
        <v>46381</v>
      </c>
      <c r="G28" s="12">
        <v>58478010000</v>
      </c>
    </row>
    <row r="29" spans="2:7" x14ac:dyDescent="0.3">
      <c r="B29" s="8">
        <v>500510</v>
      </c>
      <c r="C29" s="9" t="s">
        <v>229</v>
      </c>
      <c r="D29" s="10">
        <v>46050</v>
      </c>
      <c r="E29" s="9"/>
      <c r="F29" s="11">
        <v>46381</v>
      </c>
      <c r="G29" s="12">
        <v>56215870000</v>
      </c>
    </row>
    <row r="30" spans="2:7" x14ac:dyDescent="0.3">
      <c r="B30" s="8" t="s">
        <v>120</v>
      </c>
      <c r="C30" s="9" t="s">
        <v>230</v>
      </c>
      <c r="D30" s="10">
        <v>46050</v>
      </c>
      <c r="E30" s="9"/>
      <c r="F30" s="11">
        <v>46381</v>
      </c>
      <c r="G30" s="12">
        <v>53078970000</v>
      </c>
    </row>
    <row r="31" spans="2:7" x14ac:dyDescent="0.3">
      <c r="B31" s="8" t="s">
        <v>231</v>
      </c>
      <c r="C31" s="9" t="s">
        <v>232</v>
      </c>
      <c r="D31" s="10">
        <v>46050</v>
      </c>
      <c r="E31" s="9"/>
      <c r="F31" s="11">
        <v>46381</v>
      </c>
      <c r="G31" s="12">
        <v>49897270000</v>
      </c>
    </row>
    <row r="32" spans="2:7" x14ac:dyDescent="0.3">
      <c r="B32" s="8" t="s">
        <v>118</v>
      </c>
      <c r="C32" s="9" t="s">
        <v>233</v>
      </c>
      <c r="D32" s="10">
        <v>46050</v>
      </c>
      <c r="E32" s="9" t="s">
        <v>204</v>
      </c>
      <c r="F32" s="11">
        <v>46381</v>
      </c>
      <c r="G32" s="12">
        <v>44314290000</v>
      </c>
    </row>
    <row r="33" spans="2:7" x14ac:dyDescent="0.3">
      <c r="B33" s="8" t="s">
        <v>116</v>
      </c>
      <c r="C33" s="9" t="s">
        <v>234</v>
      </c>
      <c r="D33" s="10">
        <v>46050</v>
      </c>
      <c r="E33" s="9" t="s">
        <v>200</v>
      </c>
      <c r="F33" s="11">
        <v>46381</v>
      </c>
      <c r="G33" s="12">
        <v>39856880000</v>
      </c>
    </row>
    <row r="34" spans="2:7" x14ac:dyDescent="0.3">
      <c r="B34" s="8" t="s">
        <v>114</v>
      </c>
      <c r="C34" s="9" t="s">
        <v>235</v>
      </c>
      <c r="D34" s="10">
        <v>46050</v>
      </c>
      <c r="E34" s="9" t="s">
        <v>200</v>
      </c>
      <c r="F34" s="11">
        <v>46381</v>
      </c>
      <c r="G34" s="12">
        <v>37244980000</v>
      </c>
    </row>
    <row r="35" spans="2:7" x14ac:dyDescent="0.3">
      <c r="B35" s="8" t="s">
        <v>112</v>
      </c>
      <c r="C35" s="9" t="s">
        <v>236</v>
      </c>
      <c r="D35" s="10">
        <v>46050</v>
      </c>
      <c r="E35" s="9" t="s">
        <v>204</v>
      </c>
      <c r="F35" s="11">
        <v>46381</v>
      </c>
      <c r="G35" s="12">
        <v>36437690000</v>
      </c>
    </row>
    <row r="36" spans="2:7" x14ac:dyDescent="0.3">
      <c r="B36" s="8" t="s">
        <v>132</v>
      </c>
      <c r="C36" s="9" t="s">
        <v>237</v>
      </c>
      <c r="D36" s="10">
        <v>46050</v>
      </c>
      <c r="E36" s="9"/>
      <c r="F36" s="11">
        <v>46381</v>
      </c>
      <c r="G36" s="12">
        <v>36111000000</v>
      </c>
    </row>
    <row r="37" spans="2:7" x14ac:dyDescent="0.3">
      <c r="B37" s="8" t="s">
        <v>152</v>
      </c>
      <c r="C37" s="9" t="s">
        <v>238</v>
      </c>
      <c r="D37" s="10">
        <v>46050</v>
      </c>
      <c r="E37" s="9" t="s">
        <v>204</v>
      </c>
      <c r="F37" s="11">
        <v>46381</v>
      </c>
      <c r="G37" s="12">
        <v>35136780000</v>
      </c>
    </row>
    <row r="38" spans="2:7" x14ac:dyDescent="0.3">
      <c r="B38" s="8" t="s">
        <v>154</v>
      </c>
      <c r="C38" s="9" t="s">
        <v>239</v>
      </c>
      <c r="D38" s="10">
        <v>46050</v>
      </c>
      <c r="E38" s="9" t="s">
        <v>200</v>
      </c>
      <c r="F38" s="11">
        <v>46381</v>
      </c>
      <c r="G38" s="12">
        <v>33876710000</v>
      </c>
    </row>
    <row r="39" spans="2:7" x14ac:dyDescent="0.3">
      <c r="B39" s="8">
        <v>500049</v>
      </c>
      <c r="C39" s="9" t="s">
        <v>240</v>
      </c>
      <c r="D39" s="10">
        <v>46050</v>
      </c>
      <c r="E39" s="9"/>
      <c r="F39" s="11">
        <v>46381</v>
      </c>
      <c r="G39" s="12">
        <v>33041420000</v>
      </c>
    </row>
    <row r="40" spans="2:7" x14ac:dyDescent="0.3">
      <c r="B40" s="8" t="s">
        <v>241</v>
      </c>
      <c r="C40" s="9" t="s">
        <v>242</v>
      </c>
      <c r="D40" s="10">
        <v>46050</v>
      </c>
      <c r="E40" s="9" t="s">
        <v>204</v>
      </c>
      <c r="F40" s="11">
        <v>46381</v>
      </c>
      <c r="G40" s="12">
        <v>20241470000</v>
      </c>
    </row>
    <row r="41" spans="2:7" x14ac:dyDescent="0.3">
      <c r="B41" s="8" t="s">
        <v>155</v>
      </c>
      <c r="C41" s="9" t="s">
        <v>243</v>
      </c>
      <c r="D41" s="10">
        <v>46050</v>
      </c>
      <c r="E41" s="9"/>
      <c r="F41" s="11">
        <v>46381</v>
      </c>
      <c r="G41" s="12">
        <v>20158800000</v>
      </c>
    </row>
    <row r="42" spans="2:7" x14ac:dyDescent="0.3">
      <c r="B42" s="8" t="s">
        <v>244</v>
      </c>
      <c r="C42" s="9" t="s">
        <v>245</v>
      </c>
      <c r="D42" s="10">
        <v>46050</v>
      </c>
      <c r="E42" s="9"/>
      <c r="F42" s="11">
        <v>46381</v>
      </c>
      <c r="G42" s="12">
        <v>18872010000</v>
      </c>
    </row>
    <row r="43" spans="2:7" x14ac:dyDescent="0.3">
      <c r="B43" s="8">
        <v>532343</v>
      </c>
      <c r="C43" s="9" t="s">
        <v>246</v>
      </c>
      <c r="D43" s="10">
        <v>46050</v>
      </c>
      <c r="E43" s="9"/>
      <c r="F43" s="11">
        <v>46381</v>
      </c>
      <c r="G43" s="12">
        <v>18491780000</v>
      </c>
    </row>
    <row r="44" spans="2:7" x14ac:dyDescent="0.3">
      <c r="B44" s="8" t="s">
        <v>247</v>
      </c>
      <c r="C44" s="9" t="s">
        <v>248</v>
      </c>
      <c r="D44" s="10">
        <v>46050</v>
      </c>
      <c r="E44" s="9"/>
      <c r="F44" s="11">
        <v>46381</v>
      </c>
      <c r="G44" s="12">
        <v>18165700000</v>
      </c>
    </row>
    <row r="45" spans="2:7" x14ac:dyDescent="0.3">
      <c r="B45" s="8">
        <v>2303</v>
      </c>
      <c r="C45" s="9" t="s">
        <v>249</v>
      </c>
      <c r="D45" s="10">
        <v>46050</v>
      </c>
      <c r="E45" s="9" t="s">
        <v>204</v>
      </c>
      <c r="F45" s="11">
        <v>46381</v>
      </c>
      <c r="G45" s="12">
        <v>18106320000</v>
      </c>
    </row>
    <row r="46" spans="2:7" x14ac:dyDescent="0.3">
      <c r="B46" s="8" t="s">
        <v>190</v>
      </c>
      <c r="C46" s="9" t="s">
        <v>250</v>
      </c>
      <c r="D46" s="10">
        <v>46050</v>
      </c>
      <c r="E46" s="9"/>
      <c r="F46" s="11">
        <v>46381</v>
      </c>
      <c r="G46" s="12">
        <v>17261420000</v>
      </c>
    </row>
    <row r="47" spans="2:7" x14ac:dyDescent="0.3">
      <c r="B47" s="8" t="s">
        <v>188</v>
      </c>
      <c r="C47" s="9" t="s">
        <v>251</v>
      </c>
      <c r="D47" s="10">
        <v>46050</v>
      </c>
      <c r="E47" s="9"/>
      <c r="F47" s="11">
        <v>46381</v>
      </c>
      <c r="G47" s="12">
        <v>17079100000</v>
      </c>
    </row>
    <row r="48" spans="2:7" x14ac:dyDescent="0.3">
      <c r="B48" s="8" t="s">
        <v>187</v>
      </c>
      <c r="C48" s="9" t="s">
        <v>252</v>
      </c>
      <c r="D48" s="10">
        <v>46050</v>
      </c>
      <c r="E48" s="9"/>
      <c r="F48" s="11">
        <v>46381</v>
      </c>
      <c r="G48" s="12">
        <v>16204390000</v>
      </c>
    </row>
    <row r="49" spans="2:7" x14ac:dyDescent="0.3">
      <c r="B49" s="8" t="s">
        <v>186</v>
      </c>
      <c r="C49" s="9" t="s">
        <v>253</v>
      </c>
      <c r="D49" s="10">
        <v>46050</v>
      </c>
      <c r="E49" s="9" t="s">
        <v>200</v>
      </c>
      <c r="F49" s="11">
        <v>46381</v>
      </c>
      <c r="G49" s="12">
        <v>15989540000</v>
      </c>
    </row>
    <row r="50" spans="2:7" x14ac:dyDescent="0.3">
      <c r="B50" s="8" t="s">
        <v>184</v>
      </c>
      <c r="C50" s="9" t="s">
        <v>254</v>
      </c>
      <c r="D50" s="10">
        <v>46050</v>
      </c>
      <c r="E50" s="9" t="s">
        <v>204</v>
      </c>
      <c r="F50" s="11">
        <v>46381</v>
      </c>
      <c r="G50" s="12">
        <v>15477130000</v>
      </c>
    </row>
    <row r="51" spans="2:7" x14ac:dyDescent="0.3">
      <c r="B51" s="8" t="s">
        <v>183</v>
      </c>
      <c r="C51" s="9" t="s">
        <v>255</v>
      </c>
      <c r="D51" s="10">
        <v>46050</v>
      </c>
      <c r="E51" s="9" t="s">
        <v>200</v>
      </c>
      <c r="F51" s="11">
        <v>46381</v>
      </c>
      <c r="G51" s="12">
        <v>14161450000</v>
      </c>
    </row>
    <row r="52" spans="2:7" x14ac:dyDescent="0.3">
      <c r="B52" s="8" t="s">
        <v>181</v>
      </c>
      <c r="C52" s="9" t="s">
        <v>256</v>
      </c>
      <c r="D52" s="10">
        <v>46050</v>
      </c>
      <c r="E52" s="9"/>
      <c r="F52" s="11">
        <v>46381</v>
      </c>
      <c r="G52" s="12">
        <v>13329500000</v>
      </c>
    </row>
    <row r="53" spans="2:7" x14ac:dyDescent="0.3">
      <c r="B53" s="8" t="s">
        <v>180</v>
      </c>
      <c r="C53" s="9" t="s">
        <v>257</v>
      </c>
      <c r="D53" s="10">
        <v>46050</v>
      </c>
      <c r="E53" s="9"/>
      <c r="F53" s="11">
        <v>46381</v>
      </c>
      <c r="G53" s="12">
        <v>12517770000</v>
      </c>
    </row>
    <row r="54" spans="2:7" x14ac:dyDescent="0.3">
      <c r="B54" s="8" t="s">
        <v>178</v>
      </c>
      <c r="C54" s="9" t="s">
        <v>258</v>
      </c>
      <c r="D54" s="10">
        <v>46050</v>
      </c>
      <c r="E54" s="9"/>
      <c r="F54" s="11">
        <v>46381</v>
      </c>
      <c r="G54" s="12">
        <v>12042560000</v>
      </c>
    </row>
    <row r="55" spans="2:7" x14ac:dyDescent="0.3">
      <c r="B55" s="8" t="s">
        <v>259</v>
      </c>
      <c r="C55" s="9" t="s">
        <v>260</v>
      </c>
      <c r="D55" s="10">
        <v>46050</v>
      </c>
      <c r="E55" s="9"/>
      <c r="F55" s="11">
        <v>46381</v>
      </c>
      <c r="G55" s="12">
        <v>11723820000</v>
      </c>
    </row>
    <row r="56" spans="2:7" x14ac:dyDescent="0.3">
      <c r="B56" s="8" t="s">
        <v>176</v>
      </c>
      <c r="C56" s="9" t="s">
        <v>261</v>
      </c>
      <c r="D56" s="10">
        <v>46050</v>
      </c>
      <c r="E56" s="9"/>
      <c r="F56" s="11">
        <v>46048</v>
      </c>
      <c r="G56" s="12">
        <v>11384160000</v>
      </c>
    </row>
    <row r="57" spans="2:7" x14ac:dyDescent="0.3">
      <c r="B57" s="8" t="s">
        <v>175</v>
      </c>
      <c r="C57" s="9" t="s">
        <v>262</v>
      </c>
      <c r="D57" s="10">
        <v>46050</v>
      </c>
      <c r="E57" s="9" t="s">
        <v>200</v>
      </c>
      <c r="F57" s="11">
        <v>46381</v>
      </c>
      <c r="G57" s="12">
        <v>10584780000</v>
      </c>
    </row>
    <row r="58" spans="2:7" x14ac:dyDescent="0.3">
      <c r="B58" s="8">
        <v>3008</v>
      </c>
      <c r="C58" s="9" t="s">
        <v>263</v>
      </c>
      <c r="D58" s="10">
        <v>46050</v>
      </c>
      <c r="E58" s="9"/>
      <c r="F58" s="11">
        <v>46381</v>
      </c>
      <c r="G58" s="12">
        <v>10468010000</v>
      </c>
    </row>
    <row r="59" spans="2:7" x14ac:dyDescent="0.3">
      <c r="B59" s="8" t="s">
        <v>174</v>
      </c>
      <c r="C59" s="9" t="s">
        <v>264</v>
      </c>
      <c r="D59" s="10">
        <v>46050</v>
      </c>
      <c r="E59" s="9" t="s">
        <v>200</v>
      </c>
      <c r="F59" s="11">
        <v>46351</v>
      </c>
      <c r="G59" s="12">
        <v>9673750000</v>
      </c>
    </row>
    <row r="60" spans="2:7" x14ac:dyDescent="0.3">
      <c r="B60" s="8" t="s">
        <v>173</v>
      </c>
      <c r="C60" s="9" t="s">
        <v>265</v>
      </c>
      <c r="D60" s="10">
        <v>46050</v>
      </c>
      <c r="E60" s="9"/>
      <c r="F60" s="11">
        <v>46381</v>
      </c>
      <c r="G60" s="12">
        <v>9561100000</v>
      </c>
    </row>
    <row r="61" spans="2:7" x14ac:dyDescent="0.3">
      <c r="B61" s="8" t="s">
        <v>171</v>
      </c>
      <c r="C61" s="9" t="s">
        <v>266</v>
      </c>
      <c r="D61" s="10">
        <v>46050</v>
      </c>
      <c r="E61" s="9" t="s">
        <v>200</v>
      </c>
      <c r="F61" s="11">
        <v>46381</v>
      </c>
      <c r="G61" s="12">
        <v>8865970000</v>
      </c>
    </row>
    <row r="62" spans="2:7" x14ac:dyDescent="0.3">
      <c r="B62" s="8" t="s">
        <v>267</v>
      </c>
      <c r="C62" s="9" t="s">
        <v>268</v>
      </c>
      <c r="D62" s="10">
        <v>46050</v>
      </c>
      <c r="E62" s="9"/>
      <c r="F62" s="11">
        <v>46381</v>
      </c>
      <c r="G62" s="12">
        <v>8501160000</v>
      </c>
    </row>
    <row r="63" spans="2:7" x14ac:dyDescent="0.3">
      <c r="B63" s="8" t="s">
        <v>169</v>
      </c>
      <c r="C63" s="9" t="s">
        <v>269</v>
      </c>
      <c r="D63" s="10">
        <v>46050</v>
      </c>
      <c r="E63" s="9"/>
      <c r="F63" s="11">
        <v>46381</v>
      </c>
      <c r="G63" s="12">
        <v>8337650000</v>
      </c>
    </row>
    <row r="64" spans="2:7" x14ac:dyDescent="0.3">
      <c r="B64" s="8" t="s">
        <v>270</v>
      </c>
      <c r="C64" s="9" t="s">
        <v>271</v>
      </c>
      <c r="D64" s="10">
        <v>46050</v>
      </c>
      <c r="E64" s="9"/>
      <c r="F64" s="11">
        <v>46381</v>
      </c>
      <c r="G64" s="12">
        <v>7991810000</v>
      </c>
    </row>
    <row r="65" spans="2:7" x14ac:dyDescent="0.3">
      <c r="B65" s="8" t="s">
        <v>167</v>
      </c>
      <c r="C65" s="9" t="s">
        <v>272</v>
      </c>
      <c r="D65" s="10">
        <v>46050</v>
      </c>
      <c r="E65" s="9"/>
      <c r="F65" s="11">
        <v>46381</v>
      </c>
      <c r="G65" s="12">
        <v>7829350000</v>
      </c>
    </row>
    <row r="66" spans="2:7" x14ac:dyDescent="0.3">
      <c r="B66" s="8" t="s">
        <v>165</v>
      </c>
      <c r="C66" s="9" t="s">
        <v>273</v>
      </c>
      <c r="D66" s="10">
        <v>46050</v>
      </c>
      <c r="E66" s="9" t="s">
        <v>200</v>
      </c>
      <c r="F66" s="11">
        <v>46381</v>
      </c>
      <c r="G66" s="12">
        <v>7788580000</v>
      </c>
    </row>
    <row r="67" spans="2:7" x14ac:dyDescent="0.3">
      <c r="B67" s="8" t="s">
        <v>163</v>
      </c>
      <c r="C67" s="9" t="s">
        <v>274</v>
      </c>
      <c r="D67" s="10">
        <v>46050</v>
      </c>
      <c r="E67" s="9"/>
      <c r="F67" s="11">
        <v>46381</v>
      </c>
      <c r="G67" s="12">
        <v>7445120000</v>
      </c>
    </row>
    <row r="68" spans="2:7" x14ac:dyDescent="0.3">
      <c r="B68" s="8" t="s">
        <v>161</v>
      </c>
      <c r="C68" s="9" t="s">
        <v>275</v>
      </c>
      <c r="D68" s="10">
        <v>46050</v>
      </c>
      <c r="E68" s="9" t="s">
        <v>204</v>
      </c>
      <c r="F68" s="11">
        <v>46381</v>
      </c>
      <c r="G68" s="12">
        <v>7361250000</v>
      </c>
    </row>
    <row r="69" spans="2:7" x14ac:dyDescent="0.3">
      <c r="B69" s="8">
        <v>503100</v>
      </c>
      <c r="C69" s="9" t="s">
        <v>276</v>
      </c>
      <c r="D69" s="10">
        <v>46050</v>
      </c>
      <c r="E69" s="9"/>
      <c r="F69" s="11">
        <v>46381</v>
      </c>
      <c r="G69" s="12">
        <v>6987710000</v>
      </c>
    </row>
    <row r="70" spans="2:7" x14ac:dyDescent="0.3">
      <c r="B70" s="8" t="s">
        <v>160</v>
      </c>
      <c r="C70" s="9" t="s">
        <v>277</v>
      </c>
      <c r="D70" s="10">
        <v>46050</v>
      </c>
      <c r="E70" s="9" t="s">
        <v>204</v>
      </c>
      <c r="F70" s="11">
        <v>46381</v>
      </c>
      <c r="G70" s="12">
        <v>6846550000</v>
      </c>
    </row>
    <row r="71" spans="2:7" x14ac:dyDescent="0.3">
      <c r="B71" s="8">
        <v>1942</v>
      </c>
      <c r="C71" s="9" t="s">
        <v>278</v>
      </c>
      <c r="D71" s="10">
        <v>46050</v>
      </c>
      <c r="E71" s="9"/>
      <c r="F71" s="11">
        <v>46381</v>
      </c>
      <c r="G71" s="12">
        <v>6797320000</v>
      </c>
    </row>
    <row r="72" spans="2:7" x14ac:dyDescent="0.3">
      <c r="B72" s="8" t="s">
        <v>158</v>
      </c>
      <c r="C72" s="9" t="s">
        <v>279</v>
      </c>
      <c r="D72" s="10">
        <v>46050</v>
      </c>
      <c r="E72" s="9" t="s">
        <v>204</v>
      </c>
      <c r="F72" s="11">
        <v>46381</v>
      </c>
      <c r="G72" s="12">
        <v>6736650000</v>
      </c>
    </row>
    <row r="73" spans="2:7" x14ac:dyDescent="0.3">
      <c r="B73" s="8" t="s">
        <v>157</v>
      </c>
      <c r="C73" s="9" t="s">
        <v>280</v>
      </c>
      <c r="D73" s="10">
        <v>46050</v>
      </c>
      <c r="E73" s="9" t="s">
        <v>200</v>
      </c>
      <c r="F73" s="11">
        <v>46381</v>
      </c>
      <c r="G73" s="12">
        <v>6101790000</v>
      </c>
    </row>
    <row r="74" spans="2:7" x14ac:dyDescent="0.3">
      <c r="B74" s="8" t="s">
        <v>156</v>
      </c>
      <c r="C74" s="9" t="s">
        <v>281</v>
      </c>
      <c r="D74" s="10">
        <v>46050</v>
      </c>
      <c r="E74" s="9"/>
      <c r="F74" s="11">
        <v>46381</v>
      </c>
      <c r="G74" s="12">
        <v>5786270000</v>
      </c>
    </row>
    <row r="75" spans="2:7" x14ac:dyDescent="0.3">
      <c r="B75" s="8" t="s">
        <v>110</v>
      </c>
      <c r="C75" s="9" t="s">
        <v>282</v>
      </c>
      <c r="D75" s="10">
        <v>46050</v>
      </c>
      <c r="E75" s="9" t="s">
        <v>204</v>
      </c>
      <c r="F75" s="11">
        <v>46381</v>
      </c>
      <c r="G75" s="12">
        <v>5217040000</v>
      </c>
    </row>
    <row r="76" spans="2:7" x14ac:dyDescent="0.3">
      <c r="B76" s="8">
        <v>502355</v>
      </c>
      <c r="C76" s="9" t="s">
        <v>283</v>
      </c>
      <c r="D76" s="10">
        <v>46050</v>
      </c>
      <c r="E76" s="9"/>
      <c r="F76" s="11">
        <v>46381</v>
      </c>
      <c r="G76" s="12">
        <v>5179890000</v>
      </c>
    </row>
    <row r="77" spans="2:7" x14ac:dyDescent="0.3">
      <c r="B77" s="8" t="s">
        <v>108</v>
      </c>
      <c r="C77" s="9" t="s">
        <v>284</v>
      </c>
      <c r="D77" s="10">
        <v>46050</v>
      </c>
      <c r="E77" s="9" t="s">
        <v>200</v>
      </c>
      <c r="F77" s="11">
        <v>46381</v>
      </c>
      <c r="G77" s="12">
        <v>5108770000</v>
      </c>
    </row>
    <row r="78" spans="2:7" x14ac:dyDescent="0.3">
      <c r="B78" s="8">
        <v>3231</v>
      </c>
      <c r="C78" s="9" t="s">
        <v>285</v>
      </c>
      <c r="D78" s="10">
        <v>46050</v>
      </c>
      <c r="E78" s="9"/>
      <c r="F78" s="11">
        <v>46381</v>
      </c>
      <c r="G78" s="12">
        <v>5069760000</v>
      </c>
    </row>
    <row r="79" spans="2:7" x14ac:dyDescent="0.3">
      <c r="B79" s="8" t="s">
        <v>105</v>
      </c>
      <c r="C79" s="9" t="s">
        <v>286</v>
      </c>
      <c r="D79" s="10">
        <v>46050</v>
      </c>
      <c r="E79" s="9" t="s">
        <v>204</v>
      </c>
      <c r="F79" s="11">
        <v>46381</v>
      </c>
      <c r="G79" s="12">
        <v>5052270000</v>
      </c>
    </row>
    <row r="80" spans="2:7" x14ac:dyDescent="0.3">
      <c r="B80" s="8" t="s">
        <v>287</v>
      </c>
      <c r="C80" s="9" t="s">
        <v>288</v>
      </c>
      <c r="D80" s="10">
        <v>46050</v>
      </c>
      <c r="E80" s="9"/>
      <c r="F80" s="11">
        <v>46381</v>
      </c>
      <c r="G80" s="12">
        <v>4780890000</v>
      </c>
    </row>
    <row r="81" spans="2:7" x14ac:dyDescent="0.3">
      <c r="B81" s="8" t="s">
        <v>72</v>
      </c>
      <c r="C81" s="9" t="s">
        <v>289</v>
      </c>
      <c r="D81" s="10">
        <v>46050</v>
      </c>
      <c r="E81" s="9" t="s">
        <v>200</v>
      </c>
      <c r="F81" s="11">
        <v>46381</v>
      </c>
      <c r="G81" s="12">
        <v>4774980000</v>
      </c>
    </row>
    <row r="82" spans="2:7" x14ac:dyDescent="0.3">
      <c r="B82" s="8" t="s">
        <v>290</v>
      </c>
      <c r="C82" s="9" t="s">
        <v>291</v>
      </c>
      <c r="D82" s="10">
        <v>46050</v>
      </c>
      <c r="E82" s="9" t="s">
        <v>204</v>
      </c>
      <c r="F82" s="11">
        <v>46381</v>
      </c>
      <c r="G82" s="12">
        <v>4631210000</v>
      </c>
    </row>
    <row r="83" spans="2:7" x14ac:dyDescent="0.3">
      <c r="B83" s="8" t="s">
        <v>68</v>
      </c>
      <c r="C83" s="9" t="s">
        <v>292</v>
      </c>
      <c r="D83" s="10">
        <v>46050</v>
      </c>
      <c r="E83" s="9" t="s">
        <v>200</v>
      </c>
      <c r="F83" s="11">
        <v>46381</v>
      </c>
      <c r="G83" s="12">
        <v>4474350000</v>
      </c>
    </row>
    <row r="84" spans="2:7" x14ac:dyDescent="0.3">
      <c r="B84" s="8">
        <v>4190</v>
      </c>
      <c r="C84" s="9" t="s">
        <v>293</v>
      </c>
      <c r="D84" s="10">
        <v>46050</v>
      </c>
      <c r="E84" s="9"/>
      <c r="F84" s="11">
        <v>46381</v>
      </c>
      <c r="G84" s="12">
        <v>4428210000</v>
      </c>
    </row>
    <row r="85" spans="2:7" x14ac:dyDescent="0.3">
      <c r="B85" s="8">
        <v>8060</v>
      </c>
      <c r="C85" s="9" t="s">
        <v>294</v>
      </c>
      <c r="D85" s="10">
        <v>46050</v>
      </c>
      <c r="E85" s="9"/>
      <c r="F85" s="11">
        <v>46381</v>
      </c>
      <c r="G85" s="12">
        <v>4395270000</v>
      </c>
    </row>
    <row r="86" spans="2:7" x14ac:dyDescent="0.3">
      <c r="B86" s="8" t="s">
        <v>64</v>
      </c>
      <c r="C86" s="9" t="s">
        <v>295</v>
      </c>
      <c r="D86" s="10">
        <v>46050</v>
      </c>
      <c r="E86" s="9" t="s">
        <v>200</v>
      </c>
      <c r="F86" s="11">
        <v>46381</v>
      </c>
      <c r="G86" s="12">
        <v>4387260000</v>
      </c>
    </row>
    <row r="87" spans="2:7" x14ac:dyDescent="0.3">
      <c r="B87" s="8" t="s">
        <v>296</v>
      </c>
      <c r="C87" s="9" t="s">
        <v>297</v>
      </c>
      <c r="D87" s="10">
        <v>46050</v>
      </c>
      <c r="E87" s="9"/>
      <c r="F87" s="11">
        <v>46381</v>
      </c>
      <c r="G87" s="12">
        <v>4375800000</v>
      </c>
    </row>
    <row r="88" spans="2:7" x14ac:dyDescent="0.3">
      <c r="B88" s="8" t="s">
        <v>62</v>
      </c>
      <c r="C88" s="9" t="s">
        <v>298</v>
      </c>
      <c r="D88" s="10">
        <v>46050</v>
      </c>
      <c r="E88" s="9" t="s">
        <v>200</v>
      </c>
      <c r="F88" s="11">
        <v>46381</v>
      </c>
      <c r="G88" s="12">
        <v>4346180000</v>
      </c>
    </row>
    <row r="89" spans="2:7" x14ac:dyDescent="0.3">
      <c r="B89" s="8" t="s">
        <v>60</v>
      </c>
      <c r="C89" s="9" t="s">
        <v>299</v>
      </c>
      <c r="D89" s="10">
        <v>46050</v>
      </c>
      <c r="E89" s="9" t="s">
        <v>204</v>
      </c>
      <c r="F89" s="11">
        <v>46381</v>
      </c>
      <c r="G89" s="12">
        <v>4328380000</v>
      </c>
    </row>
    <row r="90" spans="2:7" x14ac:dyDescent="0.3">
      <c r="B90" s="8" t="s">
        <v>300</v>
      </c>
      <c r="C90" s="9" t="s">
        <v>301</v>
      </c>
      <c r="D90" s="10">
        <v>46050</v>
      </c>
      <c r="E90" s="9"/>
      <c r="F90" s="11">
        <v>46381</v>
      </c>
      <c r="G90" s="12">
        <v>4046090000</v>
      </c>
    </row>
    <row r="91" spans="2:7" x14ac:dyDescent="0.3">
      <c r="B91" s="8" t="s">
        <v>58</v>
      </c>
      <c r="C91" s="9" t="s">
        <v>302</v>
      </c>
      <c r="D91" s="10">
        <v>46050</v>
      </c>
      <c r="E91" s="9" t="s">
        <v>200</v>
      </c>
      <c r="F91" s="11">
        <v>46381</v>
      </c>
      <c r="G91" s="12">
        <v>4017580000</v>
      </c>
    </row>
    <row r="92" spans="2:7" x14ac:dyDescent="0.3">
      <c r="B92" s="8" t="s">
        <v>303</v>
      </c>
      <c r="C92" s="9" t="s">
        <v>304</v>
      </c>
      <c r="D92" s="10">
        <v>46050</v>
      </c>
      <c r="E92" s="9"/>
      <c r="F92" s="11">
        <v>46381</v>
      </c>
      <c r="G92" s="12">
        <v>3868510000</v>
      </c>
    </row>
    <row r="93" spans="2:7" x14ac:dyDescent="0.3">
      <c r="B93" s="8" t="s">
        <v>305</v>
      </c>
      <c r="C93" s="9" t="s">
        <v>306</v>
      </c>
      <c r="D93" s="10">
        <v>46050</v>
      </c>
      <c r="E93" s="9"/>
      <c r="F93" s="11">
        <v>46381</v>
      </c>
      <c r="G93" s="12">
        <v>3765940000</v>
      </c>
    </row>
    <row r="94" spans="2:7" x14ac:dyDescent="0.3">
      <c r="B94" s="8" t="s">
        <v>307</v>
      </c>
      <c r="C94" s="9" t="s">
        <v>308</v>
      </c>
      <c r="D94" s="10">
        <v>46050</v>
      </c>
      <c r="E94" s="9"/>
      <c r="F94" s="11">
        <v>46381</v>
      </c>
      <c r="G94" s="12">
        <v>3722980000</v>
      </c>
    </row>
    <row r="95" spans="2:7" x14ac:dyDescent="0.3">
      <c r="B95" s="8" t="s">
        <v>57</v>
      </c>
      <c r="C95" s="9" t="s">
        <v>309</v>
      </c>
      <c r="D95" s="10">
        <v>46050</v>
      </c>
      <c r="E95" s="9"/>
      <c r="F95" s="11">
        <v>46381</v>
      </c>
      <c r="G95" s="12">
        <v>3712810000</v>
      </c>
    </row>
    <row r="96" spans="2:7" x14ac:dyDescent="0.3">
      <c r="B96" s="8" t="s">
        <v>56</v>
      </c>
      <c r="C96" s="9" t="s">
        <v>310</v>
      </c>
      <c r="D96" s="10">
        <v>46050</v>
      </c>
      <c r="E96" s="9"/>
      <c r="F96" s="11">
        <v>46381</v>
      </c>
      <c r="G96" s="12">
        <v>3687490000</v>
      </c>
    </row>
    <row r="97" spans="2:7" x14ac:dyDescent="0.3">
      <c r="B97" s="8" t="s">
        <v>55</v>
      </c>
      <c r="C97" s="9" t="s">
        <v>311</v>
      </c>
      <c r="D97" s="10">
        <v>46050</v>
      </c>
      <c r="E97" s="9" t="s">
        <v>200</v>
      </c>
      <c r="F97" s="11">
        <v>46381</v>
      </c>
      <c r="G97" s="12">
        <v>3665480000</v>
      </c>
    </row>
    <row r="98" spans="2:7" x14ac:dyDescent="0.3">
      <c r="B98" s="8" t="s">
        <v>53</v>
      </c>
      <c r="C98" s="9" t="s">
        <v>312</v>
      </c>
      <c r="D98" s="10">
        <v>46050</v>
      </c>
      <c r="E98" s="9" t="s">
        <v>204</v>
      </c>
      <c r="F98" s="11">
        <v>46381</v>
      </c>
      <c r="G98" s="12">
        <v>3521160000</v>
      </c>
    </row>
    <row r="99" spans="2:7" x14ac:dyDescent="0.3">
      <c r="B99" s="8" t="s">
        <v>51</v>
      </c>
      <c r="C99" s="9" t="s">
        <v>313</v>
      </c>
      <c r="D99" s="10">
        <v>46050</v>
      </c>
      <c r="E99" s="9" t="s">
        <v>200</v>
      </c>
      <c r="F99" s="11">
        <v>46381</v>
      </c>
      <c r="G99" s="12">
        <v>3379280000</v>
      </c>
    </row>
    <row r="100" spans="2:7" x14ac:dyDescent="0.3">
      <c r="B100" s="8" t="s">
        <v>70</v>
      </c>
      <c r="C100" s="9" t="s">
        <v>314</v>
      </c>
      <c r="D100" s="10">
        <v>46050</v>
      </c>
      <c r="E100" s="9"/>
      <c r="F100" s="11">
        <v>46381</v>
      </c>
      <c r="G100" s="12">
        <v>3144440000</v>
      </c>
    </row>
    <row r="101" spans="2:7" x14ac:dyDescent="0.3">
      <c r="B101" s="8" t="s">
        <v>49</v>
      </c>
      <c r="C101" s="9" t="s">
        <v>315</v>
      </c>
      <c r="D101" s="10">
        <v>46050</v>
      </c>
      <c r="E101" s="9"/>
      <c r="F101" s="11">
        <v>46381</v>
      </c>
      <c r="G101" s="12">
        <v>3141470000</v>
      </c>
    </row>
    <row r="102" spans="2:7" x14ac:dyDescent="0.3">
      <c r="B102" s="8" t="s">
        <v>45</v>
      </c>
      <c r="C102" s="9" t="s">
        <v>316</v>
      </c>
      <c r="D102" s="10">
        <v>46050</v>
      </c>
      <c r="E102" s="9" t="s">
        <v>200</v>
      </c>
      <c r="F102" s="11">
        <v>46381</v>
      </c>
      <c r="G102" s="12">
        <v>3119480000</v>
      </c>
    </row>
    <row r="103" spans="2:7" x14ac:dyDescent="0.3">
      <c r="B103" s="8" t="s">
        <v>44</v>
      </c>
      <c r="C103" s="9" t="s">
        <v>317</v>
      </c>
      <c r="D103" s="10">
        <v>46050</v>
      </c>
      <c r="E103" s="9"/>
      <c r="F103" s="11">
        <v>46381</v>
      </c>
      <c r="G103" s="12">
        <v>3066330000</v>
      </c>
    </row>
    <row r="104" spans="2:7" x14ac:dyDescent="0.3">
      <c r="B104" s="8" t="s">
        <v>318</v>
      </c>
      <c r="C104" s="9" t="s">
        <v>319</v>
      </c>
      <c r="D104" s="10">
        <v>46050</v>
      </c>
      <c r="E104" s="9"/>
      <c r="F104" s="11">
        <v>46290</v>
      </c>
      <c r="G104" s="12">
        <v>2970080000</v>
      </c>
    </row>
    <row r="105" spans="2:7" x14ac:dyDescent="0.3">
      <c r="B105" s="8" t="s">
        <v>43</v>
      </c>
      <c r="C105" s="9" t="s">
        <v>320</v>
      </c>
      <c r="D105" s="10">
        <v>46050</v>
      </c>
      <c r="E105" s="9"/>
      <c r="F105" s="11">
        <v>46381</v>
      </c>
      <c r="G105" s="12">
        <v>2968470000</v>
      </c>
    </row>
    <row r="106" spans="2:7" x14ac:dyDescent="0.3">
      <c r="B106" s="8" t="s">
        <v>40</v>
      </c>
      <c r="C106" s="9" t="s">
        <v>321</v>
      </c>
      <c r="D106" s="10">
        <v>46050</v>
      </c>
      <c r="E106" s="9" t="s">
        <v>200</v>
      </c>
      <c r="F106" s="11">
        <v>46381</v>
      </c>
      <c r="G106" s="12">
        <v>2922130000</v>
      </c>
    </row>
    <row r="107" spans="2:7" x14ac:dyDescent="0.3">
      <c r="B107" s="8">
        <v>1797</v>
      </c>
      <c r="C107" s="9" t="s">
        <v>322</v>
      </c>
      <c r="D107" s="10">
        <v>46050</v>
      </c>
      <c r="E107" s="9"/>
      <c r="F107" s="11">
        <v>46351</v>
      </c>
      <c r="G107" s="12">
        <v>2879070000</v>
      </c>
    </row>
    <row r="108" spans="2:7" x14ac:dyDescent="0.3">
      <c r="B108" s="8" t="s">
        <v>323</v>
      </c>
      <c r="C108" s="9" t="s">
        <v>324</v>
      </c>
      <c r="D108" s="10">
        <v>46050</v>
      </c>
      <c r="E108" s="9"/>
      <c r="F108" s="11">
        <v>46381</v>
      </c>
      <c r="G108" s="12">
        <v>2789720000</v>
      </c>
    </row>
    <row r="109" spans="2:7" x14ac:dyDescent="0.3">
      <c r="B109" s="8" t="s">
        <v>325</v>
      </c>
      <c r="C109" s="9" t="s">
        <v>326</v>
      </c>
      <c r="D109" s="10">
        <v>46050</v>
      </c>
      <c r="E109" s="9"/>
      <c r="F109" s="11">
        <v>46381</v>
      </c>
      <c r="G109" s="12">
        <v>2559230000</v>
      </c>
    </row>
    <row r="110" spans="2:7" x14ac:dyDescent="0.3">
      <c r="B110" s="8" t="s">
        <v>39</v>
      </c>
      <c r="C110" s="9" t="s">
        <v>327</v>
      </c>
      <c r="D110" s="10">
        <v>46050</v>
      </c>
      <c r="E110" s="9" t="s">
        <v>200</v>
      </c>
      <c r="F110" s="11">
        <v>46381</v>
      </c>
      <c r="G110" s="12">
        <v>2496310000</v>
      </c>
    </row>
    <row r="111" spans="2:7" x14ac:dyDescent="0.3">
      <c r="B111" s="8" t="s">
        <v>328</v>
      </c>
      <c r="C111" s="9" t="s">
        <v>329</v>
      </c>
      <c r="D111" s="10">
        <v>46050</v>
      </c>
      <c r="E111" s="9"/>
      <c r="F111" s="11">
        <v>46381</v>
      </c>
      <c r="G111" s="12">
        <v>2450990000</v>
      </c>
    </row>
    <row r="112" spans="2:7" x14ac:dyDescent="0.3">
      <c r="B112" s="8" t="s">
        <v>38</v>
      </c>
      <c r="C112" s="9" t="s">
        <v>330</v>
      </c>
      <c r="D112" s="10">
        <v>46050</v>
      </c>
      <c r="E112" s="9" t="s">
        <v>200</v>
      </c>
      <c r="F112" s="11">
        <v>46381</v>
      </c>
      <c r="G112" s="12">
        <v>2427100000</v>
      </c>
    </row>
    <row r="113" spans="2:7" x14ac:dyDescent="0.3">
      <c r="B113" s="8" t="s">
        <v>36</v>
      </c>
      <c r="C113" s="9" t="s">
        <v>331</v>
      </c>
      <c r="D113" s="10">
        <v>46050</v>
      </c>
      <c r="E113" s="9" t="s">
        <v>204</v>
      </c>
      <c r="F113" s="11">
        <v>46381</v>
      </c>
      <c r="G113" s="12">
        <v>2314670000</v>
      </c>
    </row>
    <row r="114" spans="2:7" x14ac:dyDescent="0.3">
      <c r="B114" s="8" t="s">
        <v>33</v>
      </c>
      <c r="C114" s="9" t="s">
        <v>332</v>
      </c>
      <c r="D114" s="10">
        <v>46050</v>
      </c>
      <c r="E114" s="9"/>
      <c r="F114" s="11">
        <v>46381</v>
      </c>
      <c r="G114" s="12">
        <v>2261610000</v>
      </c>
    </row>
    <row r="115" spans="2:7" x14ac:dyDescent="0.3">
      <c r="B115" s="8" t="s">
        <v>30</v>
      </c>
      <c r="C115" s="9" t="s">
        <v>333</v>
      </c>
      <c r="D115" s="10">
        <v>46050</v>
      </c>
      <c r="E115" s="9"/>
      <c r="F115" s="11">
        <v>46381</v>
      </c>
      <c r="G115" s="12">
        <v>2255860000</v>
      </c>
    </row>
    <row r="116" spans="2:7" x14ac:dyDescent="0.3">
      <c r="B116" s="8" t="s">
        <v>28</v>
      </c>
      <c r="C116" s="9" t="s">
        <v>334</v>
      </c>
      <c r="D116" s="10">
        <v>46050</v>
      </c>
      <c r="E116" s="9" t="s">
        <v>200</v>
      </c>
      <c r="F116" s="11">
        <v>46381</v>
      </c>
      <c r="G116" s="12">
        <v>2097300000</v>
      </c>
    </row>
    <row r="117" spans="2:7" x14ac:dyDescent="0.3">
      <c r="B117" s="8" t="s">
        <v>26</v>
      </c>
      <c r="C117" s="9" t="s">
        <v>335</v>
      </c>
      <c r="D117" s="10">
        <v>46050</v>
      </c>
      <c r="E117" s="9" t="s">
        <v>200</v>
      </c>
      <c r="F117" s="11">
        <v>46381</v>
      </c>
      <c r="G117" s="12">
        <v>1908220000</v>
      </c>
    </row>
    <row r="118" spans="2:7" x14ac:dyDescent="0.3">
      <c r="B118" s="8" t="s">
        <v>336</v>
      </c>
      <c r="C118" s="9" t="s">
        <v>337</v>
      </c>
      <c r="D118" s="10">
        <v>46050</v>
      </c>
      <c r="E118" s="9"/>
      <c r="F118" s="11">
        <v>46381</v>
      </c>
      <c r="G118" s="12">
        <v>1903000000</v>
      </c>
    </row>
    <row r="119" spans="2:7" x14ac:dyDescent="0.3">
      <c r="B119" s="8" t="s">
        <v>47</v>
      </c>
      <c r="C119" s="9" t="s">
        <v>338</v>
      </c>
      <c r="D119" s="10">
        <v>46050</v>
      </c>
      <c r="E119" s="9"/>
      <c r="F119" s="11">
        <v>46381</v>
      </c>
      <c r="G119" s="12">
        <v>1841010000</v>
      </c>
    </row>
    <row r="120" spans="2:7" x14ac:dyDescent="0.3">
      <c r="B120" s="8">
        <v>500252</v>
      </c>
      <c r="C120" s="9" t="s">
        <v>339</v>
      </c>
      <c r="D120" s="10">
        <v>46050</v>
      </c>
      <c r="E120" s="9"/>
      <c r="F120" s="11">
        <v>46381</v>
      </c>
      <c r="G120" s="12">
        <v>1837210000</v>
      </c>
    </row>
    <row r="121" spans="2:7" x14ac:dyDescent="0.3">
      <c r="B121" s="8" t="s">
        <v>340</v>
      </c>
      <c r="C121" s="9" t="s">
        <v>341</v>
      </c>
      <c r="D121" s="10">
        <v>46050</v>
      </c>
      <c r="E121" s="9"/>
      <c r="F121" s="11">
        <v>46381</v>
      </c>
      <c r="G121" s="12">
        <v>1780200000</v>
      </c>
    </row>
    <row r="122" spans="2:7" x14ac:dyDescent="0.3">
      <c r="B122" s="8" t="s">
        <v>342</v>
      </c>
      <c r="C122" s="9" t="s">
        <v>343</v>
      </c>
      <c r="D122" s="10">
        <v>46050</v>
      </c>
      <c r="E122" s="9"/>
      <c r="F122" s="11">
        <v>46351</v>
      </c>
      <c r="G122" s="12">
        <v>1739520000</v>
      </c>
    </row>
    <row r="123" spans="2:7" x14ac:dyDescent="0.3">
      <c r="B123" s="8" t="s">
        <v>344</v>
      </c>
      <c r="C123" s="9" t="s">
        <v>345</v>
      </c>
      <c r="D123" s="10">
        <v>46050</v>
      </c>
      <c r="E123" s="9"/>
      <c r="F123" s="11">
        <v>46381</v>
      </c>
      <c r="G123" s="12">
        <v>1668360000</v>
      </c>
    </row>
    <row r="124" spans="2:7" x14ac:dyDescent="0.3">
      <c r="B124" s="8" t="s">
        <v>73</v>
      </c>
      <c r="C124" s="9" t="s">
        <v>346</v>
      </c>
      <c r="D124" s="10">
        <v>46050</v>
      </c>
      <c r="E124" s="9" t="s">
        <v>200</v>
      </c>
      <c r="F124" s="11">
        <v>46381</v>
      </c>
      <c r="G124" s="12">
        <v>1599700000</v>
      </c>
    </row>
    <row r="125" spans="2:7" x14ac:dyDescent="0.3">
      <c r="B125" s="8">
        <v>514162</v>
      </c>
      <c r="C125" s="9" t="s">
        <v>347</v>
      </c>
      <c r="D125" s="10">
        <v>46050</v>
      </c>
      <c r="E125" s="9"/>
      <c r="F125" s="11">
        <v>46381</v>
      </c>
      <c r="G125" s="12">
        <v>1468220000</v>
      </c>
    </row>
    <row r="126" spans="2:7" x14ac:dyDescent="0.3">
      <c r="B126" s="8" t="s">
        <v>87</v>
      </c>
      <c r="C126" s="9" t="s">
        <v>348</v>
      </c>
      <c r="D126" s="10">
        <v>46050</v>
      </c>
      <c r="E126" s="9"/>
      <c r="F126" s="11">
        <v>46381</v>
      </c>
      <c r="G126" s="12">
        <v>1421280000</v>
      </c>
    </row>
    <row r="127" spans="2:7" x14ac:dyDescent="0.3">
      <c r="B127" s="8">
        <v>7278</v>
      </c>
      <c r="C127" s="9" t="s">
        <v>349</v>
      </c>
      <c r="D127" s="10">
        <v>46050</v>
      </c>
      <c r="E127" s="9"/>
      <c r="F127" s="11">
        <v>46381</v>
      </c>
      <c r="G127" s="12">
        <v>1388670000</v>
      </c>
    </row>
    <row r="128" spans="2:7" x14ac:dyDescent="0.3">
      <c r="B128" s="8" t="s">
        <v>350</v>
      </c>
      <c r="C128" s="9" t="s">
        <v>351</v>
      </c>
      <c r="D128" s="10">
        <v>46050</v>
      </c>
      <c r="E128" s="9"/>
      <c r="F128" s="11">
        <v>46381</v>
      </c>
      <c r="G128" s="12">
        <v>1374470000</v>
      </c>
    </row>
    <row r="129" spans="2:7" x14ac:dyDescent="0.3">
      <c r="B129" s="8" t="s">
        <v>103</v>
      </c>
      <c r="C129" s="9" t="s">
        <v>352</v>
      </c>
      <c r="D129" s="10">
        <v>46050</v>
      </c>
      <c r="E129" s="9"/>
      <c r="F129" s="11">
        <v>46381</v>
      </c>
      <c r="G129" s="12">
        <v>1322250000</v>
      </c>
    </row>
    <row r="130" spans="2:7" x14ac:dyDescent="0.3">
      <c r="B130" s="8" t="s">
        <v>102</v>
      </c>
      <c r="C130" s="9" t="s">
        <v>353</v>
      </c>
      <c r="D130" s="10">
        <v>46050</v>
      </c>
      <c r="E130" s="9"/>
      <c r="F130" s="11">
        <v>46381</v>
      </c>
      <c r="G130" s="12">
        <v>1284770000</v>
      </c>
    </row>
    <row r="131" spans="2:7" x14ac:dyDescent="0.3">
      <c r="B131" s="8" t="s">
        <v>100</v>
      </c>
      <c r="C131" s="9" t="s">
        <v>354</v>
      </c>
      <c r="D131" s="10">
        <v>46050</v>
      </c>
      <c r="E131" s="9" t="s">
        <v>200</v>
      </c>
      <c r="F131" s="11">
        <v>46381</v>
      </c>
      <c r="G131" s="12">
        <v>1264420000</v>
      </c>
    </row>
    <row r="132" spans="2:7" x14ac:dyDescent="0.3">
      <c r="B132" s="8" t="s">
        <v>98</v>
      </c>
      <c r="C132" s="9" t="s">
        <v>355</v>
      </c>
      <c r="D132" s="10">
        <v>46050</v>
      </c>
      <c r="E132" s="9" t="s">
        <v>204</v>
      </c>
      <c r="F132" s="11">
        <v>46381</v>
      </c>
      <c r="G132" s="12">
        <v>1242240000</v>
      </c>
    </row>
    <row r="133" spans="2:7" x14ac:dyDescent="0.3">
      <c r="B133" s="8" t="s">
        <v>97</v>
      </c>
      <c r="C133" s="9" t="s">
        <v>356</v>
      </c>
      <c r="D133" s="10">
        <v>46050</v>
      </c>
      <c r="E133" s="9" t="s">
        <v>200</v>
      </c>
      <c r="F133" s="11">
        <v>46381</v>
      </c>
      <c r="G133" s="12">
        <v>1209770000</v>
      </c>
    </row>
    <row r="134" spans="2:7" x14ac:dyDescent="0.3">
      <c r="B134" s="8">
        <v>6807</v>
      </c>
      <c r="C134" s="9" t="s">
        <v>357</v>
      </c>
      <c r="D134" s="10">
        <v>46050</v>
      </c>
      <c r="E134" s="9"/>
      <c r="F134" s="11">
        <v>46381</v>
      </c>
      <c r="G134" s="12">
        <v>1116730000</v>
      </c>
    </row>
    <row r="135" spans="2:7" x14ac:dyDescent="0.3">
      <c r="B135" s="8" t="s">
        <v>94</v>
      </c>
      <c r="C135" s="9" t="s">
        <v>358</v>
      </c>
      <c r="D135" s="10">
        <v>46050</v>
      </c>
      <c r="E135" s="9"/>
      <c r="F135" s="11">
        <v>46351</v>
      </c>
      <c r="G135" s="12">
        <v>1091950000</v>
      </c>
    </row>
    <row r="136" spans="2:7" x14ac:dyDescent="0.3">
      <c r="B136" s="8" t="s">
        <v>92</v>
      </c>
      <c r="C136" s="9" t="s">
        <v>359</v>
      </c>
      <c r="D136" s="10">
        <v>46050</v>
      </c>
      <c r="E136" s="9" t="s">
        <v>200</v>
      </c>
      <c r="F136" s="11">
        <v>46381</v>
      </c>
      <c r="G136" s="12">
        <v>1090540000</v>
      </c>
    </row>
    <row r="137" spans="2:7" x14ac:dyDescent="0.3">
      <c r="B137" s="8">
        <v>8336</v>
      </c>
      <c r="C137" s="9" t="s">
        <v>360</v>
      </c>
      <c r="D137" s="10">
        <v>46050</v>
      </c>
      <c r="E137" s="9"/>
      <c r="F137" s="11">
        <v>46381</v>
      </c>
      <c r="G137" s="12">
        <v>1048870000</v>
      </c>
    </row>
    <row r="138" spans="2:7" x14ac:dyDescent="0.3">
      <c r="B138" s="8">
        <v>9551</v>
      </c>
      <c r="C138" s="9" t="s">
        <v>361</v>
      </c>
      <c r="D138" s="10">
        <v>46050</v>
      </c>
      <c r="E138" s="9"/>
      <c r="F138" s="11">
        <v>46381</v>
      </c>
      <c r="G138" s="12">
        <v>1003110000</v>
      </c>
    </row>
    <row r="139" spans="2:7" x14ac:dyDescent="0.3">
      <c r="B139" s="8">
        <v>540575</v>
      </c>
      <c r="C139" s="9" t="s">
        <v>362</v>
      </c>
      <c r="D139" s="10">
        <v>46050</v>
      </c>
      <c r="E139" s="9"/>
      <c r="F139" s="11">
        <v>46381</v>
      </c>
      <c r="G139" s="12">
        <v>996070000</v>
      </c>
    </row>
    <row r="140" spans="2:7" x14ac:dyDescent="0.3">
      <c r="B140" s="8" t="s">
        <v>89</v>
      </c>
      <c r="C140" s="9" t="s">
        <v>363</v>
      </c>
      <c r="D140" s="10">
        <v>46050</v>
      </c>
      <c r="E140" s="9" t="s">
        <v>200</v>
      </c>
      <c r="F140" s="11">
        <v>46381</v>
      </c>
      <c r="G140" s="12">
        <v>993230000</v>
      </c>
    </row>
    <row r="141" spans="2:7" x14ac:dyDescent="0.3">
      <c r="B141" s="8" t="s">
        <v>364</v>
      </c>
      <c r="C141" s="9" t="s">
        <v>365</v>
      </c>
      <c r="D141" s="10">
        <v>46050</v>
      </c>
      <c r="E141" s="9"/>
      <c r="F141" s="11">
        <v>46381</v>
      </c>
      <c r="G141" s="12">
        <v>973780000</v>
      </c>
    </row>
    <row r="142" spans="2:7" x14ac:dyDescent="0.3">
      <c r="B142" s="8" t="s">
        <v>366</v>
      </c>
      <c r="C142" s="9" t="s">
        <v>367</v>
      </c>
      <c r="D142" s="10">
        <v>46050</v>
      </c>
      <c r="E142" s="9"/>
      <c r="F142" s="11">
        <v>46381</v>
      </c>
      <c r="G142" s="12">
        <v>874810000</v>
      </c>
    </row>
    <row r="143" spans="2:7" x14ac:dyDescent="0.3">
      <c r="B143" s="8" t="s">
        <v>104</v>
      </c>
      <c r="C143" s="9" t="s">
        <v>368</v>
      </c>
      <c r="D143" s="10">
        <v>46050</v>
      </c>
      <c r="E143" s="9" t="s">
        <v>204</v>
      </c>
      <c r="F143" s="11">
        <v>46381</v>
      </c>
      <c r="G143" s="12">
        <v>868010000</v>
      </c>
    </row>
    <row r="144" spans="2:7" x14ac:dyDescent="0.3">
      <c r="B144" s="8" t="s">
        <v>88</v>
      </c>
      <c r="C144" s="9" t="s">
        <v>369</v>
      </c>
      <c r="D144" s="10">
        <v>46050</v>
      </c>
      <c r="E144" s="9"/>
      <c r="F144" s="11">
        <v>46381</v>
      </c>
      <c r="G144" s="12">
        <v>842920000</v>
      </c>
    </row>
    <row r="145" spans="2:7" x14ac:dyDescent="0.3">
      <c r="B145" s="8">
        <v>2678</v>
      </c>
      <c r="C145" s="9" t="s">
        <v>370</v>
      </c>
      <c r="D145" s="10">
        <v>46050</v>
      </c>
      <c r="E145" s="9"/>
      <c r="F145" s="11">
        <v>46381</v>
      </c>
      <c r="G145" s="12">
        <v>798160000</v>
      </c>
    </row>
    <row r="146" spans="2:7" x14ac:dyDescent="0.3">
      <c r="B146" s="8" t="s">
        <v>85</v>
      </c>
      <c r="C146" s="9" t="s">
        <v>371</v>
      </c>
      <c r="D146" s="10">
        <v>46050</v>
      </c>
      <c r="E146" s="9"/>
      <c r="F146" s="11">
        <v>46381</v>
      </c>
      <c r="G146" s="12">
        <v>753700000</v>
      </c>
    </row>
    <row r="147" spans="2:7" x14ac:dyDescent="0.3">
      <c r="B147" s="8" t="s">
        <v>84</v>
      </c>
      <c r="C147" s="9" t="s">
        <v>372</v>
      </c>
      <c r="D147" s="10">
        <v>46050</v>
      </c>
      <c r="E147" s="9"/>
      <c r="F147" s="11">
        <v>46381</v>
      </c>
      <c r="G147" s="12">
        <v>753590000</v>
      </c>
    </row>
    <row r="148" spans="2:7" x14ac:dyDescent="0.3">
      <c r="B148" s="8">
        <v>5440</v>
      </c>
      <c r="C148" s="9" t="s">
        <v>373</v>
      </c>
      <c r="D148" s="10">
        <v>46050</v>
      </c>
      <c r="E148" s="9"/>
      <c r="F148" s="11">
        <v>46381</v>
      </c>
      <c r="G148" s="12">
        <v>681880000</v>
      </c>
    </row>
    <row r="149" spans="2:7" x14ac:dyDescent="0.3">
      <c r="B149" s="8">
        <v>6104</v>
      </c>
      <c r="C149" s="9" t="s">
        <v>374</v>
      </c>
      <c r="D149" s="10">
        <v>46050</v>
      </c>
      <c r="E149" s="9"/>
      <c r="F149" s="11">
        <v>46381</v>
      </c>
      <c r="G149" s="12">
        <v>655550000</v>
      </c>
    </row>
    <row r="150" spans="2:7" x14ac:dyDescent="0.3">
      <c r="B150" s="8" t="s">
        <v>81</v>
      </c>
      <c r="C150" s="9" t="s">
        <v>375</v>
      </c>
      <c r="D150" s="10">
        <v>46050</v>
      </c>
      <c r="E150" s="9" t="s">
        <v>200</v>
      </c>
      <c r="F150" s="11">
        <v>46381</v>
      </c>
      <c r="G150" s="12">
        <v>636920000</v>
      </c>
    </row>
    <row r="151" spans="2:7" x14ac:dyDescent="0.3">
      <c r="B151" s="8">
        <v>517168</v>
      </c>
      <c r="C151" s="9" t="s">
        <v>376</v>
      </c>
      <c r="D151" s="10">
        <v>46050</v>
      </c>
      <c r="E151" s="9"/>
      <c r="F151" s="11">
        <v>46381</v>
      </c>
      <c r="G151" s="12">
        <v>627910000</v>
      </c>
    </row>
    <row r="152" spans="2:7" x14ac:dyDescent="0.3">
      <c r="B152" s="8" t="s">
        <v>377</v>
      </c>
      <c r="C152" s="9" t="s">
        <v>378</v>
      </c>
      <c r="D152" s="10">
        <v>46050</v>
      </c>
      <c r="E152" s="9"/>
      <c r="F152" s="11">
        <v>46381</v>
      </c>
      <c r="G152" s="12">
        <v>614940000</v>
      </c>
    </row>
    <row r="153" spans="2:7" x14ac:dyDescent="0.3">
      <c r="B153" s="8" t="s">
        <v>80</v>
      </c>
      <c r="C153" s="9" t="s">
        <v>379</v>
      </c>
      <c r="D153" s="10">
        <v>46050</v>
      </c>
      <c r="E153" s="9" t="s">
        <v>200</v>
      </c>
      <c r="F153" s="11">
        <v>46381</v>
      </c>
      <c r="G153" s="12">
        <v>600900000</v>
      </c>
    </row>
    <row r="154" spans="2:7" x14ac:dyDescent="0.3">
      <c r="B154" s="8" t="s">
        <v>78</v>
      </c>
      <c r="C154" s="9" t="s">
        <v>380</v>
      </c>
      <c r="D154" s="10">
        <v>46050</v>
      </c>
      <c r="E154" s="9"/>
      <c r="F154" s="11">
        <v>46381</v>
      </c>
      <c r="G154" s="12">
        <v>583280000</v>
      </c>
    </row>
    <row r="155" spans="2:7" x14ac:dyDescent="0.3">
      <c r="B155" s="8">
        <v>6345</v>
      </c>
      <c r="C155" s="9" t="s">
        <v>381</v>
      </c>
      <c r="D155" s="10">
        <v>46050</v>
      </c>
      <c r="E155" s="9"/>
      <c r="F155" s="11">
        <v>46381</v>
      </c>
      <c r="G155" s="12">
        <v>578810000</v>
      </c>
    </row>
    <row r="156" spans="2:7" x14ac:dyDescent="0.3">
      <c r="B156" s="8" t="s">
        <v>76</v>
      </c>
      <c r="C156" s="9" t="s">
        <v>382</v>
      </c>
      <c r="D156" s="10">
        <v>46050</v>
      </c>
      <c r="E156" s="9" t="s">
        <v>200</v>
      </c>
      <c r="F156" s="11">
        <v>46381</v>
      </c>
      <c r="G156" s="12">
        <v>574280000</v>
      </c>
    </row>
    <row r="157" spans="2:7" x14ac:dyDescent="0.3">
      <c r="B157" s="8" t="s">
        <v>74</v>
      </c>
      <c r="C157" s="9" t="s">
        <v>383</v>
      </c>
      <c r="D157" s="10">
        <v>46050</v>
      </c>
      <c r="E157" s="9"/>
      <c r="F157" s="11">
        <v>46381</v>
      </c>
      <c r="G157" s="12">
        <v>553300000</v>
      </c>
    </row>
    <row r="158" spans="2:7" x14ac:dyDescent="0.3">
      <c r="B158" s="8">
        <v>4552</v>
      </c>
      <c r="C158" s="9" t="s">
        <v>384</v>
      </c>
      <c r="D158" s="10">
        <v>46050</v>
      </c>
      <c r="E158" s="9"/>
      <c r="F158" s="11">
        <v>46381</v>
      </c>
      <c r="G158" s="12">
        <v>537180000</v>
      </c>
    </row>
    <row r="159" spans="2:7" x14ac:dyDescent="0.3">
      <c r="B159" s="8" t="s">
        <v>385</v>
      </c>
      <c r="C159" s="9" t="s">
        <v>386</v>
      </c>
      <c r="D159" s="10">
        <v>46050</v>
      </c>
      <c r="E159" s="9"/>
      <c r="F159" s="11">
        <v>46381</v>
      </c>
      <c r="G159" s="12">
        <v>528410000</v>
      </c>
    </row>
    <row r="160" spans="2:7" ht="17.25" thickBot="1" x14ac:dyDescent="0.35">
      <c r="B160" s="13" t="s">
        <v>192</v>
      </c>
      <c r="C160" s="14" t="s">
        <v>387</v>
      </c>
      <c r="D160" s="15">
        <v>46050</v>
      </c>
      <c r="E160" s="14"/>
      <c r="F160" s="16">
        <v>46381</v>
      </c>
      <c r="G160" s="17">
        <v>514470000</v>
      </c>
    </row>
  </sheetData>
  <autoFilter ref="B4:G4" xr:uid="{C1D7D68E-86B6-40A7-87C6-EBC7A569C694}"/>
  <mergeCells count="1">
    <mergeCell ref="B2:C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68"/>
  <sheetViews>
    <sheetView tabSelected="1" topLeftCell="A124" zoomScaleNormal="100" workbookViewId="0">
      <selection activeCell="C35" sqref="C35:C38"/>
    </sheetView>
  </sheetViews>
  <sheetFormatPr defaultRowHeight="16.5" x14ac:dyDescent="0.3"/>
  <cols>
    <col min="1" max="1" width="9" style="4"/>
    <col min="2" max="2" width="12.5" style="32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11" width="9" style="4" hidden="1" customWidth="1"/>
    <col min="12" max="12" width="9" style="4" customWidth="1"/>
    <col min="13" max="23" width="9" style="4"/>
    <col min="24" max="27" width="9" style="22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24" t="s">
        <v>21</v>
      </c>
      <c r="X2" s="23" t="s">
        <v>388</v>
      </c>
      <c r="Y2" s="21" t="s">
        <v>389</v>
      </c>
      <c r="Z2" s="21" t="s">
        <v>390</v>
      </c>
      <c r="AA2" s="21" t="s">
        <v>391</v>
      </c>
    </row>
    <row r="3" spans="1:27" ht="15" x14ac:dyDescent="0.25">
      <c r="A3" s="4">
        <v>260130</v>
      </c>
      <c r="B3" s="29" t="s">
        <v>807</v>
      </c>
      <c r="C3" s="19" t="s">
        <v>23</v>
      </c>
      <c r="D3" s="19" t="s">
        <v>29</v>
      </c>
      <c r="E3" s="19" t="s">
        <v>808</v>
      </c>
      <c r="F3" s="108">
        <v>37.299999999999997</v>
      </c>
      <c r="G3" s="64">
        <v>73.05</v>
      </c>
      <c r="H3" s="64">
        <v>77.12</v>
      </c>
      <c r="I3" s="64">
        <v>76.349999999999994</v>
      </c>
      <c r="J3" s="64">
        <v>77.75</v>
      </c>
      <c r="K3" s="64">
        <v>74.25</v>
      </c>
      <c r="L3" s="64">
        <v>75.47</v>
      </c>
      <c r="M3" s="64">
        <v>62.26</v>
      </c>
      <c r="N3" s="64">
        <v>8.24</v>
      </c>
      <c r="O3" s="64">
        <v>69.45</v>
      </c>
      <c r="P3" s="64">
        <v>71.959999999999994</v>
      </c>
      <c r="Q3" s="64">
        <v>70.56</v>
      </c>
      <c r="R3" s="121">
        <v>74.400000000000006</v>
      </c>
      <c r="S3" s="64">
        <v>75.7</v>
      </c>
      <c r="T3" s="64">
        <v>76.41</v>
      </c>
      <c r="U3" s="64">
        <v>79.86</v>
      </c>
      <c r="V3" s="64">
        <v>84.95</v>
      </c>
      <c r="W3" s="122">
        <v>193.85</v>
      </c>
      <c r="X3" s="109">
        <v>1.520743626546373E-2</v>
      </c>
      <c r="Y3" s="109">
        <v>3.1305752852863078E-2</v>
      </c>
      <c r="Z3" s="109">
        <v>3.4435486503247681E-2</v>
      </c>
      <c r="AA3" s="123">
        <v>0.37280701754385959</v>
      </c>
    </row>
    <row r="4" spans="1:27" ht="15" x14ac:dyDescent="0.25">
      <c r="A4" s="4">
        <v>260130</v>
      </c>
      <c r="B4" s="29" t="s">
        <v>809</v>
      </c>
      <c r="C4" s="19" t="s">
        <v>23</v>
      </c>
      <c r="D4" s="19" t="s">
        <v>95</v>
      </c>
      <c r="E4" s="19" t="s">
        <v>808</v>
      </c>
      <c r="F4" s="108">
        <v>16.3</v>
      </c>
      <c r="G4" s="64">
        <v>697.2</v>
      </c>
      <c r="H4" s="64">
        <v>620</v>
      </c>
      <c r="I4" s="64">
        <v>555.5</v>
      </c>
      <c r="J4" s="64">
        <v>512.9</v>
      </c>
      <c r="K4" s="64">
        <v>515.20000000000005</v>
      </c>
      <c r="L4" s="64">
        <v>495.8</v>
      </c>
      <c r="M4" s="64">
        <v>516.5</v>
      </c>
      <c r="N4" s="64">
        <v>521</v>
      </c>
      <c r="O4" s="64">
        <v>568.5</v>
      </c>
      <c r="P4" s="64">
        <v>551.70000000000005</v>
      </c>
      <c r="Q4" s="64">
        <v>588.4</v>
      </c>
      <c r="R4" s="64">
        <v>624.79999999999995</v>
      </c>
      <c r="S4" s="64">
        <v>708.3</v>
      </c>
      <c r="T4" s="64">
        <v>621.4</v>
      </c>
      <c r="U4" s="64">
        <v>633.20000000000005</v>
      </c>
      <c r="V4" s="64">
        <v>700.4</v>
      </c>
      <c r="W4" s="122">
        <v>1142</v>
      </c>
      <c r="X4" s="109">
        <v>2.8182112243247511E-2</v>
      </c>
      <c r="Y4" s="109">
        <v>1.7617680600888749E-2</v>
      </c>
      <c r="Z4" s="109">
        <v>2.92151331298065E-2</v>
      </c>
      <c r="AA4" s="123">
        <v>0.16284308940036779</v>
      </c>
    </row>
    <row r="5" spans="1:27" ht="15" x14ac:dyDescent="0.25">
      <c r="A5" s="4">
        <v>260130</v>
      </c>
      <c r="B5" s="29" t="s">
        <v>810</v>
      </c>
      <c r="C5" s="19" t="s">
        <v>23</v>
      </c>
      <c r="D5" s="19" t="s">
        <v>29</v>
      </c>
      <c r="E5" s="19" t="s">
        <v>808</v>
      </c>
      <c r="F5" s="108">
        <v>13.4</v>
      </c>
      <c r="G5" s="19"/>
      <c r="H5" s="19"/>
      <c r="I5" s="19"/>
      <c r="J5" s="19"/>
      <c r="K5" s="19"/>
      <c r="L5" s="19"/>
      <c r="M5" s="19"/>
      <c r="N5" s="19"/>
      <c r="O5" s="19"/>
      <c r="P5" s="64">
        <v>-68.66</v>
      </c>
      <c r="Q5" s="64">
        <v>157.94999999999999</v>
      </c>
      <c r="R5" s="64">
        <v>141.13999999999999</v>
      </c>
      <c r="S5" s="64">
        <v>151.18</v>
      </c>
      <c r="T5" s="121">
        <v>147.19</v>
      </c>
      <c r="U5" s="64">
        <v>149.4</v>
      </c>
      <c r="V5" s="64">
        <v>119.03</v>
      </c>
      <c r="W5" s="122">
        <v>227.05</v>
      </c>
      <c r="X5" s="123">
        <v>0.56562983150336743</v>
      </c>
      <c r="Y5" s="109">
        <v>-1.4310581461520529E-2</v>
      </c>
      <c r="Z5" s="109">
        <v>-3.7543937104141611E-2</v>
      </c>
      <c r="AA5" s="123">
        <v>0.1338567395906847</v>
      </c>
    </row>
    <row r="6" spans="1:27" ht="15" x14ac:dyDescent="0.25">
      <c r="A6" s="4">
        <v>260130</v>
      </c>
      <c r="B6" s="29" t="s">
        <v>811</v>
      </c>
      <c r="C6" s="19" t="s">
        <v>23</v>
      </c>
      <c r="D6" s="19" t="s">
        <v>812</v>
      </c>
      <c r="E6" s="19" t="s">
        <v>813</v>
      </c>
      <c r="F6" s="108">
        <v>11.9</v>
      </c>
      <c r="G6" s="64">
        <v>61.99</v>
      </c>
      <c r="H6" s="64">
        <v>68.16</v>
      </c>
      <c r="I6" s="64">
        <v>83.57</v>
      </c>
      <c r="J6" s="64">
        <v>76.41</v>
      </c>
      <c r="K6" s="64">
        <v>75.78</v>
      </c>
      <c r="L6" s="121">
        <v>102.53</v>
      </c>
      <c r="M6" s="121">
        <v>132.53</v>
      </c>
      <c r="N6" s="64">
        <v>110.81</v>
      </c>
      <c r="O6" s="121">
        <v>144.33000000000001</v>
      </c>
      <c r="P6" s="121">
        <v>162.33000000000001</v>
      </c>
      <c r="Q6" s="64">
        <v>141.36000000000001</v>
      </c>
      <c r="R6" s="64">
        <v>112.82</v>
      </c>
      <c r="S6" s="64">
        <v>82.31</v>
      </c>
      <c r="T6" s="64">
        <v>80.459999999999994</v>
      </c>
      <c r="U6" s="64">
        <v>74.08</v>
      </c>
      <c r="V6" s="64">
        <v>83.84</v>
      </c>
      <c r="W6" s="122">
        <v>120.63</v>
      </c>
      <c r="X6" s="109">
        <v>-0.1641273405236359</v>
      </c>
      <c r="Y6" s="109">
        <v>-0.16136227365391539</v>
      </c>
      <c r="Z6" s="109">
        <v>-8.2878142248405506E-2</v>
      </c>
      <c r="AA6" s="123">
        <v>0.1194923446318874</v>
      </c>
    </row>
    <row r="7" spans="1:27" ht="15" x14ac:dyDescent="0.25">
      <c r="A7" s="4">
        <v>260130</v>
      </c>
      <c r="B7" s="29" t="s">
        <v>814</v>
      </c>
      <c r="C7" s="19" t="s">
        <v>23</v>
      </c>
      <c r="D7" s="19" t="s">
        <v>99</v>
      </c>
      <c r="E7" s="19" t="s">
        <v>808</v>
      </c>
      <c r="F7" s="47">
        <v>8.6999999999999993</v>
      </c>
      <c r="G7" s="64">
        <v>280.92</v>
      </c>
      <c r="H7" s="64">
        <v>317.38</v>
      </c>
      <c r="I7" s="64">
        <v>352.42</v>
      </c>
      <c r="J7" s="64">
        <v>407.66</v>
      </c>
      <c r="K7" s="121">
        <v>441.73</v>
      </c>
      <c r="L7" s="64">
        <v>463.75</v>
      </c>
      <c r="M7" s="64">
        <v>485.4</v>
      </c>
      <c r="N7" s="64">
        <v>515.38</v>
      </c>
      <c r="O7" s="64">
        <v>603.30999999999995</v>
      </c>
      <c r="P7" s="64">
        <v>637.80999999999995</v>
      </c>
      <c r="Q7" s="64">
        <v>586.98</v>
      </c>
      <c r="R7" s="64">
        <v>691.11</v>
      </c>
      <c r="S7" s="64">
        <v>734.13</v>
      </c>
      <c r="T7" s="64">
        <v>766.08</v>
      </c>
      <c r="U7" s="64">
        <v>844.91</v>
      </c>
      <c r="V7" s="64">
        <v>952.4</v>
      </c>
      <c r="W7" s="67">
        <v>1020</v>
      </c>
      <c r="X7" s="109">
        <v>4.8403225623861117E-2</v>
      </c>
      <c r="Y7" s="109">
        <v>9.2837346578843016E-2</v>
      </c>
      <c r="Z7" s="109">
        <v>8.605738036973487E-2</v>
      </c>
      <c r="AA7" s="109">
        <v>8.6692423396977025E-2</v>
      </c>
    </row>
    <row r="8" spans="1:27" ht="15" x14ac:dyDescent="0.25">
      <c r="A8" s="4">
        <v>260130</v>
      </c>
      <c r="B8" s="29" t="s">
        <v>815</v>
      </c>
      <c r="C8" s="19" t="s">
        <v>23</v>
      </c>
      <c r="D8" s="19" t="s">
        <v>95</v>
      </c>
      <c r="E8" s="19" t="s">
        <v>808</v>
      </c>
      <c r="F8" s="47">
        <v>8</v>
      </c>
      <c r="G8" s="64">
        <v>79.180000000000007</v>
      </c>
      <c r="H8" s="64">
        <v>78.37</v>
      </c>
      <c r="I8" s="64">
        <v>77.25</v>
      </c>
      <c r="J8" s="64">
        <v>72.41</v>
      </c>
      <c r="K8" s="64">
        <v>73.31</v>
      </c>
      <c r="L8" s="64">
        <v>82.04</v>
      </c>
      <c r="M8" s="64">
        <v>85.72</v>
      </c>
      <c r="N8" s="64">
        <v>90.42</v>
      </c>
      <c r="O8" s="64">
        <v>90.84</v>
      </c>
      <c r="P8" s="64">
        <v>96.84</v>
      </c>
      <c r="Q8" s="64">
        <v>107.03</v>
      </c>
      <c r="R8" s="64">
        <v>113.17</v>
      </c>
      <c r="S8" s="64">
        <v>110.7</v>
      </c>
      <c r="T8" s="64">
        <v>108.08</v>
      </c>
      <c r="U8" s="64">
        <v>112.62</v>
      </c>
      <c r="V8" s="64">
        <v>125.62</v>
      </c>
      <c r="W8" s="67">
        <v>147.43</v>
      </c>
      <c r="X8" s="109">
        <v>2.6277645298545819E-2</v>
      </c>
      <c r="Y8" s="109">
        <v>1.2734065333272589E-2</v>
      </c>
      <c r="Z8" s="109">
        <v>2.8004588703691269E-2</v>
      </c>
      <c r="AA8" s="109">
        <v>8.0368474027394887E-2</v>
      </c>
    </row>
    <row r="9" spans="1:27" ht="15" x14ac:dyDescent="0.25">
      <c r="A9" s="4">
        <v>260130</v>
      </c>
      <c r="B9" s="29" t="s">
        <v>816</v>
      </c>
      <c r="C9" s="19" t="s">
        <v>23</v>
      </c>
      <c r="D9" s="19" t="s">
        <v>177</v>
      </c>
      <c r="E9" s="19" t="s">
        <v>808</v>
      </c>
      <c r="F9" s="47">
        <v>6.8</v>
      </c>
      <c r="G9" s="64">
        <v>362.84</v>
      </c>
      <c r="H9" s="64">
        <v>263.52</v>
      </c>
      <c r="I9" s="64">
        <v>233.61</v>
      </c>
      <c r="J9" s="64">
        <v>287.08999999999997</v>
      </c>
      <c r="K9" s="64">
        <v>302.89999999999998</v>
      </c>
      <c r="L9" s="64">
        <v>308.54000000000002</v>
      </c>
      <c r="M9" s="64">
        <v>288.73</v>
      </c>
      <c r="N9" s="64">
        <v>292.92</v>
      </c>
      <c r="O9" s="64">
        <v>289.97000000000003</v>
      </c>
      <c r="P9" s="64">
        <v>332.59</v>
      </c>
      <c r="Q9" s="64">
        <v>308.63</v>
      </c>
      <c r="R9" s="64">
        <v>349.25</v>
      </c>
      <c r="S9" s="64">
        <v>354.04</v>
      </c>
      <c r="T9" s="64">
        <v>346.43</v>
      </c>
      <c r="U9" s="64">
        <v>350.65</v>
      </c>
      <c r="V9" s="64">
        <v>401.94</v>
      </c>
      <c r="W9" s="67">
        <v>452.49</v>
      </c>
      <c r="X9" s="109">
        <v>1.029371295118664E-2</v>
      </c>
      <c r="Y9" s="109">
        <v>3.0934589759634919E-2</v>
      </c>
      <c r="Z9" s="109">
        <v>3.7625770332126551E-2</v>
      </c>
      <c r="AA9" s="109">
        <v>6.7753568331658798E-2</v>
      </c>
    </row>
    <row r="10" spans="1:27" ht="15" x14ac:dyDescent="0.25">
      <c r="A10" s="4">
        <v>260130</v>
      </c>
      <c r="B10" s="29" t="s">
        <v>817</v>
      </c>
      <c r="C10" s="19" t="s">
        <v>23</v>
      </c>
      <c r="D10" s="19" t="s">
        <v>29</v>
      </c>
      <c r="E10" s="19" t="s">
        <v>808</v>
      </c>
      <c r="F10" s="47">
        <v>5.8</v>
      </c>
      <c r="G10" s="64">
        <v>161.53</v>
      </c>
      <c r="H10" s="64">
        <v>166.86</v>
      </c>
      <c r="I10" s="64">
        <v>166.92</v>
      </c>
      <c r="J10" s="64">
        <v>175.31</v>
      </c>
      <c r="K10" s="64">
        <v>168.04</v>
      </c>
      <c r="L10" s="64">
        <v>172.47</v>
      </c>
      <c r="M10" s="64">
        <v>178.01</v>
      </c>
      <c r="N10" s="64">
        <v>171.86</v>
      </c>
      <c r="O10" s="64">
        <v>153.1</v>
      </c>
      <c r="P10" s="64">
        <v>167.98</v>
      </c>
      <c r="Q10" s="64">
        <v>175.15</v>
      </c>
      <c r="R10" s="64">
        <v>175.62</v>
      </c>
      <c r="S10" s="64">
        <v>175.55</v>
      </c>
      <c r="T10" s="64">
        <v>189.62</v>
      </c>
      <c r="U10" s="64">
        <v>201.03</v>
      </c>
      <c r="V10" s="64">
        <v>200.39</v>
      </c>
      <c r="W10" s="67">
        <v>220.11</v>
      </c>
      <c r="X10" s="109">
        <v>3.1168082961256172E-2</v>
      </c>
      <c r="Y10" s="109">
        <v>3.6148280582171788E-2</v>
      </c>
      <c r="Z10" s="109">
        <v>3.3390849532231481E-2</v>
      </c>
      <c r="AA10" s="109">
        <v>5.8127551885623241E-2</v>
      </c>
    </row>
    <row r="11" spans="1:27" ht="15" x14ac:dyDescent="0.25">
      <c r="A11" s="4">
        <v>260130</v>
      </c>
      <c r="B11" s="29" t="s">
        <v>818</v>
      </c>
      <c r="C11" s="19" t="s">
        <v>23</v>
      </c>
      <c r="D11" s="19" t="s">
        <v>24</v>
      </c>
      <c r="E11" s="19" t="s">
        <v>819</v>
      </c>
      <c r="F11" s="47">
        <v>4.8</v>
      </c>
      <c r="G11" s="19"/>
      <c r="H11" s="19"/>
      <c r="I11" s="19"/>
      <c r="J11" s="19"/>
      <c r="K11" s="19"/>
      <c r="L11" s="19"/>
      <c r="M11" s="19"/>
      <c r="N11" s="19"/>
      <c r="O11" s="19"/>
      <c r="P11" s="64">
        <v>202.71</v>
      </c>
      <c r="Q11" s="64">
        <v>187.66</v>
      </c>
      <c r="R11" s="64">
        <v>198.58</v>
      </c>
      <c r="S11" s="64">
        <v>235.26</v>
      </c>
      <c r="T11" s="64">
        <v>240.12</v>
      </c>
      <c r="U11" s="64">
        <v>230.47</v>
      </c>
      <c r="V11" s="64">
        <v>264.36</v>
      </c>
      <c r="W11" s="67">
        <v>281.94</v>
      </c>
      <c r="X11" s="109">
        <v>4.5388917872872143E-2</v>
      </c>
      <c r="Y11" s="109">
        <v>4.9685476196003053E-2</v>
      </c>
      <c r="Z11" s="109">
        <v>7.2730891279590315E-2</v>
      </c>
      <c r="AA11" s="109">
        <v>4.8113295059832417E-2</v>
      </c>
    </row>
    <row r="12" spans="1:27" ht="15" x14ac:dyDescent="0.25">
      <c r="A12" s="4">
        <v>260130</v>
      </c>
      <c r="B12" s="29" t="s">
        <v>820</v>
      </c>
      <c r="C12" s="19" t="s">
        <v>23</v>
      </c>
      <c r="D12" s="19" t="s">
        <v>79</v>
      </c>
      <c r="E12" s="19" t="s">
        <v>808</v>
      </c>
      <c r="F12" s="47">
        <v>4.2</v>
      </c>
      <c r="G12" s="64">
        <v>419.84</v>
      </c>
      <c r="H12" s="64">
        <v>468.25</v>
      </c>
      <c r="I12" s="64">
        <v>463.42</v>
      </c>
      <c r="J12" s="64">
        <v>493.64</v>
      </c>
      <c r="K12" s="64">
        <v>493.65</v>
      </c>
      <c r="L12" s="64">
        <v>550.76</v>
      </c>
      <c r="M12" s="64">
        <v>583.47</v>
      </c>
      <c r="N12" s="64">
        <v>575.85</v>
      </c>
      <c r="O12" s="64">
        <v>589.13</v>
      </c>
      <c r="P12" s="64">
        <v>590.23</v>
      </c>
      <c r="Q12" s="64">
        <v>572.92999999999995</v>
      </c>
      <c r="R12" s="64">
        <v>608.53</v>
      </c>
      <c r="S12" s="64">
        <v>541.64</v>
      </c>
      <c r="T12" s="64">
        <v>576.77</v>
      </c>
      <c r="U12" s="64">
        <v>657.86</v>
      </c>
      <c r="V12" s="64">
        <v>655.24</v>
      </c>
      <c r="W12" s="67">
        <v>644.4</v>
      </c>
      <c r="X12" s="109">
        <v>-5.8184521879715012E-3</v>
      </c>
      <c r="Y12" s="109">
        <v>3.6928174201150687E-2</v>
      </c>
      <c r="Z12" s="109">
        <v>1.95865481382087E-2</v>
      </c>
      <c r="AA12" s="109">
        <v>4.2261804393154863E-2</v>
      </c>
    </row>
    <row r="13" spans="1:27" ht="15" x14ac:dyDescent="0.25">
      <c r="A13" s="4">
        <v>260130</v>
      </c>
      <c r="B13" s="29" t="s">
        <v>821</v>
      </c>
      <c r="C13" s="19" t="s">
        <v>23</v>
      </c>
      <c r="D13" s="19" t="s">
        <v>29</v>
      </c>
      <c r="E13" s="19" t="s">
        <v>808</v>
      </c>
      <c r="F13" s="47">
        <v>4.0999999999999996</v>
      </c>
      <c r="G13" s="64">
        <v>334</v>
      </c>
      <c r="H13" s="64">
        <v>348</v>
      </c>
      <c r="I13" s="64">
        <v>368</v>
      </c>
      <c r="J13" s="64">
        <v>341</v>
      </c>
      <c r="K13" s="64">
        <v>294</v>
      </c>
      <c r="L13" s="64">
        <v>482</v>
      </c>
      <c r="M13" s="121">
        <v>1012</v>
      </c>
      <c r="N13" s="121">
        <v>980</v>
      </c>
      <c r="O13" s="64">
        <v>326</v>
      </c>
      <c r="P13" s="64">
        <v>439</v>
      </c>
      <c r="Q13" s="64">
        <v>281</v>
      </c>
      <c r="R13" s="64">
        <v>381</v>
      </c>
      <c r="S13" s="121">
        <v>480</v>
      </c>
      <c r="T13" s="64">
        <v>411</v>
      </c>
      <c r="U13" s="64">
        <v>432</v>
      </c>
      <c r="V13" s="64">
        <v>481</v>
      </c>
      <c r="W13" s="67">
        <v>554</v>
      </c>
      <c r="X13" s="109">
        <v>-1.771030993042377E-2</v>
      </c>
      <c r="Y13" s="109">
        <v>9.7231165486155735E-2</v>
      </c>
      <c r="Z13" s="109">
        <v>5.8685446009389741E-2</v>
      </c>
      <c r="AA13" s="109">
        <v>4.1019955654101992E-2</v>
      </c>
    </row>
    <row r="14" spans="1:27" ht="15" x14ac:dyDescent="0.25">
      <c r="A14" s="4">
        <v>260130</v>
      </c>
      <c r="B14" s="29" t="s">
        <v>822</v>
      </c>
      <c r="C14" s="19" t="s">
        <v>23</v>
      </c>
      <c r="D14" s="19" t="s">
        <v>172</v>
      </c>
      <c r="E14" s="19" t="s">
        <v>823</v>
      </c>
      <c r="F14" s="47">
        <v>3.6</v>
      </c>
      <c r="G14" s="64">
        <v>480.51</v>
      </c>
      <c r="H14" s="64">
        <v>501.59</v>
      </c>
      <c r="I14" s="64">
        <v>567.29999999999995</v>
      </c>
      <c r="J14" s="64">
        <v>617.41</v>
      </c>
      <c r="K14" s="64">
        <v>574.87</v>
      </c>
      <c r="L14" s="64">
        <v>568.88</v>
      </c>
      <c r="M14" s="64">
        <v>584.45000000000005</v>
      </c>
      <c r="N14" s="64">
        <v>649.02</v>
      </c>
      <c r="O14" s="64">
        <v>634.44000000000005</v>
      </c>
      <c r="P14" s="64">
        <v>705.73</v>
      </c>
      <c r="Q14" s="64">
        <v>768.42</v>
      </c>
      <c r="R14" s="64">
        <v>775.77</v>
      </c>
      <c r="S14" s="64">
        <v>749.55</v>
      </c>
      <c r="T14" s="64">
        <v>833.96</v>
      </c>
      <c r="U14" s="64">
        <v>890.16</v>
      </c>
      <c r="V14" s="64">
        <v>897.8</v>
      </c>
      <c r="W14" s="67">
        <v>870.96</v>
      </c>
      <c r="X14" s="109">
        <v>4.2750885989858212E-2</v>
      </c>
      <c r="Y14" s="109">
        <v>3.8923170380791072E-2</v>
      </c>
      <c r="Z14" s="109">
        <v>3.7554163178886053E-2</v>
      </c>
      <c r="AA14" s="109">
        <v>3.6010998169937913E-2</v>
      </c>
    </row>
    <row r="15" spans="1:27" ht="15" x14ac:dyDescent="0.25">
      <c r="A15" s="4">
        <v>260130</v>
      </c>
      <c r="B15" s="29" t="s">
        <v>824</v>
      </c>
      <c r="C15" s="19" t="s">
        <v>23</v>
      </c>
      <c r="D15" s="19" t="s">
        <v>29</v>
      </c>
      <c r="E15" s="19" t="s">
        <v>808</v>
      </c>
      <c r="F15" s="47">
        <v>3.6</v>
      </c>
      <c r="G15" s="64">
        <v>178.9</v>
      </c>
      <c r="H15" s="64">
        <v>181</v>
      </c>
      <c r="I15" s="64">
        <v>188.28</v>
      </c>
      <c r="J15" s="64">
        <v>205.41</v>
      </c>
      <c r="K15" s="64">
        <v>216.99</v>
      </c>
      <c r="L15" s="64">
        <v>207.47</v>
      </c>
      <c r="M15" s="64">
        <v>202.29</v>
      </c>
      <c r="N15" s="64">
        <v>195.75</v>
      </c>
      <c r="O15" s="64">
        <v>204.81</v>
      </c>
      <c r="P15" s="64">
        <v>199.5</v>
      </c>
      <c r="Q15" s="64">
        <v>202.82</v>
      </c>
      <c r="R15" s="64">
        <v>202.6</v>
      </c>
      <c r="S15" s="64">
        <v>188.88</v>
      </c>
      <c r="T15" s="64">
        <v>200.5</v>
      </c>
      <c r="U15" s="64">
        <v>213.04</v>
      </c>
      <c r="V15" s="64">
        <v>221.89</v>
      </c>
      <c r="W15" s="67">
        <v>218.15</v>
      </c>
      <c r="X15" s="109">
        <v>1.25976316452503E-3</v>
      </c>
      <c r="Y15" s="109">
        <v>1.2858580775037881E-2</v>
      </c>
      <c r="Z15" s="109">
        <v>2.3962137586643669E-2</v>
      </c>
      <c r="AA15" s="109">
        <v>3.5508485885164642E-2</v>
      </c>
    </row>
    <row r="16" spans="1:27" ht="15" x14ac:dyDescent="0.25">
      <c r="A16" s="4">
        <v>260130</v>
      </c>
      <c r="B16" s="29" t="s">
        <v>825</v>
      </c>
      <c r="C16" s="19" t="s">
        <v>23</v>
      </c>
      <c r="D16" s="19" t="s">
        <v>29</v>
      </c>
      <c r="E16" s="19" t="s">
        <v>808</v>
      </c>
      <c r="F16" s="47">
        <v>3.3</v>
      </c>
      <c r="G16" s="64">
        <v>24.3</v>
      </c>
      <c r="H16" s="64">
        <v>22.98</v>
      </c>
      <c r="I16" s="64">
        <v>25.76</v>
      </c>
      <c r="J16" s="64">
        <v>27.36</v>
      </c>
      <c r="K16" s="64">
        <v>27.54</v>
      </c>
      <c r="L16" s="64">
        <v>27.25</v>
      </c>
      <c r="M16" s="64">
        <v>27.22</v>
      </c>
      <c r="N16" s="64">
        <v>26.12</v>
      </c>
      <c r="O16" s="64">
        <v>26.23</v>
      </c>
      <c r="P16" s="64">
        <v>25.85</v>
      </c>
      <c r="Q16" s="64">
        <v>26.59</v>
      </c>
      <c r="R16" s="64">
        <v>27.58</v>
      </c>
      <c r="S16" s="64">
        <v>28.38</v>
      </c>
      <c r="T16" s="64">
        <v>29.43</v>
      </c>
      <c r="U16" s="64">
        <v>30.09</v>
      </c>
      <c r="V16" s="64">
        <v>31.26</v>
      </c>
      <c r="W16" s="67">
        <v>32.31</v>
      </c>
      <c r="X16" s="109">
        <v>3.3025830258302413E-2</v>
      </c>
      <c r="Y16" s="109">
        <v>3.1255581353813122E-2</v>
      </c>
      <c r="Z16" s="109">
        <v>3.1866989954970608E-2</v>
      </c>
      <c r="AA16" s="109">
        <v>3.2980866062437109E-2</v>
      </c>
    </row>
    <row r="17" spans="1:27" ht="15" x14ac:dyDescent="0.25">
      <c r="A17" s="4">
        <v>260130</v>
      </c>
      <c r="B17" s="29" t="s">
        <v>826</v>
      </c>
      <c r="C17" s="19" t="s">
        <v>23</v>
      </c>
      <c r="D17" s="19" t="s">
        <v>99</v>
      </c>
      <c r="E17" s="19" t="s">
        <v>808</v>
      </c>
      <c r="F17" s="47">
        <v>2.6</v>
      </c>
      <c r="G17" s="64">
        <v>12092</v>
      </c>
      <c r="H17" s="64">
        <v>11768</v>
      </c>
      <c r="I17" s="64">
        <v>12985</v>
      </c>
      <c r="J17" s="64">
        <v>12778</v>
      </c>
      <c r="K17" s="64">
        <v>13149</v>
      </c>
      <c r="L17" s="64">
        <v>13226</v>
      </c>
      <c r="M17" s="64">
        <v>13856</v>
      </c>
      <c r="N17" s="64">
        <v>14148</v>
      </c>
      <c r="O17" s="64">
        <v>14362</v>
      </c>
      <c r="P17" s="64">
        <v>14532</v>
      </c>
      <c r="Q17" s="64">
        <v>15065</v>
      </c>
      <c r="R17" s="64">
        <v>15280</v>
      </c>
      <c r="S17" s="64">
        <v>15887</v>
      </c>
      <c r="T17" s="64">
        <v>15817</v>
      </c>
      <c r="U17" s="64">
        <v>16451</v>
      </c>
      <c r="V17" s="64">
        <v>17139</v>
      </c>
      <c r="W17" s="67">
        <v>17566</v>
      </c>
      <c r="X17" s="109">
        <v>2.114738990191567E-2</v>
      </c>
      <c r="Y17" s="109">
        <v>2.2337185127882849E-2</v>
      </c>
      <c r="Z17" s="109">
        <v>2.9305588397572361E-2</v>
      </c>
      <c r="AA17" s="109">
        <v>2.571446074677608E-2</v>
      </c>
    </row>
    <row r="18" spans="1:27" ht="15" x14ac:dyDescent="0.25">
      <c r="A18" s="4">
        <v>260130</v>
      </c>
      <c r="B18" s="29" t="s">
        <v>827</v>
      </c>
      <c r="C18" s="19" t="s">
        <v>23</v>
      </c>
      <c r="D18" s="19" t="s">
        <v>106</v>
      </c>
      <c r="E18" s="19" t="s">
        <v>808</v>
      </c>
      <c r="F18" s="47">
        <v>2.1</v>
      </c>
      <c r="G18" s="64">
        <v>33.6</v>
      </c>
      <c r="H18" s="64">
        <v>37.369999999999997</v>
      </c>
      <c r="I18" s="64">
        <v>40.270000000000003</v>
      </c>
      <c r="J18" s="64">
        <v>40.630000000000003</v>
      </c>
      <c r="K18" s="64">
        <v>39.69</v>
      </c>
      <c r="L18" s="64">
        <v>41.83</v>
      </c>
      <c r="M18" s="64">
        <v>43.76</v>
      </c>
      <c r="N18" s="64">
        <v>45.32</v>
      </c>
      <c r="O18" s="64">
        <v>43.33</v>
      </c>
      <c r="P18" s="64">
        <v>45.09</v>
      </c>
      <c r="Q18" s="64">
        <v>48.07</v>
      </c>
      <c r="R18" s="64">
        <v>49.05</v>
      </c>
      <c r="S18" s="64">
        <v>45.97</v>
      </c>
      <c r="T18" s="64">
        <v>50.22</v>
      </c>
      <c r="U18" s="64">
        <v>53.63</v>
      </c>
      <c r="V18" s="64">
        <v>52.1</v>
      </c>
      <c r="W18" s="67">
        <v>50.2</v>
      </c>
      <c r="X18" s="109">
        <v>2.72611329578063E-2</v>
      </c>
      <c r="Y18" s="109">
        <v>2.8762091976617828E-2</v>
      </c>
      <c r="Z18" s="109">
        <v>1.533665208427615E-2</v>
      </c>
      <c r="AA18" s="109">
        <v>2.0948890649762131E-2</v>
      </c>
    </row>
    <row r="19" spans="1:27" ht="15" x14ac:dyDescent="0.25">
      <c r="A19" s="4">
        <v>260130</v>
      </c>
      <c r="B19" s="29" t="s">
        <v>828</v>
      </c>
      <c r="C19" s="19" t="s">
        <v>23</v>
      </c>
      <c r="D19" s="19" t="s">
        <v>79</v>
      </c>
      <c r="E19" s="19" t="s">
        <v>808</v>
      </c>
      <c r="F19" s="47">
        <v>1.9</v>
      </c>
      <c r="G19" s="64">
        <v>2119</v>
      </c>
      <c r="H19" s="64">
        <v>2124</v>
      </c>
      <c r="I19" s="64">
        <v>2081</v>
      </c>
      <c r="J19" s="64">
        <v>2302</v>
      </c>
      <c r="K19" s="64">
        <v>2335</v>
      </c>
      <c r="L19" s="64">
        <v>2493</v>
      </c>
      <c r="M19" s="64">
        <v>2635</v>
      </c>
      <c r="N19" s="64">
        <v>2596</v>
      </c>
      <c r="O19" s="64">
        <v>2751</v>
      </c>
      <c r="P19" s="64">
        <v>2615</v>
      </c>
      <c r="Q19" s="64">
        <v>2605</v>
      </c>
      <c r="R19" s="64">
        <v>2555</v>
      </c>
      <c r="S19" s="64">
        <v>2616</v>
      </c>
      <c r="T19" s="64">
        <v>2578</v>
      </c>
      <c r="U19" s="64">
        <v>2714</v>
      </c>
      <c r="V19" s="64">
        <v>2706</v>
      </c>
      <c r="W19" s="67">
        <v>2817</v>
      </c>
      <c r="X19" s="109">
        <v>-3.5607737465114249E-3</v>
      </c>
      <c r="Y19" s="109">
        <v>1.05273324319104E-2</v>
      </c>
      <c r="Z19" s="109">
        <v>1.4431807321036111E-2</v>
      </c>
      <c r="AA19" s="109">
        <v>1.8937252685132799E-2</v>
      </c>
    </row>
    <row r="20" spans="1:27" ht="15" x14ac:dyDescent="0.25">
      <c r="A20" s="4">
        <v>260130</v>
      </c>
      <c r="B20" s="29" t="s">
        <v>829</v>
      </c>
      <c r="C20" s="19" t="s">
        <v>23</v>
      </c>
      <c r="D20" s="19" t="s">
        <v>41</v>
      </c>
      <c r="E20" s="19" t="s">
        <v>823</v>
      </c>
      <c r="F20" s="47">
        <v>1.4</v>
      </c>
      <c r="G20" s="64">
        <v>2994</v>
      </c>
      <c r="H20" s="64">
        <v>2945</v>
      </c>
      <c r="I20" s="64">
        <v>3189</v>
      </c>
      <c r="J20" s="64">
        <v>0</v>
      </c>
      <c r="K20" s="64">
        <v>3175</v>
      </c>
      <c r="L20" s="64">
        <v>3200</v>
      </c>
      <c r="M20" s="64">
        <v>3034</v>
      </c>
      <c r="N20" s="64">
        <v>0</v>
      </c>
      <c r="O20" s="64">
        <v>2997</v>
      </c>
      <c r="P20" s="64">
        <v>2930</v>
      </c>
      <c r="Q20" s="64">
        <v>2986</v>
      </c>
      <c r="R20" s="64">
        <v>0</v>
      </c>
      <c r="S20" s="64">
        <v>2932</v>
      </c>
      <c r="T20" s="64">
        <v>2916</v>
      </c>
      <c r="U20" s="64">
        <v>3023</v>
      </c>
      <c r="V20" s="121">
        <v>3167</v>
      </c>
      <c r="W20" s="67">
        <v>3103</v>
      </c>
      <c r="X20" s="109">
        <v>-1.5822784810126671E-3</v>
      </c>
      <c r="Y20" s="109">
        <v>4.1883631424044498E-3</v>
      </c>
      <c r="Z20" s="123">
        <v>0.35700597452372912</v>
      </c>
      <c r="AA20" s="109">
        <v>1.4205017444758329E-2</v>
      </c>
    </row>
    <row r="21" spans="1:27" ht="15" x14ac:dyDescent="0.25">
      <c r="A21" s="4">
        <v>260130</v>
      </c>
      <c r="B21" s="29" t="s">
        <v>830</v>
      </c>
      <c r="C21" s="19" t="s">
        <v>23</v>
      </c>
      <c r="D21" s="19" t="s">
        <v>477</v>
      </c>
      <c r="E21" s="19" t="s">
        <v>808</v>
      </c>
      <c r="F21" s="47">
        <v>1.4</v>
      </c>
      <c r="G21" s="64">
        <v>4403</v>
      </c>
      <c r="H21" s="64">
        <v>4399</v>
      </c>
      <c r="I21" s="64">
        <v>4484</v>
      </c>
      <c r="J21" s="64">
        <v>4455</v>
      </c>
      <c r="K21" s="64">
        <v>4629</v>
      </c>
      <c r="L21" s="64">
        <v>4770</v>
      </c>
      <c r="M21" s="64">
        <v>4822</v>
      </c>
      <c r="N21" s="64">
        <v>4915</v>
      </c>
      <c r="O21" s="64">
        <v>4950</v>
      </c>
      <c r="P21" s="64">
        <v>5065</v>
      </c>
      <c r="Q21" s="64">
        <v>5058</v>
      </c>
      <c r="R21" s="64">
        <v>5033</v>
      </c>
      <c r="S21" s="64">
        <v>4945</v>
      </c>
      <c r="T21" s="64">
        <v>4911</v>
      </c>
      <c r="U21" s="64">
        <v>5110</v>
      </c>
      <c r="V21" s="64">
        <v>5131</v>
      </c>
      <c r="W21" s="67">
        <v>5230</v>
      </c>
      <c r="X21" s="109">
        <v>-7.6613103825680104E-3</v>
      </c>
      <c r="Y21" s="109">
        <v>2.6069083070134891E-3</v>
      </c>
      <c r="Z21" s="109">
        <v>4.9002450122506147E-3</v>
      </c>
      <c r="AA21" s="109">
        <v>1.4181221077772751E-2</v>
      </c>
    </row>
    <row r="22" spans="1:27" ht="15" x14ac:dyDescent="0.25">
      <c r="A22" s="4">
        <v>260130</v>
      </c>
      <c r="B22" s="29" t="s">
        <v>831</v>
      </c>
      <c r="C22" s="19" t="s">
        <v>23</v>
      </c>
      <c r="D22" s="19" t="s">
        <v>832</v>
      </c>
      <c r="E22" s="19" t="s">
        <v>808</v>
      </c>
      <c r="F22" s="47">
        <v>1.3</v>
      </c>
      <c r="G22" s="64">
        <v>917</v>
      </c>
      <c r="H22" s="64">
        <v>993</v>
      </c>
      <c r="I22" s="64">
        <v>1003</v>
      </c>
      <c r="J22" s="64">
        <v>905</v>
      </c>
      <c r="K22" s="64">
        <v>970</v>
      </c>
      <c r="L22" s="64">
        <v>1079</v>
      </c>
      <c r="M22" s="64">
        <v>940</v>
      </c>
      <c r="N22" s="64">
        <v>1029</v>
      </c>
      <c r="O22" s="64">
        <v>919</v>
      </c>
      <c r="P22" s="64">
        <v>1149</v>
      </c>
      <c r="Q22" s="64">
        <v>965</v>
      </c>
      <c r="R22" s="64">
        <v>1041</v>
      </c>
      <c r="S22" s="64">
        <v>891</v>
      </c>
      <c r="T22" s="64">
        <v>930</v>
      </c>
      <c r="U22" s="64">
        <v>929</v>
      </c>
      <c r="V22" s="64">
        <v>931</v>
      </c>
      <c r="W22" s="67">
        <v>938</v>
      </c>
      <c r="X22" s="109">
        <v>-5.4127533366287728E-2</v>
      </c>
      <c r="Y22" s="109">
        <v>-9.4068460935458065E-3</v>
      </c>
      <c r="Z22" s="109">
        <v>-2.9016090741229239E-2</v>
      </c>
      <c r="AA22" s="109">
        <v>1.2768269491985951E-2</v>
      </c>
    </row>
    <row r="23" spans="1:27" ht="15" x14ac:dyDescent="0.25">
      <c r="A23" s="4">
        <v>260130</v>
      </c>
      <c r="B23" s="29" t="s">
        <v>833</v>
      </c>
      <c r="C23" s="19" t="s">
        <v>23</v>
      </c>
      <c r="D23" s="19" t="s">
        <v>477</v>
      </c>
      <c r="E23" s="19" t="s">
        <v>808</v>
      </c>
      <c r="F23" s="47">
        <v>1</v>
      </c>
      <c r="G23" s="64">
        <v>1369</v>
      </c>
      <c r="H23" s="64">
        <v>1297</v>
      </c>
      <c r="I23" s="64">
        <v>1325</v>
      </c>
      <c r="J23" s="64">
        <v>1317</v>
      </c>
      <c r="K23" s="64">
        <v>1436</v>
      </c>
      <c r="L23" s="64">
        <v>1430</v>
      </c>
      <c r="M23" s="64">
        <v>1454</v>
      </c>
      <c r="N23" s="64">
        <v>1456</v>
      </c>
      <c r="O23" s="64">
        <v>1528</v>
      </c>
      <c r="P23" s="64">
        <v>1503</v>
      </c>
      <c r="Q23" s="64">
        <v>1511</v>
      </c>
      <c r="R23" s="64">
        <v>1511</v>
      </c>
      <c r="S23" s="64">
        <v>1582</v>
      </c>
      <c r="T23" s="64">
        <v>1467</v>
      </c>
      <c r="U23" s="64">
        <v>1506</v>
      </c>
      <c r="V23" s="64">
        <v>1586</v>
      </c>
      <c r="W23" s="67">
        <v>1644</v>
      </c>
      <c r="X23" s="109">
        <v>-5.8948747339119256E-3</v>
      </c>
      <c r="Y23" s="109">
        <v>-8.2358754735623041E-4</v>
      </c>
      <c r="Z23" s="109">
        <v>1.236399604352134E-2</v>
      </c>
      <c r="AA23" s="109">
        <v>1.009607555772685E-2</v>
      </c>
    </row>
    <row r="24" spans="1:27" ht="15" x14ac:dyDescent="0.25">
      <c r="A24" s="4">
        <v>260130</v>
      </c>
      <c r="B24" s="29" t="s">
        <v>834</v>
      </c>
      <c r="C24" s="19" t="s">
        <v>23</v>
      </c>
      <c r="D24" s="19" t="s">
        <v>649</v>
      </c>
      <c r="E24" s="19" t="s">
        <v>808</v>
      </c>
      <c r="F24" s="47">
        <v>0.9</v>
      </c>
      <c r="G24" s="64">
        <v>3080</v>
      </c>
      <c r="H24" s="64">
        <v>3670</v>
      </c>
      <c r="I24" s="64">
        <v>2983</v>
      </c>
      <c r="J24" s="64">
        <v>2696</v>
      </c>
      <c r="K24" s="64">
        <v>3130</v>
      </c>
      <c r="L24" s="64">
        <v>3871</v>
      </c>
      <c r="M24" s="64">
        <v>3177</v>
      </c>
      <c r="N24" s="64">
        <v>2953</v>
      </c>
      <c r="O24" s="64">
        <v>3375</v>
      </c>
      <c r="P24" s="64">
        <v>4070</v>
      </c>
      <c r="Q24" s="64">
        <v>3760</v>
      </c>
      <c r="R24" s="64">
        <v>3721</v>
      </c>
      <c r="S24" s="64">
        <v>4147</v>
      </c>
      <c r="T24" s="64">
        <v>4729</v>
      </c>
      <c r="U24" s="64">
        <v>4155</v>
      </c>
      <c r="V24" s="64">
        <v>3997</v>
      </c>
      <c r="W24" s="67">
        <v>4300</v>
      </c>
      <c r="X24" s="109">
        <v>4.1979870047139663E-2</v>
      </c>
      <c r="Y24" s="109">
        <v>2.4148682521244691E-2</v>
      </c>
      <c r="Z24" s="109">
        <v>1.6475644699140309E-2</v>
      </c>
      <c r="AA24" s="109">
        <v>8.9852008456658972E-3</v>
      </c>
    </row>
    <row r="25" spans="1:27" ht="15" x14ac:dyDescent="0.25">
      <c r="A25" s="4">
        <v>260130</v>
      </c>
      <c r="B25" s="29" t="s">
        <v>835</v>
      </c>
      <c r="C25" s="19" t="s">
        <v>23</v>
      </c>
      <c r="D25" s="19" t="s">
        <v>95</v>
      </c>
      <c r="E25" s="19" t="s">
        <v>823</v>
      </c>
      <c r="F25" s="47">
        <v>0.9</v>
      </c>
      <c r="G25" s="64">
        <v>2224</v>
      </c>
      <c r="H25" s="64">
        <v>2081</v>
      </c>
      <c r="I25" s="64">
        <v>2031</v>
      </c>
      <c r="J25" s="64">
        <v>1939</v>
      </c>
      <c r="K25" s="64">
        <v>1967</v>
      </c>
      <c r="L25" s="64">
        <v>1927</v>
      </c>
      <c r="M25" s="64">
        <v>1969</v>
      </c>
      <c r="N25" s="64">
        <v>1986</v>
      </c>
      <c r="O25" s="64">
        <v>1991</v>
      </c>
      <c r="P25" s="64">
        <v>2153</v>
      </c>
      <c r="Q25" s="64">
        <v>2123</v>
      </c>
      <c r="R25" s="64">
        <v>2211</v>
      </c>
      <c r="S25" s="64">
        <v>2252</v>
      </c>
      <c r="T25" s="64">
        <v>2111</v>
      </c>
      <c r="U25" s="64">
        <v>2064</v>
      </c>
      <c r="V25" s="64">
        <v>2344</v>
      </c>
      <c r="W25" s="67">
        <v>2327</v>
      </c>
      <c r="X25" s="109">
        <v>-4.8060418812221339E-3</v>
      </c>
      <c r="Y25" s="109">
        <v>-6.7839484879843592E-3</v>
      </c>
      <c r="Z25" s="109">
        <v>1.539708265802275E-2</v>
      </c>
      <c r="AA25" s="109">
        <v>8.5509063960780285E-3</v>
      </c>
    </row>
    <row r="26" spans="1:27" ht="15" x14ac:dyDescent="0.25">
      <c r="A26" s="4">
        <v>260130</v>
      </c>
      <c r="B26" s="29" t="s">
        <v>836</v>
      </c>
      <c r="C26" s="19" t="s">
        <v>23</v>
      </c>
      <c r="D26" s="19" t="s">
        <v>837</v>
      </c>
      <c r="E26" s="19" t="s">
        <v>808</v>
      </c>
      <c r="F26" s="47">
        <v>0.7</v>
      </c>
      <c r="G26" s="64">
        <v>4952</v>
      </c>
      <c r="H26" s="64">
        <v>2965</v>
      </c>
      <c r="I26" s="64">
        <v>2857</v>
      </c>
      <c r="J26" s="64">
        <v>2936</v>
      </c>
      <c r="K26" s="64">
        <v>3414</v>
      </c>
      <c r="L26" s="64">
        <v>3162</v>
      </c>
      <c r="M26" s="64">
        <v>3158</v>
      </c>
      <c r="N26" s="64">
        <v>3363</v>
      </c>
      <c r="O26" s="64">
        <v>3434</v>
      </c>
      <c r="P26" s="64">
        <v>3145</v>
      </c>
      <c r="Q26" s="64">
        <v>3547</v>
      </c>
      <c r="R26" s="64">
        <v>3721</v>
      </c>
      <c r="S26" s="64">
        <v>3789</v>
      </c>
      <c r="T26" s="64">
        <v>3029</v>
      </c>
      <c r="U26" s="64">
        <v>3676</v>
      </c>
      <c r="V26" s="64">
        <v>3754</v>
      </c>
      <c r="W26" s="67">
        <v>3884</v>
      </c>
      <c r="X26" s="109">
        <v>-8.1678636811716165E-3</v>
      </c>
      <c r="Y26" s="109">
        <v>9.1580292488995241E-3</v>
      </c>
      <c r="Z26" s="109">
        <v>2.3214913823426109E-3</v>
      </c>
      <c r="AA26" s="109">
        <v>6.667602470522116E-3</v>
      </c>
    </row>
    <row r="27" spans="1:27" ht="15" x14ac:dyDescent="0.25">
      <c r="A27" s="4">
        <v>260130</v>
      </c>
      <c r="B27" s="29" t="s">
        <v>838</v>
      </c>
      <c r="C27" s="19" t="s">
        <v>23</v>
      </c>
      <c r="D27" s="19" t="s">
        <v>141</v>
      </c>
      <c r="E27" s="19" t="s">
        <v>808</v>
      </c>
      <c r="F27" s="47">
        <v>0.5</v>
      </c>
      <c r="G27" s="64">
        <v>34067</v>
      </c>
      <c r="H27" s="64">
        <v>33554</v>
      </c>
      <c r="I27" s="64">
        <v>33789</v>
      </c>
      <c r="J27" s="64">
        <v>34241</v>
      </c>
      <c r="K27" s="64">
        <v>35251</v>
      </c>
      <c r="L27" s="64">
        <v>32912</v>
      </c>
      <c r="M27" s="64">
        <v>32596</v>
      </c>
      <c r="N27" s="64">
        <v>33336</v>
      </c>
      <c r="O27" s="64">
        <v>35130</v>
      </c>
      <c r="P27" s="64">
        <v>32981</v>
      </c>
      <c r="Q27" s="64">
        <v>32796</v>
      </c>
      <c r="R27" s="64">
        <v>33330</v>
      </c>
      <c r="S27" s="64">
        <v>35681</v>
      </c>
      <c r="T27" s="64">
        <v>33485</v>
      </c>
      <c r="U27" s="64">
        <v>34504</v>
      </c>
      <c r="V27" s="64">
        <v>33821</v>
      </c>
      <c r="W27" s="67">
        <v>36381</v>
      </c>
      <c r="X27" s="109">
        <v>3.7392052704987582E-3</v>
      </c>
      <c r="Y27" s="109">
        <v>1.262454542766767E-2</v>
      </c>
      <c r="Z27" s="109">
        <v>3.583941605839414E-3</v>
      </c>
      <c r="AA27" s="109">
        <v>5.0912423358620007E-3</v>
      </c>
    </row>
    <row r="28" spans="1:27" ht="15" x14ac:dyDescent="0.25">
      <c r="A28" s="4">
        <v>260130</v>
      </c>
      <c r="B28" s="29" t="s">
        <v>839</v>
      </c>
      <c r="C28" s="19" t="s">
        <v>23</v>
      </c>
      <c r="D28" s="19" t="s">
        <v>166</v>
      </c>
      <c r="E28" s="19" t="s">
        <v>808</v>
      </c>
      <c r="F28" s="47">
        <v>-0.3</v>
      </c>
      <c r="G28" s="64">
        <v>82885</v>
      </c>
      <c r="H28" s="64">
        <v>87962</v>
      </c>
      <c r="I28" s="64">
        <v>111993</v>
      </c>
      <c r="J28" s="64">
        <v>107438</v>
      </c>
      <c r="K28" s="64">
        <v>93790</v>
      </c>
      <c r="L28" s="64">
        <v>84183</v>
      </c>
      <c r="M28" s="64">
        <v>80256</v>
      </c>
      <c r="N28" s="64">
        <v>88570</v>
      </c>
      <c r="O28" s="64">
        <v>81688</v>
      </c>
      <c r="P28" s="64">
        <v>80411</v>
      </c>
      <c r="Q28" s="64">
        <v>89986</v>
      </c>
      <c r="R28" s="64">
        <v>87792</v>
      </c>
      <c r="S28" s="64">
        <v>81058</v>
      </c>
      <c r="T28" s="64">
        <v>81058</v>
      </c>
      <c r="U28" s="64">
        <v>79477</v>
      </c>
      <c r="V28" s="64">
        <v>83331</v>
      </c>
      <c r="W28" s="67">
        <v>80039</v>
      </c>
      <c r="X28" s="109">
        <v>1.907164985983645E-3</v>
      </c>
      <c r="Y28" s="109">
        <v>-3.0918462814877531E-2</v>
      </c>
      <c r="Z28" s="109">
        <v>-1.3543421831595291E-2</v>
      </c>
      <c r="AA28" s="109">
        <v>-3.136117984513298E-3</v>
      </c>
    </row>
    <row r="29" spans="1:27" ht="15" x14ac:dyDescent="0.25">
      <c r="A29" s="4">
        <v>260130</v>
      </c>
      <c r="B29" s="29" t="s">
        <v>840</v>
      </c>
      <c r="C29" s="19" t="s">
        <v>23</v>
      </c>
      <c r="D29" s="19" t="s">
        <v>141</v>
      </c>
      <c r="E29" s="19" t="s">
        <v>808</v>
      </c>
      <c r="F29" s="47">
        <v>-0.6</v>
      </c>
      <c r="G29" s="64">
        <v>13212</v>
      </c>
      <c r="H29" s="64">
        <v>13200</v>
      </c>
      <c r="I29" s="64">
        <v>13598</v>
      </c>
      <c r="J29" s="64">
        <v>13550</v>
      </c>
      <c r="K29" s="64">
        <v>13674</v>
      </c>
      <c r="L29" s="64">
        <v>13653</v>
      </c>
      <c r="M29" s="64">
        <v>13659</v>
      </c>
      <c r="N29" s="64">
        <v>13584</v>
      </c>
      <c r="O29" s="64">
        <v>13711</v>
      </c>
      <c r="P29" s="64">
        <v>13679</v>
      </c>
      <c r="Q29" s="64">
        <v>13685</v>
      </c>
      <c r="R29" s="64">
        <v>13795</v>
      </c>
      <c r="S29" s="64">
        <v>13926</v>
      </c>
      <c r="T29" s="64">
        <v>13735</v>
      </c>
      <c r="U29" s="64">
        <v>13766</v>
      </c>
      <c r="V29" s="64">
        <v>13672</v>
      </c>
      <c r="W29" s="67">
        <v>13601</v>
      </c>
      <c r="X29" s="109">
        <v>1.0166106925659779E-3</v>
      </c>
      <c r="Y29" s="109">
        <v>1.468961389891277E-3</v>
      </c>
      <c r="Z29" s="109">
        <v>-2.2273731483828389E-3</v>
      </c>
      <c r="AA29" s="109">
        <v>-5.8984736565091964E-3</v>
      </c>
    </row>
    <row r="30" spans="1:27" ht="15" x14ac:dyDescent="0.25">
      <c r="A30" s="4">
        <v>260130</v>
      </c>
      <c r="B30" s="29" t="s">
        <v>841</v>
      </c>
      <c r="C30" s="19" t="s">
        <v>23</v>
      </c>
      <c r="D30" s="19" t="s">
        <v>699</v>
      </c>
      <c r="E30" s="19" t="s">
        <v>808</v>
      </c>
      <c r="F30" s="47">
        <v>-0.7</v>
      </c>
      <c r="G30" s="64">
        <v>1185</v>
      </c>
      <c r="H30" s="64">
        <v>1268</v>
      </c>
      <c r="I30" s="64">
        <v>1322</v>
      </c>
      <c r="J30" s="64">
        <v>1276</v>
      </c>
      <c r="K30" s="64">
        <v>1163</v>
      </c>
      <c r="L30" s="64">
        <v>1106</v>
      </c>
      <c r="M30" s="64">
        <v>1103</v>
      </c>
      <c r="N30" s="64">
        <v>1128</v>
      </c>
      <c r="O30" s="64">
        <v>1090</v>
      </c>
      <c r="P30" s="64">
        <v>1036</v>
      </c>
      <c r="Q30" s="64">
        <v>1078</v>
      </c>
      <c r="R30" s="64">
        <v>1063</v>
      </c>
      <c r="S30" s="64">
        <v>1002</v>
      </c>
      <c r="T30" s="64">
        <v>967.08</v>
      </c>
      <c r="U30" s="64">
        <v>1022</v>
      </c>
      <c r="V30" s="64">
        <v>1048</v>
      </c>
      <c r="W30" s="67">
        <v>972.69</v>
      </c>
      <c r="X30" s="109">
        <v>-1.6491983728164631E-2</v>
      </c>
      <c r="Y30" s="109">
        <v>-1.3625038928682611E-2</v>
      </c>
      <c r="Z30" s="109">
        <v>-3.6999763201515101E-3</v>
      </c>
      <c r="AA30" s="109">
        <v>-7.2566029887993766E-3</v>
      </c>
    </row>
    <row r="31" spans="1:27" ht="15" x14ac:dyDescent="0.25">
      <c r="A31" s="4">
        <v>260130</v>
      </c>
      <c r="B31" s="29" t="s">
        <v>842</v>
      </c>
      <c r="C31" s="19" t="s">
        <v>23</v>
      </c>
      <c r="D31" s="19" t="s">
        <v>93</v>
      </c>
      <c r="E31" s="19" t="s">
        <v>808</v>
      </c>
      <c r="F31" s="47">
        <v>-1.2</v>
      </c>
      <c r="G31" s="64">
        <v>13480</v>
      </c>
      <c r="H31" s="64">
        <v>13427</v>
      </c>
      <c r="I31" s="64">
        <v>14607</v>
      </c>
      <c r="J31" s="64">
        <v>14711</v>
      </c>
      <c r="K31" s="64">
        <v>14640</v>
      </c>
      <c r="L31" s="64">
        <v>13758</v>
      </c>
      <c r="M31" s="64">
        <v>13506</v>
      </c>
      <c r="N31" s="64">
        <v>14399</v>
      </c>
      <c r="O31" s="64">
        <v>13405</v>
      </c>
      <c r="P31" s="64">
        <v>12015</v>
      </c>
      <c r="Q31" s="64">
        <v>11946</v>
      </c>
      <c r="R31" s="64">
        <v>9232</v>
      </c>
      <c r="S31" s="64">
        <v>7427</v>
      </c>
      <c r="T31" s="64">
        <v>6749</v>
      </c>
      <c r="U31" s="64">
        <v>6695</v>
      </c>
      <c r="V31" s="64">
        <v>6919</v>
      </c>
      <c r="W31" s="67">
        <v>7094</v>
      </c>
      <c r="X31" s="109">
        <v>-0.12964057114721819</v>
      </c>
      <c r="Y31" s="109">
        <v>-0.14852633365390061</v>
      </c>
      <c r="Z31" s="109">
        <v>-7.6836195728000489E-2</v>
      </c>
      <c r="AA31" s="109">
        <v>-1.198272759985608E-2</v>
      </c>
    </row>
    <row r="32" spans="1:27" ht="15" x14ac:dyDescent="0.25">
      <c r="A32" s="4">
        <v>260130</v>
      </c>
      <c r="B32" s="29" t="s">
        <v>843</v>
      </c>
      <c r="C32" s="19" t="s">
        <v>23</v>
      </c>
      <c r="D32" s="19" t="s">
        <v>166</v>
      </c>
      <c r="E32" s="19" t="s">
        <v>808</v>
      </c>
      <c r="F32" s="47">
        <v>-1.6</v>
      </c>
      <c r="G32" s="64">
        <v>45322</v>
      </c>
      <c r="H32" s="64">
        <v>51821</v>
      </c>
      <c r="I32" s="64">
        <v>66305</v>
      </c>
      <c r="J32" s="64">
        <v>64244</v>
      </c>
      <c r="K32" s="64">
        <v>53546</v>
      </c>
      <c r="L32" s="64">
        <v>49211</v>
      </c>
      <c r="M32" s="64">
        <v>47533</v>
      </c>
      <c r="N32" s="64">
        <v>52775</v>
      </c>
      <c r="O32" s="64">
        <v>45280</v>
      </c>
      <c r="P32" s="64">
        <v>47215</v>
      </c>
      <c r="Q32" s="64">
        <v>49778</v>
      </c>
      <c r="R32" s="64">
        <v>49416</v>
      </c>
      <c r="S32" s="64">
        <v>49159</v>
      </c>
      <c r="T32" s="64">
        <v>46265</v>
      </c>
      <c r="U32" s="64">
        <v>44516</v>
      </c>
      <c r="V32" s="64">
        <v>48747</v>
      </c>
      <c r="W32" s="67">
        <v>46210</v>
      </c>
      <c r="X32" s="109">
        <v>-4.8576454225640608E-3</v>
      </c>
      <c r="Y32" s="109">
        <v>-2.703758131313649E-2</v>
      </c>
      <c r="Z32" s="109">
        <v>-3.5330277361160789E-3</v>
      </c>
      <c r="AA32" s="109">
        <v>-1.5629057645730748E-2</v>
      </c>
    </row>
    <row r="33" spans="1:27" ht="15" x14ac:dyDescent="0.25">
      <c r="A33" s="4">
        <v>260130</v>
      </c>
      <c r="B33" s="29" t="s">
        <v>844</v>
      </c>
      <c r="C33" s="19" t="s">
        <v>23</v>
      </c>
      <c r="D33" s="19" t="s">
        <v>166</v>
      </c>
      <c r="E33" s="19" t="s">
        <v>808</v>
      </c>
      <c r="F33" s="47">
        <v>-2.9</v>
      </c>
      <c r="G33" s="64">
        <v>12295</v>
      </c>
      <c r="H33" s="64">
        <v>12657</v>
      </c>
      <c r="I33" s="64">
        <v>17285</v>
      </c>
      <c r="J33" s="64">
        <v>15071</v>
      </c>
      <c r="K33" s="64">
        <v>14400</v>
      </c>
      <c r="L33" s="64">
        <v>12057</v>
      </c>
      <c r="M33" s="64">
        <v>11764</v>
      </c>
      <c r="N33" s="64">
        <v>13873</v>
      </c>
      <c r="O33" s="64">
        <v>13202</v>
      </c>
      <c r="P33" s="64">
        <v>12249</v>
      </c>
      <c r="Q33" s="64">
        <v>13348</v>
      </c>
      <c r="R33" s="64">
        <v>13215</v>
      </c>
      <c r="S33" s="64">
        <v>12702</v>
      </c>
      <c r="T33" s="64">
        <v>12466</v>
      </c>
      <c r="U33" s="64">
        <v>11208</v>
      </c>
      <c r="V33" s="64">
        <v>11994</v>
      </c>
      <c r="W33" s="67">
        <v>11280</v>
      </c>
      <c r="X33" s="109">
        <v>4.2124471017588316E-3</v>
      </c>
      <c r="Y33" s="109">
        <v>-4.1367845199203557E-2</v>
      </c>
      <c r="Z33" s="109">
        <v>-2.4621403077171311E-2</v>
      </c>
      <c r="AA33" s="109">
        <v>-2.9398387430225381E-2</v>
      </c>
    </row>
    <row r="34" spans="1:27" ht="15" x14ac:dyDescent="0.25">
      <c r="A34" s="4">
        <v>260130</v>
      </c>
      <c r="B34" s="92">
        <v>8550</v>
      </c>
      <c r="C34" s="93" t="s">
        <v>67</v>
      </c>
      <c r="D34" s="124" t="s">
        <v>845</v>
      </c>
      <c r="E34" s="93" t="s">
        <v>819</v>
      </c>
      <c r="F34" s="125">
        <v>33.4</v>
      </c>
      <c r="G34" s="126">
        <v>9261</v>
      </c>
      <c r="H34" s="126">
        <v>9547</v>
      </c>
      <c r="I34" s="126">
        <v>11915</v>
      </c>
      <c r="J34" s="126">
        <v>10457</v>
      </c>
      <c r="K34" s="126">
        <v>11143</v>
      </c>
      <c r="L34" s="126">
        <v>8064</v>
      </c>
      <c r="M34" s="126">
        <v>9243</v>
      </c>
      <c r="N34" s="126">
        <v>10474</v>
      </c>
      <c r="O34" s="126">
        <v>10896</v>
      </c>
      <c r="P34" s="126">
        <v>8660</v>
      </c>
      <c r="Q34" s="126">
        <v>10606</v>
      </c>
      <c r="R34" s="126">
        <v>7289</v>
      </c>
      <c r="S34" s="126">
        <v>11295</v>
      </c>
      <c r="T34" s="126">
        <v>-26917</v>
      </c>
      <c r="U34" s="126">
        <v>9687</v>
      </c>
      <c r="V34" s="127">
        <v>11199</v>
      </c>
      <c r="W34" s="128">
        <v>13055</v>
      </c>
      <c r="X34" s="129">
        <v>-0.93994715984147947</v>
      </c>
      <c r="Y34" s="129">
        <v>-0.40431148262208538</v>
      </c>
      <c r="Z34" s="130">
        <v>2.8877400295420981</v>
      </c>
      <c r="AA34" s="130">
        <v>0.33434650455927062</v>
      </c>
    </row>
    <row r="35" spans="1:27" ht="15" x14ac:dyDescent="0.25">
      <c r="A35" s="4">
        <v>260130</v>
      </c>
      <c r="B35" s="29">
        <v>6777</v>
      </c>
      <c r="C35" s="19" t="s">
        <v>67</v>
      </c>
      <c r="D35" s="46" t="s">
        <v>846</v>
      </c>
      <c r="E35" s="19" t="s">
        <v>819</v>
      </c>
      <c r="F35" s="108">
        <v>12.7</v>
      </c>
      <c r="G35" s="64">
        <v>2188</v>
      </c>
      <c r="H35" s="64">
        <v>3070</v>
      </c>
      <c r="I35" s="64">
        <v>3188</v>
      </c>
      <c r="J35" s="64">
        <v>3487</v>
      </c>
      <c r="K35" s="121">
        <v>3914</v>
      </c>
      <c r="L35" s="121">
        <v>4657</v>
      </c>
      <c r="M35" s="64">
        <v>3583</v>
      </c>
      <c r="N35" s="64">
        <v>4064</v>
      </c>
      <c r="O35" s="64">
        <v>4327</v>
      </c>
      <c r="P35" s="121">
        <v>6893</v>
      </c>
      <c r="Q35" s="121">
        <v>6306</v>
      </c>
      <c r="R35" s="64">
        <v>5691</v>
      </c>
      <c r="S35" s="64">
        <v>5316</v>
      </c>
      <c r="T35" s="64">
        <v>6713</v>
      </c>
      <c r="U35" s="64">
        <v>6186</v>
      </c>
      <c r="V35" s="64">
        <v>6592</v>
      </c>
      <c r="W35" s="122">
        <v>8470</v>
      </c>
      <c r="X35" s="109">
        <v>-7.436172849706657E-3</v>
      </c>
      <c r="Y35" s="109">
        <v>-4.9945891950387011E-3</v>
      </c>
      <c r="Z35" s="109">
        <v>3.7689283025182041E-2</v>
      </c>
      <c r="AA35" s="123">
        <v>0.12714153263191849</v>
      </c>
    </row>
    <row r="36" spans="1:27" ht="15" x14ac:dyDescent="0.25">
      <c r="A36" s="4">
        <v>260130</v>
      </c>
      <c r="B36" s="29">
        <v>6331</v>
      </c>
      <c r="C36" s="19" t="s">
        <v>67</v>
      </c>
      <c r="D36" s="46" t="s">
        <v>847</v>
      </c>
      <c r="E36" s="19" t="s">
        <v>819</v>
      </c>
      <c r="F36" s="108">
        <v>12.3</v>
      </c>
      <c r="G36" s="64">
        <v>10538</v>
      </c>
      <c r="H36" s="64">
        <v>13501</v>
      </c>
      <c r="I36" s="64">
        <v>8957</v>
      </c>
      <c r="J36" s="64">
        <v>12243</v>
      </c>
      <c r="K36" s="64">
        <v>10175</v>
      </c>
      <c r="L36" s="64">
        <v>13215</v>
      </c>
      <c r="M36" s="64">
        <v>9243</v>
      </c>
      <c r="N36" s="64">
        <v>12902</v>
      </c>
      <c r="O36" s="64">
        <v>12075</v>
      </c>
      <c r="P36" s="64">
        <v>13554</v>
      </c>
      <c r="Q36" s="64">
        <v>11944</v>
      </c>
      <c r="R36" s="64">
        <v>14679</v>
      </c>
      <c r="S36" s="64">
        <v>14690</v>
      </c>
      <c r="T36" s="64">
        <v>17889</v>
      </c>
      <c r="U36" s="64">
        <v>15813</v>
      </c>
      <c r="V36" s="64">
        <v>20310</v>
      </c>
      <c r="W36" s="122">
        <v>23150</v>
      </c>
      <c r="X36" s="109">
        <v>7.9009240527092794E-2</v>
      </c>
      <c r="Y36" s="109">
        <v>6.5352521874260994E-2</v>
      </c>
      <c r="Z36" s="109">
        <v>8.9280334860712518E-2</v>
      </c>
      <c r="AA36" s="123">
        <v>0.1231405199266398</v>
      </c>
    </row>
    <row r="37" spans="1:27" ht="15" x14ac:dyDescent="0.25">
      <c r="A37" s="4">
        <v>260130</v>
      </c>
      <c r="B37" s="29">
        <v>8345</v>
      </c>
      <c r="C37" s="19" t="s">
        <v>67</v>
      </c>
      <c r="D37" s="46" t="s">
        <v>848</v>
      </c>
      <c r="E37" s="19" t="s">
        <v>819</v>
      </c>
      <c r="F37" s="108">
        <v>11.3</v>
      </c>
      <c r="G37" s="64">
        <v>10189</v>
      </c>
      <c r="H37" s="64">
        <v>8142</v>
      </c>
      <c r="I37" s="64">
        <v>11594</v>
      </c>
      <c r="J37" s="64">
        <v>11452</v>
      </c>
      <c r="K37" s="64">
        <v>13951</v>
      </c>
      <c r="L37" s="64">
        <v>2403</v>
      </c>
      <c r="M37" s="64">
        <v>10474</v>
      </c>
      <c r="N37" s="64">
        <v>10609</v>
      </c>
      <c r="O37" s="64">
        <v>10051</v>
      </c>
      <c r="P37" s="121">
        <v>9375</v>
      </c>
      <c r="Q37" s="64">
        <v>11508</v>
      </c>
      <c r="R37" s="64">
        <v>10888</v>
      </c>
      <c r="S37" s="64">
        <v>12165</v>
      </c>
      <c r="T37" s="64">
        <v>9396</v>
      </c>
      <c r="U37" s="64">
        <v>12494</v>
      </c>
      <c r="V37" s="64">
        <v>14761</v>
      </c>
      <c r="W37" s="122">
        <v>17685</v>
      </c>
      <c r="X37" s="109">
        <v>4.7796795338683751E-4</v>
      </c>
      <c r="Y37" s="109">
        <v>2.243101212548626E-2</v>
      </c>
      <c r="Z37" s="109">
        <v>8.6175822708764338E-2</v>
      </c>
      <c r="AA37" s="123">
        <v>0.1130776794493609</v>
      </c>
    </row>
    <row r="38" spans="1:27" ht="15" x14ac:dyDescent="0.25">
      <c r="A38" s="4">
        <v>260130</v>
      </c>
      <c r="B38" s="29">
        <v>6946</v>
      </c>
      <c r="C38" s="19" t="s">
        <v>67</v>
      </c>
      <c r="D38" s="46" t="s">
        <v>849</v>
      </c>
      <c r="E38" s="19" t="s">
        <v>819</v>
      </c>
      <c r="F38" s="108">
        <v>10.4</v>
      </c>
      <c r="G38" s="64">
        <v>4532</v>
      </c>
      <c r="H38" s="64">
        <v>5050</v>
      </c>
      <c r="I38" s="64">
        <v>3263</v>
      </c>
      <c r="J38" s="64">
        <v>4599</v>
      </c>
      <c r="K38" s="64">
        <v>4762</v>
      </c>
      <c r="L38" s="64">
        <v>5130</v>
      </c>
      <c r="M38" s="64">
        <v>3605</v>
      </c>
      <c r="N38" s="64">
        <v>5064</v>
      </c>
      <c r="O38" s="64">
        <v>4584</v>
      </c>
      <c r="P38" s="64">
        <v>4802</v>
      </c>
      <c r="Q38" s="64">
        <v>4087</v>
      </c>
      <c r="R38" s="64">
        <v>5019</v>
      </c>
      <c r="S38" s="64">
        <v>4564</v>
      </c>
      <c r="T38" s="64">
        <v>6452</v>
      </c>
      <c r="U38" s="64">
        <v>5037</v>
      </c>
      <c r="V38" s="121">
        <v>7666</v>
      </c>
      <c r="W38" s="122">
        <v>7023</v>
      </c>
      <c r="X38" s="109">
        <v>8.9324382849718553E-2</v>
      </c>
      <c r="Y38" s="109">
        <v>4.7212006758771567E-2</v>
      </c>
      <c r="Z38" s="123">
        <v>0.12561693242217159</v>
      </c>
      <c r="AA38" s="123">
        <v>0.1036721615582445</v>
      </c>
    </row>
    <row r="39" spans="1:27" ht="15" x14ac:dyDescent="0.25">
      <c r="A39" s="4">
        <v>260130</v>
      </c>
      <c r="B39" s="29">
        <v>8316</v>
      </c>
      <c r="C39" s="19" t="s">
        <v>67</v>
      </c>
      <c r="D39" s="46" t="s">
        <v>850</v>
      </c>
      <c r="E39" s="19" t="s">
        <v>819</v>
      </c>
      <c r="F39" s="47">
        <v>8.3000000000000007</v>
      </c>
      <c r="G39" s="64">
        <v>942800</v>
      </c>
      <c r="H39" s="64">
        <v>82233</v>
      </c>
      <c r="I39" s="64">
        <v>994279</v>
      </c>
      <c r="J39" s="64">
        <v>1039205</v>
      </c>
      <c r="K39" s="64">
        <v>1013583</v>
      </c>
      <c r="L39" s="121">
        <v>479754</v>
      </c>
      <c r="M39" s="64">
        <v>1040727</v>
      </c>
      <c r="N39" s="64">
        <v>1129858</v>
      </c>
      <c r="O39" s="64">
        <v>1210013</v>
      </c>
      <c r="P39" s="64">
        <v>122089</v>
      </c>
      <c r="Q39" s="64">
        <v>1286487</v>
      </c>
      <c r="R39" s="121">
        <v>1534002</v>
      </c>
      <c r="S39" s="64">
        <v>1296678</v>
      </c>
      <c r="T39" s="64">
        <v>-842478</v>
      </c>
      <c r="U39" s="64">
        <v>1358238</v>
      </c>
      <c r="V39" s="64">
        <v>1611881</v>
      </c>
      <c r="W39" s="67">
        <v>1579788</v>
      </c>
      <c r="X39" s="109">
        <v>-0.22753214243254011</v>
      </c>
      <c r="Y39" s="109">
        <v>2.1910782978169729E-2</v>
      </c>
      <c r="Z39" s="109">
        <v>2.327219373423706E-2</v>
      </c>
      <c r="AA39" s="109">
        <v>8.2676292716887589E-2</v>
      </c>
    </row>
    <row r="40" spans="1:27" ht="15" x14ac:dyDescent="0.25">
      <c r="A40" s="4">
        <v>260130</v>
      </c>
      <c r="B40" s="29">
        <v>9719</v>
      </c>
      <c r="C40" s="19" t="s">
        <v>67</v>
      </c>
      <c r="D40" s="46" t="s">
        <v>851</v>
      </c>
      <c r="E40" s="19" t="s">
        <v>819</v>
      </c>
      <c r="F40" s="47">
        <v>8.1999999999999993</v>
      </c>
      <c r="G40" s="64">
        <v>102729</v>
      </c>
      <c r="H40" s="64">
        <v>111396</v>
      </c>
      <c r="I40" s="64">
        <v>104417</v>
      </c>
      <c r="J40" s="64">
        <v>108682</v>
      </c>
      <c r="K40" s="64">
        <v>109924</v>
      </c>
      <c r="L40" s="64">
        <v>122888</v>
      </c>
      <c r="M40" s="64">
        <v>113371</v>
      </c>
      <c r="N40" s="64">
        <v>117824</v>
      </c>
      <c r="O40" s="64">
        <v>120167</v>
      </c>
      <c r="P40" s="64">
        <v>128944</v>
      </c>
      <c r="Q40" s="64">
        <v>122543</v>
      </c>
      <c r="R40" s="64">
        <v>128980</v>
      </c>
      <c r="S40" s="64">
        <v>133317</v>
      </c>
      <c r="T40" s="121">
        <v>211225</v>
      </c>
      <c r="U40" s="64">
        <v>177474</v>
      </c>
      <c r="V40" s="64">
        <v>193805</v>
      </c>
      <c r="W40" s="67">
        <v>191813</v>
      </c>
      <c r="X40" s="123">
        <v>0.16014706569297599</v>
      </c>
      <c r="Y40" s="109">
        <v>9.2156056805885234E-2</v>
      </c>
      <c r="Z40" s="109">
        <v>9.9578184812195492E-2</v>
      </c>
      <c r="AA40" s="109">
        <v>8.1718753710773973E-2</v>
      </c>
    </row>
    <row r="41" spans="1:27" ht="15" x14ac:dyDescent="0.25">
      <c r="A41" s="4">
        <v>260130</v>
      </c>
      <c r="B41" s="29">
        <v>2127</v>
      </c>
      <c r="C41" s="19" t="s">
        <v>67</v>
      </c>
      <c r="D41" s="46" t="s">
        <v>852</v>
      </c>
      <c r="E41" s="19" t="s">
        <v>819</v>
      </c>
      <c r="F41" s="47">
        <v>8.1</v>
      </c>
      <c r="G41" s="64">
        <v>10853</v>
      </c>
      <c r="H41" s="64">
        <v>6128</v>
      </c>
      <c r="I41" s="64">
        <v>9068</v>
      </c>
      <c r="J41" s="64">
        <v>11031</v>
      </c>
      <c r="K41" s="64">
        <v>9777</v>
      </c>
      <c r="L41" s="121">
        <v>11439</v>
      </c>
      <c r="M41" s="64">
        <v>8246</v>
      </c>
      <c r="N41" s="64">
        <v>10925</v>
      </c>
      <c r="O41" s="64">
        <v>11976</v>
      </c>
      <c r="P41" s="64">
        <v>12989</v>
      </c>
      <c r="Q41" s="64">
        <v>7638</v>
      </c>
      <c r="R41" s="64">
        <v>10953</v>
      </c>
      <c r="S41" s="64">
        <v>11252</v>
      </c>
      <c r="T41" s="64">
        <v>14234</v>
      </c>
      <c r="U41" s="64">
        <v>9018</v>
      </c>
      <c r="V41" s="64">
        <v>13569</v>
      </c>
      <c r="W41" s="67">
        <v>15151</v>
      </c>
      <c r="X41" s="109">
        <v>2.9067052670900258E-2</v>
      </c>
      <c r="Y41" s="109">
        <v>3.1308845883340597E-2</v>
      </c>
      <c r="Z41" s="109">
        <v>5.7548892359812642E-2</v>
      </c>
      <c r="AA41" s="109">
        <v>8.1105818234767924E-2</v>
      </c>
    </row>
    <row r="42" spans="1:27" ht="15" x14ac:dyDescent="0.25">
      <c r="A42" s="4">
        <v>260130</v>
      </c>
      <c r="B42" s="29">
        <v>8803</v>
      </c>
      <c r="C42" s="19" t="s">
        <v>67</v>
      </c>
      <c r="D42" s="46" t="s">
        <v>853</v>
      </c>
      <c r="E42" s="19" t="s">
        <v>819</v>
      </c>
      <c r="F42" s="47">
        <v>6.1</v>
      </c>
      <c r="G42" s="64">
        <v>7105</v>
      </c>
      <c r="H42" s="64">
        <v>9432</v>
      </c>
      <c r="I42" s="64">
        <v>17385</v>
      </c>
      <c r="J42" s="64">
        <v>7569</v>
      </c>
      <c r="K42" s="64">
        <v>7179</v>
      </c>
      <c r="L42" s="64">
        <v>12389</v>
      </c>
      <c r="M42" s="64">
        <v>15028</v>
      </c>
      <c r="N42" s="121">
        <v>13163</v>
      </c>
      <c r="O42" s="64">
        <v>7524</v>
      </c>
      <c r="P42" s="64">
        <v>8718</v>
      </c>
      <c r="Q42" s="64">
        <v>10579</v>
      </c>
      <c r="R42" s="64">
        <v>8182</v>
      </c>
      <c r="S42" s="64">
        <v>8186</v>
      </c>
      <c r="T42" s="121">
        <v>15128</v>
      </c>
      <c r="U42" s="64">
        <v>13123</v>
      </c>
      <c r="V42" s="64">
        <v>8697</v>
      </c>
      <c r="W42" s="67">
        <v>10952</v>
      </c>
      <c r="X42" s="123">
        <v>0.17972802467405019</v>
      </c>
      <c r="Y42" s="109">
        <v>6.046345811051701E-2</v>
      </c>
      <c r="Z42" s="109">
        <v>1.154216813465125E-2</v>
      </c>
      <c r="AA42" s="109">
        <v>6.1284176009217102E-2</v>
      </c>
    </row>
    <row r="43" spans="1:27" ht="15" x14ac:dyDescent="0.25">
      <c r="A43" s="4">
        <v>260130</v>
      </c>
      <c r="B43" s="29">
        <v>6961</v>
      </c>
      <c r="C43" s="19" t="s">
        <v>67</v>
      </c>
      <c r="D43" s="46" t="s">
        <v>854</v>
      </c>
      <c r="E43" s="19" t="s">
        <v>819</v>
      </c>
      <c r="F43" s="47">
        <v>6</v>
      </c>
      <c r="G43" s="64">
        <v>7755</v>
      </c>
      <c r="H43" s="64">
        <v>9021</v>
      </c>
      <c r="I43" s="64">
        <v>10115</v>
      </c>
      <c r="J43" s="64">
        <v>10982</v>
      </c>
      <c r="K43" s="64">
        <v>11173</v>
      </c>
      <c r="L43" s="64">
        <v>9970</v>
      </c>
      <c r="M43" s="64">
        <v>9715</v>
      </c>
      <c r="N43" s="64">
        <v>9485</v>
      </c>
      <c r="O43" s="64">
        <v>8754</v>
      </c>
      <c r="P43" s="64">
        <v>9851</v>
      </c>
      <c r="Q43" s="64">
        <v>10601</v>
      </c>
      <c r="R43" s="64">
        <v>9099</v>
      </c>
      <c r="S43" s="64">
        <v>9105</v>
      </c>
      <c r="T43" s="64">
        <v>9264</v>
      </c>
      <c r="U43" s="64">
        <v>8999</v>
      </c>
      <c r="V43" s="64">
        <v>11902</v>
      </c>
      <c r="W43" s="67">
        <v>11473</v>
      </c>
      <c r="X43" s="109">
        <v>-1.5185223509933791E-2</v>
      </c>
      <c r="Y43" s="109">
        <v>-4.2081483621844502E-2</v>
      </c>
      <c r="Z43" s="109">
        <v>7.6864014040091133E-2</v>
      </c>
      <c r="AA43" s="109">
        <v>6.0300483829895501E-2</v>
      </c>
    </row>
    <row r="44" spans="1:27" ht="15" x14ac:dyDescent="0.25">
      <c r="A44" s="4">
        <v>260130</v>
      </c>
      <c r="B44" s="29">
        <v>6196</v>
      </c>
      <c r="C44" s="19" t="s">
        <v>67</v>
      </c>
      <c r="D44" s="46" t="s">
        <v>855</v>
      </c>
      <c r="E44" s="19" t="s">
        <v>823</v>
      </c>
      <c r="F44" s="47">
        <v>5.8</v>
      </c>
      <c r="G44" s="64">
        <v>2355</v>
      </c>
      <c r="H44" s="64">
        <v>2861</v>
      </c>
      <c r="I44" s="64">
        <v>1916</v>
      </c>
      <c r="J44" s="64">
        <v>3595</v>
      </c>
      <c r="K44" s="64">
        <v>1969</v>
      </c>
      <c r="L44" s="121">
        <v>4113</v>
      </c>
      <c r="M44" s="64">
        <v>3050</v>
      </c>
      <c r="N44" s="64">
        <v>4694</v>
      </c>
      <c r="O44" s="121">
        <v>3676</v>
      </c>
      <c r="P44" s="64">
        <v>5554</v>
      </c>
      <c r="Q44" s="64">
        <v>4042</v>
      </c>
      <c r="R44" s="64">
        <v>4866</v>
      </c>
      <c r="S44" s="64">
        <v>3665</v>
      </c>
      <c r="T44" s="64">
        <v>5286</v>
      </c>
      <c r="U44" s="64">
        <v>5490</v>
      </c>
      <c r="V44" s="64">
        <v>5873</v>
      </c>
      <c r="W44" s="67">
        <v>4842</v>
      </c>
      <c r="X44" s="109">
        <v>-1.47845754951178E-2</v>
      </c>
      <c r="Y44" s="109">
        <v>8.1079567724956503E-2</v>
      </c>
      <c r="Z44" s="109">
        <v>5.2157248666286897E-2</v>
      </c>
      <c r="AA44" s="109">
        <v>5.7940336713596441E-2</v>
      </c>
    </row>
    <row r="45" spans="1:27" ht="15" x14ac:dyDescent="0.25">
      <c r="A45" s="4">
        <v>260130</v>
      </c>
      <c r="B45" s="29">
        <v>8308</v>
      </c>
      <c r="C45" s="19" t="s">
        <v>67</v>
      </c>
      <c r="D45" s="46" t="s">
        <v>856</v>
      </c>
      <c r="E45" s="19" t="s">
        <v>819</v>
      </c>
      <c r="F45" s="47">
        <v>5.7</v>
      </c>
      <c r="G45" s="64">
        <v>173983</v>
      </c>
      <c r="H45" s="64">
        <v>178409</v>
      </c>
      <c r="I45" s="64">
        <v>194300</v>
      </c>
      <c r="J45" s="64">
        <v>217183</v>
      </c>
      <c r="K45" s="64">
        <v>195938</v>
      </c>
      <c r="L45" s="64">
        <v>193615</v>
      </c>
      <c r="M45" s="64">
        <v>178656</v>
      </c>
      <c r="N45" s="64">
        <v>210154</v>
      </c>
      <c r="O45" s="64">
        <v>187334</v>
      </c>
      <c r="P45" s="64">
        <v>236919</v>
      </c>
      <c r="Q45" s="64">
        <v>219748</v>
      </c>
      <c r="R45" s="64">
        <v>243077</v>
      </c>
      <c r="S45" s="64">
        <v>230960</v>
      </c>
      <c r="T45" s="64">
        <v>259613</v>
      </c>
      <c r="U45" s="64">
        <v>248800</v>
      </c>
      <c r="V45" s="64">
        <v>251222</v>
      </c>
      <c r="W45" s="67">
        <v>286985</v>
      </c>
      <c r="X45" s="109">
        <v>2.4383692344719599E-2</v>
      </c>
      <c r="Y45" s="109">
        <v>3.0472058888313169E-2</v>
      </c>
      <c r="Z45" s="109">
        <v>8.2904982441853736E-3</v>
      </c>
      <c r="AA45" s="109">
        <v>5.655691781202199E-2</v>
      </c>
    </row>
    <row r="46" spans="1:27" ht="15" x14ac:dyDescent="0.25">
      <c r="A46" s="4">
        <v>260130</v>
      </c>
      <c r="B46" s="29">
        <v>8341</v>
      </c>
      <c r="C46" s="19" t="s">
        <v>67</v>
      </c>
      <c r="D46" s="46" t="s">
        <v>857</v>
      </c>
      <c r="E46" s="19" t="s">
        <v>819</v>
      </c>
      <c r="F46" s="47">
        <v>5.5</v>
      </c>
      <c r="G46" s="64">
        <v>27470</v>
      </c>
      <c r="H46" s="64">
        <v>26921</v>
      </c>
      <c r="I46" s="64">
        <v>30911</v>
      </c>
      <c r="J46" s="64">
        <v>27118</v>
      </c>
      <c r="K46" s="64">
        <v>30476</v>
      </c>
      <c r="L46" s="64">
        <v>31502</v>
      </c>
      <c r="M46" s="64">
        <v>36678</v>
      </c>
      <c r="N46" s="64">
        <v>35841</v>
      </c>
      <c r="O46" s="64">
        <v>32103</v>
      </c>
      <c r="P46" s="64">
        <v>40464</v>
      </c>
      <c r="Q46" s="64">
        <v>43379</v>
      </c>
      <c r="R46" s="64">
        <v>38316</v>
      </c>
      <c r="S46" s="64">
        <v>40171</v>
      </c>
      <c r="T46" s="64">
        <v>42126</v>
      </c>
      <c r="U46" s="64">
        <v>40982</v>
      </c>
      <c r="V46" s="64">
        <v>44774</v>
      </c>
      <c r="W46" s="67">
        <v>49467</v>
      </c>
      <c r="X46" s="109">
        <v>1.023840325263348E-2</v>
      </c>
      <c r="Y46" s="109">
        <v>-1.461656666178834E-2</v>
      </c>
      <c r="Z46" s="109">
        <v>3.996410780036519E-2</v>
      </c>
      <c r="AA46" s="109">
        <v>5.5315882489452628E-2</v>
      </c>
    </row>
    <row r="47" spans="1:27" ht="15" x14ac:dyDescent="0.25">
      <c r="A47" s="4">
        <v>260130</v>
      </c>
      <c r="B47" s="29">
        <v>6526</v>
      </c>
      <c r="C47" s="19" t="s">
        <v>67</v>
      </c>
      <c r="D47" s="46" t="s">
        <v>858</v>
      </c>
      <c r="E47" s="19" t="s">
        <v>819</v>
      </c>
      <c r="F47" s="47">
        <v>5</v>
      </c>
      <c r="G47" s="19"/>
      <c r="H47" s="19"/>
      <c r="I47" s="64">
        <v>39934</v>
      </c>
      <c r="J47" s="64">
        <v>42833</v>
      </c>
      <c r="K47" s="64">
        <v>56074</v>
      </c>
      <c r="L47" s="64">
        <v>53926</v>
      </c>
      <c r="M47" s="121">
        <v>61447</v>
      </c>
      <c r="N47" s="64">
        <v>55541</v>
      </c>
      <c r="O47" s="64">
        <v>52650</v>
      </c>
      <c r="P47" s="64">
        <v>51608</v>
      </c>
      <c r="Q47" s="64">
        <v>52783</v>
      </c>
      <c r="R47" s="64">
        <v>46398</v>
      </c>
      <c r="S47" s="64">
        <v>46083</v>
      </c>
      <c r="T47" s="64">
        <v>43271</v>
      </c>
      <c r="U47" s="64">
        <v>34553</v>
      </c>
      <c r="V47" s="64">
        <v>52656</v>
      </c>
      <c r="W47" s="67">
        <v>54931</v>
      </c>
      <c r="X47" s="109">
        <v>-4.2347311959039402E-2</v>
      </c>
      <c r="Y47" s="109">
        <v>-9.6692921738669169E-2</v>
      </c>
      <c r="Z47" s="109">
        <v>3.6745838348844817E-2</v>
      </c>
      <c r="AA47" s="109">
        <v>5.0112424460390992E-2</v>
      </c>
    </row>
    <row r="48" spans="1:27" ht="15" x14ac:dyDescent="0.25">
      <c r="A48" s="4">
        <v>260130</v>
      </c>
      <c r="B48" s="29">
        <v>2121</v>
      </c>
      <c r="C48" s="19" t="s">
        <v>67</v>
      </c>
      <c r="D48" s="46" t="s">
        <v>859</v>
      </c>
      <c r="E48" s="19" t="s">
        <v>819</v>
      </c>
      <c r="F48" s="47">
        <v>4.9000000000000004</v>
      </c>
      <c r="G48" s="64">
        <v>29502</v>
      </c>
      <c r="H48" s="64">
        <v>37010</v>
      </c>
      <c r="I48" s="64">
        <v>31022</v>
      </c>
      <c r="J48" s="64">
        <v>34712</v>
      </c>
      <c r="K48" s="64">
        <v>39068</v>
      </c>
      <c r="L48" s="64">
        <v>42065</v>
      </c>
      <c r="M48" s="64">
        <v>29207</v>
      </c>
      <c r="N48" s="64">
        <v>34761</v>
      </c>
      <c r="O48" s="64">
        <v>41241</v>
      </c>
      <c r="P48" s="64">
        <v>41659</v>
      </c>
      <c r="Q48" s="64">
        <v>30087</v>
      </c>
      <c r="R48" s="64">
        <v>38733</v>
      </c>
      <c r="S48" s="64">
        <v>41532</v>
      </c>
      <c r="T48" s="64">
        <v>44495</v>
      </c>
      <c r="U48" s="64">
        <v>31323</v>
      </c>
      <c r="V48" s="64">
        <v>36105</v>
      </c>
      <c r="W48" s="67">
        <v>48997</v>
      </c>
      <c r="X48" s="109">
        <v>1.865654459216759E-2</v>
      </c>
      <c r="Y48" s="109">
        <v>7.9820726265280584E-3</v>
      </c>
      <c r="Z48" s="109">
        <v>-1.6837195594651581E-2</v>
      </c>
      <c r="AA48" s="109">
        <v>4.8646182920074388E-2</v>
      </c>
    </row>
    <row r="49" spans="1:27" ht="15" x14ac:dyDescent="0.25">
      <c r="A49" s="4">
        <v>260130</v>
      </c>
      <c r="B49" s="29">
        <v>7327</v>
      </c>
      <c r="C49" s="19" t="s">
        <v>67</v>
      </c>
      <c r="D49" s="46" t="s">
        <v>860</v>
      </c>
      <c r="E49" s="19" t="s">
        <v>819</v>
      </c>
      <c r="F49" s="47">
        <v>4.7</v>
      </c>
      <c r="G49" s="64">
        <v>30022</v>
      </c>
      <c r="H49" s="64">
        <v>30809</v>
      </c>
      <c r="I49" s="64">
        <v>37378</v>
      </c>
      <c r="J49" s="64">
        <v>33124</v>
      </c>
      <c r="K49" s="64">
        <v>30140</v>
      </c>
      <c r="L49" s="64">
        <v>28562</v>
      </c>
      <c r="M49" s="64">
        <v>38919</v>
      </c>
      <c r="N49" s="64">
        <v>34477</v>
      </c>
      <c r="O49" s="64">
        <v>31639</v>
      </c>
      <c r="P49" s="64">
        <v>31389</v>
      </c>
      <c r="Q49" s="64">
        <v>41750</v>
      </c>
      <c r="R49" s="64">
        <v>31320</v>
      </c>
      <c r="S49" s="64">
        <v>38855</v>
      </c>
      <c r="T49" s="64">
        <v>35784</v>
      </c>
      <c r="U49" s="64">
        <v>45728</v>
      </c>
      <c r="V49" s="121">
        <v>71647</v>
      </c>
      <c r="W49" s="67">
        <v>47817</v>
      </c>
      <c r="X49" s="109">
        <v>3.066692716692021E-2</v>
      </c>
      <c r="Y49" s="109">
        <v>2.6931331198505101E-2</v>
      </c>
      <c r="Z49" s="123">
        <v>0.26585666537013708</v>
      </c>
      <c r="AA49" s="109">
        <v>4.667368004416339E-2</v>
      </c>
    </row>
    <row r="50" spans="1:27" ht="15" x14ac:dyDescent="0.25">
      <c r="A50" s="4">
        <v>260130</v>
      </c>
      <c r="B50" s="29">
        <v>8388</v>
      </c>
      <c r="C50" s="19" t="s">
        <v>67</v>
      </c>
      <c r="D50" s="46" t="s">
        <v>861</v>
      </c>
      <c r="E50" s="19" t="s">
        <v>819</v>
      </c>
      <c r="F50" s="47">
        <v>4.5999999999999996</v>
      </c>
      <c r="G50" s="64">
        <v>16114</v>
      </c>
      <c r="H50" s="64">
        <v>16398</v>
      </c>
      <c r="I50" s="64">
        <v>18816</v>
      </c>
      <c r="J50" s="64">
        <v>18049</v>
      </c>
      <c r="K50" s="121">
        <v>26480</v>
      </c>
      <c r="L50" s="64">
        <v>15872</v>
      </c>
      <c r="M50" s="64">
        <v>15521</v>
      </c>
      <c r="N50" s="64">
        <v>15706</v>
      </c>
      <c r="O50" s="64">
        <v>17162</v>
      </c>
      <c r="P50" s="64">
        <v>15543</v>
      </c>
      <c r="Q50" s="64">
        <v>17950</v>
      </c>
      <c r="R50" s="64">
        <v>16573</v>
      </c>
      <c r="S50" s="64">
        <v>18265</v>
      </c>
      <c r="T50" s="64">
        <v>15297</v>
      </c>
      <c r="U50" s="64">
        <v>21196</v>
      </c>
      <c r="V50" s="64">
        <v>21441</v>
      </c>
      <c r="W50" s="67">
        <v>21746</v>
      </c>
      <c r="X50" s="109">
        <v>-3.6001229310269611E-3</v>
      </c>
      <c r="Y50" s="109">
        <v>4.7675699493280543E-2</v>
      </c>
      <c r="Z50" s="109">
        <v>6.8245222974583353E-2</v>
      </c>
      <c r="AA50" s="109">
        <v>4.5683014212784867E-2</v>
      </c>
    </row>
    <row r="51" spans="1:27" ht="15" x14ac:dyDescent="0.25">
      <c r="A51" s="4">
        <v>260130</v>
      </c>
      <c r="B51" s="29">
        <v>8377</v>
      </c>
      <c r="C51" s="19" t="s">
        <v>67</v>
      </c>
      <c r="D51" s="46" t="s">
        <v>862</v>
      </c>
      <c r="E51" s="19" t="s">
        <v>819</v>
      </c>
      <c r="F51" s="47">
        <v>4.4000000000000004</v>
      </c>
      <c r="G51" s="64">
        <v>40966</v>
      </c>
      <c r="H51" s="64">
        <v>34196</v>
      </c>
      <c r="I51" s="64">
        <v>39737</v>
      </c>
      <c r="J51" s="64">
        <v>40851</v>
      </c>
      <c r="K51" s="64">
        <v>36945</v>
      </c>
      <c r="L51" s="121">
        <v>51481</v>
      </c>
      <c r="M51" s="64">
        <v>38901</v>
      </c>
      <c r="N51" s="64">
        <v>48546</v>
      </c>
      <c r="O51" s="64">
        <v>45239</v>
      </c>
      <c r="P51" s="64">
        <v>38244</v>
      </c>
      <c r="Q51" s="64">
        <v>41538</v>
      </c>
      <c r="R51" s="64">
        <v>43956</v>
      </c>
      <c r="S51" s="64">
        <v>45085</v>
      </c>
      <c r="T51" s="64">
        <v>42665</v>
      </c>
      <c r="U51" s="64">
        <v>50206</v>
      </c>
      <c r="V51" s="64">
        <v>55838</v>
      </c>
      <c r="W51" s="67">
        <v>53614</v>
      </c>
      <c r="X51" s="109">
        <v>2.6187190134045801E-2</v>
      </c>
      <c r="Y51" s="109">
        <v>5.0033478792916419E-2</v>
      </c>
      <c r="Z51" s="109">
        <v>6.5317296275122061E-2</v>
      </c>
      <c r="AA51" s="109">
        <v>4.401065048453523E-2</v>
      </c>
    </row>
    <row r="52" spans="1:27" ht="15" x14ac:dyDescent="0.25">
      <c r="A52" s="4">
        <v>260130</v>
      </c>
      <c r="B52" s="29">
        <v>6135</v>
      </c>
      <c r="C52" s="19" t="s">
        <v>67</v>
      </c>
      <c r="D52" s="46" t="s">
        <v>863</v>
      </c>
      <c r="E52" s="19" t="s">
        <v>819</v>
      </c>
      <c r="F52" s="47">
        <v>4.0999999999999996</v>
      </c>
      <c r="G52" s="64">
        <v>47532</v>
      </c>
      <c r="H52" s="64">
        <v>63719</v>
      </c>
      <c r="I52" s="64">
        <v>46481</v>
      </c>
      <c r="J52" s="64">
        <v>56558</v>
      </c>
      <c r="K52" s="64">
        <v>62459</v>
      </c>
      <c r="L52" s="64">
        <v>62487</v>
      </c>
      <c r="M52" s="64">
        <v>53850</v>
      </c>
      <c r="N52" s="64">
        <v>54665</v>
      </c>
      <c r="O52" s="64">
        <v>54477</v>
      </c>
      <c r="P52" s="64">
        <v>62368</v>
      </c>
      <c r="Q52" s="64">
        <v>51868</v>
      </c>
      <c r="R52" s="64">
        <v>56369</v>
      </c>
      <c r="S52" s="64">
        <v>60557</v>
      </c>
      <c r="T52" s="64">
        <v>65422</v>
      </c>
      <c r="U52" s="64">
        <v>55397</v>
      </c>
      <c r="V52" s="64">
        <v>64024</v>
      </c>
      <c r="W52" s="67">
        <v>70711</v>
      </c>
      <c r="X52" s="109">
        <v>1.321151400316656E-2</v>
      </c>
      <c r="Y52" s="109">
        <v>1.5067288315059549E-2</v>
      </c>
      <c r="Z52" s="109">
        <v>3.2198363793139777E-2</v>
      </c>
      <c r="AA52" s="109">
        <v>4.1377343113284448E-2</v>
      </c>
    </row>
    <row r="53" spans="1:27" ht="15" x14ac:dyDescent="0.25">
      <c r="A53" s="4">
        <v>260130</v>
      </c>
      <c r="B53" s="29">
        <v>2326</v>
      </c>
      <c r="C53" s="19" t="s">
        <v>67</v>
      </c>
      <c r="D53" s="46" t="s">
        <v>864</v>
      </c>
      <c r="E53" s="19" t="s">
        <v>819</v>
      </c>
      <c r="F53" s="47">
        <v>4</v>
      </c>
      <c r="G53" s="64">
        <v>2134</v>
      </c>
      <c r="H53" s="64">
        <v>2365</v>
      </c>
      <c r="I53" s="64">
        <v>2386</v>
      </c>
      <c r="J53" s="64">
        <v>2698</v>
      </c>
      <c r="K53" s="64">
        <v>2574</v>
      </c>
      <c r="L53" s="64">
        <v>2778</v>
      </c>
      <c r="M53" s="64">
        <v>2541</v>
      </c>
      <c r="N53" s="64">
        <v>3022</v>
      </c>
      <c r="O53" s="64">
        <v>2759</v>
      </c>
      <c r="P53" s="64">
        <v>3190</v>
      </c>
      <c r="Q53" s="64">
        <v>2234</v>
      </c>
      <c r="R53" s="64">
        <v>2604</v>
      </c>
      <c r="S53" s="64">
        <v>2436</v>
      </c>
      <c r="T53" s="64">
        <v>2708</v>
      </c>
      <c r="U53" s="64">
        <v>2270</v>
      </c>
      <c r="V53" s="64">
        <v>2722</v>
      </c>
      <c r="W53" s="67">
        <v>2843</v>
      </c>
      <c r="X53" s="109">
        <v>-4.6062691131498523E-2</v>
      </c>
      <c r="Y53" s="109">
        <v>3.6064916850331312E-3</v>
      </c>
      <c r="Z53" s="109">
        <v>1.1778798163305961E-2</v>
      </c>
      <c r="AA53" s="109">
        <v>4.0153906866614131E-2</v>
      </c>
    </row>
    <row r="54" spans="1:27" ht="15" x14ac:dyDescent="0.25">
      <c r="A54" s="4">
        <v>260130</v>
      </c>
      <c r="B54" s="29">
        <v>4547</v>
      </c>
      <c r="C54" s="19" t="s">
        <v>67</v>
      </c>
      <c r="D54" s="46" t="s">
        <v>865</v>
      </c>
      <c r="E54" s="19" t="s">
        <v>819</v>
      </c>
      <c r="F54" s="47">
        <v>3.9</v>
      </c>
      <c r="G54" s="64">
        <v>17697</v>
      </c>
      <c r="H54" s="64">
        <v>15296</v>
      </c>
      <c r="I54" s="64">
        <v>16285</v>
      </c>
      <c r="J54" s="64">
        <v>16579</v>
      </c>
      <c r="K54" s="64">
        <v>18771</v>
      </c>
      <c r="L54" s="64">
        <v>15858</v>
      </c>
      <c r="M54" s="64">
        <v>19313</v>
      </c>
      <c r="N54" s="64">
        <v>17665</v>
      </c>
      <c r="O54" s="64">
        <v>20881</v>
      </c>
      <c r="P54" s="64">
        <v>17720</v>
      </c>
      <c r="Q54" s="64">
        <v>21164</v>
      </c>
      <c r="R54" s="64">
        <v>21302</v>
      </c>
      <c r="S54" s="64">
        <v>23203</v>
      </c>
      <c r="T54" s="64">
        <v>22661</v>
      </c>
      <c r="U54" s="64">
        <v>22191</v>
      </c>
      <c r="V54" s="64">
        <v>23640</v>
      </c>
      <c r="W54" s="67">
        <v>26802</v>
      </c>
      <c r="X54" s="109">
        <v>5.9252419383851507E-2</v>
      </c>
      <c r="Y54" s="109">
        <v>1.162685384354134E-2</v>
      </c>
      <c r="Z54" s="109">
        <v>2.6164710095459839E-2</v>
      </c>
      <c r="AA54" s="109">
        <v>3.9249686460548487E-2</v>
      </c>
    </row>
    <row r="55" spans="1:27" ht="15" x14ac:dyDescent="0.25">
      <c r="A55" s="4">
        <v>260130</v>
      </c>
      <c r="B55" s="29">
        <v>2327</v>
      </c>
      <c r="C55" s="19" t="s">
        <v>67</v>
      </c>
      <c r="D55" s="46" t="s">
        <v>866</v>
      </c>
      <c r="E55" s="19" t="s">
        <v>819</v>
      </c>
      <c r="F55" s="47">
        <v>3.7</v>
      </c>
      <c r="G55" s="64">
        <v>64831</v>
      </c>
      <c r="H55" s="64">
        <v>74714</v>
      </c>
      <c r="I55" s="64">
        <v>65132</v>
      </c>
      <c r="J55" s="64">
        <v>69552</v>
      </c>
      <c r="K55" s="64">
        <v>72094</v>
      </c>
      <c r="L55" s="64">
        <v>84908</v>
      </c>
      <c r="M55" s="64">
        <v>68773</v>
      </c>
      <c r="N55" s="64">
        <v>76000</v>
      </c>
      <c r="O55" s="64">
        <v>75345</v>
      </c>
      <c r="P55" s="64">
        <v>90513</v>
      </c>
      <c r="Q55" s="64">
        <v>76826</v>
      </c>
      <c r="R55" s="64">
        <v>79786</v>
      </c>
      <c r="S55" s="64">
        <v>83682</v>
      </c>
      <c r="T55" s="64">
        <v>98007</v>
      </c>
      <c r="U55" s="64">
        <v>82684</v>
      </c>
      <c r="V55" s="64">
        <v>95691</v>
      </c>
      <c r="W55" s="67">
        <v>97020</v>
      </c>
      <c r="X55" s="109">
        <v>2.2653692334200889E-2</v>
      </c>
      <c r="Y55" s="109">
        <v>1.7315940538159769E-2</v>
      </c>
      <c r="Z55" s="109">
        <v>4.621410452726793E-2</v>
      </c>
      <c r="AA55" s="109">
        <v>3.7043414504088101E-2</v>
      </c>
    </row>
    <row r="56" spans="1:27" ht="15" x14ac:dyDescent="0.25">
      <c r="A56" s="4">
        <v>260130</v>
      </c>
      <c r="B56" s="29">
        <v>9708</v>
      </c>
      <c r="C56" s="19" t="s">
        <v>67</v>
      </c>
      <c r="D56" s="46" t="s">
        <v>867</v>
      </c>
      <c r="E56" s="19" t="s">
        <v>819</v>
      </c>
      <c r="F56" s="47">
        <v>3.6</v>
      </c>
      <c r="G56" s="64">
        <v>9435</v>
      </c>
      <c r="H56" s="64">
        <v>6892</v>
      </c>
      <c r="I56" s="64">
        <v>9434</v>
      </c>
      <c r="J56" s="64">
        <v>9173</v>
      </c>
      <c r="K56" s="121">
        <v>13082</v>
      </c>
      <c r="L56" s="121">
        <v>12083</v>
      </c>
      <c r="M56" s="64">
        <v>12472</v>
      </c>
      <c r="N56" s="64">
        <v>11766</v>
      </c>
      <c r="O56" s="64">
        <v>15528</v>
      </c>
      <c r="P56" s="64">
        <v>13569</v>
      </c>
      <c r="Q56" s="64">
        <v>13326</v>
      </c>
      <c r="R56" s="64">
        <v>11413</v>
      </c>
      <c r="S56" s="64">
        <v>14624</v>
      </c>
      <c r="T56" s="64">
        <v>13247</v>
      </c>
      <c r="U56" s="64">
        <v>13584</v>
      </c>
      <c r="V56" s="64">
        <v>11842</v>
      </c>
      <c r="W56" s="67">
        <v>16547</v>
      </c>
      <c r="X56" s="109">
        <v>-6.0832766568427177E-3</v>
      </c>
      <c r="Y56" s="109">
        <v>4.9040106443642983E-3</v>
      </c>
      <c r="Z56" s="109">
        <v>8.1145494438981114E-3</v>
      </c>
      <c r="AA56" s="109">
        <v>3.6080830065482017E-2</v>
      </c>
    </row>
    <row r="57" spans="1:27" ht="15" x14ac:dyDescent="0.25">
      <c r="A57" s="4">
        <v>260130</v>
      </c>
      <c r="B57" s="29">
        <v>5844</v>
      </c>
      <c r="C57" s="19" t="s">
        <v>67</v>
      </c>
      <c r="D57" s="46" t="s">
        <v>868</v>
      </c>
      <c r="E57" s="19" t="s">
        <v>819</v>
      </c>
      <c r="F57" s="47">
        <v>3.6</v>
      </c>
      <c r="G57" s="64">
        <v>44138</v>
      </c>
      <c r="H57" s="64">
        <v>14686</v>
      </c>
      <c r="I57" s="64">
        <v>40416</v>
      </c>
      <c r="J57" s="64">
        <v>22321</v>
      </c>
      <c r="K57" s="64">
        <v>29984</v>
      </c>
      <c r="L57" s="64">
        <v>21488</v>
      </c>
      <c r="M57" s="64">
        <v>37856</v>
      </c>
      <c r="N57" s="64">
        <v>24361</v>
      </c>
      <c r="O57" s="64">
        <v>35514</v>
      </c>
      <c r="P57" s="64">
        <v>23192</v>
      </c>
      <c r="Q57" s="64">
        <v>35242</v>
      </c>
      <c r="R57" s="64">
        <v>28662</v>
      </c>
      <c r="S57" s="64">
        <v>38748</v>
      </c>
      <c r="T57" s="64">
        <v>29352</v>
      </c>
      <c r="U57" s="64">
        <v>42499</v>
      </c>
      <c r="V57" s="64">
        <v>41796</v>
      </c>
      <c r="W57" s="67">
        <v>44186</v>
      </c>
      <c r="X57" s="109">
        <v>4.8949493023108033E-2</v>
      </c>
      <c r="Y57" s="109">
        <v>5.4975606799793957E-2</v>
      </c>
      <c r="Z57" s="109">
        <v>9.4312118970853343E-2</v>
      </c>
      <c r="AA57" s="109">
        <v>3.5683585419469033E-2</v>
      </c>
    </row>
    <row r="58" spans="1:27" ht="15" x14ac:dyDescent="0.25">
      <c r="A58" s="4">
        <v>260130</v>
      </c>
      <c r="B58" s="29">
        <v>9202</v>
      </c>
      <c r="C58" s="19" t="s">
        <v>67</v>
      </c>
      <c r="D58" s="46" t="s">
        <v>869</v>
      </c>
      <c r="E58" s="19" t="s">
        <v>819</v>
      </c>
      <c r="F58" s="47">
        <v>3.6</v>
      </c>
      <c r="G58" s="64">
        <v>306921</v>
      </c>
      <c r="H58" s="64">
        <v>282278</v>
      </c>
      <c r="I58" s="64">
        <v>350419</v>
      </c>
      <c r="J58" s="64">
        <v>440297</v>
      </c>
      <c r="K58" s="121">
        <v>467939</v>
      </c>
      <c r="L58" s="121">
        <v>448829</v>
      </c>
      <c r="M58" s="64">
        <v>461026</v>
      </c>
      <c r="N58" s="64">
        <v>541703</v>
      </c>
      <c r="O58" s="64">
        <v>540852</v>
      </c>
      <c r="P58" s="64">
        <v>512347</v>
      </c>
      <c r="Q58" s="64">
        <v>516775</v>
      </c>
      <c r="R58" s="64">
        <v>582812</v>
      </c>
      <c r="S58" s="64">
        <v>603197</v>
      </c>
      <c r="T58" s="64">
        <v>559072</v>
      </c>
      <c r="U58" s="64">
        <v>548701</v>
      </c>
      <c r="V58" s="64">
        <v>641699</v>
      </c>
      <c r="W58" s="67">
        <v>686984</v>
      </c>
      <c r="X58" s="109">
        <v>2.1093560606573639E-2</v>
      </c>
      <c r="Y58" s="109">
        <v>1.4114956920334491E-2</v>
      </c>
      <c r="Z58" s="109">
        <v>2.567244838437133E-2</v>
      </c>
      <c r="AA58" s="109">
        <v>3.5613594602555747E-2</v>
      </c>
    </row>
    <row r="59" spans="1:27" ht="15" x14ac:dyDescent="0.25">
      <c r="A59" s="4">
        <v>260130</v>
      </c>
      <c r="B59" s="29">
        <v>1950</v>
      </c>
      <c r="C59" s="19" t="s">
        <v>67</v>
      </c>
      <c r="D59" s="46" t="s">
        <v>870</v>
      </c>
      <c r="E59" s="19" t="s">
        <v>819</v>
      </c>
      <c r="F59" s="47">
        <v>3.4</v>
      </c>
      <c r="G59" s="64">
        <v>41580</v>
      </c>
      <c r="H59" s="64">
        <v>68306</v>
      </c>
      <c r="I59" s="64">
        <v>25506</v>
      </c>
      <c r="J59" s="64">
        <v>35383</v>
      </c>
      <c r="K59" s="64">
        <v>40833</v>
      </c>
      <c r="L59" s="64">
        <v>70378</v>
      </c>
      <c r="M59" s="64">
        <v>28577</v>
      </c>
      <c r="N59" s="64">
        <v>42462</v>
      </c>
      <c r="O59" s="64">
        <v>46472</v>
      </c>
      <c r="P59" s="64">
        <v>76520</v>
      </c>
      <c r="Q59" s="64">
        <v>33011</v>
      </c>
      <c r="R59" s="64">
        <v>42614</v>
      </c>
      <c r="S59" s="64">
        <v>49388</v>
      </c>
      <c r="T59" s="64">
        <v>91909</v>
      </c>
      <c r="U59" s="64">
        <v>30234</v>
      </c>
      <c r="V59" s="64">
        <v>48185</v>
      </c>
      <c r="W59" s="67">
        <v>56872</v>
      </c>
      <c r="X59" s="109">
        <v>7.6359702877444313E-2</v>
      </c>
      <c r="Y59" s="109">
        <v>-1.280183660486256E-2</v>
      </c>
      <c r="Z59" s="109">
        <v>2.6015083237992839E-2</v>
      </c>
      <c r="AA59" s="109">
        <v>3.406215296109516E-2</v>
      </c>
    </row>
    <row r="60" spans="1:27" ht="15" x14ac:dyDescent="0.25">
      <c r="A60" s="4">
        <v>260130</v>
      </c>
      <c r="B60" s="29">
        <v>9962</v>
      </c>
      <c r="C60" s="19" t="s">
        <v>67</v>
      </c>
      <c r="D60" s="46" t="s">
        <v>871</v>
      </c>
      <c r="E60" s="19" t="s">
        <v>819</v>
      </c>
      <c r="F60" s="47">
        <v>2.8</v>
      </c>
      <c r="G60" s="64">
        <v>91917</v>
      </c>
      <c r="H60" s="64">
        <v>92005</v>
      </c>
      <c r="I60" s="64">
        <v>93101</v>
      </c>
      <c r="J60" s="64">
        <v>95057</v>
      </c>
      <c r="K60" s="64">
        <v>93837</v>
      </c>
      <c r="L60" s="64">
        <v>91156</v>
      </c>
      <c r="M60" s="64">
        <v>89866</v>
      </c>
      <c r="N60" s="64">
        <v>90228</v>
      </c>
      <c r="O60" s="64">
        <v>92729</v>
      </c>
      <c r="P60" s="64">
        <v>94826</v>
      </c>
      <c r="Q60" s="64">
        <v>99527</v>
      </c>
      <c r="R60" s="64">
        <v>98495</v>
      </c>
      <c r="S60" s="64">
        <v>103563</v>
      </c>
      <c r="T60" s="64">
        <v>100402</v>
      </c>
      <c r="U60" s="64">
        <v>99368</v>
      </c>
      <c r="V60" s="64">
        <v>106446</v>
      </c>
      <c r="W60" s="67">
        <v>114847</v>
      </c>
      <c r="X60" s="109">
        <v>1.406620906079792E-2</v>
      </c>
      <c r="Y60" s="109">
        <v>-3.9553517899837409E-4</v>
      </c>
      <c r="Z60" s="109">
        <v>1.978707307604255E-2</v>
      </c>
      <c r="AA60" s="109">
        <v>2.7536794223227631E-2</v>
      </c>
    </row>
    <row r="61" spans="1:27" ht="15" x14ac:dyDescent="0.25">
      <c r="A61" s="4">
        <v>260130</v>
      </c>
      <c r="B61" s="29">
        <v>3762</v>
      </c>
      <c r="C61" s="19" t="s">
        <v>67</v>
      </c>
      <c r="D61" s="46" t="s">
        <v>872</v>
      </c>
      <c r="E61" s="19" t="s">
        <v>819</v>
      </c>
      <c r="F61" s="47">
        <v>2.5</v>
      </c>
      <c r="G61" s="64">
        <v>8951</v>
      </c>
      <c r="H61" s="64">
        <v>11415</v>
      </c>
      <c r="I61" s="64">
        <v>9883</v>
      </c>
      <c r="J61" s="64">
        <v>10860</v>
      </c>
      <c r="K61" s="64">
        <v>11541</v>
      </c>
      <c r="L61" s="64">
        <v>13665</v>
      </c>
      <c r="M61" s="64">
        <v>11473</v>
      </c>
      <c r="N61" s="64">
        <v>13128</v>
      </c>
      <c r="O61" s="64">
        <v>13406</v>
      </c>
      <c r="P61" s="64">
        <v>15295</v>
      </c>
      <c r="Q61" s="64">
        <v>13763</v>
      </c>
      <c r="R61" s="64">
        <v>17078</v>
      </c>
      <c r="S61" s="64">
        <v>15889</v>
      </c>
      <c r="T61" s="64">
        <v>18152</v>
      </c>
      <c r="U61" s="64">
        <v>15863</v>
      </c>
      <c r="V61" s="64">
        <v>17514</v>
      </c>
      <c r="W61" s="67">
        <v>17608</v>
      </c>
      <c r="X61" s="109">
        <v>4.6062071745263999E-2</v>
      </c>
      <c r="Y61" s="109">
        <v>3.2366449862828002E-2</v>
      </c>
      <c r="Z61" s="109">
        <v>6.5092114299363244E-3</v>
      </c>
      <c r="AA61" s="109">
        <v>2.5497641579400151E-2</v>
      </c>
    </row>
    <row r="62" spans="1:27" ht="15" x14ac:dyDescent="0.25">
      <c r="A62" s="4">
        <v>260130</v>
      </c>
      <c r="B62" s="29">
        <v>9531</v>
      </c>
      <c r="C62" s="19" t="s">
        <v>67</v>
      </c>
      <c r="D62" s="46" t="s">
        <v>873</v>
      </c>
      <c r="E62" s="19" t="s">
        <v>819</v>
      </c>
      <c r="F62" s="47">
        <v>2.5</v>
      </c>
      <c r="G62" s="64">
        <v>514890</v>
      </c>
      <c r="H62" s="64">
        <v>757691</v>
      </c>
      <c r="I62" s="64">
        <v>609939</v>
      </c>
      <c r="J62" s="64">
        <v>751338</v>
      </c>
      <c r="K62" s="121">
        <v>938917</v>
      </c>
      <c r="L62" s="64">
        <v>989440</v>
      </c>
      <c r="M62" s="64">
        <v>649696</v>
      </c>
      <c r="N62" s="64">
        <v>623035</v>
      </c>
      <c r="O62" s="64">
        <v>629890</v>
      </c>
      <c r="P62" s="64">
        <v>761897</v>
      </c>
      <c r="Q62" s="64">
        <v>586932</v>
      </c>
      <c r="R62" s="64">
        <v>634562</v>
      </c>
      <c r="S62" s="64">
        <v>622227</v>
      </c>
      <c r="T62" s="64">
        <v>793088</v>
      </c>
      <c r="U62" s="64">
        <v>647341</v>
      </c>
      <c r="V62" s="64">
        <v>700179</v>
      </c>
      <c r="W62" s="67">
        <v>692116</v>
      </c>
      <c r="X62" s="109">
        <v>1.197067260051177E-2</v>
      </c>
      <c r="Y62" s="109">
        <v>2.290988842953734E-2</v>
      </c>
      <c r="Z62" s="109">
        <v>2.43276590917012E-2</v>
      </c>
      <c r="AA62" s="109">
        <v>2.5296117936829399E-2</v>
      </c>
    </row>
    <row r="63" spans="1:27" ht="15" x14ac:dyDescent="0.25">
      <c r="A63" s="4">
        <v>260130</v>
      </c>
      <c r="B63" s="29">
        <v>8604</v>
      </c>
      <c r="C63" s="19" t="s">
        <v>67</v>
      </c>
      <c r="D63" s="46" t="s">
        <v>874</v>
      </c>
      <c r="E63" s="19" t="s">
        <v>819</v>
      </c>
      <c r="F63" s="47">
        <v>2.5</v>
      </c>
      <c r="G63" s="64">
        <v>350965</v>
      </c>
      <c r="H63" s="64">
        <v>333784</v>
      </c>
      <c r="I63" s="64">
        <v>299028</v>
      </c>
      <c r="J63" s="64">
        <v>317958</v>
      </c>
      <c r="K63" s="64">
        <v>393658</v>
      </c>
      <c r="L63" s="64">
        <v>324933</v>
      </c>
      <c r="M63" s="64">
        <v>348913</v>
      </c>
      <c r="N63" s="64">
        <v>367760</v>
      </c>
      <c r="O63" s="64">
        <v>400225</v>
      </c>
      <c r="P63" s="64">
        <v>445102</v>
      </c>
      <c r="Q63" s="64">
        <v>454442</v>
      </c>
      <c r="R63" s="64">
        <v>483327</v>
      </c>
      <c r="S63" s="64">
        <v>501981</v>
      </c>
      <c r="T63" s="64">
        <v>452735</v>
      </c>
      <c r="U63" s="64">
        <v>523315</v>
      </c>
      <c r="V63" s="64">
        <v>515462</v>
      </c>
      <c r="W63" s="67">
        <v>551755</v>
      </c>
      <c r="X63" s="109">
        <v>4.0496548270103627E-3</v>
      </c>
      <c r="Y63" s="109">
        <v>3.6392890828725211E-2</v>
      </c>
      <c r="Z63" s="109">
        <v>1.638405635279239E-2</v>
      </c>
      <c r="AA63" s="109">
        <v>2.4968234149806309E-2</v>
      </c>
    </row>
    <row r="64" spans="1:27" ht="15" x14ac:dyDescent="0.25">
      <c r="A64" s="4">
        <v>260130</v>
      </c>
      <c r="B64" s="29">
        <v>9759</v>
      </c>
      <c r="C64" s="19" t="s">
        <v>67</v>
      </c>
      <c r="D64" s="46" t="s">
        <v>875</v>
      </c>
      <c r="E64" s="19" t="s">
        <v>819</v>
      </c>
      <c r="F64" s="47">
        <v>2.5</v>
      </c>
      <c r="G64" s="64">
        <v>17904</v>
      </c>
      <c r="H64" s="64">
        <v>18950</v>
      </c>
      <c r="I64" s="64">
        <v>18594</v>
      </c>
      <c r="J64" s="64">
        <v>19173</v>
      </c>
      <c r="K64" s="64">
        <v>19485</v>
      </c>
      <c r="L64" s="64">
        <v>20730</v>
      </c>
      <c r="M64" s="64">
        <v>24007</v>
      </c>
      <c r="N64" s="64">
        <v>26326</v>
      </c>
      <c r="O64" s="64">
        <v>24904</v>
      </c>
      <c r="P64" s="64">
        <v>26026</v>
      </c>
      <c r="Q64" s="64">
        <v>25281</v>
      </c>
      <c r="R64" s="64">
        <v>26769</v>
      </c>
      <c r="S64" s="64">
        <v>27447</v>
      </c>
      <c r="T64" s="64">
        <v>28294</v>
      </c>
      <c r="U64" s="64">
        <v>27298</v>
      </c>
      <c r="V64" s="64">
        <v>29307</v>
      </c>
      <c r="W64" s="67">
        <v>30244</v>
      </c>
      <c r="X64" s="109">
        <v>2.1492944666091859E-2</v>
      </c>
      <c r="Y64" s="109">
        <v>1.871213737696098E-2</v>
      </c>
      <c r="Z64" s="109">
        <v>2.3113070085968301E-2</v>
      </c>
      <c r="AA64" s="109">
        <v>2.4896302494080699E-2</v>
      </c>
    </row>
    <row r="65" spans="1:27" ht="15" x14ac:dyDescent="0.25">
      <c r="A65" s="4">
        <v>260130</v>
      </c>
      <c r="B65" s="29">
        <v>9997</v>
      </c>
      <c r="C65" s="19" t="s">
        <v>67</v>
      </c>
      <c r="D65" s="46" t="s">
        <v>876</v>
      </c>
      <c r="E65" s="19" t="s">
        <v>819</v>
      </c>
      <c r="F65" s="47">
        <v>2.2999999999999998</v>
      </c>
      <c r="G65" s="64">
        <v>62819</v>
      </c>
      <c r="H65" s="64">
        <v>51501</v>
      </c>
      <c r="I65" s="64">
        <v>53439</v>
      </c>
      <c r="J65" s="64">
        <v>45340</v>
      </c>
      <c r="K65" s="64">
        <v>61675</v>
      </c>
      <c r="L65" s="64">
        <v>51922</v>
      </c>
      <c r="M65" s="64">
        <v>51842</v>
      </c>
      <c r="N65" s="64">
        <v>44263</v>
      </c>
      <c r="O65" s="64">
        <v>60173</v>
      </c>
      <c r="P65" s="64">
        <v>52020</v>
      </c>
      <c r="Q65" s="64">
        <v>51368</v>
      </c>
      <c r="R65" s="64">
        <v>45759</v>
      </c>
      <c r="S65" s="64">
        <v>61520</v>
      </c>
      <c r="T65" s="64">
        <v>52209</v>
      </c>
      <c r="U65" s="64">
        <v>50826</v>
      </c>
      <c r="V65" s="64">
        <v>47166</v>
      </c>
      <c r="W65" s="67">
        <v>66368</v>
      </c>
      <c r="X65" s="109">
        <v>8.9715047919236568E-4</v>
      </c>
      <c r="Y65" s="109">
        <v>-2.5704746367188891E-3</v>
      </c>
      <c r="Z65" s="109">
        <v>6.6899968618352457E-3</v>
      </c>
      <c r="AA65" s="109">
        <v>2.2898059238337209E-2</v>
      </c>
    </row>
    <row r="66" spans="1:27" ht="15" x14ac:dyDescent="0.25">
      <c r="A66" s="4">
        <v>260130</v>
      </c>
      <c r="B66" s="29">
        <v>5334</v>
      </c>
      <c r="C66" s="19" t="s">
        <v>67</v>
      </c>
      <c r="D66" s="46" t="s">
        <v>877</v>
      </c>
      <c r="E66" s="19" t="s">
        <v>819</v>
      </c>
      <c r="F66" s="47">
        <v>2</v>
      </c>
      <c r="G66" s="64">
        <v>123778</v>
      </c>
      <c r="H66" s="64">
        <v>133400</v>
      </c>
      <c r="I66" s="64">
        <v>137105</v>
      </c>
      <c r="J66" s="64">
        <v>141966</v>
      </c>
      <c r="K66" s="64">
        <v>140138</v>
      </c>
      <c r="L66" s="64">
        <v>143348</v>
      </c>
      <c r="M66" s="64">
        <v>147950</v>
      </c>
      <c r="N66" s="64">
        <v>153201</v>
      </c>
      <c r="O66" s="64">
        <v>154717</v>
      </c>
      <c r="P66" s="64">
        <v>158617</v>
      </c>
      <c r="Q66" s="64">
        <v>165450</v>
      </c>
      <c r="R66" s="64">
        <v>159137</v>
      </c>
      <c r="S66" s="64">
        <v>161086</v>
      </c>
      <c r="T66" s="64">
        <v>167320</v>
      </c>
      <c r="U66" s="64">
        <v>169927</v>
      </c>
      <c r="V66" s="64">
        <v>181244</v>
      </c>
      <c r="W66" s="67">
        <v>174884</v>
      </c>
      <c r="X66" s="109">
        <v>1.3507892408697989E-2</v>
      </c>
      <c r="Y66" s="109">
        <v>6.8561225005474569E-3</v>
      </c>
      <c r="Z66" s="109">
        <v>3.3624347878990601E-2</v>
      </c>
      <c r="AA66" s="109">
        <v>2.03038066326553E-2</v>
      </c>
    </row>
    <row r="67" spans="1:27" ht="15" x14ac:dyDescent="0.25">
      <c r="A67" s="4">
        <v>260130</v>
      </c>
      <c r="B67" s="29">
        <v>3092</v>
      </c>
      <c r="C67" s="19" t="s">
        <v>67</v>
      </c>
      <c r="D67" s="46" t="s">
        <v>878</v>
      </c>
      <c r="E67" s="19" t="s">
        <v>819</v>
      </c>
      <c r="F67" s="47">
        <v>1.9</v>
      </c>
      <c r="G67" s="64">
        <v>47566</v>
      </c>
      <c r="H67" s="64">
        <v>42421</v>
      </c>
      <c r="I67" s="64">
        <v>42590</v>
      </c>
      <c r="J67" s="64">
        <v>41177</v>
      </c>
      <c r="K67" s="64">
        <v>52700</v>
      </c>
      <c r="L67" s="64">
        <v>46956</v>
      </c>
      <c r="M67" s="64">
        <v>45871</v>
      </c>
      <c r="N67" s="64">
        <v>44346</v>
      </c>
      <c r="O67" s="64">
        <v>57351</v>
      </c>
      <c r="P67" s="64">
        <v>49448</v>
      </c>
      <c r="Q67" s="64">
        <v>50387</v>
      </c>
      <c r="R67" s="64">
        <v>48414</v>
      </c>
      <c r="S67" s="64">
        <v>62275</v>
      </c>
      <c r="T67" s="64">
        <v>52055</v>
      </c>
      <c r="U67" s="64">
        <v>54028</v>
      </c>
      <c r="V67" s="64">
        <v>51221</v>
      </c>
      <c r="W67" s="67">
        <v>66556</v>
      </c>
      <c r="X67" s="109">
        <v>1.2383386217248439E-2</v>
      </c>
      <c r="Y67" s="109">
        <v>1.7083390027729409E-2</v>
      </c>
      <c r="Z67" s="109">
        <v>1.2949089365785319E-2</v>
      </c>
      <c r="AA67" s="109">
        <v>1.9496399928955022E-2</v>
      </c>
    </row>
    <row r="68" spans="1:27" ht="15" x14ac:dyDescent="0.25">
      <c r="A68" s="4">
        <v>260130</v>
      </c>
      <c r="B68" s="29">
        <v>9882</v>
      </c>
      <c r="C68" s="19" t="s">
        <v>67</v>
      </c>
      <c r="D68" s="46" t="s">
        <v>879</v>
      </c>
      <c r="E68" s="19" t="s">
        <v>819</v>
      </c>
      <c r="F68" s="47">
        <v>1.9</v>
      </c>
      <c r="G68" s="64">
        <v>46958</v>
      </c>
      <c r="H68" s="64">
        <v>34782</v>
      </c>
      <c r="I68" s="64">
        <v>33319</v>
      </c>
      <c r="J68" s="64">
        <v>33073</v>
      </c>
      <c r="K68" s="64">
        <v>46424</v>
      </c>
      <c r="L68" s="64">
        <v>34341</v>
      </c>
      <c r="M68" s="64">
        <v>34303</v>
      </c>
      <c r="N68" s="64">
        <v>32672</v>
      </c>
      <c r="O68" s="64">
        <v>46579</v>
      </c>
      <c r="P68" s="64">
        <v>33087</v>
      </c>
      <c r="Q68" s="64">
        <v>34672</v>
      </c>
      <c r="R68" s="64">
        <v>34619</v>
      </c>
      <c r="S68" s="64">
        <v>49858</v>
      </c>
      <c r="T68" s="64">
        <v>34917</v>
      </c>
      <c r="U68" s="64">
        <v>40288</v>
      </c>
      <c r="V68" s="64">
        <v>39017</v>
      </c>
      <c r="W68" s="67">
        <v>53048</v>
      </c>
      <c r="X68" s="109">
        <v>1.2020809795317829E-2</v>
      </c>
      <c r="Y68" s="109">
        <v>3.6451910220295147E-2</v>
      </c>
      <c r="Z68" s="109">
        <v>2.7542240202402372E-2</v>
      </c>
      <c r="AA68" s="109">
        <v>1.9441735738664031E-2</v>
      </c>
    </row>
    <row r="69" spans="1:27" ht="15" x14ac:dyDescent="0.25">
      <c r="A69" s="4">
        <v>260130</v>
      </c>
      <c r="B69" s="29">
        <v>9832</v>
      </c>
      <c r="C69" s="19" t="s">
        <v>67</v>
      </c>
      <c r="D69" s="46" t="s">
        <v>880</v>
      </c>
      <c r="E69" s="19" t="s">
        <v>819</v>
      </c>
      <c r="F69" s="47">
        <v>1.9</v>
      </c>
      <c r="G69" s="64">
        <v>68386</v>
      </c>
      <c r="H69" s="64">
        <v>56649</v>
      </c>
      <c r="I69" s="64">
        <v>52853</v>
      </c>
      <c r="J69" s="64">
        <v>54243</v>
      </c>
      <c r="K69" s="64">
        <v>71045</v>
      </c>
      <c r="L69" s="64">
        <v>58094</v>
      </c>
      <c r="M69" s="64">
        <v>57668</v>
      </c>
      <c r="N69" s="64">
        <v>54212</v>
      </c>
      <c r="O69" s="64">
        <v>67757</v>
      </c>
      <c r="P69" s="64">
        <v>50219</v>
      </c>
      <c r="Q69" s="64">
        <v>54011</v>
      </c>
      <c r="R69" s="64">
        <v>56288</v>
      </c>
      <c r="S69" s="64">
        <v>77917</v>
      </c>
      <c r="T69" s="64">
        <v>61309</v>
      </c>
      <c r="U69" s="64">
        <v>64223</v>
      </c>
      <c r="V69" s="64">
        <v>64615</v>
      </c>
      <c r="W69" s="67">
        <v>83123</v>
      </c>
      <c r="X69" s="109">
        <v>4.6511627906976827E-2</v>
      </c>
      <c r="Y69" s="109">
        <v>4.0925758941989798E-2</v>
      </c>
      <c r="Z69" s="109">
        <v>3.2059352344872012E-2</v>
      </c>
      <c r="AA69" s="109">
        <v>1.9420735346782791E-2</v>
      </c>
    </row>
    <row r="70" spans="1:27" ht="15" x14ac:dyDescent="0.25">
      <c r="A70" s="4">
        <v>260130</v>
      </c>
      <c r="B70" s="29">
        <v>4506</v>
      </c>
      <c r="C70" s="19" t="s">
        <v>67</v>
      </c>
      <c r="D70" s="46" t="s">
        <v>881</v>
      </c>
      <c r="E70" s="19" t="s">
        <v>819</v>
      </c>
      <c r="F70" s="47">
        <v>1.8</v>
      </c>
      <c r="G70" s="64">
        <v>138342</v>
      </c>
      <c r="H70" s="64">
        <v>127963</v>
      </c>
      <c r="I70" s="64">
        <v>159876</v>
      </c>
      <c r="J70" s="64">
        <v>159413</v>
      </c>
      <c r="K70" s="64">
        <v>140976</v>
      </c>
      <c r="L70" s="64">
        <v>95279</v>
      </c>
      <c r="M70" s="64">
        <v>75686</v>
      </c>
      <c r="N70" s="64">
        <v>76956</v>
      </c>
      <c r="O70" s="64">
        <v>82386</v>
      </c>
      <c r="P70" s="64">
        <v>79530</v>
      </c>
      <c r="Q70" s="64">
        <v>90675</v>
      </c>
      <c r="R70" s="64">
        <v>90074</v>
      </c>
      <c r="S70" s="64">
        <v>112434</v>
      </c>
      <c r="T70" s="64">
        <v>105649</v>
      </c>
      <c r="U70" s="64">
        <v>108002</v>
      </c>
      <c r="V70" s="64">
        <v>119120</v>
      </c>
      <c r="W70" s="67">
        <v>120624</v>
      </c>
      <c r="X70" s="109">
        <v>7.007804933018158E-2</v>
      </c>
      <c r="Y70" s="109">
        <v>4.3444357523970023E-2</v>
      </c>
      <c r="Z70" s="109">
        <v>6.9795438762588313E-2</v>
      </c>
      <c r="AA70" s="109">
        <v>1.8396019811098171E-2</v>
      </c>
    </row>
    <row r="71" spans="1:27" ht="15" x14ac:dyDescent="0.25">
      <c r="A71" s="4">
        <v>260130</v>
      </c>
      <c r="B71" s="29">
        <v>9715</v>
      </c>
      <c r="C71" s="19" t="s">
        <v>67</v>
      </c>
      <c r="D71" s="46" t="s">
        <v>882</v>
      </c>
      <c r="E71" s="19" t="s">
        <v>819</v>
      </c>
      <c r="F71" s="47">
        <v>1.7</v>
      </c>
      <c r="G71" s="64">
        <v>90144</v>
      </c>
      <c r="H71" s="64">
        <v>95853</v>
      </c>
      <c r="I71" s="64">
        <v>93256</v>
      </c>
      <c r="J71" s="64">
        <v>90134</v>
      </c>
      <c r="K71" s="64">
        <v>92647</v>
      </c>
      <c r="L71" s="64">
        <v>97793</v>
      </c>
      <c r="M71" s="64">
        <v>88947</v>
      </c>
      <c r="N71" s="64">
        <v>91100</v>
      </c>
      <c r="O71" s="64">
        <v>91321</v>
      </c>
      <c r="P71" s="64">
        <v>90833</v>
      </c>
      <c r="Q71" s="64">
        <v>91083</v>
      </c>
      <c r="R71" s="64">
        <v>94462</v>
      </c>
      <c r="S71" s="64">
        <v>94319</v>
      </c>
      <c r="T71" s="64">
        <v>95985</v>
      </c>
      <c r="U71" s="64">
        <v>94439</v>
      </c>
      <c r="V71" s="64">
        <v>97672</v>
      </c>
      <c r="W71" s="67">
        <v>100793</v>
      </c>
      <c r="X71" s="109">
        <v>1.389814322748761E-2</v>
      </c>
      <c r="Y71" s="109">
        <v>8.929117810610121E-3</v>
      </c>
      <c r="Z71" s="109">
        <v>8.465078255824654E-3</v>
      </c>
      <c r="AA71" s="109">
        <v>1.6929252252134489E-2</v>
      </c>
    </row>
    <row r="72" spans="1:27" ht="15" x14ac:dyDescent="0.25">
      <c r="A72" s="4">
        <v>260130</v>
      </c>
      <c r="B72" s="29">
        <v>6454</v>
      </c>
      <c r="C72" s="19" t="s">
        <v>67</v>
      </c>
      <c r="D72" s="46" t="s">
        <v>883</v>
      </c>
      <c r="E72" s="19" t="s">
        <v>819</v>
      </c>
      <c r="F72" s="47">
        <v>1.6</v>
      </c>
      <c r="G72" s="64">
        <v>18918</v>
      </c>
      <c r="H72" s="64">
        <v>19519</v>
      </c>
      <c r="I72" s="64">
        <v>20336</v>
      </c>
      <c r="J72" s="64">
        <v>21627</v>
      </c>
      <c r="K72" s="64">
        <v>21917</v>
      </c>
      <c r="L72" s="64">
        <v>20436</v>
      </c>
      <c r="M72" s="64">
        <v>21200</v>
      </c>
      <c r="N72" s="64">
        <v>21720</v>
      </c>
      <c r="O72" s="64">
        <v>22412</v>
      </c>
      <c r="P72" s="64">
        <v>21306</v>
      </c>
      <c r="Q72" s="64">
        <v>22588</v>
      </c>
      <c r="R72" s="64">
        <v>22293</v>
      </c>
      <c r="S72" s="64">
        <v>24129</v>
      </c>
      <c r="T72" s="64">
        <v>22829</v>
      </c>
      <c r="U72" s="64">
        <v>24240</v>
      </c>
      <c r="V72" s="64">
        <v>24448</v>
      </c>
      <c r="W72" s="67">
        <v>25635</v>
      </c>
      <c r="X72" s="109">
        <v>1.686301430532788E-2</v>
      </c>
      <c r="Y72" s="109">
        <v>1.798800074042628E-2</v>
      </c>
      <c r="Z72" s="109">
        <v>2.3050347092233411E-2</v>
      </c>
      <c r="AA72" s="109">
        <v>1.5745561758986341E-2</v>
      </c>
    </row>
    <row r="73" spans="1:27" ht="15" x14ac:dyDescent="0.25">
      <c r="A73" s="4">
        <v>260130</v>
      </c>
      <c r="B73" s="29">
        <v>8572</v>
      </c>
      <c r="C73" s="19" t="s">
        <v>67</v>
      </c>
      <c r="D73" s="46" t="s">
        <v>884</v>
      </c>
      <c r="E73" s="19" t="s">
        <v>819</v>
      </c>
      <c r="F73" s="47">
        <v>1.6</v>
      </c>
      <c r="G73" s="64">
        <v>65499</v>
      </c>
      <c r="H73" s="64">
        <v>65233</v>
      </c>
      <c r="I73" s="64">
        <v>66514</v>
      </c>
      <c r="J73" s="64">
        <v>68554</v>
      </c>
      <c r="K73" s="64">
        <v>68992</v>
      </c>
      <c r="L73" s="64">
        <v>69733</v>
      </c>
      <c r="M73" s="64">
        <v>70926</v>
      </c>
      <c r="N73" s="64">
        <v>73373</v>
      </c>
      <c r="O73" s="64">
        <v>74687</v>
      </c>
      <c r="P73" s="64">
        <v>75744</v>
      </c>
      <c r="Q73" s="64">
        <v>77236</v>
      </c>
      <c r="R73" s="64">
        <v>79063</v>
      </c>
      <c r="S73" s="64">
        <v>80526</v>
      </c>
      <c r="T73" s="64">
        <v>80917</v>
      </c>
      <c r="U73" s="64">
        <v>82372</v>
      </c>
      <c r="V73" s="64">
        <v>83276</v>
      </c>
      <c r="W73" s="67">
        <v>85620</v>
      </c>
      <c r="X73" s="109">
        <v>1.6549945771973551E-2</v>
      </c>
      <c r="Y73" s="109">
        <v>1.6164057631663509E-2</v>
      </c>
      <c r="Z73" s="109">
        <v>1.304827210277559E-2</v>
      </c>
      <c r="AA73" s="109">
        <v>1.5573647700487079E-2</v>
      </c>
    </row>
    <row r="74" spans="1:27" ht="15" x14ac:dyDescent="0.25">
      <c r="A74" s="4">
        <v>260130</v>
      </c>
      <c r="B74" s="29">
        <v>5332</v>
      </c>
      <c r="C74" s="19" t="s">
        <v>67</v>
      </c>
      <c r="D74" s="46" t="s">
        <v>885</v>
      </c>
      <c r="E74" s="19" t="s">
        <v>819</v>
      </c>
      <c r="F74" s="47">
        <v>1.6</v>
      </c>
      <c r="G74" s="64">
        <v>170626</v>
      </c>
      <c r="H74" s="64">
        <v>165141</v>
      </c>
      <c r="I74" s="64">
        <v>153472</v>
      </c>
      <c r="J74" s="64">
        <v>174216</v>
      </c>
      <c r="K74" s="64">
        <v>199455</v>
      </c>
      <c r="L74" s="64">
        <v>174044</v>
      </c>
      <c r="M74" s="64">
        <v>156608</v>
      </c>
      <c r="N74" s="64">
        <v>183133</v>
      </c>
      <c r="O74" s="64">
        <v>185024</v>
      </c>
      <c r="P74" s="64">
        <v>177519</v>
      </c>
      <c r="Q74" s="64">
        <v>164513</v>
      </c>
      <c r="R74" s="64">
        <v>191222</v>
      </c>
      <c r="S74" s="64">
        <v>186569</v>
      </c>
      <c r="T74" s="64">
        <v>182150</v>
      </c>
      <c r="U74" s="64">
        <v>165747</v>
      </c>
      <c r="V74" s="64">
        <v>183625</v>
      </c>
      <c r="W74" s="67">
        <v>197727</v>
      </c>
      <c r="X74" s="109">
        <v>6.4335260195909072E-3</v>
      </c>
      <c r="Y74" s="109">
        <v>1.703351765605543E-3</v>
      </c>
      <c r="Z74" s="109">
        <v>-1.0468686267376629E-2</v>
      </c>
      <c r="AA74" s="109">
        <v>1.553842061799959E-2</v>
      </c>
    </row>
    <row r="75" spans="1:27" ht="15" x14ac:dyDescent="0.25">
      <c r="A75" s="4">
        <v>260130</v>
      </c>
      <c r="B75" s="29">
        <v>2805</v>
      </c>
      <c r="C75" s="19" t="s">
        <v>67</v>
      </c>
      <c r="D75" s="46" t="s">
        <v>886</v>
      </c>
      <c r="E75" s="19" t="s">
        <v>819</v>
      </c>
      <c r="F75" s="47">
        <v>1.4</v>
      </c>
      <c r="G75" s="64">
        <v>31495</v>
      </c>
      <c r="H75" s="64">
        <v>26688</v>
      </c>
      <c r="I75" s="64">
        <v>30616</v>
      </c>
      <c r="J75" s="64">
        <v>30817</v>
      </c>
      <c r="K75" s="64">
        <v>32420</v>
      </c>
      <c r="L75" s="64">
        <v>26798</v>
      </c>
      <c r="M75" s="64">
        <v>31955</v>
      </c>
      <c r="N75" s="64">
        <v>31202</v>
      </c>
      <c r="O75" s="64">
        <v>34760</v>
      </c>
      <c r="P75" s="64">
        <v>28526</v>
      </c>
      <c r="Q75" s="64">
        <v>31039</v>
      </c>
      <c r="R75" s="64">
        <v>30452</v>
      </c>
      <c r="S75" s="64">
        <v>35030</v>
      </c>
      <c r="T75" s="64">
        <v>26999</v>
      </c>
      <c r="U75" s="64">
        <v>32088</v>
      </c>
      <c r="V75" s="64">
        <v>31262</v>
      </c>
      <c r="W75" s="67">
        <v>36782</v>
      </c>
      <c r="X75" s="109">
        <v>-1.221140851040003E-2</v>
      </c>
      <c r="Y75" s="109">
        <v>8.4925518134715272E-3</v>
      </c>
      <c r="Z75" s="109">
        <v>6.5024203453507567E-3</v>
      </c>
      <c r="AA75" s="109">
        <v>1.397363194793377E-2</v>
      </c>
    </row>
    <row r="76" spans="1:27" ht="15" x14ac:dyDescent="0.25">
      <c r="A76" s="4">
        <v>260130</v>
      </c>
      <c r="B76" s="29">
        <v>6455</v>
      </c>
      <c r="C76" s="19" t="s">
        <v>67</v>
      </c>
      <c r="D76" s="46" t="s">
        <v>887</v>
      </c>
      <c r="E76" s="19" t="s">
        <v>819</v>
      </c>
      <c r="F76" s="47">
        <v>1.4</v>
      </c>
      <c r="G76" s="64">
        <v>20499</v>
      </c>
      <c r="H76" s="64">
        <v>36092</v>
      </c>
      <c r="I76" s="64">
        <v>12417</v>
      </c>
      <c r="J76" s="64">
        <v>15739</v>
      </c>
      <c r="K76" s="64">
        <v>15648</v>
      </c>
      <c r="L76" s="64">
        <v>37540</v>
      </c>
      <c r="M76" s="64">
        <v>14598</v>
      </c>
      <c r="N76" s="64">
        <v>19990</v>
      </c>
      <c r="O76" s="64">
        <v>20120</v>
      </c>
      <c r="P76" s="64">
        <v>40497</v>
      </c>
      <c r="Q76" s="64">
        <v>18622</v>
      </c>
      <c r="R76" s="64">
        <v>24011</v>
      </c>
      <c r="S76" s="64">
        <v>22862</v>
      </c>
      <c r="T76" s="64">
        <v>46248</v>
      </c>
      <c r="U76" s="64">
        <v>18260</v>
      </c>
      <c r="V76" s="64">
        <v>28927</v>
      </c>
      <c r="W76" s="67">
        <v>24474</v>
      </c>
      <c r="X76" s="109">
        <v>5.4258811985810278E-2</v>
      </c>
      <c r="Y76" s="109">
        <v>-3.2395765282836608E-3</v>
      </c>
      <c r="Z76" s="109">
        <v>4.4136791732880758E-2</v>
      </c>
      <c r="AA76" s="109">
        <v>1.3861062624143329E-2</v>
      </c>
    </row>
    <row r="77" spans="1:27" ht="15" x14ac:dyDescent="0.25">
      <c r="A77" s="4">
        <v>260130</v>
      </c>
      <c r="B77" s="29">
        <v>2175</v>
      </c>
      <c r="C77" s="19" t="s">
        <v>67</v>
      </c>
      <c r="D77" s="46" t="s">
        <v>888</v>
      </c>
      <c r="E77" s="19" t="s">
        <v>819</v>
      </c>
      <c r="F77" s="47">
        <v>1.3</v>
      </c>
      <c r="G77" s="64">
        <v>8388</v>
      </c>
      <c r="H77" s="64">
        <v>10584</v>
      </c>
      <c r="I77" s="64">
        <v>12517</v>
      </c>
      <c r="J77" s="64">
        <v>10817</v>
      </c>
      <c r="K77" s="64">
        <v>10098</v>
      </c>
      <c r="L77" s="64">
        <v>12235</v>
      </c>
      <c r="M77" s="64">
        <v>15194</v>
      </c>
      <c r="N77" s="64">
        <v>12280</v>
      </c>
      <c r="O77" s="64">
        <v>11883</v>
      </c>
      <c r="P77" s="64">
        <v>14616</v>
      </c>
      <c r="Q77" s="64">
        <v>17426</v>
      </c>
      <c r="R77" s="64">
        <v>14416</v>
      </c>
      <c r="S77" s="64">
        <v>13043</v>
      </c>
      <c r="T77" s="64">
        <v>16067</v>
      </c>
      <c r="U77" s="64">
        <v>18672</v>
      </c>
      <c r="V77" s="64">
        <v>14803</v>
      </c>
      <c r="W77" s="67">
        <v>13871</v>
      </c>
      <c r="X77" s="109">
        <v>2.4386144770676129E-2</v>
      </c>
      <c r="Y77" s="109">
        <v>2.0442315264470379E-2</v>
      </c>
      <c r="Z77" s="109">
        <v>6.2220650181676884E-3</v>
      </c>
      <c r="AA77" s="109">
        <v>1.3230007190221381E-2</v>
      </c>
    </row>
    <row r="78" spans="1:27" ht="15" x14ac:dyDescent="0.25">
      <c r="A78" s="4">
        <v>260130</v>
      </c>
      <c r="B78" s="29">
        <v>7276</v>
      </c>
      <c r="C78" s="19" t="s">
        <v>67</v>
      </c>
      <c r="D78" s="46" t="s">
        <v>889</v>
      </c>
      <c r="E78" s="19" t="s">
        <v>819</v>
      </c>
      <c r="F78" s="47">
        <v>1.3</v>
      </c>
      <c r="G78" s="64">
        <v>199673</v>
      </c>
      <c r="H78" s="64">
        <v>208322</v>
      </c>
      <c r="I78" s="64">
        <v>193443</v>
      </c>
      <c r="J78" s="64">
        <v>222168</v>
      </c>
      <c r="K78" s="64">
        <v>219877</v>
      </c>
      <c r="L78" s="64">
        <v>229231</v>
      </c>
      <c r="M78" s="64">
        <v>225995</v>
      </c>
      <c r="N78" s="64">
        <v>242158</v>
      </c>
      <c r="O78" s="64">
        <v>246808</v>
      </c>
      <c r="P78" s="64">
        <v>235334</v>
      </c>
      <c r="Q78" s="64">
        <v>229772</v>
      </c>
      <c r="R78" s="64">
        <v>214301</v>
      </c>
      <c r="S78" s="64">
        <v>231098</v>
      </c>
      <c r="T78" s="64">
        <v>241538</v>
      </c>
      <c r="U78" s="64">
        <v>219725</v>
      </c>
      <c r="V78" s="64">
        <v>227126</v>
      </c>
      <c r="W78" s="67">
        <v>243154</v>
      </c>
      <c r="X78" s="109">
        <v>6.8138011323386483E-3</v>
      </c>
      <c r="Y78" s="109">
        <v>-1.0959857490217771E-2</v>
      </c>
      <c r="Z78" s="109">
        <v>1.4145293394892461E-2</v>
      </c>
      <c r="AA78" s="109">
        <v>1.3111659001160399E-2</v>
      </c>
    </row>
    <row r="79" spans="1:27" ht="15" x14ac:dyDescent="0.25">
      <c r="A79" s="4">
        <v>260130</v>
      </c>
      <c r="B79" s="29">
        <v>8084</v>
      </c>
      <c r="C79" s="19" t="s">
        <v>67</v>
      </c>
      <c r="D79" s="46" t="s">
        <v>890</v>
      </c>
      <c r="E79" s="19" t="s">
        <v>819</v>
      </c>
      <c r="F79" s="47">
        <v>1.2</v>
      </c>
      <c r="G79" s="64">
        <v>58696</v>
      </c>
      <c r="H79" s="64">
        <v>63120</v>
      </c>
      <c r="I79" s="64">
        <v>60079</v>
      </c>
      <c r="J79" s="64">
        <v>66954</v>
      </c>
      <c r="K79" s="64">
        <v>67683</v>
      </c>
      <c r="L79" s="64">
        <v>65587</v>
      </c>
      <c r="M79" s="64">
        <v>63497</v>
      </c>
      <c r="N79" s="64">
        <v>66346</v>
      </c>
      <c r="O79" s="64">
        <v>67064</v>
      </c>
      <c r="P79" s="64">
        <v>62101</v>
      </c>
      <c r="Q79" s="64">
        <v>55160</v>
      </c>
      <c r="R79" s="64">
        <v>54465</v>
      </c>
      <c r="S79" s="64">
        <v>49208</v>
      </c>
      <c r="T79" s="64">
        <v>56957</v>
      </c>
      <c r="U79" s="64">
        <v>49422</v>
      </c>
      <c r="V79" s="64">
        <v>52640</v>
      </c>
      <c r="W79" s="67">
        <v>51782</v>
      </c>
      <c r="X79" s="109">
        <v>-2.3282971385119589E-2</v>
      </c>
      <c r="Y79" s="109">
        <v>-2.6590666852032041E-2</v>
      </c>
      <c r="Z79" s="109">
        <v>-8.6883247957648679E-3</v>
      </c>
      <c r="AA79" s="109">
        <v>1.2361509314354089E-2</v>
      </c>
    </row>
    <row r="80" spans="1:27" ht="15" x14ac:dyDescent="0.25">
      <c r="A80" s="4">
        <v>260130</v>
      </c>
      <c r="B80" s="29">
        <v>9042</v>
      </c>
      <c r="C80" s="19" t="s">
        <v>67</v>
      </c>
      <c r="D80" s="46" t="s">
        <v>891</v>
      </c>
      <c r="E80" s="19" t="s">
        <v>819</v>
      </c>
      <c r="F80" s="47">
        <v>1.1000000000000001</v>
      </c>
      <c r="G80" s="64">
        <v>206327</v>
      </c>
      <c r="H80" s="64">
        <v>229055</v>
      </c>
      <c r="I80" s="64">
        <v>228993</v>
      </c>
      <c r="J80" s="64">
        <v>238167</v>
      </c>
      <c r="K80" s="64">
        <v>249284</v>
      </c>
      <c r="L80" s="64">
        <v>251856</v>
      </c>
      <c r="M80" s="64">
        <v>245524</v>
      </c>
      <c r="N80" s="64">
        <v>240120</v>
      </c>
      <c r="O80" s="64">
        <v>250743</v>
      </c>
      <c r="P80" s="64">
        <v>261224</v>
      </c>
      <c r="Q80" s="64">
        <v>261933</v>
      </c>
      <c r="R80" s="64">
        <v>272723</v>
      </c>
      <c r="S80" s="64">
        <v>269724</v>
      </c>
      <c r="T80" s="64">
        <v>302474</v>
      </c>
      <c r="U80" s="64">
        <v>309759</v>
      </c>
      <c r="V80" s="64">
        <v>289074</v>
      </c>
      <c r="W80" s="67">
        <v>282671</v>
      </c>
      <c r="X80" s="109">
        <v>3.8710440276125142E-2</v>
      </c>
      <c r="Y80" s="109">
        <v>4.3208950773995447E-2</v>
      </c>
      <c r="Z80" s="109">
        <v>1.416063324903871E-2</v>
      </c>
      <c r="AA80" s="109">
        <v>1.105606939525949E-2</v>
      </c>
    </row>
    <row r="81" spans="1:27" ht="15" x14ac:dyDescent="0.25">
      <c r="A81" s="4">
        <v>260130</v>
      </c>
      <c r="B81" s="29">
        <v>9936</v>
      </c>
      <c r="C81" s="19" t="s">
        <v>67</v>
      </c>
      <c r="D81" s="46" t="s">
        <v>892</v>
      </c>
      <c r="E81" s="19" t="s">
        <v>819</v>
      </c>
      <c r="F81" s="47">
        <v>1</v>
      </c>
      <c r="G81" s="64">
        <v>22295</v>
      </c>
      <c r="H81" s="64">
        <v>22017</v>
      </c>
      <c r="I81" s="64">
        <v>22617</v>
      </c>
      <c r="J81" s="64">
        <v>22519</v>
      </c>
      <c r="K81" s="64">
        <v>23922</v>
      </c>
      <c r="L81" s="64">
        <v>23964</v>
      </c>
      <c r="M81" s="64">
        <v>24623</v>
      </c>
      <c r="N81" s="64">
        <v>25121</v>
      </c>
      <c r="O81" s="64">
        <v>25785</v>
      </c>
      <c r="P81" s="64">
        <v>25872</v>
      </c>
      <c r="Q81" s="64">
        <v>26421</v>
      </c>
      <c r="R81" s="64">
        <v>27458</v>
      </c>
      <c r="S81" s="64">
        <v>27566</v>
      </c>
      <c r="T81" s="64">
        <v>29588</v>
      </c>
      <c r="U81" s="64">
        <v>29668</v>
      </c>
      <c r="V81" s="64">
        <v>28835</v>
      </c>
      <c r="W81" s="67">
        <v>28774</v>
      </c>
      <c r="X81" s="109">
        <v>3.4626387245264123E-2</v>
      </c>
      <c r="Y81" s="109">
        <v>2.9243558221429659E-2</v>
      </c>
      <c r="Z81" s="109">
        <v>1.204935246762329E-2</v>
      </c>
      <c r="AA81" s="109">
        <v>1.044467693265427E-2</v>
      </c>
    </row>
    <row r="82" spans="1:27" ht="15" x14ac:dyDescent="0.25">
      <c r="A82" s="4">
        <v>260130</v>
      </c>
      <c r="B82" s="29">
        <v>7476</v>
      </c>
      <c r="C82" s="19" t="s">
        <v>67</v>
      </c>
      <c r="D82" s="46" t="s">
        <v>893</v>
      </c>
      <c r="E82" s="19" t="s">
        <v>819</v>
      </c>
      <c r="F82" s="47">
        <v>1</v>
      </c>
      <c r="G82" s="64">
        <v>21317</v>
      </c>
      <c r="H82" s="64">
        <v>25175</v>
      </c>
      <c r="I82" s="64">
        <v>20471</v>
      </c>
      <c r="J82" s="64">
        <v>22126</v>
      </c>
      <c r="K82" s="64">
        <v>23322</v>
      </c>
      <c r="L82" s="64">
        <v>25502</v>
      </c>
      <c r="M82" s="64">
        <v>21735</v>
      </c>
      <c r="N82" s="64">
        <v>22378</v>
      </c>
      <c r="O82" s="64">
        <v>24538</v>
      </c>
      <c r="P82" s="64">
        <v>26885</v>
      </c>
      <c r="Q82" s="64">
        <v>24168</v>
      </c>
      <c r="R82" s="64">
        <v>24458</v>
      </c>
      <c r="S82" s="64">
        <v>26744</v>
      </c>
      <c r="T82" s="64">
        <v>28380</v>
      </c>
      <c r="U82" s="64">
        <v>25637</v>
      </c>
      <c r="V82" s="64">
        <v>25775</v>
      </c>
      <c r="W82" s="67">
        <v>27792</v>
      </c>
      <c r="X82" s="109">
        <v>1.4620311965185101E-2</v>
      </c>
      <c r="Y82" s="109">
        <v>1.415903614457825E-2</v>
      </c>
      <c r="Z82" s="109">
        <v>1.2516750776951019E-2</v>
      </c>
      <c r="AA82" s="109">
        <v>9.837050386723778E-3</v>
      </c>
    </row>
    <row r="83" spans="1:27" ht="15" x14ac:dyDescent="0.25">
      <c r="A83" s="4">
        <v>260130</v>
      </c>
      <c r="B83" s="29">
        <v>5703</v>
      </c>
      <c r="C83" s="19" t="s">
        <v>67</v>
      </c>
      <c r="D83" s="46" t="s">
        <v>894</v>
      </c>
      <c r="E83" s="19" t="s">
        <v>819</v>
      </c>
      <c r="F83" s="47">
        <v>1</v>
      </c>
      <c r="G83" s="64">
        <v>124467</v>
      </c>
      <c r="H83" s="64">
        <v>126064</v>
      </c>
      <c r="I83" s="64">
        <v>123241</v>
      </c>
      <c r="J83" s="64">
        <v>129853</v>
      </c>
      <c r="K83" s="64">
        <v>131956</v>
      </c>
      <c r="L83" s="64">
        <v>131904</v>
      </c>
      <c r="M83" s="64">
        <v>122471</v>
      </c>
      <c r="N83" s="64">
        <v>127981</v>
      </c>
      <c r="O83" s="64">
        <v>137261</v>
      </c>
      <c r="P83" s="64">
        <v>136002</v>
      </c>
      <c r="Q83" s="64">
        <v>130570</v>
      </c>
      <c r="R83" s="64">
        <v>132518</v>
      </c>
      <c r="S83" s="64">
        <v>142816</v>
      </c>
      <c r="T83" s="64">
        <v>146224</v>
      </c>
      <c r="U83" s="64">
        <v>139337</v>
      </c>
      <c r="V83" s="64">
        <v>141580</v>
      </c>
      <c r="W83" s="67">
        <v>148392</v>
      </c>
      <c r="X83" s="109">
        <v>1.886305004927058E-2</v>
      </c>
      <c r="Y83" s="109">
        <v>1.5878564390865879E-2</v>
      </c>
      <c r="Z83" s="109">
        <v>1.6156321593168151E-2</v>
      </c>
      <c r="AA83" s="109">
        <v>9.783194170788212E-3</v>
      </c>
    </row>
    <row r="84" spans="1:27" ht="15" x14ac:dyDescent="0.25">
      <c r="A84" s="4">
        <v>260130</v>
      </c>
      <c r="B84" s="29">
        <v>6301</v>
      </c>
      <c r="C84" s="19" t="s">
        <v>67</v>
      </c>
      <c r="D84" s="46" t="s">
        <v>895</v>
      </c>
      <c r="E84" s="19" t="s">
        <v>819</v>
      </c>
      <c r="F84" s="47">
        <v>0.9</v>
      </c>
      <c r="G84" s="64">
        <v>723277</v>
      </c>
      <c r="H84" s="64">
        <v>787646</v>
      </c>
      <c r="I84" s="64">
        <v>763808</v>
      </c>
      <c r="J84" s="64">
        <v>854927</v>
      </c>
      <c r="K84" s="64">
        <v>920497</v>
      </c>
      <c r="L84" s="64">
        <v>1004243</v>
      </c>
      <c r="M84" s="64">
        <v>899551</v>
      </c>
      <c r="N84" s="64">
        <v>923443</v>
      </c>
      <c r="O84" s="64">
        <v>971996</v>
      </c>
      <c r="P84" s="64">
        <v>1070132</v>
      </c>
      <c r="Q84" s="64">
        <v>959837</v>
      </c>
      <c r="R84" s="64">
        <v>1008229</v>
      </c>
      <c r="S84" s="64">
        <v>989196</v>
      </c>
      <c r="T84" s="64">
        <v>1147133</v>
      </c>
      <c r="U84" s="64">
        <v>909524</v>
      </c>
      <c r="V84" s="64">
        <v>982063</v>
      </c>
      <c r="W84" s="67">
        <v>1023897</v>
      </c>
      <c r="X84" s="109">
        <v>1.911931139590517E-2</v>
      </c>
      <c r="Y84" s="109">
        <v>-1.225832309024844E-2</v>
      </c>
      <c r="Z84" s="109">
        <v>-6.4542355088031966E-3</v>
      </c>
      <c r="AA84" s="109">
        <v>8.615125042329641E-3</v>
      </c>
    </row>
    <row r="85" spans="1:27" ht="15" x14ac:dyDescent="0.25">
      <c r="A85" s="4">
        <v>260130</v>
      </c>
      <c r="B85" s="29">
        <v>9009</v>
      </c>
      <c r="C85" s="19" t="s">
        <v>67</v>
      </c>
      <c r="D85" s="46" t="s">
        <v>896</v>
      </c>
      <c r="E85" s="19" t="s">
        <v>819</v>
      </c>
      <c r="F85" s="47">
        <v>0.9</v>
      </c>
      <c r="G85" s="64">
        <v>56134</v>
      </c>
      <c r="H85" s="64">
        <v>53867</v>
      </c>
      <c r="I85" s="64">
        <v>59756</v>
      </c>
      <c r="J85" s="64">
        <v>59275</v>
      </c>
      <c r="K85" s="64">
        <v>66687</v>
      </c>
      <c r="L85" s="64">
        <v>66620</v>
      </c>
      <c r="M85" s="64">
        <v>72466</v>
      </c>
      <c r="N85" s="64">
        <v>75483</v>
      </c>
      <c r="O85" s="64">
        <v>74665</v>
      </c>
      <c r="P85" s="64">
        <v>73895</v>
      </c>
      <c r="Q85" s="64">
        <v>80297</v>
      </c>
      <c r="R85" s="64">
        <v>77736</v>
      </c>
      <c r="S85" s="64">
        <v>80154</v>
      </c>
      <c r="T85" s="64">
        <v>81127</v>
      </c>
      <c r="U85" s="64">
        <v>83334</v>
      </c>
      <c r="V85" s="64">
        <v>81294</v>
      </c>
      <c r="W85" s="67">
        <v>82946</v>
      </c>
      <c r="X85" s="109">
        <v>2.3173396735473469E-2</v>
      </c>
      <c r="Y85" s="109">
        <v>9.5110142367700323E-3</v>
      </c>
      <c r="Z85" s="109">
        <v>1.1037657708522721E-2</v>
      </c>
      <c r="AA85" s="109">
        <v>8.5668085263064242E-3</v>
      </c>
    </row>
    <row r="86" spans="1:27" ht="15" x14ac:dyDescent="0.25">
      <c r="A86" s="4">
        <v>260130</v>
      </c>
      <c r="B86" s="29">
        <v>8585</v>
      </c>
      <c r="C86" s="19" t="s">
        <v>67</v>
      </c>
      <c r="D86" s="46" t="s">
        <v>897</v>
      </c>
      <c r="E86" s="19" t="s">
        <v>819</v>
      </c>
      <c r="F86" s="47">
        <v>0.8</v>
      </c>
      <c r="G86" s="64">
        <v>56941</v>
      </c>
      <c r="H86" s="64">
        <v>58253</v>
      </c>
      <c r="I86" s="64">
        <v>54332</v>
      </c>
      <c r="J86" s="64">
        <v>62063</v>
      </c>
      <c r="K86" s="64">
        <v>51694</v>
      </c>
      <c r="L86" s="64">
        <v>59604</v>
      </c>
      <c r="M86" s="64">
        <v>57688</v>
      </c>
      <c r="N86" s="64">
        <v>54502</v>
      </c>
      <c r="O86" s="64">
        <v>56447</v>
      </c>
      <c r="P86" s="64">
        <v>60417</v>
      </c>
      <c r="Q86" s="64">
        <v>63053</v>
      </c>
      <c r="R86" s="64">
        <v>60411</v>
      </c>
      <c r="S86" s="64">
        <v>59032</v>
      </c>
      <c r="T86" s="64">
        <v>62776</v>
      </c>
      <c r="U86" s="64">
        <v>62876</v>
      </c>
      <c r="V86" s="64">
        <v>62001</v>
      </c>
      <c r="W86" s="67">
        <v>61102</v>
      </c>
      <c r="X86" s="109">
        <v>9.7112958137275385E-3</v>
      </c>
      <c r="Y86" s="109">
        <v>-7.2164780325512101E-4</v>
      </c>
      <c r="Z86" s="109">
        <v>6.4872804422775321E-3</v>
      </c>
      <c r="AA86" s="109">
        <v>8.3912682165514507E-3</v>
      </c>
    </row>
    <row r="87" spans="1:27" ht="15" x14ac:dyDescent="0.25">
      <c r="A87" s="4">
        <v>260130</v>
      </c>
      <c r="B87" s="29">
        <v>6436</v>
      </c>
      <c r="C87" s="19" t="s">
        <v>67</v>
      </c>
      <c r="D87" s="46" t="s">
        <v>898</v>
      </c>
      <c r="E87" s="19" t="s">
        <v>819</v>
      </c>
      <c r="F87" s="47">
        <v>0.8</v>
      </c>
      <c r="G87" s="64">
        <v>27676</v>
      </c>
      <c r="H87" s="64">
        <v>35426</v>
      </c>
      <c r="I87" s="64">
        <v>27622</v>
      </c>
      <c r="J87" s="64">
        <v>32833</v>
      </c>
      <c r="K87" s="64">
        <v>31812</v>
      </c>
      <c r="L87" s="64">
        <v>40543</v>
      </c>
      <c r="M87" s="64">
        <v>31840</v>
      </c>
      <c r="N87" s="64">
        <v>38323</v>
      </c>
      <c r="O87" s="64">
        <v>37628</v>
      </c>
      <c r="P87" s="64">
        <v>45073</v>
      </c>
      <c r="Q87" s="64">
        <v>39032</v>
      </c>
      <c r="R87" s="64">
        <v>45196</v>
      </c>
      <c r="S87" s="64">
        <v>41688</v>
      </c>
      <c r="T87" s="64">
        <v>49507</v>
      </c>
      <c r="U87" s="64">
        <v>39056</v>
      </c>
      <c r="V87" s="64">
        <v>44872</v>
      </c>
      <c r="W87" s="67">
        <v>43113</v>
      </c>
      <c r="X87" s="109">
        <v>2.5931492669118979E-2</v>
      </c>
      <c r="Y87" s="109">
        <v>1.3681216260130749E-4</v>
      </c>
      <c r="Z87" s="109">
        <v>-1.846711542517143E-3</v>
      </c>
      <c r="AA87" s="109">
        <v>8.1371378973635888E-3</v>
      </c>
    </row>
    <row r="88" spans="1:27" ht="15" x14ac:dyDescent="0.25">
      <c r="A88" s="4">
        <v>260130</v>
      </c>
      <c r="B88" s="29">
        <v>6508</v>
      </c>
      <c r="C88" s="19" t="s">
        <v>67</v>
      </c>
      <c r="D88" s="46" t="s">
        <v>899</v>
      </c>
      <c r="E88" s="19" t="s">
        <v>819</v>
      </c>
      <c r="F88" s="47">
        <v>0.6</v>
      </c>
      <c r="G88" s="64">
        <v>59491</v>
      </c>
      <c r="H88" s="64">
        <v>96605</v>
      </c>
      <c r="I88" s="64">
        <v>47525</v>
      </c>
      <c r="J88" s="64">
        <v>64217</v>
      </c>
      <c r="K88" s="64">
        <v>58267</v>
      </c>
      <c r="L88" s="64">
        <v>102569</v>
      </c>
      <c r="M88" s="64">
        <v>53532</v>
      </c>
      <c r="N88" s="64">
        <v>65515</v>
      </c>
      <c r="O88" s="64">
        <v>64871</v>
      </c>
      <c r="P88" s="64">
        <v>103962</v>
      </c>
      <c r="Q88" s="64">
        <v>54975</v>
      </c>
      <c r="R88" s="64">
        <v>65124</v>
      </c>
      <c r="S88" s="64">
        <v>70984</v>
      </c>
      <c r="T88" s="64">
        <v>110018</v>
      </c>
      <c r="U88" s="64">
        <v>58390</v>
      </c>
      <c r="V88" s="64">
        <v>72752</v>
      </c>
      <c r="W88" s="67">
        <v>72713</v>
      </c>
      <c r="X88" s="109">
        <v>2.052568252300491E-2</v>
      </c>
      <c r="Y88" s="109">
        <v>1.134170926034783E-2</v>
      </c>
      <c r="Z88" s="109">
        <v>2.504958688541814E-2</v>
      </c>
      <c r="AA88" s="109">
        <v>5.539110154287874E-3</v>
      </c>
    </row>
    <row r="89" spans="1:27" ht="15" x14ac:dyDescent="0.25">
      <c r="A89" s="4">
        <v>260130</v>
      </c>
      <c r="B89" s="29">
        <v>2002</v>
      </c>
      <c r="C89" s="19" t="s">
        <v>67</v>
      </c>
      <c r="D89" s="46" t="s">
        <v>900</v>
      </c>
      <c r="E89" s="19" t="s">
        <v>819</v>
      </c>
      <c r="F89" s="47">
        <v>0.6</v>
      </c>
      <c r="G89" s="64">
        <v>179583</v>
      </c>
      <c r="H89" s="64">
        <v>174426</v>
      </c>
      <c r="I89" s="64">
        <v>189296</v>
      </c>
      <c r="J89" s="64">
        <v>199446</v>
      </c>
      <c r="K89" s="64">
        <v>211263</v>
      </c>
      <c r="L89" s="64">
        <v>198676</v>
      </c>
      <c r="M89" s="64">
        <v>208191</v>
      </c>
      <c r="N89" s="64">
        <v>218690</v>
      </c>
      <c r="O89" s="64">
        <v>223800</v>
      </c>
      <c r="P89" s="64">
        <v>207567</v>
      </c>
      <c r="Q89" s="64">
        <v>213874</v>
      </c>
      <c r="R89" s="64">
        <v>215639</v>
      </c>
      <c r="S89" s="64">
        <v>217928</v>
      </c>
      <c r="T89" s="64">
        <v>204045</v>
      </c>
      <c r="U89" s="64">
        <v>215364</v>
      </c>
      <c r="V89" s="64">
        <v>215946</v>
      </c>
      <c r="W89" s="67">
        <v>222645</v>
      </c>
      <c r="X89" s="109">
        <v>-4.1192597028332223E-3</v>
      </c>
      <c r="Y89" s="109">
        <v>1.749881971048195E-3</v>
      </c>
      <c r="Z89" s="109">
        <v>3.5991633996745881E-4</v>
      </c>
      <c r="AA89" s="109">
        <v>5.528060444190297E-3</v>
      </c>
    </row>
    <row r="90" spans="1:27" ht="15" x14ac:dyDescent="0.25">
      <c r="A90" s="4">
        <v>260130</v>
      </c>
      <c r="B90" s="29">
        <v>6770</v>
      </c>
      <c r="C90" s="19" t="s">
        <v>67</v>
      </c>
      <c r="D90" s="46" t="s">
        <v>901</v>
      </c>
      <c r="E90" s="19" t="s">
        <v>819</v>
      </c>
      <c r="F90" s="47">
        <v>0.5</v>
      </c>
      <c r="G90" s="64">
        <v>225856</v>
      </c>
      <c r="H90" s="64">
        <v>209537</v>
      </c>
      <c r="I90" s="64">
        <v>204978</v>
      </c>
      <c r="J90" s="64">
        <v>249308</v>
      </c>
      <c r="K90" s="64">
        <v>246330</v>
      </c>
      <c r="L90" s="64">
        <v>232498</v>
      </c>
      <c r="M90" s="64">
        <v>218508</v>
      </c>
      <c r="N90" s="64">
        <v>256501</v>
      </c>
      <c r="O90" s="64">
        <v>260350</v>
      </c>
      <c r="P90" s="64">
        <v>228731</v>
      </c>
      <c r="Q90" s="64">
        <v>233593</v>
      </c>
      <c r="R90" s="64">
        <v>256718</v>
      </c>
      <c r="S90" s="64">
        <v>250305</v>
      </c>
      <c r="T90" s="64">
        <v>249791</v>
      </c>
      <c r="U90" s="64">
        <v>238920</v>
      </c>
      <c r="V90" s="64">
        <v>266791</v>
      </c>
      <c r="W90" s="67">
        <v>255478</v>
      </c>
      <c r="X90" s="109">
        <v>2.172596603693E-2</v>
      </c>
      <c r="Y90" s="109">
        <v>5.3785968798685246E-3</v>
      </c>
      <c r="Z90" s="109">
        <v>1.0116155519446E-2</v>
      </c>
      <c r="AA90" s="109">
        <v>5.1431338218963507E-3</v>
      </c>
    </row>
    <row r="91" spans="1:27" ht="15" x14ac:dyDescent="0.25">
      <c r="A91" s="4">
        <v>260130</v>
      </c>
      <c r="B91" s="29">
        <v>7575</v>
      </c>
      <c r="C91" s="19" t="s">
        <v>67</v>
      </c>
      <c r="D91" s="46" t="s">
        <v>902</v>
      </c>
      <c r="E91" s="19" t="s">
        <v>819</v>
      </c>
      <c r="F91" s="47">
        <v>0.5</v>
      </c>
      <c r="G91" s="64">
        <v>13879</v>
      </c>
      <c r="H91" s="64">
        <v>12460</v>
      </c>
      <c r="I91" s="64">
        <v>12969</v>
      </c>
      <c r="J91" s="64">
        <v>12520</v>
      </c>
      <c r="K91" s="64">
        <v>13009</v>
      </c>
      <c r="L91" s="64">
        <v>13252</v>
      </c>
      <c r="M91" s="64">
        <v>12954</v>
      </c>
      <c r="N91" s="64">
        <v>12178</v>
      </c>
      <c r="O91" s="64">
        <v>13170</v>
      </c>
      <c r="P91" s="64">
        <v>13082</v>
      </c>
      <c r="Q91" s="64">
        <v>14010</v>
      </c>
      <c r="R91" s="64">
        <v>13975</v>
      </c>
      <c r="S91" s="64">
        <v>14826</v>
      </c>
      <c r="T91" s="64">
        <v>13799</v>
      </c>
      <c r="U91" s="64">
        <v>14616</v>
      </c>
      <c r="V91" s="64">
        <v>14669</v>
      </c>
      <c r="W91" s="67">
        <v>15120</v>
      </c>
      <c r="X91" s="109">
        <v>1.282808222854381E-2</v>
      </c>
      <c r="Y91" s="109">
        <v>1.070482246952831E-2</v>
      </c>
      <c r="Z91" s="109">
        <v>1.212947427293054E-2</v>
      </c>
      <c r="AA91" s="109">
        <v>5.0768433776549049E-3</v>
      </c>
    </row>
    <row r="92" spans="1:27" ht="15" x14ac:dyDescent="0.25">
      <c r="A92" s="4">
        <v>260130</v>
      </c>
      <c r="B92" s="29">
        <v>8818</v>
      </c>
      <c r="C92" s="19" t="s">
        <v>67</v>
      </c>
      <c r="D92" s="46" t="s">
        <v>903</v>
      </c>
      <c r="E92" s="19" t="s">
        <v>819</v>
      </c>
      <c r="F92" s="47">
        <v>0.5</v>
      </c>
      <c r="G92" s="64">
        <v>4499</v>
      </c>
      <c r="H92" s="64">
        <v>4492</v>
      </c>
      <c r="I92" s="64">
        <v>4574</v>
      </c>
      <c r="J92" s="64">
        <v>4756</v>
      </c>
      <c r="K92" s="64">
        <v>4743</v>
      </c>
      <c r="L92" s="64">
        <v>4806</v>
      </c>
      <c r="M92" s="64">
        <v>4962</v>
      </c>
      <c r="N92" s="64">
        <v>4899</v>
      </c>
      <c r="O92" s="64">
        <v>4794</v>
      </c>
      <c r="P92" s="64">
        <v>4655</v>
      </c>
      <c r="Q92" s="64">
        <v>4769</v>
      </c>
      <c r="R92" s="64">
        <v>4932</v>
      </c>
      <c r="S92" s="64">
        <v>4972</v>
      </c>
      <c r="T92" s="64">
        <v>4910</v>
      </c>
      <c r="U92" s="64">
        <v>5015</v>
      </c>
      <c r="V92" s="64">
        <v>5157</v>
      </c>
      <c r="W92" s="67">
        <v>5072</v>
      </c>
      <c r="X92" s="109">
        <v>1.3193294701986821E-2</v>
      </c>
      <c r="Y92" s="109">
        <v>1.256191594750544E-2</v>
      </c>
      <c r="Z92" s="109">
        <v>1.134701699530982E-2</v>
      </c>
      <c r="AA92" s="109">
        <v>4.9865363518499786E-3</v>
      </c>
    </row>
    <row r="93" spans="1:27" ht="15" x14ac:dyDescent="0.25">
      <c r="A93" s="4">
        <v>260130</v>
      </c>
      <c r="B93" s="29">
        <v>1959</v>
      </c>
      <c r="C93" s="19" t="s">
        <v>67</v>
      </c>
      <c r="D93" s="46" t="s">
        <v>904</v>
      </c>
      <c r="E93" s="19" t="s">
        <v>819</v>
      </c>
      <c r="F93" s="47">
        <v>0.4</v>
      </c>
      <c r="G93" s="64">
        <v>83089</v>
      </c>
      <c r="H93" s="64">
        <v>135280</v>
      </c>
      <c r="I93" s="64">
        <v>69089</v>
      </c>
      <c r="J93" s="64">
        <v>99433</v>
      </c>
      <c r="K93" s="64">
        <v>82733</v>
      </c>
      <c r="L93" s="64">
        <v>144528</v>
      </c>
      <c r="M93" s="64">
        <v>86242</v>
      </c>
      <c r="N93" s="64">
        <v>114375</v>
      </c>
      <c r="O93" s="64">
        <v>114450</v>
      </c>
      <c r="P93" s="64">
        <v>153990</v>
      </c>
      <c r="Q93" s="64">
        <v>107205</v>
      </c>
      <c r="R93" s="64">
        <v>112098</v>
      </c>
      <c r="S93" s="64">
        <v>109771</v>
      </c>
      <c r="T93" s="64">
        <v>144880</v>
      </c>
      <c r="U93" s="64">
        <v>100568</v>
      </c>
      <c r="V93" s="64">
        <v>107157</v>
      </c>
      <c r="W93" s="67">
        <v>111528</v>
      </c>
      <c r="X93" s="109">
        <v>-1.8858784757299189E-2</v>
      </c>
      <c r="Y93" s="109">
        <v>-1.4003468691054399E-2</v>
      </c>
      <c r="Z93" s="109">
        <v>-1.0573122741094339E-2</v>
      </c>
      <c r="AA93" s="109">
        <v>3.799937713029999E-3</v>
      </c>
    </row>
    <row r="94" spans="1:27" ht="15" x14ac:dyDescent="0.25">
      <c r="A94" s="4">
        <v>260130</v>
      </c>
      <c r="B94" s="29">
        <v>8014</v>
      </c>
      <c r="C94" s="19" t="s">
        <v>67</v>
      </c>
      <c r="D94" s="46" t="s">
        <v>905</v>
      </c>
      <c r="E94" s="19" t="s">
        <v>819</v>
      </c>
      <c r="F94" s="47">
        <v>0.3</v>
      </c>
      <c r="G94" s="64">
        <v>75809</v>
      </c>
      <c r="H94" s="64">
        <v>78261</v>
      </c>
      <c r="I94" s="64">
        <v>81906</v>
      </c>
      <c r="J94" s="64">
        <v>86566</v>
      </c>
      <c r="K94" s="64">
        <v>86907</v>
      </c>
      <c r="L94" s="64">
        <v>74010</v>
      </c>
      <c r="M94" s="64">
        <v>75780</v>
      </c>
      <c r="N94" s="64">
        <v>77126</v>
      </c>
      <c r="O94" s="64">
        <v>80451</v>
      </c>
      <c r="P94" s="64">
        <v>74342</v>
      </c>
      <c r="Q94" s="64">
        <v>76974</v>
      </c>
      <c r="R94" s="64">
        <v>77481</v>
      </c>
      <c r="S94" s="64">
        <v>75802</v>
      </c>
      <c r="T94" s="64">
        <v>81289</v>
      </c>
      <c r="U94" s="64">
        <v>71577</v>
      </c>
      <c r="V94" s="64">
        <v>73385</v>
      </c>
      <c r="W94" s="67">
        <v>76649</v>
      </c>
      <c r="X94" s="109">
        <v>2.2807034822832639E-2</v>
      </c>
      <c r="Y94" s="109">
        <v>-1.7323284522991811E-2</v>
      </c>
      <c r="Z94" s="109">
        <v>-1.337910625218441E-2</v>
      </c>
      <c r="AA94" s="109">
        <v>2.804143643665213E-3</v>
      </c>
    </row>
    <row r="95" spans="1:27" ht="15" x14ac:dyDescent="0.25">
      <c r="A95" s="4">
        <v>260130</v>
      </c>
      <c r="B95" s="29">
        <v>4205</v>
      </c>
      <c r="C95" s="19" t="s">
        <v>67</v>
      </c>
      <c r="D95" s="46" t="s">
        <v>906</v>
      </c>
      <c r="E95" s="19" t="s">
        <v>819</v>
      </c>
      <c r="F95" s="47">
        <v>0.3</v>
      </c>
      <c r="G95" s="64">
        <v>89681</v>
      </c>
      <c r="H95" s="64">
        <v>92974</v>
      </c>
      <c r="I95" s="64">
        <v>97576</v>
      </c>
      <c r="J95" s="64">
        <v>99841</v>
      </c>
      <c r="K95" s="64">
        <v>96788</v>
      </c>
      <c r="L95" s="64">
        <v>94409</v>
      </c>
      <c r="M95" s="64">
        <v>91927</v>
      </c>
      <c r="N95" s="64">
        <v>93515</v>
      </c>
      <c r="O95" s="64">
        <v>98364</v>
      </c>
      <c r="P95" s="64">
        <v>98473</v>
      </c>
      <c r="Q95" s="64">
        <v>106105</v>
      </c>
      <c r="R95" s="64">
        <v>107245</v>
      </c>
      <c r="S95" s="64">
        <v>102083</v>
      </c>
      <c r="T95" s="64">
        <v>105214</v>
      </c>
      <c r="U95" s="64">
        <v>103083</v>
      </c>
      <c r="V95" s="64">
        <v>103388</v>
      </c>
      <c r="W95" s="67">
        <v>103241</v>
      </c>
      <c r="X95" s="109">
        <v>1.628630655269547E-2</v>
      </c>
      <c r="Y95" s="109">
        <v>-7.184171050786059E-3</v>
      </c>
      <c r="Z95" s="109">
        <v>-9.2355582161030014E-3</v>
      </c>
      <c r="AA95" s="109">
        <v>2.79866978596699E-3</v>
      </c>
    </row>
    <row r="96" spans="1:27" ht="15" x14ac:dyDescent="0.25">
      <c r="A96" s="4">
        <v>260130</v>
      </c>
      <c r="B96" s="29">
        <v>1976</v>
      </c>
      <c r="C96" s="19" t="s">
        <v>67</v>
      </c>
      <c r="D96" s="46" t="s">
        <v>907</v>
      </c>
      <c r="E96" s="19" t="s">
        <v>819</v>
      </c>
      <c r="F96" s="47">
        <v>0.2</v>
      </c>
      <c r="G96" s="64">
        <v>12049</v>
      </c>
      <c r="H96" s="64">
        <v>14017</v>
      </c>
      <c r="I96" s="64">
        <v>12051</v>
      </c>
      <c r="J96" s="64">
        <v>13671</v>
      </c>
      <c r="K96" s="64">
        <v>14169</v>
      </c>
      <c r="L96" s="64">
        <v>15999</v>
      </c>
      <c r="M96" s="64">
        <v>12534</v>
      </c>
      <c r="N96" s="64">
        <v>14044</v>
      </c>
      <c r="O96" s="64">
        <v>15971</v>
      </c>
      <c r="P96" s="64">
        <v>17828</v>
      </c>
      <c r="Q96" s="64">
        <v>14812</v>
      </c>
      <c r="R96" s="64">
        <v>16764</v>
      </c>
      <c r="S96" s="64">
        <v>15718</v>
      </c>
      <c r="T96" s="64">
        <v>18989</v>
      </c>
      <c r="U96" s="64">
        <v>13840</v>
      </c>
      <c r="V96" s="64">
        <v>14460</v>
      </c>
      <c r="W96" s="67">
        <v>15845</v>
      </c>
      <c r="X96" s="109">
        <v>1.7828076533276119E-2</v>
      </c>
      <c r="Y96" s="109">
        <v>-1.4664393585082199E-2</v>
      </c>
      <c r="Z96" s="109">
        <v>-3.527736522178504E-2</v>
      </c>
      <c r="AA96" s="109">
        <v>2.015649054866842E-3</v>
      </c>
    </row>
    <row r="97" spans="1:27" ht="15" x14ac:dyDescent="0.25">
      <c r="A97" s="4">
        <v>260130</v>
      </c>
      <c r="B97" s="29">
        <v>4549</v>
      </c>
      <c r="C97" s="19" t="s">
        <v>67</v>
      </c>
      <c r="D97" s="46" t="s">
        <v>908</v>
      </c>
      <c r="E97" s="19" t="s">
        <v>819</v>
      </c>
      <c r="F97" s="47">
        <v>0.1</v>
      </c>
      <c r="G97" s="64">
        <v>10490</v>
      </c>
      <c r="H97" s="64">
        <v>11165</v>
      </c>
      <c r="I97" s="64">
        <v>11097</v>
      </c>
      <c r="J97" s="64">
        <v>11768</v>
      </c>
      <c r="K97" s="64">
        <v>10995</v>
      </c>
      <c r="L97" s="64">
        <v>9411</v>
      </c>
      <c r="M97" s="64">
        <v>9864</v>
      </c>
      <c r="N97" s="64">
        <v>10400</v>
      </c>
      <c r="O97" s="64">
        <v>10229</v>
      </c>
      <c r="P97" s="64">
        <v>9559</v>
      </c>
      <c r="Q97" s="64">
        <v>9519</v>
      </c>
      <c r="R97" s="64">
        <v>10210</v>
      </c>
      <c r="S97" s="64">
        <v>10911</v>
      </c>
      <c r="T97" s="64">
        <v>9899</v>
      </c>
      <c r="U97" s="64">
        <v>10197</v>
      </c>
      <c r="V97" s="64">
        <v>10233</v>
      </c>
      <c r="W97" s="67">
        <v>10947</v>
      </c>
      <c r="X97" s="109">
        <v>8.4579218388516342E-3</v>
      </c>
      <c r="Y97" s="109">
        <v>1.6724635536150331E-2</v>
      </c>
      <c r="Z97" s="109">
        <v>5.5802217531608633E-4</v>
      </c>
      <c r="AA97" s="109">
        <v>8.7293889427741966E-4</v>
      </c>
    </row>
    <row r="98" spans="1:27" ht="15" x14ac:dyDescent="0.25">
      <c r="A98" s="4">
        <v>260130</v>
      </c>
      <c r="B98" s="29">
        <v>9065</v>
      </c>
      <c r="C98" s="19" t="s">
        <v>67</v>
      </c>
      <c r="D98" s="46" t="s">
        <v>909</v>
      </c>
      <c r="E98" s="19" t="s">
        <v>819</v>
      </c>
      <c r="F98" s="47">
        <v>0</v>
      </c>
      <c r="G98" s="64">
        <v>137808</v>
      </c>
      <c r="H98" s="64">
        <v>142367</v>
      </c>
      <c r="I98" s="64">
        <v>141717</v>
      </c>
      <c r="J98" s="64">
        <v>147576</v>
      </c>
      <c r="K98" s="64">
        <v>147261</v>
      </c>
      <c r="L98" s="64">
        <v>142672</v>
      </c>
      <c r="M98" s="64">
        <v>137515</v>
      </c>
      <c r="N98" s="64">
        <v>139660</v>
      </c>
      <c r="O98" s="64">
        <v>144742</v>
      </c>
      <c r="P98" s="64">
        <v>141630</v>
      </c>
      <c r="Q98" s="64">
        <v>143020</v>
      </c>
      <c r="R98" s="64">
        <v>156078</v>
      </c>
      <c r="S98" s="64">
        <v>156581</v>
      </c>
      <c r="T98" s="64">
        <v>151112</v>
      </c>
      <c r="U98" s="64">
        <v>153954</v>
      </c>
      <c r="V98" s="64">
        <v>161585</v>
      </c>
      <c r="W98" s="67">
        <v>156837</v>
      </c>
      <c r="X98" s="109">
        <v>1.5874530603088081E-2</v>
      </c>
      <c r="Y98" s="109">
        <v>1.8019383939445351E-2</v>
      </c>
      <c r="Z98" s="109">
        <v>8.9149702537536513E-3</v>
      </c>
      <c r="AA98" s="109">
        <v>4.1076196344214111E-4</v>
      </c>
    </row>
    <row r="99" spans="1:27" ht="15" x14ac:dyDescent="0.25">
      <c r="A99" s="4">
        <v>260130</v>
      </c>
      <c r="B99" s="29">
        <v>6727</v>
      </c>
      <c r="C99" s="19" t="s">
        <v>67</v>
      </c>
      <c r="D99" s="46" t="s">
        <v>910</v>
      </c>
      <c r="E99" s="19" t="s">
        <v>819</v>
      </c>
      <c r="F99" s="47">
        <v>0</v>
      </c>
      <c r="G99" s="64">
        <v>30921</v>
      </c>
      <c r="H99" s="64">
        <v>27610</v>
      </c>
      <c r="I99" s="64">
        <v>28472</v>
      </c>
      <c r="J99" s="64">
        <v>25665</v>
      </c>
      <c r="K99" s="64">
        <v>29883</v>
      </c>
      <c r="L99" s="64">
        <v>28709</v>
      </c>
      <c r="M99" s="64">
        <v>24139</v>
      </c>
      <c r="N99" s="64">
        <v>31452</v>
      </c>
      <c r="O99" s="64">
        <v>33560</v>
      </c>
      <c r="P99" s="64">
        <v>29643</v>
      </c>
      <c r="Q99" s="64">
        <v>29175</v>
      </c>
      <c r="R99" s="64">
        <v>28140</v>
      </c>
      <c r="S99" s="64">
        <v>30203</v>
      </c>
      <c r="T99" s="64">
        <v>28162</v>
      </c>
      <c r="U99" s="64">
        <v>24505</v>
      </c>
      <c r="V99" s="64">
        <v>26889</v>
      </c>
      <c r="W99" s="67">
        <v>30244</v>
      </c>
      <c r="X99" s="109">
        <v>-1.264072515598191E-2</v>
      </c>
      <c r="Y99" s="109">
        <v>-4.0369986168741323E-2</v>
      </c>
      <c r="Z99" s="109">
        <v>-1.12692550220701E-2</v>
      </c>
      <c r="AA99" s="109">
        <v>3.735456773477086E-4</v>
      </c>
    </row>
    <row r="100" spans="1:27" ht="15" x14ac:dyDescent="0.25">
      <c r="A100" s="4">
        <v>260130</v>
      </c>
      <c r="B100" s="29">
        <v>4043</v>
      </c>
      <c r="C100" s="19" t="s">
        <v>67</v>
      </c>
      <c r="D100" s="46" t="s">
        <v>911</v>
      </c>
      <c r="E100" s="19" t="s">
        <v>819</v>
      </c>
      <c r="F100" s="47">
        <v>0</v>
      </c>
      <c r="G100" s="64">
        <v>78949</v>
      </c>
      <c r="H100" s="64">
        <v>82221</v>
      </c>
      <c r="I100" s="64">
        <v>84017</v>
      </c>
      <c r="J100" s="64">
        <v>82353</v>
      </c>
      <c r="K100" s="64">
        <v>92640</v>
      </c>
      <c r="L100" s="64">
        <v>92780</v>
      </c>
      <c r="M100" s="64">
        <v>84886</v>
      </c>
      <c r="N100" s="64">
        <v>81219</v>
      </c>
      <c r="O100" s="64">
        <v>84150</v>
      </c>
      <c r="P100" s="64">
        <v>91735</v>
      </c>
      <c r="Q100" s="64">
        <v>82524</v>
      </c>
      <c r="R100" s="64">
        <v>83014</v>
      </c>
      <c r="S100" s="64">
        <v>87849</v>
      </c>
      <c r="T100" s="64">
        <v>89686</v>
      </c>
      <c r="U100" s="64">
        <v>81828</v>
      </c>
      <c r="V100" s="64">
        <v>81928</v>
      </c>
      <c r="W100" s="67">
        <v>87768</v>
      </c>
      <c r="X100" s="109">
        <v>-5.9370309629638296E-3</v>
      </c>
      <c r="Y100" s="109">
        <v>-2.0287227499686811E-3</v>
      </c>
      <c r="Z100" s="109">
        <v>-3.1719420404991978E-3</v>
      </c>
      <c r="AA100" s="109">
        <v>-2.373341224937153E-4</v>
      </c>
    </row>
    <row r="101" spans="1:27" ht="15" x14ac:dyDescent="0.25">
      <c r="A101" s="4">
        <v>260130</v>
      </c>
      <c r="B101" s="29">
        <v>2109</v>
      </c>
      <c r="C101" s="19" t="s">
        <v>67</v>
      </c>
      <c r="D101" s="46" t="s">
        <v>912</v>
      </c>
      <c r="E101" s="19" t="s">
        <v>819</v>
      </c>
      <c r="F101" s="47">
        <v>-0.2</v>
      </c>
      <c r="G101" s="64">
        <v>40062</v>
      </c>
      <c r="H101" s="64">
        <v>35620</v>
      </c>
      <c r="I101" s="64">
        <v>39194</v>
      </c>
      <c r="J101" s="64">
        <v>39767</v>
      </c>
      <c r="K101" s="64">
        <v>44802</v>
      </c>
      <c r="L101" s="64">
        <v>39547</v>
      </c>
      <c r="M101" s="64">
        <v>42358</v>
      </c>
      <c r="N101" s="64">
        <v>41859</v>
      </c>
      <c r="O101" s="64">
        <v>45181</v>
      </c>
      <c r="P101" s="64">
        <v>41376</v>
      </c>
      <c r="Q101" s="64">
        <v>44871</v>
      </c>
      <c r="R101" s="64">
        <v>43200</v>
      </c>
      <c r="S101" s="64">
        <v>48915</v>
      </c>
      <c r="T101" s="64">
        <v>41799</v>
      </c>
      <c r="U101" s="64">
        <v>46874</v>
      </c>
      <c r="V101" s="64">
        <v>43489</v>
      </c>
      <c r="W101" s="67">
        <v>48503</v>
      </c>
      <c r="X101" s="109">
        <v>2.3715813906548529E-3</v>
      </c>
      <c r="Y101" s="109">
        <v>1.120340073272375E-2</v>
      </c>
      <c r="Z101" s="109">
        <v>1.598557426377933E-3</v>
      </c>
      <c r="AA101" s="109">
        <v>-2.2752751591864628E-3</v>
      </c>
    </row>
    <row r="102" spans="1:27" ht="15" x14ac:dyDescent="0.25">
      <c r="A102" s="4">
        <v>260130</v>
      </c>
      <c r="B102" s="29">
        <v>7173</v>
      </c>
      <c r="C102" s="19" t="s">
        <v>67</v>
      </c>
      <c r="D102" s="46" t="s">
        <v>913</v>
      </c>
      <c r="E102" s="19" t="s">
        <v>819</v>
      </c>
      <c r="F102" s="47">
        <v>-0.3</v>
      </c>
      <c r="G102" s="64">
        <v>23528</v>
      </c>
      <c r="H102" s="64">
        <v>25452</v>
      </c>
      <c r="I102" s="64">
        <v>30080</v>
      </c>
      <c r="J102" s="64">
        <v>28774</v>
      </c>
      <c r="K102" s="64">
        <v>27558</v>
      </c>
      <c r="L102" s="64">
        <v>32689</v>
      </c>
      <c r="M102" s="64">
        <v>32884</v>
      </c>
      <c r="N102" s="64">
        <v>33871</v>
      </c>
      <c r="O102" s="64">
        <v>31473</v>
      </c>
      <c r="P102" s="64">
        <v>31339</v>
      </c>
      <c r="Q102" s="64">
        <v>37280</v>
      </c>
      <c r="R102" s="64">
        <v>34115</v>
      </c>
      <c r="S102" s="64">
        <v>39041</v>
      </c>
      <c r="T102" s="64">
        <v>40183</v>
      </c>
      <c r="U102" s="64">
        <v>32983</v>
      </c>
      <c r="V102" s="64">
        <v>42267</v>
      </c>
      <c r="W102" s="67">
        <v>38566</v>
      </c>
      <c r="X102" s="109">
        <v>6.2380532533944599E-2</v>
      </c>
      <c r="Y102" s="109">
        <v>-2.8528937252272239E-2</v>
      </c>
      <c r="Z102" s="109">
        <v>5.5712743128169429E-2</v>
      </c>
      <c r="AA102" s="109">
        <v>-3.074951124461101E-3</v>
      </c>
    </row>
    <row r="103" spans="1:27" ht="15" x14ac:dyDescent="0.25">
      <c r="A103" s="4">
        <v>260130</v>
      </c>
      <c r="B103" s="29">
        <v>5352</v>
      </c>
      <c r="C103" s="19" t="s">
        <v>67</v>
      </c>
      <c r="D103" s="46" t="s">
        <v>914</v>
      </c>
      <c r="E103" s="19" t="s">
        <v>819</v>
      </c>
      <c r="F103" s="47">
        <v>-0.4</v>
      </c>
      <c r="G103" s="64">
        <v>33798</v>
      </c>
      <c r="H103" s="64">
        <v>34868</v>
      </c>
      <c r="I103" s="64">
        <v>40292</v>
      </c>
      <c r="J103" s="64">
        <v>40299</v>
      </c>
      <c r="K103" s="64">
        <v>41890</v>
      </c>
      <c r="L103" s="64">
        <v>42721</v>
      </c>
      <c r="M103" s="64">
        <v>45357</v>
      </c>
      <c r="N103" s="64">
        <v>44042</v>
      </c>
      <c r="O103" s="64">
        <v>44950</v>
      </c>
      <c r="P103" s="64">
        <v>42680</v>
      </c>
      <c r="Q103" s="64">
        <v>43939</v>
      </c>
      <c r="R103" s="64">
        <v>44151</v>
      </c>
      <c r="S103" s="64">
        <v>45198</v>
      </c>
      <c r="T103" s="64">
        <v>44633</v>
      </c>
      <c r="U103" s="64">
        <v>44015</v>
      </c>
      <c r="V103" s="64">
        <v>44390</v>
      </c>
      <c r="W103" s="67">
        <v>44573</v>
      </c>
      <c r="X103" s="109">
        <v>1.109860883797054E-2</v>
      </c>
      <c r="Y103" s="109">
        <v>4.2715587255015558E-4</v>
      </c>
      <c r="Z103" s="109">
        <v>1.3427192593133961E-3</v>
      </c>
      <c r="AA103" s="109">
        <v>-3.5065867725936339E-3</v>
      </c>
    </row>
    <row r="104" spans="1:27" ht="15" x14ac:dyDescent="0.25">
      <c r="A104" s="4">
        <v>260130</v>
      </c>
      <c r="B104" s="29">
        <v>9110</v>
      </c>
      <c r="C104" s="19" t="s">
        <v>67</v>
      </c>
      <c r="D104" s="46" t="s">
        <v>915</v>
      </c>
      <c r="E104" s="19" t="s">
        <v>819</v>
      </c>
      <c r="F104" s="47">
        <v>-0.4</v>
      </c>
      <c r="G104" s="64">
        <v>54718</v>
      </c>
      <c r="H104" s="64">
        <v>51525</v>
      </c>
      <c r="I104" s="64">
        <v>62312</v>
      </c>
      <c r="J104" s="64">
        <v>68524</v>
      </c>
      <c r="K104" s="64">
        <v>66027</v>
      </c>
      <c r="L104" s="64">
        <v>53962</v>
      </c>
      <c r="M104" s="64">
        <v>55404</v>
      </c>
      <c r="N104" s="64">
        <v>56950</v>
      </c>
      <c r="O104" s="64">
        <v>60166</v>
      </c>
      <c r="P104" s="64">
        <v>60580</v>
      </c>
      <c r="Q104" s="64">
        <v>62344</v>
      </c>
      <c r="R104" s="64">
        <v>66379</v>
      </c>
      <c r="S104" s="64">
        <v>60668</v>
      </c>
      <c r="T104" s="64">
        <v>58017</v>
      </c>
      <c r="U104" s="64">
        <v>54833</v>
      </c>
      <c r="V104" s="64">
        <v>56696</v>
      </c>
      <c r="W104" s="67">
        <v>59735</v>
      </c>
      <c r="X104" s="109">
        <v>-1.025318936996689E-2</v>
      </c>
      <c r="Y104" s="109">
        <v>-3.0358759619737441E-2</v>
      </c>
      <c r="Z104" s="109">
        <v>-4.0363155854387538E-2</v>
      </c>
      <c r="AA104" s="109">
        <v>-4.0527509187103794E-3</v>
      </c>
    </row>
    <row r="105" spans="1:27" ht="15" x14ac:dyDescent="0.25">
      <c r="A105" s="4">
        <v>260130</v>
      </c>
      <c r="B105" s="29">
        <v>6737</v>
      </c>
      <c r="C105" s="19" t="s">
        <v>67</v>
      </c>
      <c r="D105" s="46" t="s">
        <v>916</v>
      </c>
      <c r="E105" s="19" t="s">
        <v>819</v>
      </c>
      <c r="F105" s="47">
        <v>-0.5</v>
      </c>
      <c r="G105" s="64">
        <v>19973</v>
      </c>
      <c r="H105" s="64">
        <v>23073</v>
      </c>
      <c r="I105" s="64">
        <v>17847</v>
      </c>
      <c r="J105" s="64">
        <v>18719</v>
      </c>
      <c r="K105" s="64">
        <v>20571</v>
      </c>
      <c r="L105" s="64">
        <v>23712</v>
      </c>
      <c r="M105" s="64">
        <v>18548</v>
      </c>
      <c r="N105" s="64">
        <v>18637</v>
      </c>
      <c r="O105" s="64">
        <v>20976</v>
      </c>
      <c r="P105" s="64">
        <v>22310</v>
      </c>
      <c r="Q105" s="64">
        <v>18197</v>
      </c>
      <c r="R105" s="64">
        <v>18620</v>
      </c>
      <c r="S105" s="64">
        <v>21310</v>
      </c>
      <c r="T105" s="64">
        <v>22366</v>
      </c>
      <c r="U105" s="64">
        <v>17338</v>
      </c>
      <c r="V105" s="64">
        <v>20536</v>
      </c>
      <c r="W105" s="67">
        <v>20935</v>
      </c>
      <c r="X105" s="109">
        <v>6.9619702375778303E-4</v>
      </c>
      <c r="Y105" s="109">
        <v>-1.067173543041011E-2</v>
      </c>
      <c r="Z105" s="109">
        <v>2.4060074842404019E-2</v>
      </c>
      <c r="AA105" s="109">
        <v>-4.5984058859595001E-3</v>
      </c>
    </row>
    <row r="106" spans="1:27" ht="15" x14ac:dyDescent="0.25">
      <c r="A106" s="4">
        <v>260130</v>
      </c>
      <c r="B106" s="29">
        <v>1941</v>
      </c>
      <c r="C106" s="19" t="s">
        <v>67</v>
      </c>
      <c r="D106" s="46" t="s">
        <v>917</v>
      </c>
      <c r="E106" s="19" t="s">
        <v>819</v>
      </c>
      <c r="F106" s="47">
        <v>-0.6</v>
      </c>
      <c r="G106" s="64">
        <v>45692</v>
      </c>
      <c r="H106" s="64">
        <v>67841</v>
      </c>
      <c r="I106" s="64">
        <v>35526</v>
      </c>
      <c r="J106" s="64">
        <v>43989</v>
      </c>
      <c r="K106" s="64">
        <v>44848</v>
      </c>
      <c r="L106" s="64">
        <v>64669</v>
      </c>
      <c r="M106" s="64">
        <v>37677</v>
      </c>
      <c r="N106" s="64">
        <v>45022</v>
      </c>
      <c r="O106" s="64">
        <v>48601</v>
      </c>
      <c r="P106" s="64">
        <v>69725</v>
      </c>
      <c r="Q106" s="64">
        <v>45650</v>
      </c>
      <c r="R106" s="64">
        <v>52589</v>
      </c>
      <c r="S106" s="64">
        <v>55157</v>
      </c>
      <c r="T106" s="64">
        <v>68489</v>
      </c>
      <c r="U106" s="64">
        <v>44422</v>
      </c>
      <c r="V106" s="64">
        <v>51332</v>
      </c>
      <c r="W106" s="67">
        <v>53814</v>
      </c>
      <c r="X106" s="109">
        <v>-5.5395951075873917E-3</v>
      </c>
      <c r="Y106" s="109">
        <v>-5.5343984496473153E-3</v>
      </c>
      <c r="Z106" s="109">
        <v>-5.6966241723580557E-3</v>
      </c>
      <c r="AA106" s="109">
        <v>-6.1212397447584221E-3</v>
      </c>
    </row>
    <row r="107" spans="1:27" ht="15" x14ac:dyDescent="0.25">
      <c r="A107" s="4">
        <v>260130</v>
      </c>
      <c r="B107" s="29">
        <v>6810</v>
      </c>
      <c r="C107" s="19" t="s">
        <v>67</v>
      </c>
      <c r="D107" s="46" t="s">
        <v>918</v>
      </c>
      <c r="E107" s="19" t="s">
        <v>819</v>
      </c>
      <c r="F107" s="47">
        <v>-0.6</v>
      </c>
      <c r="G107" s="64">
        <v>35292</v>
      </c>
      <c r="H107" s="64">
        <v>33662</v>
      </c>
      <c r="I107" s="64">
        <v>32227</v>
      </c>
      <c r="J107" s="64">
        <v>32978</v>
      </c>
      <c r="K107" s="64">
        <v>34030</v>
      </c>
      <c r="L107" s="64">
        <v>33541</v>
      </c>
      <c r="M107" s="64">
        <v>32225</v>
      </c>
      <c r="N107" s="64">
        <v>33395</v>
      </c>
      <c r="O107" s="64">
        <v>31684</v>
      </c>
      <c r="P107" s="64">
        <v>31835</v>
      </c>
      <c r="Q107" s="64">
        <v>31385</v>
      </c>
      <c r="R107" s="64">
        <v>31737</v>
      </c>
      <c r="S107" s="64">
        <v>32465</v>
      </c>
      <c r="T107" s="64">
        <v>34219</v>
      </c>
      <c r="U107" s="64">
        <v>30270</v>
      </c>
      <c r="V107" s="64">
        <v>34389</v>
      </c>
      <c r="W107" s="67">
        <v>31640</v>
      </c>
      <c r="X107" s="109">
        <v>1.8709485018285621E-2</v>
      </c>
      <c r="Y107" s="109">
        <v>-8.5897416144091743E-3</v>
      </c>
      <c r="Z107" s="109">
        <v>2.0607501690094839E-2</v>
      </c>
      <c r="AA107" s="109">
        <v>-6.2812635618190171E-3</v>
      </c>
    </row>
    <row r="108" spans="1:27" ht="15" x14ac:dyDescent="0.25">
      <c r="A108" s="4">
        <v>260130</v>
      </c>
      <c r="B108" s="29">
        <v>7943</v>
      </c>
      <c r="C108" s="19" t="s">
        <v>67</v>
      </c>
      <c r="D108" s="46" t="s">
        <v>919</v>
      </c>
      <c r="E108" s="19" t="s">
        <v>819</v>
      </c>
      <c r="F108" s="47">
        <v>-0.6</v>
      </c>
      <c r="G108" s="64">
        <v>34514</v>
      </c>
      <c r="H108" s="64">
        <v>31402</v>
      </c>
      <c r="I108" s="64">
        <v>32100</v>
      </c>
      <c r="J108" s="64">
        <v>35109</v>
      </c>
      <c r="K108" s="64">
        <v>36485</v>
      </c>
      <c r="L108" s="64">
        <v>34369</v>
      </c>
      <c r="M108" s="64">
        <v>32827</v>
      </c>
      <c r="N108" s="64">
        <v>35581</v>
      </c>
      <c r="O108" s="64">
        <v>39416</v>
      </c>
      <c r="P108" s="64">
        <v>34966</v>
      </c>
      <c r="Q108" s="64">
        <v>35925</v>
      </c>
      <c r="R108" s="64">
        <v>37094</v>
      </c>
      <c r="S108" s="64">
        <v>39136</v>
      </c>
      <c r="T108" s="64">
        <v>36323</v>
      </c>
      <c r="U108" s="64">
        <v>34869</v>
      </c>
      <c r="V108" s="64">
        <v>36214</v>
      </c>
      <c r="W108" s="67">
        <v>38212</v>
      </c>
      <c r="X108" s="109">
        <v>9.2237002195472151E-3</v>
      </c>
      <c r="Y108" s="109">
        <v>-7.1121647651504194E-3</v>
      </c>
      <c r="Z108" s="109">
        <v>-5.9692583196537807E-3</v>
      </c>
      <c r="AA108" s="109">
        <v>-6.3053595556222808E-3</v>
      </c>
    </row>
    <row r="109" spans="1:27" ht="15" x14ac:dyDescent="0.25">
      <c r="A109" s="4">
        <v>260130</v>
      </c>
      <c r="B109" s="29">
        <v>7839</v>
      </c>
      <c r="C109" s="19" t="s">
        <v>67</v>
      </c>
      <c r="D109" s="46" t="s">
        <v>920</v>
      </c>
      <c r="E109" s="19" t="s">
        <v>823</v>
      </c>
      <c r="F109" s="47">
        <v>-1</v>
      </c>
      <c r="G109" s="64">
        <v>7350</v>
      </c>
      <c r="H109" s="64">
        <v>6089</v>
      </c>
      <c r="I109" s="64">
        <v>7694</v>
      </c>
      <c r="J109" s="64">
        <v>7820</v>
      </c>
      <c r="K109" s="64">
        <v>8117</v>
      </c>
      <c r="L109" s="64">
        <v>7099</v>
      </c>
      <c r="M109" s="64">
        <v>9375</v>
      </c>
      <c r="N109" s="64">
        <v>9025</v>
      </c>
      <c r="O109" s="64">
        <v>8145</v>
      </c>
      <c r="P109" s="64">
        <v>8309</v>
      </c>
      <c r="Q109" s="64">
        <v>9042</v>
      </c>
      <c r="R109" s="64">
        <v>10294</v>
      </c>
      <c r="S109" s="64">
        <v>7838</v>
      </c>
      <c r="T109" s="64">
        <v>6724</v>
      </c>
      <c r="U109" s="64">
        <v>8371</v>
      </c>
      <c r="V109" s="64">
        <v>9430</v>
      </c>
      <c r="W109" s="67">
        <v>7513</v>
      </c>
      <c r="X109" s="109">
        <v>-4.4669278245920603E-2</v>
      </c>
      <c r="Y109" s="109">
        <v>-1.979467815210334E-2</v>
      </c>
      <c r="Z109" s="109">
        <v>-2.600294940861347E-2</v>
      </c>
      <c r="AA109" s="109">
        <v>-1.0042332293050739E-2</v>
      </c>
    </row>
    <row r="110" spans="1:27" ht="15" x14ac:dyDescent="0.25">
      <c r="A110" s="4">
        <v>260130</v>
      </c>
      <c r="B110" s="29">
        <v>8309</v>
      </c>
      <c r="C110" s="19" t="s">
        <v>67</v>
      </c>
      <c r="D110" s="46" t="s">
        <v>921</v>
      </c>
      <c r="E110" s="19" t="s">
        <v>819</v>
      </c>
      <c r="F110" s="47">
        <v>-1.2</v>
      </c>
      <c r="G110" s="64">
        <v>244443</v>
      </c>
      <c r="H110" s="64">
        <v>280968</v>
      </c>
      <c r="I110" s="64">
        <v>300784</v>
      </c>
      <c r="J110" s="64">
        <v>293634</v>
      </c>
      <c r="K110" s="64">
        <v>280820</v>
      </c>
      <c r="L110" s="64">
        <v>301263</v>
      </c>
      <c r="M110" s="64">
        <v>264537</v>
      </c>
      <c r="N110" s="64">
        <v>237908</v>
      </c>
      <c r="O110" s="64">
        <v>224805</v>
      </c>
      <c r="P110" s="64">
        <v>289379</v>
      </c>
      <c r="Q110" s="64">
        <v>344202</v>
      </c>
      <c r="R110" s="64">
        <v>324442</v>
      </c>
      <c r="S110" s="121">
        <v>422885</v>
      </c>
      <c r="T110" s="64">
        <v>418095</v>
      </c>
      <c r="U110" s="64">
        <v>369617</v>
      </c>
      <c r="V110" s="64">
        <v>377896</v>
      </c>
      <c r="W110" s="67">
        <v>403855</v>
      </c>
      <c r="X110" s="109">
        <v>9.3211133544016E-2</v>
      </c>
      <c r="Y110" s="109">
        <v>1.6835317933472149E-2</v>
      </c>
      <c r="Z110" s="109">
        <v>3.4822568025958837E-2</v>
      </c>
      <c r="AA110" s="109">
        <v>-1.197990800085369E-2</v>
      </c>
    </row>
    <row r="111" spans="1:27" ht="15" x14ac:dyDescent="0.25">
      <c r="A111" s="4">
        <v>260130</v>
      </c>
      <c r="B111" s="29">
        <v>4816</v>
      </c>
      <c r="C111" s="19" t="s">
        <v>67</v>
      </c>
      <c r="D111" s="46" t="s">
        <v>922</v>
      </c>
      <c r="E111" s="19" t="s">
        <v>819</v>
      </c>
      <c r="F111" s="47">
        <v>-1.6</v>
      </c>
      <c r="G111" s="64">
        <v>12782</v>
      </c>
      <c r="H111" s="64">
        <v>14498</v>
      </c>
      <c r="I111" s="64">
        <v>18061</v>
      </c>
      <c r="J111" s="64">
        <v>24389</v>
      </c>
      <c r="K111" s="121">
        <v>22614</v>
      </c>
      <c r="L111" s="64">
        <v>22393</v>
      </c>
      <c r="M111" s="64">
        <v>19884</v>
      </c>
      <c r="N111" s="64">
        <v>26300</v>
      </c>
      <c r="O111" s="64">
        <v>20933</v>
      </c>
      <c r="P111" s="64">
        <v>21537</v>
      </c>
      <c r="Q111" s="64">
        <v>23059</v>
      </c>
      <c r="R111" s="64">
        <v>25905</v>
      </c>
      <c r="S111" s="64">
        <v>23736</v>
      </c>
      <c r="T111" s="64">
        <v>28136</v>
      </c>
      <c r="U111" s="64">
        <v>19488</v>
      </c>
      <c r="V111" s="64">
        <v>25466</v>
      </c>
      <c r="W111" s="67">
        <v>22187</v>
      </c>
      <c r="X111" s="109">
        <v>7.0025573819200604E-2</v>
      </c>
      <c r="Y111" s="109">
        <v>-3.5413939466063749E-2</v>
      </c>
      <c r="Z111" s="109">
        <v>-4.5134426566596497E-3</v>
      </c>
      <c r="AA111" s="109">
        <v>-1.599776919422469E-2</v>
      </c>
    </row>
    <row r="112" spans="1:27" ht="15" x14ac:dyDescent="0.25">
      <c r="A112" s="4">
        <v>260130</v>
      </c>
      <c r="B112" s="29">
        <v>9504</v>
      </c>
      <c r="C112" s="19" t="s">
        <v>67</v>
      </c>
      <c r="D112" s="46" t="s">
        <v>923</v>
      </c>
      <c r="E112" s="19" t="s">
        <v>819</v>
      </c>
      <c r="F112" s="47">
        <v>-1.6</v>
      </c>
      <c r="G112" s="64">
        <v>277589</v>
      </c>
      <c r="H112" s="64">
        <v>373574</v>
      </c>
      <c r="I112" s="64">
        <v>314753</v>
      </c>
      <c r="J112" s="64">
        <v>435021</v>
      </c>
      <c r="K112" s="121">
        <v>430113</v>
      </c>
      <c r="L112" s="64">
        <v>514715</v>
      </c>
      <c r="M112" s="64">
        <v>401078</v>
      </c>
      <c r="N112" s="64">
        <v>440469</v>
      </c>
      <c r="O112" s="64">
        <v>363281</v>
      </c>
      <c r="P112" s="64">
        <v>423957</v>
      </c>
      <c r="Q112" s="64">
        <v>330344</v>
      </c>
      <c r="R112" s="64">
        <v>411562</v>
      </c>
      <c r="S112" s="64">
        <v>354505</v>
      </c>
      <c r="T112" s="64">
        <v>432807</v>
      </c>
      <c r="U112" s="64">
        <v>329562</v>
      </c>
      <c r="V112" s="64">
        <v>396702</v>
      </c>
      <c r="W112" s="67">
        <v>329755</v>
      </c>
      <c r="X112" s="109">
        <v>5.8209591362090576E-3</v>
      </c>
      <c r="Y112" s="109">
        <v>-5.1137247926713592E-4</v>
      </c>
      <c r="Z112" s="109">
        <v>-9.7223567097346475E-3</v>
      </c>
      <c r="AA112" s="109">
        <v>-1.6352003467285381E-2</v>
      </c>
    </row>
    <row r="113" spans="1:27" ht="15" x14ac:dyDescent="0.25">
      <c r="A113" s="4">
        <v>260130</v>
      </c>
      <c r="B113" s="29">
        <v>9508</v>
      </c>
      <c r="C113" s="19" t="s">
        <v>67</v>
      </c>
      <c r="D113" s="46" t="s">
        <v>924</v>
      </c>
      <c r="E113" s="19" t="s">
        <v>819</v>
      </c>
      <c r="F113" s="47">
        <v>-1.8</v>
      </c>
      <c r="G113" s="64">
        <v>425296</v>
      </c>
      <c r="H113" s="64">
        <v>546513</v>
      </c>
      <c r="I113" s="64">
        <v>436719</v>
      </c>
      <c r="J113" s="64">
        <v>573963</v>
      </c>
      <c r="K113" s="64">
        <v>556828</v>
      </c>
      <c r="L113" s="64">
        <v>653790</v>
      </c>
      <c r="M113" s="64">
        <v>496524</v>
      </c>
      <c r="N113" s="64">
        <v>588792</v>
      </c>
      <c r="O113" s="64">
        <v>498075</v>
      </c>
      <c r="P113" s="64">
        <v>556056</v>
      </c>
      <c r="Q113" s="64">
        <v>501179</v>
      </c>
      <c r="R113" s="64">
        <v>650013</v>
      </c>
      <c r="S113" s="64">
        <v>564156</v>
      </c>
      <c r="T113" s="64">
        <v>641485</v>
      </c>
      <c r="U113" s="64">
        <v>498334</v>
      </c>
      <c r="V113" s="64">
        <v>629465</v>
      </c>
      <c r="W113" s="67">
        <v>521543</v>
      </c>
      <c r="X113" s="109">
        <v>3.7610658429764188E-2</v>
      </c>
      <c r="Y113" s="109">
        <v>-1.2071283794821139E-3</v>
      </c>
      <c r="Z113" s="109">
        <v>-8.7290164605766662E-3</v>
      </c>
      <c r="AA113" s="109">
        <v>-1.8261879456939131E-2</v>
      </c>
    </row>
    <row r="114" spans="1:27" ht="15" x14ac:dyDescent="0.25">
      <c r="A114" s="4">
        <v>260130</v>
      </c>
      <c r="B114" s="29">
        <v>7595</v>
      </c>
      <c r="C114" s="19" t="s">
        <v>67</v>
      </c>
      <c r="D114" s="46" t="s">
        <v>925</v>
      </c>
      <c r="E114" s="19" t="s">
        <v>819</v>
      </c>
      <c r="F114" s="47">
        <v>-1.8</v>
      </c>
      <c r="G114" s="64">
        <v>9909</v>
      </c>
      <c r="H114" s="64">
        <v>12844</v>
      </c>
      <c r="I114" s="64">
        <v>14056</v>
      </c>
      <c r="J114" s="64">
        <v>10978</v>
      </c>
      <c r="K114" s="64">
        <v>10867</v>
      </c>
      <c r="L114" s="64">
        <v>17444</v>
      </c>
      <c r="M114" s="64">
        <v>14461</v>
      </c>
      <c r="N114" s="64">
        <v>13905</v>
      </c>
      <c r="O114" s="64">
        <v>13820</v>
      </c>
      <c r="P114" s="64">
        <v>17325</v>
      </c>
      <c r="Q114" s="64">
        <v>18007</v>
      </c>
      <c r="R114" s="64">
        <v>15608</v>
      </c>
      <c r="S114" s="64">
        <v>16394</v>
      </c>
      <c r="T114" s="64">
        <v>19532</v>
      </c>
      <c r="U114" s="64">
        <v>16756</v>
      </c>
      <c r="V114" s="64">
        <v>17024</v>
      </c>
      <c r="W114" s="67">
        <v>15113</v>
      </c>
      <c r="X114" s="109">
        <v>3.2776903198978191E-2</v>
      </c>
      <c r="Y114" s="109">
        <v>-1.7989387555542798E-2</v>
      </c>
      <c r="Z114" s="109">
        <v>2.0735100307512019E-2</v>
      </c>
      <c r="AA114" s="109">
        <v>-1.8377184173528849E-2</v>
      </c>
    </row>
    <row r="115" spans="1:27" ht="15" x14ac:dyDescent="0.25">
      <c r="A115" s="4">
        <v>260130</v>
      </c>
      <c r="B115" s="29">
        <v>4216</v>
      </c>
      <c r="C115" s="19" t="s">
        <v>67</v>
      </c>
      <c r="D115" s="46" t="s">
        <v>926</v>
      </c>
      <c r="E115" s="19" t="s">
        <v>819</v>
      </c>
      <c r="F115" s="47">
        <v>-1.9</v>
      </c>
      <c r="G115" s="64">
        <v>17805</v>
      </c>
      <c r="H115" s="64">
        <v>17495</v>
      </c>
      <c r="I115" s="64">
        <v>16764</v>
      </c>
      <c r="J115" s="64">
        <v>19174</v>
      </c>
      <c r="K115" s="64">
        <v>20441</v>
      </c>
      <c r="L115" s="64">
        <v>20720</v>
      </c>
      <c r="M115" s="64">
        <v>21037</v>
      </c>
      <c r="N115" s="64">
        <v>22807</v>
      </c>
      <c r="O115" s="64">
        <v>22252</v>
      </c>
      <c r="P115" s="64">
        <v>21330</v>
      </c>
      <c r="Q115" s="64">
        <v>20229</v>
      </c>
      <c r="R115" s="64">
        <v>21501</v>
      </c>
      <c r="S115" s="64">
        <v>21445</v>
      </c>
      <c r="T115" s="64">
        <v>21987</v>
      </c>
      <c r="U115" s="64">
        <v>20009</v>
      </c>
      <c r="V115" s="64">
        <v>19834</v>
      </c>
      <c r="W115" s="67">
        <v>19832</v>
      </c>
      <c r="X115" s="109">
        <v>7.7746878882907211E-3</v>
      </c>
      <c r="Y115" s="109">
        <v>-2.5833118057348998E-3</v>
      </c>
      <c r="Z115" s="109">
        <v>-1.9625155988792331E-2</v>
      </c>
      <c r="AA115" s="109">
        <v>-1.936955869108381E-2</v>
      </c>
    </row>
    <row r="116" spans="1:27" ht="15" x14ac:dyDescent="0.25">
      <c r="A116" s="4">
        <v>260130</v>
      </c>
      <c r="B116" s="29">
        <v>9513</v>
      </c>
      <c r="C116" s="19" t="s">
        <v>67</v>
      </c>
      <c r="D116" s="46" t="s">
        <v>927</v>
      </c>
      <c r="E116" s="19" t="s">
        <v>819</v>
      </c>
      <c r="F116" s="47">
        <v>-2</v>
      </c>
      <c r="G116" s="64">
        <v>277702</v>
      </c>
      <c r="H116" s="64">
        <v>375108</v>
      </c>
      <c r="I116" s="64">
        <v>323319</v>
      </c>
      <c r="J116" s="64">
        <v>516479</v>
      </c>
      <c r="K116" s="121">
        <v>561756</v>
      </c>
      <c r="L116" s="64">
        <v>440368</v>
      </c>
      <c r="M116" s="64">
        <v>281381</v>
      </c>
      <c r="N116" s="64">
        <v>350212</v>
      </c>
      <c r="O116" s="64">
        <v>329248</v>
      </c>
      <c r="P116" s="64">
        <v>297156</v>
      </c>
      <c r="Q116" s="64">
        <v>259055</v>
      </c>
      <c r="R116" s="64">
        <v>381670</v>
      </c>
      <c r="S116" s="64">
        <v>318234</v>
      </c>
      <c r="T116" s="64">
        <v>357715</v>
      </c>
      <c r="U116" s="64">
        <v>250295</v>
      </c>
      <c r="V116" s="64">
        <v>321119</v>
      </c>
      <c r="W116" s="67">
        <v>293145</v>
      </c>
      <c r="X116" s="109">
        <v>4.8211350075431092E-2</v>
      </c>
      <c r="Y116" s="109">
        <v>-6.6531275015683233E-3</v>
      </c>
      <c r="Z116" s="109">
        <v>-4.629585737288533E-2</v>
      </c>
      <c r="AA116" s="109">
        <v>-2.0113631717471159E-2</v>
      </c>
    </row>
    <row r="117" spans="1:27" ht="15" x14ac:dyDescent="0.25">
      <c r="A117" s="4">
        <v>260130</v>
      </c>
      <c r="B117" s="29">
        <v>9506</v>
      </c>
      <c r="C117" s="19" t="s">
        <v>67</v>
      </c>
      <c r="D117" s="46" t="s">
        <v>928</v>
      </c>
      <c r="E117" s="19" t="s">
        <v>819</v>
      </c>
      <c r="F117" s="47">
        <v>-2</v>
      </c>
      <c r="G117" s="64">
        <v>525824</v>
      </c>
      <c r="H117" s="64">
        <v>705493</v>
      </c>
      <c r="I117" s="64">
        <v>558290</v>
      </c>
      <c r="J117" s="64">
        <v>781425</v>
      </c>
      <c r="K117" s="121">
        <v>792725</v>
      </c>
      <c r="L117" s="64">
        <v>874764</v>
      </c>
      <c r="M117" s="64">
        <v>633576</v>
      </c>
      <c r="N117" s="64">
        <v>754259</v>
      </c>
      <c r="O117" s="64">
        <v>668480</v>
      </c>
      <c r="P117" s="64">
        <v>761498</v>
      </c>
      <c r="Q117" s="64">
        <v>614563</v>
      </c>
      <c r="R117" s="64">
        <v>697010</v>
      </c>
      <c r="S117" s="64">
        <v>608863</v>
      </c>
      <c r="T117" s="64">
        <v>724476</v>
      </c>
      <c r="U117" s="64">
        <v>535380</v>
      </c>
      <c r="V117" s="64">
        <v>633576</v>
      </c>
      <c r="W117" s="67">
        <v>558272</v>
      </c>
      <c r="X117" s="109">
        <v>-1.3804217404306041E-2</v>
      </c>
      <c r="Y117" s="109">
        <v>-2.993785804593874E-2</v>
      </c>
      <c r="Z117" s="109">
        <v>-2.472357758750043E-2</v>
      </c>
      <c r="AA117" s="109">
        <v>-2.0217840022858979E-2</v>
      </c>
    </row>
    <row r="118" spans="1:27" ht="15" x14ac:dyDescent="0.25">
      <c r="A118" s="4">
        <v>260130</v>
      </c>
      <c r="B118" s="29">
        <v>9509</v>
      </c>
      <c r="C118" s="19" t="s">
        <v>67</v>
      </c>
      <c r="D118" s="46" t="s">
        <v>929</v>
      </c>
      <c r="E118" s="19" t="s">
        <v>819</v>
      </c>
      <c r="F118" s="47">
        <v>-2.7</v>
      </c>
      <c r="G118" s="64">
        <v>167735</v>
      </c>
      <c r="H118" s="64">
        <v>222210</v>
      </c>
      <c r="I118" s="64">
        <v>176029</v>
      </c>
      <c r="J118" s="64">
        <v>210824</v>
      </c>
      <c r="K118" s="64">
        <v>236994</v>
      </c>
      <c r="L118" s="64">
        <v>265027</v>
      </c>
      <c r="M118" s="64">
        <v>227791</v>
      </c>
      <c r="N118" s="64">
        <v>230788</v>
      </c>
      <c r="O118" s="64">
        <v>227002</v>
      </c>
      <c r="P118" s="64">
        <v>268203</v>
      </c>
      <c r="Q118" s="64">
        <v>202569</v>
      </c>
      <c r="R118" s="64">
        <v>214141</v>
      </c>
      <c r="S118" s="64">
        <v>229693</v>
      </c>
      <c r="T118" s="64">
        <v>255650</v>
      </c>
      <c r="U118" s="64">
        <v>202497</v>
      </c>
      <c r="V118" s="64">
        <v>209454</v>
      </c>
      <c r="W118" s="67">
        <v>205752</v>
      </c>
      <c r="X118" s="109">
        <v>-1.3725035698431859E-2</v>
      </c>
      <c r="Y118" s="109">
        <v>-7.9817926441183573E-5</v>
      </c>
      <c r="Z118" s="109">
        <v>-5.1963400559434936E-3</v>
      </c>
      <c r="AA118" s="109">
        <v>-2.668133298562125E-2</v>
      </c>
    </row>
    <row r="119" spans="1:27" ht="15" x14ac:dyDescent="0.25">
      <c r="A119" s="4">
        <v>260130</v>
      </c>
      <c r="B119" s="29">
        <v>9507</v>
      </c>
      <c r="C119" s="19" t="s">
        <v>67</v>
      </c>
      <c r="D119" s="46" t="s">
        <v>930</v>
      </c>
      <c r="E119" s="19" t="s">
        <v>819</v>
      </c>
      <c r="F119" s="47">
        <v>-2.8</v>
      </c>
      <c r="G119" s="64">
        <v>162778</v>
      </c>
      <c r="H119" s="64">
        <v>208929</v>
      </c>
      <c r="I119" s="64">
        <v>166678</v>
      </c>
      <c r="J119" s="64">
        <v>235444</v>
      </c>
      <c r="K119" s="64">
        <v>202540</v>
      </c>
      <c r="L119" s="64">
        <v>228541</v>
      </c>
      <c r="M119" s="64">
        <v>181086</v>
      </c>
      <c r="N119" s="64">
        <v>219771</v>
      </c>
      <c r="O119" s="64">
        <v>177269</v>
      </c>
      <c r="P119" s="64">
        <v>209277</v>
      </c>
      <c r="Q119" s="64">
        <v>186854</v>
      </c>
      <c r="R119" s="64">
        <v>231526</v>
      </c>
      <c r="S119" s="64">
        <v>199610</v>
      </c>
      <c r="T119" s="64">
        <v>233409</v>
      </c>
      <c r="U119" s="64">
        <v>192435</v>
      </c>
      <c r="V119" s="64">
        <v>209226</v>
      </c>
      <c r="W119" s="67">
        <v>176160</v>
      </c>
      <c r="X119" s="109">
        <v>2.9170751401905282E-2</v>
      </c>
      <c r="Y119" s="109">
        <v>6.5550934403257877E-3</v>
      </c>
      <c r="Z119" s="109">
        <v>-2.6021610772713481E-2</v>
      </c>
      <c r="AA119" s="109">
        <v>-2.8094599127809431E-2</v>
      </c>
    </row>
    <row r="120" spans="1:27" ht="15" x14ac:dyDescent="0.25">
      <c r="A120" s="4">
        <v>260130</v>
      </c>
      <c r="B120" s="29">
        <v>9301</v>
      </c>
      <c r="C120" s="19" t="s">
        <v>67</v>
      </c>
      <c r="D120" s="46" t="s">
        <v>931</v>
      </c>
      <c r="E120" s="19" t="s">
        <v>819</v>
      </c>
      <c r="F120" s="47">
        <v>-3.6</v>
      </c>
      <c r="G120" s="64">
        <v>66910</v>
      </c>
      <c r="H120" s="64">
        <v>72688</v>
      </c>
      <c r="I120" s="64">
        <v>76187</v>
      </c>
      <c r="J120" s="64">
        <v>78079</v>
      </c>
      <c r="K120" s="64">
        <v>77721</v>
      </c>
      <c r="L120" s="64">
        <v>68607</v>
      </c>
      <c r="M120" s="64">
        <v>63215</v>
      </c>
      <c r="N120" s="64">
        <v>62545</v>
      </c>
      <c r="O120" s="64">
        <v>66692</v>
      </c>
      <c r="P120" s="64">
        <v>62055</v>
      </c>
      <c r="Q120" s="64">
        <v>65877</v>
      </c>
      <c r="R120" s="64">
        <v>69013</v>
      </c>
      <c r="S120" s="64">
        <v>79355</v>
      </c>
      <c r="T120" s="64">
        <v>69824</v>
      </c>
      <c r="U120" s="64">
        <v>68562</v>
      </c>
      <c r="V120" s="64">
        <v>67554</v>
      </c>
      <c r="W120" s="67">
        <v>68973</v>
      </c>
      <c r="X120" s="109">
        <v>2.8117987694534999E-2</v>
      </c>
      <c r="Y120" s="109">
        <v>9.4519289327592571E-3</v>
      </c>
      <c r="Z120" s="109">
        <v>-5.0879848232282532E-3</v>
      </c>
      <c r="AA120" s="109">
        <v>-3.6390402916279603E-2</v>
      </c>
    </row>
    <row r="121" spans="1:27" ht="15" x14ac:dyDescent="0.25">
      <c r="A121" s="4">
        <v>260130</v>
      </c>
      <c r="B121" s="29">
        <v>7735</v>
      </c>
      <c r="C121" s="19" t="s">
        <v>67</v>
      </c>
      <c r="D121" s="46" t="s">
        <v>932</v>
      </c>
      <c r="E121" s="19" t="s">
        <v>819</v>
      </c>
      <c r="F121" s="47">
        <v>-5.0999999999999996</v>
      </c>
      <c r="G121" s="64">
        <v>103901</v>
      </c>
      <c r="H121" s="64">
        <v>120758</v>
      </c>
      <c r="I121" s="64">
        <v>101826</v>
      </c>
      <c r="J121" s="64">
        <v>116578</v>
      </c>
      <c r="K121" s="64">
        <v>116839</v>
      </c>
      <c r="L121" s="64">
        <v>125591</v>
      </c>
      <c r="M121" s="64">
        <v>99690</v>
      </c>
      <c r="N121" s="64">
        <v>123570</v>
      </c>
      <c r="O121" s="64">
        <v>124571</v>
      </c>
      <c r="P121" s="64">
        <v>157085</v>
      </c>
      <c r="Q121" s="64">
        <v>134217</v>
      </c>
      <c r="R121" s="64">
        <v>143182</v>
      </c>
      <c r="S121" s="121">
        <v>182565</v>
      </c>
      <c r="T121" s="64">
        <v>165305</v>
      </c>
      <c r="U121" s="64">
        <v>135785</v>
      </c>
      <c r="V121" s="64">
        <v>138514</v>
      </c>
      <c r="W121" s="67">
        <v>151053</v>
      </c>
      <c r="X121" s="109">
        <v>1.3321470418070641E-2</v>
      </c>
      <c r="Y121" s="109">
        <v>2.5077206770205418E-3</v>
      </c>
      <c r="Z121" s="109">
        <v>-7.4469120361433383E-3</v>
      </c>
      <c r="AA121" s="109">
        <v>-5.0648617980002197E-2</v>
      </c>
    </row>
    <row r="122" spans="1:27" ht="15" x14ac:dyDescent="0.25">
      <c r="A122" s="4">
        <v>260130</v>
      </c>
      <c r="B122" s="29">
        <v>6080</v>
      </c>
      <c r="C122" s="19" t="s">
        <v>67</v>
      </c>
      <c r="D122" s="46" t="s">
        <v>933</v>
      </c>
      <c r="E122" s="19" t="s">
        <v>823</v>
      </c>
      <c r="F122" s="47">
        <v>-6.4</v>
      </c>
      <c r="G122" s="64">
        <v>5105</v>
      </c>
      <c r="H122" s="64">
        <v>3867</v>
      </c>
      <c r="I122" s="64">
        <v>5183</v>
      </c>
      <c r="J122" s="64">
        <v>6551</v>
      </c>
      <c r="K122" s="64">
        <v>3100</v>
      </c>
      <c r="L122" s="121">
        <v>9903</v>
      </c>
      <c r="M122" s="64">
        <v>2985</v>
      </c>
      <c r="N122" s="64">
        <v>4863</v>
      </c>
      <c r="O122" s="64">
        <v>3156</v>
      </c>
      <c r="P122" s="64">
        <v>4091</v>
      </c>
      <c r="Q122" s="64">
        <v>4269</v>
      </c>
      <c r="R122" s="121">
        <v>7650</v>
      </c>
      <c r="S122" s="121">
        <v>7317</v>
      </c>
      <c r="T122" s="64">
        <v>4149</v>
      </c>
      <c r="U122" s="64">
        <v>4793</v>
      </c>
      <c r="V122" s="64">
        <v>6188</v>
      </c>
      <c r="W122" s="67">
        <v>5876</v>
      </c>
      <c r="X122" s="109">
        <v>2.486389162772662E-3</v>
      </c>
      <c r="Y122" s="109">
        <v>2.2407526192003369E-2</v>
      </c>
      <c r="Z122" s="109">
        <v>-6.1148521477268007E-2</v>
      </c>
      <c r="AA122" s="109">
        <v>-6.4195660890096651E-2</v>
      </c>
    </row>
    <row r="123" spans="1:27" ht="15" x14ac:dyDescent="0.25">
      <c r="A123" s="4">
        <v>260130</v>
      </c>
      <c r="B123" s="29">
        <v>6920</v>
      </c>
      <c r="C123" s="19" t="s">
        <v>67</v>
      </c>
      <c r="D123" s="46" t="s">
        <v>934</v>
      </c>
      <c r="E123" s="19" t="s">
        <v>813</v>
      </c>
      <c r="F123" s="47">
        <v>-6.7</v>
      </c>
      <c r="G123" s="64">
        <v>27819</v>
      </c>
      <c r="H123" s="64">
        <v>16636</v>
      </c>
      <c r="I123" s="64">
        <v>36813</v>
      </c>
      <c r="J123" s="64">
        <v>25723</v>
      </c>
      <c r="K123" s="64">
        <v>29377</v>
      </c>
      <c r="L123" s="64">
        <v>24330</v>
      </c>
      <c r="M123" s="121">
        <v>73402</v>
      </c>
      <c r="N123" s="121">
        <v>47305</v>
      </c>
      <c r="O123" s="121">
        <v>47684</v>
      </c>
      <c r="P123" s="121">
        <v>62213</v>
      </c>
      <c r="Q123" s="64">
        <v>56304</v>
      </c>
      <c r="R123" s="64">
        <v>36737</v>
      </c>
      <c r="S123" s="121">
        <v>92231</v>
      </c>
      <c r="T123" s="64">
        <v>39867</v>
      </c>
      <c r="U123" s="121">
        <v>82642</v>
      </c>
      <c r="V123" s="64">
        <v>54171</v>
      </c>
      <c r="W123" s="67">
        <v>74087</v>
      </c>
      <c r="X123" s="109">
        <v>-9.0292340949956529E-2</v>
      </c>
      <c r="Y123" s="123">
        <v>0.116985506731397</v>
      </c>
      <c r="Z123" s="109">
        <v>6.9326419513514148E-2</v>
      </c>
      <c r="AA123" s="109">
        <v>-6.747213762174098E-2</v>
      </c>
    </row>
    <row r="124" spans="1:27" ht="15" x14ac:dyDescent="0.25">
      <c r="A124" s="4">
        <v>260130</v>
      </c>
      <c r="B124" s="29">
        <v>8871</v>
      </c>
      <c r="C124" s="19" t="s">
        <v>67</v>
      </c>
      <c r="D124" s="46" t="s">
        <v>935</v>
      </c>
      <c r="E124" s="19" t="s">
        <v>819</v>
      </c>
      <c r="F124" s="47">
        <v>-11.5</v>
      </c>
      <c r="G124" s="64">
        <v>20943</v>
      </c>
      <c r="H124" s="64">
        <v>4153</v>
      </c>
      <c r="I124" s="64">
        <v>15029</v>
      </c>
      <c r="J124" s="64">
        <v>4969</v>
      </c>
      <c r="K124" s="64">
        <v>3449</v>
      </c>
      <c r="L124" s="64">
        <v>4006</v>
      </c>
      <c r="M124" s="64">
        <v>2533</v>
      </c>
      <c r="N124" s="64">
        <v>3754</v>
      </c>
      <c r="O124" s="121">
        <v>6496</v>
      </c>
      <c r="P124" s="121">
        <v>12062</v>
      </c>
      <c r="Q124" s="121">
        <v>6741</v>
      </c>
      <c r="R124" s="121">
        <v>6967</v>
      </c>
      <c r="S124" s="121">
        <v>10544</v>
      </c>
      <c r="T124" s="64">
        <v>5042</v>
      </c>
      <c r="U124" s="121">
        <v>10758</v>
      </c>
      <c r="V124" s="64">
        <v>5238</v>
      </c>
      <c r="W124" s="67">
        <v>6917</v>
      </c>
      <c r="X124" s="109">
        <v>-0.1933138734372418</v>
      </c>
      <c r="Y124" s="123">
        <v>0.1371270567351677</v>
      </c>
      <c r="Z124" s="109">
        <v>-5.190477620005407E-2</v>
      </c>
      <c r="AA124" s="109">
        <v>-0.1148438984231525</v>
      </c>
    </row>
    <row r="125" spans="1:27" ht="15" x14ac:dyDescent="0.25">
      <c r="A125" s="4">
        <v>260130</v>
      </c>
      <c r="B125" s="29">
        <v>6104</v>
      </c>
      <c r="C125" s="19" t="s">
        <v>67</v>
      </c>
      <c r="D125" s="46" t="s">
        <v>374</v>
      </c>
      <c r="E125" s="19" t="s">
        <v>819</v>
      </c>
      <c r="F125" s="47">
        <v>-14.2</v>
      </c>
      <c r="G125" s="64">
        <v>24500</v>
      </c>
      <c r="H125" s="64">
        <v>29580</v>
      </c>
      <c r="I125" s="64">
        <v>26484</v>
      </c>
      <c r="J125" s="64">
        <v>32468</v>
      </c>
      <c r="K125" s="64">
        <v>29614</v>
      </c>
      <c r="L125" s="64">
        <v>34631</v>
      </c>
      <c r="M125" s="64">
        <v>34754</v>
      </c>
      <c r="N125" s="121">
        <v>47161</v>
      </c>
      <c r="O125" s="64">
        <v>27633</v>
      </c>
      <c r="P125" s="121">
        <v>51105</v>
      </c>
      <c r="Q125" s="64">
        <v>42374</v>
      </c>
      <c r="R125" s="64">
        <v>44449</v>
      </c>
      <c r="S125" s="121">
        <v>46255</v>
      </c>
      <c r="T125" s="64">
        <v>35113</v>
      </c>
      <c r="U125" s="64">
        <v>30977</v>
      </c>
      <c r="V125" s="64">
        <v>36663</v>
      </c>
      <c r="W125" s="67">
        <v>25079</v>
      </c>
      <c r="X125" s="109">
        <v>-8.682668867376464E-2</v>
      </c>
      <c r="Y125" s="109">
        <v>-6.7762246493569767E-2</v>
      </c>
      <c r="Z125" s="109">
        <v>-4.9657512404811421E-2</v>
      </c>
      <c r="AA125" s="109">
        <v>-0.14211317513153651</v>
      </c>
    </row>
    <row r="126" spans="1:27" ht="15" x14ac:dyDescent="0.25">
      <c r="A126" s="4">
        <v>260130</v>
      </c>
      <c r="B126" s="29">
        <v>3189</v>
      </c>
      <c r="C126" s="19" t="s">
        <v>67</v>
      </c>
      <c r="D126" s="46" t="s">
        <v>936</v>
      </c>
      <c r="E126" s="19" t="s">
        <v>823</v>
      </c>
      <c r="F126" s="47">
        <v>-16.8</v>
      </c>
      <c r="G126" s="64">
        <v>1561</v>
      </c>
      <c r="H126" s="64">
        <v>1439</v>
      </c>
      <c r="I126" s="64">
        <v>1193</v>
      </c>
      <c r="J126" s="64">
        <v>1210</v>
      </c>
      <c r="K126" s="64">
        <v>1236</v>
      </c>
      <c r="L126" s="64">
        <v>1283</v>
      </c>
      <c r="M126" s="64">
        <v>1152</v>
      </c>
      <c r="N126" s="64">
        <v>1393</v>
      </c>
      <c r="O126" s="64">
        <v>1231</v>
      </c>
      <c r="P126" s="64">
        <v>1022</v>
      </c>
      <c r="Q126" s="64">
        <v>1152</v>
      </c>
      <c r="R126" s="64">
        <v>991</v>
      </c>
      <c r="S126" s="64">
        <v>1051</v>
      </c>
      <c r="T126" s="64">
        <v>852</v>
      </c>
      <c r="U126" s="64">
        <v>435</v>
      </c>
      <c r="V126" s="64">
        <v>757</v>
      </c>
      <c r="W126" s="67">
        <v>531</v>
      </c>
      <c r="X126" s="109">
        <v>-4.0322580645161248E-2</v>
      </c>
      <c r="Y126" s="109">
        <v>-0.17721206129510619</v>
      </c>
      <c r="Z126" s="109">
        <v>-7.0291378792430192E-2</v>
      </c>
      <c r="AA126" s="109">
        <v>-0.1680129240710824</v>
      </c>
    </row>
    <row r="127" spans="1:27" ht="15" x14ac:dyDescent="0.25">
      <c r="A127" s="4">
        <v>260130</v>
      </c>
      <c r="B127" s="29">
        <v>8892</v>
      </c>
      <c r="C127" s="19" t="s">
        <v>67</v>
      </c>
      <c r="D127" s="46" t="s">
        <v>937</v>
      </c>
      <c r="E127" s="19" t="s">
        <v>819</v>
      </c>
      <c r="F127" s="47">
        <v>-18.399999999999999</v>
      </c>
      <c r="G127" s="64">
        <v>18640</v>
      </c>
      <c r="H127" s="64">
        <v>35397</v>
      </c>
      <c r="I127" s="64">
        <v>12706</v>
      </c>
      <c r="J127" s="64">
        <v>28170</v>
      </c>
      <c r="K127" s="64">
        <v>9706</v>
      </c>
      <c r="L127" s="121">
        <v>48849</v>
      </c>
      <c r="M127" s="121">
        <v>28541</v>
      </c>
      <c r="N127" s="64">
        <v>19398</v>
      </c>
      <c r="O127" s="64">
        <v>14023</v>
      </c>
      <c r="P127" s="64">
        <v>41284</v>
      </c>
      <c r="Q127" s="64">
        <v>19098</v>
      </c>
      <c r="R127" s="64">
        <v>11938</v>
      </c>
      <c r="S127" s="121">
        <v>49410</v>
      </c>
      <c r="T127" s="64">
        <v>33157</v>
      </c>
      <c r="U127" s="64">
        <v>17581</v>
      </c>
      <c r="V127" s="64">
        <v>17600</v>
      </c>
      <c r="W127" s="67">
        <v>27743</v>
      </c>
      <c r="X127" s="109">
        <v>-6.6762507188039111E-2</v>
      </c>
      <c r="Y127" s="109">
        <v>-1.3353520593646249E-2</v>
      </c>
      <c r="Z127" s="109">
        <v>5.0514783291401237E-2</v>
      </c>
      <c r="AA127" s="109">
        <v>-0.1840116180317288</v>
      </c>
    </row>
    <row r="128" spans="1:27" ht="15" x14ac:dyDescent="0.25">
      <c r="A128" s="4">
        <v>260130</v>
      </c>
      <c r="B128" s="29">
        <v>2782</v>
      </c>
      <c r="C128" s="19" t="s">
        <v>67</v>
      </c>
      <c r="D128" s="46" t="s">
        <v>938</v>
      </c>
      <c r="E128" s="19" t="s">
        <v>819</v>
      </c>
      <c r="F128" s="47">
        <v>-30.4</v>
      </c>
      <c r="G128" s="64">
        <v>52506</v>
      </c>
      <c r="H128" s="64">
        <v>51951</v>
      </c>
      <c r="I128" s="64">
        <v>56241</v>
      </c>
      <c r="J128" s="64">
        <v>51661</v>
      </c>
      <c r="K128" s="64">
        <v>53848</v>
      </c>
      <c r="L128" s="64">
        <v>53280</v>
      </c>
      <c r="M128" s="121">
        <v>166469</v>
      </c>
      <c r="N128" s="121">
        <v>166469</v>
      </c>
      <c r="O128" s="64">
        <v>56733</v>
      </c>
      <c r="P128" s="64">
        <v>58115</v>
      </c>
      <c r="Q128" s="64">
        <v>57784</v>
      </c>
      <c r="R128" s="64">
        <v>178047</v>
      </c>
      <c r="S128" s="121">
        <v>178047</v>
      </c>
      <c r="T128" s="64">
        <v>60214</v>
      </c>
      <c r="U128" s="64">
        <v>60498</v>
      </c>
      <c r="V128" s="64">
        <v>60884</v>
      </c>
      <c r="W128" s="67">
        <v>68716</v>
      </c>
      <c r="X128" s="109">
        <v>4.4470998510570681E-3</v>
      </c>
      <c r="Y128" s="109">
        <v>5.7246272875306481E-3</v>
      </c>
      <c r="Z128" s="109">
        <v>-0.24572467628343611</v>
      </c>
      <c r="AA128" s="109">
        <v>-0.30399868758741311</v>
      </c>
    </row>
    <row r="129" spans="1:27" ht="15" x14ac:dyDescent="0.25">
      <c r="A129" s="4">
        <v>260130</v>
      </c>
      <c r="B129" s="92" t="s">
        <v>939</v>
      </c>
      <c r="C129" s="93" t="s">
        <v>31</v>
      </c>
      <c r="D129" s="124" t="s">
        <v>345</v>
      </c>
      <c r="E129" s="19" t="s">
        <v>819</v>
      </c>
      <c r="F129" s="131">
        <v>9.1999999999999993</v>
      </c>
      <c r="G129" s="19"/>
      <c r="H129" s="64">
        <v>13974</v>
      </c>
      <c r="I129" s="64">
        <v>12359</v>
      </c>
      <c r="J129" s="64">
        <v>13672</v>
      </c>
      <c r="K129" s="64">
        <v>14795</v>
      </c>
      <c r="L129" s="126">
        <v>15165</v>
      </c>
      <c r="M129" s="126">
        <v>15973</v>
      </c>
      <c r="N129" s="126">
        <v>16097</v>
      </c>
      <c r="O129" s="126">
        <v>16335</v>
      </c>
      <c r="P129" s="126">
        <v>17541</v>
      </c>
      <c r="Q129" s="126">
        <v>18081</v>
      </c>
      <c r="R129" s="126">
        <v>18101</v>
      </c>
      <c r="S129" s="126">
        <v>17822</v>
      </c>
      <c r="T129" s="126">
        <v>22178</v>
      </c>
      <c r="U129" s="126">
        <v>20586</v>
      </c>
      <c r="V129" s="126">
        <v>21638</v>
      </c>
      <c r="W129" s="132">
        <v>25359</v>
      </c>
      <c r="X129" s="129">
        <v>6.4812355859948267E-2</v>
      </c>
      <c r="Y129" s="129">
        <v>3.2881783098369637E-2</v>
      </c>
      <c r="Z129" s="129">
        <v>4.4950245911014493E-2</v>
      </c>
      <c r="AA129" s="129">
        <v>9.166423428682613E-2</v>
      </c>
    </row>
    <row r="130" spans="1:27" ht="15" x14ac:dyDescent="0.25">
      <c r="A130" s="4">
        <v>260130</v>
      </c>
      <c r="B130" s="29" t="s">
        <v>940</v>
      </c>
      <c r="C130" s="19" t="s">
        <v>31</v>
      </c>
      <c r="D130" s="46" t="s">
        <v>941</v>
      </c>
      <c r="E130" s="19" t="s">
        <v>819</v>
      </c>
      <c r="F130" s="47">
        <v>5.8</v>
      </c>
      <c r="G130" s="64">
        <v>14449</v>
      </c>
      <c r="H130" s="64">
        <v>16563</v>
      </c>
      <c r="I130" s="64">
        <v>16617</v>
      </c>
      <c r="J130" s="64">
        <v>18270</v>
      </c>
      <c r="K130" s="64">
        <v>16766</v>
      </c>
      <c r="L130" s="64">
        <v>18573</v>
      </c>
      <c r="M130" s="64">
        <v>18530</v>
      </c>
      <c r="N130" s="64">
        <v>20970</v>
      </c>
      <c r="O130" s="64">
        <v>21111</v>
      </c>
      <c r="P130" s="64">
        <v>22129</v>
      </c>
      <c r="Q130" s="64">
        <v>21660</v>
      </c>
      <c r="R130" s="64">
        <v>23230</v>
      </c>
      <c r="S130" s="64">
        <v>22823</v>
      </c>
      <c r="T130" s="64">
        <v>25003</v>
      </c>
      <c r="U130" s="64">
        <v>24808</v>
      </c>
      <c r="V130" s="64">
        <v>27539</v>
      </c>
      <c r="W130" s="67">
        <v>28658</v>
      </c>
      <c r="X130" s="109">
        <v>3.1989492664900698E-2</v>
      </c>
      <c r="Y130" s="109">
        <v>3.3953147245351367E-2</v>
      </c>
      <c r="Z130" s="109">
        <v>4.4949094550613473E-2</v>
      </c>
      <c r="AA130" s="109">
        <v>5.8249228834116977E-2</v>
      </c>
    </row>
    <row r="131" spans="1:27" ht="15" x14ac:dyDescent="0.25">
      <c r="A131" s="4">
        <v>260130</v>
      </c>
      <c r="B131" s="29" t="s">
        <v>56</v>
      </c>
      <c r="C131" s="19" t="s">
        <v>31</v>
      </c>
      <c r="D131" s="46" t="s">
        <v>310</v>
      </c>
      <c r="E131" s="19" t="s">
        <v>819</v>
      </c>
      <c r="F131" s="47">
        <v>4.5999999999999996</v>
      </c>
      <c r="G131" s="64">
        <v>8379</v>
      </c>
      <c r="H131" s="64">
        <v>8703</v>
      </c>
      <c r="I131" s="64">
        <v>9509</v>
      </c>
      <c r="J131" s="64">
        <v>9381</v>
      </c>
      <c r="K131" s="64">
        <v>9718</v>
      </c>
      <c r="L131" s="64">
        <v>8818</v>
      </c>
      <c r="M131" s="64">
        <v>10210</v>
      </c>
      <c r="N131" s="64">
        <v>10284</v>
      </c>
      <c r="O131" s="64">
        <v>11052</v>
      </c>
      <c r="P131" s="64">
        <v>10541</v>
      </c>
      <c r="Q131" s="64">
        <v>11449</v>
      </c>
      <c r="R131" s="64">
        <v>11866</v>
      </c>
      <c r="S131" s="64">
        <v>11461</v>
      </c>
      <c r="T131" s="64">
        <v>11704</v>
      </c>
      <c r="U131" s="64">
        <v>13027</v>
      </c>
      <c r="V131" s="64">
        <v>13537</v>
      </c>
      <c r="W131" s="67">
        <v>13748</v>
      </c>
      <c r="X131" s="109">
        <v>2.5663658229803321E-2</v>
      </c>
      <c r="Y131" s="109">
        <v>3.3950086058519791E-2</v>
      </c>
      <c r="Z131" s="109">
        <v>3.4770485663156991E-2</v>
      </c>
      <c r="AA131" s="109">
        <v>4.5989261798950347E-2</v>
      </c>
    </row>
    <row r="132" spans="1:27" ht="15" x14ac:dyDescent="0.25">
      <c r="A132" s="4">
        <v>260130</v>
      </c>
      <c r="B132" s="29" t="s">
        <v>942</v>
      </c>
      <c r="C132" s="19" t="s">
        <v>31</v>
      </c>
      <c r="D132" s="46" t="s">
        <v>943</v>
      </c>
      <c r="E132" s="19" t="s">
        <v>819</v>
      </c>
      <c r="F132" s="47">
        <v>4.4000000000000004</v>
      </c>
      <c r="G132" s="64">
        <v>5083</v>
      </c>
      <c r="H132" s="64">
        <v>5094</v>
      </c>
      <c r="I132" s="64">
        <v>5413</v>
      </c>
      <c r="J132" s="64">
        <v>5275</v>
      </c>
      <c r="K132" s="64">
        <v>5469</v>
      </c>
      <c r="L132" s="64">
        <v>6155</v>
      </c>
      <c r="M132" s="64">
        <v>6394</v>
      </c>
      <c r="N132" s="64">
        <v>6190</v>
      </c>
      <c r="O132" s="64">
        <v>6343</v>
      </c>
      <c r="P132" s="64">
        <v>6137</v>
      </c>
      <c r="Q132" s="64">
        <v>6063</v>
      </c>
      <c r="R132" s="64">
        <v>5581</v>
      </c>
      <c r="S132" s="64">
        <v>6096</v>
      </c>
      <c r="T132" s="64">
        <v>7259</v>
      </c>
      <c r="U132" s="64">
        <v>7017</v>
      </c>
      <c r="V132" s="64">
        <v>7581</v>
      </c>
      <c r="W132" s="67">
        <v>7314</v>
      </c>
      <c r="X132" s="109">
        <v>4.6990827993466537E-2</v>
      </c>
      <c r="Y132" s="109">
        <v>3.8161526461058408E-2</v>
      </c>
      <c r="Z132" s="109">
        <v>7.7062381998227458E-2</v>
      </c>
      <c r="AA132" s="109">
        <v>4.3573140628912821E-2</v>
      </c>
    </row>
    <row r="133" spans="1:27" ht="15" x14ac:dyDescent="0.25">
      <c r="A133" s="4">
        <v>260130</v>
      </c>
      <c r="B133" s="29" t="s">
        <v>944</v>
      </c>
      <c r="C133" s="19" t="s">
        <v>31</v>
      </c>
      <c r="D133" s="46" t="s">
        <v>945</v>
      </c>
      <c r="E133" s="19" t="s">
        <v>813</v>
      </c>
      <c r="F133" s="47">
        <v>4</v>
      </c>
      <c r="G133" s="64">
        <v>9019</v>
      </c>
      <c r="H133" s="64">
        <v>14014</v>
      </c>
      <c r="I133" s="64">
        <v>14062</v>
      </c>
      <c r="J133" s="64">
        <v>18204</v>
      </c>
      <c r="K133" s="64">
        <v>13854</v>
      </c>
      <c r="L133" s="64">
        <v>12011</v>
      </c>
      <c r="M133" s="64">
        <v>13799</v>
      </c>
      <c r="N133" s="64">
        <v>17078</v>
      </c>
      <c r="O133" s="64">
        <v>13498</v>
      </c>
      <c r="P133" s="121">
        <v>21903</v>
      </c>
      <c r="Q133" s="64">
        <v>15148</v>
      </c>
      <c r="R133" s="64">
        <v>17547</v>
      </c>
      <c r="S133" s="64">
        <v>12264</v>
      </c>
      <c r="T133" s="64">
        <v>11402</v>
      </c>
      <c r="U133" s="64">
        <v>13409</v>
      </c>
      <c r="V133" s="64">
        <v>15832</v>
      </c>
      <c r="W133" s="67">
        <v>14383</v>
      </c>
      <c r="X133" s="109">
        <v>-0.1570548293500045</v>
      </c>
      <c r="Y133" s="109">
        <v>-3.0854669008711699E-2</v>
      </c>
      <c r="Z133" s="109">
        <v>-3.1397605360477421E-2</v>
      </c>
      <c r="AA133" s="109">
        <v>4.0051410966412737E-2</v>
      </c>
    </row>
    <row r="134" spans="1:27" ht="15" x14ac:dyDescent="0.25">
      <c r="A134" s="4">
        <v>260130</v>
      </c>
      <c r="B134" s="29" t="s">
        <v>946</v>
      </c>
      <c r="C134" s="19" t="s">
        <v>31</v>
      </c>
      <c r="D134" s="46" t="s">
        <v>947</v>
      </c>
      <c r="E134" s="19" t="s">
        <v>813</v>
      </c>
      <c r="F134" s="47">
        <v>4</v>
      </c>
      <c r="G134" s="64">
        <v>1642</v>
      </c>
      <c r="H134" s="64">
        <v>2111</v>
      </c>
      <c r="I134" s="64">
        <v>2613</v>
      </c>
      <c r="J134" s="64">
        <v>2658</v>
      </c>
      <c r="K134" s="121">
        <v>2658</v>
      </c>
      <c r="L134" s="121">
        <v>3395</v>
      </c>
      <c r="M134" s="64">
        <v>3395</v>
      </c>
      <c r="N134" s="64">
        <v>3263</v>
      </c>
      <c r="O134" s="64">
        <v>3739</v>
      </c>
      <c r="P134" s="64">
        <v>4102</v>
      </c>
      <c r="Q134" s="64">
        <v>4493</v>
      </c>
      <c r="R134" s="64">
        <v>4175</v>
      </c>
      <c r="S134" s="64">
        <v>4658</v>
      </c>
      <c r="T134" s="64">
        <v>4821</v>
      </c>
      <c r="U134" s="64">
        <v>5284</v>
      </c>
      <c r="V134" s="64">
        <v>4927</v>
      </c>
      <c r="W134" s="67">
        <v>5445</v>
      </c>
      <c r="X134" s="109">
        <v>4.1255450998393339E-2</v>
      </c>
      <c r="Y134" s="109">
        <v>4.3588471923734051E-2</v>
      </c>
      <c r="Z134" s="109">
        <v>3.9708522547259539E-2</v>
      </c>
      <c r="AA134" s="109">
        <v>3.9969527679024841E-2</v>
      </c>
    </row>
    <row r="135" spans="1:27" ht="15" x14ac:dyDescent="0.25">
      <c r="A135" s="4">
        <v>260130</v>
      </c>
      <c r="B135" s="29" t="s">
        <v>948</v>
      </c>
      <c r="C135" s="19" t="s">
        <v>31</v>
      </c>
      <c r="D135" s="46" t="s">
        <v>949</v>
      </c>
      <c r="E135" s="19" t="s">
        <v>819</v>
      </c>
      <c r="F135" s="47">
        <v>3.9</v>
      </c>
      <c r="G135" s="64">
        <v>9335</v>
      </c>
      <c r="H135" s="64">
        <v>9659</v>
      </c>
      <c r="I135" s="64">
        <v>9937</v>
      </c>
      <c r="J135" s="64">
        <v>11206</v>
      </c>
      <c r="K135" s="64">
        <v>11903</v>
      </c>
      <c r="L135" s="64">
        <v>12530</v>
      </c>
      <c r="M135" s="64">
        <v>12843</v>
      </c>
      <c r="N135" s="64">
        <v>14086</v>
      </c>
      <c r="O135" s="64">
        <v>14415</v>
      </c>
      <c r="P135" s="64">
        <v>14905</v>
      </c>
      <c r="Q135" s="64">
        <v>14888</v>
      </c>
      <c r="R135" s="64">
        <v>15762</v>
      </c>
      <c r="S135" s="64">
        <v>15614</v>
      </c>
      <c r="T135" s="64">
        <v>15096</v>
      </c>
      <c r="U135" s="64">
        <v>15426</v>
      </c>
      <c r="V135" s="64">
        <v>16793</v>
      </c>
      <c r="W135" s="67">
        <v>18061</v>
      </c>
      <c r="X135" s="109">
        <v>3.1224966894995991E-3</v>
      </c>
      <c r="Y135" s="109">
        <v>8.767926988265895E-3</v>
      </c>
      <c r="Z135" s="109">
        <v>1.665643477979906E-2</v>
      </c>
      <c r="AA135" s="109">
        <v>3.8885092723545567E-2</v>
      </c>
    </row>
    <row r="136" spans="1:27" ht="15" x14ac:dyDescent="0.25">
      <c r="A136" s="4">
        <v>260130</v>
      </c>
      <c r="B136" s="29" t="s">
        <v>950</v>
      </c>
      <c r="C136" s="19" t="s">
        <v>31</v>
      </c>
      <c r="D136" s="46" t="s">
        <v>951</v>
      </c>
      <c r="E136" s="19" t="s">
        <v>819</v>
      </c>
      <c r="F136" s="47">
        <v>3.4</v>
      </c>
      <c r="G136" s="64">
        <v>98631</v>
      </c>
      <c r="H136" s="64">
        <v>94468</v>
      </c>
      <c r="I136" s="64">
        <v>107618</v>
      </c>
      <c r="J136" s="64">
        <v>109523</v>
      </c>
      <c r="K136" s="64">
        <v>112410</v>
      </c>
      <c r="L136" s="64">
        <v>109307</v>
      </c>
      <c r="M136" s="64">
        <v>119408</v>
      </c>
      <c r="N136" s="64">
        <v>121924</v>
      </c>
      <c r="O136" s="64">
        <v>123807</v>
      </c>
      <c r="P136" s="64">
        <v>119829</v>
      </c>
      <c r="Q136" s="64">
        <v>126528</v>
      </c>
      <c r="R136" s="64">
        <v>132914</v>
      </c>
      <c r="S136" s="64">
        <v>136755</v>
      </c>
      <c r="T136" s="64">
        <v>129588</v>
      </c>
      <c r="U136" s="64">
        <v>138514</v>
      </c>
      <c r="V136" s="64">
        <v>144783</v>
      </c>
      <c r="W136" s="67">
        <v>155205</v>
      </c>
      <c r="X136" s="109">
        <v>1.8911837775615888E-2</v>
      </c>
      <c r="Y136" s="109">
        <v>2.279639015947588E-2</v>
      </c>
      <c r="Z136" s="109">
        <v>2.2070732709647881E-2</v>
      </c>
      <c r="AA136" s="109">
        <v>3.3567425951531948E-2</v>
      </c>
    </row>
    <row r="137" spans="1:27" ht="15" x14ac:dyDescent="0.25">
      <c r="A137" s="4">
        <v>260130</v>
      </c>
      <c r="B137" s="29" t="s">
        <v>952</v>
      </c>
      <c r="C137" s="19" t="s">
        <v>31</v>
      </c>
      <c r="D137" s="46" t="s">
        <v>953</v>
      </c>
      <c r="E137" s="19" t="s">
        <v>819</v>
      </c>
      <c r="F137" s="47">
        <v>3.1</v>
      </c>
      <c r="G137" s="64">
        <v>26496</v>
      </c>
      <c r="H137" s="64">
        <v>27278</v>
      </c>
      <c r="I137" s="64">
        <v>26621</v>
      </c>
      <c r="J137" s="64">
        <v>28163</v>
      </c>
      <c r="K137" s="64">
        <v>31921</v>
      </c>
      <c r="L137" s="64">
        <v>0</v>
      </c>
      <c r="M137" s="64">
        <v>32154</v>
      </c>
      <c r="N137" s="64">
        <v>33166</v>
      </c>
      <c r="O137" s="64">
        <v>37106</v>
      </c>
      <c r="P137" s="64">
        <v>0</v>
      </c>
      <c r="Q137" s="64">
        <v>10019</v>
      </c>
      <c r="R137" s="64">
        <v>10864</v>
      </c>
      <c r="S137" s="64">
        <v>10498</v>
      </c>
      <c r="T137" s="121">
        <v>10003</v>
      </c>
      <c r="U137" s="64">
        <v>10779</v>
      </c>
      <c r="V137" s="64">
        <v>11972</v>
      </c>
      <c r="W137" s="67">
        <v>11858</v>
      </c>
      <c r="X137" s="123">
        <v>0.31875975908989518</v>
      </c>
      <c r="Y137" s="109">
        <v>1.836458534699403E-2</v>
      </c>
      <c r="Z137" s="109">
        <v>2.629081245254361E-2</v>
      </c>
      <c r="AA137" s="109">
        <v>3.1443632664385428E-2</v>
      </c>
    </row>
    <row r="138" spans="1:27" ht="15" x14ac:dyDescent="0.25">
      <c r="A138" s="4">
        <v>260130</v>
      </c>
      <c r="B138" s="29" t="s">
        <v>954</v>
      </c>
      <c r="C138" s="19" t="s">
        <v>31</v>
      </c>
      <c r="D138" s="46" t="s">
        <v>955</v>
      </c>
      <c r="E138" s="19" t="s">
        <v>819</v>
      </c>
      <c r="F138" s="47">
        <v>2.9</v>
      </c>
      <c r="G138" s="64">
        <v>94626</v>
      </c>
      <c r="H138" s="64">
        <v>85666</v>
      </c>
      <c r="I138" s="64">
        <v>85774</v>
      </c>
      <c r="J138" s="64">
        <v>115793</v>
      </c>
      <c r="K138" s="64">
        <v>105488</v>
      </c>
      <c r="L138" s="64">
        <v>102627</v>
      </c>
      <c r="M138" s="64">
        <v>98889</v>
      </c>
      <c r="N138" s="64">
        <v>105568</v>
      </c>
      <c r="O138" s="64">
        <v>113564</v>
      </c>
      <c r="P138" s="64">
        <v>113262</v>
      </c>
      <c r="Q138" s="64">
        <v>104179</v>
      </c>
      <c r="R138" s="64">
        <v>107770</v>
      </c>
      <c r="S138" s="64">
        <v>107058</v>
      </c>
      <c r="T138" s="64">
        <v>110260</v>
      </c>
      <c r="U138" s="64">
        <v>117190</v>
      </c>
      <c r="V138" s="64">
        <v>134433</v>
      </c>
      <c r="W138" s="67">
        <v>120629</v>
      </c>
      <c r="X138" s="109">
        <v>-6.9447496813327403E-3</v>
      </c>
      <c r="Y138" s="109">
        <v>3.030980718294218E-2</v>
      </c>
      <c r="Z138" s="109">
        <v>6.028561221675055E-2</v>
      </c>
      <c r="AA138" s="109">
        <v>2.8939674713876599E-2</v>
      </c>
    </row>
    <row r="139" spans="1:27" ht="15" x14ac:dyDescent="0.25">
      <c r="A139" s="4">
        <v>260130</v>
      </c>
      <c r="B139" s="29" t="s">
        <v>956</v>
      </c>
      <c r="C139" s="19" t="s">
        <v>31</v>
      </c>
      <c r="D139" s="46" t="s">
        <v>957</v>
      </c>
      <c r="E139" s="19" t="s">
        <v>819</v>
      </c>
      <c r="F139" s="47">
        <v>2.6</v>
      </c>
      <c r="G139" s="64">
        <v>125249</v>
      </c>
      <c r="H139" s="64">
        <v>143395</v>
      </c>
      <c r="I139" s="64">
        <v>130454</v>
      </c>
      <c r="J139" s="64">
        <v>135214</v>
      </c>
      <c r="K139" s="64">
        <v>124524</v>
      </c>
      <c r="L139" s="64">
        <v>136919</v>
      </c>
      <c r="M139" s="64">
        <v>125883</v>
      </c>
      <c r="N139" s="64">
        <v>122502</v>
      </c>
      <c r="O139" s="64">
        <v>117013</v>
      </c>
      <c r="P139" s="64">
        <v>134870</v>
      </c>
      <c r="Q139" s="64">
        <v>136178</v>
      </c>
      <c r="R139" s="64">
        <v>112133</v>
      </c>
      <c r="S139" s="64">
        <v>117507</v>
      </c>
      <c r="T139" s="64">
        <v>131832</v>
      </c>
      <c r="U139" s="64">
        <v>122945</v>
      </c>
      <c r="V139" s="64">
        <v>116859</v>
      </c>
      <c r="W139" s="67">
        <v>130266</v>
      </c>
      <c r="X139" s="109">
        <v>-6.0676509123446243E-3</v>
      </c>
      <c r="Y139" s="109">
        <v>-2.659097759469509E-2</v>
      </c>
      <c r="Z139" s="109">
        <v>9.7560572812267488E-3</v>
      </c>
      <c r="AA139" s="109">
        <v>2.6084396587501061E-2</v>
      </c>
    </row>
    <row r="140" spans="1:27" ht="15" x14ac:dyDescent="0.25">
      <c r="A140" s="4">
        <v>260130</v>
      </c>
      <c r="B140" s="29" t="s">
        <v>958</v>
      </c>
      <c r="C140" s="19" t="s">
        <v>31</v>
      </c>
      <c r="D140" s="46" t="s">
        <v>959</v>
      </c>
      <c r="E140" s="19" t="s">
        <v>819</v>
      </c>
      <c r="F140" s="47">
        <v>2.5</v>
      </c>
      <c r="G140" s="64">
        <v>104469</v>
      </c>
      <c r="H140" s="64">
        <v>106913</v>
      </c>
      <c r="I140" s="64">
        <v>109052</v>
      </c>
      <c r="J140" s="64">
        <v>111506</v>
      </c>
      <c r="K140" s="64">
        <v>112618</v>
      </c>
      <c r="L140" s="64">
        <v>122856</v>
      </c>
      <c r="M140" s="64">
        <v>110481</v>
      </c>
      <c r="N140" s="64">
        <v>112671</v>
      </c>
      <c r="O140" s="64">
        <v>115498</v>
      </c>
      <c r="P140" s="64">
        <v>119781</v>
      </c>
      <c r="Q140" s="64">
        <v>110062</v>
      </c>
      <c r="R140" s="64">
        <v>112778</v>
      </c>
      <c r="S140" s="64">
        <v>112330</v>
      </c>
      <c r="T140" s="64">
        <v>122754</v>
      </c>
      <c r="U140" s="64">
        <v>111962</v>
      </c>
      <c r="V140" s="64">
        <v>114760</v>
      </c>
      <c r="W140" s="67">
        <v>123951</v>
      </c>
      <c r="X140" s="109">
        <v>6.5347696784927578E-3</v>
      </c>
      <c r="Y140" s="109">
        <v>4.1491601226404384E-3</v>
      </c>
      <c r="Z140" s="109">
        <v>4.3103448275862988E-3</v>
      </c>
      <c r="AA140" s="109">
        <v>2.51642464584696E-2</v>
      </c>
    </row>
    <row r="141" spans="1:27" ht="15" x14ac:dyDescent="0.25">
      <c r="A141" s="4">
        <v>260130</v>
      </c>
      <c r="B141" s="29" t="s">
        <v>960</v>
      </c>
      <c r="C141" s="19" t="s">
        <v>31</v>
      </c>
      <c r="D141" s="46" t="s">
        <v>961</v>
      </c>
      <c r="E141" s="19" t="s">
        <v>819</v>
      </c>
      <c r="F141" s="47">
        <v>2.4</v>
      </c>
      <c r="G141" s="64">
        <v>4969</v>
      </c>
      <c r="H141" s="64">
        <v>4855</v>
      </c>
      <c r="I141" s="64">
        <v>5027</v>
      </c>
      <c r="J141" s="64">
        <v>5338</v>
      </c>
      <c r="K141" s="64">
        <v>4894</v>
      </c>
      <c r="L141" s="64">
        <v>4910</v>
      </c>
      <c r="M141" s="64">
        <v>5410</v>
      </c>
      <c r="N141" s="64">
        <v>6013</v>
      </c>
      <c r="O141" s="64">
        <v>5389</v>
      </c>
      <c r="P141" s="64">
        <v>5454</v>
      </c>
      <c r="Q141" s="64">
        <v>6019</v>
      </c>
      <c r="R141" s="64">
        <v>6602</v>
      </c>
      <c r="S141" s="64">
        <v>5967</v>
      </c>
      <c r="T141" s="64">
        <v>6026</v>
      </c>
      <c r="U141" s="64">
        <v>6698</v>
      </c>
      <c r="V141" s="64">
        <v>7306</v>
      </c>
      <c r="W141" s="67">
        <v>6598</v>
      </c>
      <c r="X141" s="109">
        <v>2.379169786207469E-2</v>
      </c>
      <c r="Y141" s="109">
        <v>2.758592670837734E-2</v>
      </c>
      <c r="Z141" s="109">
        <v>2.783378800458625E-2</v>
      </c>
      <c r="AA141" s="109">
        <v>2.4272031388237188E-2</v>
      </c>
    </row>
    <row r="142" spans="1:27" ht="15" x14ac:dyDescent="0.25">
      <c r="A142" s="4">
        <v>260130</v>
      </c>
      <c r="B142" s="29" t="s">
        <v>962</v>
      </c>
      <c r="C142" s="19" t="s">
        <v>31</v>
      </c>
      <c r="D142" s="46" t="s">
        <v>963</v>
      </c>
      <c r="E142" s="19" t="s">
        <v>819</v>
      </c>
      <c r="F142" s="47">
        <v>1.1000000000000001</v>
      </c>
      <c r="G142" s="64">
        <v>95847</v>
      </c>
      <c r="H142" s="64">
        <v>81998</v>
      </c>
      <c r="I142" s="64">
        <v>96699</v>
      </c>
      <c r="J142" s="64">
        <v>123088</v>
      </c>
      <c r="K142" s="121">
        <v>136511</v>
      </c>
      <c r="L142" s="121">
        <v>155792</v>
      </c>
      <c r="M142" s="64">
        <v>139794</v>
      </c>
      <c r="N142" s="64">
        <v>144532</v>
      </c>
      <c r="O142" s="64">
        <v>151794</v>
      </c>
      <c r="P142" s="64">
        <v>165242</v>
      </c>
      <c r="Q142" s="64">
        <v>147767</v>
      </c>
      <c r="R142" s="64">
        <v>164162</v>
      </c>
      <c r="S142" s="64">
        <v>160924</v>
      </c>
      <c r="T142" s="64">
        <v>170545</v>
      </c>
      <c r="U142" s="64">
        <v>146817</v>
      </c>
      <c r="V142" s="64">
        <v>164449</v>
      </c>
      <c r="W142" s="67">
        <v>167851</v>
      </c>
      <c r="X142" s="109">
        <v>8.3106747427890149E-3</v>
      </c>
      <c r="Y142" s="109">
        <v>-1.4765355192275511E-3</v>
      </c>
      <c r="Z142" s="109">
        <v>4.4672876248341709E-4</v>
      </c>
      <c r="AA142" s="109">
        <v>1.0777381035730119E-2</v>
      </c>
    </row>
    <row r="143" spans="1:27" ht="15" x14ac:dyDescent="0.25">
      <c r="A143" s="4">
        <v>260130</v>
      </c>
      <c r="B143" s="29" t="s">
        <v>964</v>
      </c>
      <c r="C143" s="19" t="s">
        <v>31</v>
      </c>
      <c r="D143" s="46" t="s">
        <v>965</v>
      </c>
      <c r="E143" s="19" t="s">
        <v>819</v>
      </c>
      <c r="F143" s="47">
        <v>0.4</v>
      </c>
      <c r="G143" s="64">
        <v>37733</v>
      </c>
      <c r="H143" s="64">
        <v>43746</v>
      </c>
      <c r="I143" s="64">
        <v>37833</v>
      </c>
      <c r="J143" s="64">
        <v>34896</v>
      </c>
      <c r="K143" s="64">
        <v>32900</v>
      </c>
      <c r="L143" s="64">
        <v>36940</v>
      </c>
      <c r="M143" s="64">
        <v>31784</v>
      </c>
      <c r="N143" s="64">
        <v>30434</v>
      </c>
      <c r="O143" s="64">
        <v>33469</v>
      </c>
      <c r="P143" s="64">
        <v>35805</v>
      </c>
      <c r="Q143" s="64">
        <v>28561</v>
      </c>
      <c r="R143" s="64">
        <v>40015</v>
      </c>
      <c r="S143" s="64">
        <v>46622</v>
      </c>
      <c r="T143" s="121">
        <v>52678</v>
      </c>
      <c r="U143" s="64">
        <v>38069</v>
      </c>
      <c r="V143" s="64">
        <v>42923</v>
      </c>
      <c r="W143" s="67">
        <v>47310</v>
      </c>
      <c r="X143" s="123">
        <v>0.1117395018642013</v>
      </c>
      <c r="Y143" s="109">
        <v>5.6637041625962059E-2</v>
      </c>
      <c r="Z143" s="109">
        <v>1.6393812294231761E-2</v>
      </c>
      <c r="AA143" s="109">
        <v>3.8160317706830149E-3</v>
      </c>
    </row>
    <row r="144" spans="1:27" ht="15" x14ac:dyDescent="0.25">
      <c r="A144" s="4">
        <v>260130</v>
      </c>
      <c r="B144" s="29" t="s">
        <v>966</v>
      </c>
      <c r="C144" s="19" t="s">
        <v>31</v>
      </c>
      <c r="D144" s="46" t="s">
        <v>967</v>
      </c>
      <c r="E144" s="19" t="s">
        <v>819</v>
      </c>
      <c r="F144" s="47">
        <v>0.2</v>
      </c>
      <c r="G144" s="64">
        <v>12141</v>
      </c>
      <c r="H144" s="64">
        <v>21036</v>
      </c>
      <c r="I144" s="64">
        <v>22355</v>
      </c>
      <c r="J144" s="64">
        <v>21505</v>
      </c>
      <c r="K144" s="121">
        <v>20867</v>
      </c>
      <c r="L144" s="64">
        <v>21545</v>
      </c>
      <c r="M144" s="64">
        <v>21005</v>
      </c>
      <c r="N144" s="64">
        <v>12349</v>
      </c>
      <c r="O144" s="64">
        <v>18734</v>
      </c>
      <c r="P144" s="64">
        <v>18372</v>
      </c>
      <c r="Q144" s="64">
        <v>16013</v>
      </c>
      <c r="R144" s="64">
        <v>17504</v>
      </c>
      <c r="S144" s="64">
        <v>17070</v>
      </c>
      <c r="T144" s="64">
        <v>17050</v>
      </c>
      <c r="U144" s="64">
        <v>17194</v>
      </c>
      <c r="V144" s="64">
        <v>22940</v>
      </c>
      <c r="W144" s="67">
        <v>17254</v>
      </c>
      <c r="X144" s="109">
        <v>-1.9170811641700088E-2</v>
      </c>
      <c r="Y144" s="109">
        <v>1.7460857223117628E-2</v>
      </c>
      <c r="Z144" s="109">
        <v>7.8990961667005699E-2</v>
      </c>
      <c r="AA144" s="109">
        <v>2.477980984189498E-3</v>
      </c>
    </row>
    <row r="145" spans="1:27" ht="15" x14ac:dyDescent="0.25">
      <c r="A145" s="4">
        <v>260130</v>
      </c>
      <c r="B145" s="29" t="s">
        <v>968</v>
      </c>
      <c r="C145" s="19" t="s">
        <v>31</v>
      </c>
      <c r="D145" s="46" t="s">
        <v>969</v>
      </c>
      <c r="E145" s="19" t="s">
        <v>819</v>
      </c>
      <c r="F145" s="47">
        <v>0</v>
      </c>
      <c r="G145" s="64">
        <v>8481</v>
      </c>
      <c r="H145" s="64">
        <v>10933</v>
      </c>
      <c r="I145" s="64">
        <v>10797</v>
      </c>
      <c r="J145" s="64">
        <v>13287</v>
      </c>
      <c r="K145" s="64">
        <v>12269</v>
      </c>
      <c r="L145" s="64">
        <v>12736</v>
      </c>
      <c r="M145" s="64">
        <v>12396</v>
      </c>
      <c r="N145" s="64">
        <v>12948</v>
      </c>
      <c r="O145" s="64">
        <v>11692</v>
      </c>
      <c r="P145" s="64">
        <v>11502</v>
      </c>
      <c r="Q145" s="64">
        <v>10200</v>
      </c>
      <c r="R145" s="64">
        <v>10442</v>
      </c>
      <c r="S145" s="64">
        <v>10662</v>
      </c>
      <c r="T145" s="64">
        <v>11570</v>
      </c>
      <c r="U145" s="64">
        <v>10389</v>
      </c>
      <c r="V145" s="64">
        <v>10478</v>
      </c>
      <c r="W145" s="67">
        <v>10669</v>
      </c>
      <c r="X145" s="109">
        <v>1.5885623510722979E-3</v>
      </c>
      <c r="Y145" s="109">
        <v>4.408266082007728E-3</v>
      </c>
      <c r="Z145" s="109">
        <v>8.3598448784338864E-4</v>
      </c>
      <c r="AA145" s="109">
        <v>1.6241676140982259E-4</v>
      </c>
    </row>
    <row r="146" spans="1:27" ht="15" x14ac:dyDescent="0.25">
      <c r="A146" s="4">
        <v>260130</v>
      </c>
      <c r="B146" s="29" t="s">
        <v>970</v>
      </c>
      <c r="C146" s="19" t="s">
        <v>31</v>
      </c>
      <c r="D146" s="46" t="s">
        <v>971</v>
      </c>
      <c r="E146" s="19" t="s">
        <v>819</v>
      </c>
      <c r="F146" s="47">
        <v>-0.5</v>
      </c>
      <c r="G146" s="64">
        <v>15186</v>
      </c>
      <c r="H146" s="64">
        <v>-1824</v>
      </c>
      <c r="I146" s="64">
        <v>16569</v>
      </c>
      <c r="J146" s="64">
        <v>12105</v>
      </c>
      <c r="K146" s="64">
        <v>16581</v>
      </c>
      <c r="L146" s="64">
        <v>1207</v>
      </c>
      <c r="M146" s="64">
        <v>19052</v>
      </c>
      <c r="N146" s="121">
        <v>17463</v>
      </c>
      <c r="O146" s="64">
        <v>17224</v>
      </c>
      <c r="P146" s="121">
        <v>18927</v>
      </c>
      <c r="Q146" s="64">
        <v>19044</v>
      </c>
      <c r="R146" s="64">
        <v>19824</v>
      </c>
      <c r="S146" s="64">
        <v>21636</v>
      </c>
      <c r="T146" s="64">
        <v>22714</v>
      </c>
      <c r="U146" s="64">
        <v>20113</v>
      </c>
      <c r="V146" s="64">
        <v>20175</v>
      </c>
      <c r="W146" s="67">
        <v>21198</v>
      </c>
      <c r="X146" s="109">
        <v>4.7676599816192773E-2</v>
      </c>
      <c r="Y146" s="109">
        <v>1.2845778557523561E-2</v>
      </c>
      <c r="Z146" s="109">
        <v>4.1643432557807447E-3</v>
      </c>
      <c r="AA146" s="109">
        <v>-5.1749805052104803E-3</v>
      </c>
    </row>
    <row r="147" spans="1:27" ht="15" x14ac:dyDescent="0.25">
      <c r="A147" s="133">
        <v>260130</v>
      </c>
      <c r="B147" s="134" t="s">
        <v>972</v>
      </c>
      <c r="C147" s="135" t="s">
        <v>31</v>
      </c>
      <c r="D147" s="136" t="s">
        <v>973</v>
      </c>
      <c r="E147" s="19" t="s">
        <v>819</v>
      </c>
      <c r="F147" s="140">
        <v>-1.1000000000000001</v>
      </c>
      <c r="G147" s="64">
        <v>1808</v>
      </c>
      <c r="H147" s="64">
        <v>2046</v>
      </c>
      <c r="I147" s="64">
        <v>2341</v>
      </c>
      <c r="J147" s="64">
        <v>2475</v>
      </c>
      <c r="K147" s="64">
        <v>2374</v>
      </c>
      <c r="L147" s="142">
        <v>2169</v>
      </c>
      <c r="M147" s="142">
        <v>1881</v>
      </c>
      <c r="N147" s="142">
        <v>1811</v>
      </c>
      <c r="O147" s="142">
        <v>1947</v>
      </c>
      <c r="P147" s="142">
        <v>2275</v>
      </c>
      <c r="Q147" s="142">
        <v>2240</v>
      </c>
      <c r="R147" s="142">
        <v>2381</v>
      </c>
      <c r="S147" s="142">
        <v>2408</v>
      </c>
      <c r="T147" s="142">
        <v>2637</v>
      </c>
      <c r="U147" s="142">
        <v>2429</v>
      </c>
      <c r="V147" s="142">
        <v>2446</v>
      </c>
      <c r="W147" s="67">
        <v>2295</v>
      </c>
      <c r="X147" s="143">
        <v>3.8907996560619162E-2</v>
      </c>
      <c r="Y147" s="143">
        <v>1.9553072625698279E-2</v>
      </c>
      <c r="Z147" s="143">
        <v>6.5956367326229781E-3</v>
      </c>
      <c r="AA147" s="143">
        <v>-1.1391129032258029E-2</v>
      </c>
    </row>
    <row r="148" spans="1:27" ht="15" x14ac:dyDescent="0.25">
      <c r="A148" s="133">
        <v>260130</v>
      </c>
      <c r="B148" s="134" t="s">
        <v>974</v>
      </c>
      <c r="C148" s="135" t="s">
        <v>31</v>
      </c>
      <c r="D148" s="136" t="s">
        <v>975</v>
      </c>
      <c r="E148" s="19" t="s">
        <v>819</v>
      </c>
      <c r="F148" s="140">
        <v>-2.5</v>
      </c>
      <c r="G148" s="64">
        <v>10053</v>
      </c>
      <c r="H148" s="64">
        <v>15934</v>
      </c>
      <c r="I148" s="64">
        <v>11898</v>
      </c>
      <c r="J148" s="64">
        <v>9411</v>
      </c>
      <c r="K148" s="64">
        <v>11248</v>
      </c>
      <c r="L148" s="142">
        <v>11411</v>
      </c>
      <c r="M148" s="142">
        <v>11792</v>
      </c>
      <c r="N148" s="142">
        <v>8832</v>
      </c>
      <c r="O148" s="142">
        <v>10197</v>
      </c>
      <c r="P148" s="142">
        <v>12354</v>
      </c>
      <c r="Q148" s="142">
        <v>11405</v>
      </c>
      <c r="R148" s="142">
        <v>8284</v>
      </c>
      <c r="S148" s="142">
        <v>10012</v>
      </c>
      <c r="T148" s="142">
        <v>11718</v>
      </c>
      <c r="U148" s="142">
        <v>10432</v>
      </c>
      <c r="V148" s="142">
        <v>8587</v>
      </c>
      <c r="W148" s="67">
        <v>8977</v>
      </c>
      <c r="X148" s="143">
        <v>-1.5123053144691419E-2</v>
      </c>
      <c r="Y148" s="143">
        <v>-2.3491634274125369E-2</v>
      </c>
      <c r="Z148" s="143">
        <v>7.4914701082924307E-3</v>
      </c>
      <c r="AA148" s="143">
        <v>-2.539939630420374E-2</v>
      </c>
    </row>
    <row r="149" spans="1:27" ht="15" x14ac:dyDescent="0.25">
      <c r="A149" s="110">
        <v>260130</v>
      </c>
      <c r="B149" s="137" t="s">
        <v>318</v>
      </c>
      <c r="C149" s="138" t="s">
        <v>976</v>
      </c>
      <c r="D149" s="139" t="s">
        <v>319</v>
      </c>
      <c r="E149" s="19" t="s">
        <v>977</v>
      </c>
      <c r="F149" s="141">
        <v>6.6</v>
      </c>
      <c r="G149" s="19"/>
      <c r="H149" s="19"/>
      <c r="I149" s="19"/>
      <c r="J149" s="19"/>
      <c r="K149" s="19"/>
      <c r="L149" s="138"/>
      <c r="M149" s="138"/>
      <c r="N149" s="144">
        <v>168.13</v>
      </c>
      <c r="O149" s="144">
        <v>311.41000000000003</v>
      </c>
      <c r="P149" s="144">
        <v>219.1</v>
      </c>
      <c r="Q149" s="144">
        <v>432.35</v>
      </c>
      <c r="R149" s="144">
        <v>234.64</v>
      </c>
      <c r="S149" s="145">
        <v>445.57</v>
      </c>
      <c r="T149" s="144">
        <v>258.43</v>
      </c>
      <c r="U149" s="144">
        <v>495.14</v>
      </c>
      <c r="V149" s="144">
        <v>272.88</v>
      </c>
      <c r="W149" s="146">
        <v>542.46</v>
      </c>
      <c r="X149" s="147">
        <v>2.953456588017955E-2</v>
      </c>
      <c r="Y149" s="147">
        <v>4.5799021145303653E-2</v>
      </c>
      <c r="Z149" s="147">
        <v>2.6670758414819581E-2</v>
      </c>
      <c r="AA149" s="147">
        <v>6.5821116560916382E-2</v>
      </c>
    </row>
    <row r="150" spans="1:27" ht="15" x14ac:dyDescent="0.25">
      <c r="A150" s="4">
        <v>260129</v>
      </c>
      <c r="B150" s="19" t="s">
        <v>637</v>
      </c>
      <c r="C150" s="19" t="s">
        <v>23</v>
      </c>
      <c r="D150" s="19" t="s">
        <v>29</v>
      </c>
      <c r="E150" s="19" t="s">
        <v>25</v>
      </c>
      <c r="F150" s="108">
        <v>99.862943292787378</v>
      </c>
      <c r="G150" s="58">
        <v>53.73</v>
      </c>
      <c r="H150" s="58">
        <v>48.56</v>
      </c>
      <c r="I150" s="58">
        <v>52.39</v>
      </c>
      <c r="J150" s="58">
        <v>51.41</v>
      </c>
      <c r="K150" s="58">
        <v>47.97</v>
      </c>
      <c r="L150" s="58">
        <v>48.53</v>
      </c>
      <c r="M150" s="58">
        <v>50.57</v>
      </c>
      <c r="N150" s="58">
        <v>51.2</v>
      </c>
      <c r="O150" s="58">
        <v>49.98</v>
      </c>
      <c r="P150" s="58">
        <v>56.44</v>
      </c>
      <c r="Q150" s="58">
        <v>63.17</v>
      </c>
      <c r="R150" s="58">
        <v>47.02</v>
      </c>
      <c r="S150" s="58">
        <v>-55.86</v>
      </c>
      <c r="T150" s="58">
        <v>54.31</v>
      </c>
      <c r="U150" s="58">
        <v>57.18</v>
      </c>
      <c r="V150" s="59">
        <v>61.11</v>
      </c>
      <c r="W150" s="60">
        <v>60.72</v>
      </c>
      <c r="X150" s="109">
        <v>-1.9229033131714313E-2</v>
      </c>
      <c r="Y150" s="109">
        <v>-5.5136229749631727E-2</v>
      </c>
      <c r="Z150" s="109">
        <v>0.13726254262055537</v>
      </c>
      <c r="AA150" s="109">
        <v>0.99862943292787398</v>
      </c>
    </row>
    <row r="151" spans="1:27" ht="15" x14ac:dyDescent="0.25">
      <c r="A151" s="4">
        <v>260129</v>
      </c>
      <c r="B151" s="19" t="s">
        <v>638</v>
      </c>
      <c r="C151" s="19" t="s">
        <v>23</v>
      </c>
      <c r="D151" s="19" t="s">
        <v>182</v>
      </c>
      <c r="E151" s="19" t="s">
        <v>25</v>
      </c>
      <c r="F151" s="108">
        <v>65.753803596127256</v>
      </c>
      <c r="G151" s="58">
        <v>-57.46</v>
      </c>
      <c r="H151" s="58">
        <v>-221.12</v>
      </c>
      <c r="I151" s="58">
        <v>-102.4</v>
      </c>
      <c r="J151" s="58">
        <v>-95.57</v>
      </c>
      <c r="K151" s="58">
        <v>41.5</v>
      </c>
      <c r="L151" s="58">
        <v>26.53</v>
      </c>
      <c r="M151" s="58">
        <v>9.3800000000000008</v>
      </c>
      <c r="N151" s="58">
        <v>-63.78</v>
      </c>
      <c r="O151" s="58">
        <v>32.06</v>
      </c>
      <c r="P151" s="59">
        <v>33.82</v>
      </c>
      <c r="Q151" s="58">
        <v>-8.32</v>
      </c>
      <c r="R151" s="58">
        <v>45.33</v>
      </c>
      <c r="S151" s="58">
        <v>8.52</v>
      </c>
      <c r="T151" s="58">
        <v>24.3</v>
      </c>
      <c r="U151" s="58">
        <v>-18.46</v>
      </c>
      <c r="V151" s="59">
        <v>57.94</v>
      </c>
      <c r="W151" s="60">
        <v>56.06</v>
      </c>
      <c r="X151" s="109">
        <v>-0.11997479521109011</v>
      </c>
      <c r="Y151" s="109">
        <v>-0.14520979521695554</v>
      </c>
      <c r="Z151" s="109">
        <v>0.2112581671971856</v>
      </c>
      <c r="AA151" s="109">
        <v>0.65753803596127258</v>
      </c>
    </row>
    <row r="152" spans="1:27" ht="15" x14ac:dyDescent="0.25">
      <c r="A152" s="4">
        <v>260129</v>
      </c>
      <c r="B152" s="19" t="s">
        <v>639</v>
      </c>
      <c r="C152" s="19" t="s">
        <v>23</v>
      </c>
      <c r="D152" s="19" t="s">
        <v>431</v>
      </c>
      <c r="E152" s="19" t="s">
        <v>799</v>
      </c>
      <c r="F152" s="108">
        <v>39.095503433976937</v>
      </c>
      <c r="G152" s="58">
        <v>4833</v>
      </c>
      <c r="H152" s="58">
        <v>4381</v>
      </c>
      <c r="I152" s="58">
        <v>4528</v>
      </c>
      <c r="J152" s="58">
        <v>3736</v>
      </c>
      <c r="K152" s="58">
        <v>3107</v>
      </c>
      <c r="L152" s="58">
        <v>2803</v>
      </c>
      <c r="M152" s="58">
        <v>2672</v>
      </c>
      <c r="N152" s="58">
        <v>2750</v>
      </c>
      <c r="O152" s="58">
        <v>0</v>
      </c>
      <c r="P152" s="58">
        <v>1752</v>
      </c>
      <c r="Q152" s="58">
        <v>0</v>
      </c>
      <c r="R152" s="58">
        <v>2212</v>
      </c>
      <c r="S152" s="58">
        <v>0</v>
      </c>
      <c r="T152" s="59">
        <v>2294</v>
      </c>
      <c r="U152" s="59">
        <v>2605</v>
      </c>
      <c r="V152" s="58">
        <v>2818</v>
      </c>
      <c r="W152" s="60">
        <v>3017</v>
      </c>
      <c r="X152" s="109">
        <v>0.13673057517658926</v>
      </c>
      <c r="Y152" s="109">
        <v>0.57811806480248551</v>
      </c>
      <c r="Z152" s="109">
        <v>8.5220081563774475E-2</v>
      </c>
      <c r="AA152" s="109">
        <v>0.39095503433976941</v>
      </c>
    </row>
    <row r="153" spans="1:27" ht="15" x14ac:dyDescent="0.25">
      <c r="A153" s="4">
        <v>260129</v>
      </c>
      <c r="B153" s="19" t="s">
        <v>640</v>
      </c>
      <c r="C153" s="19" t="s">
        <v>23</v>
      </c>
      <c r="D153" s="19" t="s">
        <v>641</v>
      </c>
      <c r="E153" s="19" t="s">
        <v>25</v>
      </c>
      <c r="F153" s="108">
        <v>24.722392288207811</v>
      </c>
      <c r="G153" s="58">
        <v>848.95</v>
      </c>
      <c r="H153" s="58">
        <v>444.05</v>
      </c>
      <c r="I153" s="58">
        <v>398.6</v>
      </c>
      <c r="J153" s="58">
        <v>380.35</v>
      </c>
      <c r="K153" s="58">
        <v>405.49</v>
      </c>
      <c r="L153" s="58">
        <v>539.16999999999996</v>
      </c>
      <c r="M153" s="58">
        <v>499.51</v>
      </c>
      <c r="N153" s="59">
        <v>602.23</v>
      </c>
      <c r="O153" s="58">
        <v>364.77</v>
      </c>
      <c r="P153" s="58">
        <v>333.84</v>
      </c>
      <c r="Q153" s="58">
        <v>507.25</v>
      </c>
      <c r="R153" s="59">
        <v>1040</v>
      </c>
      <c r="S153" s="58">
        <v>-79.81</v>
      </c>
      <c r="T153" s="59">
        <v>862.08</v>
      </c>
      <c r="U153" s="58">
        <v>690.76</v>
      </c>
      <c r="V153" s="58">
        <v>1026</v>
      </c>
      <c r="W153" s="60">
        <v>538.01</v>
      </c>
      <c r="X153" s="109">
        <v>0.29325812755373959</v>
      </c>
      <c r="Y153" s="109">
        <v>7.8775885160891512E-2</v>
      </c>
      <c r="Z153" s="109">
        <v>-5.5709641349287464E-3</v>
      </c>
      <c r="AA153" s="109">
        <v>0.24722392288207851</v>
      </c>
    </row>
    <row r="154" spans="1:27" ht="15" x14ac:dyDescent="0.25">
      <c r="A154" s="4">
        <v>260129</v>
      </c>
      <c r="B154" s="19" t="s">
        <v>642</v>
      </c>
      <c r="C154" s="19" t="s">
        <v>23</v>
      </c>
      <c r="D154" s="19" t="s">
        <v>431</v>
      </c>
      <c r="E154" s="19" t="s">
        <v>799</v>
      </c>
      <c r="F154" s="108">
        <v>14.76863753213367</v>
      </c>
      <c r="G154" s="58">
        <v>1746</v>
      </c>
      <c r="H154" s="58">
        <v>1735</v>
      </c>
      <c r="I154" s="58">
        <v>1332</v>
      </c>
      <c r="J154" s="58">
        <v>1237</v>
      </c>
      <c r="K154" s="58">
        <v>1452</v>
      </c>
      <c r="L154" s="58"/>
      <c r="M154" s="58"/>
      <c r="N154" s="58">
        <v>1533</v>
      </c>
      <c r="O154" s="58">
        <v>1665</v>
      </c>
      <c r="P154" s="58">
        <v>1705</v>
      </c>
      <c r="Q154" s="58">
        <v>1760</v>
      </c>
      <c r="R154" s="58">
        <v>1883</v>
      </c>
      <c r="S154" s="58">
        <v>1876</v>
      </c>
      <c r="T154" s="58">
        <v>1695</v>
      </c>
      <c r="U154" s="58">
        <v>1901</v>
      </c>
      <c r="V154" s="58">
        <v>2308</v>
      </c>
      <c r="W154" s="60">
        <v>3025</v>
      </c>
      <c r="X154" s="109">
        <v>-1.3842746400886119E-3</v>
      </c>
      <c r="Y154" s="109">
        <v>1.9545328527862393E-2</v>
      </c>
      <c r="Z154" s="109">
        <v>5.778382053025144E-2</v>
      </c>
      <c r="AA154" s="109">
        <v>0.14768637532133666</v>
      </c>
    </row>
    <row r="155" spans="1:27" ht="15" x14ac:dyDescent="0.25">
      <c r="A155" s="4">
        <v>260129</v>
      </c>
      <c r="B155" s="19" t="s">
        <v>643</v>
      </c>
      <c r="C155" s="19" t="s">
        <v>23</v>
      </c>
      <c r="D155" s="19" t="s">
        <v>63</v>
      </c>
      <c r="E155" s="19" t="s">
        <v>25</v>
      </c>
      <c r="F155" s="108">
        <v>14.67146668047965</v>
      </c>
      <c r="G155" s="58">
        <v>908.93</v>
      </c>
      <c r="H155" s="58">
        <v>812.5</v>
      </c>
      <c r="I155" s="58">
        <v>1072</v>
      </c>
      <c r="J155" s="58">
        <v>1179</v>
      </c>
      <c r="K155" s="58">
        <v>860.84</v>
      </c>
      <c r="L155" s="58">
        <v>513.70000000000005</v>
      </c>
      <c r="M155" s="58">
        <v>295.89</v>
      </c>
      <c r="N155" s="58">
        <v>302.45999999999998</v>
      </c>
      <c r="O155" s="58">
        <v>350.62</v>
      </c>
      <c r="P155" s="58">
        <v>376.78</v>
      </c>
      <c r="Q155" s="58">
        <v>307.12</v>
      </c>
      <c r="R155" s="58">
        <v>334.72</v>
      </c>
      <c r="S155" s="58">
        <v>327.24</v>
      </c>
      <c r="T155" s="59">
        <v>610.54999999999995</v>
      </c>
      <c r="U155" s="59">
        <v>541.91</v>
      </c>
      <c r="V155" s="58">
        <v>450.85</v>
      </c>
      <c r="W155" s="60">
        <v>610.48</v>
      </c>
      <c r="X155" s="109">
        <v>0.17369562956028117</v>
      </c>
      <c r="Y155" s="109">
        <v>0.14863607300443782</v>
      </c>
      <c r="Z155" s="109">
        <v>6.400392411900202E-2</v>
      </c>
      <c r="AA155" s="109">
        <v>0.14671466680479672</v>
      </c>
    </row>
    <row r="156" spans="1:27" ht="15" x14ac:dyDescent="0.25">
      <c r="A156" s="4">
        <v>260129</v>
      </c>
      <c r="B156" s="19" t="s">
        <v>644</v>
      </c>
      <c r="C156" s="19" t="s">
        <v>23</v>
      </c>
      <c r="D156" s="19" t="s">
        <v>182</v>
      </c>
      <c r="E156" s="19" t="s">
        <v>25</v>
      </c>
      <c r="F156" s="108">
        <v>13.97301030708744</v>
      </c>
      <c r="G156" s="58">
        <v>221.21</v>
      </c>
      <c r="H156" s="58">
        <v>-221.88</v>
      </c>
      <c r="I156" s="58">
        <v>-112.28</v>
      </c>
      <c r="J156" s="58">
        <v>84.09</v>
      </c>
      <c r="K156" s="59">
        <v>104.41</v>
      </c>
      <c r="L156" s="58">
        <v>227.81</v>
      </c>
      <c r="M156" s="59">
        <v>178.45</v>
      </c>
      <c r="N156" s="58">
        <v>2.5</v>
      </c>
      <c r="O156" s="59">
        <v>317.11</v>
      </c>
      <c r="P156" s="58">
        <v>102.41</v>
      </c>
      <c r="Q156" s="58">
        <v>121.75</v>
      </c>
      <c r="R156" s="59">
        <v>265.77999999999997</v>
      </c>
      <c r="S156" s="58">
        <v>14.66</v>
      </c>
      <c r="T156" s="59">
        <v>189.06</v>
      </c>
      <c r="U156" s="58">
        <v>145.33000000000001</v>
      </c>
      <c r="V156" s="58">
        <v>215.61</v>
      </c>
      <c r="W156" s="60">
        <v>93.56</v>
      </c>
      <c r="X156" s="109">
        <v>0.17172017439556098</v>
      </c>
      <c r="Y156" s="109">
        <v>3.9881606765327815E-2</v>
      </c>
      <c r="Z156" s="109">
        <v>-8.159979181237087E-2</v>
      </c>
      <c r="AA156" s="109">
        <v>0.13973010307087419</v>
      </c>
    </row>
    <row r="157" spans="1:27" ht="15" x14ac:dyDescent="0.25">
      <c r="A157" s="4">
        <v>260129</v>
      </c>
      <c r="B157" s="19" t="s">
        <v>645</v>
      </c>
      <c r="C157" s="19" t="s">
        <v>23</v>
      </c>
      <c r="D157" s="19" t="s">
        <v>95</v>
      </c>
      <c r="E157" s="19" t="s">
        <v>25</v>
      </c>
      <c r="F157" s="108">
        <v>11.10937377843797</v>
      </c>
      <c r="G157" s="58">
        <v>5655</v>
      </c>
      <c r="H157" s="58">
        <v>4987</v>
      </c>
      <c r="I157" s="58">
        <v>404.08</v>
      </c>
      <c r="J157" s="58">
        <v>778.23</v>
      </c>
      <c r="K157" s="58">
        <v>1847</v>
      </c>
      <c r="L157" s="58">
        <v>1292</v>
      </c>
      <c r="M157" s="59">
        <v>2738</v>
      </c>
      <c r="N157" s="59">
        <v>2367</v>
      </c>
      <c r="O157" s="58">
        <v>1287</v>
      </c>
      <c r="P157" s="59">
        <v>3535</v>
      </c>
      <c r="Q157" s="58">
        <v>2668</v>
      </c>
      <c r="R157" s="59">
        <v>3648</v>
      </c>
      <c r="S157" s="59">
        <v>2811</v>
      </c>
      <c r="T157" s="58">
        <v>3245</v>
      </c>
      <c r="U157" s="58">
        <v>3801</v>
      </c>
      <c r="V157" s="58">
        <v>2934</v>
      </c>
      <c r="W157" s="60">
        <v>4232</v>
      </c>
      <c r="X157" s="109">
        <v>-2.2903174853893593E-2</v>
      </c>
      <c r="Y157" s="109">
        <v>9.1577756223730988E-2</v>
      </c>
      <c r="Z157" s="109">
        <v>-5.2869307663828247E-2</v>
      </c>
      <c r="AA157" s="109">
        <v>0.1110937377843797</v>
      </c>
    </row>
    <row r="158" spans="1:27" ht="15" x14ac:dyDescent="0.25">
      <c r="A158" s="4">
        <v>260129</v>
      </c>
      <c r="B158" s="19" t="s">
        <v>646</v>
      </c>
      <c r="C158" s="19" t="s">
        <v>23</v>
      </c>
      <c r="D158" s="19" t="s">
        <v>446</v>
      </c>
      <c r="E158" s="19" t="s">
        <v>25</v>
      </c>
      <c r="F158" s="108">
        <v>10.45657462739447</v>
      </c>
      <c r="G158" s="58">
        <v>247.89</v>
      </c>
      <c r="H158" s="58">
        <v>263.93</v>
      </c>
      <c r="I158" s="58">
        <v>280.01</v>
      </c>
      <c r="J158" s="58">
        <v>285.73</v>
      </c>
      <c r="K158" s="58">
        <v>290.58999999999997</v>
      </c>
      <c r="L158" s="58">
        <v>248.44</v>
      </c>
      <c r="M158" s="58">
        <v>183.94</v>
      </c>
      <c r="N158" s="58">
        <v>135.53</v>
      </c>
      <c r="O158" s="58">
        <v>125.35</v>
      </c>
      <c r="P158" s="58">
        <v>95.27</v>
      </c>
      <c r="Q158" s="58">
        <v>91.99</v>
      </c>
      <c r="R158" s="58">
        <v>81.099999999999994</v>
      </c>
      <c r="S158" s="58">
        <v>92.17</v>
      </c>
      <c r="T158" s="58">
        <v>95.93</v>
      </c>
      <c r="U158" s="58">
        <v>108.81</v>
      </c>
      <c r="V158" s="59">
        <v>126.46</v>
      </c>
      <c r="W158" s="60">
        <v>136.44</v>
      </c>
      <c r="X158" s="109">
        <v>1.8306382270545374E-3</v>
      </c>
      <c r="Y158" s="109">
        <v>4.6568288158586935E-2</v>
      </c>
      <c r="Z158" s="109">
        <v>0.11999682548080748</v>
      </c>
      <c r="AA158" s="109">
        <v>0.10456574627394466</v>
      </c>
    </row>
    <row r="159" spans="1:27" ht="15" x14ac:dyDescent="0.25">
      <c r="A159" s="4">
        <v>260129</v>
      </c>
      <c r="B159" s="19" t="s">
        <v>647</v>
      </c>
      <c r="C159" s="19" t="s">
        <v>23</v>
      </c>
      <c r="D159" s="19" t="s">
        <v>177</v>
      </c>
      <c r="E159" s="19" t="s">
        <v>25</v>
      </c>
      <c r="F159" s="47">
        <v>9.3846864077029579</v>
      </c>
      <c r="G159" s="58">
        <v>2067</v>
      </c>
      <c r="H159" s="58">
        <v>2038</v>
      </c>
      <c r="I159" s="58">
        <v>2010</v>
      </c>
      <c r="J159" s="58">
        <v>2130</v>
      </c>
      <c r="K159" s="58">
        <v>2296</v>
      </c>
      <c r="L159" s="58">
        <v>2379</v>
      </c>
      <c r="M159" s="58">
        <v>2424</v>
      </c>
      <c r="N159" s="58">
        <v>2474</v>
      </c>
      <c r="O159" s="58">
        <v>2589</v>
      </c>
      <c r="P159" s="58">
        <v>2773</v>
      </c>
      <c r="Q159" s="58">
        <v>2867</v>
      </c>
      <c r="R159" s="58">
        <v>3041</v>
      </c>
      <c r="S159" s="58">
        <v>3404</v>
      </c>
      <c r="T159" s="58">
        <v>3584</v>
      </c>
      <c r="U159" s="58">
        <v>3729</v>
      </c>
      <c r="V159" s="59">
        <v>4446</v>
      </c>
      <c r="W159" s="61">
        <v>4827</v>
      </c>
      <c r="X159" s="109">
        <v>6.7107985105502754E-2</v>
      </c>
      <c r="Y159" s="109">
        <v>6.6842431761786614E-2</v>
      </c>
      <c r="Z159" s="109">
        <v>0.10212240151184759</v>
      </c>
      <c r="AA159" s="109">
        <v>9.3846864077029579E-2</v>
      </c>
    </row>
    <row r="160" spans="1:27" ht="15" x14ac:dyDescent="0.25">
      <c r="A160" s="4">
        <v>260129</v>
      </c>
      <c r="B160" s="19" t="s">
        <v>648</v>
      </c>
      <c r="C160" s="19" t="s">
        <v>23</v>
      </c>
      <c r="D160" s="19" t="s">
        <v>649</v>
      </c>
      <c r="E160" s="19" t="s">
        <v>25</v>
      </c>
      <c r="F160" s="47">
        <v>9.0577910250041462</v>
      </c>
      <c r="G160" s="58">
        <v>1904</v>
      </c>
      <c r="H160" s="58">
        <v>2385</v>
      </c>
      <c r="I160" s="58">
        <v>1982</v>
      </c>
      <c r="J160" s="58">
        <v>1976</v>
      </c>
      <c r="K160" s="58">
        <v>1927</v>
      </c>
      <c r="L160" s="58">
        <v>2607</v>
      </c>
      <c r="M160" s="58">
        <v>2326</v>
      </c>
      <c r="N160" s="58">
        <v>2352</v>
      </c>
      <c r="O160" s="58">
        <v>2274</v>
      </c>
      <c r="P160" s="58">
        <v>3125</v>
      </c>
      <c r="Q160" s="58">
        <v>2637</v>
      </c>
      <c r="R160" s="58">
        <v>2631</v>
      </c>
      <c r="S160" s="58">
        <v>2534</v>
      </c>
      <c r="T160" s="58">
        <v>3441</v>
      </c>
      <c r="U160" s="58">
        <v>2945</v>
      </c>
      <c r="V160" s="58">
        <v>3158</v>
      </c>
      <c r="W160" s="61">
        <v>3628</v>
      </c>
      <c r="X160" s="109">
        <v>2.8919190994783461E-2</v>
      </c>
      <c r="Y160" s="109">
        <v>2.7394823445699545E-2</v>
      </c>
      <c r="Z160" s="109">
        <v>4.5623755519002662E-2</v>
      </c>
      <c r="AA160" s="109">
        <v>9.0577910250041471E-2</v>
      </c>
    </row>
    <row r="161" spans="1:27" ht="15" x14ac:dyDescent="0.25">
      <c r="A161" s="4">
        <v>260129</v>
      </c>
      <c r="B161" s="19" t="s">
        <v>650</v>
      </c>
      <c r="C161" s="19" t="s">
        <v>23</v>
      </c>
      <c r="D161" s="19" t="s">
        <v>444</v>
      </c>
      <c r="E161" s="19" t="s">
        <v>25</v>
      </c>
      <c r="F161" s="47">
        <v>8.537388493085075</v>
      </c>
      <c r="G161" s="58">
        <v>5086</v>
      </c>
      <c r="H161" s="58">
        <v>5237</v>
      </c>
      <c r="I161" s="58">
        <v>5389</v>
      </c>
      <c r="J161" s="58">
        <v>5402</v>
      </c>
      <c r="K161" s="58">
        <v>5133</v>
      </c>
      <c r="L161" s="58">
        <v>5020</v>
      </c>
      <c r="M161" s="58">
        <v>4682</v>
      </c>
      <c r="N161" s="58">
        <v>4613</v>
      </c>
      <c r="O161" s="58">
        <v>4601</v>
      </c>
      <c r="P161" s="58">
        <v>4619</v>
      </c>
      <c r="Q161" s="58">
        <v>0</v>
      </c>
      <c r="R161" s="58">
        <v>3979</v>
      </c>
      <c r="S161" s="58">
        <v>4580</v>
      </c>
      <c r="T161" s="58">
        <v>5901</v>
      </c>
      <c r="U161" s="58">
        <v>0</v>
      </c>
      <c r="V161" s="59">
        <v>6222</v>
      </c>
      <c r="W161" s="61">
        <v>6006</v>
      </c>
      <c r="X161" s="109">
        <v>9.7283351039611388E-2</v>
      </c>
      <c r="Y161" s="109">
        <v>0</v>
      </c>
      <c r="Z161" s="109">
        <v>0.15511756569847845</v>
      </c>
      <c r="AA161" s="109">
        <v>8.5373884930850741E-2</v>
      </c>
    </row>
    <row r="162" spans="1:27" ht="15" x14ac:dyDescent="0.25">
      <c r="A162" s="4">
        <v>260129</v>
      </c>
      <c r="B162" s="19" t="s">
        <v>651</v>
      </c>
      <c r="C162" s="19" t="s">
        <v>23</v>
      </c>
      <c r="D162" s="19" t="s">
        <v>29</v>
      </c>
      <c r="E162" s="19" t="s">
        <v>25</v>
      </c>
      <c r="F162" s="47">
        <v>8.2156332333835902</v>
      </c>
      <c r="G162" s="58">
        <v>339.71</v>
      </c>
      <c r="H162" s="58">
        <v>350.49</v>
      </c>
      <c r="I162" s="58">
        <v>429.5</v>
      </c>
      <c r="J162" s="58">
        <v>505.06</v>
      </c>
      <c r="K162" s="59">
        <v>508.16</v>
      </c>
      <c r="L162" s="58">
        <v>468.93</v>
      </c>
      <c r="M162" s="58">
        <v>471.47</v>
      </c>
      <c r="N162" s="58">
        <v>457.77</v>
      </c>
      <c r="O162" s="58">
        <v>424.84</v>
      </c>
      <c r="P162" s="58">
        <v>404.2</v>
      </c>
      <c r="Q162" s="58">
        <v>365.04</v>
      </c>
      <c r="R162" s="58">
        <v>382.96</v>
      </c>
      <c r="S162" s="58">
        <v>365.9</v>
      </c>
      <c r="T162" s="58">
        <v>406.42</v>
      </c>
      <c r="U162" s="58">
        <v>448.08</v>
      </c>
      <c r="V162" s="58">
        <v>483.79</v>
      </c>
      <c r="W162" s="61">
        <v>505.91</v>
      </c>
      <c r="X162" s="109">
        <v>1.4623542586129634E-3</v>
      </c>
      <c r="Y162" s="109">
        <v>5.4620079983161318E-2</v>
      </c>
      <c r="Z162" s="109">
        <v>6.2886687955293841E-2</v>
      </c>
      <c r="AA162" s="109">
        <v>8.2156332333836124E-2</v>
      </c>
    </row>
    <row r="163" spans="1:27" ht="15" x14ac:dyDescent="0.25">
      <c r="A163" s="4">
        <v>260129</v>
      </c>
      <c r="B163" s="19" t="s">
        <v>652</v>
      </c>
      <c r="C163" s="19" t="s">
        <v>23</v>
      </c>
      <c r="D163" s="19" t="s">
        <v>29</v>
      </c>
      <c r="E163" s="19" t="s">
        <v>25</v>
      </c>
      <c r="F163" s="47">
        <v>8.0549815829664908</v>
      </c>
      <c r="G163" s="58">
        <v>94.94</v>
      </c>
      <c r="H163" s="58">
        <v>85.34</v>
      </c>
      <c r="I163" s="58">
        <v>97.79</v>
      </c>
      <c r="J163" s="58">
        <v>99.71</v>
      </c>
      <c r="K163" s="58">
        <v>123.23</v>
      </c>
      <c r="L163" s="58">
        <v>119.88</v>
      </c>
      <c r="M163" s="59">
        <v>149.30000000000001</v>
      </c>
      <c r="N163" s="58">
        <v>134.41</v>
      </c>
      <c r="O163" s="58">
        <v>124.17</v>
      </c>
      <c r="P163" s="58">
        <v>124.21</v>
      </c>
      <c r="Q163" s="58">
        <v>121.69</v>
      </c>
      <c r="R163" s="58">
        <v>124.07</v>
      </c>
      <c r="S163" s="58">
        <v>129.16999999999999</v>
      </c>
      <c r="T163" s="58">
        <v>134.44999999999999</v>
      </c>
      <c r="U163" s="58">
        <v>144.01</v>
      </c>
      <c r="V163" s="58">
        <v>148.91999999999999</v>
      </c>
      <c r="W163" s="61">
        <v>174</v>
      </c>
      <c r="X163" s="109">
        <v>2.0515286292422941E-2</v>
      </c>
      <c r="Y163" s="109">
        <v>4.3817974792885517E-2</v>
      </c>
      <c r="Z163" s="109">
        <v>4.6736881700206956E-2</v>
      </c>
      <c r="AA163" s="109">
        <v>8.0549815829664917E-2</v>
      </c>
    </row>
    <row r="164" spans="1:27" ht="15" x14ac:dyDescent="0.25">
      <c r="A164" s="4">
        <v>260129</v>
      </c>
      <c r="B164" s="19" t="s">
        <v>653</v>
      </c>
      <c r="C164" s="19" t="s">
        <v>23</v>
      </c>
      <c r="D164" s="19" t="s">
        <v>29</v>
      </c>
      <c r="E164" s="19" t="s">
        <v>25</v>
      </c>
      <c r="F164" s="47">
        <v>6.7978196854833639</v>
      </c>
      <c r="G164" s="58">
        <v>71.91</v>
      </c>
      <c r="H164" s="58">
        <v>90.71</v>
      </c>
      <c r="I164" s="58">
        <v>95.03</v>
      </c>
      <c r="J164" s="58">
        <v>99.88</v>
      </c>
      <c r="K164" s="58">
        <v>80.77</v>
      </c>
      <c r="L164" s="58">
        <v>70.040000000000006</v>
      </c>
      <c r="M164" s="58">
        <v>60.18</v>
      </c>
      <c r="N164" s="58">
        <v>65.790000000000006</v>
      </c>
      <c r="O164" s="58">
        <v>56.14</v>
      </c>
      <c r="P164" s="58">
        <v>50.49</v>
      </c>
      <c r="Q164" s="58">
        <v>58.29</v>
      </c>
      <c r="R164" s="58">
        <v>-56.74</v>
      </c>
      <c r="S164" s="58">
        <v>44.03</v>
      </c>
      <c r="T164" s="59">
        <v>67.98</v>
      </c>
      <c r="U164" s="58">
        <v>49.05</v>
      </c>
      <c r="V164" s="59">
        <v>-1.45</v>
      </c>
      <c r="W164" s="61">
        <v>54.88</v>
      </c>
      <c r="X164" s="109">
        <v>0.18205475174352048</v>
      </c>
      <c r="Y164" s="109">
        <v>-8.1366678407890136E-2</v>
      </c>
      <c r="Z164" s="109">
        <v>0.53000383435582843</v>
      </c>
      <c r="AA164" s="109">
        <v>6.7978196854833639E-2</v>
      </c>
    </row>
    <row r="165" spans="1:27" ht="15" x14ac:dyDescent="0.25">
      <c r="A165" s="4">
        <v>260129</v>
      </c>
      <c r="B165" s="19" t="s">
        <v>654</v>
      </c>
      <c r="C165" s="19" t="s">
        <v>23</v>
      </c>
      <c r="D165" s="19" t="s">
        <v>446</v>
      </c>
      <c r="E165" s="19" t="s">
        <v>800</v>
      </c>
      <c r="F165" s="47">
        <v>6.5120054795215543</v>
      </c>
      <c r="G165" s="58">
        <v>186.63</v>
      </c>
      <c r="H165" s="58">
        <v>200.29</v>
      </c>
      <c r="I165" s="58">
        <v>217.75</v>
      </c>
      <c r="J165" s="58">
        <v>237.67</v>
      </c>
      <c r="K165" s="58">
        <v>248.79</v>
      </c>
      <c r="L165" s="58">
        <v>269.45</v>
      </c>
      <c r="M165" s="58">
        <v>278.29000000000002</v>
      </c>
      <c r="N165" s="58">
        <v>275.51</v>
      </c>
      <c r="O165" s="58">
        <v>254.98</v>
      </c>
      <c r="P165" s="58">
        <v>240.58</v>
      </c>
      <c r="Q165" s="58">
        <v>166.92</v>
      </c>
      <c r="R165" s="58">
        <v>187.39</v>
      </c>
      <c r="S165" s="58">
        <v>177.87</v>
      </c>
      <c r="T165" s="58">
        <v>192.82</v>
      </c>
      <c r="U165" s="58">
        <v>203.41</v>
      </c>
      <c r="V165" s="58">
        <v>214.29</v>
      </c>
      <c r="W165" s="61">
        <v>229.21</v>
      </c>
      <c r="X165" s="109">
        <v>-6.1804441223665796E-2</v>
      </c>
      <c r="Y165" s="109">
        <v>5.0331034482758552E-2</v>
      </c>
      <c r="Z165" s="109">
        <v>3.5325480308342927E-2</v>
      </c>
      <c r="AA165" s="109">
        <v>6.5120054795215543E-2</v>
      </c>
    </row>
    <row r="166" spans="1:27" ht="15" x14ac:dyDescent="0.25">
      <c r="A166" s="4">
        <v>260129</v>
      </c>
      <c r="B166" s="19" t="s">
        <v>655</v>
      </c>
      <c r="C166" s="19" t="s">
        <v>23</v>
      </c>
      <c r="D166" s="19" t="s">
        <v>52</v>
      </c>
      <c r="E166" s="19" t="s">
        <v>170</v>
      </c>
      <c r="F166" s="47">
        <v>6.1710339836565042</v>
      </c>
      <c r="G166" s="58">
        <v>1021</v>
      </c>
      <c r="H166" s="58">
        <v>541.15</v>
      </c>
      <c r="I166" s="58">
        <v>224.05</v>
      </c>
      <c r="J166" s="58">
        <v>294.06</v>
      </c>
      <c r="K166" s="58">
        <v>232.68</v>
      </c>
      <c r="L166" s="58">
        <v>268.99</v>
      </c>
      <c r="M166" s="58">
        <v>275.44</v>
      </c>
      <c r="N166" s="59">
        <v>411.93</v>
      </c>
      <c r="O166" s="59">
        <v>373.51</v>
      </c>
      <c r="P166" s="59">
        <v>429.56</v>
      </c>
      <c r="Q166" s="58">
        <v>414.19</v>
      </c>
      <c r="R166" s="59">
        <v>619.36</v>
      </c>
      <c r="S166" s="59">
        <v>606.45000000000005</v>
      </c>
      <c r="T166" s="58">
        <v>610.24</v>
      </c>
      <c r="U166" s="58">
        <v>575</v>
      </c>
      <c r="V166" s="59">
        <v>861.35</v>
      </c>
      <c r="W166" s="61">
        <v>770.17</v>
      </c>
      <c r="X166" s="109">
        <v>8.7303581437599975E-2</v>
      </c>
      <c r="Y166" s="109">
        <v>7.1463488339021719E-2</v>
      </c>
      <c r="Z166" s="109">
        <v>0.10036705999460804</v>
      </c>
      <c r="AA166" s="109">
        <v>6.1710339836565042E-2</v>
      </c>
    </row>
    <row r="167" spans="1:27" ht="15" x14ac:dyDescent="0.25">
      <c r="A167" s="4">
        <v>260129</v>
      </c>
      <c r="B167" s="19" t="s">
        <v>656</v>
      </c>
      <c r="C167" s="19" t="s">
        <v>23</v>
      </c>
      <c r="D167" s="19" t="s">
        <v>29</v>
      </c>
      <c r="E167" s="19" t="s">
        <v>25</v>
      </c>
      <c r="F167" s="47">
        <v>5.3584792695704264</v>
      </c>
      <c r="G167" s="58">
        <v>172.36</v>
      </c>
      <c r="H167" s="58">
        <v>173.81</v>
      </c>
      <c r="I167" s="58">
        <v>186.51</v>
      </c>
      <c r="J167" s="58">
        <v>198.93</v>
      </c>
      <c r="K167" s="58">
        <v>225.24</v>
      </c>
      <c r="L167" s="58">
        <v>225.73</v>
      </c>
      <c r="M167" s="58">
        <v>229.46</v>
      </c>
      <c r="N167" s="58">
        <v>238.66</v>
      </c>
      <c r="O167" s="58">
        <v>246.84</v>
      </c>
      <c r="P167" s="58">
        <v>288.77</v>
      </c>
      <c r="Q167" s="58">
        <v>284.92</v>
      </c>
      <c r="R167" s="58">
        <v>306.66000000000003</v>
      </c>
      <c r="S167" s="58">
        <v>295.64999999999998</v>
      </c>
      <c r="T167" s="58">
        <v>294.33999999999997</v>
      </c>
      <c r="U167" s="58">
        <v>306.45</v>
      </c>
      <c r="V167" s="58">
        <v>306.14</v>
      </c>
      <c r="W167" s="61">
        <v>360.09</v>
      </c>
      <c r="X167" s="109">
        <v>4.7363945578231537E-3</v>
      </c>
      <c r="Y167" s="109">
        <v>1.822151882664591E-2</v>
      </c>
      <c r="Z167" s="109">
        <v>-4.3221677333549202E-4</v>
      </c>
      <c r="AA167" s="109">
        <v>5.3584792695704264E-2</v>
      </c>
    </row>
    <row r="168" spans="1:27" ht="15" x14ac:dyDescent="0.25">
      <c r="A168" s="4">
        <v>260129</v>
      </c>
      <c r="B168" s="19" t="s">
        <v>657</v>
      </c>
      <c r="C168" s="19" t="s">
        <v>23</v>
      </c>
      <c r="D168" s="19" t="s">
        <v>115</v>
      </c>
      <c r="E168" s="19" t="s">
        <v>25</v>
      </c>
      <c r="F168" s="47">
        <v>4.9134383034128204</v>
      </c>
      <c r="G168" s="58">
        <v>95.6</v>
      </c>
      <c r="H168" s="58">
        <v>105.3</v>
      </c>
      <c r="I168" s="58">
        <v>117.45</v>
      </c>
      <c r="J168" s="58">
        <v>125.08</v>
      </c>
      <c r="K168" s="58">
        <v>124.06</v>
      </c>
      <c r="L168" s="58">
        <v>136.1</v>
      </c>
      <c r="M168" s="58">
        <v>147.08000000000001</v>
      </c>
      <c r="N168" s="58">
        <v>165.44</v>
      </c>
      <c r="O168" s="58">
        <v>171.83</v>
      </c>
      <c r="P168" s="58">
        <v>187.43</v>
      </c>
      <c r="Q168" s="58">
        <v>197.38</v>
      </c>
      <c r="R168" s="58">
        <v>205.73</v>
      </c>
      <c r="S168" s="58">
        <v>203.66</v>
      </c>
      <c r="T168" s="58">
        <v>217.7</v>
      </c>
      <c r="U168" s="58">
        <v>235.58</v>
      </c>
      <c r="V168" s="58">
        <v>249.35</v>
      </c>
      <c r="W168" s="61">
        <v>248.19</v>
      </c>
      <c r="X168" s="109">
        <v>3.8113825232938936E-2</v>
      </c>
      <c r="Y168" s="109">
        <v>4.6332795614151934E-2</v>
      </c>
      <c r="Z168" s="109">
        <v>5.0563946816279737E-2</v>
      </c>
      <c r="AA168" s="109">
        <v>4.9134383034127982E-2</v>
      </c>
    </row>
    <row r="169" spans="1:27" ht="15" x14ac:dyDescent="0.25">
      <c r="A169" s="4">
        <v>260129</v>
      </c>
      <c r="B169" s="19" t="s">
        <v>658</v>
      </c>
      <c r="C169" s="19" t="s">
        <v>23</v>
      </c>
      <c r="D169" s="19" t="s">
        <v>659</v>
      </c>
      <c r="E169" s="19" t="s">
        <v>59</v>
      </c>
      <c r="F169" s="47">
        <v>4.6751137180081734</v>
      </c>
      <c r="G169" s="58">
        <v>123945</v>
      </c>
      <c r="H169" s="58">
        <v>97278</v>
      </c>
      <c r="I169" s="58">
        <v>82959</v>
      </c>
      <c r="J169" s="58">
        <v>90146</v>
      </c>
      <c r="K169" s="58">
        <v>117154</v>
      </c>
      <c r="L169" s="58">
        <v>94836</v>
      </c>
      <c r="M169" s="58">
        <v>81797</v>
      </c>
      <c r="N169" s="58">
        <v>89498</v>
      </c>
      <c r="O169" s="58">
        <v>119575</v>
      </c>
      <c r="P169" s="58">
        <v>90753</v>
      </c>
      <c r="Q169" s="58">
        <v>85777</v>
      </c>
      <c r="R169" s="58">
        <v>94930</v>
      </c>
      <c r="S169" s="58">
        <v>124300</v>
      </c>
      <c r="T169" s="58">
        <v>95359</v>
      </c>
      <c r="U169" s="58">
        <v>94036</v>
      </c>
      <c r="V169" s="58">
        <v>102466</v>
      </c>
      <c r="W169" s="61">
        <v>143756</v>
      </c>
      <c r="X169" s="109">
        <v>1.1638366686880897E-2</v>
      </c>
      <c r="Y169" s="109">
        <v>2.06286248083003E-2</v>
      </c>
      <c r="Z169" s="109">
        <v>1.8442337106148621E-2</v>
      </c>
      <c r="AA169" s="109">
        <v>4.6751137180081725E-2</v>
      </c>
    </row>
    <row r="170" spans="1:27" ht="15" x14ac:dyDescent="0.25">
      <c r="A170" s="4">
        <v>260129</v>
      </c>
      <c r="B170" s="19" t="s">
        <v>660</v>
      </c>
      <c r="C170" s="19" t="s">
        <v>23</v>
      </c>
      <c r="D170" s="19" t="s">
        <v>177</v>
      </c>
      <c r="E170" s="19" t="s">
        <v>25</v>
      </c>
      <c r="F170" s="47">
        <v>4.5555101889313656</v>
      </c>
      <c r="G170" s="58">
        <v>618.89</v>
      </c>
      <c r="H170" s="58">
        <v>609.80999999999995</v>
      </c>
      <c r="I170" s="58">
        <v>529.5</v>
      </c>
      <c r="J170" s="58">
        <v>472.57</v>
      </c>
      <c r="K170" s="58">
        <v>395.94</v>
      </c>
      <c r="L170" s="58">
        <v>496.02</v>
      </c>
      <c r="M170" s="58">
        <v>365.64</v>
      </c>
      <c r="N170" s="58">
        <v>469.41</v>
      </c>
      <c r="O170" s="58">
        <v>352.44</v>
      </c>
      <c r="P170" s="58">
        <v>490.19</v>
      </c>
      <c r="Q170" s="58">
        <v>520.17999999999995</v>
      </c>
      <c r="R170" s="58">
        <v>547.11</v>
      </c>
      <c r="S170" s="59">
        <v>660.31</v>
      </c>
      <c r="T170" s="58">
        <v>675.97</v>
      </c>
      <c r="U170" s="58">
        <v>734.14</v>
      </c>
      <c r="V170" s="58">
        <v>623.67999999999995</v>
      </c>
      <c r="W170" s="61">
        <v>783.04</v>
      </c>
      <c r="X170" s="109">
        <v>8.3768075426437827E-2</v>
      </c>
      <c r="Y170" s="109">
        <v>8.9017586340319088E-2</v>
      </c>
      <c r="Z170" s="109">
        <v>2.9252768831684817E-2</v>
      </c>
      <c r="AA170" s="109">
        <v>4.5555101889313665E-2</v>
      </c>
    </row>
    <row r="171" spans="1:27" ht="15" x14ac:dyDescent="0.25">
      <c r="A171" s="4">
        <v>260129</v>
      </c>
      <c r="B171" s="19" t="s">
        <v>661</v>
      </c>
      <c r="C171" s="19" t="s">
        <v>23</v>
      </c>
      <c r="D171" s="19" t="s">
        <v>475</v>
      </c>
      <c r="E171" s="19" t="s">
        <v>25</v>
      </c>
      <c r="F171" s="47">
        <v>4.5120687788962499</v>
      </c>
      <c r="G171" s="58">
        <v>13798</v>
      </c>
      <c r="H171" s="58">
        <v>13589</v>
      </c>
      <c r="I171" s="58">
        <v>14247</v>
      </c>
      <c r="J171" s="58">
        <v>14994</v>
      </c>
      <c r="K171" s="58">
        <v>16597</v>
      </c>
      <c r="L171" s="58">
        <v>15862</v>
      </c>
      <c r="M171" s="58">
        <v>17318</v>
      </c>
      <c r="N171" s="58">
        <v>16810</v>
      </c>
      <c r="O171" s="58">
        <v>17070</v>
      </c>
      <c r="P171" s="58">
        <v>15799</v>
      </c>
      <c r="Q171" s="58">
        <v>16689</v>
      </c>
      <c r="R171" s="58">
        <v>16106</v>
      </c>
      <c r="S171" s="58">
        <v>16215</v>
      </c>
      <c r="T171" s="58">
        <v>14249</v>
      </c>
      <c r="U171" s="58">
        <v>16569</v>
      </c>
      <c r="V171" s="58">
        <v>17638</v>
      </c>
      <c r="W171" s="61">
        <v>19133</v>
      </c>
      <c r="X171" s="109">
        <v>-2.3916431359842005E-2</v>
      </c>
      <c r="Y171" s="109">
        <v>-1.8969632779525236E-3</v>
      </c>
      <c r="Z171" s="109">
        <v>2.4263925624415927E-2</v>
      </c>
      <c r="AA171" s="109">
        <v>4.5120687788962499E-2</v>
      </c>
    </row>
    <row r="172" spans="1:27" ht="15" x14ac:dyDescent="0.25">
      <c r="A172" s="4">
        <v>260129</v>
      </c>
      <c r="B172" s="19" t="s">
        <v>662</v>
      </c>
      <c r="C172" s="19" t="s">
        <v>23</v>
      </c>
      <c r="D172" s="19" t="s">
        <v>99</v>
      </c>
      <c r="E172" s="19" t="s">
        <v>25</v>
      </c>
      <c r="F172" s="47">
        <v>4.1844061765266671</v>
      </c>
      <c r="G172" s="58">
        <v>5216</v>
      </c>
      <c r="H172" s="58">
        <v>5167</v>
      </c>
      <c r="I172" s="58">
        <v>5497</v>
      </c>
      <c r="J172" s="58">
        <v>5756</v>
      </c>
      <c r="K172" s="58">
        <v>5817</v>
      </c>
      <c r="L172" s="58">
        <v>5748</v>
      </c>
      <c r="M172" s="58">
        <v>6269</v>
      </c>
      <c r="N172" s="58">
        <v>6533</v>
      </c>
      <c r="O172" s="58">
        <v>6548</v>
      </c>
      <c r="P172" s="58">
        <v>6348</v>
      </c>
      <c r="Q172" s="58">
        <v>6961</v>
      </c>
      <c r="R172" s="58">
        <v>7369</v>
      </c>
      <c r="S172" s="58">
        <v>7489</v>
      </c>
      <c r="T172" s="58">
        <v>7250</v>
      </c>
      <c r="U172" s="58">
        <v>8133</v>
      </c>
      <c r="V172" s="58">
        <v>8602</v>
      </c>
      <c r="W172" s="61">
        <v>8806</v>
      </c>
      <c r="X172" s="109">
        <v>3.2023289665211063E-2</v>
      </c>
      <c r="Y172" s="109">
        <v>4.0317864391619995E-2</v>
      </c>
      <c r="Z172" s="109">
        <v>4.0772461228133938E-2</v>
      </c>
      <c r="AA172" s="109">
        <v>4.1844061765266671E-2</v>
      </c>
    </row>
    <row r="173" spans="1:27" ht="15" x14ac:dyDescent="0.25">
      <c r="A173" s="4">
        <v>260129</v>
      </c>
      <c r="B173" s="19" t="s">
        <v>663</v>
      </c>
      <c r="C173" s="19" t="s">
        <v>23</v>
      </c>
      <c r="D173" s="19" t="s">
        <v>153</v>
      </c>
      <c r="E173" s="19" t="s">
        <v>25</v>
      </c>
      <c r="F173" s="47">
        <v>4.0775290215588678</v>
      </c>
      <c r="G173" s="58">
        <v>136.29</v>
      </c>
      <c r="H173" s="58">
        <v>173.3</v>
      </c>
      <c r="I173" s="58">
        <v>199.93</v>
      </c>
      <c r="J173" s="58">
        <v>191.19</v>
      </c>
      <c r="K173" s="58">
        <v>171.09</v>
      </c>
      <c r="L173" s="58">
        <v>195.69</v>
      </c>
      <c r="M173" s="58">
        <v>203.36</v>
      </c>
      <c r="N173" s="58">
        <v>203.65</v>
      </c>
      <c r="O173" s="58">
        <v>174.97</v>
      </c>
      <c r="P173" s="58">
        <v>210.86</v>
      </c>
      <c r="Q173" s="58">
        <v>226.18</v>
      </c>
      <c r="R173" s="58">
        <v>227.93</v>
      </c>
      <c r="S173" s="58">
        <v>193.65</v>
      </c>
      <c r="T173" s="58">
        <v>230.55</v>
      </c>
      <c r="U173" s="58">
        <v>263.64999999999998</v>
      </c>
      <c r="V173" s="58">
        <v>276.95</v>
      </c>
      <c r="W173" s="61">
        <v>232.99</v>
      </c>
      <c r="X173" s="109">
        <v>2.2932146933451358E-2</v>
      </c>
      <c r="Y173" s="109">
        <v>4.2661474877890626E-2</v>
      </c>
      <c r="Z173" s="109">
        <v>5.3528139946275255E-2</v>
      </c>
      <c r="AA173" s="109">
        <v>4.0775290215588678E-2</v>
      </c>
    </row>
    <row r="174" spans="1:27" ht="15" x14ac:dyDescent="0.25">
      <c r="A174" s="4">
        <v>260129</v>
      </c>
      <c r="B174" s="19" t="s">
        <v>664</v>
      </c>
      <c r="C174" s="19" t="s">
        <v>23</v>
      </c>
      <c r="D174" s="19" t="s">
        <v>153</v>
      </c>
      <c r="E174" s="19" t="s">
        <v>25</v>
      </c>
      <c r="F174" s="47">
        <v>3.7643207855973859</v>
      </c>
      <c r="G174" s="58">
        <v>185.71</v>
      </c>
      <c r="H174" s="58">
        <v>189.28</v>
      </c>
      <c r="I174" s="58">
        <v>184.74</v>
      </c>
      <c r="J174" s="58">
        <v>180.6</v>
      </c>
      <c r="K174" s="58">
        <v>187.79</v>
      </c>
      <c r="L174" s="58">
        <v>184.33</v>
      </c>
      <c r="M174" s="58">
        <v>188.33</v>
      </c>
      <c r="N174" s="58">
        <v>184.77</v>
      </c>
      <c r="O174" s="58">
        <v>178.4</v>
      </c>
      <c r="P174" s="58">
        <v>177.27</v>
      </c>
      <c r="Q174" s="58">
        <v>180.19</v>
      </c>
      <c r="R174" s="58">
        <v>170.46</v>
      </c>
      <c r="S174" s="58">
        <v>189.81</v>
      </c>
      <c r="T174" s="58">
        <v>207.78</v>
      </c>
      <c r="U174" s="58">
        <v>222.05</v>
      </c>
      <c r="V174" s="58">
        <v>217.43</v>
      </c>
      <c r="W174" s="61">
        <v>221.32</v>
      </c>
      <c r="X174" s="109">
        <v>4.250902149833502E-2</v>
      </c>
      <c r="Y174" s="109">
        <v>5.5944616700523753E-2</v>
      </c>
      <c r="Z174" s="109">
        <v>5.9448171117580273E-2</v>
      </c>
      <c r="AA174" s="109">
        <v>3.7643207855973415E-2</v>
      </c>
    </row>
    <row r="175" spans="1:27" ht="15" x14ac:dyDescent="0.25">
      <c r="A175" s="4">
        <v>260129</v>
      </c>
      <c r="B175" s="19" t="s">
        <v>665</v>
      </c>
      <c r="C175" s="19" t="s">
        <v>23</v>
      </c>
      <c r="D175" s="19" t="s">
        <v>99</v>
      </c>
      <c r="E175" s="19" t="s">
        <v>25</v>
      </c>
      <c r="F175" s="47">
        <v>3.7465125548027172</v>
      </c>
      <c r="G175" s="58">
        <v>0</v>
      </c>
      <c r="H175" s="58">
        <v>728</v>
      </c>
      <c r="I175" s="58">
        <v>489</v>
      </c>
      <c r="J175" s="58">
        <v>675</v>
      </c>
      <c r="K175" s="59">
        <v>341</v>
      </c>
      <c r="L175" s="59">
        <v>1182</v>
      </c>
      <c r="M175" s="58">
        <v>616</v>
      </c>
      <c r="N175" s="58">
        <v>727</v>
      </c>
      <c r="O175" s="58">
        <v>534</v>
      </c>
      <c r="P175" s="58">
        <v>670</v>
      </c>
      <c r="Q175" s="58">
        <v>649</v>
      </c>
      <c r="R175" s="58">
        <v>614</v>
      </c>
      <c r="S175" s="58">
        <v>508</v>
      </c>
      <c r="T175" s="58">
        <v>674</v>
      </c>
      <c r="U175" s="58">
        <v>655</v>
      </c>
      <c r="V175" s="58">
        <v>672</v>
      </c>
      <c r="W175" s="61">
        <v>602</v>
      </c>
      <c r="X175" s="109">
        <v>1.6386726751331793E-3</v>
      </c>
      <c r="Y175" s="109">
        <v>2.4539877300613355E-3</v>
      </c>
      <c r="Z175" s="109">
        <v>2.3663810689514397E-2</v>
      </c>
      <c r="AA175" s="109">
        <v>3.7465125548027167E-2</v>
      </c>
    </row>
    <row r="176" spans="1:27" ht="15" x14ac:dyDescent="0.25">
      <c r="A176" s="4">
        <v>260129</v>
      </c>
      <c r="B176" s="19" t="s">
        <v>555</v>
      </c>
      <c r="C176" s="19" t="s">
        <v>23</v>
      </c>
      <c r="D176" s="19" t="s">
        <v>29</v>
      </c>
      <c r="E176" s="19" t="s">
        <v>25</v>
      </c>
      <c r="F176" s="47">
        <v>3.6874753840094638</v>
      </c>
      <c r="G176" s="58">
        <v>85.01</v>
      </c>
      <c r="H176" s="58">
        <v>80.53</v>
      </c>
      <c r="I176" s="58">
        <v>83.79</v>
      </c>
      <c r="J176" s="58">
        <v>87.77</v>
      </c>
      <c r="K176" s="58">
        <v>89.39</v>
      </c>
      <c r="L176" s="58">
        <v>89.84</v>
      </c>
      <c r="M176" s="58">
        <v>91.24</v>
      </c>
      <c r="N176" s="58">
        <v>92.83</v>
      </c>
      <c r="O176" s="58">
        <v>89.5</v>
      </c>
      <c r="P176" s="58">
        <v>86.59</v>
      </c>
      <c r="Q176" s="58">
        <v>97.59</v>
      </c>
      <c r="R176" s="58">
        <v>96.21</v>
      </c>
      <c r="S176" s="58">
        <v>95.14</v>
      </c>
      <c r="T176" s="58">
        <v>100.78</v>
      </c>
      <c r="U176" s="58">
        <v>100.56</v>
      </c>
      <c r="V176" s="58">
        <v>109.76</v>
      </c>
      <c r="W176" s="61">
        <v>110.12</v>
      </c>
      <c r="X176" s="109">
        <v>3.7786594945810048E-2</v>
      </c>
      <c r="Y176" s="109">
        <v>7.6208559991788327E-3</v>
      </c>
      <c r="Z176" s="109">
        <v>3.4505589650869695E-2</v>
      </c>
      <c r="AA176" s="109">
        <v>3.6874753840094643E-2</v>
      </c>
    </row>
    <row r="177" spans="1:27" ht="15" x14ac:dyDescent="0.25">
      <c r="A177" s="4">
        <v>260129</v>
      </c>
      <c r="B177" s="19" t="s">
        <v>666</v>
      </c>
      <c r="C177" s="19" t="s">
        <v>23</v>
      </c>
      <c r="D177" s="19" t="s">
        <v>667</v>
      </c>
      <c r="E177" s="19" t="s">
        <v>25</v>
      </c>
      <c r="F177" s="47">
        <v>3.6695427948031378</v>
      </c>
      <c r="G177" s="58">
        <v>5086</v>
      </c>
      <c r="H177" s="58">
        <v>4819</v>
      </c>
      <c r="I177" s="58">
        <v>5374</v>
      </c>
      <c r="J177" s="58">
        <v>5412</v>
      </c>
      <c r="K177" s="58">
        <v>5083</v>
      </c>
      <c r="L177" s="58">
        <v>4763</v>
      </c>
      <c r="M177" s="58">
        <v>5438</v>
      </c>
      <c r="N177" s="58">
        <v>5277</v>
      </c>
      <c r="O177" s="58">
        <v>5024</v>
      </c>
      <c r="P177" s="58">
        <v>4717</v>
      </c>
      <c r="Q177" s="58">
        <v>5277</v>
      </c>
      <c r="R177" s="58">
        <v>5344</v>
      </c>
      <c r="S177" s="58">
        <v>5106</v>
      </c>
      <c r="T177" s="58">
        <v>4519</v>
      </c>
      <c r="U177" s="58">
        <v>5290</v>
      </c>
      <c r="V177" s="58">
        <v>5251</v>
      </c>
      <c r="W177" s="61">
        <v>5846</v>
      </c>
      <c r="X177" s="109">
        <v>-9.6849931520250898E-3</v>
      </c>
      <c r="Y177" s="109">
        <v>6.4210214363336071E-4</v>
      </c>
      <c r="Z177" s="109">
        <v>-4.5905523471050369E-3</v>
      </c>
      <c r="AA177" s="109">
        <v>3.6695427948031378E-2</v>
      </c>
    </row>
    <row r="178" spans="1:27" ht="15" x14ac:dyDescent="0.25">
      <c r="A178" s="4">
        <v>260129</v>
      </c>
      <c r="B178" s="19" t="s">
        <v>668</v>
      </c>
      <c r="C178" s="19" t="s">
        <v>23</v>
      </c>
      <c r="D178" s="19" t="s">
        <v>99</v>
      </c>
      <c r="E178" s="19" t="s">
        <v>25</v>
      </c>
      <c r="F178" s="47">
        <v>3.4775</v>
      </c>
      <c r="G178" s="58">
        <v>7059</v>
      </c>
      <c r="H178" s="58">
        <v>7189</v>
      </c>
      <c r="I178" s="58">
        <v>7275</v>
      </c>
      <c r="J178" s="58">
        <v>7787</v>
      </c>
      <c r="K178" s="58">
        <v>7936</v>
      </c>
      <c r="L178" s="58">
        <v>7985</v>
      </c>
      <c r="M178" s="58">
        <v>8123</v>
      </c>
      <c r="N178" s="58">
        <v>8609</v>
      </c>
      <c r="O178" s="58">
        <v>8634</v>
      </c>
      <c r="P178" s="58">
        <v>8775</v>
      </c>
      <c r="Q178" s="58">
        <v>8900</v>
      </c>
      <c r="R178" s="58">
        <v>9617</v>
      </c>
      <c r="S178" s="58">
        <v>9510</v>
      </c>
      <c r="T178" s="58">
        <v>9594</v>
      </c>
      <c r="U178" s="58">
        <v>10172</v>
      </c>
      <c r="V178" s="58">
        <v>10724</v>
      </c>
      <c r="W178" s="61">
        <v>10901</v>
      </c>
      <c r="X178" s="109">
        <v>2.225422531384158E-2</v>
      </c>
      <c r="Y178" s="109">
        <v>3.3810903484755794E-2</v>
      </c>
      <c r="Z178" s="109">
        <v>2.8462705371146368E-2</v>
      </c>
      <c r="AA178" s="109">
        <v>3.4775E-2</v>
      </c>
    </row>
    <row r="179" spans="1:27" ht="15" x14ac:dyDescent="0.25">
      <c r="A179" s="4">
        <v>260129</v>
      </c>
      <c r="B179" s="19" t="s">
        <v>669</v>
      </c>
      <c r="C179" s="19" t="s">
        <v>23</v>
      </c>
      <c r="D179" s="19" t="s">
        <v>449</v>
      </c>
      <c r="E179" s="19" t="s">
        <v>25</v>
      </c>
      <c r="F179" s="47">
        <v>3.4529320987654271</v>
      </c>
      <c r="G179" s="58">
        <v>1431</v>
      </c>
      <c r="H179" s="58">
        <v>1696</v>
      </c>
      <c r="I179" s="58">
        <v>1836</v>
      </c>
      <c r="J179" s="58">
        <v>1698</v>
      </c>
      <c r="K179" s="58">
        <v>1583</v>
      </c>
      <c r="L179" s="58">
        <v>1744</v>
      </c>
      <c r="M179" s="58">
        <v>1702</v>
      </c>
      <c r="N179" s="58">
        <v>1594</v>
      </c>
      <c r="O179" s="58">
        <v>1362</v>
      </c>
      <c r="P179" s="58">
        <v>1365</v>
      </c>
      <c r="Q179" s="58">
        <v>1444</v>
      </c>
      <c r="R179" s="58">
        <v>1273</v>
      </c>
      <c r="S179" s="58">
        <v>1155</v>
      </c>
      <c r="T179" s="58">
        <v>1222</v>
      </c>
      <c r="U179" s="58">
        <v>1447</v>
      </c>
      <c r="V179" s="58">
        <v>1360</v>
      </c>
      <c r="W179" s="61">
        <v>1334</v>
      </c>
      <c r="X179" s="109">
        <v>-2.7305709375596732E-2</v>
      </c>
      <c r="Y179" s="109">
        <v>5.8892815076561078E-4</v>
      </c>
      <c r="Z179" s="109">
        <v>1.7068864037669274E-2</v>
      </c>
      <c r="AA179" s="109">
        <v>3.4529320987654266E-2</v>
      </c>
    </row>
    <row r="180" spans="1:27" ht="15" x14ac:dyDescent="0.25">
      <c r="A180" s="4">
        <v>260129</v>
      </c>
      <c r="B180" s="19" t="s">
        <v>670</v>
      </c>
      <c r="C180" s="19" t="s">
        <v>23</v>
      </c>
      <c r="D180" s="19" t="s">
        <v>95</v>
      </c>
      <c r="E180" s="19" t="s">
        <v>25</v>
      </c>
      <c r="F180" s="47">
        <v>3.3371401024958169</v>
      </c>
      <c r="G180" s="58">
        <v>321.64999999999998</v>
      </c>
      <c r="H180" s="58">
        <v>324.76</v>
      </c>
      <c r="I180" s="58">
        <v>366.01</v>
      </c>
      <c r="J180" s="58">
        <v>381.14</v>
      </c>
      <c r="K180" s="58">
        <v>373.9</v>
      </c>
      <c r="L180" s="58">
        <v>382.19</v>
      </c>
      <c r="M180" s="58">
        <v>433.23</v>
      </c>
      <c r="N180" s="58">
        <v>402.66</v>
      </c>
      <c r="O180" s="58">
        <v>391.5</v>
      </c>
      <c r="P180" s="58">
        <v>396.37</v>
      </c>
      <c r="Q180" s="58">
        <v>402.58</v>
      </c>
      <c r="R180" s="58">
        <v>408.46</v>
      </c>
      <c r="S180" s="58">
        <v>424.68</v>
      </c>
      <c r="T180" s="58">
        <v>423.54</v>
      </c>
      <c r="U180" s="58">
        <v>424.84</v>
      </c>
      <c r="V180" s="58">
        <v>469.45</v>
      </c>
      <c r="W180" s="61">
        <v>482.83</v>
      </c>
      <c r="X180" s="109">
        <v>1.6647366260438945E-2</v>
      </c>
      <c r="Y180" s="109">
        <v>1.3415619010884283E-2</v>
      </c>
      <c r="Z180" s="109">
        <v>3.6270755031162283E-2</v>
      </c>
      <c r="AA180" s="109">
        <v>3.3371401024958169E-2</v>
      </c>
    </row>
    <row r="181" spans="1:27" ht="15" x14ac:dyDescent="0.25">
      <c r="A181" s="4">
        <v>260129</v>
      </c>
      <c r="B181" s="19" t="s">
        <v>671</v>
      </c>
      <c r="C181" s="19" t="s">
        <v>23</v>
      </c>
      <c r="D181" s="19" t="s">
        <v>177</v>
      </c>
      <c r="E181" s="19" t="s">
        <v>25</v>
      </c>
      <c r="F181" s="47">
        <v>3.1599079837977269</v>
      </c>
      <c r="G181" s="58">
        <v>1001</v>
      </c>
      <c r="H181" s="58">
        <v>692.99</v>
      </c>
      <c r="I181" s="58">
        <v>635.84</v>
      </c>
      <c r="J181" s="58">
        <v>724.09</v>
      </c>
      <c r="K181" s="58">
        <v>720.25</v>
      </c>
      <c r="L181" s="58">
        <v>542.34</v>
      </c>
      <c r="M181" s="58">
        <v>643.91</v>
      </c>
      <c r="N181" s="58">
        <v>524.9</v>
      </c>
      <c r="O181" s="58">
        <v>809.91</v>
      </c>
      <c r="P181" s="58">
        <v>763.42</v>
      </c>
      <c r="Q181" s="58">
        <v>683.46</v>
      </c>
      <c r="R181" s="58">
        <v>790.73</v>
      </c>
      <c r="S181" s="58">
        <v>811.39</v>
      </c>
      <c r="T181" s="58">
        <v>653.45000000000005</v>
      </c>
      <c r="U181" s="58">
        <v>805.61</v>
      </c>
      <c r="V181" s="58">
        <v>746.41</v>
      </c>
      <c r="W181" s="61">
        <v>906.72</v>
      </c>
      <c r="X181" s="109">
        <v>-3.6067563135454339E-2</v>
      </c>
      <c r="Y181" s="109">
        <v>4.1561331459699424E-2</v>
      </c>
      <c r="Z181" s="109">
        <v>-1.447807708138682E-2</v>
      </c>
      <c r="AA181" s="109">
        <v>3.1599079837977051E-2</v>
      </c>
    </row>
    <row r="182" spans="1:27" ht="15" x14ac:dyDescent="0.25">
      <c r="A182" s="4">
        <v>260129</v>
      </c>
      <c r="B182" s="19" t="s">
        <v>672</v>
      </c>
      <c r="C182" s="19" t="s">
        <v>23</v>
      </c>
      <c r="D182" s="19" t="s">
        <v>101</v>
      </c>
      <c r="E182" s="19" t="s">
        <v>25</v>
      </c>
      <c r="F182" s="47">
        <v>3.0146425495262812</v>
      </c>
      <c r="G182" s="58">
        <v>4701</v>
      </c>
      <c r="H182" s="58">
        <v>4275</v>
      </c>
      <c r="I182" s="58">
        <v>4493</v>
      </c>
      <c r="J182" s="58">
        <v>4479</v>
      </c>
      <c r="K182" s="58">
        <v>5202</v>
      </c>
      <c r="L182" s="58">
        <v>4778</v>
      </c>
      <c r="M182" s="58">
        <v>4996</v>
      </c>
      <c r="N182" s="58">
        <v>4909</v>
      </c>
      <c r="O182" s="58">
        <v>5815</v>
      </c>
      <c r="P182" s="58">
        <v>5243</v>
      </c>
      <c r="Q182" s="58">
        <v>5422</v>
      </c>
      <c r="R182" s="58">
        <v>5494</v>
      </c>
      <c r="S182" s="58">
        <v>6436</v>
      </c>
      <c r="T182" s="58">
        <v>5866</v>
      </c>
      <c r="U182" s="58">
        <v>6022</v>
      </c>
      <c r="V182" s="58">
        <v>6057</v>
      </c>
      <c r="W182" s="61">
        <v>7171</v>
      </c>
      <c r="X182" s="109">
        <v>2.7572471785793251E-2</v>
      </c>
      <c r="Y182" s="109">
        <v>2.584201912309414E-2</v>
      </c>
      <c r="Z182" s="109">
        <v>2.363758501973301E-2</v>
      </c>
      <c r="AA182" s="109">
        <v>3.0146425495262807E-2</v>
      </c>
    </row>
    <row r="183" spans="1:27" ht="15" x14ac:dyDescent="0.25">
      <c r="A183" s="4">
        <v>260129</v>
      </c>
      <c r="B183" s="19" t="s">
        <v>673</v>
      </c>
      <c r="C183" s="19" t="s">
        <v>23</v>
      </c>
      <c r="D183" s="19" t="s">
        <v>674</v>
      </c>
      <c r="E183" s="19" t="s">
        <v>25</v>
      </c>
      <c r="F183" s="47">
        <v>2.8559958708493478</v>
      </c>
      <c r="G183" s="58">
        <v>982.25</v>
      </c>
      <c r="H183" s="58">
        <v>1059</v>
      </c>
      <c r="I183" s="58">
        <v>2184</v>
      </c>
      <c r="J183" s="58">
        <v>2993</v>
      </c>
      <c r="K183" s="59">
        <v>2603</v>
      </c>
      <c r="L183" s="59">
        <v>2886</v>
      </c>
      <c r="M183" s="59">
        <v>3523</v>
      </c>
      <c r="N183" s="58">
        <v>4160</v>
      </c>
      <c r="O183" s="58">
        <v>3331</v>
      </c>
      <c r="P183" s="58">
        <v>3728</v>
      </c>
      <c r="Q183" s="58">
        <v>4110</v>
      </c>
      <c r="R183" s="58">
        <v>4886</v>
      </c>
      <c r="S183" s="58">
        <v>3761</v>
      </c>
      <c r="T183" s="58">
        <v>3999</v>
      </c>
      <c r="U183" s="58">
        <v>4538</v>
      </c>
      <c r="V183" s="58">
        <v>5139</v>
      </c>
      <c r="W183" s="61">
        <v>4259</v>
      </c>
      <c r="X183" s="109">
        <v>1.6439187139824174E-2</v>
      </c>
      <c r="Y183" s="109">
        <v>2.554308904273106E-2</v>
      </c>
      <c r="Z183" s="109">
        <v>1.4722998137802534E-2</v>
      </c>
      <c r="AA183" s="109">
        <v>2.8559958708493483E-2</v>
      </c>
    </row>
    <row r="184" spans="1:27" ht="15" x14ac:dyDescent="0.25">
      <c r="A184" s="4">
        <v>260129</v>
      </c>
      <c r="B184" s="19" t="s">
        <v>675</v>
      </c>
      <c r="C184" s="19" t="s">
        <v>23</v>
      </c>
      <c r="D184" s="19" t="s">
        <v>54</v>
      </c>
      <c r="E184" s="19" t="s">
        <v>59</v>
      </c>
      <c r="F184" s="47">
        <v>2.7498029191292068</v>
      </c>
      <c r="G184" s="58">
        <v>431.71</v>
      </c>
      <c r="H184" s="58">
        <v>505.48</v>
      </c>
      <c r="I184" s="58">
        <v>588.34</v>
      </c>
      <c r="J184" s="58">
        <v>577.39</v>
      </c>
      <c r="K184" s="58">
        <v>500.6</v>
      </c>
      <c r="L184" s="58">
        <v>476.38</v>
      </c>
      <c r="M184" s="58">
        <v>475.88</v>
      </c>
      <c r="N184" s="58">
        <v>452.03</v>
      </c>
      <c r="O184" s="58">
        <v>446.77</v>
      </c>
      <c r="P184" s="58">
        <v>420.12</v>
      </c>
      <c r="Q184" s="58">
        <v>477.6</v>
      </c>
      <c r="R184" s="58">
        <v>507.46</v>
      </c>
      <c r="S184" s="58">
        <v>522.04</v>
      </c>
      <c r="T184" s="58">
        <v>508.36</v>
      </c>
      <c r="U184" s="58">
        <v>556.86</v>
      </c>
      <c r="V184" s="58">
        <v>556.53</v>
      </c>
      <c r="W184" s="61">
        <v>580.99</v>
      </c>
      <c r="X184" s="109">
        <v>4.5786158300557211E-2</v>
      </c>
      <c r="Y184" s="109">
        <v>3.9326009943139617E-2</v>
      </c>
      <c r="Z184" s="109">
        <v>2.3425565230675183E-2</v>
      </c>
      <c r="AA184" s="109">
        <v>2.7498029191292073E-2</v>
      </c>
    </row>
    <row r="185" spans="1:27" ht="15" x14ac:dyDescent="0.25">
      <c r="A185" s="4">
        <v>260129</v>
      </c>
      <c r="B185" s="19" t="s">
        <v>676</v>
      </c>
      <c r="C185" s="19" t="s">
        <v>23</v>
      </c>
      <c r="D185" s="19" t="s">
        <v>677</v>
      </c>
      <c r="E185" s="19" t="s">
        <v>25</v>
      </c>
      <c r="F185" s="47">
        <v>2.68162799543552</v>
      </c>
      <c r="G185" s="58">
        <v>894.87</v>
      </c>
      <c r="H185" s="58">
        <v>864.5</v>
      </c>
      <c r="I185" s="58">
        <v>914.74</v>
      </c>
      <c r="J185" s="58">
        <v>950.29</v>
      </c>
      <c r="K185" s="58">
        <v>1034</v>
      </c>
      <c r="L185" s="58">
        <v>1117</v>
      </c>
      <c r="M185" s="58">
        <v>1122</v>
      </c>
      <c r="N185" s="58">
        <v>1102</v>
      </c>
      <c r="O185" s="58">
        <v>1163</v>
      </c>
      <c r="P185" s="58">
        <v>1197</v>
      </c>
      <c r="Q185" s="58">
        <v>1223</v>
      </c>
      <c r="R185" s="58">
        <v>1225</v>
      </c>
      <c r="S185" s="58">
        <v>1282</v>
      </c>
      <c r="T185" s="58">
        <v>1292</v>
      </c>
      <c r="U185" s="58">
        <v>1348</v>
      </c>
      <c r="V185" s="58">
        <v>1336</v>
      </c>
      <c r="W185" s="61">
        <v>1423</v>
      </c>
      <c r="X185" s="109">
        <v>1.928151004668166E-2</v>
      </c>
      <c r="Y185" s="109">
        <v>2.4890481879729087E-2</v>
      </c>
      <c r="Z185" s="109">
        <v>2.156596075383721E-2</v>
      </c>
      <c r="AA185" s="109">
        <v>2.6816279954355204E-2</v>
      </c>
    </row>
    <row r="186" spans="1:27" ht="15" x14ac:dyDescent="0.25">
      <c r="A186" s="4">
        <v>260129</v>
      </c>
      <c r="B186" s="19" t="s">
        <v>678</v>
      </c>
      <c r="C186" s="19" t="s">
        <v>23</v>
      </c>
      <c r="D186" s="19" t="s">
        <v>29</v>
      </c>
      <c r="E186" s="19" t="s">
        <v>25</v>
      </c>
      <c r="F186" s="47">
        <v>2.633476502492393</v>
      </c>
      <c r="G186" s="58">
        <v>68</v>
      </c>
      <c r="H186" s="58">
        <v>69.33</v>
      </c>
      <c r="I186" s="58">
        <v>72.98</v>
      </c>
      <c r="J186" s="58">
        <v>79.89</v>
      </c>
      <c r="K186" s="58">
        <v>81.31</v>
      </c>
      <c r="L186" s="58">
        <v>75.599999999999994</v>
      </c>
      <c r="M186" s="58">
        <v>74.62</v>
      </c>
      <c r="N186" s="58">
        <v>74.959999999999994</v>
      </c>
      <c r="O186" s="58">
        <v>76.41</v>
      </c>
      <c r="P186" s="58">
        <v>78.099999999999994</v>
      </c>
      <c r="Q186" s="58">
        <v>76.02</v>
      </c>
      <c r="R186" s="58">
        <v>74.14</v>
      </c>
      <c r="S186" s="58">
        <v>76.33</v>
      </c>
      <c r="T186" s="58">
        <v>77.62</v>
      </c>
      <c r="U186" s="58">
        <v>80.540000000000006</v>
      </c>
      <c r="V186" s="58">
        <v>84.48</v>
      </c>
      <c r="W186" s="61">
        <v>84.73</v>
      </c>
      <c r="X186" s="109">
        <v>-1.5758888998324005E-3</v>
      </c>
      <c r="Y186" s="109">
        <v>1.4863042977869778E-2</v>
      </c>
      <c r="Z186" s="109">
        <v>3.3502899912516648E-2</v>
      </c>
      <c r="AA186" s="109">
        <v>2.6334765024924156E-2</v>
      </c>
    </row>
    <row r="187" spans="1:27" ht="15" x14ac:dyDescent="0.25">
      <c r="A187" s="4">
        <v>260129</v>
      </c>
      <c r="B187" s="19" t="s">
        <v>679</v>
      </c>
      <c r="C187" s="19" t="s">
        <v>23</v>
      </c>
      <c r="D187" s="19" t="s">
        <v>65</v>
      </c>
      <c r="E187" s="19" t="s">
        <v>25</v>
      </c>
      <c r="F187" s="47">
        <v>2.5225512892153019</v>
      </c>
      <c r="G187" s="58">
        <v>276.68</v>
      </c>
      <c r="H187" s="58">
        <v>290.48</v>
      </c>
      <c r="I187" s="58">
        <v>336.82</v>
      </c>
      <c r="J187" s="58">
        <v>268.07</v>
      </c>
      <c r="K187" s="58">
        <v>295.60000000000002</v>
      </c>
      <c r="L187" s="58">
        <v>302.89</v>
      </c>
      <c r="M187" s="58">
        <v>411.87</v>
      </c>
      <c r="N187" s="58">
        <v>279.20999999999998</v>
      </c>
      <c r="O187" s="58">
        <v>373.24</v>
      </c>
      <c r="P187" s="58">
        <v>405.41</v>
      </c>
      <c r="Q187" s="58">
        <v>480.91</v>
      </c>
      <c r="R187" s="58">
        <v>344.01</v>
      </c>
      <c r="S187" s="58">
        <v>419.82</v>
      </c>
      <c r="T187" s="58">
        <v>444.35</v>
      </c>
      <c r="U187" s="58">
        <v>504.99</v>
      </c>
      <c r="V187" s="58">
        <v>384.62</v>
      </c>
      <c r="W187" s="61">
        <v>464.06</v>
      </c>
      <c r="X187" s="109">
        <v>2.3597854740478263E-2</v>
      </c>
      <c r="Y187" s="109">
        <v>1.4256197123895031E-2</v>
      </c>
      <c r="Z187" s="109">
        <v>2.3704594406859902E-2</v>
      </c>
      <c r="AA187" s="109">
        <v>2.5225512892152802E-2</v>
      </c>
    </row>
    <row r="188" spans="1:27" ht="15" x14ac:dyDescent="0.25">
      <c r="A188" s="4">
        <v>260129</v>
      </c>
      <c r="B188" s="19" t="s">
        <v>680</v>
      </c>
      <c r="C188" s="19" t="s">
        <v>23</v>
      </c>
      <c r="D188" s="19" t="s">
        <v>681</v>
      </c>
      <c r="E188" s="19" t="s">
        <v>25</v>
      </c>
      <c r="F188" s="47">
        <v>2.497835844516394</v>
      </c>
      <c r="G188" s="58">
        <v>1188</v>
      </c>
      <c r="H188" s="58">
        <v>736.01</v>
      </c>
      <c r="I188" s="58">
        <v>614.46</v>
      </c>
      <c r="J188" s="58">
        <v>875.61</v>
      </c>
      <c r="K188" s="58">
        <v>1346</v>
      </c>
      <c r="L188" s="58">
        <v>791.57</v>
      </c>
      <c r="M188" s="58">
        <v>675.79</v>
      </c>
      <c r="N188" s="58">
        <v>1092</v>
      </c>
      <c r="O188" s="58">
        <v>1560</v>
      </c>
      <c r="P188" s="58">
        <v>959.76</v>
      </c>
      <c r="Q188" s="58">
        <v>825.35</v>
      </c>
      <c r="R188" s="58">
        <v>1311</v>
      </c>
      <c r="S188" s="58">
        <v>1827</v>
      </c>
      <c r="T188" s="58">
        <v>1022</v>
      </c>
      <c r="U188" s="58">
        <v>964.54</v>
      </c>
      <c r="V188" s="58">
        <v>1431</v>
      </c>
      <c r="W188" s="61">
        <v>1958</v>
      </c>
      <c r="X188" s="109">
        <v>1.2642415058773837E-2</v>
      </c>
      <c r="Y188" s="109">
        <v>2.7919805028734146E-2</v>
      </c>
      <c r="Z188" s="109">
        <v>2.3416735941177214E-2</v>
      </c>
      <c r="AA188" s="109">
        <v>2.497835844516394E-2</v>
      </c>
    </row>
    <row r="189" spans="1:27" ht="15" x14ac:dyDescent="0.25">
      <c r="A189" s="4">
        <v>260129</v>
      </c>
      <c r="B189" s="19" t="s">
        <v>682</v>
      </c>
      <c r="C189" s="19" t="s">
        <v>23</v>
      </c>
      <c r="D189" s="19" t="s">
        <v>131</v>
      </c>
      <c r="E189" s="19" t="s">
        <v>25</v>
      </c>
      <c r="F189" s="47">
        <v>2.3163233309247522</v>
      </c>
      <c r="G189" s="58">
        <v>17729</v>
      </c>
      <c r="H189" s="58">
        <v>14964</v>
      </c>
      <c r="I189" s="58">
        <v>15446</v>
      </c>
      <c r="J189" s="58">
        <v>16583</v>
      </c>
      <c r="K189" s="58">
        <v>18991</v>
      </c>
      <c r="L189" s="58">
        <v>15126</v>
      </c>
      <c r="M189" s="58">
        <v>16693</v>
      </c>
      <c r="N189" s="58">
        <v>16878</v>
      </c>
      <c r="O189" s="58">
        <v>18874</v>
      </c>
      <c r="P189" s="58">
        <v>17195</v>
      </c>
      <c r="Q189" s="58">
        <v>18122</v>
      </c>
      <c r="R189" s="58">
        <v>17104</v>
      </c>
      <c r="S189" s="58">
        <v>18622</v>
      </c>
      <c r="T189" s="58">
        <v>17963</v>
      </c>
      <c r="U189" s="58">
        <v>18155</v>
      </c>
      <c r="V189" s="58">
        <v>18609</v>
      </c>
      <c r="W189" s="61">
        <v>20321</v>
      </c>
      <c r="X189" s="109">
        <v>1.0810354292470681E-2</v>
      </c>
      <c r="Y189" s="109">
        <v>4.5953962484857058E-4</v>
      </c>
      <c r="Z189" s="109">
        <v>2.0948165469628632E-2</v>
      </c>
      <c r="AA189" s="109">
        <v>2.3163233309247522E-2</v>
      </c>
    </row>
    <row r="190" spans="1:27" ht="15" x14ac:dyDescent="0.25">
      <c r="A190" s="4">
        <v>260129</v>
      </c>
      <c r="B190" s="19" t="s">
        <v>683</v>
      </c>
      <c r="C190" s="19" t="s">
        <v>23</v>
      </c>
      <c r="D190" s="19" t="s">
        <v>29</v>
      </c>
      <c r="E190" s="19" t="s">
        <v>25</v>
      </c>
      <c r="F190" s="47">
        <v>2.3099767461407068</v>
      </c>
      <c r="G190" s="58">
        <v>349.76</v>
      </c>
      <c r="H190" s="58">
        <v>350.46</v>
      </c>
      <c r="I190" s="58">
        <v>386.14</v>
      </c>
      <c r="J190" s="58">
        <v>455.37</v>
      </c>
      <c r="K190" s="58">
        <v>501.14</v>
      </c>
      <c r="L190" s="58">
        <v>495.98</v>
      </c>
      <c r="M190" s="58">
        <v>478.89</v>
      </c>
      <c r="N190" s="58">
        <v>480.24</v>
      </c>
      <c r="O190" s="58">
        <v>485.92</v>
      </c>
      <c r="P190" s="58">
        <v>487.78</v>
      </c>
      <c r="Q190" s="58">
        <v>492.12</v>
      </c>
      <c r="R190" s="58">
        <v>498.65</v>
      </c>
      <c r="S190" s="58">
        <v>520.17999999999995</v>
      </c>
      <c r="T190" s="58">
        <v>527.16</v>
      </c>
      <c r="U190" s="58">
        <v>533.75</v>
      </c>
      <c r="V190" s="58">
        <v>560.49</v>
      </c>
      <c r="W190" s="61">
        <v>569.65</v>
      </c>
      <c r="X190" s="109">
        <v>1.9702511094544795E-2</v>
      </c>
      <c r="Y190" s="109">
        <v>2.0425786635657639E-2</v>
      </c>
      <c r="Z190" s="109">
        <v>2.973448604152451E-2</v>
      </c>
      <c r="AA190" s="109">
        <v>2.309976746140685E-2</v>
      </c>
    </row>
    <row r="191" spans="1:27" ht="15" x14ac:dyDescent="0.25">
      <c r="A191" s="4">
        <v>260129</v>
      </c>
      <c r="B191" s="19" t="s">
        <v>684</v>
      </c>
      <c r="C191" s="19" t="s">
        <v>23</v>
      </c>
      <c r="D191" s="19" t="s">
        <v>153</v>
      </c>
      <c r="E191" s="19" t="s">
        <v>25</v>
      </c>
      <c r="F191" s="47">
        <v>2.1517723414877792</v>
      </c>
      <c r="G191" s="58">
        <v>3825</v>
      </c>
      <c r="H191" s="58">
        <v>4086</v>
      </c>
      <c r="I191" s="58">
        <v>4188</v>
      </c>
      <c r="J191" s="58">
        <v>4233</v>
      </c>
      <c r="K191" s="58">
        <v>4675</v>
      </c>
      <c r="L191" s="58">
        <v>5062</v>
      </c>
      <c r="M191" s="58">
        <v>5096</v>
      </c>
      <c r="N191" s="58">
        <v>4847</v>
      </c>
      <c r="O191" s="58">
        <v>4821</v>
      </c>
      <c r="P191" s="58">
        <v>5074</v>
      </c>
      <c r="Q191" s="58">
        <v>5187</v>
      </c>
      <c r="R191" s="58">
        <v>4904</v>
      </c>
      <c r="S191" s="58">
        <v>4743</v>
      </c>
      <c r="T191" s="58">
        <v>4960</v>
      </c>
      <c r="U191" s="58">
        <v>5243</v>
      </c>
      <c r="V191" s="58">
        <v>5084</v>
      </c>
      <c r="W191" s="61">
        <v>5174</v>
      </c>
      <c r="X191" s="109">
        <v>-5.72634116937909E-3</v>
      </c>
      <c r="Y191" s="109">
        <v>2.829140143477904E-3</v>
      </c>
      <c r="Z191" s="109">
        <v>9.0680100755666793E-3</v>
      </c>
      <c r="AA191" s="109">
        <v>2.1517723414877787E-2</v>
      </c>
    </row>
    <row r="192" spans="1:27" ht="15" x14ac:dyDescent="0.25">
      <c r="A192" s="4">
        <v>260129</v>
      </c>
      <c r="B192" s="19" t="s">
        <v>685</v>
      </c>
      <c r="C192" s="19" t="s">
        <v>23</v>
      </c>
      <c r="D192" s="19" t="s">
        <v>95</v>
      </c>
      <c r="E192" s="19" t="s">
        <v>25</v>
      </c>
      <c r="F192" s="47">
        <v>2.1498406525144449</v>
      </c>
      <c r="G192" s="58">
        <v>3762</v>
      </c>
      <c r="H192" s="58">
        <v>3627</v>
      </c>
      <c r="I192" s="58">
        <v>3489</v>
      </c>
      <c r="J192" s="58">
        <v>3499</v>
      </c>
      <c r="K192" s="58">
        <v>3719</v>
      </c>
      <c r="L192" s="58">
        <v>3845</v>
      </c>
      <c r="M192" s="58">
        <v>4007</v>
      </c>
      <c r="N192" s="58">
        <v>4076</v>
      </c>
      <c r="O192" s="58">
        <v>4168</v>
      </c>
      <c r="P192" s="58">
        <v>4325</v>
      </c>
      <c r="Q192" s="58">
        <v>4392</v>
      </c>
      <c r="R192" s="58">
        <v>4560</v>
      </c>
      <c r="S192" s="58">
        <v>4649</v>
      </c>
      <c r="T192" s="58">
        <v>4481</v>
      </c>
      <c r="U192" s="58">
        <v>4490</v>
      </c>
      <c r="V192" s="58">
        <v>4893</v>
      </c>
      <c r="W192" s="61">
        <v>5047</v>
      </c>
      <c r="X192" s="109">
        <v>8.7024433783331467E-3</v>
      </c>
      <c r="Y192" s="109">
        <v>5.4197544519412055E-3</v>
      </c>
      <c r="Z192" s="109">
        <v>1.8316831683168333E-2</v>
      </c>
      <c r="AA192" s="109">
        <v>2.1498406525144453E-2</v>
      </c>
    </row>
    <row r="193" spans="1:27" ht="15" x14ac:dyDescent="0.25">
      <c r="A193" s="4">
        <v>260129</v>
      </c>
      <c r="B193" s="19" t="s">
        <v>686</v>
      </c>
      <c r="C193" s="19" t="s">
        <v>23</v>
      </c>
      <c r="D193" s="19" t="s">
        <v>153</v>
      </c>
      <c r="E193" s="19" t="s">
        <v>25</v>
      </c>
      <c r="F193" s="47">
        <v>2.1327612317011631</v>
      </c>
      <c r="G193" s="58">
        <v>1989</v>
      </c>
      <c r="H193" s="58">
        <v>2052</v>
      </c>
      <c r="I193" s="58">
        <v>2159</v>
      </c>
      <c r="J193" s="58">
        <v>2158</v>
      </c>
      <c r="K193" s="58">
        <v>2139</v>
      </c>
      <c r="L193" s="58">
        <v>2079</v>
      </c>
      <c r="M193" s="58">
        <v>0</v>
      </c>
      <c r="N193" s="58">
        <v>1958</v>
      </c>
      <c r="O193" s="58">
        <v>1905</v>
      </c>
      <c r="P193" s="58">
        <v>1884</v>
      </c>
      <c r="Q193" s="59">
        <v>1949</v>
      </c>
      <c r="R193" s="58">
        <v>1984</v>
      </c>
      <c r="S193" s="58">
        <v>1930</v>
      </c>
      <c r="T193" s="58">
        <v>1866</v>
      </c>
      <c r="U193" s="58">
        <v>2050</v>
      </c>
      <c r="V193" s="58">
        <v>2078</v>
      </c>
      <c r="W193" s="61">
        <v>2099</v>
      </c>
      <c r="X193" s="109">
        <v>-2.3234800567961678E-3</v>
      </c>
      <c r="Y193" s="109">
        <v>1.3067667227325552E-2</v>
      </c>
      <c r="Z193" s="109">
        <v>1.2005108556832678E-2</v>
      </c>
      <c r="AA193" s="109">
        <v>2.1327612317011635E-2</v>
      </c>
    </row>
    <row r="194" spans="1:27" ht="15" x14ac:dyDescent="0.25">
      <c r="A194" s="4">
        <v>260129</v>
      </c>
      <c r="B194" s="19" t="s">
        <v>687</v>
      </c>
      <c r="C194" s="19" t="s">
        <v>23</v>
      </c>
      <c r="D194" s="19" t="s">
        <v>136</v>
      </c>
      <c r="E194" s="19" t="s">
        <v>25</v>
      </c>
      <c r="F194" s="47">
        <v>2.084927314460594</v>
      </c>
      <c r="G194" s="58">
        <v>869.7</v>
      </c>
      <c r="H194" s="58">
        <v>846.06</v>
      </c>
      <c r="I194" s="58">
        <v>864.82</v>
      </c>
      <c r="J194" s="58">
        <v>895.02</v>
      </c>
      <c r="K194" s="58">
        <v>952.16</v>
      </c>
      <c r="L194" s="58">
        <v>999.82</v>
      </c>
      <c r="M194" s="58">
        <v>1041</v>
      </c>
      <c r="N194" s="58">
        <v>1081</v>
      </c>
      <c r="O194" s="58">
        <v>1111</v>
      </c>
      <c r="P194" s="58">
        <v>1165</v>
      </c>
      <c r="Q194" s="58">
        <v>1196</v>
      </c>
      <c r="R194" s="58">
        <v>1244</v>
      </c>
      <c r="S194" s="58">
        <v>1256</v>
      </c>
      <c r="T194" s="58">
        <v>1285</v>
      </c>
      <c r="U194" s="58">
        <v>1327</v>
      </c>
      <c r="V194" s="58">
        <v>1360</v>
      </c>
      <c r="W194" s="61">
        <v>1365</v>
      </c>
      <c r="X194" s="109">
        <v>2.4686278543509577E-2</v>
      </c>
      <c r="Y194" s="109">
        <v>2.6299939771130321E-2</v>
      </c>
      <c r="Z194" s="109">
        <v>2.2691705790297334E-2</v>
      </c>
      <c r="AA194" s="109">
        <v>2.084927314460594E-2</v>
      </c>
    </row>
    <row r="195" spans="1:27" ht="15" x14ac:dyDescent="0.25">
      <c r="A195" s="4">
        <v>260129</v>
      </c>
      <c r="B195" s="19" t="s">
        <v>688</v>
      </c>
      <c r="C195" s="19" t="s">
        <v>23</v>
      </c>
      <c r="D195" s="19" t="s">
        <v>189</v>
      </c>
      <c r="E195" s="19" t="s">
        <v>25</v>
      </c>
      <c r="F195" s="47">
        <v>2.0010759554132118</v>
      </c>
      <c r="G195" s="58">
        <v>777.16</v>
      </c>
      <c r="H195" s="58">
        <v>735.15</v>
      </c>
      <c r="I195" s="58">
        <v>799.09</v>
      </c>
      <c r="J195" s="58">
        <v>789.44</v>
      </c>
      <c r="K195" s="58">
        <v>681.25</v>
      </c>
      <c r="L195" s="58">
        <v>691.83</v>
      </c>
      <c r="M195" s="58">
        <v>725.64</v>
      </c>
      <c r="N195" s="58">
        <v>766.17</v>
      </c>
      <c r="O195" s="58">
        <v>751.79</v>
      </c>
      <c r="P195" s="58">
        <v>803.61</v>
      </c>
      <c r="Q195" s="58">
        <v>867.12</v>
      </c>
      <c r="R195" s="58">
        <v>912.79</v>
      </c>
      <c r="S195" s="58">
        <v>944.4</v>
      </c>
      <c r="T195" s="58">
        <v>948.46</v>
      </c>
      <c r="U195" s="58">
        <v>1035</v>
      </c>
      <c r="V195" s="58">
        <v>1050</v>
      </c>
      <c r="W195" s="61">
        <v>1024</v>
      </c>
      <c r="X195" s="109">
        <v>4.1058187260482049E-2</v>
      </c>
      <c r="Y195" s="109">
        <v>4.570936922268487E-2</v>
      </c>
      <c r="Z195" s="109">
        <v>3.5725723510343199E-2</v>
      </c>
      <c r="AA195" s="109">
        <v>2.0010759554132118E-2</v>
      </c>
    </row>
    <row r="196" spans="1:27" ht="15" x14ac:dyDescent="0.25">
      <c r="A196" s="4">
        <v>260129</v>
      </c>
      <c r="B196" s="19" t="s">
        <v>689</v>
      </c>
      <c r="C196" s="19" t="s">
        <v>23</v>
      </c>
      <c r="D196" s="19" t="s">
        <v>649</v>
      </c>
      <c r="E196" s="19" t="s">
        <v>25</v>
      </c>
      <c r="F196" s="47">
        <v>1.995992893055609</v>
      </c>
      <c r="G196" s="58">
        <v>5137</v>
      </c>
      <c r="H196" s="58">
        <v>5549</v>
      </c>
      <c r="I196" s="58">
        <v>5379</v>
      </c>
      <c r="J196" s="58">
        <v>4770</v>
      </c>
      <c r="K196" s="58">
        <v>5022</v>
      </c>
      <c r="L196" s="58">
        <v>5924</v>
      </c>
      <c r="M196" s="58">
        <v>5876</v>
      </c>
      <c r="N196" s="58">
        <v>5382</v>
      </c>
      <c r="O196" s="58">
        <v>5554</v>
      </c>
      <c r="P196" s="58">
        <v>6473</v>
      </c>
      <c r="Q196" s="58">
        <v>6221</v>
      </c>
      <c r="R196" s="58">
        <v>5697</v>
      </c>
      <c r="S196" s="58">
        <v>6067</v>
      </c>
      <c r="T196" s="58">
        <v>7061</v>
      </c>
      <c r="U196" s="58">
        <v>6974</v>
      </c>
      <c r="V196" s="58">
        <v>6351</v>
      </c>
      <c r="W196" s="61">
        <v>6595</v>
      </c>
      <c r="X196" s="109">
        <v>2.4041213508872339E-2</v>
      </c>
      <c r="Y196" s="109">
        <v>3.0064680986984005E-2</v>
      </c>
      <c r="Z196" s="109">
        <v>2.5349819760455805E-2</v>
      </c>
      <c r="AA196" s="109">
        <v>1.9959928930556092E-2</v>
      </c>
    </row>
    <row r="197" spans="1:27" ht="15" x14ac:dyDescent="0.25">
      <c r="A197" s="4">
        <v>260129</v>
      </c>
      <c r="B197" s="19" t="s">
        <v>690</v>
      </c>
      <c r="C197" s="19" t="s">
        <v>23</v>
      </c>
      <c r="D197" s="19" t="s">
        <v>139</v>
      </c>
      <c r="E197" s="19" t="s">
        <v>25</v>
      </c>
      <c r="F197" s="47">
        <v>1.874885677702576</v>
      </c>
      <c r="G197" s="58">
        <v>10702</v>
      </c>
      <c r="H197" s="58">
        <v>11818</v>
      </c>
      <c r="I197" s="58">
        <v>10970</v>
      </c>
      <c r="J197" s="58">
        <v>10677</v>
      </c>
      <c r="K197" s="58">
        <v>11450</v>
      </c>
      <c r="L197" s="58">
        <v>10710</v>
      </c>
      <c r="M197" s="58">
        <v>10687</v>
      </c>
      <c r="N197" s="58">
        <v>10574</v>
      </c>
      <c r="O197" s="58">
        <v>10886</v>
      </c>
      <c r="P197" s="58">
        <v>10345</v>
      </c>
      <c r="Q197" s="58">
        <v>10541</v>
      </c>
      <c r="R197" s="58">
        <v>10598</v>
      </c>
      <c r="S197" s="58">
        <v>11395</v>
      </c>
      <c r="T197" s="58">
        <v>10364</v>
      </c>
      <c r="U197" s="58">
        <v>10855</v>
      </c>
      <c r="V197" s="58">
        <v>11122</v>
      </c>
      <c r="W197" s="61">
        <v>12215</v>
      </c>
      <c r="X197" s="109">
        <v>4.4310734858554746E-4</v>
      </c>
      <c r="Y197" s="109">
        <v>7.3196885635693487E-3</v>
      </c>
      <c r="Z197" s="109">
        <v>1.2126261223734058E-2</v>
      </c>
      <c r="AA197" s="109">
        <v>1.8748856777025757E-2</v>
      </c>
    </row>
    <row r="198" spans="1:27" ht="15" x14ac:dyDescent="0.25">
      <c r="A198" s="4">
        <v>260129</v>
      </c>
      <c r="B198" s="19" t="s">
        <v>691</v>
      </c>
      <c r="C198" s="19" t="s">
        <v>23</v>
      </c>
      <c r="D198" s="19" t="s">
        <v>692</v>
      </c>
      <c r="E198" s="19" t="s">
        <v>25</v>
      </c>
      <c r="F198" s="47">
        <v>1.77407470384856</v>
      </c>
      <c r="G198" s="58">
        <v>5382</v>
      </c>
      <c r="H198" s="58">
        <v>5143</v>
      </c>
      <c r="I198" s="58">
        <v>5074</v>
      </c>
      <c r="J198" s="58">
        <v>4801</v>
      </c>
      <c r="K198" s="58">
        <v>4809</v>
      </c>
      <c r="L198" s="58">
        <v>4752</v>
      </c>
      <c r="M198" s="58">
        <v>4856</v>
      </c>
      <c r="N198" s="58">
        <v>4676</v>
      </c>
      <c r="O198" s="58">
        <v>4631</v>
      </c>
      <c r="P198" s="58">
        <v>4403</v>
      </c>
      <c r="Q198" s="58">
        <v>4521</v>
      </c>
      <c r="R198" s="58">
        <v>4530</v>
      </c>
      <c r="S198" s="58">
        <v>4400</v>
      </c>
      <c r="T198" s="58">
        <v>4090</v>
      </c>
      <c r="U198" s="58">
        <v>4519</v>
      </c>
      <c r="V198" s="58">
        <v>4634</v>
      </c>
      <c r="W198" s="61">
        <v>4713</v>
      </c>
      <c r="X198" s="109">
        <v>-1.7531085471042873E-2</v>
      </c>
      <c r="Y198" s="109">
        <v>-1.140185850293518E-4</v>
      </c>
      <c r="Z198" s="109">
        <v>5.9296425109756079E-3</v>
      </c>
      <c r="AA198" s="109">
        <v>1.7740747038485605E-2</v>
      </c>
    </row>
    <row r="199" spans="1:27" ht="15" x14ac:dyDescent="0.25">
      <c r="A199" s="4">
        <v>260129</v>
      </c>
      <c r="B199" s="19" t="s">
        <v>693</v>
      </c>
      <c r="C199" s="19" t="s">
        <v>23</v>
      </c>
      <c r="D199" s="19" t="s">
        <v>146</v>
      </c>
      <c r="E199" s="19" t="s">
        <v>25</v>
      </c>
      <c r="F199" s="47">
        <v>1.756487025948106</v>
      </c>
      <c r="G199" s="58">
        <v>2353</v>
      </c>
      <c r="H199" s="58">
        <v>2289</v>
      </c>
      <c r="I199" s="58">
        <v>2487</v>
      </c>
      <c r="J199" s="58">
        <v>2724</v>
      </c>
      <c r="K199" s="58">
        <v>2984</v>
      </c>
      <c r="L199" s="58">
        <v>2433</v>
      </c>
      <c r="M199" s="58">
        <v>2355</v>
      </c>
      <c r="N199" s="58">
        <v>2397</v>
      </c>
      <c r="O199" s="58">
        <v>2487</v>
      </c>
      <c r="P199" s="58">
        <v>2360</v>
      </c>
      <c r="Q199" s="58">
        <v>2569</v>
      </c>
      <c r="R199" s="58">
        <v>2842</v>
      </c>
      <c r="S199" s="58">
        <v>3077</v>
      </c>
      <c r="T199" s="58">
        <v>3063</v>
      </c>
      <c r="U199" s="58">
        <v>3175</v>
      </c>
      <c r="V199" s="58">
        <v>3210</v>
      </c>
      <c r="W199" s="61">
        <v>3297</v>
      </c>
      <c r="X199" s="109">
        <v>6.4804572271386363E-2</v>
      </c>
      <c r="Y199" s="109">
        <v>5.2462990217297278E-2</v>
      </c>
      <c r="Z199" s="109">
        <v>3.0270625976803522E-2</v>
      </c>
      <c r="AA199" s="109">
        <v>1.7564870259481058E-2</v>
      </c>
    </row>
    <row r="200" spans="1:27" ht="15" x14ac:dyDescent="0.25">
      <c r="A200" s="4">
        <v>260129</v>
      </c>
      <c r="B200" s="19" t="s">
        <v>694</v>
      </c>
      <c r="C200" s="19" t="s">
        <v>23</v>
      </c>
      <c r="D200" s="19" t="s">
        <v>695</v>
      </c>
      <c r="E200" s="19" t="s">
        <v>25</v>
      </c>
      <c r="F200" s="47">
        <v>1.6155030984704719</v>
      </c>
      <c r="G200" s="58">
        <v>5809</v>
      </c>
      <c r="H200" s="58">
        <v>5382</v>
      </c>
      <c r="I200" s="58">
        <v>5366</v>
      </c>
      <c r="J200" s="58">
        <v>5578</v>
      </c>
      <c r="K200" s="58">
        <v>6030</v>
      </c>
      <c r="L200" s="58">
        <v>5916</v>
      </c>
      <c r="M200" s="58">
        <v>6053</v>
      </c>
      <c r="N200" s="58">
        <v>6171</v>
      </c>
      <c r="O200" s="58">
        <v>6413</v>
      </c>
      <c r="P200" s="58">
        <v>6423</v>
      </c>
      <c r="Q200" s="58">
        <v>6491</v>
      </c>
      <c r="R200" s="58">
        <v>6757</v>
      </c>
      <c r="S200" s="58">
        <v>6889</v>
      </c>
      <c r="T200" s="58">
        <v>6809</v>
      </c>
      <c r="U200" s="58">
        <v>6987</v>
      </c>
      <c r="V200" s="58">
        <v>7232</v>
      </c>
      <c r="W200" s="61">
        <v>7340</v>
      </c>
      <c r="X200" s="109">
        <v>1.4533132530120563E-2</v>
      </c>
      <c r="Y200" s="109">
        <v>1.8407184739850146E-2</v>
      </c>
      <c r="Z200" s="109">
        <v>1.7309234020844055E-2</v>
      </c>
      <c r="AA200" s="109">
        <v>1.6155030984704721E-2</v>
      </c>
    </row>
    <row r="201" spans="1:27" ht="15" x14ac:dyDescent="0.25">
      <c r="A201" s="4">
        <v>260129</v>
      </c>
      <c r="B201" s="19" t="s">
        <v>696</v>
      </c>
      <c r="C201" s="19" t="s">
        <v>23</v>
      </c>
      <c r="D201" s="19" t="s">
        <v>697</v>
      </c>
      <c r="E201" s="19" t="s">
        <v>25</v>
      </c>
      <c r="F201" s="47">
        <v>1.5900991213749549</v>
      </c>
      <c r="G201" s="58">
        <v>472.69</v>
      </c>
      <c r="H201" s="58">
        <v>610.11</v>
      </c>
      <c r="I201" s="58">
        <v>688.54</v>
      </c>
      <c r="J201" s="58">
        <v>536.76</v>
      </c>
      <c r="K201" s="58">
        <v>507.93</v>
      </c>
      <c r="L201" s="58">
        <v>570.34</v>
      </c>
      <c r="M201" s="58">
        <v>721.84</v>
      </c>
      <c r="N201" s="58">
        <v>594.6</v>
      </c>
      <c r="O201" s="58">
        <v>527.27</v>
      </c>
      <c r="P201" s="58">
        <v>582.89</v>
      </c>
      <c r="Q201" s="58">
        <v>757.72</v>
      </c>
      <c r="R201" s="58">
        <v>563.12</v>
      </c>
      <c r="S201" s="58">
        <v>468.46</v>
      </c>
      <c r="T201" s="58">
        <v>631.52</v>
      </c>
      <c r="U201" s="58">
        <v>657.16</v>
      </c>
      <c r="V201" s="58">
        <v>552.15</v>
      </c>
      <c r="W201" s="61">
        <v>505.18</v>
      </c>
      <c r="X201" s="109">
        <v>2.0500044262896422E-2</v>
      </c>
      <c r="Y201" s="109">
        <v>-4.1539643591840925E-2</v>
      </c>
      <c r="Z201" s="109">
        <v>-4.7279184229352955E-3</v>
      </c>
      <c r="AA201" s="109">
        <v>1.5900991213749549E-2</v>
      </c>
    </row>
    <row r="202" spans="1:27" ht="15" x14ac:dyDescent="0.25">
      <c r="A202" s="4">
        <v>260129</v>
      </c>
      <c r="B202" s="19" t="s">
        <v>698</v>
      </c>
      <c r="C202" s="19" t="s">
        <v>23</v>
      </c>
      <c r="D202" s="19" t="s">
        <v>699</v>
      </c>
      <c r="E202" s="19" t="s">
        <v>25</v>
      </c>
      <c r="F202" s="47">
        <v>1.573580593669033</v>
      </c>
      <c r="G202" s="58">
        <v>294.23</v>
      </c>
      <c r="H202" s="58">
        <v>291.58999999999997</v>
      </c>
      <c r="I202" s="58">
        <v>317.38</v>
      </c>
      <c r="J202" s="58">
        <v>311.83999999999997</v>
      </c>
      <c r="K202" s="58">
        <v>296.06</v>
      </c>
      <c r="L202" s="58">
        <v>266.85000000000002</v>
      </c>
      <c r="M202" s="58">
        <v>274.02</v>
      </c>
      <c r="N202" s="58">
        <v>288.72000000000003</v>
      </c>
      <c r="O202" s="58">
        <v>273.99</v>
      </c>
      <c r="P202" s="58">
        <v>278.76</v>
      </c>
      <c r="Q202" s="58">
        <v>287.5</v>
      </c>
      <c r="R202" s="58">
        <v>287.89</v>
      </c>
      <c r="S202" s="58">
        <v>277.33</v>
      </c>
      <c r="T202" s="58">
        <v>269.36</v>
      </c>
      <c r="U202" s="58">
        <v>302.85000000000002</v>
      </c>
      <c r="V202" s="58">
        <v>296.89</v>
      </c>
      <c r="W202" s="61">
        <v>295.37</v>
      </c>
      <c r="X202" s="109">
        <v>-8.3077031852087924E-3</v>
      </c>
      <c r="Y202" s="109">
        <v>1.3679951518608346E-2</v>
      </c>
      <c r="Z202" s="109">
        <v>7.9125748397703699E-3</v>
      </c>
      <c r="AA202" s="109">
        <v>1.5735805936690328E-2</v>
      </c>
    </row>
    <row r="203" spans="1:27" ht="15" x14ac:dyDescent="0.25">
      <c r="A203" s="4">
        <v>260129</v>
      </c>
      <c r="B203" s="19" t="s">
        <v>700</v>
      </c>
      <c r="C203" s="19" t="s">
        <v>23</v>
      </c>
      <c r="D203" s="19" t="s">
        <v>701</v>
      </c>
      <c r="E203" s="19" t="s">
        <v>25</v>
      </c>
      <c r="F203" s="47">
        <v>1.492186085802216</v>
      </c>
      <c r="G203" s="58">
        <v>591.27</v>
      </c>
      <c r="H203" s="58">
        <v>610.78</v>
      </c>
      <c r="I203" s="58">
        <v>697.96</v>
      </c>
      <c r="J203" s="58">
        <v>745.84</v>
      </c>
      <c r="K203" s="58">
        <v>730.17</v>
      </c>
      <c r="L203" s="58">
        <v>750.44</v>
      </c>
      <c r="M203" s="58">
        <v>777.25</v>
      </c>
      <c r="N203" s="58">
        <v>764.77</v>
      </c>
      <c r="O203" s="58">
        <v>799.18</v>
      </c>
      <c r="P203" s="58">
        <v>808.02</v>
      </c>
      <c r="Q203" s="58">
        <v>824.39</v>
      </c>
      <c r="R203" s="58">
        <v>831.15</v>
      </c>
      <c r="S203" s="58">
        <v>802.32</v>
      </c>
      <c r="T203" s="58">
        <v>785.66</v>
      </c>
      <c r="U203" s="58">
        <v>855.46</v>
      </c>
      <c r="V203" s="58">
        <v>871.16</v>
      </c>
      <c r="W203" s="61">
        <v>851.78</v>
      </c>
      <c r="X203" s="109">
        <v>-6.8465467194140928E-3</v>
      </c>
      <c r="Y203" s="109">
        <v>9.5790992501973982E-3</v>
      </c>
      <c r="Z203" s="109">
        <v>1.2218323515310159E-2</v>
      </c>
      <c r="AA203" s="109">
        <v>1.492186085802194E-2</v>
      </c>
    </row>
    <row r="204" spans="1:27" ht="15" x14ac:dyDescent="0.25">
      <c r="A204" s="4">
        <v>260129</v>
      </c>
      <c r="B204" s="19" t="s">
        <v>702</v>
      </c>
      <c r="C204" s="19" t="s">
        <v>23</v>
      </c>
      <c r="D204" s="19" t="s">
        <v>191</v>
      </c>
      <c r="E204" s="19" t="s">
        <v>25</v>
      </c>
      <c r="F204" s="47">
        <v>1.2872886186585659</v>
      </c>
      <c r="G204" s="58">
        <v>3569</v>
      </c>
      <c r="H204" s="58">
        <v>3356</v>
      </c>
      <c r="I204" s="58">
        <v>4190</v>
      </c>
      <c r="J204" s="58">
        <v>4372</v>
      </c>
      <c r="K204" s="58">
        <v>4074</v>
      </c>
      <c r="L204" s="58">
        <v>3666</v>
      </c>
      <c r="M204" s="58">
        <v>4705</v>
      </c>
      <c r="N204" s="58">
        <v>4883</v>
      </c>
      <c r="O204" s="58">
        <v>4424</v>
      </c>
      <c r="P204" s="58">
        <v>4216</v>
      </c>
      <c r="Q204" s="58">
        <v>5307</v>
      </c>
      <c r="R204" s="58">
        <v>5441</v>
      </c>
      <c r="S204" s="58">
        <v>4874</v>
      </c>
      <c r="T204" s="58">
        <v>4689</v>
      </c>
      <c r="U204" s="58">
        <v>5746</v>
      </c>
      <c r="V204" s="58">
        <v>5743</v>
      </c>
      <c r="W204" s="61">
        <v>5145</v>
      </c>
      <c r="X204" s="109">
        <v>2.3843129347716596E-2</v>
      </c>
      <c r="Y204" s="109">
        <v>2.1613903795972611E-2</v>
      </c>
      <c r="Z204" s="109">
        <v>1.4554216867469938E-2</v>
      </c>
      <c r="AA204" s="109">
        <v>1.2872886186585664E-2</v>
      </c>
    </row>
    <row r="205" spans="1:27" ht="15" x14ac:dyDescent="0.25">
      <c r="A205" s="4">
        <v>260129</v>
      </c>
      <c r="B205" s="19" t="s">
        <v>703</v>
      </c>
      <c r="C205" s="19" t="s">
        <v>23</v>
      </c>
      <c r="D205" s="19" t="s">
        <v>41</v>
      </c>
      <c r="E205" s="19" t="s">
        <v>25</v>
      </c>
      <c r="F205" s="47">
        <v>1.2845849802371581</v>
      </c>
      <c r="G205" s="58">
        <v>4762</v>
      </c>
      <c r="H205" s="58">
        <v>4999</v>
      </c>
      <c r="I205" s="58">
        <v>5872</v>
      </c>
      <c r="J205" s="58">
        <v>6047</v>
      </c>
      <c r="K205" s="58">
        <v>5231</v>
      </c>
      <c r="L205" s="58">
        <v>5442</v>
      </c>
      <c r="M205" s="58">
        <v>6241</v>
      </c>
      <c r="N205" s="58">
        <v>6117</v>
      </c>
      <c r="O205" s="58">
        <v>5252</v>
      </c>
      <c r="P205" s="58">
        <v>5367</v>
      </c>
      <c r="Q205" s="58">
        <v>6272</v>
      </c>
      <c r="R205" s="58">
        <v>6163</v>
      </c>
      <c r="S205" s="58">
        <v>5297</v>
      </c>
      <c r="T205" s="58">
        <v>5306</v>
      </c>
      <c r="U205" s="58">
        <v>6315</v>
      </c>
      <c r="V205" s="58">
        <v>6358</v>
      </c>
      <c r="W205" s="61">
        <v>5596</v>
      </c>
      <c r="X205" s="109">
        <v>-2.6408069613402807E-3</v>
      </c>
      <c r="Y205" s="109">
        <v>1.8664814654050232E-3</v>
      </c>
      <c r="Z205" s="109">
        <v>8.4485074303539687E-3</v>
      </c>
      <c r="AA205" s="109">
        <v>1.2845849802371578E-2</v>
      </c>
    </row>
    <row r="206" spans="1:27" ht="15" x14ac:dyDescent="0.25">
      <c r="A206" s="4">
        <v>260129</v>
      </c>
      <c r="B206" s="19" t="s">
        <v>704</v>
      </c>
      <c r="C206" s="19" t="s">
        <v>23</v>
      </c>
      <c r="D206" s="19" t="s">
        <v>29</v>
      </c>
      <c r="E206" s="19" t="s">
        <v>25</v>
      </c>
      <c r="F206" s="47">
        <v>1.2533572068039289</v>
      </c>
      <c r="G206" s="58">
        <v>57.65</v>
      </c>
      <c r="H206" s="58">
        <v>61.66</v>
      </c>
      <c r="I206" s="58">
        <v>64.48</v>
      </c>
      <c r="J206" s="58">
        <v>64.91</v>
      </c>
      <c r="K206" s="58">
        <v>63.07</v>
      </c>
      <c r="L206" s="58">
        <v>66.489999999999995</v>
      </c>
      <c r="M206" s="58">
        <v>61.4</v>
      </c>
      <c r="N206" s="58">
        <v>67.59</v>
      </c>
      <c r="O206" s="58">
        <v>78.680000000000007</v>
      </c>
      <c r="P206" s="58">
        <v>80.31</v>
      </c>
      <c r="Q206" s="58">
        <v>78.099999999999994</v>
      </c>
      <c r="R206" s="58">
        <v>79.3</v>
      </c>
      <c r="S206" s="58">
        <v>81.67</v>
      </c>
      <c r="T206" s="58">
        <v>82.62</v>
      </c>
      <c r="U206" s="58">
        <v>84.89</v>
      </c>
      <c r="V206" s="58">
        <v>85.92</v>
      </c>
      <c r="W206" s="61">
        <v>85.87</v>
      </c>
      <c r="X206" s="109">
        <v>7.2327634792410667E-3</v>
      </c>
      <c r="Y206" s="109">
        <v>2.1107277192328189E-2</v>
      </c>
      <c r="Z206" s="109">
        <v>2.0153433999025916E-2</v>
      </c>
      <c r="AA206" s="109">
        <v>1.2533572068039289E-2</v>
      </c>
    </row>
    <row r="207" spans="1:27" ht="15" x14ac:dyDescent="0.25">
      <c r="A207" s="4">
        <v>260129</v>
      </c>
      <c r="B207" s="19" t="s">
        <v>705</v>
      </c>
      <c r="C207" s="19" t="s">
        <v>23</v>
      </c>
      <c r="D207" s="19" t="s">
        <v>706</v>
      </c>
      <c r="E207" s="19" t="s">
        <v>801</v>
      </c>
      <c r="F207" s="47">
        <v>1.2135535609963279</v>
      </c>
      <c r="G207" s="58">
        <v>253.21</v>
      </c>
      <c r="H207" s="58">
        <v>218.58</v>
      </c>
      <c r="I207" s="58">
        <v>257.75</v>
      </c>
      <c r="J207" s="58">
        <v>252.6</v>
      </c>
      <c r="K207" s="58">
        <v>274.33</v>
      </c>
      <c r="L207" s="58">
        <v>238.54</v>
      </c>
      <c r="M207" s="58">
        <v>234.22</v>
      </c>
      <c r="N207" s="58">
        <v>234.11</v>
      </c>
      <c r="O207" s="58">
        <v>291.22000000000003</v>
      </c>
      <c r="P207" s="58">
        <v>271.88</v>
      </c>
      <c r="Q207" s="58">
        <v>269.57</v>
      </c>
      <c r="R207" s="58">
        <v>276.2</v>
      </c>
      <c r="S207" s="58">
        <v>301.07</v>
      </c>
      <c r="T207" s="58">
        <v>260.91000000000003</v>
      </c>
      <c r="U207" s="58">
        <v>269.08</v>
      </c>
      <c r="V207" s="58">
        <v>298.68</v>
      </c>
      <c r="W207" s="61">
        <v>314.77999999999997</v>
      </c>
      <c r="X207" s="109">
        <v>-9.8058495423340997E-3</v>
      </c>
      <c r="Y207" s="109">
        <v>-4.4233807266980119E-4</v>
      </c>
      <c r="Z207" s="109">
        <v>2.030236800751406E-2</v>
      </c>
      <c r="AA207" s="109">
        <v>1.2135535609963277E-2</v>
      </c>
    </row>
    <row r="208" spans="1:27" ht="15" x14ac:dyDescent="0.25">
      <c r="A208" s="4">
        <v>260129</v>
      </c>
      <c r="B208" s="19" t="s">
        <v>707</v>
      </c>
      <c r="C208" s="19" t="s">
        <v>23</v>
      </c>
      <c r="D208" s="19" t="s">
        <v>708</v>
      </c>
      <c r="E208" s="19" t="s">
        <v>25</v>
      </c>
      <c r="F208" s="47">
        <v>1.201356190597203</v>
      </c>
      <c r="G208" s="58">
        <v>407.71</v>
      </c>
      <c r="H208" s="58">
        <v>316.3</v>
      </c>
      <c r="I208" s="58">
        <v>345.99</v>
      </c>
      <c r="J208" s="58">
        <v>331.24</v>
      </c>
      <c r="K208" s="58">
        <v>289.58999999999997</v>
      </c>
      <c r="L208" s="58">
        <v>281.87</v>
      </c>
      <c r="M208" s="58">
        <v>294.08</v>
      </c>
      <c r="N208" s="58">
        <v>312.54000000000002</v>
      </c>
      <c r="O208" s="58">
        <v>288.94</v>
      </c>
      <c r="P208" s="58">
        <v>288.11</v>
      </c>
      <c r="Q208" s="58">
        <v>286.02</v>
      </c>
      <c r="R208" s="58">
        <v>306.76</v>
      </c>
      <c r="S208" s="58">
        <v>306.93</v>
      </c>
      <c r="T208" s="58">
        <v>309.12</v>
      </c>
      <c r="U208" s="58">
        <v>310.64999999999998</v>
      </c>
      <c r="V208" s="58">
        <v>332.71</v>
      </c>
      <c r="W208" s="61">
        <v>322.06</v>
      </c>
      <c r="X208" s="109">
        <v>1.7687865164755623E-2</v>
      </c>
      <c r="Y208" s="109">
        <v>2.0375073418098522E-2</v>
      </c>
      <c r="Z208" s="109">
        <v>2.1038379842070132E-2</v>
      </c>
      <c r="AA208" s="109">
        <v>1.2013561905972026E-2</v>
      </c>
    </row>
    <row r="209" spans="1:27" ht="15" x14ac:dyDescent="0.25">
      <c r="A209" s="4">
        <v>260129</v>
      </c>
      <c r="B209" s="19" t="s">
        <v>709</v>
      </c>
      <c r="C209" s="19" t="s">
        <v>23</v>
      </c>
      <c r="D209" s="19" t="s">
        <v>699</v>
      </c>
      <c r="E209" s="19" t="s">
        <v>25</v>
      </c>
      <c r="F209" s="47">
        <v>1.0865692910580591</v>
      </c>
      <c r="G209" s="58">
        <v>1575</v>
      </c>
      <c r="H209" s="58">
        <v>1621</v>
      </c>
      <c r="I209" s="58">
        <v>1747</v>
      </c>
      <c r="J209" s="58">
        <v>1675</v>
      </c>
      <c r="K209" s="58">
        <v>1562</v>
      </c>
      <c r="L209" s="58">
        <v>1429</v>
      </c>
      <c r="M209" s="58">
        <v>1347</v>
      </c>
      <c r="N209" s="58">
        <v>1352</v>
      </c>
      <c r="O209" s="58">
        <v>1372</v>
      </c>
      <c r="P209" s="58">
        <v>1319</v>
      </c>
      <c r="Q209" s="58">
        <v>1317</v>
      </c>
      <c r="R209" s="58">
        <v>1316</v>
      </c>
      <c r="S209" s="58">
        <v>1339</v>
      </c>
      <c r="T209" s="58">
        <v>1402</v>
      </c>
      <c r="U209" s="58">
        <v>1421</v>
      </c>
      <c r="V209" s="58">
        <v>1452</v>
      </c>
      <c r="W209" s="61">
        <v>1400</v>
      </c>
      <c r="X209" s="109">
        <v>1.5687015687015693E-2</v>
      </c>
      <c r="Y209" s="109">
        <v>1.9352437662820909E-2</v>
      </c>
      <c r="Z209" s="109">
        <v>2.4826579043446539E-2</v>
      </c>
      <c r="AA209" s="109">
        <v>1.0865692910580593E-2</v>
      </c>
    </row>
    <row r="210" spans="1:27" ht="15" x14ac:dyDescent="0.25">
      <c r="A210" s="4">
        <v>260129</v>
      </c>
      <c r="B210" s="19" t="s">
        <v>710</v>
      </c>
      <c r="C210" s="19" t="s">
        <v>23</v>
      </c>
      <c r="D210" s="19" t="s">
        <v>711</v>
      </c>
      <c r="E210" s="19" t="s">
        <v>25</v>
      </c>
      <c r="F210" s="47">
        <v>0.97895378068346695</v>
      </c>
      <c r="G210" s="58">
        <v>34410</v>
      </c>
      <c r="H210" s="58">
        <v>37119</v>
      </c>
      <c r="I210" s="58">
        <v>50387</v>
      </c>
      <c r="J210" s="58">
        <v>43241</v>
      </c>
      <c r="K210" s="58">
        <v>40442</v>
      </c>
      <c r="L210" s="58">
        <v>35017</v>
      </c>
      <c r="M210" s="58">
        <v>33060</v>
      </c>
      <c r="N210" s="58">
        <v>36936</v>
      </c>
      <c r="O210" s="58">
        <v>33988</v>
      </c>
      <c r="P210" s="58">
        <v>30372</v>
      </c>
      <c r="Q210" s="58">
        <v>33034</v>
      </c>
      <c r="R210" s="58">
        <v>31337</v>
      </c>
      <c r="S210" s="58">
        <v>29231</v>
      </c>
      <c r="T210" s="58">
        <v>28754</v>
      </c>
      <c r="U210" s="58">
        <v>28227</v>
      </c>
      <c r="V210" s="58">
        <v>30341</v>
      </c>
      <c r="W210" s="61">
        <v>30372</v>
      </c>
      <c r="X210" s="109">
        <v>-1.3051123622695116E-2</v>
      </c>
      <c r="Y210" s="109">
        <v>-3.9286998594265876E-2</v>
      </c>
      <c r="Z210" s="109">
        <v>-8.4730622974249492E-3</v>
      </c>
      <c r="AA210" s="109">
        <v>9.7895378068346695E-3</v>
      </c>
    </row>
    <row r="211" spans="1:27" ht="15" x14ac:dyDescent="0.25">
      <c r="A211" s="4">
        <v>260129</v>
      </c>
      <c r="B211" s="19" t="s">
        <v>712</v>
      </c>
      <c r="C211" s="19" t="s">
        <v>23</v>
      </c>
      <c r="D211" s="19" t="s">
        <v>475</v>
      </c>
      <c r="E211" s="19" t="s">
        <v>25</v>
      </c>
      <c r="F211" s="47">
        <v>0.88075880758806679</v>
      </c>
      <c r="G211" s="58">
        <v>1792</v>
      </c>
      <c r="H211" s="58">
        <v>1946</v>
      </c>
      <c r="I211" s="58">
        <v>2066</v>
      </c>
      <c r="J211" s="58">
        <v>2067</v>
      </c>
      <c r="K211" s="58">
        <v>2204</v>
      </c>
      <c r="L211" s="58">
        <v>2268</v>
      </c>
      <c r="M211" s="58">
        <v>2413</v>
      </c>
      <c r="N211" s="58">
        <v>2510</v>
      </c>
      <c r="O211" s="58">
        <v>2467</v>
      </c>
      <c r="P211" s="58">
        <v>2544</v>
      </c>
      <c r="Q211" s="58">
        <v>2847</v>
      </c>
      <c r="R211" s="58">
        <v>2741</v>
      </c>
      <c r="S211" s="58">
        <v>2598</v>
      </c>
      <c r="T211" s="58">
        <v>2313</v>
      </c>
      <c r="U211" s="58">
        <v>2732</v>
      </c>
      <c r="V211" s="58">
        <v>2689</v>
      </c>
      <c r="W211" s="61">
        <v>2689</v>
      </c>
      <c r="X211" s="109">
        <v>-2.1528424976700822E-2</v>
      </c>
      <c r="Y211" s="109">
        <v>-1.095342413563194E-2</v>
      </c>
      <c r="Z211" s="109">
        <v>-5.00770416024654E-3</v>
      </c>
      <c r="AA211" s="109">
        <v>8.8075880758806679E-3</v>
      </c>
    </row>
    <row r="212" spans="1:27" ht="15" x14ac:dyDescent="0.25">
      <c r="A212" s="4">
        <v>260129</v>
      </c>
      <c r="B212" s="19" t="s">
        <v>713</v>
      </c>
      <c r="C212" s="19" t="s">
        <v>23</v>
      </c>
      <c r="D212" s="19" t="s">
        <v>115</v>
      </c>
      <c r="E212" s="19" t="s">
        <v>25</v>
      </c>
      <c r="F212" s="47">
        <v>0.83849399901354538</v>
      </c>
      <c r="G212" s="58">
        <v>7981</v>
      </c>
      <c r="H212" s="58">
        <v>6773</v>
      </c>
      <c r="I212" s="58">
        <v>7205</v>
      </c>
      <c r="J212" s="58">
        <v>7478</v>
      </c>
      <c r="K212" s="58">
        <v>8064</v>
      </c>
      <c r="L212" s="58">
        <v>7442</v>
      </c>
      <c r="M212" s="58">
        <v>7552</v>
      </c>
      <c r="N212" s="58">
        <v>7744</v>
      </c>
      <c r="O212" s="58">
        <v>8468</v>
      </c>
      <c r="P212" s="58">
        <v>8041</v>
      </c>
      <c r="Q212" s="58">
        <v>8288</v>
      </c>
      <c r="R212" s="58">
        <v>8470</v>
      </c>
      <c r="S212" s="58">
        <v>9378</v>
      </c>
      <c r="T212" s="58">
        <v>9013</v>
      </c>
      <c r="U212" s="58">
        <v>9027</v>
      </c>
      <c r="V212" s="58">
        <v>9076</v>
      </c>
      <c r="W212" s="61">
        <v>9684</v>
      </c>
      <c r="X212" s="109">
        <v>2.8440179067794169E-2</v>
      </c>
      <c r="Y212" s="109">
        <v>2.1024780221343464E-2</v>
      </c>
      <c r="Z212" s="109">
        <v>1.688586714222029E-2</v>
      </c>
      <c r="AA212" s="109">
        <v>8.3849399901354538E-3</v>
      </c>
    </row>
    <row r="213" spans="1:27" ht="15" x14ac:dyDescent="0.25">
      <c r="A213" s="4">
        <v>260129</v>
      </c>
      <c r="B213" s="19" t="s">
        <v>714</v>
      </c>
      <c r="C213" s="19" t="s">
        <v>23</v>
      </c>
      <c r="D213" s="19" t="s">
        <v>697</v>
      </c>
      <c r="E213" s="19" t="s">
        <v>59</v>
      </c>
      <c r="F213" s="47">
        <v>0.80519480519480879</v>
      </c>
      <c r="G213" s="58">
        <v>3319</v>
      </c>
      <c r="H213" s="58">
        <v>3024</v>
      </c>
      <c r="I213" s="58">
        <v>3903</v>
      </c>
      <c r="J213" s="58">
        <v>3271</v>
      </c>
      <c r="K213" s="58">
        <v>4006</v>
      </c>
      <c r="L213" s="58">
        <v>3299</v>
      </c>
      <c r="M213" s="58">
        <v>4185</v>
      </c>
      <c r="N213" s="58">
        <v>3412</v>
      </c>
      <c r="O213" s="58">
        <v>3660</v>
      </c>
      <c r="P213" s="58">
        <v>3395</v>
      </c>
      <c r="Q213" s="58">
        <v>4247</v>
      </c>
      <c r="R213" s="58">
        <v>3468</v>
      </c>
      <c r="S213" s="58">
        <v>3774</v>
      </c>
      <c r="T213" s="58">
        <v>3467</v>
      </c>
      <c r="U213" s="58">
        <v>4440</v>
      </c>
      <c r="V213" s="58">
        <v>3719</v>
      </c>
      <c r="W213" s="61">
        <v>3898</v>
      </c>
      <c r="X213" s="109">
        <v>4.8374092985756789E-3</v>
      </c>
      <c r="Y213" s="109">
        <v>1.2904519925113656E-2</v>
      </c>
      <c r="Z213" s="109">
        <v>1.6568750412568445E-2</v>
      </c>
      <c r="AA213" s="109">
        <v>8.0519480519480879E-3</v>
      </c>
    </row>
    <row r="214" spans="1:27" ht="15" x14ac:dyDescent="0.25">
      <c r="A214" s="4">
        <v>260129</v>
      </c>
      <c r="B214" s="19" t="s">
        <v>715</v>
      </c>
      <c r="C214" s="19" t="s">
        <v>23</v>
      </c>
      <c r="D214" s="19" t="s">
        <v>29</v>
      </c>
      <c r="E214" s="19" t="s">
        <v>25</v>
      </c>
      <c r="F214" s="47">
        <v>0.65557816508892142</v>
      </c>
      <c r="G214" s="58">
        <v>240.8</v>
      </c>
      <c r="H214" s="58">
        <v>243.57</v>
      </c>
      <c r="I214" s="58">
        <v>249.44</v>
      </c>
      <c r="J214" s="58">
        <v>259.32</v>
      </c>
      <c r="K214" s="58">
        <v>239.64</v>
      </c>
      <c r="L214" s="58">
        <v>217.97</v>
      </c>
      <c r="M214" s="58">
        <v>231.37</v>
      </c>
      <c r="N214" s="58">
        <v>246.47</v>
      </c>
      <c r="O214" s="58">
        <v>241.3</v>
      </c>
      <c r="P214" s="58">
        <v>246.16</v>
      </c>
      <c r="Q214" s="58">
        <v>281.86</v>
      </c>
      <c r="R214" s="58">
        <v>277.66000000000003</v>
      </c>
      <c r="S214" s="58">
        <v>276.77</v>
      </c>
      <c r="T214" s="58">
        <v>263.97000000000003</v>
      </c>
      <c r="U214" s="58">
        <v>297.95</v>
      </c>
      <c r="V214" s="58">
        <v>291.61</v>
      </c>
      <c r="W214" s="61">
        <v>284.18</v>
      </c>
      <c r="X214" s="109">
        <v>1.6453415862164533E-2</v>
      </c>
      <c r="Y214" s="109">
        <v>1.4623816188900962E-2</v>
      </c>
      <c r="Z214" s="109">
        <v>1.2496080978187774E-2</v>
      </c>
      <c r="AA214" s="109">
        <v>6.5557816508889921E-3</v>
      </c>
    </row>
    <row r="215" spans="1:27" ht="15" x14ac:dyDescent="0.25">
      <c r="A215" s="4">
        <v>260129</v>
      </c>
      <c r="B215" s="19" t="s">
        <v>716</v>
      </c>
      <c r="C215" s="19" t="s">
        <v>23</v>
      </c>
      <c r="D215" s="19" t="s">
        <v>677</v>
      </c>
      <c r="E215" s="19" t="s">
        <v>59</v>
      </c>
      <c r="F215" s="47">
        <v>0.6339917093391767</v>
      </c>
      <c r="G215" s="58">
        <v>1471</v>
      </c>
      <c r="H215" s="58">
        <v>1436</v>
      </c>
      <c r="I215" s="58">
        <v>1003</v>
      </c>
      <c r="J215" s="58">
        <v>953.2</v>
      </c>
      <c r="K215" s="58">
        <v>1074</v>
      </c>
      <c r="L215" s="58">
        <v>1027</v>
      </c>
      <c r="M215" s="58">
        <v>984.4</v>
      </c>
      <c r="N215" s="58">
        <v>945.3</v>
      </c>
      <c r="O215" s="58">
        <v>1013</v>
      </c>
      <c r="P215" s="58">
        <v>1018</v>
      </c>
      <c r="Q215" s="58">
        <v>1011</v>
      </c>
      <c r="R215" s="58">
        <v>988</v>
      </c>
      <c r="S215" s="58">
        <v>1022</v>
      </c>
      <c r="T215" s="58">
        <v>1005</v>
      </c>
      <c r="U215" s="58">
        <v>1024</v>
      </c>
      <c r="V215" s="58">
        <v>1050</v>
      </c>
      <c r="W215" s="61">
        <v>1048</v>
      </c>
      <c r="X215" s="109">
        <v>-3.2186184699183329E-3</v>
      </c>
      <c r="Y215" s="109">
        <v>3.2290114257327307E-3</v>
      </c>
      <c r="Z215" s="109">
        <v>1.5350334241148733E-2</v>
      </c>
      <c r="AA215" s="109">
        <v>6.339917093391767E-3</v>
      </c>
    </row>
    <row r="216" spans="1:27" ht="15" x14ac:dyDescent="0.25">
      <c r="A216" s="4">
        <v>260129</v>
      </c>
      <c r="B216" s="19" t="s">
        <v>717</v>
      </c>
      <c r="C216" s="19" t="s">
        <v>23</v>
      </c>
      <c r="D216" s="19" t="s">
        <v>119</v>
      </c>
      <c r="E216" s="19" t="s">
        <v>25</v>
      </c>
      <c r="F216" s="47">
        <v>0.61214495592556428</v>
      </c>
      <c r="G216" s="58">
        <v>1467</v>
      </c>
      <c r="H216" s="58">
        <v>1535</v>
      </c>
      <c r="I216" s="58">
        <v>1552</v>
      </c>
      <c r="J216" s="58">
        <v>1557</v>
      </c>
      <c r="K216" s="58">
        <v>1582</v>
      </c>
      <c r="L216" s="58">
        <v>1533</v>
      </c>
      <c r="M216" s="58">
        <v>1433</v>
      </c>
      <c r="N216" s="58">
        <v>1451</v>
      </c>
      <c r="O216" s="58">
        <v>1647</v>
      </c>
      <c r="P216" s="58">
        <v>1677</v>
      </c>
      <c r="Q216" s="58">
        <v>1792</v>
      </c>
      <c r="R216" s="58">
        <v>1902</v>
      </c>
      <c r="S216" s="58">
        <v>2030</v>
      </c>
      <c r="T216" s="58">
        <v>2090</v>
      </c>
      <c r="U216" s="58">
        <v>2090</v>
      </c>
      <c r="V216" s="58">
        <v>1958</v>
      </c>
      <c r="W216" s="61">
        <v>2080</v>
      </c>
      <c r="X216" s="109">
        <v>5.5803269828401669E-2</v>
      </c>
      <c r="Y216" s="109">
        <v>3.8136677757870441E-2</v>
      </c>
      <c r="Z216" s="109">
        <v>6.9033530571991353E-3</v>
      </c>
      <c r="AA216" s="109">
        <v>6.1214495592556428E-3</v>
      </c>
    </row>
    <row r="217" spans="1:27" ht="15" x14ac:dyDescent="0.25">
      <c r="A217" s="4">
        <v>260129</v>
      </c>
      <c r="B217" s="19" t="s">
        <v>718</v>
      </c>
      <c r="C217" s="19" t="s">
        <v>23</v>
      </c>
      <c r="D217" s="19" t="s">
        <v>131</v>
      </c>
      <c r="E217" s="19" t="s">
        <v>799</v>
      </c>
      <c r="F217" s="47">
        <v>0.57497700091997395</v>
      </c>
      <c r="G217" s="58">
        <v>4350</v>
      </c>
      <c r="H217" s="58">
        <v>4103</v>
      </c>
      <c r="I217" s="58">
        <v>4135</v>
      </c>
      <c r="J217" s="58">
        <v>4246</v>
      </c>
      <c r="K217" s="58">
        <v>4578</v>
      </c>
      <c r="L217" s="58">
        <v>4471</v>
      </c>
      <c r="M217" s="58">
        <v>4693</v>
      </c>
      <c r="N217" s="58">
        <v>4915</v>
      </c>
      <c r="O217" s="58">
        <v>5340</v>
      </c>
      <c r="P217" s="58">
        <v>5211</v>
      </c>
      <c r="Q217" s="58">
        <v>5299</v>
      </c>
      <c r="R217" s="58">
        <v>5292</v>
      </c>
      <c r="S217" s="58">
        <v>5523</v>
      </c>
      <c r="T217" s="58">
        <v>5132</v>
      </c>
      <c r="U217" s="58">
        <v>5426</v>
      </c>
      <c r="V217" s="58">
        <v>5659</v>
      </c>
      <c r="W217" s="61">
        <v>5648</v>
      </c>
      <c r="X217" s="109">
        <v>-3.7045720984759667E-3</v>
      </c>
      <c r="Y217" s="109">
        <v>5.9775957827354897E-3</v>
      </c>
      <c r="Z217" s="109">
        <v>1.7171197305011043E-2</v>
      </c>
      <c r="AA217" s="109">
        <v>5.7497700091997395E-3</v>
      </c>
    </row>
    <row r="218" spans="1:27" ht="15" x14ac:dyDescent="0.25">
      <c r="A218" s="4">
        <v>260129</v>
      </c>
      <c r="B218" s="19" t="s">
        <v>719</v>
      </c>
      <c r="C218" s="19" t="s">
        <v>23</v>
      </c>
      <c r="D218" s="19" t="s">
        <v>29</v>
      </c>
      <c r="E218" s="19" t="s">
        <v>25</v>
      </c>
      <c r="F218" s="47">
        <v>0.57152687514336886</v>
      </c>
      <c r="G218" s="58">
        <v>78.760000000000005</v>
      </c>
      <c r="H218" s="58">
        <v>76.459999999999994</v>
      </c>
      <c r="I218" s="58">
        <v>83.97</v>
      </c>
      <c r="J218" s="58">
        <v>87.26</v>
      </c>
      <c r="K218" s="58">
        <v>0</v>
      </c>
      <c r="L218" s="59">
        <v>112.9</v>
      </c>
      <c r="M218" s="59">
        <v>116.1</v>
      </c>
      <c r="N218" s="58">
        <v>113.91</v>
      </c>
      <c r="O218" s="59">
        <v>104.83</v>
      </c>
      <c r="P218" s="58">
        <v>121.63</v>
      </c>
      <c r="Q218" s="58">
        <v>123.27</v>
      </c>
      <c r="R218" s="58">
        <v>122.29</v>
      </c>
      <c r="S218" s="58">
        <v>128.19999999999999</v>
      </c>
      <c r="T218" s="58">
        <v>128.53</v>
      </c>
      <c r="U218" s="58">
        <v>136.87</v>
      </c>
      <c r="V218" s="58">
        <v>129.56</v>
      </c>
      <c r="W218" s="61">
        <v>131.19</v>
      </c>
      <c r="X218" s="109">
        <v>1.392842003270145E-2</v>
      </c>
      <c r="Y218" s="109">
        <v>2.7075991956837742E-2</v>
      </c>
      <c r="Z218" s="109">
        <v>1.4092151427630206E-2</v>
      </c>
      <c r="AA218" s="109">
        <v>5.7152687514334666E-3</v>
      </c>
    </row>
    <row r="219" spans="1:27" ht="15" x14ac:dyDescent="0.25">
      <c r="A219" s="4">
        <v>260129</v>
      </c>
      <c r="B219" s="19" t="s">
        <v>720</v>
      </c>
      <c r="C219" s="19" t="s">
        <v>23</v>
      </c>
      <c r="D219" s="19" t="s">
        <v>99</v>
      </c>
      <c r="E219" s="19" t="s">
        <v>25</v>
      </c>
      <c r="F219" s="47">
        <v>0.42988076891881111</v>
      </c>
      <c r="G219" s="58">
        <v>398.7</v>
      </c>
      <c r="H219" s="58">
        <v>395.9</v>
      </c>
      <c r="I219" s="58">
        <v>271</v>
      </c>
      <c r="J219" s="58">
        <v>238.2</v>
      </c>
      <c r="K219" s="58">
        <v>279.3</v>
      </c>
      <c r="L219" s="58">
        <v>262</v>
      </c>
      <c r="M219" s="58">
        <v>164.6</v>
      </c>
      <c r="N219" s="58">
        <v>223.5</v>
      </c>
      <c r="O219" s="58">
        <v>249.1</v>
      </c>
      <c r="P219" s="58">
        <v>229.5</v>
      </c>
      <c r="Q219" s="58">
        <v>113.1</v>
      </c>
      <c r="R219" s="58">
        <v>254.4</v>
      </c>
      <c r="S219" s="58">
        <v>331.2</v>
      </c>
      <c r="T219" s="58">
        <v>294.5</v>
      </c>
      <c r="U219" s="59">
        <v>293.10000000000002</v>
      </c>
      <c r="V219" s="58">
        <v>314.10000000000002</v>
      </c>
      <c r="W219" s="61">
        <v>336.5</v>
      </c>
      <c r="X219" s="109">
        <v>7.0028011204481766E-2</v>
      </c>
      <c r="Y219" s="109">
        <v>0.18123238018525978</v>
      </c>
      <c r="Z219" s="109">
        <v>5.0886464370951234E-2</v>
      </c>
      <c r="AA219" s="109">
        <v>4.2988076891881111E-3</v>
      </c>
    </row>
    <row r="220" spans="1:27" ht="15" x14ac:dyDescent="0.25">
      <c r="A220" s="4">
        <v>260129</v>
      </c>
      <c r="B220" s="19" t="s">
        <v>721</v>
      </c>
      <c r="C220" s="19" t="s">
        <v>23</v>
      </c>
      <c r="D220" s="19" t="s">
        <v>141</v>
      </c>
      <c r="E220" s="19" t="s">
        <v>25</v>
      </c>
      <c r="F220" s="47">
        <v>0.32113662903854312</v>
      </c>
      <c r="G220" s="58">
        <v>30336</v>
      </c>
      <c r="H220" s="58">
        <v>31010</v>
      </c>
      <c r="I220" s="58">
        <v>30016</v>
      </c>
      <c r="J220" s="58">
        <v>29849</v>
      </c>
      <c r="K220" s="58">
        <v>30553</v>
      </c>
      <c r="L220" s="58">
        <v>29691</v>
      </c>
      <c r="M220" s="58">
        <v>30513</v>
      </c>
      <c r="N220" s="58">
        <v>30115</v>
      </c>
      <c r="O220" s="58">
        <v>31253</v>
      </c>
      <c r="P220" s="58">
        <v>30058</v>
      </c>
      <c r="Q220" s="58">
        <v>29688</v>
      </c>
      <c r="R220" s="58">
        <v>32070</v>
      </c>
      <c r="S220" s="58">
        <v>31914</v>
      </c>
      <c r="T220" s="58">
        <v>29887</v>
      </c>
      <c r="U220" s="58">
        <v>30313</v>
      </c>
      <c r="V220" s="58">
        <v>31198</v>
      </c>
      <c r="W220" s="61">
        <v>32310</v>
      </c>
      <c r="X220" s="109">
        <v>-1.382041542067447E-3</v>
      </c>
      <c r="Y220" s="109">
        <v>5.0583122233103239E-3</v>
      </c>
      <c r="Z220" s="109">
        <v>-7.0218385621335644E-3</v>
      </c>
      <c r="AA220" s="109">
        <v>3.2113662903854312E-3</v>
      </c>
    </row>
    <row r="221" spans="1:27" ht="15" x14ac:dyDescent="0.25">
      <c r="A221" s="4">
        <v>260129</v>
      </c>
      <c r="B221" s="19" t="s">
        <v>722</v>
      </c>
      <c r="C221" s="19" t="s">
        <v>23</v>
      </c>
      <c r="D221" s="19" t="s">
        <v>723</v>
      </c>
      <c r="E221" s="19" t="s">
        <v>25</v>
      </c>
      <c r="F221" s="47">
        <v>0.15085633152898131</v>
      </c>
      <c r="G221" s="58">
        <v>0</v>
      </c>
      <c r="H221" s="58">
        <v>3844</v>
      </c>
      <c r="I221" s="58">
        <v>4145</v>
      </c>
      <c r="J221" s="58">
        <v>4163</v>
      </c>
      <c r="K221" s="59">
        <v>4069</v>
      </c>
      <c r="L221" s="58">
        <v>4130</v>
      </c>
      <c r="M221" s="58">
        <v>4559</v>
      </c>
      <c r="N221" s="58">
        <v>4705</v>
      </c>
      <c r="O221" s="58">
        <v>4480</v>
      </c>
      <c r="P221" s="58">
        <v>4471</v>
      </c>
      <c r="Q221" s="58">
        <v>4696</v>
      </c>
      <c r="R221" s="58">
        <v>5221</v>
      </c>
      <c r="S221" s="58">
        <v>5546</v>
      </c>
      <c r="T221" s="58">
        <v>5505</v>
      </c>
      <c r="U221" s="58">
        <v>5704</v>
      </c>
      <c r="V221" s="58">
        <v>5783</v>
      </c>
      <c r="W221" s="61">
        <v>5580</v>
      </c>
      <c r="X221" s="109">
        <v>5.1871174877094361E-2</v>
      </c>
      <c r="Y221" s="109">
        <v>4.8073254483021799E-2</v>
      </c>
      <c r="Z221" s="109">
        <v>2.557335274845296E-2</v>
      </c>
      <c r="AA221" s="109">
        <v>1.5085633152898126E-3</v>
      </c>
    </row>
    <row r="222" spans="1:27" ht="15" x14ac:dyDescent="0.25">
      <c r="A222" s="4">
        <v>260129</v>
      </c>
      <c r="B222" s="19" t="s">
        <v>724</v>
      </c>
      <c r="C222" s="19" t="s">
        <v>23</v>
      </c>
      <c r="D222" s="19" t="s">
        <v>41</v>
      </c>
      <c r="E222" s="19" t="s">
        <v>25</v>
      </c>
      <c r="F222" s="47">
        <v>6.7593665507925671E-2</v>
      </c>
      <c r="G222" s="58">
        <v>476.9</v>
      </c>
      <c r="H222" s="58">
        <v>519.1</v>
      </c>
      <c r="I222" s="58">
        <v>557</v>
      </c>
      <c r="J222" s="58">
        <v>541.9</v>
      </c>
      <c r="K222" s="58">
        <v>507.6</v>
      </c>
      <c r="L222" s="58">
        <v>546.1</v>
      </c>
      <c r="M222" s="58">
        <v>551.5</v>
      </c>
      <c r="N222" s="58">
        <v>547.79999999999995</v>
      </c>
      <c r="O222" s="58">
        <v>524.5</v>
      </c>
      <c r="P222" s="58">
        <v>534.5</v>
      </c>
      <c r="Q222" s="58">
        <v>541.20000000000005</v>
      </c>
      <c r="R222" s="58">
        <v>524.70000000000005</v>
      </c>
      <c r="S222" s="58">
        <v>518.1</v>
      </c>
      <c r="T222" s="58">
        <v>491.8</v>
      </c>
      <c r="U222" s="58">
        <v>528.9</v>
      </c>
      <c r="V222" s="58">
        <v>532.4</v>
      </c>
      <c r="W222" s="61">
        <v>519.5</v>
      </c>
      <c r="X222" s="109">
        <v>-2.0155770592400146E-2</v>
      </c>
      <c r="Y222" s="109">
        <v>-5.9254263416514963E-3</v>
      </c>
      <c r="Z222" s="109">
        <v>3.7315241095228213E-3</v>
      </c>
      <c r="AA222" s="109">
        <v>6.7593665507903467E-4</v>
      </c>
    </row>
    <row r="223" spans="1:27" ht="15" x14ac:dyDescent="0.25">
      <c r="A223" s="4">
        <v>260129</v>
      </c>
      <c r="B223" s="19" t="s">
        <v>725</v>
      </c>
      <c r="C223" s="19" t="s">
        <v>23</v>
      </c>
      <c r="D223" s="19" t="s">
        <v>153</v>
      </c>
      <c r="E223" s="19" t="s">
        <v>25</v>
      </c>
      <c r="F223" s="47">
        <v>2.6111024074237932E-3</v>
      </c>
      <c r="G223" s="58">
        <v>995.5</v>
      </c>
      <c r="H223" s="58">
        <v>977.7</v>
      </c>
      <c r="I223" s="58">
        <v>965.9</v>
      </c>
      <c r="J223" s="58">
        <v>874.2</v>
      </c>
      <c r="K223" s="58">
        <v>936.1</v>
      </c>
      <c r="L223" s="58">
        <v>966.4</v>
      </c>
      <c r="M223" s="58">
        <v>960.8</v>
      </c>
      <c r="N223" s="58">
        <v>937.5</v>
      </c>
      <c r="O223" s="58">
        <v>988.1</v>
      </c>
      <c r="P223" s="58">
        <v>978.8</v>
      </c>
      <c r="Q223" s="58">
        <v>1024</v>
      </c>
      <c r="R223" s="58">
        <v>902.6</v>
      </c>
      <c r="S223" s="58">
        <v>912.4</v>
      </c>
      <c r="T223" s="58">
        <v>963.9</v>
      </c>
      <c r="U223" s="58">
        <v>1011</v>
      </c>
      <c r="V223" s="58">
        <v>942.5</v>
      </c>
      <c r="W223" s="61">
        <v>912.5</v>
      </c>
      <c r="X223" s="109">
        <v>-3.9027712295038874E-3</v>
      </c>
      <c r="Y223" s="109">
        <v>-3.418443819190653E-3</v>
      </c>
      <c r="Z223" s="109">
        <v>1.0527982268661473E-2</v>
      </c>
      <c r="AA223" s="109">
        <v>2.6111024074237932E-5</v>
      </c>
    </row>
    <row r="224" spans="1:27" ht="15" x14ac:dyDescent="0.25">
      <c r="A224" s="4">
        <v>260129</v>
      </c>
      <c r="B224" s="19" t="s">
        <v>726</v>
      </c>
      <c r="C224" s="19" t="s">
        <v>23</v>
      </c>
      <c r="D224" s="19" t="s">
        <v>727</v>
      </c>
      <c r="E224" s="19" t="s">
        <v>25</v>
      </c>
      <c r="F224" s="47">
        <v>-8.8417329796641742E-2</v>
      </c>
      <c r="G224" s="58">
        <v>2430</v>
      </c>
      <c r="H224" s="58">
        <v>2461</v>
      </c>
      <c r="I224" s="58">
        <v>2616</v>
      </c>
      <c r="J224" s="58">
        <v>2322</v>
      </c>
      <c r="K224" s="58">
        <v>1977</v>
      </c>
      <c r="L224" s="58">
        <v>1844</v>
      </c>
      <c r="M224" s="58">
        <v>1703</v>
      </c>
      <c r="N224" s="58">
        <v>1671</v>
      </c>
      <c r="O224" s="58">
        <v>1615</v>
      </c>
      <c r="P224" s="58">
        <v>1635</v>
      </c>
      <c r="Q224" s="58">
        <v>1644</v>
      </c>
      <c r="R224" s="58">
        <v>1590</v>
      </c>
      <c r="S224" s="58">
        <v>1671</v>
      </c>
      <c r="T224" s="58">
        <v>1644</v>
      </c>
      <c r="U224" s="58">
        <v>1758</v>
      </c>
      <c r="V224" s="58">
        <v>1713</v>
      </c>
      <c r="W224" s="61">
        <v>1665</v>
      </c>
      <c r="X224" s="109">
        <v>1.3761467889907841E-3</v>
      </c>
      <c r="Y224" s="109">
        <v>1.7407237746220883E-2</v>
      </c>
      <c r="Z224" s="109">
        <v>1.8460153084196351E-2</v>
      </c>
      <c r="AA224" s="109">
        <v>-8.8417329796641742E-4</v>
      </c>
    </row>
    <row r="225" spans="1:27" ht="15" x14ac:dyDescent="0.25">
      <c r="A225" s="4">
        <v>260129</v>
      </c>
      <c r="B225" s="19" t="s">
        <v>728</v>
      </c>
      <c r="C225" s="19" t="s">
        <v>23</v>
      </c>
      <c r="D225" s="19" t="s">
        <v>729</v>
      </c>
      <c r="E225" s="19" t="s">
        <v>25</v>
      </c>
      <c r="F225" s="47">
        <v>-8.9929229606255934E-2</v>
      </c>
      <c r="G225" s="58">
        <v>462.94</v>
      </c>
      <c r="H225" s="58">
        <v>413.12</v>
      </c>
      <c r="I225" s="58">
        <v>561.39</v>
      </c>
      <c r="J225" s="58">
        <v>605.07000000000005</v>
      </c>
      <c r="K225" s="58">
        <v>511.49</v>
      </c>
      <c r="L225" s="58">
        <v>470.13</v>
      </c>
      <c r="M225" s="58">
        <v>601.52</v>
      </c>
      <c r="N225" s="58">
        <v>622.24</v>
      </c>
      <c r="O225" s="58">
        <v>558.83000000000004</v>
      </c>
      <c r="P225" s="58">
        <v>476.71</v>
      </c>
      <c r="Q225" s="58">
        <v>608.69000000000005</v>
      </c>
      <c r="R225" s="58">
        <v>623.62</v>
      </c>
      <c r="S225" s="58">
        <v>558.03</v>
      </c>
      <c r="T225" s="58">
        <v>470.18</v>
      </c>
      <c r="U225" s="58">
        <v>634.69000000000005</v>
      </c>
      <c r="V225" s="58">
        <v>638.91</v>
      </c>
      <c r="W225" s="61">
        <v>555.96</v>
      </c>
      <c r="X225" s="109">
        <v>-2.8803952272777877E-3</v>
      </c>
      <c r="Y225" s="109">
        <v>1.1501778351883818E-2</v>
      </c>
      <c r="Z225" s="109">
        <v>6.6870178262159463E-3</v>
      </c>
      <c r="AA225" s="109">
        <v>-8.9929229606255934E-4</v>
      </c>
    </row>
    <row r="226" spans="1:27" ht="15" x14ac:dyDescent="0.25">
      <c r="A226" s="4">
        <v>260129</v>
      </c>
      <c r="B226" s="19" t="s">
        <v>730</v>
      </c>
      <c r="C226" s="19" t="s">
        <v>23</v>
      </c>
      <c r="D226" s="19" t="s">
        <v>144</v>
      </c>
      <c r="E226" s="19" t="s">
        <v>25</v>
      </c>
      <c r="F226" s="47">
        <v>-0.24382570394840819</v>
      </c>
      <c r="G226" s="58">
        <v>4089</v>
      </c>
      <c r="H226" s="58">
        <v>4008</v>
      </c>
      <c r="I226" s="58">
        <v>3707</v>
      </c>
      <c r="J226" s="58">
        <v>3566</v>
      </c>
      <c r="K226" s="58">
        <v>3566</v>
      </c>
      <c r="L226" s="58">
        <v>3591</v>
      </c>
      <c r="M226" s="58">
        <v>3446</v>
      </c>
      <c r="N226" s="58">
        <v>3436</v>
      </c>
      <c r="O226" s="58">
        <v>3399</v>
      </c>
      <c r="P226" s="58">
        <v>3386</v>
      </c>
      <c r="Q226" s="58">
        <v>3236</v>
      </c>
      <c r="R226" s="58">
        <v>3241</v>
      </c>
      <c r="S226" s="58">
        <v>3225</v>
      </c>
      <c r="T226" s="58">
        <v>3169</v>
      </c>
      <c r="U226" s="58">
        <v>3159</v>
      </c>
      <c r="V226" s="58">
        <v>3161</v>
      </c>
      <c r="W226" s="61">
        <v>3194</v>
      </c>
      <c r="X226" s="109">
        <v>-1.6580073349633295E-2</v>
      </c>
      <c r="Y226" s="109">
        <v>-5.9824411467640504E-3</v>
      </c>
      <c r="Z226" s="109">
        <v>-6.2529310614350964E-3</v>
      </c>
      <c r="AA226" s="109">
        <v>-2.4382570394840819E-3</v>
      </c>
    </row>
    <row r="227" spans="1:27" ht="15" x14ac:dyDescent="0.25">
      <c r="A227" s="4">
        <v>260129</v>
      </c>
      <c r="B227" s="19" t="s">
        <v>731</v>
      </c>
      <c r="C227" s="19" t="s">
        <v>23</v>
      </c>
      <c r="D227" s="19" t="s">
        <v>124</v>
      </c>
      <c r="E227" s="19" t="s">
        <v>25</v>
      </c>
      <c r="F227" s="47">
        <v>-0.40883074407195302</v>
      </c>
      <c r="G227" s="58">
        <v>2852</v>
      </c>
      <c r="H227" s="58">
        <v>2915</v>
      </c>
      <c r="I227" s="58">
        <v>3250</v>
      </c>
      <c r="J227" s="58">
        <v>3343</v>
      </c>
      <c r="K227" s="58">
        <v>3237</v>
      </c>
      <c r="L227" s="58">
        <v>3132</v>
      </c>
      <c r="M227" s="58">
        <v>2980</v>
      </c>
      <c r="N227" s="58">
        <v>2971</v>
      </c>
      <c r="O227" s="58">
        <v>3073</v>
      </c>
      <c r="P227" s="58">
        <v>3004</v>
      </c>
      <c r="Q227" s="58">
        <v>3044</v>
      </c>
      <c r="R227" s="58">
        <v>3051</v>
      </c>
      <c r="S227" s="58">
        <v>3024</v>
      </c>
      <c r="T227" s="58">
        <v>2993</v>
      </c>
      <c r="U227" s="58">
        <v>3110</v>
      </c>
      <c r="V227" s="58">
        <v>3103</v>
      </c>
      <c r="W227" s="61">
        <v>2974</v>
      </c>
      <c r="X227" s="109">
        <v>-9.0736616349085253E-4</v>
      </c>
      <c r="Y227" s="109">
        <v>5.4491413474240247E-3</v>
      </c>
      <c r="Z227" s="109">
        <v>4.2699950730826775E-3</v>
      </c>
      <c r="AA227" s="109">
        <v>-4.0883074407195297E-3</v>
      </c>
    </row>
    <row r="228" spans="1:27" ht="15" x14ac:dyDescent="0.25">
      <c r="A228" s="4">
        <v>260129</v>
      </c>
      <c r="B228" s="19" t="s">
        <v>732</v>
      </c>
      <c r="C228" s="19" t="s">
        <v>23</v>
      </c>
      <c r="D228" s="19" t="s">
        <v>48</v>
      </c>
      <c r="E228" s="19" t="s">
        <v>800</v>
      </c>
      <c r="F228" s="47">
        <v>-0.76271374886038856</v>
      </c>
      <c r="G228" s="58">
        <v>351.63</v>
      </c>
      <c r="H228" s="58">
        <v>334.37</v>
      </c>
      <c r="I228" s="58">
        <v>289.58999999999997</v>
      </c>
      <c r="J228" s="58">
        <v>278.2</v>
      </c>
      <c r="K228" s="58">
        <v>334.92</v>
      </c>
      <c r="L228" s="58">
        <v>375.89</v>
      </c>
      <c r="M228" s="58">
        <v>298.37</v>
      </c>
      <c r="N228" s="58">
        <v>290.56</v>
      </c>
      <c r="O228" s="58">
        <v>315.57</v>
      </c>
      <c r="P228" s="58">
        <v>364.52</v>
      </c>
      <c r="Q228" s="58">
        <v>288.82</v>
      </c>
      <c r="R228" s="58">
        <v>304.81</v>
      </c>
      <c r="S228" s="58">
        <v>357</v>
      </c>
      <c r="T228" s="58">
        <v>369.56</v>
      </c>
      <c r="U228" s="58">
        <v>315.55</v>
      </c>
      <c r="V228" s="58">
        <v>307.02</v>
      </c>
      <c r="W228" s="61">
        <v>346.71</v>
      </c>
      <c r="X228" s="109">
        <v>3.8322624795652516E-3</v>
      </c>
      <c r="Y228" s="109">
        <v>2.0247085646762697E-2</v>
      </c>
      <c r="Z228" s="109">
        <v>1.6407804472426957E-3</v>
      </c>
      <c r="AA228" s="109">
        <v>-7.6271374886037746E-3</v>
      </c>
    </row>
    <row r="229" spans="1:27" ht="15" x14ac:dyDescent="0.25">
      <c r="A229" s="4">
        <v>260129</v>
      </c>
      <c r="B229" s="19" t="s">
        <v>733</v>
      </c>
      <c r="C229" s="19" t="s">
        <v>23</v>
      </c>
      <c r="D229" s="19" t="s">
        <v>93</v>
      </c>
      <c r="E229" s="19" t="s">
        <v>25</v>
      </c>
      <c r="F229" s="47">
        <v>-0.81140890090976026</v>
      </c>
      <c r="G229" s="58">
        <v>8657</v>
      </c>
      <c r="H229" s="58">
        <v>8376</v>
      </c>
      <c r="I229" s="58">
        <v>8953</v>
      </c>
      <c r="J229" s="58">
        <v>8951</v>
      </c>
      <c r="K229" s="58">
        <v>9186</v>
      </c>
      <c r="L229" s="58">
        <v>8864</v>
      </c>
      <c r="M229" s="58">
        <v>9146</v>
      </c>
      <c r="N229" s="58">
        <v>9212</v>
      </c>
      <c r="O229" s="58">
        <v>9440</v>
      </c>
      <c r="P229" s="58">
        <v>9105</v>
      </c>
      <c r="Q229" s="58">
        <v>9577</v>
      </c>
      <c r="R229" s="58">
        <v>9728</v>
      </c>
      <c r="S229" s="58">
        <v>10088</v>
      </c>
      <c r="T229" s="58">
        <v>9822</v>
      </c>
      <c r="U229" s="58">
        <v>10352</v>
      </c>
      <c r="V229" s="58">
        <v>10408</v>
      </c>
      <c r="W229" s="61">
        <v>9758</v>
      </c>
      <c r="X229" s="109">
        <v>1.8624344121772607E-2</v>
      </c>
      <c r="Y229" s="109">
        <v>1.9762845849802479E-2</v>
      </c>
      <c r="Z229" s="109">
        <v>1.7004251062765707E-2</v>
      </c>
      <c r="AA229" s="109">
        <v>-8.1140890090976026E-3</v>
      </c>
    </row>
    <row r="230" spans="1:27" ht="15" x14ac:dyDescent="0.25">
      <c r="A230" s="4">
        <v>260129</v>
      </c>
      <c r="B230" s="19" t="s">
        <v>734</v>
      </c>
      <c r="C230" s="19" t="s">
        <v>23</v>
      </c>
      <c r="D230" s="19" t="s">
        <v>29</v>
      </c>
      <c r="E230" s="19" t="s">
        <v>25</v>
      </c>
      <c r="F230" s="47">
        <v>-0.99428813200761468</v>
      </c>
      <c r="G230" s="58">
        <v>64.83</v>
      </c>
      <c r="H230" s="58">
        <v>59.34</v>
      </c>
      <c r="I230" s="58">
        <v>60.81</v>
      </c>
      <c r="J230" s="58">
        <v>64.290000000000006</v>
      </c>
      <c r="K230" s="58">
        <v>65.52</v>
      </c>
      <c r="L230" s="58">
        <v>65.430000000000007</v>
      </c>
      <c r="M230" s="58">
        <v>64.45</v>
      </c>
      <c r="N230" s="58">
        <v>57.12</v>
      </c>
      <c r="O230" s="58">
        <v>54.71</v>
      </c>
      <c r="P230" s="58">
        <v>63.01</v>
      </c>
      <c r="Q230" s="58">
        <v>65.650000000000006</v>
      </c>
      <c r="R230" s="58">
        <v>61.25</v>
      </c>
      <c r="S230" s="58">
        <v>64.599999999999994</v>
      </c>
      <c r="T230" s="58">
        <v>63.32</v>
      </c>
      <c r="U230" s="58">
        <v>65.790000000000006</v>
      </c>
      <c r="V230" s="58">
        <v>42.64</v>
      </c>
      <c r="W230" s="61">
        <v>62.25</v>
      </c>
      <c r="X230" s="109">
        <v>1.2180267965895553E-3</v>
      </c>
      <c r="Y230" s="109">
        <v>5.4940742484888005E-4</v>
      </c>
      <c r="Z230" s="109">
        <v>-7.2991841857546369E-2</v>
      </c>
      <c r="AA230" s="109">
        <v>-9.9428813200760358E-3</v>
      </c>
    </row>
    <row r="231" spans="1:27" ht="15" x14ac:dyDescent="0.25">
      <c r="A231" s="4">
        <v>260129</v>
      </c>
      <c r="B231" s="19" t="s">
        <v>735</v>
      </c>
      <c r="C231" s="19" t="s">
        <v>23</v>
      </c>
      <c r="D231" s="19" t="s">
        <v>692</v>
      </c>
      <c r="E231" s="19" t="s">
        <v>25</v>
      </c>
      <c r="F231" s="47">
        <v>-1.4657383657017189</v>
      </c>
      <c r="G231" s="58">
        <v>1770</v>
      </c>
      <c r="H231" s="58">
        <v>1815</v>
      </c>
      <c r="I231" s="58">
        <v>1863</v>
      </c>
      <c r="J231" s="58">
        <v>1833</v>
      </c>
      <c r="K231" s="58">
        <v>1727</v>
      </c>
      <c r="L231" s="58">
        <v>1716</v>
      </c>
      <c r="M231" s="58">
        <v>1639</v>
      </c>
      <c r="N231" s="58">
        <v>1564</v>
      </c>
      <c r="O231" s="58">
        <v>1473</v>
      </c>
      <c r="P231" s="58">
        <v>1476</v>
      </c>
      <c r="Q231" s="58">
        <v>1473</v>
      </c>
      <c r="R231" s="58">
        <v>1465</v>
      </c>
      <c r="S231" s="58">
        <v>1382</v>
      </c>
      <c r="T231" s="58">
        <v>1352</v>
      </c>
      <c r="U231" s="58">
        <v>1370</v>
      </c>
      <c r="V231" s="58">
        <v>1354</v>
      </c>
      <c r="W231" s="61">
        <v>1302</v>
      </c>
      <c r="X231" s="109">
        <v>-2.1394064872325758E-2</v>
      </c>
      <c r="Y231" s="109">
        <v>-1.8159379407616361E-2</v>
      </c>
      <c r="Z231" s="109">
        <v>-1.9931765128389345E-2</v>
      </c>
      <c r="AA231" s="109">
        <v>-1.4657383657017187E-2</v>
      </c>
    </row>
    <row r="232" spans="1:27" ht="15" x14ac:dyDescent="0.25">
      <c r="A232" s="4">
        <v>260129</v>
      </c>
      <c r="B232" s="19" t="s">
        <v>736</v>
      </c>
      <c r="C232" s="19" t="s">
        <v>23</v>
      </c>
      <c r="D232" s="19" t="s">
        <v>54</v>
      </c>
      <c r="E232" s="19" t="s">
        <v>25</v>
      </c>
      <c r="F232" s="47">
        <v>-1.7646391284611871</v>
      </c>
      <c r="G232" s="58">
        <v>4359</v>
      </c>
      <c r="H232" s="58">
        <v>3150</v>
      </c>
      <c r="I232" s="58">
        <v>3880</v>
      </c>
      <c r="J232" s="58">
        <v>3895</v>
      </c>
      <c r="K232" s="58">
        <v>5079</v>
      </c>
      <c r="L232" s="58">
        <v>3576</v>
      </c>
      <c r="M232" s="58">
        <v>4189</v>
      </c>
      <c r="N232" s="58">
        <v>4004</v>
      </c>
      <c r="O232" s="58">
        <v>4294</v>
      </c>
      <c r="P232" s="58">
        <v>3949</v>
      </c>
      <c r="Q232" s="58">
        <v>4600</v>
      </c>
      <c r="R232" s="58">
        <v>4476</v>
      </c>
      <c r="S232" s="58">
        <v>4922</v>
      </c>
      <c r="T232" s="58">
        <v>3893</v>
      </c>
      <c r="U232" s="58">
        <v>4404</v>
      </c>
      <c r="V232" s="58">
        <v>4405</v>
      </c>
      <c r="W232" s="61">
        <v>4611</v>
      </c>
      <c r="X232" s="109">
        <v>-3.1202986571572389E-3</v>
      </c>
      <c r="Y232" s="109">
        <v>-1.0955228886032065E-2</v>
      </c>
      <c r="Z232" s="109">
        <v>-4.0124328906471218E-3</v>
      </c>
      <c r="AA232" s="109">
        <v>-1.7646391284611873E-2</v>
      </c>
    </row>
    <row r="233" spans="1:27" ht="15" x14ac:dyDescent="0.25">
      <c r="A233" s="4">
        <v>260129</v>
      </c>
      <c r="B233" s="19" t="s">
        <v>737</v>
      </c>
      <c r="C233" s="19" t="s">
        <v>23</v>
      </c>
      <c r="D233" s="19" t="s">
        <v>727</v>
      </c>
      <c r="E233" s="19" t="s">
        <v>25</v>
      </c>
      <c r="F233" s="47">
        <v>-2.3097792877569518</v>
      </c>
      <c r="G233" s="58">
        <v>14364</v>
      </c>
      <c r="H233" s="58">
        <v>15264</v>
      </c>
      <c r="I233" s="58">
        <v>15664</v>
      </c>
      <c r="J233" s="58">
        <v>14115</v>
      </c>
      <c r="K233" s="58">
        <v>11859</v>
      </c>
      <c r="L233" s="58">
        <v>11851</v>
      </c>
      <c r="M233" s="58">
        <v>11420</v>
      </c>
      <c r="N233" s="58">
        <v>10730</v>
      </c>
      <c r="O233" s="58">
        <v>10621</v>
      </c>
      <c r="P233" s="58">
        <v>10765</v>
      </c>
      <c r="Q233" s="58">
        <v>10915</v>
      </c>
      <c r="R233" s="58">
        <v>10879</v>
      </c>
      <c r="S233" s="58">
        <v>10405</v>
      </c>
      <c r="T233" s="58">
        <v>10431</v>
      </c>
      <c r="U233" s="58">
        <v>10104</v>
      </c>
      <c r="V233" s="58">
        <v>9973</v>
      </c>
      <c r="W233" s="61">
        <v>9460</v>
      </c>
      <c r="X233" s="109">
        <v>-7.7739502839586638E-3</v>
      </c>
      <c r="Y233" s="109">
        <v>-1.902416138869345E-2</v>
      </c>
      <c r="Z233" s="109">
        <v>-2.1664793514909464E-2</v>
      </c>
      <c r="AA233" s="109">
        <v>-2.3097792877569523E-2</v>
      </c>
    </row>
    <row r="234" spans="1:27" ht="15" x14ac:dyDescent="0.25">
      <c r="A234" s="4">
        <v>260129</v>
      </c>
      <c r="B234" s="19" t="s">
        <v>738</v>
      </c>
      <c r="C234" s="19" t="s">
        <v>23</v>
      </c>
      <c r="D234" s="19" t="s">
        <v>739</v>
      </c>
      <c r="E234" s="19" t="s">
        <v>25</v>
      </c>
      <c r="F234" s="47">
        <v>-2.361425339366519</v>
      </c>
      <c r="G234" s="58">
        <v>2206</v>
      </c>
      <c r="H234" s="58">
        <v>3112</v>
      </c>
      <c r="I234" s="58">
        <v>2973</v>
      </c>
      <c r="J234" s="58">
        <v>2276</v>
      </c>
      <c r="K234" s="58">
        <v>1823</v>
      </c>
      <c r="L234" s="58">
        <v>1881</v>
      </c>
      <c r="M234" s="58">
        <v>1997</v>
      </c>
      <c r="N234" s="58">
        <v>2022</v>
      </c>
      <c r="O234" s="58">
        <v>1774</v>
      </c>
      <c r="P234" s="58">
        <v>1796</v>
      </c>
      <c r="Q234" s="58">
        <v>1939</v>
      </c>
      <c r="R234" s="58">
        <v>1681</v>
      </c>
      <c r="S234" s="58">
        <v>1708</v>
      </c>
      <c r="T234" s="58">
        <v>1763</v>
      </c>
      <c r="U234" s="58">
        <v>1884</v>
      </c>
      <c r="V234" s="58">
        <v>1717</v>
      </c>
      <c r="W234" s="61">
        <v>1541</v>
      </c>
      <c r="X234" s="109">
        <v>-4.6322290847837788E-3</v>
      </c>
      <c r="Y234" s="109">
        <v>-7.7563108165279449E-3</v>
      </c>
      <c r="Z234" s="109">
        <v>5.1165434906197405E-3</v>
      </c>
      <c r="AA234" s="109">
        <v>-2.3614253393665185E-2</v>
      </c>
    </row>
    <row r="235" spans="1:27" ht="15" x14ac:dyDescent="0.25">
      <c r="A235" s="4">
        <v>260129</v>
      </c>
      <c r="B235" s="19" t="s">
        <v>740</v>
      </c>
      <c r="C235" s="19" t="s">
        <v>23</v>
      </c>
      <c r="D235" s="19" t="s">
        <v>41</v>
      </c>
      <c r="E235" s="19" t="s">
        <v>25</v>
      </c>
      <c r="F235" s="47">
        <v>-3.0141843971631221</v>
      </c>
      <c r="G235" s="58">
        <v>2694</v>
      </c>
      <c r="H235" s="58">
        <v>2714</v>
      </c>
      <c r="I235" s="58">
        <v>2784</v>
      </c>
      <c r="J235" s="58">
        <v>2709</v>
      </c>
      <c r="K235" s="58">
        <v>2373</v>
      </c>
      <c r="L235" s="58">
        <v>2412</v>
      </c>
      <c r="M235" s="58">
        <v>2324</v>
      </c>
      <c r="N235" s="58">
        <v>2267</v>
      </c>
      <c r="O235" s="58">
        <v>2207</v>
      </c>
      <c r="P235" s="58">
        <v>2310</v>
      </c>
      <c r="Q235" s="58">
        <v>2363</v>
      </c>
      <c r="R235" s="58">
        <v>2464</v>
      </c>
      <c r="S235" s="58">
        <v>2245</v>
      </c>
      <c r="T235" s="58">
        <v>2290</v>
      </c>
      <c r="U235" s="58">
        <v>2287</v>
      </c>
      <c r="V235" s="58">
        <v>2202</v>
      </c>
      <c r="W235" s="61">
        <v>1973</v>
      </c>
      <c r="X235" s="109">
        <v>-2.1317416329140748E-3</v>
      </c>
      <c r="Y235" s="109">
        <v>-8.1179235206152445E-3</v>
      </c>
      <c r="Z235" s="109">
        <v>-2.8214516476416152E-2</v>
      </c>
      <c r="AA235" s="109">
        <v>-3.0141843971631221E-2</v>
      </c>
    </row>
    <row r="236" spans="1:27" ht="15" x14ac:dyDescent="0.25">
      <c r="A236" s="4">
        <v>260129</v>
      </c>
      <c r="B236" s="19" t="s">
        <v>741</v>
      </c>
      <c r="C236" s="19" t="s">
        <v>23</v>
      </c>
      <c r="D236" s="19" t="s">
        <v>54</v>
      </c>
      <c r="E236" s="19" t="s">
        <v>25</v>
      </c>
      <c r="F236" s="47">
        <v>-4.4468619811432131</v>
      </c>
      <c r="G236" s="58">
        <v>454.15</v>
      </c>
      <c r="H236" s="58">
        <v>508.51</v>
      </c>
      <c r="I236" s="58">
        <v>526.66999999999996</v>
      </c>
      <c r="J236" s="58">
        <v>827.67</v>
      </c>
      <c r="K236" s="58">
        <v>444.93</v>
      </c>
      <c r="L236" s="58">
        <v>543.91</v>
      </c>
      <c r="M236" s="58">
        <v>572.54</v>
      </c>
      <c r="N236" s="58">
        <v>645.41</v>
      </c>
      <c r="O236" s="58">
        <v>386.82</v>
      </c>
      <c r="P236" s="58">
        <v>541.54</v>
      </c>
      <c r="Q236" s="58">
        <v>595.67999999999995</v>
      </c>
      <c r="R236" s="58">
        <v>806.16</v>
      </c>
      <c r="S236" s="58">
        <v>468.95</v>
      </c>
      <c r="T236" s="58">
        <v>565.34</v>
      </c>
      <c r="U236" s="58">
        <v>545.37</v>
      </c>
      <c r="V236" s="58">
        <v>791.9</v>
      </c>
      <c r="W236" s="61">
        <v>363.49</v>
      </c>
      <c r="X236" s="109">
        <v>9.8659801934233293E-3</v>
      </c>
      <c r="Y236" s="109">
        <v>-2.065160726233839E-2</v>
      </c>
      <c r="Z236" s="109">
        <v>-5.9769806607370413E-3</v>
      </c>
      <c r="AA236" s="109">
        <v>-4.4468619811431909E-2</v>
      </c>
    </row>
    <row r="237" spans="1:27" ht="15" x14ac:dyDescent="0.25">
      <c r="A237" s="4">
        <v>260129</v>
      </c>
      <c r="B237" s="19" t="s">
        <v>742</v>
      </c>
      <c r="C237" s="19" t="s">
        <v>164</v>
      </c>
      <c r="D237" s="46" t="s">
        <v>743</v>
      </c>
      <c r="E237" s="19" t="s">
        <v>25</v>
      </c>
      <c r="F237" s="47">
        <v>3.7988581466842359</v>
      </c>
      <c r="G237" s="58">
        <v>4858</v>
      </c>
      <c r="H237" s="58">
        <v>6080</v>
      </c>
      <c r="I237" s="58">
        <v>6875</v>
      </c>
      <c r="J237" s="58">
        <v>6172</v>
      </c>
      <c r="K237" s="58">
        <v>5366</v>
      </c>
      <c r="L237" s="58">
        <v>5968</v>
      </c>
      <c r="M237" s="58">
        <v>6008</v>
      </c>
      <c r="N237" s="58">
        <v>5575</v>
      </c>
      <c r="O237" s="58">
        <v>4968</v>
      </c>
      <c r="P237" s="58">
        <v>5428</v>
      </c>
      <c r="Q237" s="58">
        <v>6145</v>
      </c>
      <c r="R237" s="58">
        <v>5750</v>
      </c>
      <c r="S237" s="58">
        <v>6184</v>
      </c>
      <c r="T237" s="58">
        <v>7233</v>
      </c>
      <c r="U237" s="58">
        <v>6974</v>
      </c>
      <c r="V237" s="58">
        <v>6933</v>
      </c>
      <c r="W237" s="61">
        <v>7222</v>
      </c>
      <c r="X237" s="109">
        <v>7.6785638320500338E-2</v>
      </c>
      <c r="Y237" s="109">
        <v>3.2751264222503185E-2</v>
      </c>
      <c r="Z237" s="109">
        <v>4.525458092651391E-2</v>
      </c>
      <c r="AA237" s="109">
        <v>3.7988581466842364E-2</v>
      </c>
    </row>
    <row r="238" spans="1:27" ht="15" x14ac:dyDescent="0.25">
      <c r="A238" s="4">
        <v>260129</v>
      </c>
      <c r="B238" s="19" t="s">
        <v>744</v>
      </c>
      <c r="C238" s="19" t="s">
        <v>164</v>
      </c>
      <c r="D238" s="46" t="s">
        <v>745</v>
      </c>
      <c r="E238" s="19" t="s">
        <v>25</v>
      </c>
      <c r="F238" s="47">
        <v>1.101144237420759</v>
      </c>
      <c r="G238" s="58">
        <v>17062</v>
      </c>
      <c r="H238" s="58">
        <v>16593</v>
      </c>
      <c r="I238" s="58">
        <v>18468</v>
      </c>
      <c r="J238" s="58">
        <v>18674</v>
      </c>
      <c r="K238" s="58">
        <v>19739</v>
      </c>
      <c r="L238" s="58">
        <v>19252</v>
      </c>
      <c r="M238" s="58">
        <v>20797</v>
      </c>
      <c r="N238" s="58">
        <v>20293</v>
      </c>
      <c r="O238" s="58">
        <v>20769</v>
      </c>
      <c r="P238" s="58">
        <v>20252</v>
      </c>
      <c r="Q238" s="58">
        <v>21044</v>
      </c>
      <c r="R238" s="58">
        <v>20902</v>
      </c>
      <c r="S238" s="58">
        <v>21860</v>
      </c>
      <c r="T238" s="58">
        <v>21040</v>
      </c>
      <c r="U238" s="58">
        <v>22995</v>
      </c>
      <c r="V238" s="58">
        <v>22286</v>
      </c>
      <c r="W238" s="61">
        <v>22831</v>
      </c>
      <c r="X238" s="109">
        <v>9.3744795260415348E-3</v>
      </c>
      <c r="Y238" s="109">
        <v>2.2994601984772434E-2</v>
      </c>
      <c r="Z238" s="109">
        <v>1.5945251563994178E-2</v>
      </c>
      <c r="AA238" s="109">
        <v>1.1011442374207592E-2</v>
      </c>
    </row>
    <row r="239" spans="1:27" ht="15" x14ac:dyDescent="0.25">
      <c r="A239" s="4">
        <v>260129</v>
      </c>
      <c r="B239" s="19" t="s">
        <v>746</v>
      </c>
      <c r="C239" s="19" t="s">
        <v>164</v>
      </c>
      <c r="D239" s="46" t="s">
        <v>747</v>
      </c>
      <c r="E239" s="19" t="s">
        <v>25</v>
      </c>
      <c r="F239" s="47">
        <v>-0.34014657225022171</v>
      </c>
      <c r="G239" s="58">
        <v>5726</v>
      </c>
      <c r="H239" s="58">
        <v>6398</v>
      </c>
      <c r="I239" s="58">
        <v>6683</v>
      </c>
      <c r="J239" s="58">
        <v>6707</v>
      </c>
      <c r="K239" s="58">
        <v>7228</v>
      </c>
      <c r="L239" s="58">
        <v>8063</v>
      </c>
      <c r="M239" s="58">
        <v>8100</v>
      </c>
      <c r="N239" s="58">
        <v>7851</v>
      </c>
      <c r="O239" s="58">
        <v>7821</v>
      </c>
      <c r="P239" s="58">
        <v>7744</v>
      </c>
      <c r="Q239" s="58">
        <v>8491</v>
      </c>
      <c r="R239" s="58">
        <v>7973</v>
      </c>
      <c r="S239" s="58">
        <v>8336</v>
      </c>
      <c r="T239" s="58">
        <v>8036</v>
      </c>
      <c r="U239" s="58">
        <v>8121</v>
      </c>
      <c r="V239" s="58">
        <v>7846</v>
      </c>
      <c r="W239" s="61">
        <v>8226</v>
      </c>
      <c r="X239" s="109">
        <v>8.9724680432645698E-3</v>
      </c>
      <c r="Y239" s="109">
        <v>-1.1268120355707123E-2</v>
      </c>
      <c r="Z239" s="109">
        <v>-3.9117846362348718E-3</v>
      </c>
      <c r="AA239" s="109">
        <v>-3.4014657225022171E-3</v>
      </c>
    </row>
    <row r="240" spans="1:27" ht="15" x14ac:dyDescent="0.25">
      <c r="A240" s="4">
        <v>260129</v>
      </c>
      <c r="B240" s="19">
        <v>8421</v>
      </c>
      <c r="C240" s="19" t="s">
        <v>67</v>
      </c>
      <c r="D240" s="46" t="s">
        <v>748</v>
      </c>
      <c r="E240" s="19" t="s">
        <v>25</v>
      </c>
      <c r="F240" s="47">
        <v>6.8295976680226023</v>
      </c>
      <c r="G240" s="58">
        <v>34923</v>
      </c>
      <c r="H240" s="58">
        <v>38607</v>
      </c>
      <c r="I240" s="58">
        <v>70037</v>
      </c>
      <c r="J240" s="58">
        <v>42358</v>
      </c>
      <c r="K240" s="59">
        <v>74298</v>
      </c>
      <c r="L240" s="59">
        <v>80940</v>
      </c>
      <c r="M240" s="58">
        <v>61334</v>
      </c>
      <c r="N240" s="58">
        <v>52580</v>
      </c>
      <c r="O240" s="58">
        <v>71705</v>
      </c>
      <c r="P240" s="58">
        <v>64359</v>
      </c>
      <c r="Q240" s="58">
        <v>42965</v>
      </c>
      <c r="R240" s="58">
        <v>34312</v>
      </c>
      <c r="S240" s="58">
        <v>41711</v>
      </c>
      <c r="T240" s="58">
        <v>44628</v>
      </c>
      <c r="U240" s="58">
        <v>47771</v>
      </c>
      <c r="V240" s="58">
        <v>48053</v>
      </c>
      <c r="W240" s="61">
        <v>54152</v>
      </c>
      <c r="X240" s="109">
        <v>-0.10761561410876641</v>
      </c>
      <c r="Y240" s="109">
        <v>2.9373655388226005E-2</v>
      </c>
      <c r="Z240" s="109">
        <v>8.1586728574651657E-2</v>
      </c>
      <c r="AA240" s="109">
        <v>6.8295976680226023E-2</v>
      </c>
    </row>
    <row r="241" spans="1:27" ht="15" x14ac:dyDescent="0.25">
      <c r="A241" s="4">
        <v>260129</v>
      </c>
      <c r="B241" s="19">
        <v>6952</v>
      </c>
      <c r="C241" s="19" t="s">
        <v>67</v>
      </c>
      <c r="D241" s="46" t="s">
        <v>749</v>
      </c>
      <c r="E241" s="19" t="s">
        <v>25</v>
      </c>
      <c r="F241" s="47">
        <v>6.4196130676102303</v>
      </c>
      <c r="G241" s="58">
        <v>68299</v>
      </c>
      <c r="H241" s="58">
        <v>58111</v>
      </c>
      <c r="I241" s="58">
        <v>61269</v>
      </c>
      <c r="J241" s="58">
        <v>72041</v>
      </c>
      <c r="K241" s="58">
        <v>67883</v>
      </c>
      <c r="L241" s="58">
        <v>62638</v>
      </c>
      <c r="M241" s="58">
        <v>62681</v>
      </c>
      <c r="N241" s="58">
        <v>70862</v>
      </c>
      <c r="O241" s="58">
        <v>67742</v>
      </c>
      <c r="P241" s="58">
        <v>67543</v>
      </c>
      <c r="Q241" s="58">
        <v>65217</v>
      </c>
      <c r="R241" s="58">
        <v>71730</v>
      </c>
      <c r="S241" s="58">
        <v>58826</v>
      </c>
      <c r="T241" s="58">
        <v>65984</v>
      </c>
      <c r="U241" s="58">
        <v>62191</v>
      </c>
      <c r="V241" s="58">
        <v>70460</v>
      </c>
      <c r="W241" s="61">
        <v>75354</v>
      </c>
      <c r="X241" s="109">
        <v>-5.9206428777590636E-3</v>
      </c>
      <c r="Y241" s="109">
        <v>-1.1560340315636242E-2</v>
      </c>
      <c r="Z241" s="109">
        <v>-4.9085729966644731E-3</v>
      </c>
      <c r="AA241" s="109">
        <v>6.4196130676102303E-2</v>
      </c>
    </row>
    <row r="242" spans="1:27" ht="15" x14ac:dyDescent="0.25">
      <c r="A242" s="4">
        <v>260129</v>
      </c>
      <c r="B242" s="19">
        <v>4373</v>
      </c>
      <c r="C242" s="19" t="s">
        <v>67</v>
      </c>
      <c r="D242" s="46" t="s">
        <v>750</v>
      </c>
      <c r="E242" s="19" t="s">
        <v>25</v>
      </c>
      <c r="F242" s="47">
        <v>4.6681295598192118</v>
      </c>
      <c r="G242" s="58">
        <v>7648</v>
      </c>
      <c r="H242" s="58">
        <v>7317</v>
      </c>
      <c r="I242" s="58">
        <v>8048</v>
      </c>
      <c r="J242" s="58">
        <v>8819</v>
      </c>
      <c r="K242" s="58">
        <v>8941</v>
      </c>
      <c r="L242" s="58">
        <v>9138</v>
      </c>
      <c r="M242" s="58">
        <v>9404</v>
      </c>
      <c r="N242" s="58">
        <v>10139</v>
      </c>
      <c r="O242" s="58">
        <v>10408</v>
      </c>
      <c r="P242" s="58">
        <v>10757</v>
      </c>
      <c r="Q242" s="58">
        <v>10954</v>
      </c>
      <c r="R242" s="58">
        <v>10922</v>
      </c>
      <c r="S242" s="58">
        <v>12242</v>
      </c>
      <c r="T242" s="58">
        <v>13276</v>
      </c>
      <c r="U242" s="58">
        <v>13464</v>
      </c>
      <c r="V242" s="58">
        <v>14337</v>
      </c>
      <c r="W242" s="61">
        <v>14731</v>
      </c>
      <c r="X242" s="109">
        <v>5.6133704735376044E-2</v>
      </c>
      <c r="Y242" s="109">
        <v>5.2960290332109583E-2</v>
      </c>
      <c r="Z242" s="109">
        <v>6.8431388265469684E-2</v>
      </c>
      <c r="AA242" s="109">
        <v>4.6681295598192118E-2</v>
      </c>
    </row>
    <row r="243" spans="1:27" ht="15" x14ac:dyDescent="0.25">
      <c r="A243" s="4">
        <v>260129</v>
      </c>
      <c r="B243" s="19">
        <v>4519</v>
      </c>
      <c r="C243" s="19" t="s">
        <v>67</v>
      </c>
      <c r="D243" s="46" t="s">
        <v>751</v>
      </c>
      <c r="E243" s="19" t="s">
        <v>25</v>
      </c>
      <c r="F243" s="47">
        <v>3.6440275782063658</v>
      </c>
      <c r="G243" s="58">
        <v>322266</v>
      </c>
      <c r="H243" s="58">
        <v>360554</v>
      </c>
      <c r="I243" s="58">
        <v>235612</v>
      </c>
      <c r="J243" s="58">
        <v>225284</v>
      </c>
      <c r="K243" s="59">
        <v>438496</v>
      </c>
      <c r="L243" s="58">
        <v>312240</v>
      </c>
      <c r="M243" s="58">
        <v>267417</v>
      </c>
      <c r="N243" s="58">
        <v>257897</v>
      </c>
      <c r="O243" s="58">
        <v>273812</v>
      </c>
      <c r="P243" s="58">
        <v>236949</v>
      </c>
      <c r="Q243" s="58">
        <v>315911</v>
      </c>
      <c r="R243" s="58">
        <v>315678</v>
      </c>
      <c r="S243" s="58">
        <v>302073</v>
      </c>
      <c r="T243" s="58">
        <v>288459</v>
      </c>
      <c r="U243" s="58">
        <v>290004</v>
      </c>
      <c r="V243" s="58">
        <v>333176</v>
      </c>
      <c r="W243" s="61">
        <v>346301</v>
      </c>
      <c r="X243" s="109">
        <v>4.4002661857782011E-2</v>
      </c>
      <c r="Y243" s="109">
        <v>-2.119839197591733E-2</v>
      </c>
      <c r="Z243" s="109">
        <v>1.4627817430660439E-2</v>
      </c>
      <c r="AA243" s="109">
        <v>3.6440275782063658E-2</v>
      </c>
    </row>
    <row r="244" spans="1:27" ht="15" x14ac:dyDescent="0.25">
      <c r="A244" s="4">
        <v>260129</v>
      </c>
      <c r="B244" s="19">
        <v>6861</v>
      </c>
      <c r="C244" s="19" t="s">
        <v>67</v>
      </c>
      <c r="D244" s="46" t="s">
        <v>752</v>
      </c>
      <c r="E244" s="19" t="s">
        <v>802</v>
      </c>
      <c r="F244" s="47">
        <v>2.7243214451347471</v>
      </c>
      <c r="G244" s="58">
        <v>199978</v>
      </c>
      <c r="H244" s="58">
        <v>199978</v>
      </c>
      <c r="I244" s="58">
        <v>192007</v>
      </c>
      <c r="J244" s="58">
        <v>251993</v>
      </c>
      <c r="K244" s="58">
        <v>236618</v>
      </c>
      <c r="L244" s="58">
        <v>241804</v>
      </c>
      <c r="M244" s="58">
        <v>222274</v>
      </c>
      <c r="N244" s="58">
        <v>243806</v>
      </c>
      <c r="O244" s="58">
        <v>241109</v>
      </c>
      <c r="P244" s="58">
        <v>260099</v>
      </c>
      <c r="Q244" s="58">
        <v>247223</v>
      </c>
      <c r="R244" s="58">
        <v>268327</v>
      </c>
      <c r="S244" s="58">
        <v>259640</v>
      </c>
      <c r="T244" s="58">
        <v>283955</v>
      </c>
      <c r="U244" s="58">
        <v>261076</v>
      </c>
      <c r="V244" s="58">
        <v>284224</v>
      </c>
      <c r="W244" s="61">
        <v>289305</v>
      </c>
      <c r="X244" s="109">
        <v>2.3042841177680851E-2</v>
      </c>
      <c r="Y244" s="109">
        <v>1.3079417832308149E-2</v>
      </c>
      <c r="Z244" s="109">
        <v>1.4815498258151427E-2</v>
      </c>
      <c r="AA244" s="109">
        <v>2.7243214451347475E-2</v>
      </c>
    </row>
    <row r="245" spans="1:27" ht="15" x14ac:dyDescent="0.25">
      <c r="A245" s="4">
        <v>260129</v>
      </c>
      <c r="B245" s="19">
        <v>7380</v>
      </c>
      <c r="C245" s="19" t="s">
        <v>67</v>
      </c>
      <c r="D245" s="46" t="s">
        <v>753</v>
      </c>
      <c r="E245" s="19" t="s">
        <v>25</v>
      </c>
      <c r="F245" s="47">
        <v>2.1199224022836689</v>
      </c>
      <c r="G245" s="58">
        <v>26846</v>
      </c>
      <c r="H245" s="58">
        <v>33713</v>
      </c>
      <c r="I245" s="58">
        <v>29047</v>
      </c>
      <c r="J245" s="58">
        <v>28538</v>
      </c>
      <c r="K245" s="58">
        <v>25509</v>
      </c>
      <c r="L245" s="58">
        <v>25228</v>
      </c>
      <c r="M245" s="58">
        <v>29318</v>
      </c>
      <c r="N245" s="58">
        <v>30091</v>
      </c>
      <c r="O245" s="58">
        <v>32864</v>
      </c>
      <c r="P245" s="58">
        <v>29151</v>
      </c>
      <c r="Q245" s="58">
        <v>29002</v>
      </c>
      <c r="R245" s="58">
        <v>28920</v>
      </c>
      <c r="S245" s="58">
        <v>29702</v>
      </c>
      <c r="T245" s="58">
        <v>37379</v>
      </c>
      <c r="U245" s="58">
        <v>32161</v>
      </c>
      <c r="V245" s="58">
        <v>36329</v>
      </c>
      <c r="W245" s="61">
        <v>32576</v>
      </c>
      <c r="X245" s="109">
        <v>7.0460286876471878E-2</v>
      </c>
      <c r="Y245" s="109">
        <v>2.5271393486556271E-2</v>
      </c>
      <c r="Z245" s="109">
        <v>5.7809647165306455E-2</v>
      </c>
      <c r="AA245" s="109">
        <v>2.1199224022836693E-2</v>
      </c>
    </row>
    <row r="246" spans="1:27" ht="15" x14ac:dyDescent="0.25">
      <c r="A246" s="4">
        <v>260129</v>
      </c>
      <c r="B246" s="19">
        <v>4290</v>
      </c>
      <c r="C246" s="19" t="s">
        <v>67</v>
      </c>
      <c r="D246" s="46" t="s">
        <v>754</v>
      </c>
      <c r="E246" s="19" t="s">
        <v>25</v>
      </c>
      <c r="F246" s="47">
        <v>2.0638762268185169</v>
      </c>
      <c r="G246" s="58">
        <v>11967</v>
      </c>
      <c r="H246" s="58">
        <v>12484</v>
      </c>
      <c r="I246" s="58">
        <v>12611</v>
      </c>
      <c r="J246" s="58">
        <v>13568</v>
      </c>
      <c r="K246" s="58">
        <v>14273</v>
      </c>
      <c r="L246" s="58">
        <v>14110</v>
      </c>
      <c r="M246" s="58">
        <v>13917</v>
      </c>
      <c r="N246" s="58">
        <v>14846</v>
      </c>
      <c r="O246" s="58">
        <v>14981</v>
      </c>
      <c r="P246" s="58">
        <v>14994</v>
      </c>
      <c r="Q246" s="58">
        <v>15048</v>
      </c>
      <c r="R246" s="58">
        <v>15722</v>
      </c>
      <c r="S246" s="58">
        <v>16831</v>
      </c>
      <c r="T246" s="58">
        <v>16118</v>
      </c>
      <c r="U246" s="58">
        <v>16724</v>
      </c>
      <c r="V246" s="58">
        <v>17676</v>
      </c>
      <c r="W246" s="61">
        <v>18221</v>
      </c>
      <c r="X246" s="109">
        <v>1.7956705807173012E-2</v>
      </c>
      <c r="Y246" s="109">
        <v>2.6302986550322593E-2</v>
      </c>
      <c r="Z246" s="109">
        <v>2.9879960241608661E-2</v>
      </c>
      <c r="AA246" s="109">
        <v>2.0638762268185173E-2</v>
      </c>
    </row>
    <row r="247" spans="1:27" ht="15" x14ac:dyDescent="0.25">
      <c r="A247" s="4">
        <v>260129</v>
      </c>
      <c r="B247" s="19">
        <v>9044</v>
      </c>
      <c r="C247" s="19" t="s">
        <v>67</v>
      </c>
      <c r="D247" s="46" t="s">
        <v>755</v>
      </c>
      <c r="E247" s="19" t="s">
        <v>25</v>
      </c>
      <c r="F247" s="47">
        <v>2.025223339551951</v>
      </c>
      <c r="G247" s="58">
        <v>56743</v>
      </c>
      <c r="H247" s="58">
        <v>53436</v>
      </c>
      <c r="I247" s="58">
        <v>51842</v>
      </c>
      <c r="J247" s="58">
        <v>56398</v>
      </c>
      <c r="K247" s="58">
        <v>55548</v>
      </c>
      <c r="L247" s="58">
        <v>57492</v>
      </c>
      <c r="M247" s="58">
        <v>54845</v>
      </c>
      <c r="N247" s="58">
        <v>62827</v>
      </c>
      <c r="O247" s="58">
        <v>66417</v>
      </c>
      <c r="P247" s="58">
        <v>57505</v>
      </c>
      <c r="Q247" s="58">
        <v>59722</v>
      </c>
      <c r="R247" s="58">
        <v>63857</v>
      </c>
      <c r="S247" s="58">
        <v>63535</v>
      </c>
      <c r="T247" s="58">
        <v>73673</v>
      </c>
      <c r="U247" s="58">
        <v>62713</v>
      </c>
      <c r="V247" s="58">
        <v>63803</v>
      </c>
      <c r="W247" s="61">
        <v>68876</v>
      </c>
      <c r="X247" s="109">
        <v>6.6094620614097765E-2</v>
      </c>
      <c r="Y247" s="109">
        <v>1.1469129979638559E-2</v>
      </c>
      <c r="Z247" s="109">
        <v>-2.0471760343920842E-4</v>
      </c>
      <c r="AA247" s="109">
        <v>2.0252233395519514E-2</v>
      </c>
    </row>
    <row r="248" spans="1:27" ht="15" x14ac:dyDescent="0.25">
      <c r="A248" s="4">
        <v>260129</v>
      </c>
      <c r="B248" s="19">
        <v>4307</v>
      </c>
      <c r="C248" s="19" t="s">
        <v>67</v>
      </c>
      <c r="D248" s="46" t="s">
        <v>756</v>
      </c>
      <c r="E248" s="19" t="s">
        <v>25</v>
      </c>
      <c r="F248" s="47">
        <v>1.7578652400968009</v>
      </c>
      <c r="G248" s="58">
        <v>155973</v>
      </c>
      <c r="H248" s="58">
        <v>163687</v>
      </c>
      <c r="I248" s="58">
        <v>167537</v>
      </c>
      <c r="J248" s="58">
        <v>171516</v>
      </c>
      <c r="K248" s="58">
        <v>177005</v>
      </c>
      <c r="L248" s="58">
        <v>176106</v>
      </c>
      <c r="M248" s="58">
        <v>176709</v>
      </c>
      <c r="N248" s="58">
        <v>185355</v>
      </c>
      <c r="O248" s="58">
        <v>187954</v>
      </c>
      <c r="P248" s="58">
        <v>186537</v>
      </c>
      <c r="Q248" s="58">
        <v>188110</v>
      </c>
      <c r="R248" s="58">
        <v>188668</v>
      </c>
      <c r="S248" s="58">
        <v>191467</v>
      </c>
      <c r="T248" s="58">
        <v>196568</v>
      </c>
      <c r="U248" s="58">
        <v>195770</v>
      </c>
      <c r="V248" s="58">
        <v>201295</v>
      </c>
      <c r="W248" s="61">
        <v>205268</v>
      </c>
      <c r="X248" s="109">
        <v>1.3289930072524214E-2</v>
      </c>
      <c r="Y248" s="109">
        <v>1.0015520133679789E-2</v>
      </c>
      <c r="Z248" s="109">
        <v>1.6346202391539943E-2</v>
      </c>
      <c r="AA248" s="109">
        <v>1.7578652400968009E-2</v>
      </c>
    </row>
    <row r="249" spans="1:27" ht="15" x14ac:dyDescent="0.25">
      <c r="A249" s="4">
        <v>260129</v>
      </c>
      <c r="B249" s="19">
        <v>6754</v>
      </c>
      <c r="C249" s="19" t="s">
        <v>67</v>
      </c>
      <c r="D249" s="46" t="s">
        <v>757</v>
      </c>
      <c r="E249" s="19" t="s">
        <v>25</v>
      </c>
      <c r="F249" s="47">
        <v>1.65764212530195</v>
      </c>
      <c r="G249" s="58">
        <v>24632</v>
      </c>
      <c r="H249" s="58">
        <v>29523</v>
      </c>
      <c r="I249" s="58">
        <v>26180</v>
      </c>
      <c r="J249" s="58">
        <v>27783</v>
      </c>
      <c r="K249" s="58">
        <v>27719</v>
      </c>
      <c r="L249" s="58">
        <v>29236</v>
      </c>
      <c r="M249" s="58">
        <v>22742</v>
      </c>
      <c r="N249" s="58">
        <v>28153</v>
      </c>
      <c r="O249" s="58">
        <v>26886</v>
      </c>
      <c r="P249" s="58">
        <v>32171</v>
      </c>
      <c r="Q249" s="58">
        <v>25229</v>
      </c>
      <c r="R249" s="58">
        <v>28080</v>
      </c>
      <c r="S249" s="58">
        <v>27531</v>
      </c>
      <c r="T249" s="58">
        <v>32139</v>
      </c>
      <c r="U249" s="58">
        <v>23620</v>
      </c>
      <c r="V249" s="58">
        <v>28073</v>
      </c>
      <c r="W249" s="61">
        <v>29377</v>
      </c>
      <c r="X249" s="109">
        <v>-2.8315827662794835E-4</v>
      </c>
      <c r="Y249" s="109">
        <v>-1.4241584719284162E-2</v>
      </c>
      <c r="Z249" s="109">
        <v>-6.2853551225594551E-5</v>
      </c>
      <c r="AA249" s="109">
        <v>1.6576421253019502E-2</v>
      </c>
    </row>
    <row r="250" spans="1:27" ht="15" x14ac:dyDescent="0.25">
      <c r="A250" s="4">
        <v>260129</v>
      </c>
      <c r="B250" s="19">
        <v>1944</v>
      </c>
      <c r="C250" s="19" t="s">
        <v>67</v>
      </c>
      <c r="D250" s="46" t="s">
        <v>758</v>
      </c>
      <c r="E250" s="19" t="s">
        <v>25</v>
      </c>
      <c r="F250" s="47">
        <v>1.5573946040340789</v>
      </c>
      <c r="G250" s="58">
        <v>131054</v>
      </c>
      <c r="H250" s="58">
        <v>191596</v>
      </c>
      <c r="I250" s="58">
        <v>115451</v>
      </c>
      <c r="J250" s="58">
        <v>142657</v>
      </c>
      <c r="K250" s="58">
        <v>144565</v>
      </c>
      <c r="L250" s="58">
        <v>206459</v>
      </c>
      <c r="M250" s="58">
        <v>112798</v>
      </c>
      <c r="N250" s="58">
        <v>157872</v>
      </c>
      <c r="O250" s="58">
        <v>156442</v>
      </c>
      <c r="P250" s="58">
        <v>227404</v>
      </c>
      <c r="Q250" s="58">
        <v>133244</v>
      </c>
      <c r="R250" s="58">
        <v>164796</v>
      </c>
      <c r="S250" s="58">
        <v>166545</v>
      </c>
      <c r="T250" s="58">
        <v>240473</v>
      </c>
      <c r="U250" s="58">
        <v>141412</v>
      </c>
      <c r="V250" s="58">
        <v>179966</v>
      </c>
      <c r="W250" s="61">
        <v>177889</v>
      </c>
      <c r="X250" s="109">
        <v>1.8886138363471083E-2</v>
      </c>
      <c r="Y250" s="109">
        <v>1.1584862521948569E-2</v>
      </c>
      <c r="Z250" s="109">
        <v>2.126955551255838E-2</v>
      </c>
      <c r="AA250" s="109">
        <v>1.5573946040340791E-2</v>
      </c>
    </row>
    <row r="251" spans="1:27" ht="15" x14ac:dyDescent="0.25">
      <c r="A251" s="4">
        <v>260129</v>
      </c>
      <c r="B251" s="19">
        <v>6504</v>
      </c>
      <c r="C251" s="19" t="s">
        <v>67</v>
      </c>
      <c r="D251" s="46" t="s">
        <v>759</v>
      </c>
      <c r="E251" s="19" t="s">
        <v>25</v>
      </c>
      <c r="F251" s="47">
        <v>1.2152002668514019</v>
      </c>
      <c r="G251" s="58">
        <v>222296</v>
      </c>
      <c r="H251" s="58">
        <v>290245</v>
      </c>
      <c r="I251" s="58">
        <v>203940</v>
      </c>
      <c r="J251" s="58">
        <v>243198</v>
      </c>
      <c r="K251" s="58">
        <v>243638</v>
      </c>
      <c r="L251" s="58">
        <v>318671</v>
      </c>
      <c r="M251" s="58">
        <v>234148</v>
      </c>
      <c r="N251" s="58">
        <v>257544</v>
      </c>
      <c r="O251" s="58">
        <v>267969</v>
      </c>
      <c r="P251" s="58">
        <v>343553</v>
      </c>
      <c r="Q251" s="58">
        <v>236387</v>
      </c>
      <c r="R251" s="58">
        <v>260990</v>
      </c>
      <c r="S251" s="58">
        <v>293687</v>
      </c>
      <c r="T251" s="58">
        <v>332343</v>
      </c>
      <c r="U251" s="58">
        <v>247916</v>
      </c>
      <c r="V251" s="58">
        <v>295244</v>
      </c>
      <c r="W251" s="61">
        <v>307895</v>
      </c>
      <c r="X251" s="109">
        <v>-9.879985933579305E-3</v>
      </c>
      <c r="Y251" s="109">
        <v>1.0262531744950953E-2</v>
      </c>
      <c r="Z251" s="109">
        <v>3.0181437543614686E-2</v>
      </c>
      <c r="AA251" s="109">
        <v>1.2152002668514017E-2</v>
      </c>
    </row>
    <row r="252" spans="1:27" ht="15" x14ac:dyDescent="0.25">
      <c r="A252" s="4">
        <v>260129</v>
      </c>
      <c r="B252" s="19">
        <v>9436</v>
      </c>
      <c r="C252" s="19" t="s">
        <v>67</v>
      </c>
      <c r="D252" s="46" t="s">
        <v>760</v>
      </c>
      <c r="E252" s="19" t="s">
        <v>25</v>
      </c>
      <c r="F252" s="47">
        <v>1.208437947298036</v>
      </c>
      <c r="G252" s="58">
        <v>18972</v>
      </c>
      <c r="H252" s="58">
        <v>18503</v>
      </c>
      <c r="I252" s="58">
        <v>18532</v>
      </c>
      <c r="J252" s="58">
        <v>19631</v>
      </c>
      <c r="K252" s="58">
        <v>19687</v>
      </c>
      <c r="L252" s="58">
        <v>19448</v>
      </c>
      <c r="M252" s="58">
        <v>18500</v>
      </c>
      <c r="N252" s="58">
        <v>19542</v>
      </c>
      <c r="O252" s="58">
        <v>20394</v>
      </c>
      <c r="P252" s="58">
        <v>19554</v>
      </c>
      <c r="Q252" s="58">
        <v>19812</v>
      </c>
      <c r="R252" s="58">
        <v>21335</v>
      </c>
      <c r="S252" s="58">
        <v>21262</v>
      </c>
      <c r="T252" s="58">
        <v>21905</v>
      </c>
      <c r="U252" s="58">
        <v>20612</v>
      </c>
      <c r="V252" s="58">
        <v>21455</v>
      </c>
      <c r="W252" s="61">
        <v>22292</v>
      </c>
      <c r="X252" s="109">
        <v>2.8683674340861165E-2</v>
      </c>
      <c r="Y252" s="109">
        <v>9.4883412007495949E-3</v>
      </c>
      <c r="Z252" s="109">
        <v>1.4098738162935387E-3</v>
      </c>
      <c r="AA252" s="109">
        <v>1.2084379472980356E-2</v>
      </c>
    </row>
    <row r="253" spans="1:27" ht="15" x14ac:dyDescent="0.25">
      <c r="A253" s="4">
        <v>260129</v>
      </c>
      <c r="B253" s="19">
        <v>6586</v>
      </c>
      <c r="C253" s="19" t="s">
        <v>67</v>
      </c>
      <c r="D253" s="46" t="s">
        <v>761</v>
      </c>
      <c r="E253" s="19" t="s">
        <v>25</v>
      </c>
      <c r="F253" s="47">
        <v>1.106550996634037</v>
      </c>
      <c r="G253" s="58">
        <v>182601</v>
      </c>
      <c r="H253" s="58">
        <v>192429</v>
      </c>
      <c r="I253" s="58">
        <v>195348</v>
      </c>
      <c r="J253" s="58">
        <v>195970</v>
      </c>
      <c r="K253" s="58">
        <v>188965</v>
      </c>
      <c r="L253" s="58">
        <v>184419</v>
      </c>
      <c r="M253" s="58">
        <v>184455</v>
      </c>
      <c r="N253" s="58">
        <v>185212</v>
      </c>
      <c r="O253" s="58">
        <v>180947</v>
      </c>
      <c r="P253" s="58">
        <v>190777</v>
      </c>
      <c r="Q253" s="58">
        <v>193932</v>
      </c>
      <c r="R253" s="58">
        <v>192511</v>
      </c>
      <c r="S253" s="58">
        <v>182112</v>
      </c>
      <c r="T253" s="58">
        <v>184575</v>
      </c>
      <c r="U253" s="58">
        <v>186614</v>
      </c>
      <c r="V253" s="58">
        <v>191807</v>
      </c>
      <c r="W253" s="61">
        <v>190357</v>
      </c>
      <c r="X253" s="109">
        <v>-8.1677052988679E-3</v>
      </c>
      <c r="Y253" s="109">
        <v>-9.7167819632733021E-3</v>
      </c>
      <c r="Z253" s="109">
        <v>-9.4393761430489054E-4</v>
      </c>
      <c r="AA253" s="109">
        <v>1.106550996634037E-2</v>
      </c>
    </row>
    <row r="254" spans="1:27" ht="15" x14ac:dyDescent="0.25">
      <c r="A254" s="4">
        <v>260129</v>
      </c>
      <c r="B254" s="19">
        <v>4502</v>
      </c>
      <c r="C254" s="19" t="s">
        <v>67</v>
      </c>
      <c r="D254" s="46" t="s">
        <v>762</v>
      </c>
      <c r="E254" s="19" t="s">
        <v>25</v>
      </c>
      <c r="F254" s="47">
        <v>1.07706490643884</v>
      </c>
      <c r="G254" s="58">
        <v>901294</v>
      </c>
      <c r="H254" s="58">
        <v>873289</v>
      </c>
      <c r="I254" s="58">
        <v>972465</v>
      </c>
      <c r="J254" s="58">
        <v>1002307</v>
      </c>
      <c r="K254" s="58">
        <v>1096551</v>
      </c>
      <c r="L254" s="58">
        <v>956156</v>
      </c>
      <c r="M254" s="58">
        <v>1058618</v>
      </c>
      <c r="N254" s="58">
        <v>1043089</v>
      </c>
      <c r="O254" s="58">
        <v>1111186</v>
      </c>
      <c r="P254" s="58">
        <v>1050869</v>
      </c>
      <c r="Q254" s="58">
        <v>1207990</v>
      </c>
      <c r="R254" s="58">
        <v>1176038</v>
      </c>
      <c r="S254" s="58">
        <v>1144124</v>
      </c>
      <c r="T254" s="58">
        <v>1053399</v>
      </c>
      <c r="U254" s="58">
        <v>1106685</v>
      </c>
      <c r="V254" s="58">
        <v>1112796</v>
      </c>
      <c r="W254" s="61">
        <v>1191698</v>
      </c>
      <c r="X254" s="109">
        <v>5.5251985085891242E-4</v>
      </c>
      <c r="Y254" s="109">
        <v>-2.2111507653194251E-2</v>
      </c>
      <c r="Z254" s="109">
        <v>-1.4115742751625637E-2</v>
      </c>
      <c r="AA254" s="109">
        <v>1.0770649064388405E-2</v>
      </c>
    </row>
    <row r="255" spans="1:27" ht="15" x14ac:dyDescent="0.25">
      <c r="A255" s="4">
        <v>260129</v>
      </c>
      <c r="B255" s="19">
        <v>7751</v>
      </c>
      <c r="C255" s="19" t="s">
        <v>67</v>
      </c>
      <c r="D255" s="46" t="s">
        <v>763</v>
      </c>
      <c r="E255" s="19" t="s">
        <v>25</v>
      </c>
      <c r="F255" s="47">
        <v>1.0515664354397549</v>
      </c>
      <c r="G255" s="58">
        <v>955449</v>
      </c>
      <c r="H255" s="58">
        <v>879350</v>
      </c>
      <c r="I255" s="58">
        <v>998799</v>
      </c>
      <c r="J255" s="58">
        <v>996090</v>
      </c>
      <c r="K255" s="58">
        <v>1157175</v>
      </c>
      <c r="L255" s="58">
        <v>971125</v>
      </c>
      <c r="M255" s="58">
        <v>1020882</v>
      </c>
      <c r="N255" s="58">
        <v>1025247</v>
      </c>
      <c r="O255" s="58">
        <v>1163718</v>
      </c>
      <c r="P255" s="58">
        <v>988519</v>
      </c>
      <c r="Q255" s="58">
        <v>1167786</v>
      </c>
      <c r="R255" s="58">
        <v>1079806</v>
      </c>
      <c r="S255" s="58">
        <v>1273710</v>
      </c>
      <c r="T255" s="58">
        <v>1058396</v>
      </c>
      <c r="U255" s="58">
        <v>1140171</v>
      </c>
      <c r="V255" s="58">
        <v>1104324</v>
      </c>
      <c r="W255" s="61">
        <v>1321836</v>
      </c>
      <c r="X255" s="109">
        <v>1.5494406540747407E-2</v>
      </c>
      <c r="Y255" s="109">
        <v>-6.029873585550849E-3</v>
      </c>
      <c r="Z255" s="109">
        <v>5.3861056575637001E-3</v>
      </c>
      <c r="AA255" s="109">
        <v>1.0515664354397547E-2</v>
      </c>
    </row>
    <row r="256" spans="1:27" ht="15" x14ac:dyDescent="0.25">
      <c r="A256" s="4">
        <v>260129</v>
      </c>
      <c r="B256" s="19">
        <v>4661</v>
      </c>
      <c r="C256" s="19" t="s">
        <v>67</v>
      </c>
      <c r="D256" s="46" t="s">
        <v>764</v>
      </c>
      <c r="E256" s="19" t="s">
        <v>25</v>
      </c>
      <c r="F256" s="47">
        <v>0.87799443216056705</v>
      </c>
      <c r="G256" s="58">
        <v>92745</v>
      </c>
      <c r="H256" s="58">
        <v>85415</v>
      </c>
      <c r="I256" s="58">
        <v>98166</v>
      </c>
      <c r="J256" s="58">
        <v>105877</v>
      </c>
      <c r="K256" s="59">
        <v>146982</v>
      </c>
      <c r="L256" s="59">
        <v>132098</v>
      </c>
      <c r="M256" s="58">
        <v>140604</v>
      </c>
      <c r="N256" s="58">
        <v>143726</v>
      </c>
      <c r="O256" s="58">
        <v>181946</v>
      </c>
      <c r="P256" s="58">
        <v>152217</v>
      </c>
      <c r="Q256" s="58">
        <v>148421</v>
      </c>
      <c r="R256" s="58">
        <v>148846</v>
      </c>
      <c r="S256" s="58">
        <v>207906</v>
      </c>
      <c r="T256" s="58">
        <v>174201</v>
      </c>
      <c r="U256" s="58">
        <v>163750</v>
      </c>
      <c r="V256" s="58">
        <v>152439</v>
      </c>
      <c r="W256" s="61">
        <v>214037</v>
      </c>
      <c r="X256" s="109">
        <v>3.3441336193127391E-2</v>
      </c>
      <c r="Y256" s="109">
        <v>2.2563418676605274E-2</v>
      </c>
      <c r="Z256" s="109">
        <v>5.1719943630588183E-3</v>
      </c>
      <c r="AA256" s="109">
        <v>8.7799443216056705E-3</v>
      </c>
    </row>
    <row r="257" spans="1:27" ht="15" x14ac:dyDescent="0.25">
      <c r="A257" s="4">
        <v>260129</v>
      </c>
      <c r="B257" s="19">
        <v>5333</v>
      </c>
      <c r="C257" s="19" t="s">
        <v>67</v>
      </c>
      <c r="D257" s="46" t="s">
        <v>765</v>
      </c>
      <c r="E257" s="19" t="s">
        <v>25</v>
      </c>
      <c r="F257" s="47">
        <v>0.71134522255604793</v>
      </c>
      <c r="G257" s="58">
        <v>121723</v>
      </c>
      <c r="H257" s="58">
        <v>138557</v>
      </c>
      <c r="I257" s="58">
        <v>131000</v>
      </c>
      <c r="J257" s="58">
        <v>143688</v>
      </c>
      <c r="K257" s="58">
        <v>140393</v>
      </c>
      <c r="L257" s="58">
        <v>144159</v>
      </c>
      <c r="M257" s="58">
        <v>141331</v>
      </c>
      <c r="N257" s="58">
        <v>141553</v>
      </c>
      <c r="O257" s="58">
        <v>139643</v>
      </c>
      <c r="P257" s="58">
        <v>156386</v>
      </c>
      <c r="Q257" s="58">
        <v>152521</v>
      </c>
      <c r="R257" s="58">
        <v>145831</v>
      </c>
      <c r="S257" s="58">
        <v>157099</v>
      </c>
      <c r="T257" s="58">
        <v>164062</v>
      </c>
      <c r="U257" s="58">
        <v>166458</v>
      </c>
      <c r="V257" s="58">
        <v>159746</v>
      </c>
      <c r="W257" s="61">
        <v>161704</v>
      </c>
      <c r="X257" s="109">
        <v>1.2545825113551512E-2</v>
      </c>
      <c r="Y257" s="109">
        <v>2.2496703055464584E-2</v>
      </c>
      <c r="Z257" s="109">
        <v>2.1967006077827866E-2</v>
      </c>
      <c r="AA257" s="109">
        <v>7.1134522255604793E-3</v>
      </c>
    </row>
    <row r="258" spans="1:27" ht="15" x14ac:dyDescent="0.25">
      <c r="A258" s="4">
        <v>260129</v>
      </c>
      <c r="B258" s="19">
        <v>6345</v>
      </c>
      <c r="C258" s="19" t="s">
        <v>67</v>
      </c>
      <c r="D258" s="46" t="s">
        <v>381</v>
      </c>
      <c r="E258" s="19" t="s">
        <v>25</v>
      </c>
      <c r="F258" s="47">
        <v>0.63159405727408746</v>
      </c>
      <c r="G258" s="58">
        <v>13252</v>
      </c>
      <c r="H258" s="58">
        <v>17979</v>
      </c>
      <c r="I258" s="58">
        <v>10681</v>
      </c>
      <c r="J258" s="58">
        <v>16411</v>
      </c>
      <c r="K258" s="58">
        <v>12789</v>
      </c>
      <c r="L258" s="58">
        <v>20797</v>
      </c>
      <c r="M258" s="58">
        <v>10606</v>
      </c>
      <c r="N258" s="58">
        <v>15789</v>
      </c>
      <c r="O258" s="58">
        <v>12333</v>
      </c>
      <c r="P258" s="58">
        <v>14401</v>
      </c>
      <c r="Q258" s="58">
        <v>12746</v>
      </c>
      <c r="R258" s="58">
        <v>15333</v>
      </c>
      <c r="S258" s="58">
        <v>13296</v>
      </c>
      <c r="T258" s="58">
        <v>17931</v>
      </c>
      <c r="U258" s="58">
        <v>9210</v>
      </c>
      <c r="V258" s="58">
        <v>15295</v>
      </c>
      <c r="W258" s="61">
        <v>13648</v>
      </c>
      <c r="X258" s="109">
        <v>6.3288869764773326E-2</v>
      </c>
      <c r="Y258" s="109">
        <v>-5.9622972380534822E-2</v>
      </c>
      <c r="Z258" s="109">
        <v>-6.8136991213918474E-4</v>
      </c>
      <c r="AA258" s="109">
        <v>6.3159405727408746E-3</v>
      </c>
    </row>
    <row r="259" spans="1:27" ht="15" x14ac:dyDescent="0.25">
      <c r="A259" s="4">
        <v>260129</v>
      </c>
      <c r="B259" s="19">
        <v>6701</v>
      </c>
      <c r="C259" s="19" t="s">
        <v>67</v>
      </c>
      <c r="D259" s="46" t="s">
        <v>766</v>
      </c>
      <c r="E259" s="19" t="s">
        <v>25</v>
      </c>
      <c r="F259" s="47">
        <v>0.49635908278660162</v>
      </c>
      <c r="G259" s="58">
        <v>713551</v>
      </c>
      <c r="H259" s="58">
        <v>917739</v>
      </c>
      <c r="I259" s="58">
        <v>659669</v>
      </c>
      <c r="J259" s="58">
        <v>795702</v>
      </c>
      <c r="K259" s="58">
        <v>813888</v>
      </c>
      <c r="L259" s="58">
        <v>1043759</v>
      </c>
      <c r="M259" s="58">
        <v>706542</v>
      </c>
      <c r="N259" s="58">
        <v>842259</v>
      </c>
      <c r="O259" s="58">
        <v>844475</v>
      </c>
      <c r="P259" s="58">
        <v>1083986</v>
      </c>
      <c r="Q259" s="58">
        <v>690296</v>
      </c>
      <c r="R259" s="58">
        <v>796380</v>
      </c>
      <c r="S259" s="58">
        <v>835133</v>
      </c>
      <c r="T259" s="58">
        <v>1101622</v>
      </c>
      <c r="U259" s="58">
        <v>715658</v>
      </c>
      <c r="V259" s="58">
        <v>854121</v>
      </c>
      <c r="W259" s="61">
        <v>852538</v>
      </c>
      <c r="X259" s="109">
        <v>5.1782329823140127E-3</v>
      </c>
      <c r="Y259" s="109">
        <v>7.4083572883461013E-3</v>
      </c>
      <c r="Z259" s="109">
        <v>1.6742379145399555E-2</v>
      </c>
      <c r="AA259" s="109">
        <v>4.9635908278660157E-3</v>
      </c>
    </row>
    <row r="260" spans="1:27" ht="15" x14ac:dyDescent="0.25">
      <c r="A260" s="4">
        <v>260129</v>
      </c>
      <c r="B260" s="19">
        <v>9766</v>
      </c>
      <c r="C260" s="19" t="s">
        <v>67</v>
      </c>
      <c r="D260" s="46" t="s">
        <v>767</v>
      </c>
      <c r="E260" s="19" t="s">
        <v>25</v>
      </c>
      <c r="F260" s="47">
        <v>0.31058251524254121</v>
      </c>
      <c r="G260" s="58">
        <v>75562</v>
      </c>
      <c r="H260" s="58">
        <v>84474</v>
      </c>
      <c r="I260" s="58">
        <v>71905</v>
      </c>
      <c r="J260" s="58">
        <v>76454</v>
      </c>
      <c r="K260" s="58">
        <v>78519</v>
      </c>
      <c r="L260" s="58">
        <v>87443</v>
      </c>
      <c r="M260" s="58">
        <v>72633</v>
      </c>
      <c r="N260" s="58">
        <v>81218</v>
      </c>
      <c r="O260" s="58">
        <v>99245</v>
      </c>
      <c r="P260" s="58">
        <v>107218</v>
      </c>
      <c r="Q260" s="58">
        <v>90039</v>
      </c>
      <c r="R260" s="58">
        <v>94045</v>
      </c>
      <c r="S260" s="58">
        <v>126745</v>
      </c>
      <c r="T260" s="58">
        <v>110773</v>
      </c>
      <c r="U260" s="58">
        <v>96964</v>
      </c>
      <c r="V260" s="58">
        <v>127875</v>
      </c>
      <c r="W260" s="61">
        <v>128181</v>
      </c>
      <c r="X260" s="109">
        <v>8.5038285168892447E-3</v>
      </c>
      <c r="Y260" s="109">
        <v>1.6425443902068793E-2</v>
      </c>
      <c r="Z260" s="109">
        <v>7.8944850616180506E-2</v>
      </c>
      <c r="AA260" s="109">
        <v>3.1058251524254121E-3</v>
      </c>
    </row>
    <row r="261" spans="1:27" ht="15" x14ac:dyDescent="0.25">
      <c r="A261" s="4">
        <v>260129</v>
      </c>
      <c r="B261" s="19">
        <v>4204</v>
      </c>
      <c r="C261" s="19" t="s">
        <v>67</v>
      </c>
      <c r="D261" s="46" t="s">
        <v>768</v>
      </c>
      <c r="E261" s="19" t="s">
        <v>25</v>
      </c>
      <c r="F261" s="47">
        <v>0.29441754152497168</v>
      </c>
      <c r="G261" s="58">
        <v>290709</v>
      </c>
      <c r="H261" s="58">
        <v>319294</v>
      </c>
      <c r="I261" s="58">
        <v>282271</v>
      </c>
      <c r="J261" s="58">
        <v>325494</v>
      </c>
      <c r="K261" s="58">
        <v>304466</v>
      </c>
      <c r="L261" s="58">
        <v>330290</v>
      </c>
      <c r="M261" s="58">
        <v>285393</v>
      </c>
      <c r="N261" s="58">
        <v>325901</v>
      </c>
      <c r="O261" s="58">
        <v>312637</v>
      </c>
      <c r="P261" s="58">
        <v>332607</v>
      </c>
      <c r="Q261" s="58">
        <v>298828</v>
      </c>
      <c r="R261" s="58">
        <v>330226</v>
      </c>
      <c r="S261" s="58">
        <v>326287</v>
      </c>
      <c r="T261" s="58">
        <v>342412</v>
      </c>
      <c r="U261" s="58">
        <v>305147</v>
      </c>
      <c r="V261" s="58">
        <v>324650</v>
      </c>
      <c r="W261" s="61">
        <v>330110</v>
      </c>
      <c r="X261" s="109">
        <v>7.6128849922512121E-3</v>
      </c>
      <c r="Y261" s="109">
        <v>4.869185430509404E-3</v>
      </c>
      <c r="Z261" s="109">
        <v>-4.2758375304431384E-3</v>
      </c>
      <c r="AA261" s="109">
        <v>2.9441754152497168E-3</v>
      </c>
    </row>
    <row r="262" spans="1:27" ht="15" x14ac:dyDescent="0.25">
      <c r="A262" s="4">
        <v>260129</v>
      </c>
      <c r="B262" s="19">
        <v>7947</v>
      </c>
      <c r="C262" s="19" t="s">
        <v>67</v>
      </c>
      <c r="D262" s="46" t="s">
        <v>769</v>
      </c>
      <c r="E262" s="19" t="s">
        <v>25</v>
      </c>
      <c r="F262" s="47">
        <v>0.11032656663725331</v>
      </c>
      <c r="G262" s="58">
        <v>53512</v>
      </c>
      <c r="H262" s="58">
        <v>44821</v>
      </c>
      <c r="I262" s="58">
        <v>49437</v>
      </c>
      <c r="J262" s="58">
        <v>53125</v>
      </c>
      <c r="K262" s="58">
        <v>60249</v>
      </c>
      <c r="L262" s="58">
        <v>48474</v>
      </c>
      <c r="M262" s="58">
        <v>53233</v>
      </c>
      <c r="N262" s="58">
        <v>55493</v>
      </c>
      <c r="O262" s="58">
        <v>62034</v>
      </c>
      <c r="P262" s="58">
        <v>51340</v>
      </c>
      <c r="Q262" s="58">
        <v>55131</v>
      </c>
      <c r="R262" s="58">
        <v>59761</v>
      </c>
      <c r="S262" s="58">
        <v>66714</v>
      </c>
      <c r="T262" s="58">
        <v>54022</v>
      </c>
      <c r="U262" s="58">
        <v>57813</v>
      </c>
      <c r="V262" s="58">
        <v>61647</v>
      </c>
      <c r="W262" s="61">
        <v>66979</v>
      </c>
      <c r="X262" s="109">
        <v>1.1513397954890925E-2</v>
      </c>
      <c r="Y262" s="109">
        <v>1.1382348447552815E-2</v>
      </c>
      <c r="Z262" s="109">
        <v>7.9140615165120831E-3</v>
      </c>
      <c r="AA262" s="109">
        <v>1.1032656663725326E-3</v>
      </c>
    </row>
    <row r="263" spans="1:27" ht="15" x14ac:dyDescent="0.25">
      <c r="A263" s="4">
        <v>260129</v>
      </c>
      <c r="B263" s="19">
        <v>6305</v>
      </c>
      <c r="C263" s="19" t="s">
        <v>67</v>
      </c>
      <c r="D263" s="46" t="s">
        <v>770</v>
      </c>
      <c r="E263" s="19" t="s">
        <v>25</v>
      </c>
      <c r="F263" s="47">
        <v>-1.7799365842430252E-2</v>
      </c>
      <c r="G263" s="58">
        <v>246674</v>
      </c>
      <c r="H263" s="58">
        <v>304595</v>
      </c>
      <c r="I263" s="58">
        <v>267539</v>
      </c>
      <c r="J263" s="58">
        <v>311363</v>
      </c>
      <c r="K263" s="58">
        <v>323846</v>
      </c>
      <c r="L263" s="58">
        <v>376720</v>
      </c>
      <c r="M263" s="58">
        <v>320006</v>
      </c>
      <c r="N263" s="58">
        <v>354094</v>
      </c>
      <c r="O263" s="58">
        <v>346269</v>
      </c>
      <c r="P263" s="58">
        <v>0</v>
      </c>
      <c r="Q263" s="58">
        <v>328217</v>
      </c>
      <c r="R263" s="58">
        <v>337520</v>
      </c>
      <c r="S263" s="58">
        <v>325540</v>
      </c>
      <c r="T263" s="59">
        <v>380008</v>
      </c>
      <c r="U263" s="58">
        <v>306152</v>
      </c>
      <c r="V263" s="58">
        <v>347899</v>
      </c>
      <c r="W263" s="61">
        <v>325298</v>
      </c>
      <c r="X263" s="109">
        <v>0.38335197931556975</v>
      </c>
      <c r="Y263" s="109">
        <v>-1.6090747000076622E-2</v>
      </c>
      <c r="Z263" s="109">
        <v>7.6925927572968344E-3</v>
      </c>
      <c r="AA263" s="109">
        <v>-1.7799365842430248E-4</v>
      </c>
    </row>
    <row r="264" spans="1:27" ht="15" x14ac:dyDescent="0.25">
      <c r="A264" s="4">
        <v>260129</v>
      </c>
      <c r="B264" s="19">
        <v>6923</v>
      </c>
      <c r="C264" s="19" t="s">
        <v>67</v>
      </c>
      <c r="D264" s="46" t="s">
        <v>771</v>
      </c>
      <c r="E264" s="19" t="s">
        <v>25</v>
      </c>
      <c r="F264" s="47">
        <v>-1.8869686335232231E-2</v>
      </c>
      <c r="G264" s="58">
        <v>100754</v>
      </c>
      <c r="H264" s="58">
        <v>102698</v>
      </c>
      <c r="I264" s="58">
        <v>93058</v>
      </c>
      <c r="J264" s="58">
        <v>120038</v>
      </c>
      <c r="K264" s="58">
        <v>109555</v>
      </c>
      <c r="L264" s="58">
        <v>115139</v>
      </c>
      <c r="M264" s="58">
        <v>111726</v>
      </c>
      <c r="N264" s="58">
        <v>114437</v>
      </c>
      <c r="O264" s="58">
        <v>129235</v>
      </c>
      <c r="P264" s="58">
        <v>116999</v>
      </c>
      <c r="Q264" s="58">
        <v>121441</v>
      </c>
      <c r="R264" s="58">
        <v>122546</v>
      </c>
      <c r="S264" s="58">
        <v>131910</v>
      </c>
      <c r="T264" s="58">
        <v>133668</v>
      </c>
      <c r="U264" s="58">
        <v>119838</v>
      </c>
      <c r="V264" s="58">
        <v>128636</v>
      </c>
      <c r="W264" s="61">
        <v>131813</v>
      </c>
      <c r="X264" s="109">
        <v>3.3818493150684859E-2</v>
      </c>
      <c r="Y264" s="109">
        <v>-3.1458204547015756E-3</v>
      </c>
      <c r="Z264" s="109">
        <v>1.1989085797756482E-2</v>
      </c>
      <c r="AA264" s="109">
        <v>-1.8869686335232227E-4</v>
      </c>
    </row>
    <row r="265" spans="1:27" ht="15" x14ac:dyDescent="0.25">
      <c r="A265" s="4">
        <v>260129</v>
      </c>
      <c r="B265" s="19">
        <v>5471</v>
      </c>
      <c r="C265" s="19" t="s">
        <v>67</v>
      </c>
      <c r="D265" s="46" t="s">
        <v>772</v>
      </c>
      <c r="E265" s="19" t="s">
        <v>25</v>
      </c>
      <c r="F265" s="47">
        <v>-0.83176361316308345</v>
      </c>
      <c r="G265" s="58">
        <v>135275</v>
      </c>
      <c r="H265" s="58">
        <v>139168</v>
      </c>
      <c r="I265" s="58">
        <v>137682</v>
      </c>
      <c r="J265" s="58">
        <v>144175</v>
      </c>
      <c r="K265" s="58">
        <v>152869</v>
      </c>
      <c r="L265" s="58">
        <v>143838</v>
      </c>
      <c r="M265" s="58">
        <v>141938</v>
      </c>
      <c r="N265" s="58">
        <v>146656</v>
      </c>
      <c r="O265" s="58">
        <v>149769</v>
      </c>
      <c r="P265" s="58">
        <v>140201</v>
      </c>
      <c r="Q265" s="58">
        <v>142094</v>
      </c>
      <c r="R265" s="58">
        <v>141345</v>
      </c>
      <c r="S265" s="58">
        <v>150522</v>
      </c>
      <c r="T265" s="58">
        <v>140984</v>
      </c>
      <c r="U265" s="58">
        <v>142352</v>
      </c>
      <c r="V265" s="58">
        <v>142147</v>
      </c>
      <c r="W265" s="61">
        <v>145731</v>
      </c>
      <c r="X265" s="109">
        <v>1.3637266137431769E-3</v>
      </c>
      <c r="Y265" s="109">
        <v>4.4873857499405645E-4</v>
      </c>
      <c r="Z265" s="109">
        <v>1.3942903635759674E-3</v>
      </c>
      <c r="AA265" s="109">
        <v>-8.3176361316308345E-3</v>
      </c>
    </row>
    <row r="266" spans="1:27" ht="15" x14ac:dyDescent="0.25">
      <c r="A266" s="4">
        <v>260129</v>
      </c>
      <c r="B266" s="19">
        <v>4956</v>
      </c>
      <c r="C266" s="19" t="s">
        <v>67</v>
      </c>
      <c r="D266" s="46" t="s">
        <v>773</v>
      </c>
      <c r="E266" s="19" t="s">
        <v>25</v>
      </c>
      <c r="F266" s="47">
        <v>-1.0815792383971681</v>
      </c>
      <c r="G266" s="58">
        <v>29822</v>
      </c>
      <c r="H266" s="58">
        <v>29906</v>
      </c>
      <c r="I266" s="58">
        <v>27707</v>
      </c>
      <c r="J266" s="58">
        <v>30441</v>
      </c>
      <c r="K266" s="58">
        <v>33072</v>
      </c>
      <c r="L266" s="58">
        <v>32119</v>
      </c>
      <c r="M266" s="58">
        <v>31844</v>
      </c>
      <c r="N266" s="58">
        <v>33473</v>
      </c>
      <c r="O266" s="58">
        <v>35535</v>
      </c>
      <c r="P266" s="58">
        <v>32117</v>
      </c>
      <c r="Q266" s="58">
        <v>32267</v>
      </c>
      <c r="R266" s="58">
        <v>33507</v>
      </c>
      <c r="S266" s="58">
        <v>36912</v>
      </c>
      <c r="T266" s="58">
        <v>33190</v>
      </c>
      <c r="U266" s="58">
        <v>32241</v>
      </c>
      <c r="V266" s="58">
        <v>33292</v>
      </c>
      <c r="W266" s="61">
        <v>35445</v>
      </c>
      <c r="X266" s="109">
        <v>7.9597635067469863E-3</v>
      </c>
      <c r="Y266" s="109">
        <v>-1.9135093761957211E-4</v>
      </c>
      <c r="Z266" s="109">
        <v>-1.5826278984173436E-3</v>
      </c>
      <c r="AA266" s="109">
        <v>-1.0815792383971679E-2</v>
      </c>
    </row>
    <row r="267" spans="1:27" ht="15" x14ac:dyDescent="0.25">
      <c r="A267" s="4">
        <v>260129</v>
      </c>
      <c r="B267" s="19">
        <v>3593</v>
      </c>
      <c r="C267" s="19" t="s">
        <v>67</v>
      </c>
      <c r="D267" s="46" t="s">
        <v>774</v>
      </c>
      <c r="E267" s="19" t="s">
        <v>25</v>
      </c>
      <c r="F267" s="47">
        <v>-1.394100479466331</v>
      </c>
      <c r="G267" s="58">
        <v>9882</v>
      </c>
      <c r="H267" s="58">
        <v>8968</v>
      </c>
      <c r="I267" s="58">
        <v>9447</v>
      </c>
      <c r="J267" s="58">
        <v>9754</v>
      </c>
      <c r="K267" s="58">
        <v>10334</v>
      </c>
      <c r="L267" s="58">
        <v>9446</v>
      </c>
      <c r="M267" s="58">
        <v>9679</v>
      </c>
      <c r="N267" s="58">
        <v>9857</v>
      </c>
      <c r="O267" s="58">
        <v>10218</v>
      </c>
      <c r="P267" s="58">
        <v>9346</v>
      </c>
      <c r="Q267" s="58">
        <v>9725</v>
      </c>
      <c r="R267" s="58">
        <v>9894</v>
      </c>
      <c r="S267" s="58">
        <v>10397</v>
      </c>
      <c r="T267" s="58">
        <v>9122</v>
      </c>
      <c r="U267" s="58">
        <v>9375</v>
      </c>
      <c r="V267" s="58">
        <v>9482</v>
      </c>
      <c r="W267" s="61">
        <v>9862</v>
      </c>
      <c r="X267" s="109">
        <v>-5.6907677455413364E-3</v>
      </c>
      <c r="Y267" s="109">
        <v>-8.9427155194440333E-3</v>
      </c>
      <c r="Z267" s="109">
        <v>-1.0621841806744303E-2</v>
      </c>
      <c r="AA267" s="109">
        <v>-1.3941004794663314E-2</v>
      </c>
    </row>
    <row r="268" spans="1:27" ht="15" x14ac:dyDescent="0.25">
      <c r="A268" s="4">
        <v>260129</v>
      </c>
      <c r="B268" s="19">
        <v>6702</v>
      </c>
      <c r="C268" s="19" t="s">
        <v>67</v>
      </c>
      <c r="D268" s="46" t="s">
        <v>775</v>
      </c>
      <c r="E268" s="19" t="s">
        <v>25</v>
      </c>
      <c r="F268" s="47">
        <v>-1.610164661152536</v>
      </c>
      <c r="G268" s="58">
        <v>880526</v>
      </c>
      <c r="H268" s="58">
        <v>1043302</v>
      </c>
      <c r="I268" s="58">
        <v>818862</v>
      </c>
      <c r="J268" s="58">
        <v>886449</v>
      </c>
      <c r="K268" s="58">
        <v>931424</v>
      </c>
      <c r="L268" s="58">
        <v>1077032</v>
      </c>
      <c r="M268" s="58">
        <v>799640</v>
      </c>
      <c r="N268" s="58">
        <v>912257</v>
      </c>
      <c r="O268" s="58">
        <v>930825</v>
      </c>
      <c r="P268" s="58">
        <v>1113337</v>
      </c>
      <c r="Q268" s="58">
        <v>830030</v>
      </c>
      <c r="R268" s="58">
        <v>866646</v>
      </c>
      <c r="S268" s="58">
        <v>924756</v>
      </c>
      <c r="T268" s="58">
        <v>0</v>
      </c>
      <c r="U268" s="58">
        <v>749859</v>
      </c>
      <c r="V268" s="58">
        <v>816683</v>
      </c>
      <c r="W268" s="61">
        <v>884642</v>
      </c>
      <c r="X268" s="109">
        <v>-0.29810063219438743</v>
      </c>
      <c r="Y268" s="109">
        <v>-3.0582902779854648E-2</v>
      </c>
      <c r="Z268" s="109">
        <v>-1.9660711749009629E-2</v>
      </c>
      <c r="AA268" s="109">
        <v>-1.6101646611525355E-2</v>
      </c>
    </row>
    <row r="269" spans="1:27" ht="15" x14ac:dyDescent="0.25">
      <c r="A269" s="4">
        <v>260129</v>
      </c>
      <c r="B269" s="19">
        <v>7205</v>
      </c>
      <c r="C269" s="19" t="s">
        <v>67</v>
      </c>
      <c r="D269" s="46" t="s">
        <v>776</v>
      </c>
      <c r="E269" s="19" t="s">
        <v>25</v>
      </c>
      <c r="F269" s="47">
        <v>-2.1527218748390919</v>
      </c>
      <c r="G269" s="58">
        <v>380042</v>
      </c>
      <c r="H269" s="58">
        <v>390279</v>
      </c>
      <c r="I269" s="58">
        <v>355856</v>
      </c>
      <c r="J269" s="58">
        <v>377503</v>
      </c>
      <c r="K269" s="58">
        <v>377018</v>
      </c>
      <c r="L269" s="58">
        <v>396959</v>
      </c>
      <c r="M269" s="58">
        <v>371914</v>
      </c>
      <c r="N269" s="58">
        <v>383474</v>
      </c>
      <c r="O269" s="58">
        <v>386124</v>
      </c>
      <c r="P269" s="58">
        <v>374743</v>
      </c>
      <c r="Q269" s="58">
        <v>411060</v>
      </c>
      <c r="R269" s="58">
        <v>436486</v>
      </c>
      <c r="S269" s="58">
        <v>432661</v>
      </c>
      <c r="T269" s="58">
        <v>417022</v>
      </c>
      <c r="U269" s="58">
        <v>364244</v>
      </c>
      <c r="V269" s="58">
        <v>378615</v>
      </c>
      <c r="W269" s="61">
        <v>398378</v>
      </c>
      <c r="X269" s="109">
        <v>2.5546995377503823E-2</v>
      </c>
      <c r="Y269" s="109">
        <v>-2.7583785099123292E-2</v>
      </c>
      <c r="Z269" s="109">
        <v>-3.5064556568567995E-2</v>
      </c>
      <c r="AA269" s="109">
        <v>-2.1527218748390919E-2</v>
      </c>
    </row>
    <row r="270" spans="1:27" ht="15" x14ac:dyDescent="0.25">
      <c r="A270" s="4">
        <v>260129</v>
      </c>
      <c r="B270" s="19">
        <v>9505</v>
      </c>
      <c r="C270" s="19" t="s">
        <v>67</v>
      </c>
      <c r="D270" s="46" t="s">
        <v>777</v>
      </c>
      <c r="E270" s="19" t="s">
        <v>25</v>
      </c>
      <c r="F270" s="47">
        <v>-3.151667613791731</v>
      </c>
      <c r="G270" s="58">
        <v>149166</v>
      </c>
      <c r="H270" s="58">
        <v>192954</v>
      </c>
      <c r="I270" s="58">
        <v>163560</v>
      </c>
      <c r="J270" s="58">
        <v>211372</v>
      </c>
      <c r="K270" s="58">
        <v>205252</v>
      </c>
      <c r="L270" s="58">
        <v>237417</v>
      </c>
      <c r="M270" s="58">
        <v>192987</v>
      </c>
      <c r="N270" s="58">
        <v>214934</v>
      </c>
      <c r="O270" s="58">
        <v>185783</v>
      </c>
      <c r="P270" s="58">
        <v>214534</v>
      </c>
      <c r="Q270" s="58">
        <v>187635</v>
      </c>
      <c r="R270" s="58">
        <v>232677</v>
      </c>
      <c r="S270" s="58">
        <v>206445</v>
      </c>
      <c r="T270" s="58">
        <v>231518</v>
      </c>
      <c r="U270" s="58">
        <v>186079</v>
      </c>
      <c r="V270" s="58">
        <v>217100</v>
      </c>
      <c r="W270" s="61">
        <v>179935</v>
      </c>
      <c r="X270" s="109">
        <v>2.0188020554124497E-2</v>
      </c>
      <c r="Y270" s="109">
        <v>-1.8129387434097088E-3</v>
      </c>
      <c r="Z270" s="109">
        <v>-1.8182157743670935E-2</v>
      </c>
      <c r="AA270" s="109">
        <v>-3.151667613791731E-2</v>
      </c>
    </row>
    <row r="271" spans="1:27" ht="15" x14ac:dyDescent="0.25">
      <c r="A271" s="4">
        <v>260129</v>
      </c>
      <c r="B271" s="19">
        <v>7148</v>
      </c>
      <c r="C271" s="19" t="s">
        <v>67</v>
      </c>
      <c r="D271" s="46" t="s">
        <v>778</v>
      </c>
      <c r="E271" s="19" t="s">
        <v>25</v>
      </c>
      <c r="F271" s="47">
        <v>-9.9919854505101551</v>
      </c>
      <c r="G271" s="58">
        <v>15673</v>
      </c>
      <c r="H271" s="58">
        <v>15462</v>
      </c>
      <c r="I271" s="58">
        <v>16346</v>
      </c>
      <c r="J271" s="58">
        <v>11712</v>
      </c>
      <c r="K271" s="58">
        <v>17416</v>
      </c>
      <c r="L271" s="58">
        <v>14944</v>
      </c>
      <c r="M271" s="58">
        <v>15676</v>
      </c>
      <c r="N271" s="59">
        <v>23113</v>
      </c>
      <c r="O271" s="58">
        <v>24393</v>
      </c>
      <c r="P271" s="59">
        <v>26303</v>
      </c>
      <c r="Q271" s="59">
        <v>30620</v>
      </c>
      <c r="R271" s="58">
        <v>26465</v>
      </c>
      <c r="S271" s="58">
        <v>27963</v>
      </c>
      <c r="T271" s="58">
        <v>35508</v>
      </c>
      <c r="U271" s="58">
        <v>27227</v>
      </c>
      <c r="V271" s="59">
        <v>39066</v>
      </c>
      <c r="W271" s="61">
        <v>14997</v>
      </c>
      <c r="X271" s="109">
        <v>8.2666522976892809E-2</v>
      </c>
      <c r="Y271" s="109">
        <v>-2.8144596701947688E-2</v>
      </c>
      <c r="Z271" s="109">
        <v>0.10755101866630246</v>
      </c>
      <c r="AA271" s="109">
        <v>-9.9919854505101546E-2</v>
      </c>
    </row>
    <row r="272" spans="1:27" ht="15" x14ac:dyDescent="0.25">
      <c r="A272" s="4">
        <v>260129</v>
      </c>
      <c r="B272" s="19" t="s">
        <v>779</v>
      </c>
      <c r="C272" s="19" t="s">
        <v>31</v>
      </c>
      <c r="D272" s="46" t="s">
        <v>780</v>
      </c>
      <c r="E272" s="19" t="s">
        <v>25</v>
      </c>
      <c r="F272" s="108">
        <v>26.065198741778659</v>
      </c>
      <c r="G272" s="58">
        <v>13776</v>
      </c>
      <c r="H272" s="58">
        <v>22516</v>
      </c>
      <c r="I272" s="58">
        <v>19385</v>
      </c>
      <c r="J272" s="58">
        <v>14277</v>
      </c>
      <c r="K272" s="59">
        <v>23170</v>
      </c>
      <c r="L272" s="58">
        <v>26318</v>
      </c>
      <c r="M272" s="58">
        <v>16809</v>
      </c>
      <c r="N272" s="59">
        <v>22364</v>
      </c>
      <c r="O272" s="58">
        <v>17958</v>
      </c>
      <c r="P272" s="58">
        <v>21640</v>
      </c>
      <c r="Q272" s="58">
        <v>18621</v>
      </c>
      <c r="R272" s="58">
        <v>25862</v>
      </c>
      <c r="S272" s="58">
        <v>16979</v>
      </c>
      <c r="T272" s="58">
        <v>15284</v>
      </c>
      <c r="U272" s="58">
        <v>23073</v>
      </c>
      <c r="V272" s="58">
        <v>28592</v>
      </c>
      <c r="W272" s="60">
        <v>38855</v>
      </c>
      <c r="X272" s="109">
        <v>-7.6484320473634848E-2</v>
      </c>
      <c r="Y272" s="109">
        <v>5.8009537956375645E-2</v>
      </c>
      <c r="Z272" s="109">
        <v>3.3621517771373677E-2</v>
      </c>
      <c r="AA272" s="109">
        <v>0.26065198741778661</v>
      </c>
    </row>
    <row r="273" spans="1:27" ht="15" x14ac:dyDescent="0.25">
      <c r="A273" s="4">
        <v>260129</v>
      </c>
      <c r="B273" s="19" t="s">
        <v>781</v>
      </c>
      <c r="C273" s="19" t="s">
        <v>31</v>
      </c>
      <c r="D273" s="46" t="s">
        <v>782</v>
      </c>
      <c r="E273" s="19" t="s">
        <v>25</v>
      </c>
      <c r="F273" s="47">
        <v>7.4917722667081188</v>
      </c>
      <c r="G273" s="58">
        <v>14561</v>
      </c>
      <c r="H273" s="58">
        <v>15409</v>
      </c>
      <c r="I273" s="58">
        <v>16796</v>
      </c>
      <c r="J273" s="58">
        <v>19140</v>
      </c>
      <c r="K273" s="58">
        <v>20622</v>
      </c>
      <c r="L273" s="59">
        <v>23345</v>
      </c>
      <c r="M273" s="58">
        <v>23416</v>
      </c>
      <c r="N273" s="58">
        <v>25186</v>
      </c>
      <c r="O273" s="58">
        <v>28505</v>
      </c>
      <c r="P273" s="58">
        <v>22671</v>
      </c>
      <c r="Q273" s="58">
        <v>15016</v>
      </c>
      <c r="R273" s="58">
        <v>16595</v>
      </c>
      <c r="S273" s="58">
        <v>18278</v>
      </c>
      <c r="T273" s="58">
        <v>19115</v>
      </c>
      <c r="U273" s="58">
        <v>19175</v>
      </c>
      <c r="V273" s="58">
        <v>20610</v>
      </c>
      <c r="W273" s="61">
        <v>24060</v>
      </c>
      <c r="X273" s="109">
        <v>-4.9007717750826907E-2</v>
      </c>
      <c r="Y273" s="109">
        <v>6.0271868297490094E-2</v>
      </c>
      <c r="Z273" s="109">
        <v>5.4877465385509083E-2</v>
      </c>
      <c r="AA273" s="109">
        <v>7.4917722667081188E-2</v>
      </c>
    </row>
    <row r="274" spans="1:27" ht="15" x14ac:dyDescent="0.25">
      <c r="A274" s="4">
        <v>260129</v>
      </c>
      <c r="B274" s="19" t="s">
        <v>783</v>
      </c>
      <c r="C274" s="19" t="s">
        <v>31</v>
      </c>
      <c r="D274" s="46" t="s">
        <v>784</v>
      </c>
      <c r="E274" s="19" t="s">
        <v>25</v>
      </c>
      <c r="F274" s="47">
        <v>6.4440950384346607</v>
      </c>
      <c r="G274" s="58">
        <v>50736</v>
      </c>
      <c r="H274" s="58">
        <v>42259</v>
      </c>
      <c r="I274" s="58">
        <v>57291</v>
      </c>
      <c r="J274" s="58">
        <v>101134</v>
      </c>
      <c r="K274" s="59">
        <v>83096</v>
      </c>
      <c r="L274" s="58">
        <v>54758</v>
      </c>
      <c r="M274" s="58">
        <v>56934</v>
      </c>
      <c r="N274" s="58">
        <v>69881</v>
      </c>
      <c r="O274" s="58">
        <v>54642</v>
      </c>
      <c r="P274" s="58">
        <v>39127</v>
      </c>
      <c r="Q274" s="58">
        <v>47288</v>
      </c>
      <c r="R274" s="58">
        <v>74328</v>
      </c>
      <c r="S274" s="58">
        <v>69352</v>
      </c>
      <c r="T274" s="58">
        <v>49884</v>
      </c>
      <c r="U274" s="58">
        <v>70423</v>
      </c>
      <c r="V274" s="58">
        <v>96541</v>
      </c>
      <c r="W274" s="61">
        <v>87795</v>
      </c>
      <c r="X274" s="109">
        <v>4.6750255329320423E-2</v>
      </c>
      <c r="Y274" s="109">
        <v>9.6054838656104202E-2</v>
      </c>
      <c r="Z274" s="109">
        <v>8.4144294984222601E-2</v>
      </c>
      <c r="AA274" s="109">
        <v>6.4440950384346607E-2</v>
      </c>
    </row>
    <row r="275" spans="1:27" ht="15" x14ac:dyDescent="0.25">
      <c r="A275" s="4">
        <v>260129</v>
      </c>
      <c r="B275" s="19" t="s">
        <v>785</v>
      </c>
      <c r="C275" s="19" t="s">
        <v>31</v>
      </c>
      <c r="D275" s="46" t="s">
        <v>786</v>
      </c>
      <c r="E275" s="19" t="s">
        <v>25</v>
      </c>
      <c r="F275" s="47">
        <v>2.129006463650307</v>
      </c>
      <c r="G275" s="58">
        <v>19380</v>
      </c>
      <c r="H275" s="58">
        <v>20786</v>
      </c>
      <c r="I275" s="58">
        <v>19940</v>
      </c>
      <c r="J275" s="58">
        <v>19863</v>
      </c>
      <c r="K275" s="58">
        <v>20045</v>
      </c>
      <c r="L275" s="58">
        <v>22312</v>
      </c>
      <c r="M275" s="58">
        <v>19228</v>
      </c>
      <c r="N275" s="58">
        <v>21949</v>
      </c>
      <c r="O275" s="58">
        <v>22106</v>
      </c>
      <c r="P275" s="58">
        <v>23251</v>
      </c>
      <c r="Q275" s="58">
        <v>21031</v>
      </c>
      <c r="R275" s="58">
        <v>22878</v>
      </c>
      <c r="S275" s="58">
        <v>22083</v>
      </c>
      <c r="T275" s="58">
        <v>22878</v>
      </c>
      <c r="U275" s="58">
        <v>21536</v>
      </c>
      <c r="V275" s="58">
        <v>23545</v>
      </c>
      <c r="W275" s="61">
        <v>24000</v>
      </c>
      <c r="X275" s="109">
        <v>-4.1795995204105818E-3</v>
      </c>
      <c r="Y275" s="109">
        <v>5.6824575222234053E-3</v>
      </c>
      <c r="Z275" s="109">
        <v>7.4629370629371028E-3</v>
      </c>
      <c r="AA275" s="109">
        <v>2.129006463650307E-2</v>
      </c>
    </row>
    <row r="276" spans="1:27" ht="15" x14ac:dyDescent="0.25">
      <c r="A276" s="4">
        <v>260129</v>
      </c>
      <c r="B276" s="19" t="s">
        <v>787</v>
      </c>
      <c r="C276" s="19" t="s">
        <v>31</v>
      </c>
      <c r="D276" s="46" t="s">
        <v>788</v>
      </c>
      <c r="E276" s="19" t="s">
        <v>25</v>
      </c>
      <c r="F276" s="47">
        <v>2.0113571292231351</v>
      </c>
      <c r="G276" s="58">
        <v>6749</v>
      </c>
      <c r="H276" s="58">
        <v>7009</v>
      </c>
      <c r="I276" s="58">
        <v>7138</v>
      </c>
      <c r="J276" s="58">
        <v>7547</v>
      </c>
      <c r="K276" s="58">
        <v>8001</v>
      </c>
      <c r="L276" s="58">
        <v>9457</v>
      </c>
      <c r="M276" s="58">
        <v>9145</v>
      </c>
      <c r="N276" s="58">
        <v>9470</v>
      </c>
      <c r="O276" s="58">
        <v>9906</v>
      </c>
      <c r="P276" s="58">
        <v>10261</v>
      </c>
      <c r="Q276" s="58">
        <v>10102</v>
      </c>
      <c r="R276" s="58">
        <v>10412</v>
      </c>
      <c r="S276" s="58">
        <v>10568</v>
      </c>
      <c r="T276" s="58">
        <v>10544</v>
      </c>
      <c r="U276" s="58">
        <v>10774</v>
      </c>
      <c r="V276" s="58">
        <v>10026</v>
      </c>
      <c r="W276" s="61">
        <v>11411</v>
      </c>
      <c r="X276" s="109">
        <v>6.8451733062429021E-3</v>
      </c>
      <c r="Y276" s="109">
        <v>1.6143756306154833E-2</v>
      </c>
      <c r="Z276" s="109">
        <v>-9.1257269847273559E-3</v>
      </c>
      <c r="AA276" s="109">
        <v>2.0113571292231347E-2</v>
      </c>
    </row>
    <row r="277" spans="1:27" ht="15" x14ac:dyDescent="0.25">
      <c r="A277" s="4">
        <v>260129</v>
      </c>
      <c r="B277" s="19" t="s">
        <v>789</v>
      </c>
      <c r="C277" s="19" t="s">
        <v>31</v>
      </c>
      <c r="D277" s="46" t="s">
        <v>790</v>
      </c>
      <c r="E277" s="19" t="s">
        <v>25</v>
      </c>
      <c r="F277" s="47">
        <v>1.998502863708373</v>
      </c>
      <c r="G277" s="58">
        <v>169.36</v>
      </c>
      <c r="H277" s="58">
        <v>191.77</v>
      </c>
      <c r="I277" s="58">
        <v>188.03</v>
      </c>
      <c r="J277" s="58">
        <v>3375</v>
      </c>
      <c r="K277" s="58">
        <v>260.24</v>
      </c>
      <c r="L277" s="58">
        <v>244.52</v>
      </c>
      <c r="M277" s="58">
        <v>261.16000000000003</v>
      </c>
      <c r="N277" s="58">
        <v>891.65</v>
      </c>
      <c r="O277" s="58">
        <v>272.93</v>
      </c>
      <c r="P277" s="58">
        <v>269.87</v>
      </c>
      <c r="Q277" s="58">
        <v>272.32</v>
      </c>
      <c r="R277" s="59">
        <v>1622</v>
      </c>
      <c r="S277" s="58">
        <v>292.19</v>
      </c>
      <c r="T277" s="58">
        <v>294.63</v>
      </c>
      <c r="U277" s="58">
        <v>300.75</v>
      </c>
      <c r="V277" s="58">
        <v>835.72</v>
      </c>
      <c r="W277" s="61">
        <v>326.63</v>
      </c>
      <c r="X277" s="109">
        <v>1.0079873635186587E-2</v>
      </c>
      <c r="Y277" s="109">
        <v>1.1458442490145826E-2</v>
      </c>
      <c r="Z277" s="109">
        <v>-0.31331263921707708</v>
      </c>
      <c r="AA277" s="109">
        <v>1.9985028637083735E-2</v>
      </c>
    </row>
    <row r="278" spans="1:27" ht="15" x14ac:dyDescent="0.25">
      <c r="A278" s="4">
        <v>260129</v>
      </c>
      <c r="B278" s="19" t="s">
        <v>791</v>
      </c>
      <c r="C278" s="19" t="s">
        <v>31</v>
      </c>
      <c r="D278" s="46" t="s">
        <v>792</v>
      </c>
      <c r="E278" s="19" t="s">
        <v>25</v>
      </c>
      <c r="F278" s="47">
        <v>0.7094614906707708</v>
      </c>
      <c r="G278" s="58">
        <v>8992</v>
      </c>
      <c r="H278" s="58">
        <v>8693</v>
      </c>
      <c r="I278" s="58">
        <v>11398</v>
      </c>
      <c r="J278" s="58">
        <v>11278</v>
      </c>
      <c r="K278" s="58">
        <v>11871</v>
      </c>
      <c r="L278" s="58">
        <v>11996</v>
      </c>
      <c r="M278" s="58">
        <v>12032</v>
      </c>
      <c r="N278" s="58">
        <v>11463</v>
      </c>
      <c r="O278" s="58">
        <v>11514</v>
      </c>
      <c r="P278" s="58">
        <v>12012</v>
      </c>
      <c r="Q278" s="58">
        <v>11975</v>
      </c>
      <c r="R278" s="58">
        <v>12241</v>
      </c>
      <c r="S278" s="58">
        <v>12555</v>
      </c>
      <c r="T278" s="58">
        <v>12171</v>
      </c>
      <c r="U278" s="58">
        <v>12190</v>
      </c>
      <c r="V278" s="58">
        <v>12981</v>
      </c>
      <c r="W278" s="61">
        <v>12909</v>
      </c>
      <c r="X278" s="109">
        <v>3.2593321443945555E-3</v>
      </c>
      <c r="Y278" s="109">
        <v>4.3929549262391454E-3</v>
      </c>
      <c r="Z278" s="109">
        <v>1.5053807189210122E-2</v>
      </c>
      <c r="AA278" s="109">
        <v>7.094614906707708E-3</v>
      </c>
    </row>
    <row r="279" spans="1:27" ht="15" x14ac:dyDescent="0.25">
      <c r="A279" s="4">
        <v>260129</v>
      </c>
      <c r="B279" s="19" t="s">
        <v>793</v>
      </c>
      <c r="C279" s="19" t="s">
        <v>31</v>
      </c>
      <c r="D279" s="46" t="s">
        <v>794</v>
      </c>
      <c r="E279" s="19" t="s">
        <v>25</v>
      </c>
      <c r="F279" s="47">
        <v>0.10241125535011</v>
      </c>
      <c r="G279" s="58">
        <v>17936</v>
      </c>
      <c r="H279" s="58">
        <v>26666</v>
      </c>
      <c r="I279" s="58">
        <v>27680</v>
      </c>
      <c r="J279" s="58">
        <v>17684</v>
      </c>
      <c r="K279" s="58">
        <v>20056</v>
      </c>
      <c r="L279" s="58">
        <v>29568</v>
      </c>
      <c r="M279" s="58">
        <v>33599</v>
      </c>
      <c r="N279" s="58">
        <v>22928</v>
      </c>
      <c r="O279" s="58">
        <v>26257</v>
      </c>
      <c r="P279" s="59">
        <v>42029</v>
      </c>
      <c r="Q279" s="59">
        <v>49210</v>
      </c>
      <c r="R279" s="58">
        <v>26191</v>
      </c>
      <c r="S279" s="58">
        <v>31051</v>
      </c>
      <c r="T279" s="58">
        <v>47676</v>
      </c>
      <c r="U279" s="58">
        <v>39386</v>
      </c>
      <c r="V279" s="58">
        <v>23473</v>
      </c>
      <c r="W279" s="61">
        <v>31196</v>
      </c>
      <c r="X279" s="109">
        <v>3.8031802048746899E-2</v>
      </c>
      <c r="Y279" s="109">
        <v>-6.3739229731132552E-2</v>
      </c>
      <c r="Z279" s="109">
        <v>-1.883523672247478E-2</v>
      </c>
      <c r="AA279" s="109">
        <v>1.0241125535010998E-3</v>
      </c>
    </row>
    <row r="280" spans="1:27" ht="15" x14ac:dyDescent="0.25">
      <c r="A280" s="4">
        <v>260129</v>
      </c>
      <c r="B280" s="19" t="s">
        <v>795</v>
      </c>
      <c r="C280" s="19" t="s">
        <v>31</v>
      </c>
      <c r="D280" s="46" t="s">
        <v>796</v>
      </c>
      <c r="E280" s="19" t="s">
        <v>25</v>
      </c>
      <c r="F280" s="47">
        <v>-2.1988441557036942</v>
      </c>
      <c r="G280" s="58">
        <v>53609</v>
      </c>
      <c r="H280" s="58">
        <v>105978</v>
      </c>
      <c r="I280" s="58">
        <v>137231</v>
      </c>
      <c r="J280" s="58">
        <v>70438</v>
      </c>
      <c r="K280" s="58">
        <v>77644</v>
      </c>
      <c r="L280" s="58">
        <v>102421</v>
      </c>
      <c r="M280" s="58">
        <v>110055</v>
      </c>
      <c r="N280" s="59">
        <v>129906</v>
      </c>
      <c r="O280" s="59">
        <v>129914</v>
      </c>
      <c r="P280" s="58">
        <v>133637</v>
      </c>
      <c r="Q280" s="58">
        <v>149556</v>
      </c>
      <c r="R280" s="58">
        <v>133389</v>
      </c>
      <c r="S280" s="58">
        <v>136712</v>
      </c>
      <c r="T280" s="58">
        <v>142374</v>
      </c>
      <c r="U280" s="58">
        <v>141092</v>
      </c>
      <c r="V280" s="58">
        <v>134568</v>
      </c>
      <c r="W280" s="61">
        <v>124514</v>
      </c>
      <c r="X280" s="109">
        <v>1.5790881520493683E-2</v>
      </c>
      <c r="Y280" s="109">
        <v>-1.5059667527236087E-2</v>
      </c>
      <c r="Z280" s="109">
        <v>2.129823490200744E-3</v>
      </c>
      <c r="AA280" s="109">
        <v>-2.1988441557036942E-2</v>
      </c>
    </row>
    <row r="281" spans="1:27" ht="15" x14ac:dyDescent="0.25">
      <c r="A281" s="110">
        <v>260129</v>
      </c>
      <c r="B281" s="111" t="s">
        <v>797</v>
      </c>
      <c r="C281" s="111" t="s">
        <v>31</v>
      </c>
      <c r="D281" s="112" t="s">
        <v>798</v>
      </c>
      <c r="E281" s="19" t="s">
        <v>25</v>
      </c>
      <c r="F281" s="113">
        <v>-9.9423939271984558</v>
      </c>
      <c r="G281" s="58">
        <v>98361</v>
      </c>
      <c r="H281" s="58">
        <v>85803</v>
      </c>
      <c r="I281" s="58">
        <v>86549</v>
      </c>
      <c r="J281" s="58">
        <v>110396</v>
      </c>
      <c r="K281" s="58">
        <v>115931</v>
      </c>
      <c r="L281" s="114">
        <v>133846</v>
      </c>
      <c r="M281" s="114">
        <v>132028</v>
      </c>
      <c r="N281" s="115">
        <v>133484</v>
      </c>
      <c r="O281" s="115">
        <v>151109</v>
      </c>
      <c r="P281" s="115">
        <v>104572</v>
      </c>
      <c r="Q281" s="115">
        <v>151495</v>
      </c>
      <c r="R281" s="115">
        <v>153269</v>
      </c>
      <c r="S281" s="115">
        <v>138677</v>
      </c>
      <c r="T281" s="115">
        <v>111805</v>
      </c>
      <c r="U281" s="115">
        <v>170904</v>
      </c>
      <c r="V281" s="115">
        <v>172475</v>
      </c>
      <c r="W281" s="116">
        <v>79633</v>
      </c>
      <c r="X281" s="117">
        <v>1.3198592004204368E-2</v>
      </c>
      <c r="Y281" s="117">
        <v>3.495567730339344E-2</v>
      </c>
      <c r="Z281" s="117">
        <v>3.3421792205758249E-2</v>
      </c>
      <c r="AA281" s="117">
        <v>-9.9423939271984563E-2</v>
      </c>
    </row>
    <row r="282" spans="1:27" ht="15" x14ac:dyDescent="0.25">
      <c r="A282" s="4">
        <v>260128</v>
      </c>
      <c r="B282" s="29" t="s">
        <v>76</v>
      </c>
      <c r="C282" s="19" t="s">
        <v>23</v>
      </c>
      <c r="D282" s="19" t="s">
        <v>29</v>
      </c>
      <c r="E282" s="19" t="s">
        <v>25</v>
      </c>
      <c r="F282" s="47">
        <v>90.775772301284292</v>
      </c>
      <c r="G282" s="58">
        <v>60.87</v>
      </c>
      <c r="H282" s="58">
        <v>52.15</v>
      </c>
      <c r="I282" s="58">
        <v>56.37</v>
      </c>
      <c r="J282" s="58">
        <v>57.05</v>
      </c>
      <c r="K282" s="58">
        <v>54.33</v>
      </c>
      <c r="L282" s="58">
        <v>49.68</v>
      </c>
      <c r="M282" s="58">
        <v>47.13</v>
      </c>
      <c r="N282" s="58">
        <v>48.48</v>
      </c>
      <c r="O282" s="58">
        <v>44.76</v>
      </c>
      <c r="P282" s="58">
        <v>46.03</v>
      </c>
      <c r="Q282" s="58">
        <v>47.75</v>
      </c>
      <c r="R282" s="58">
        <v>48.33</v>
      </c>
      <c r="S282" s="58">
        <v>-45.96</v>
      </c>
      <c r="T282" s="59">
        <v>57.87</v>
      </c>
      <c r="U282" s="58">
        <v>53.66</v>
      </c>
      <c r="V282" s="58">
        <v>49.67</v>
      </c>
      <c r="W282" s="60">
        <v>58.65</v>
      </c>
      <c r="X282" s="22">
        <f>SUM(Q282:T282)/SUM(P282:S282)-1</f>
        <v>0.12314092563702528</v>
      </c>
      <c r="Y282" s="22">
        <f t="shared" ref="Y282:AA282" si="0">SUM(R282:U282)/SUM(Q282:T282)-1</f>
        <v>5.4727289563848425E-2</v>
      </c>
      <c r="Z282" s="22">
        <f t="shared" si="0"/>
        <v>1.1764705882352899E-2</v>
      </c>
      <c r="AA282" s="22">
        <f t="shared" si="0"/>
        <v>0.90775772301284285</v>
      </c>
    </row>
    <row r="283" spans="1:27" ht="15" x14ac:dyDescent="0.25">
      <c r="A283" s="4">
        <v>260128</v>
      </c>
      <c r="B283" s="29" t="s">
        <v>49</v>
      </c>
      <c r="C283" s="19" t="s">
        <v>23</v>
      </c>
      <c r="D283" s="19" t="s">
        <v>50</v>
      </c>
      <c r="E283" s="19" t="s">
        <v>25</v>
      </c>
      <c r="F283" s="47">
        <v>46.891904143120477</v>
      </c>
      <c r="G283" s="58">
        <v>147.9</v>
      </c>
      <c r="H283" s="58">
        <v>183.25</v>
      </c>
      <c r="I283" s="58">
        <v>196.9</v>
      </c>
      <c r="J283" s="58">
        <v>190.46</v>
      </c>
      <c r="K283" s="59">
        <v>290.89</v>
      </c>
      <c r="L283" s="58">
        <v>238.35</v>
      </c>
      <c r="M283" s="58">
        <v>224.1</v>
      </c>
      <c r="N283" s="58">
        <v>195.06</v>
      </c>
      <c r="O283" s="58">
        <v>179.69</v>
      </c>
      <c r="P283" s="58">
        <v>299.04000000000002</v>
      </c>
      <c r="Q283" s="58">
        <v>227.15</v>
      </c>
      <c r="R283" s="58">
        <v>214.26</v>
      </c>
      <c r="S283" s="58">
        <v>-33.869999999999997</v>
      </c>
      <c r="T283" s="58">
        <v>241.02</v>
      </c>
      <c r="U283" s="58">
        <v>219.14</v>
      </c>
      <c r="V283" s="58">
        <v>235.53</v>
      </c>
      <c r="W283" s="60">
        <v>276.47000000000003</v>
      </c>
      <c r="X283" s="22">
        <f t="shared" ref="X283:X306" si="1">SUM(Q283:T283)/SUM(P283:S283)-1</f>
        <v>-8.211384415069789E-2</v>
      </c>
      <c r="Y283" s="22">
        <f t="shared" ref="Y283:Y306" si="2">SUM(R283:U283)/SUM(Q283:T283)-1</f>
        <v>-1.235043789317869E-2</v>
      </c>
      <c r="Z283" s="22">
        <f t="shared" ref="Z283:Z306" si="3">SUM(S283:V283)/SUM(R283:U283)-1</f>
        <v>3.3205838732339288E-2</v>
      </c>
      <c r="AA283" s="22">
        <f t="shared" ref="AA283:AA306" si="4">SUM(T283:W283)/SUM(S283:V283)-1</f>
        <v>0.468919041431205</v>
      </c>
    </row>
    <row r="284" spans="1:27" ht="15" x14ac:dyDescent="0.25">
      <c r="A284" s="4">
        <v>260128</v>
      </c>
      <c r="B284" s="29" t="s">
        <v>28</v>
      </c>
      <c r="C284" s="19" t="s">
        <v>23</v>
      </c>
      <c r="D284" s="19" t="s">
        <v>29</v>
      </c>
      <c r="E284" s="19" t="s">
        <v>25</v>
      </c>
      <c r="F284" s="47">
        <v>40.868225826732044</v>
      </c>
      <c r="G284" s="58">
        <v>81.41</v>
      </c>
      <c r="H284" s="58">
        <v>75.540000000000006</v>
      </c>
      <c r="I284" s="58">
        <v>78.569999999999993</v>
      </c>
      <c r="J284" s="58">
        <v>82.03</v>
      </c>
      <c r="K284" s="58">
        <v>83.36</v>
      </c>
      <c r="L284" s="58">
        <v>73.44</v>
      </c>
      <c r="M284" s="58">
        <v>85.64</v>
      </c>
      <c r="N284" s="58">
        <v>86.55</v>
      </c>
      <c r="O284" s="58">
        <v>87.81</v>
      </c>
      <c r="P284" s="58">
        <v>80.489999999999995</v>
      </c>
      <c r="Q284" s="58">
        <v>80.83</v>
      </c>
      <c r="R284" s="58">
        <v>84.7</v>
      </c>
      <c r="S284" s="58">
        <v>87.54</v>
      </c>
      <c r="T284" s="58">
        <v>85.5</v>
      </c>
      <c r="U284" s="58">
        <v>87.66</v>
      </c>
      <c r="V284" s="58">
        <v>57.42</v>
      </c>
      <c r="W284" s="60">
        <v>217.55</v>
      </c>
      <c r="X284" s="22">
        <f t="shared" si="1"/>
        <v>1.501978654514935E-2</v>
      </c>
      <c r="Y284" s="22">
        <f t="shared" si="2"/>
        <v>2.0173080899075435E-2</v>
      </c>
      <c r="Z284" s="22">
        <f t="shared" si="3"/>
        <v>-7.8980891719744983E-2</v>
      </c>
      <c r="AA284" s="22">
        <f t="shared" si="4"/>
        <v>0.40868225826732019</v>
      </c>
    </row>
    <row r="285" spans="1:27" ht="15" x14ac:dyDescent="0.25">
      <c r="A285" s="4">
        <v>260128</v>
      </c>
      <c r="B285" s="29" t="s">
        <v>142</v>
      </c>
      <c r="C285" s="19" t="s">
        <v>23</v>
      </c>
      <c r="D285" s="19" t="s">
        <v>65</v>
      </c>
      <c r="E285" s="19" t="s">
        <v>25</v>
      </c>
      <c r="F285" s="47">
        <v>10.1130024316979</v>
      </c>
      <c r="G285" s="58">
        <v>3027</v>
      </c>
      <c r="H285" s="58">
        <v>2952</v>
      </c>
      <c r="I285" s="58">
        <v>3137</v>
      </c>
      <c r="J285" s="58">
        <v>3295</v>
      </c>
      <c r="K285" s="58">
        <v>3239</v>
      </c>
      <c r="L285" s="58">
        <v>2974</v>
      </c>
      <c r="M285" s="58">
        <v>3054</v>
      </c>
      <c r="N285" s="58">
        <v>3199</v>
      </c>
      <c r="O285" s="58">
        <v>3328</v>
      </c>
      <c r="P285" s="58">
        <v>3256</v>
      </c>
      <c r="Q285" s="58">
        <v>3610</v>
      </c>
      <c r="R285" s="58">
        <v>4039</v>
      </c>
      <c r="S285" s="58">
        <v>4318</v>
      </c>
      <c r="T285" s="59">
        <v>4811</v>
      </c>
      <c r="U285" s="59">
        <v>5650</v>
      </c>
      <c r="V285" s="59">
        <v>6194</v>
      </c>
      <c r="W285" s="60">
        <v>6439</v>
      </c>
      <c r="X285" s="22">
        <f t="shared" si="1"/>
        <v>0.10214806542731392</v>
      </c>
      <c r="Y285" s="22">
        <f t="shared" si="2"/>
        <v>0.1215877935391585</v>
      </c>
      <c r="Z285" s="22">
        <f t="shared" si="3"/>
        <v>0.11451801466680833</v>
      </c>
      <c r="AA285" s="22">
        <f t="shared" si="4"/>
        <v>0.10113002431697904</v>
      </c>
    </row>
    <row r="286" spans="1:27" customFormat="1" hidden="1" x14ac:dyDescent="0.3">
      <c r="B286" s="19" t="s">
        <v>33</v>
      </c>
      <c r="C286" s="19" t="s">
        <v>23</v>
      </c>
      <c r="D286" s="19" t="s">
        <v>34</v>
      </c>
      <c r="E286" s="19" t="s">
        <v>35</v>
      </c>
      <c r="F286" s="19">
        <v>0.43913149548671088</v>
      </c>
      <c r="G286" s="19">
        <v>61.58</v>
      </c>
      <c r="H286" s="19">
        <v>69.92</v>
      </c>
      <c r="I286" s="19">
        <v>55.36</v>
      </c>
      <c r="J286" s="19">
        <v>53.73</v>
      </c>
      <c r="K286" s="19">
        <v>56.18</v>
      </c>
      <c r="L286" s="19">
        <v>67.260000000000005</v>
      </c>
      <c r="M286" s="19">
        <v>55.91</v>
      </c>
      <c r="N286" s="19">
        <v>58.53</v>
      </c>
      <c r="O286" s="19">
        <v>59.39</v>
      </c>
      <c r="P286" s="19">
        <v>66.849999999999994</v>
      </c>
      <c r="Q286" s="19">
        <v>57.71</v>
      </c>
      <c r="R286" s="19">
        <v>62.08</v>
      </c>
      <c r="S286" s="19">
        <v>61.73</v>
      </c>
      <c r="T286" s="19">
        <v>63.47</v>
      </c>
      <c r="U286" s="19">
        <v>55.65</v>
      </c>
      <c r="V286" s="19">
        <v>65.09</v>
      </c>
      <c r="W286" s="25">
        <v>62.81</v>
      </c>
      <c r="X286" s="22">
        <f t="shared" si="1"/>
        <v>-1.3608728912509527E-2</v>
      </c>
      <c r="Y286" s="22">
        <f t="shared" si="2"/>
        <v>-8.4085064696517442E-3</v>
      </c>
      <c r="Z286" s="22">
        <f t="shared" si="3"/>
        <v>1.2390400526900658E-2</v>
      </c>
      <c r="AA286" s="22">
        <f t="shared" si="4"/>
        <v>4.3913149548671093E-3</v>
      </c>
    </row>
    <row r="287" spans="1:27" ht="15" x14ac:dyDescent="0.25">
      <c r="A287" s="4">
        <v>260128</v>
      </c>
      <c r="B287" s="29" t="s">
        <v>132</v>
      </c>
      <c r="C287" s="19" t="s">
        <v>23</v>
      </c>
      <c r="D287" s="19" t="s">
        <v>65</v>
      </c>
      <c r="E287" s="19" t="s">
        <v>25</v>
      </c>
      <c r="F287" s="47">
        <v>9.8298174082609435</v>
      </c>
      <c r="G287" s="58">
        <v>1512</v>
      </c>
      <c r="H287" s="58">
        <v>1567</v>
      </c>
      <c r="I287" s="58">
        <v>1717</v>
      </c>
      <c r="J287" s="58">
        <v>1923</v>
      </c>
      <c r="K287" s="58">
        <v>2043</v>
      </c>
      <c r="L287" s="58">
        <v>1838</v>
      </c>
      <c r="M287" s="58">
        <v>1939</v>
      </c>
      <c r="N287" s="58">
        <v>2043</v>
      </c>
      <c r="O287" s="58">
        <v>2141</v>
      </c>
      <c r="P287" s="58">
        <v>2209</v>
      </c>
      <c r="Q287" s="58">
        <v>2392</v>
      </c>
      <c r="R287" s="58">
        <v>2500</v>
      </c>
      <c r="S287" s="58">
        <v>2546</v>
      </c>
      <c r="T287" s="58">
        <v>2649</v>
      </c>
      <c r="U287" s="58">
        <v>2893</v>
      </c>
      <c r="V287" s="58">
        <v>3194</v>
      </c>
      <c r="W287" s="61">
        <v>3655</v>
      </c>
      <c r="X287" s="22">
        <f t="shared" si="1"/>
        <v>4.5610034207525629E-2</v>
      </c>
      <c r="Y287" s="22">
        <f t="shared" si="2"/>
        <v>4.9667889362545958E-2</v>
      </c>
      <c r="Z287" s="22">
        <f t="shared" si="3"/>
        <v>6.5545901020022557E-2</v>
      </c>
      <c r="AA287" s="22">
        <f t="shared" si="4"/>
        <v>9.8298174082609435E-2</v>
      </c>
    </row>
    <row r="288" spans="1:27" ht="15" x14ac:dyDescent="0.25">
      <c r="A288" s="4">
        <v>260128</v>
      </c>
      <c r="B288" s="29" t="s">
        <v>58</v>
      </c>
      <c r="C288" s="19" t="s">
        <v>23</v>
      </c>
      <c r="D288" s="19" t="s">
        <v>37</v>
      </c>
      <c r="E288" s="19" t="s">
        <v>59</v>
      </c>
      <c r="F288" s="47">
        <v>8.6011177086971813</v>
      </c>
      <c r="G288" s="58">
        <v>314.8</v>
      </c>
      <c r="H288" s="58">
        <v>315.5</v>
      </c>
      <c r="I288" s="58">
        <v>335.3</v>
      </c>
      <c r="J288" s="58">
        <v>310.2</v>
      </c>
      <c r="K288" s="58">
        <v>284.5</v>
      </c>
      <c r="L288" s="58">
        <v>247.8</v>
      </c>
      <c r="M288" s="58">
        <v>263.60000000000002</v>
      </c>
      <c r="N288" s="58">
        <v>247.9</v>
      </c>
      <c r="O288" s="58">
        <v>254.5</v>
      </c>
      <c r="P288" s="58">
        <v>246</v>
      </c>
      <c r="Q288" s="58">
        <v>252</v>
      </c>
      <c r="R288" s="58">
        <v>238.2</v>
      </c>
      <c r="S288" s="58">
        <v>270.8</v>
      </c>
      <c r="T288" s="58">
        <v>284.8</v>
      </c>
      <c r="U288" s="58">
        <v>290.5</v>
      </c>
      <c r="V288" s="58">
        <v>299.10000000000002</v>
      </c>
      <c r="W288" s="61">
        <v>369.3</v>
      </c>
      <c r="X288" s="22">
        <f t="shared" si="1"/>
        <v>3.8530287984111178E-2</v>
      </c>
      <c r="Y288" s="22">
        <f t="shared" si="2"/>
        <v>3.6813922356091044E-2</v>
      </c>
      <c r="Z288" s="22">
        <f t="shared" si="3"/>
        <v>5.6165267914783712E-2</v>
      </c>
      <c r="AA288" s="22">
        <f t="shared" si="4"/>
        <v>8.6011177086971813E-2</v>
      </c>
    </row>
    <row r="289" spans="1:27" customFormat="1" hidden="1" x14ac:dyDescent="0.3">
      <c r="B289" s="19" t="s">
        <v>39</v>
      </c>
      <c r="C289" s="19" t="s">
        <v>23</v>
      </c>
      <c r="D289" s="19" t="s">
        <v>29</v>
      </c>
      <c r="E289" s="19" t="s">
        <v>35</v>
      </c>
      <c r="F289" s="19">
        <v>4.3778064912303183</v>
      </c>
      <c r="G289" s="19">
        <v>160.78</v>
      </c>
      <c r="H289" s="19">
        <v>158.07</v>
      </c>
      <c r="I289" s="19">
        <v>153.44999999999999</v>
      </c>
      <c r="J289" s="19">
        <v>167.57</v>
      </c>
      <c r="K289" s="19">
        <v>154.93</v>
      </c>
      <c r="L289" s="19">
        <v>197.49</v>
      </c>
      <c r="M289" s="19">
        <v>204.38</v>
      </c>
      <c r="N289" s="19">
        <v>201.77</v>
      </c>
      <c r="O289" s="19">
        <v>200.31</v>
      </c>
      <c r="P289" s="19">
        <v>189.13</v>
      </c>
      <c r="Q289" s="19">
        <v>184.06</v>
      </c>
      <c r="R289" s="19">
        <v>198.34</v>
      </c>
      <c r="S289" s="19">
        <v>190.61</v>
      </c>
      <c r="T289" s="19">
        <v>183.07</v>
      </c>
      <c r="U289" s="19">
        <v>191.57</v>
      </c>
      <c r="V289" s="19">
        <v>216.42</v>
      </c>
      <c r="W289" s="25">
        <v>224.83</v>
      </c>
      <c r="X289" s="22">
        <f t="shared" si="1"/>
        <v>-7.9512950376572356E-3</v>
      </c>
      <c r="Y289" s="22">
        <f t="shared" si="2"/>
        <v>9.9328113427150644E-3</v>
      </c>
      <c r="Z289" s="22">
        <f t="shared" si="3"/>
        <v>2.3677628046464783E-2</v>
      </c>
      <c r="AA289" s="22">
        <f t="shared" si="4"/>
        <v>4.3778064912303183E-2</v>
      </c>
    </row>
    <row r="290" spans="1:27" ht="15" x14ac:dyDescent="0.25">
      <c r="A290" s="4">
        <v>260128</v>
      </c>
      <c r="B290" s="29" t="s">
        <v>55</v>
      </c>
      <c r="C290" s="19" t="s">
        <v>23</v>
      </c>
      <c r="D290" s="19" t="s">
        <v>29</v>
      </c>
      <c r="E290" s="19" t="s">
        <v>25</v>
      </c>
      <c r="F290" s="47">
        <v>8.2101289713746297</v>
      </c>
      <c r="G290" s="58">
        <v>167.7</v>
      </c>
      <c r="H290" s="58">
        <v>162.5</v>
      </c>
      <c r="I290" s="58">
        <v>290.60000000000002</v>
      </c>
      <c r="J290" s="58">
        <v>281.3</v>
      </c>
      <c r="K290" s="59">
        <v>285.3</v>
      </c>
      <c r="L290" s="58">
        <v>240.1</v>
      </c>
      <c r="M290" s="58">
        <v>250.8</v>
      </c>
      <c r="N290" s="58">
        <v>255.8</v>
      </c>
      <c r="O290" s="58">
        <v>246.9</v>
      </c>
      <c r="P290" s="58">
        <v>236.9</v>
      </c>
      <c r="Q290" s="58">
        <v>235.3</v>
      </c>
      <c r="R290" s="58">
        <v>232.1</v>
      </c>
      <c r="S290" s="58">
        <v>227.6</v>
      </c>
      <c r="T290" s="58">
        <v>227</v>
      </c>
      <c r="U290" s="58">
        <v>248.6</v>
      </c>
      <c r="V290" s="58">
        <v>250.5</v>
      </c>
      <c r="W290" s="61">
        <v>305.89999999999998</v>
      </c>
      <c r="X290" s="22">
        <f t="shared" si="1"/>
        <v>-1.0623457452516472E-2</v>
      </c>
      <c r="Y290" s="22">
        <f t="shared" si="2"/>
        <v>1.4425162689804871E-2</v>
      </c>
      <c r="Z290" s="22">
        <f t="shared" si="3"/>
        <v>1.9672832246337979E-2</v>
      </c>
      <c r="AA290" s="22">
        <f t="shared" si="4"/>
        <v>8.2101289713746306E-2</v>
      </c>
    </row>
    <row r="291" spans="1:27" ht="15" x14ac:dyDescent="0.25">
      <c r="A291" s="4">
        <v>260128</v>
      </c>
      <c r="B291" s="29" t="s">
        <v>57</v>
      </c>
      <c r="C291" s="19" t="s">
        <v>23</v>
      </c>
      <c r="D291" s="19" t="s">
        <v>24</v>
      </c>
      <c r="E291" s="19" t="s">
        <v>25</v>
      </c>
      <c r="F291" s="47">
        <v>7.1041470311027144</v>
      </c>
      <c r="G291" s="58">
        <v>176.42</v>
      </c>
      <c r="H291" s="58">
        <v>184.95</v>
      </c>
      <c r="I291" s="58">
        <v>202.04</v>
      </c>
      <c r="J291" s="58">
        <v>236.33</v>
      </c>
      <c r="K291" s="58">
        <v>244.5</v>
      </c>
      <c r="L291" s="58">
        <v>250.01</v>
      </c>
      <c r="M291" s="58">
        <v>261.02</v>
      </c>
      <c r="N291" s="58">
        <v>263.83999999999997</v>
      </c>
      <c r="O291" s="58">
        <v>264.73</v>
      </c>
      <c r="P291" s="58">
        <v>226.31</v>
      </c>
      <c r="Q291" s="58">
        <v>198.14</v>
      </c>
      <c r="R291" s="58">
        <v>200.95</v>
      </c>
      <c r="S291" s="58">
        <v>206.12</v>
      </c>
      <c r="T291" s="58">
        <v>220.24</v>
      </c>
      <c r="U291" s="58">
        <v>241.88</v>
      </c>
      <c r="V291" s="58">
        <v>265.44</v>
      </c>
      <c r="W291" s="61">
        <v>272.45</v>
      </c>
      <c r="X291" s="22">
        <f t="shared" si="1"/>
        <v>-7.2998845487780573E-3</v>
      </c>
      <c r="Y291" s="22">
        <f t="shared" si="2"/>
        <v>5.2989278575322318E-2</v>
      </c>
      <c r="Z291" s="22">
        <f t="shared" si="3"/>
        <v>7.4195515364880116E-2</v>
      </c>
      <c r="AA291" s="22">
        <f t="shared" si="4"/>
        <v>7.1041470311027144E-2</v>
      </c>
    </row>
    <row r="292" spans="1:27" customFormat="1" hidden="1" x14ac:dyDescent="0.3">
      <c r="B292" s="19" t="s">
        <v>44</v>
      </c>
      <c r="C292" s="19" t="s">
        <v>31</v>
      </c>
      <c r="D292" s="19" t="s">
        <v>32</v>
      </c>
      <c r="E292" s="19" t="s">
        <v>35</v>
      </c>
      <c r="F292" s="19">
        <v>-0.75271149674620563</v>
      </c>
      <c r="G292" s="19">
        <v>27005</v>
      </c>
      <c r="H292" s="19">
        <v>27110</v>
      </c>
      <c r="I292" s="19">
        <v>28022</v>
      </c>
      <c r="J292" s="19">
        <v>28919</v>
      </c>
      <c r="K292" s="19">
        <v>30035</v>
      </c>
      <c r="L292" s="19">
        <v>30744</v>
      </c>
      <c r="M292" s="19">
        <v>31302</v>
      </c>
      <c r="N292" s="19">
        <v>32934</v>
      </c>
      <c r="O292" s="19">
        <v>34628</v>
      </c>
      <c r="P292" s="19">
        <v>35786</v>
      </c>
      <c r="Q292" s="19">
        <v>36897</v>
      </c>
      <c r="R292" s="19">
        <v>4367</v>
      </c>
      <c r="S292" s="19">
        <v>1601</v>
      </c>
      <c r="T292" s="19">
        <v>41466</v>
      </c>
      <c r="U292" s="19">
        <v>40861</v>
      </c>
      <c r="V292" s="19">
        <v>3662</v>
      </c>
      <c r="W292" s="25">
        <v>941.7</v>
      </c>
      <c r="X292" s="22">
        <f t="shared" si="1"/>
        <v>7.2217772183443385E-2</v>
      </c>
      <c r="Y292" s="22">
        <f t="shared" si="2"/>
        <v>4.7005253109769773E-2</v>
      </c>
      <c r="Z292" s="22">
        <f t="shared" si="3"/>
        <v>-7.9845970893028806E-3</v>
      </c>
      <c r="AA292" s="22">
        <f t="shared" si="4"/>
        <v>-7.5271149674620563E-3</v>
      </c>
    </row>
    <row r="293" spans="1:27" ht="15" x14ac:dyDescent="0.25">
      <c r="A293" s="4">
        <v>260128</v>
      </c>
      <c r="B293" s="29" t="s">
        <v>88</v>
      </c>
      <c r="C293" s="19" t="s">
        <v>23</v>
      </c>
      <c r="D293" s="19" t="s">
        <v>29</v>
      </c>
      <c r="E293" s="19" t="s">
        <v>25</v>
      </c>
      <c r="F293" s="47">
        <v>6.2569532358921256</v>
      </c>
      <c r="G293" s="58">
        <v>72.290000000000006</v>
      </c>
      <c r="H293" s="58">
        <v>63.68</v>
      </c>
      <c r="I293" s="58">
        <v>69.13</v>
      </c>
      <c r="J293" s="58">
        <v>64.63</v>
      </c>
      <c r="K293" s="58">
        <v>67.31</v>
      </c>
      <c r="L293" s="58">
        <v>63.35</v>
      </c>
      <c r="M293" s="58">
        <v>58.85</v>
      </c>
      <c r="N293" s="58">
        <v>57.11</v>
      </c>
      <c r="O293" s="58">
        <v>61.65</v>
      </c>
      <c r="P293" s="58">
        <v>57.49</v>
      </c>
      <c r="Q293" s="58">
        <v>61.79</v>
      </c>
      <c r="R293" s="58">
        <v>63.71</v>
      </c>
      <c r="S293" s="58">
        <v>57.58</v>
      </c>
      <c r="T293" s="58">
        <v>64.62</v>
      </c>
      <c r="U293" s="58">
        <v>67.819999999999993</v>
      </c>
      <c r="V293" s="58">
        <v>70.650000000000006</v>
      </c>
      <c r="W293" s="61">
        <v>73.89</v>
      </c>
      <c r="X293" s="22">
        <f t="shared" si="1"/>
        <v>2.9637943218190133E-2</v>
      </c>
      <c r="Y293" s="22">
        <f t="shared" si="2"/>
        <v>2.4343964473153124E-2</v>
      </c>
      <c r="Z293" s="22">
        <f t="shared" si="3"/>
        <v>2.7351909510109129E-2</v>
      </c>
      <c r="AA293" s="22">
        <f t="shared" si="4"/>
        <v>6.2569532358921487E-2</v>
      </c>
    </row>
    <row r="294" spans="1:27" customFormat="1" hidden="1" x14ac:dyDescent="0.3">
      <c r="B294" s="19" t="s">
        <v>47</v>
      </c>
      <c r="C294" s="19" t="s">
        <v>23</v>
      </c>
      <c r="D294" s="19" t="s">
        <v>48</v>
      </c>
      <c r="E294" s="19" t="s">
        <v>35</v>
      </c>
      <c r="F294" s="19">
        <v>1.713447817859115</v>
      </c>
      <c r="G294" s="19">
        <v>657.6</v>
      </c>
      <c r="H294" s="19">
        <v>849.72</v>
      </c>
      <c r="I294" s="19">
        <v>657.41</v>
      </c>
      <c r="J294" s="19">
        <v>722.83</v>
      </c>
      <c r="K294" s="19">
        <v>703.42</v>
      </c>
      <c r="L294" s="19">
        <v>845.2</v>
      </c>
      <c r="M294" s="19">
        <v>742.16</v>
      </c>
      <c r="N294" s="19">
        <v>788.85</v>
      </c>
      <c r="O294" s="19">
        <v>757.29</v>
      </c>
      <c r="P294" s="19">
        <v>921.36</v>
      </c>
      <c r="Q294" s="19">
        <v>780.59</v>
      </c>
      <c r="R294" s="19">
        <v>832.61</v>
      </c>
      <c r="S294" s="19">
        <v>804.97</v>
      </c>
      <c r="T294" s="19">
        <v>939.16</v>
      </c>
      <c r="U294" s="19">
        <v>789.47</v>
      </c>
      <c r="V294" s="19">
        <v>869.48</v>
      </c>
      <c r="W294" s="25">
        <v>863.28</v>
      </c>
      <c r="X294" s="22">
        <f t="shared" si="1"/>
        <v>5.330091360161493E-3</v>
      </c>
      <c r="Y294" s="22">
        <f t="shared" si="2"/>
        <v>2.6449589405868057E-3</v>
      </c>
      <c r="Z294" s="22">
        <f t="shared" si="3"/>
        <v>1.0952970848521204E-2</v>
      </c>
      <c r="AA294" s="22">
        <f t="shared" si="4"/>
        <v>1.713447817859115E-2</v>
      </c>
    </row>
    <row r="295" spans="1:27" ht="15" x14ac:dyDescent="0.25">
      <c r="A295" s="4">
        <v>260128</v>
      </c>
      <c r="B295" s="29" t="s">
        <v>116</v>
      </c>
      <c r="C295" s="19" t="s">
        <v>23</v>
      </c>
      <c r="D295" s="19" t="s">
        <v>117</v>
      </c>
      <c r="E295" s="19" t="s">
        <v>25</v>
      </c>
      <c r="F295" s="47">
        <v>6.1399217221135061</v>
      </c>
      <c r="G295" s="58">
        <v>1008</v>
      </c>
      <c r="H295" s="58">
        <v>943</v>
      </c>
      <c r="I295" s="58">
        <v>1045</v>
      </c>
      <c r="J295" s="58">
        <v>1005</v>
      </c>
      <c r="K295" s="58">
        <v>1117</v>
      </c>
      <c r="L295" s="59">
        <v>2120</v>
      </c>
      <c r="M295" s="59">
        <v>2542</v>
      </c>
      <c r="N295" s="59">
        <v>2795</v>
      </c>
      <c r="O295" s="59">
        <v>2915</v>
      </c>
      <c r="P295" s="58">
        <v>2959</v>
      </c>
      <c r="Q295" s="58">
        <v>2761</v>
      </c>
      <c r="R295" s="58">
        <v>2682</v>
      </c>
      <c r="S295" s="58">
        <v>2896</v>
      </c>
      <c r="T295" s="58">
        <v>2862</v>
      </c>
      <c r="U295" s="58">
        <v>3175</v>
      </c>
      <c r="V295" s="58">
        <v>3331</v>
      </c>
      <c r="W295" s="61">
        <v>3649</v>
      </c>
      <c r="X295" s="22">
        <f t="shared" si="1"/>
        <v>-8.5855903699769698E-3</v>
      </c>
      <c r="Y295" s="22">
        <f t="shared" si="2"/>
        <v>3.696098562628336E-2</v>
      </c>
      <c r="Z295" s="22">
        <f t="shared" si="3"/>
        <v>5.5876022384847124E-2</v>
      </c>
      <c r="AA295" s="22">
        <f t="shared" si="4"/>
        <v>6.1399217221135061E-2</v>
      </c>
    </row>
    <row r="296" spans="1:27" ht="15" x14ac:dyDescent="0.25">
      <c r="A296" s="4">
        <v>260128</v>
      </c>
      <c r="B296" s="29" t="s">
        <v>150</v>
      </c>
      <c r="C296" s="19" t="s">
        <v>23</v>
      </c>
      <c r="D296" s="19" t="s">
        <v>151</v>
      </c>
      <c r="E296" s="19" t="s">
        <v>25</v>
      </c>
      <c r="F296" s="47">
        <v>6.074201533857293</v>
      </c>
      <c r="G296" s="58">
        <v>33671</v>
      </c>
      <c r="H296" s="58">
        <v>27908</v>
      </c>
      <c r="I296" s="58">
        <v>28822</v>
      </c>
      <c r="J296" s="58">
        <v>27714</v>
      </c>
      <c r="K296" s="58">
        <v>32165</v>
      </c>
      <c r="L296" s="58">
        <v>28645</v>
      </c>
      <c r="M296" s="58">
        <v>31999</v>
      </c>
      <c r="N296" s="58">
        <v>34146</v>
      </c>
      <c r="O296" s="58">
        <v>40111</v>
      </c>
      <c r="P296" s="58">
        <v>36455</v>
      </c>
      <c r="Q296" s="58">
        <v>39071</v>
      </c>
      <c r="R296" s="58">
        <v>40589</v>
      </c>
      <c r="S296" s="58">
        <v>48385</v>
      </c>
      <c r="T296" s="58">
        <v>42314</v>
      </c>
      <c r="U296" s="58">
        <v>47516</v>
      </c>
      <c r="V296" s="58">
        <v>51242</v>
      </c>
      <c r="W296" s="61">
        <v>59893</v>
      </c>
      <c r="X296" s="22">
        <f t="shared" si="1"/>
        <v>3.5617021276595828E-2</v>
      </c>
      <c r="Y296" s="22">
        <f t="shared" si="2"/>
        <v>4.9571786638803905E-2</v>
      </c>
      <c r="Z296" s="22">
        <f t="shared" si="3"/>
        <v>5.9579204044652334E-2</v>
      </c>
      <c r="AA296" s="22">
        <f t="shared" si="4"/>
        <v>6.074201533857293E-2</v>
      </c>
    </row>
    <row r="297" spans="1:27" ht="15" x14ac:dyDescent="0.25">
      <c r="A297" s="4">
        <v>260128</v>
      </c>
      <c r="B297" s="29" t="s">
        <v>97</v>
      </c>
      <c r="C297" s="19" t="s">
        <v>23</v>
      </c>
      <c r="D297" s="19" t="s">
        <v>29</v>
      </c>
      <c r="E297" s="19" t="s">
        <v>25</v>
      </c>
      <c r="F297" s="47">
        <v>5.175220369175948</v>
      </c>
      <c r="G297" s="58">
        <v>73.53</v>
      </c>
      <c r="H297" s="58">
        <v>68.739999999999995</v>
      </c>
      <c r="I297" s="58">
        <v>70.27</v>
      </c>
      <c r="J297" s="58">
        <v>75.3</v>
      </c>
      <c r="K297" s="58">
        <v>93.55</v>
      </c>
      <c r="L297" s="58">
        <v>87.33</v>
      </c>
      <c r="M297" s="58">
        <v>86.62</v>
      </c>
      <c r="N297" s="58">
        <v>88.73</v>
      </c>
      <c r="O297" s="58">
        <v>78.45</v>
      </c>
      <c r="P297" s="58">
        <v>87.57</v>
      </c>
      <c r="Q297" s="58">
        <v>91.12</v>
      </c>
      <c r="R297" s="58">
        <v>86.19</v>
      </c>
      <c r="S297" s="58">
        <v>83.42</v>
      </c>
      <c r="T297" s="58">
        <v>90.62</v>
      </c>
      <c r="U297" s="58">
        <v>80.64</v>
      </c>
      <c r="V297" s="58">
        <v>70.91</v>
      </c>
      <c r="W297" s="61">
        <v>100.27</v>
      </c>
      <c r="X297" s="22">
        <f t="shared" si="1"/>
        <v>8.7568188343383202E-3</v>
      </c>
      <c r="Y297" s="22">
        <f t="shared" si="2"/>
        <v>-2.9827807030027076E-2</v>
      </c>
      <c r="Z297" s="22">
        <f t="shared" si="3"/>
        <v>-4.4826473435620517E-2</v>
      </c>
      <c r="AA297" s="22">
        <f t="shared" si="4"/>
        <v>5.175220369175948E-2</v>
      </c>
    </row>
    <row r="298" spans="1:27" ht="15" x14ac:dyDescent="0.25">
      <c r="A298" s="4">
        <v>260128</v>
      </c>
      <c r="B298" s="29" t="s">
        <v>145</v>
      </c>
      <c r="C298" s="19" t="s">
        <v>23</v>
      </c>
      <c r="D298" s="19" t="s">
        <v>146</v>
      </c>
      <c r="E298" s="19" t="s">
        <v>42</v>
      </c>
      <c r="F298" s="47">
        <v>4.9461487417691741</v>
      </c>
      <c r="G298" s="58">
        <v>4227</v>
      </c>
      <c r="H298" s="58">
        <v>4060</v>
      </c>
      <c r="I298" s="58">
        <v>4636</v>
      </c>
      <c r="J298" s="58">
        <v>5074</v>
      </c>
      <c r="K298" s="58">
        <v>5278</v>
      </c>
      <c r="L298" s="58">
        <v>3870</v>
      </c>
      <c r="M298" s="58">
        <v>3207</v>
      </c>
      <c r="N298" s="58">
        <v>3482</v>
      </c>
      <c r="O298" s="58">
        <v>3758</v>
      </c>
      <c r="P298" s="58">
        <v>3794</v>
      </c>
      <c r="Q298" s="58">
        <v>3872</v>
      </c>
      <c r="R298" s="58">
        <v>4168</v>
      </c>
      <c r="S298" s="58">
        <v>4376</v>
      </c>
      <c r="T298" s="58">
        <v>4720</v>
      </c>
      <c r="U298" s="58">
        <v>5171</v>
      </c>
      <c r="V298" s="58">
        <v>5324</v>
      </c>
      <c r="W298" s="61">
        <v>5345</v>
      </c>
      <c r="X298" s="22">
        <f t="shared" si="1"/>
        <v>5.712523133867986E-2</v>
      </c>
      <c r="Y298" s="22">
        <f t="shared" si="2"/>
        <v>7.5805322128851493E-2</v>
      </c>
      <c r="Z298" s="22">
        <f t="shared" si="3"/>
        <v>6.2706807702739287E-2</v>
      </c>
      <c r="AA298" s="22">
        <f t="shared" si="4"/>
        <v>4.9461487417691741E-2</v>
      </c>
    </row>
    <row r="299" spans="1:27" customFormat="1" hidden="1" x14ac:dyDescent="0.3">
      <c r="B299" s="19" t="s">
        <v>56</v>
      </c>
      <c r="C299" s="19" t="s">
        <v>31</v>
      </c>
      <c r="D299" s="19" t="s">
        <v>32</v>
      </c>
      <c r="E299" s="19" t="s">
        <v>35</v>
      </c>
      <c r="F299" s="19">
        <v>3.4770485663156991</v>
      </c>
      <c r="G299" s="19">
        <v>8848</v>
      </c>
      <c r="H299" s="19">
        <v>8379</v>
      </c>
      <c r="I299" s="19">
        <v>8703</v>
      </c>
      <c r="J299" s="19">
        <v>9509</v>
      </c>
      <c r="K299" s="19">
        <v>9381</v>
      </c>
      <c r="L299" s="19">
        <v>9718</v>
      </c>
      <c r="M299" s="19">
        <v>8818</v>
      </c>
      <c r="N299" s="19">
        <v>10210</v>
      </c>
      <c r="O299" s="19">
        <v>10284</v>
      </c>
      <c r="P299" s="19">
        <v>11052</v>
      </c>
      <c r="Q299" s="19">
        <v>10541</v>
      </c>
      <c r="R299" s="19">
        <v>11449</v>
      </c>
      <c r="S299" s="19">
        <v>11866</v>
      </c>
      <c r="T299" s="19">
        <v>11461</v>
      </c>
      <c r="U299" s="19">
        <v>11704</v>
      </c>
      <c r="V299" s="19">
        <v>13027</v>
      </c>
      <c r="W299" s="25">
        <v>13537</v>
      </c>
      <c r="X299" s="22">
        <f t="shared" si="1"/>
        <v>9.1075086844214503E-3</v>
      </c>
      <c r="Y299" s="22">
        <f t="shared" si="2"/>
        <v>2.5663658229803321E-2</v>
      </c>
      <c r="Z299" s="22">
        <f t="shared" si="3"/>
        <v>3.3950086058519791E-2</v>
      </c>
      <c r="AA299" s="22">
        <f t="shared" si="4"/>
        <v>3.4770485663156991E-2</v>
      </c>
    </row>
    <row r="300" spans="1:27" ht="15" x14ac:dyDescent="0.25">
      <c r="A300" s="4">
        <v>260128</v>
      </c>
      <c r="B300" s="29" t="s">
        <v>137</v>
      </c>
      <c r="C300" s="19" t="s">
        <v>23</v>
      </c>
      <c r="D300" s="19" t="s">
        <v>115</v>
      </c>
      <c r="E300" s="19" t="s">
        <v>25</v>
      </c>
      <c r="F300" s="47">
        <v>4.8235572748085653</v>
      </c>
      <c r="G300" s="58">
        <v>1614</v>
      </c>
      <c r="H300" s="58">
        <v>1722</v>
      </c>
      <c r="I300" s="58">
        <v>1752</v>
      </c>
      <c r="J300" s="58">
        <v>1831</v>
      </c>
      <c r="K300" s="58">
        <v>1940</v>
      </c>
      <c r="L300" s="58">
        <v>2096</v>
      </c>
      <c r="M300" s="58">
        <v>2150</v>
      </c>
      <c r="N300" s="58">
        <v>2288</v>
      </c>
      <c r="O300" s="58">
        <v>2437</v>
      </c>
      <c r="P300" s="58">
        <v>2603</v>
      </c>
      <c r="Q300" s="58">
        <v>2627</v>
      </c>
      <c r="R300" s="58">
        <v>2797</v>
      </c>
      <c r="S300" s="58">
        <v>2957</v>
      </c>
      <c r="T300" s="58">
        <v>3088</v>
      </c>
      <c r="U300" s="58">
        <v>3215</v>
      </c>
      <c r="V300" s="58">
        <v>3407</v>
      </c>
      <c r="W300" s="61">
        <v>3568</v>
      </c>
      <c r="X300" s="22">
        <f t="shared" si="1"/>
        <v>4.415513474144217E-2</v>
      </c>
      <c r="Y300" s="22">
        <f t="shared" si="2"/>
        <v>5.1268637195919453E-2</v>
      </c>
      <c r="Z300" s="22">
        <f t="shared" si="3"/>
        <v>5.0593016504934862E-2</v>
      </c>
      <c r="AA300" s="22">
        <f t="shared" si="4"/>
        <v>4.8235572748085653E-2</v>
      </c>
    </row>
    <row r="301" spans="1:27" ht="15" x14ac:dyDescent="0.25">
      <c r="A301" s="4">
        <v>260128</v>
      </c>
      <c r="B301" s="29" t="s">
        <v>125</v>
      </c>
      <c r="C301" s="19" t="s">
        <v>23</v>
      </c>
      <c r="D301" s="19" t="s">
        <v>65</v>
      </c>
      <c r="E301" s="19" t="s">
        <v>25</v>
      </c>
      <c r="F301" s="47">
        <v>4.7871270533020427</v>
      </c>
      <c r="G301" s="58">
        <v>3676</v>
      </c>
      <c r="H301" s="58">
        <v>3680</v>
      </c>
      <c r="I301" s="58">
        <v>3615</v>
      </c>
      <c r="J301" s="58">
        <v>3488</v>
      </c>
      <c r="K301" s="58">
        <v>3406</v>
      </c>
      <c r="L301" s="58">
        <v>3178</v>
      </c>
      <c r="M301" s="58">
        <v>3243</v>
      </c>
      <c r="N301" s="58">
        <v>3173</v>
      </c>
      <c r="O301" s="58">
        <v>2994</v>
      </c>
      <c r="P301" s="58">
        <v>2975</v>
      </c>
      <c r="Q301" s="58">
        <v>3251</v>
      </c>
      <c r="R301" s="58">
        <v>3391</v>
      </c>
      <c r="S301" s="58">
        <v>3501</v>
      </c>
      <c r="T301" s="58">
        <v>3452</v>
      </c>
      <c r="U301" s="58">
        <v>3862</v>
      </c>
      <c r="V301" s="58">
        <v>4100</v>
      </c>
      <c r="W301" s="61">
        <v>4215</v>
      </c>
      <c r="X301" s="22">
        <f t="shared" si="1"/>
        <v>3.6362250343040081E-2</v>
      </c>
      <c r="Y301" s="22">
        <f t="shared" si="2"/>
        <v>4.4942993747701276E-2</v>
      </c>
      <c r="Z301" s="22">
        <f t="shared" si="3"/>
        <v>4.990848937068848E-2</v>
      </c>
      <c r="AA301" s="22">
        <f t="shared" si="4"/>
        <v>4.7871270533020427E-2</v>
      </c>
    </row>
    <row r="302" spans="1:27" ht="15" x14ac:dyDescent="0.25">
      <c r="A302" s="4">
        <v>260128</v>
      </c>
      <c r="B302" s="29" t="s">
        <v>104</v>
      </c>
      <c r="C302" s="19" t="s">
        <v>23</v>
      </c>
      <c r="D302" s="19" t="s">
        <v>29</v>
      </c>
      <c r="E302" s="19" t="s">
        <v>25</v>
      </c>
      <c r="F302" s="47">
        <v>4.7129306040938568</v>
      </c>
      <c r="G302" s="58">
        <v>54.56</v>
      </c>
      <c r="H302" s="58">
        <v>55.71</v>
      </c>
      <c r="I302" s="58">
        <v>55.16</v>
      </c>
      <c r="J302" s="58">
        <v>54.63</v>
      </c>
      <c r="K302" s="58">
        <v>47.52</v>
      </c>
      <c r="L302" s="58">
        <v>46.15</v>
      </c>
      <c r="M302" s="58">
        <v>39.24</v>
      </c>
      <c r="N302" s="58">
        <v>-157.93</v>
      </c>
      <c r="O302" s="59">
        <v>30.58</v>
      </c>
      <c r="P302" s="58">
        <v>45.66</v>
      </c>
      <c r="Q302" s="58">
        <v>43.56</v>
      </c>
      <c r="R302" s="58">
        <v>46.25</v>
      </c>
      <c r="S302" s="58">
        <v>46.25</v>
      </c>
      <c r="T302" s="58">
        <v>48.79</v>
      </c>
      <c r="U302" s="58">
        <v>51.2</v>
      </c>
      <c r="V302" s="58">
        <v>54.06</v>
      </c>
      <c r="W302" s="61">
        <v>55.69</v>
      </c>
      <c r="X302" s="22">
        <f t="shared" si="1"/>
        <v>1.7224301122606089E-2</v>
      </c>
      <c r="Y302" s="22">
        <f t="shared" si="2"/>
        <v>4.1330808763862636E-2</v>
      </c>
      <c r="Z302" s="22">
        <f t="shared" si="3"/>
        <v>4.057353628759941E-2</v>
      </c>
      <c r="AA302" s="22">
        <f t="shared" si="4"/>
        <v>4.7129306040938568E-2</v>
      </c>
    </row>
    <row r="303" spans="1:27" customFormat="1" hidden="1" x14ac:dyDescent="0.3">
      <c r="B303" s="19" t="s">
        <v>62</v>
      </c>
      <c r="C303" s="19" t="s">
        <v>23</v>
      </c>
      <c r="D303" s="19" t="s">
        <v>63</v>
      </c>
      <c r="E303" s="19" t="s">
        <v>35</v>
      </c>
      <c r="F303" s="19">
        <v>-1.158886173624174</v>
      </c>
      <c r="G303" s="19">
        <v>687.55</v>
      </c>
      <c r="H303" s="19">
        <v>0</v>
      </c>
      <c r="I303" s="19">
        <v>871.37</v>
      </c>
      <c r="J303" s="19">
        <v>1196</v>
      </c>
      <c r="K303" s="20">
        <v>1166</v>
      </c>
      <c r="L303" s="20">
        <v>986.12</v>
      </c>
      <c r="M303" s="19">
        <v>839.97</v>
      </c>
      <c r="N303" s="19">
        <v>812.85</v>
      </c>
      <c r="O303" s="19">
        <v>953.77</v>
      </c>
      <c r="P303" s="19">
        <v>842.27</v>
      </c>
      <c r="Q303" s="19">
        <v>794.85</v>
      </c>
      <c r="R303" s="19">
        <v>801.01</v>
      </c>
      <c r="S303" s="19">
        <v>753.17</v>
      </c>
      <c r="T303" s="19">
        <v>669.57</v>
      </c>
      <c r="U303" s="19">
        <v>663.27</v>
      </c>
      <c r="V303" s="19">
        <v>692.52</v>
      </c>
      <c r="W303" s="25">
        <v>720.97</v>
      </c>
      <c r="X303" s="22">
        <f t="shared" si="1"/>
        <v>-5.4115877542067481E-2</v>
      </c>
      <c r="Y303" s="22">
        <f t="shared" si="2"/>
        <v>-4.3589743589743657E-2</v>
      </c>
      <c r="Z303" s="22">
        <f t="shared" si="3"/>
        <v>-3.75785411947267E-2</v>
      </c>
      <c r="AA303" s="22">
        <f t="shared" si="4"/>
        <v>-1.1588861736241962E-2</v>
      </c>
    </row>
    <row r="304" spans="1:27" customFormat="1" hidden="1" x14ac:dyDescent="0.3">
      <c r="B304" s="19" t="s">
        <v>64</v>
      </c>
      <c r="C304" s="19" t="s">
        <v>23</v>
      </c>
      <c r="D304" s="19" t="s">
        <v>65</v>
      </c>
      <c r="E304" s="19" t="s">
        <v>66</v>
      </c>
      <c r="F304" s="19">
        <v>0.1739005140002359</v>
      </c>
      <c r="G304" s="19">
        <v>843.24</v>
      </c>
      <c r="H304" s="19">
        <v>817.46</v>
      </c>
      <c r="I304" s="19">
        <v>888.72</v>
      </c>
      <c r="J304" s="19">
        <v>981.34</v>
      </c>
      <c r="K304" s="19">
        <v>1124</v>
      </c>
      <c r="L304" s="19">
        <v>1094</v>
      </c>
      <c r="M304" s="19">
        <v>1071</v>
      </c>
      <c r="N304" s="19">
        <v>1022</v>
      </c>
      <c r="O304" s="19">
        <v>1024</v>
      </c>
      <c r="P304" s="19">
        <v>982.61</v>
      </c>
      <c r="Q304" s="19">
        <v>966.9</v>
      </c>
      <c r="R304" s="19">
        <v>960.75</v>
      </c>
      <c r="S304" s="19">
        <v>1051</v>
      </c>
      <c r="T304" s="19">
        <v>976.12</v>
      </c>
      <c r="U304" s="19">
        <v>980.17</v>
      </c>
      <c r="V304" s="19">
        <v>1018</v>
      </c>
      <c r="W304" s="25">
        <v>1058</v>
      </c>
      <c r="X304" s="22">
        <f t="shared" si="1"/>
        <v>-1.6383675901102679E-3</v>
      </c>
      <c r="Y304" s="22">
        <f t="shared" si="2"/>
        <v>3.3554416565311218E-3</v>
      </c>
      <c r="Z304" s="22">
        <f t="shared" si="3"/>
        <v>1.4427777945786868E-2</v>
      </c>
      <c r="AA304" s="22">
        <f t="shared" si="4"/>
        <v>1.7390051400023587E-3</v>
      </c>
    </row>
    <row r="305" spans="1:27" ht="15" x14ac:dyDescent="0.25">
      <c r="A305" s="4">
        <v>260128</v>
      </c>
      <c r="B305" s="29" t="s">
        <v>165</v>
      </c>
      <c r="C305" s="19" t="s">
        <v>23</v>
      </c>
      <c r="D305" s="19" t="s">
        <v>166</v>
      </c>
      <c r="E305" s="19" t="s">
        <v>25</v>
      </c>
      <c r="F305" s="47">
        <v>4.4798335045707294</v>
      </c>
      <c r="G305" s="58">
        <v>546.55999999999995</v>
      </c>
      <c r="H305" s="58">
        <v>701.72</v>
      </c>
      <c r="I305" s="58">
        <v>502.62</v>
      </c>
      <c r="J305" s="58">
        <v>435.15</v>
      </c>
      <c r="K305" s="58">
        <v>658.86</v>
      </c>
      <c r="L305" s="58">
        <v>717.26</v>
      </c>
      <c r="M305" s="58">
        <v>428.7</v>
      </c>
      <c r="N305" s="58">
        <v>368.95</v>
      </c>
      <c r="O305" s="58">
        <v>525.36</v>
      </c>
      <c r="P305" s="58">
        <v>629.94000000000005</v>
      </c>
      <c r="Q305" s="58">
        <v>417.44</v>
      </c>
      <c r="R305" s="58">
        <v>372.07</v>
      </c>
      <c r="S305" s="58">
        <v>549.48</v>
      </c>
      <c r="T305" s="58">
        <v>729.95</v>
      </c>
      <c r="U305" s="58">
        <v>531.83000000000004</v>
      </c>
      <c r="V305" s="58">
        <v>466.28</v>
      </c>
      <c r="W305" s="61">
        <v>651.51</v>
      </c>
      <c r="X305" s="22">
        <f t="shared" si="1"/>
        <v>5.0794086127998517E-2</v>
      </c>
      <c r="Y305" s="22">
        <f t="shared" si="2"/>
        <v>5.5289181899909945E-2</v>
      </c>
      <c r="Z305" s="22">
        <f t="shared" si="3"/>
        <v>4.3149684197991256E-2</v>
      </c>
      <c r="AA305" s="22">
        <f t="shared" si="4"/>
        <v>4.4798335045707294E-2</v>
      </c>
    </row>
    <row r="306" spans="1:27" ht="15" x14ac:dyDescent="0.25">
      <c r="A306" s="4">
        <v>260128</v>
      </c>
      <c r="B306" s="29" t="s">
        <v>22</v>
      </c>
      <c r="C306" s="19" t="s">
        <v>23</v>
      </c>
      <c r="D306" s="19" t="s">
        <v>24</v>
      </c>
      <c r="E306" s="19" t="s">
        <v>25</v>
      </c>
      <c r="F306" s="47">
        <v>3.9620573700189339</v>
      </c>
      <c r="G306" s="58">
        <v>51728</v>
      </c>
      <c r="H306" s="58">
        <v>49360</v>
      </c>
      <c r="I306" s="58">
        <v>51865</v>
      </c>
      <c r="J306" s="58">
        <v>50122</v>
      </c>
      <c r="K306" s="58">
        <v>52747</v>
      </c>
      <c r="L306" s="58">
        <v>52857</v>
      </c>
      <c r="M306" s="58">
        <v>56189</v>
      </c>
      <c r="N306" s="58">
        <v>56517</v>
      </c>
      <c r="O306" s="58">
        <v>62020</v>
      </c>
      <c r="P306" s="58">
        <v>61858</v>
      </c>
      <c r="Q306" s="58">
        <v>64727</v>
      </c>
      <c r="R306" s="58">
        <v>65585</v>
      </c>
      <c r="S306" s="58">
        <v>69632</v>
      </c>
      <c r="T306" s="58">
        <v>70066</v>
      </c>
      <c r="U306" s="58">
        <v>76441</v>
      </c>
      <c r="V306" s="58">
        <v>77673</v>
      </c>
      <c r="W306" s="61">
        <v>81273</v>
      </c>
      <c r="X306" s="22">
        <f t="shared" si="1"/>
        <v>3.1351937723928858E-2</v>
      </c>
      <c r="Y306" s="22">
        <f t="shared" si="2"/>
        <v>4.3383578385985722E-2</v>
      </c>
      <c r="Z306" s="22">
        <f t="shared" si="3"/>
        <v>4.2907242549445446E-2</v>
      </c>
      <c r="AA306" s="22">
        <f t="shared" si="4"/>
        <v>3.9620573700189343E-2</v>
      </c>
    </row>
    <row r="307" spans="1:27" ht="15" x14ac:dyDescent="0.25">
      <c r="A307" s="4">
        <v>260128</v>
      </c>
      <c r="B307" s="29" t="s">
        <v>184</v>
      </c>
      <c r="C307" s="19" t="s">
        <v>23</v>
      </c>
      <c r="D307" s="19" t="s">
        <v>131</v>
      </c>
      <c r="E307" s="19" t="s">
        <v>185</v>
      </c>
      <c r="F307" s="47">
        <v>3.947460841469419</v>
      </c>
      <c r="G307" s="58">
        <v>3322</v>
      </c>
      <c r="H307" s="58">
        <v>3001</v>
      </c>
      <c r="I307" s="58">
        <v>3154</v>
      </c>
      <c r="J307" s="58">
        <v>3078</v>
      </c>
      <c r="K307" s="58">
        <v>3636</v>
      </c>
      <c r="L307" s="58">
        <v>3024</v>
      </c>
      <c r="M307" s="58">
        <v>3424</v>
      </c>
      <c r="N307" s="58">
        <v>3343</v>
      </c>
      <c r="O307" s="58">
        <v>0</v>
      </c>
      <c r="P307" s="58">
        <v>3135</v>
      </c>
      <c r="Q307" s="58">
        <v>3527</v>
      </c>
      <c r="R307" s="58">
        <v>3427</v>
      </c>
      <c r="S307" s="59">
        <v>3613</v>
      </c>
      <c r="T307" s="58">
        <v>3306</v>
      </c>
      <c r="U307" s="58">
        <v>3716</v>
      </c>
      <c r="V307" s="58">
        <v>3602</v>
      </c>
      <c r="W307" s="61">
        <v>4175</v>
      </c>
      <c r="X307" s="22">
        <f t="shared" ref="X307:X371" si="5">SUM(Q307:T307)/SUM(P307:S307)-1</f>
        <v>1.2479929937235346E-2</v>
      </c>
      <c r="Y307" s="22">
        <f t="shared" ref="Y307:Y371" si="6">SUM(R307:U307)/SUM(Q307:T307)-1</f>
        <v>1.3623585381676628E-2</v>
      </c>
      <c r="Z307" s="22">
        <f t="shared" ref="Z307:Z371" si="7">SUM(S307:V307)/SUM(R307:U307)-1</f>
        <v>1.2444886929313004E-2</v>
      </c>
      <c r="AA307" s="22">
        <f t="shared" ref="AA307:AA371" si="8">SUM(T307:W307)/SUM(S307:V307)-1</f>
        <v>3.947460841469419E-2</v>
      </c>
    </row>
    <row r="308" spans="1:27" customFormat="1" hidden="1" x14ac:dyDescent="0.3">
      <c r="B308" s="19" t="s">
        <v>72</v>
      </c>
      <c r="C308" s="19" t="s">
        <v>23</v>
      </c>
      <c r="D308" s="19" t="s">
        <v>54</v>
      </c>
      <c r="E308" s="19" t="s">
        <v>35</v>
      </c>
      <c r="F308" s="19">
        <v>-2.7826926170178572</v>
      </c>
      <c r="G308" s="19">
        <v>1265</v>
      </c>
      <c r="H308" s="19">
        <v>1504</v>
      </c>
      <c r="I308" s="19">
        <v>1292</v>
      </c>
      <c r="J308" s="19">
        <v>1418</v>
      </c>
      <c r="K308" s="19">
        <v>1584</v>
      </c>
      <c r="L308" s="19">
        <v>1999</v>
      </c>
      <c r="M308" s="19">
        <v>1285</v>
      </c>
      <c r="N308" s="19">
        <v>1574</v>
      </c>
      <c r="O308" s="19">
        <v>1619</v>
      </c>
      <c r="P308" s="19">
        <v>1660</v>
      </c>
      <c r="Q308" s="19">
        <v>1475</v>
      </c>
      <c r="R308" s="19">
        <v>1702</v>
      </c>
      <c r="S308" s="19">
        <v>1597</v>
      </c>
      <c r="T308" s="19">
        <v>1622</v>
      </c>
      <c r="U308" s="19">
        <v>1365</v>
      </c>
      <c r="V308" s="19">
        <v>1633</v>
      </c>
      <c r="W308" s="25">
        <v>1424</v>
      </c>
      <c r="X308" s="22">
        <f t="shared" si="5"/>
        <v>-5.9061237177494563E-3</v>
      </c>
      <c r="Y308" s="22">
        <f t="shared" si="6"/>
        <v>-1.7198248905565983E-2</v>
      </c>
      <c r="Z308" s="22">
        <f t="shared" si="7"/>
        <v>-1.0976773783009874E-2</v>
      </c>
      <c r="AA308" s="22">
        <f t="shared" si="8"/>
        <v>-2.7826926170178568E-2</v>
      </c>
    </row>
    <row r="309" spans="1:27" ht="15" x14ac:dyDescent="0.25">
      <c r="A309" s="4">
        <v>260128</v>
      </c>
      <c r="B309" s="29" t="s">
        <v>176</v>
      </c>
      <c r="C309" s="19" t="s">
        <v>23</v>
      </c>
      <c r="D309" s="19" t="s">
        <v>177</v>
      </c>
      <c r="E309" s="19" t="s">
        <v>25</v>
      </c>
      <c r="F309" s="47">
        <v>3.6946277097078322</v>
      </c>
      <c r="G309" s="58">
        <v>1300</v>
      </c>
      <c r="H309" s="58">
        <v>1108</v>
      </c>
      <c r="I309" s="58">
        <v>1095</v>
      </c>
      <c r="J309" s="58">
        <v>1039</v>
      </c>
      <c r="K309" s="58">
        <v>1116</v>
      </c>
      <c r="L309" s="58">
        <v>1102</v>
      </c>
      <c r="M309" s="58">
        <v>1043</v>
      </c>
      <c r="N309" s="58">
        <v>1035</v>
      </c>
      <c r="O309" s="58">
        <v>1144</v>
      </c>
      <c r="P309" s="58">
        <v>1158</v>
      </c>
      <c r="Q309" s="58">
        <v>1215</v>
      </c>
      <c r="R309" s="58">
        <v>1219</v>
      </c>
      <c r="S309" s="58">
        <v>1365</v>
      </c>
      <c r="T309" s="58">
        <v>1243</v>
      </c>
      <c r="U309" s="58">
        <v>1276</v>
      </c>
      <c r="V309" s="58">
        <v>1421</v>
      </c>
      <c r="W309" s="61">
        <v>1561</v>
      </c>
      <c r="X309" s="22">
        <f t="shared" si="5"/>
        <v>1.7147468226750062E-2</v>
      </c>
      <c r="Y309" s="22">
        <f t="shared" si="6"/>
        <v>1.2098373661245443E-2</v>
      </c>
      <c r="Z309" s="22">
        <f t="shared" si="7"/>
        <v>3.9584558103076706E-2</v>
      </c>
      <c r="AA309" s="22">
        <f t="shared" si="8"/>
        <v>3.6946277097078317E-2</v>
      </c>
    </row>
    <row r="310" spans="1:27" ht="15" x14ac:dyDescent="0.25">
      <c r="A310" s="4">
        <v>260128</v>
      </c>
      <c r="B310" s="29" t="s">
        <v>114</v>
      </c>
      <c r="C310" s="19" t="s">
        <v>23</v>
      </c>
      <c r="D310" s="19" t="s">
        <v>115</v>
      </c>
      <c r="E310" s="19" t="s">
        <v>25</v>
      </c>
      <c r="F310" s="47">
        <v>3.615988909426981</v>
      </c>
      <c r="G310" s="58">
        <v>322.36</v>
      </c>
      <c r="H310" s="58">
        <v>357.2</v>
      </c>
      <c r="I310" s="58">
        <v>348.97</v>
      </c>
      <c r="J310" s="58">
        <v>348.75</v>
      </c>
      <c r="K310" s="58">
        <v>344.87</v>
      </c>
      <c r="L310" s="58">
        <v>380.27</v>
      </c>
      <c r="M310" s="58">
        <v>398.69</v>
      </c>
      <c r="N310" s="58">
        <v>389.73</v>
      </c>
      <c r="O310" s="58">
        <v>382.06</v>
      </c>
      <c r="P310" s="58">
        <v>433.81</v>
      </c>
      <c r="Q310" s="58">
        <v>447.85</v>
      </c>
      <c r="R310" s="58">
        <v>453.81</v>
      </c>
      <c r="S310" s="58">
        <v>439.97</v>
      </c>
      <c r="T310" s="58">
        <v>498.74</v>
      </c>
      <c r="U310" s="58">
        <v>536.41999999999996</v>
      </c>
      <c r="V310" s="58">
        <v>515.75</v>
      </c>
      <c r="W310" s="61">
        <v>511.96</v>
      </c>
      <c r="X310" s="22">
        <f t="shared" si="5"/>
        <v>3.6571216149236196E-2</v>
      </c>
      <c r="Y310" s="22">
        <f t="shared" si="6"/>
        <v>4.8126192015735869E-2</v>
      </c>
      <c r="Z310" s="22">
        <f t="shared" si="7"/>
        <v>3.2110900287204425E-2</v>
      </c>
      <c r="AA310" s="22">
        <f t="shared" si="8"/>
        <v>3.6159889094269815E-2</v>
      </c>
    </row>
    <row r="311" spans="1:27" customFormat="1" hidden="1" x14ac:dyDescent="0.3">
      <c r="B311" s="19" t="s">
        <v>74</v>
      </c>
      <c r="C311" s="19" t="s">
        <v>23</v>
      </c>
      <c r="D311" s="19" t="s">
        <v>32</v>
      </c>
      <c r="E311" s="19" t="s">
        <v>75</v>
      </c>
      <c r="F311" s="19">
        <v>1.25936847278536</v>
      </c>
      <c r="G311" s="19">
        <v>58.52</v>
      </c>
      <c r="H311" s="19">
        <v>56.44</v>
      </c>
      <c r="I311" s="19">
        <v>54.59</v>
      </c>
      <c r="J311" s="19">
        <v>51.99</v>
      </c>
      <c r="K311" s="19">
        <v>48.75</v>
      </c>
      <c r="L311" s="19">
        <v>52.91</v>
      </c>
      <c r="M311" s="19">
        <v>46.98</v>
      </c>
      <c r="N311" s="19">
        <v>41.22</v>
      </c>
      <c r="O311" s="19">
        <v>41.48</v>
      </c>
      <c r="P311" s="19">
        <v>42.79</v>
      </c>
      <c r="Q311" s="19">
        <v>37.950000000000003</v>
      </c>
      <c r="R311" s="19">
        <v>41.49</v>
      </c>
      <c r="S311" s="19">
        <v>42.65</v>
      </c>
      <c r="T311" s="19">
        <v>36.56</v>
      </c>
      <c r="U311" s="19">
        <v>43.59</v>
      </c>
      <c r="V311" s="19">
        <v>39.979999999999997</v>
      </c>
      <c r="W311" s="25">
        <v>44.7</v>
      </c>
      <c r="X311" s="22">
        <f t="shared" si="5"/>
        <v>-3.7785055798156386E-2</v>
      </c>
      <c r="Y311" s="22">
        <f t="shared" si="6"/>
        <v>3.554995272612671E-2</v>
      </c>
      <c r="Z311" s="22">
        <f t="shared" si="7"/>
        <v>-9.1910645809241132E-3</v>
      </c>
      <c r="AA311" s="22">
        <f t="shared" si="8"/>
        <v>1.2593684727853383E-2</v>
      </c>
    </row>
    <row r="312" spans="1:27" ht="15" x14ac:dyDescent="0.25">
      <c r="A312" s="4">
        <v>260128</v>
      </c>
      <c r="B312" s="29" t="s">
        <v>36</v>
      </c>
      <c r="C312" s="19" t="s">
        <v>23</v>
      </c>
      <c r="D312" s="19" t="s">
        <v>37</v>
      </c>
      <c r="E312" s="19" t="s">
        <v>25</v>
      </c>
      <c r="F312" s="47">
        <v>3.2655445678678059</v>
      </c>
      <c r="G312" s="58">
        <v>280.93</v>
      </c>
      <c r="H312" s="58">
        <v>285.51</v>
      </c>
      <c r="I312" s="58">
        <v>278.2</v>
      </c>
      <c r="J312" s="58">
        <v>297.69</v>
      </c>
      <c r="K312" s="58">
        <v>318.35000000000002</v>
      </c>
      <c r="L312" s="58">
        <v>332.51</v>
      </c>
      <c r="M312" s="58">
        <v>363.91</v>
      </c>
      <c r="N312" s="58">
        <v>353.14</v>
      </c>
      <c r="O312" s="58">
        <v>296.38</v>
      </c>
      <c r="P312" s="58">
        <v>211.04</v>
      </c>
      <c r="Q312" s="58">
        <v>256.64999999999998</v>
      </c>
      <c r="R312" s="58">
        <v>269.2</v>
      </c>
      <c r="S312" s="58">
        <v>279.36</v>
      </c>
      <c r="T312" s="58">
        <v>284.51</v>
      </c>
      <c r="U312" s="58">
        <v>307</v>
      </c>
      <c r="V312" s="58">
        <v>310.25</v>
      </c>
      <c r="W312" s="61">
        <v>317.93</v>
      </c>
      <c r="X312" s="22">
        <f t="shared" si="5"/>
        <v>7.2295202952029403E-2</v>
      </c>
      <c r="Y312" s="22">
        <f t="shared" si="6"/>
        <v>4.6204529603935063E-2</v>
      </c>
      <c r="Z312" s="22">
        <f t="shared" si="7"/>
        <v>3.6006561000640369E-2</v>
      </c>
      <c r="AA312" s="22">
        <f t="shared" si="8"/>
        <v>3.2655445678678063E-2</v>
      </c>
    </row>
    <row r="313" spans="1:27" customFormat="1" hidden="1" x14ac:dyDescent="0.3">
      <c r="B313" s="19" t="s">
        <v>77</v>
      </c>
      <c r="C313" s="19" t="s">
        <v>67</v>
      </c>
      <c r="D313" s="19" t="s">
        <v>32</v>
      </c>
      <c r="E313" s="19" t="s">
        <v>35</v>
      </c>
      <c r="F313" s="19">
        <v>-6.8136991213918474E-2</v>
      </c>
      <c r="G313" s="19">
        <v>15953</v>
      </c>
      <c r="H313" s="19">
        <v>13252</v>
      </c>
      <c r="I313" s="19">
        <v>17979</v>
      </c>
      <c r="J313" s="19">
        <v>10681</v>
      </c>
      <c r="K313" s="19">
        <v>16411</v>
      </c>
      <c r="L313" s="19">
        <v>12789</v>
      </c>
      <c r="M313" s="19">
        <v>20797</v>
      </c>
      <c r="N313" s="19">
        <v>10606</v>
      </c>
      <c r="O313" s="19">
        <v>15789</v>
      </c>
      <c r="P313" s="19">
        <v>12333</v>
      </c>
      <c r="Q313" s="19">
        <v>14401</v>
      </c>
      <c r="R313" s="19">
        <v>12746</v>
      </c>
      <c r="S313" s="19">
        <v>15333</v>
      </c>
      <c r="T313" s="19">
        <v>13296</v>
      </c>
      <c r="U313" s="19">
        <v>17931</v>
      </c>
      <c r="V313" s="19">
        <v>9210</v>
      </c>
      <c r="W313" s="25">
        <v>15295</v>
      </c>
      <c r="X313" s="22">
        <f t="shared" si="5"/>
        <v>1.7568824913797743E-2</v>
      </c>
      <c r="Y313" s="22">
        <f t="shared" si="6"/>
        <v>6.3288869764773326E-2</v>
      </c>
      <c r="Z313" s="22">
        <f t="shared" si="7"/>
        <v>-5.9622972380534822E-2</v>
      </c>
      <c r="AA313" s="22">
        <f t="shared" si="8"/>
        <v>-6.8136991213918474E-4</v>
      </c>
    </row>
    <row r="314" spans="1:27" ht="15" x14ac:dyDescent="0.25">
      <c r="A314" s="4">
        <v>260128</v>
      </c>
      <c r="B314" s="29" t="s">
        <v>143</v>
      </c>
      <c r="C314" s="19" t="s">
        <v>23</v>
      </c>
      <c r="D314" s="19" t="s">
        <v>144</v>
      </c>
      <c r="E314" s="19" t="s">
        <v>25</v>
      </c>
      <c r="F314" s="47">
        <v>3.2613681538790962</v>
      </c>
      <c r="G314" s="58">
        <v>16695</v>
      </c>
      <c r="H314" s="58">
        <v>14197</v>
      </c>
      <c r="I314" s="58">
        <v>15535</v>
      </c>
      <c r="J314" s="58">
        <v>14106</v>
      </c>
      <c r="K314" s="58">
        <v>16691</v>
      </c>
      <c r="L314" s="58">
        <v>14252</v>
      </c>
      <c r="M314" s="58">
        <v>15475</v>
      </c>
      <c r="N314" s="58">
        <v>14752</v>
      </c>
      <c r="O314" s="58">
        <v>17380</v>
      </c>
      <c r="P314" s="58">
        <v>14462</v>
      </c>
      <c r="Q314" s="58">
        <v>15771</v>
      </c>
      <c r="R314" s="58">
        <v>14967</v>
      </c>
      <c r="S314" s="58">
        <v>17553</v>
      </c>
      <c r="T314" s="58">
        <v>14541</v>
      </c>
      <c r="U314" s="58">
        <v>16977</v>
      </c>
      <c r="V314" s="58">
        <v>16331</v>
      </c>
      <c r="W314" s="61">
        <v>19686</v>
      </c>
      <c r="X314" s="22">
        <f t="shared" si="5"/>
        <v>1.2589039567829641E-3</v>
      </c>
      <c r="Y314" s="22">
        <f t="shared" si="6"/>
        <v>1.9194041252864835E-2</v>
      </c>
      <c r="Z314" s="22">
        <f t="shared" si="7"/>
        <v>2.1299853212155329E-2</v>
      </c>
      <c r="AA314" s="22">
        <f t="shared" si="8"/>
        <v>3.2613681538790962E-2</v>
      </c>
    </row>
    <row r="315" spans="1:27" ht="15" x14ac:dyDescent="0.25">
      <c r="A315" s="4">
        <v>260128</v>
      </c>
      <c r="B315" s="29" t="s">
        <v>183</v>
      </c>
      <c r="C315" s="19" t="s">
        <v>23</v>
      </c>
      <c r="D315" s="19" t="s">
        <v>177</v>
      </c>
      <c r="E315" s="19" t="s">
        <v>25</v>
      </c>
      <c r="F315" s="47">
        <v>3.22400835724086</v>
      </c>
      <c r="G315" s="58">
        <v>888.72</v>
      </c>
      <c r="H315" s="58">
        <v>471.09</v>
      </c>
      <c r="I315" s="58">
        <v>418.61</v>
      </c>
      <c r="J315" s="58">
        <v>489.52</v>
      </c>
      <c r="K315" s="58">
        <v>456.48</v>
      </c>
      <c r="L315" s="58">
        <v>444.75</v>
      </c>
      <c r="M315" s="58">
        <v>415.83</v>
      </c>
      <c r="N315" s="58">
        <v>466.99</v>
      </c>
      <c r="O315" s="58">
        <v>511.11</v>
      </c>
      <c r="P315" s="58">
        <v>520.38</v>
      </c>
      <c r="Q315" s="58">
        <v>513.54</v>
      </c>
      <c r="R315" s="58">
        <v>574.96</v>
      </c>
      <c r="S315" s="58">
        <v>634.36</v>
      </c>
      <c r="T315" s="58">
        <v>666.35</v>
      </c>
      <c r="U315" s="58">
        <v>605.28</v>
      </c>
      <c r="V315" s="58">
        <v>659.45</v>
      </c>
      <c r="W315" s="61">
        <v>717.07</v>
      </c>
      <c r="X315" s="22">
        <f t="shared" si="5"/>
        <v>6.5071057934059651E-2</v>
      </c>
      <c r="Y315" s="22">
        <f t="shared" si="6"/>
        <v>3.8397629341916373E-2</v>
      </c>
      <c r="Z315" s="22">
        <f t="shared" si="7"/>
        <v>3.4055502932344606E-2</v>
      </c>
      <c r="AA315" s="22">
        <f t="shared" si="8"/>
        <v>3.2240083572408595E-2</v>
      </c>
    </row>
    <row r="316" spans="1:27" customFormat="1" hidden="1" x14ac:dyDescent="0.3">
      <c r="B316" s="19" t="s">
        <v>81</v>
      </c>
      <c r="C316" s="19" t="s">
        <v>23</v>
      </c>
      <c r="D316" s="19" t="s">
        <v>69</v>
      </c>
      <c r="E316" s="19" t="s">
        <v>35</v>
      </c>
      <c r="F316" s="19">
        <v>-1.1974099502163771</v>
      </c>
      <c r="G316" s="19">
        <v>182.33</v>
      </c>
      <c r="H316" s="19">
        <v>208.09</v>
      </c>
      <c r="I316" s="19">
        <v>197.66</v>
      </c>
      <c r="J316" s="19">
        <v>229.68</v>
      </c>
      <c r="K316" s="19">
        <v>214.53</v>
      </c>
      <c r="L316" s="19">
        <v>203.16</v>
      </c>
      <c r="M316" s="19">
        <v>186.32</v>
      </c>
      <c r="N316" s="19">
        <v>187.38</v>
      </c>
      <c r="O316" s="19">
        <v>163.89</v>
      </c>
      <c r="P316" s="19">
        <v>167.28</v>
      </c>
      <c r="Q316" s="19">
        <v>146.41999999999999</v>
      </c>
      <c r="R316" s="19">
        <v>168.63</v>
      </c>
      <c r="S316" s="19">
        <v>154.34</v>
      </c>
      <c r="T316" s="19">
        <v>157.26</v>
      </c>
      <c r="U316" s="19">
        <v>142.69999999999999</v>
      </c>
      <c r="V316" s="19">
        <v>160.36000000000001</v>
      </c>
      <c r="W316" s="25">
        <v>146.97999999999999</v>
      </c>
      <c r="X316" s="22">
        <f t="shared" si="5"/>
        <v>-1.5738137496662308E-2</v>
      </c>
      <c r="Y316" s="22">
        <f t="shared" si="6"/>
        <v>-5.936328093832155E-3</v>
      </c>
      <c r="Z316" s="22">
        <f t="shared" si="7"/>
        <v>-1.3275970012681992E-2</v>
      </c>
      <c r="AA316" s="22">
        <f t="shared" si="8"/>
        <v>-1.1974099502163993E-2</v>
      </c>
    </row>
    <row r="317" spans="1:27" customFormat="1" hidden="1" x14ac:dyDescent="0.3">
      <c r="B317" s="19" t="s">
        <v>82</v>
      </c>
      <c r="C317" s="19" t="s">
        <v>67</v>
      </c>
      <c r="D317" s="19" t="s">
        <v>32</v>
      </c>
      <c r="E317" s="19" t="s">
        <v>35</v>
      </c>
      <c r="F317" s="19">
        <v>-4.9657512404811417</v>
      </c>
      <c r="G317" s="19">
        <v>28099</v>
      </c>
      <c r="H317" s="19">
        <v>24500</v>
      </c>
      <c r="I317" s="19">
        <v>29580</v>
      </c>
      <c r="J317" s="19">
        <v>26484</v>
      </c>
      <c r="K317" s="19">
        <v>32468</v>
      </c>
      <c r="L317" s="19">
        <v>29614</v>
      </c>
      <c r="M317" s="19">
        <v>34631</v>
      </c>
      <c r="N317" s="19">
        <v>34754</v>
      </c>
      <c r="O317" s="20">
        <v>47161</v>
      </c>
      <c r="P317" s="19">
        <v>27633</v>
      </c>
      <c r="Q317" s="20">
        <v>51105</v>
      </c>
      <c r="R317" s="19">
        <v>42374</v>
      </c>
      <c r="S317" s="19">
        <v>44449</v>
      </c>
      <c r="T317" s="20">
        <v>46255</v>
      </c>
      <c r="U317" s="19">
        <v>35113</v>
      </c>
      <c r="V317" s="19">
        <v>30977</v>
      </c>
      <c r="W317" s="25">
        <v>36663</v>
      </c>
      <c r="X317" s="22">
        <f t="shared" si="5"/>
        <v>0.11247818024776368</v>
      </c>
      <c r="Y317" s="22">
        <f t="shared" si="6"/>
        <v>-8.682668867376464E-2</v>
      </c>
      <c r="Z317" s="22">
        <f t="shared" si="7"/>
        <v>-6.7762246493569767E-2</v>
      </c>
      <c r="AA317" s="22">
        <f t="shared" si="8"/>
        <v>-4.9657512404811421E-2</v>
      </c>
    </row>
    <row r="318" spans="1:27" customFormat="1" hidden="1" x14ac:dyDescent="0.3">
      <c r="B318" s="19" t="s">
        <v>83</v>
      </c>
      <c r="C318" s="19" t="s">
        <v>67</v>
      </c>
      <c r="D318" s="19" t="s">
        <v>32</v>
      </c>
      <c r="E318" s="19" t="s">
        <v>35</v>
      </c>
      <c r="F318" s="19">
        <v>-0.69530075836730099</v>
      </c>
      <c r="G318" s="19">
        <v>77280</v>
      </c>
      <c r="H318" s="19">
        <v>67815</v>
      </c>
      <c r="I318" s="19">
        <v>82701</v>
      </c>
      <c r="J318" s="19">
        <v>91060</v>
      </c>
      <c r="K318" s="19">
        <v>91778</v>
      </c>
      <c r="L318" s="19">
        <v>88494</v>
      </c>
      <c r="M318" s="19">
        <v>84383</v>
      </c>
      <c r="N318" s="19">
        <v>76625</v>
      </c>
      <c r="O318" s="19">
        <v>78913</v>
      </c>
      <c r="P318" s="19">
        <v>81953</v>
      </c>
      <c r="Q318" s="19">
        <v>83491</v>
      </c>
      <c r="R318" s="19">
        <v>78290</v>
      </c>
      <c r="S318" s="19">
        <v>82747</v>
      </c>
      <c r="T318" s="19">
        <v>79362</v>
      </c>
      <c r="U318" s="19">
        <v>82450</v>
      </c>
      <c r="V318" s="19">
        <v>74152</v>
      </c>
      <c r="W318" s="25">
        <v>80531</v>
      </c>
      <c r="X318" s="22">
        <f t="shared" si="5"/>
        <v>-7.9361432977722579E-3</v>
      </c>
      <c r="Y318" s="22">
        <f t="shared" si="6"/>
        <v>-3.214054154188184E-3</v>
      </c>
      <c r="Z318" s="22">
        <f t="shared" si="7"/>
        <v>-1.2817137423377534E-2</v>
      </c>
      <c r="AA318" s="22">
        <f t="shared" si="8"/>
        <v>-6.9530075836730099E-3</v>
      </c>
    </row>
    <row r="319" spans="1:27" customFormat="1" hidden="1" x14ac:dyDescent="0.3">
      <c r="B319" s="19" t="s">
        <v>84</v>
      </c>
      <c r="C319" s="19" t="s">
        <v>31</v>
      </c>
      <c r="D319" s="19" t="s">
        <v>32</v>
      </c>
      <c r="E319" s="19" t="s">
        <v>35</v>
      </c>
      <c r="F319" s="19">
        <v>4.8324742268041287</v>
      </c>
      <c r="G319" s="19">
        <v>4542</v>
      </c>
      <c r="H319" s="19">
        <v>4497</v>
      </c>
      <c r="I319" s="19">
        <v>4634</v>
      </c>
      <c r="J319" s="19">
        <v>4706</v>
      </c>
      <c r="K319" s="19">
        <v>5180</v>
      </c>
      <c r="L319" s="19">
        <v>5035</v>
      </c>
      <c r="M319" s="19">
        <v>5338</v>
      </c>
      <c r="N319" s="19">
        <v>5152</v>
      </c>
      <c r="O319" s="19">
        <v>6036</v>
      </c>
      <c r="P319" s="19">
        <v>5634</v>
      </c>
      <c r="Q319" s="19">
        <v>6241</v>
      </c>
      <c r="R319" s="19">
        <v>6047</v>
      </c>
      <c r="S319" s="19">
        <v>6808</v>
      </c>
      <c r="T319" s="19">
        <v>6020</v>
      </c>
      <c r="U319" s="19">
        <v>6818</v>
      </c>
      <c r="V319" s="19">
        <v>6738</v>
      </c>
      <c r="W319" s="25">
        <v>8083</v>
      </c>
      <c r="X319" s="22">
        <f t="shared" si="5"/>
        <v>1.5608572583906133E-2</v>
      </c>
      <c r="Y319" s="22">
        <f t="shared" si="6"/>
        <v>2.2973403408186099E-2</v>
      </c>
      <c r="Z319" s="22">
        <f t="shared" si="7"/>
        <v>2.6894484879149916E-2</v>
      </c>
      <c r="AA319" s="22">
        <f t="shared" si="8"/>
        <v>4.8324742268041287E-2</v>
      </c>
    </row>
    <row r="320" spans="1:27" customFormat="1" hidden="1" x14ac:dyDescent="0.3">
      <c r="B320" s="19" t="s">
        <v>85</v>
      </c>
      <c r="C320" s="19" t="s">
        <v>31</v>
      </c>
      <c r="D320" s="19" t="s">
        <v>32</v>
      </c>
      <c r="E320" s="19" t="s">
        <v>35</v>
      </c>
      <c r="F320" s="19">
        <v>4.3914550250866444</v>
      </c>
      <c r="G320" s="19">
        <v>2632</v>
      </c>
      <c r="H320" s="19">
        <v>3150</v>
      </c>
      <c r="I320" s="19">
        <v>3872</v>
      </c>
      <c r="J320" s="19">
        <v>2701</v>
      </c>
      <c r="K320" s="19">
        <v>3176</v>
      </c>
      <c r="L320" s="19">
        <v>3575</v>
      </c>
      <c r="M320" s="19">
        <v>4421</v>
      </c>
      <c r="N320" s="19">
        <v>3222</v>
      </c>
      <c r="O320" s="19">
        <v>3814</v>
      </c>
      <c r="P320" s="19">
        <v>4085</v>
      </c>
      <c r="Q320" s="19">
        <v>5069</v>
      </c>
      <c r="R320" s="19">
        <v>4282</v>
      </c>
      <c r="S320" s="19">
        <v>3977</v>
      </c>
      <c r="T320" s="19">
        <v>4835</v>
      </c>
      <c r="U320" s="19">
        <v>6285</v>
      </c>
      <c r="V320" s="19">
        <v>4236</v>
      </c>
      <c r="W320" s="25">
        <v>4826</v>
      </c>
      <c r="X320" s="22">
        <f t="shared" si="5"/>
        <v>4.3071268592431045E-2</v>
      </c>
      <c r="Y320" s="22">
        <f t="shared" si="6"/>
        <v>6.6949292517755943E-2</v>
      </c>
      <c r="Z320" s="22">
        <f t="shared" si="7"/>
        <v>-2.3737034934723233E-3</v>
      </c>
      <c r="AA320" s="22">
        <f t="shared" si="8"/>
        <v>4.3914550250866435E-2</v>
      </c>
    </row>
    <row r="321" spans="1:27" ht="15" x14ac:dyDescent="0.25">
      <c r="A321" s="4">
        <v>260128</v>
      </c>
      <c r="B321" s="29" t="s">
        <v>169</v>
      </c>
      <c r="C321" s="19" t="s">
        <v>23</v>
      </c>
      <c r="D321" s="19" t="s">
        <v>52</v>
      </c>
      <c r="E321" s="19" t="s">
        <v>170</v>
      </c>
      <c r="F321" s="47">
        <v>3.0473135525260542</v>
      </c>
      <c r="G321" s="58">
        <v>658.32</v>
      </c>
      <c r="H321" s="58">
        <v>614.09</v>
      </c>
      <c r="I321" s="58">
        <v>524.02</v>
      </c>
      <c r="J321" s="58">
        <v>744.82</v>
      </c>
      <c r="K321" s="58">
        <v>638.21</v>
      </c>
      <c r="L321" s="58">
        <v>754.15</v>
      </c>
      <c r="M321" s="59">
        <v>860.57</v>
      </c>
      <c r="N321" s="59">
        <v>1100</v>
      </c>
      <c r="O321" s="58">
        <v>869.6</v>
      </c>
      <c r="P321" s="59">
        <v>1207</v>
      </c>
      <c r="Q321" s="58">
        <v>1137</v>
      </c>
      <c r="R321" s="58">
        <v>1435</v>
      </c>
      <c r="S321" s="58">
        <v>1039</v>
      </c>
      <c r="T321" s="58">
        <v>1183</v>
      </c>
      <c r="U321" s="58">
        <v>1243</v>
      </c>
      <c r="V321" s="58">
        <v>1523</v>
      </c>
      <c r="W321" s="61">
        <v>1191</v>
      </c>
      <c r="X321" s="22">
        <f t="shared" si="5"/>
        <v>-4.9813200498132204E-3</v>
      </c>
      <c r="Y321" s="22">
        <f t="shared" si="6"/>
        <v>2.2110972048393851E-2</v>
      </c>
      <c r="Z321" s="22">
        <f t="shared" si="7"/>
        <v>1.7959183673469381E-2</v>
      </c>
      <c r="AA321" s="22">
        <f t="shared" si="8"/>
        <v>3.0473135525260542E-2</v>
      </c>
    </row>
    <row r="322" spans="1:27" customFormat="1" hidden="1" x14ac:dyDescent="0.3">
      <c r="B322" s="19" t="s">
        <v>87</v>
      </c>
      <c r="C322" s="19" t="s">
        <v>31</v>
      </c>
      <c r="D322" s="19" t="s">
        <v>32</v>
      </c>
      <c r="E322" s="19" t="s">
        <v>35</v>
      </c>
      <c r="F322" s="19">
        <v>5.8255312825085559</v>
      </c>
      <c r="G322" s="19">
        <v>775.68</v>
      </c>
      <c r="H322" s="19">
        <v>887.76</v>
      </c>
      <c r="I322" s="19">
        <v>931.41</v>
      </c>
      <c r="J322" s="19">
        <v>827.8</v>
      </c>
      <c r="K322" s="19">
        <v>878.87</v>
      </c>
      <c r="L322" s="19">
        <v>972.08</v>
      </c>
      <c r="M322" s="19">
        <v>958.65</v>
      </c>
      <c r="N322" s="19">
        <v>860.7</v>
      </c>
      <c r="O322" s="20">
        <v>3143</v>
      </c>
      <c r="P322" s="19">
        <v>1386</v>
      </c>
      <c r="Q322" s="19">
        <v>1453</v>
      </c>
      <c r="R322" s="19">
        <v>1412</v>
      </c>
      <c r="S322" s="19">
        <v>1542</v>
      </c>
      <c r="T322" s="19">
        <v>1762</v>
      </c>
      <c r="U322" s="19">
        <v>1695</v>
      </c>
      <c r="V322" s="19">
        <v>1730</v>
      </c>
      <c r="W322" s="25">
        <v>1934</v>
      </c>
      <c r="X322" s="22">
        <f t="shared" si="5"/>
        <v>6.4905920939064332E-2</v>
      </c>
      <c r="Y322" s="22">
        <f t="shared" si="6"/>
        <v>3.9228400064840407E-2</v>
      </c>
      <c r="Z322" s="22">
        <f t="shared" si="7"/>
        <v>4.9602246139447859E-2</v>
      </c>
      <c r="AA322" s="22">
        <f t="shared" si="8"/>
        <v>5.8255312825085559E-2</v>
      </c>
    </row>
    <row r="323" spans="1:27" ht="15" x14ac:dyDescent="0.25">
      <c r="A323" s="4">
        <v>260128</v>
      </c>
      <c r="B323" s="29" t="s">
        <v>51</v>
      </c>
      <c r="C323" s="19" t="s">
        <v>23</v>
      </c>
      <c r="D323" s="19" t="s">
        <v>52</v>
      </c>
      <c r="E323" s="19" t="s">
        <v>25</v>
      </c>
      <c r="F323" s="47">
        <v>3.03623737855867</v>
      </c>
      <c r="G323" s="58">
        <v>367.84</v>
      </c>
      <c r="H323" s="58">
        <v>364.28</v>
      </c>
      <c r="I323" s="58">
        <v>360.65</v>
      </c>
      <c r="J323" s="58">
        <v>354.27</v>
      </c>
      <c r="K323" s="58">
        <v>362.83</v>
      </c>
      <c r="L323" s="58">
        <v>369.08</v>
      </c>
      <c r="M323" s="58">
        <v>364.64</v>
      </c>
      <c r="N323" s="58">
        <v>368.85</v>
      </c>
      <c r="O323" s="58">
        <v>393.24</v>
      </c>
      <c r="P323" s="58">
        <v>412.66</v>
      </c>
      <c r="Q323" s="58">
        <v>409.91</v>
      </c>
      <c r="R323" s="58">
        <v>417.4</v>
      </c>
      <c r="S323" s="58">
        <v>447.73</v>
      </c>
      <c r="T323" s="58">
        <v>466.06</v>
      </c>
      <c r="U323" s="58">
        <v>457.11</v>
      </c>
      <c r="V323" s="58">
        <v>462.29</v>
      </c>
      <c r="W323" s="61">
        <v>503.39</v>
      </c>
      <c r="X323" s="22">
        <f t="shared" si="5"/>
        <v>3.1640694436214867E-2</v>
      </c>
      <c r="Y323" s="22">
        <f t="shared" si="6"/>
        <v>2.7109298719200758E-2</v>
      </c>
      <c r="Z323" s="22">
        <f t="shared" si="7"/>
        <v>2.510205222837314E-2</v>
      </c>
      <c r="AA323" s="22">
        <f t="shared" si="8"/>
        <v>3.0362373785586705E-2</v>
      </c>
    </row>
    <row r="324" spans="1:27" ht="15" x14ac:dyDescent="0.25">
      <c r="A324" s="4">
        <v>260128</v>
      </c>
      <c r="B324" s="29" t="s">
        <v>38</v>
      </c>
      <c r="C324" s="19" t="s">
        <v>23</v>
      </c>
      <c r="D324" s="19" t="s">
        <v>29</v>
      </c>
      <c r="E324" s="19" t="s">
        <v>25</v>
      </c>
      <c r="F324" s="47">
        <v>2.9797313458170378</v>
      </c>
      <c r="G324" s="58">
        <v>281.38</v>
      </c>
      <c r="H324" s="58">
        <v>299.97000000000003</v>
      </c>
      <c r="I324" s="58">
        <v>340.99</v>
      </c>
      <c r="J324" s="58">
        <v>324.45999999999998</v>
      </c>
      <c r="K324" s="58">
        <v>301.45999999999998</v>
      </c>
      <c r="L324" s="58">
        <v>301.39999999999998</v>
      </c>
      <c r="M324" s="58">
        <v>300.3</v>
      </c>
      <c r="N324" s="58">
        <v>271.26</v>
      </c>
      <c r="O324" s="58">
        <v>262.45</v>
      </c>
      <c r="P324" s="58">
        <v>265.14999999999998</v>
      </c>
      <c r="Q324" s="58">
        <v>278.35000000000002</v>
      </c>
      <c r="R324" s="58">
        <v>302.02</v>
      </c>
      <c r="S324" s="58">
        <v>315.41000000000003</v>
      </c>
      <c r="T324" s="58">
        <v>299.81</v>
      </c>
      <c r="U324" s="58">
        <v>331.28</v>
      </c>
      <c r="V324" s="58">
        <v>349.59</v>
      </c>
      <c r="W324" s="61">
        <v>354.03</v>
      </c>
      <c r="X324" s="22">
        <f t="shared" si="5"/>
        <v>2.9855374570387339E-2</v>
      </c>
      <c r="Y324" s="22">
        <f t="shared" si="6"/>
        <v>4.4271029366254266E-2</v>
      </c>
      <c r="Z324" s="22">
        <f t="shared" si="7"/>
        <v>3.8101111716271951E-2</v>
      </c>
      <c r="AA324" s="22">
        <f t="shared" si="8"/>
        <v>2.979731345817016E-2</v>
      </c>
    </row>
    <row r="325" spans="1:27" customFormat="1" hidden="1" x14ac:dyDescent="0.3">
      <c r="B325" s="19" t="s">
        <v>90</v>
      </c>
      <c r="C325" s="19" t="s">
        <v>67</v>
      </c>
      <c r="D325" s="19" t="s">
        <v>32</v>
      </c>
      <c r="E325" s="19" t="s">
        <v>35</v>
      </c>
      <c r="F325" s="19">
        <v>4.5010767742728497</v>
      </c>
      <c r="G325" s="19">
        <v>23548</v>
      </c>
      <c r="H325" s="19">
        <v>27115</v>
      </c>
      <c r="I325" s="19">
        <v>68960</v>
      </c>
      <c r="J325" s="19">
        <v>19918</v>
      </c>
      <c r="K325" s="19">
        <v>26812</v>
      </c>
      <c r="L325" s="19">
        <v>31018</v>
      </c>
      <c r="M325" s="19">
        <v>72968</v>
      </c>
      <c r="N325" s="19">
        <v>21161</v>
      </c>
      <c r="O325" s="19">
        <v>31850</v>
      </c>
      <c r="P325" s="19">
        <v>37719</v>
      </c>
      <c r="Q325" s="19">
        <v>74831</v>
      </c>
      <c r="R325" s="19">
        <v>25015</v>
      </c>
      <c r="S325" s="19">
        <v>34180</v>
      </c>
      <c r="T325" s="19">
        <v>39261</v>
      </c>
      <c r="U325" s="19">
        <v>80638</v>
      </c>
      <c r="V325" s="19">
        <v>33054</v>
      </c>
      <c r="W325" s="25">
        <v>42603</v>
      </c>
      <c r="X325" s="22">
        <f t="shared" si="5"/>
        <v>8.9784273195725461E-3</v>
      </c>
      <c r="Y325" s="22">
        <f t="shared" si="6"/>
        <v>3.3510880793135023E-2</v>
      </c>
      <c r="Z325" s="22">
        <f t="shared" si="7"/>
        <v>4.4887042558656276E-2</v>
      </c>
      <c r="AA325" s="22">
        <f t="shared" si="8"/>
        <v>4.5010767742728497E-2</v>
      </c>
    </row>
    <row r="326" spans="1:27" customFormat="1" hidden="1" x14ac:dyDescent="0.3">
      <c r="B326" s="19" t="s">
        <v>91</v>
      </c>
      <c r="C326" s="19" t="s">
        <v>67</v>
      </c>
      <c r="D326" s="19" t="s">
        <v>32</v>
      </c>
      <c r="E326" s="19" t="s">
        <v>35</v>
      </c>
      <c r="F326" s="19">
        <v>2.7610855818703151</v>
      </c>
      <c r="G326" s="19">
        <v>15968</v>
      </c>
      <c r="H326" s="19">
        <v>17212</v>
      </c>
      <c r="I326" s="19">
        <v>16383</v>
      </c>
      <c r="J326" s="19">
        <v>18697</v>
      </c>
      <c r="K326" s="19">
        <v>18068</v>
      </c>
      <c r="L326" s="19">
        <v>20207</v>
      </c>
      <c r="M326" s="19">
        <v>20172</v>
      </c>
      <c r="N326" s="19">
        <v>18431</v>
      </c>
      <c r="O326" s="19">
        <v>19101</v>
      </c>
      <c r="P326" s="19">
        <v>18967</v>
      </c>
      <c r="Q326" s="19">
        <v>18750</v>
      </c>
      <c r="R326" s="19">
        <v>19068</v>
      </c>
      <c r="S326" s="19">
        <v>18808</v>
      </c>
      <c r="T326" s="19">
        <v>19306</v>
      </c>
      <c r="U326" s="19">
        <v>17523</v>
      </c>
      <c r="V326" s="19">
        <v>20746</v>
      </c>
      <c r="W326" s="25">
        <v>20917</v>
      </c>
      <c r="X326" s="22">
        <f t="shared" si="5"/>
        <v>4.4845422195176621E-3</v>
      </c>
      <c r="Y326" s="22">
        <f t="shared" si="6"/>
        <v>-1.6159195069272547E-2</v>
      </c>
      <c r="Z326" s="22">
        <f t="shared" si="7"/>
        <v>2.2461682618298617E-2</v>
      </c>
      <c r="AA326" s="22">
        <f t="shared" si="8"/>
        <v>2.7610855818703151E-2</v>
      </c>
    </row>
    <row r="327" spans="1:27" ht="15" x14ac:dyDescent="0.25">
      <c r="A327" s="4">
        <v>260128</v>
      </c>
      <c r="B327" s="29" t="s">
        <v>60</v>
      </c>
      <c r="C327" s="19" t="s">
        <v>23</v>
      </c>
      <c r="D327" s="19" t="s">
        <v>61</v>
      </c>
      <c r="E327" s="19" t="s">
        <v>59</v>
      </c>
      <c r="F327" s="47">
        <v>2.9162036008001819</v>
      </c>
      <c r="G327" s="58">
        <v>5865</v>
      </c>
      <c r="H327" s="58">
        <v>6488</v>
      </c>
      <c r="I327" s="58">
        <v>6373</v>
      </c>
      <c r="J327" s="58">
        <v>6750</v>
      </c>
      <c r="K327" s="58">
        <v>6718</v>
      </c>
      <c r="L327" s="58">
        <v>6515</v>
      </c>
      <c r="M327" s="58">
        <v>6555</v>
      </c>
      <c r="N327" s="58">
        <v>6336</v>
      </c>
      <c r="O327" s="58">
        <v>6205</v>
      </c>
      <c r="P327" s="58">
        <v>5654</v>
      </c>
      <c r="Q327" s="58">
        <v>5563</v>
      </c>
      <c r="R327" s="58">
        <v>5604</v>
      </c>
      <c r="S327" s="58">
        <v>5663</v>
      </c>
      <c r="T327" s="58">
        <v>5315</v>
      </c>
      <c r="U327" s="58">
        <v>5618</v>
      </c>
      <c r="V327" s="58">
        <v>5899</v>
      </c>
      <c r="W327" s="61">
        <v>6319</v>
      </c>
      <c r="X327" s="22">
        <f t="shared" si="5"/>
        <v>-1.5077388365059563E-2</v>
      </c>
      <c r="Y327" s="22">
        <f t="shared" si="6"/>
        <v>2.4836306163920074E-3</v>
      </c>
      <c r="Z327" s="22">
        <f t="shared" si="7"/>
        <v>1.3288288288288319E-2</v>
      </c>
      <c r="AA327" s="22">
        <f t="shared" si="8"/>
        <v>2.9162036008001824E-2</v>
      </c>
    </row>
    <row r="328" spans="1:27" customFormat="1" hidden="1" x14ac:dyDescent="0.3">
      <c r="B328" s="19" t="s">
        <v>94</v>
      </c>
      <c r="C328" s="19" t="s">
        <v>23</v>
      </c>
      <c r="D328" s="19" t="s">
        <v>95</v>
      </c>
      <c r="E328" s="19" t="s">
        <v>96</v>
      </c>
      <c r="F328" s="19">
        <v>1.5267175572519109</v>
      </c>
      <c r="G328" s="19">
        <v>0.27</v>
      </c>
      <c r="H328" s="19">
        <v>0.81</v>
      </c>
      <c r="I328" s="19">
        <v>0.34</v>
      </c>
      <c r="J328" s="19">
        <v>0.89</v>
      </c>
      <c r="K328" s="19">
        <v>0.4</v>
      </c>
      <c r="L328" s="19">
        <v>0.93</v>
      </c>
      <c r="M328" s="19">
        <v>0.51</v>
      </c>
      <c r="N328" s="19">
        <v>0.56999999999999995</v>
      </c>
      <c r="O328" s="20">
        <v>0.83</v>
      </c>
      <c r="P328" s="19">
        <v>0.49</v>
      </c>
      <c r="Q328" s="19">
        <v>0.56000000000000005</v>
      </c>
      <c r="R328" s="19">
        <v>0.47</v>
      </c>
      <c r="S328" s="19">
        <v>0.47</v>
      </c>
      <c r="T328" s="19">
        <v>0.64</v>
      </c>
      <c r="U328" s="20">
        <v>1.98</v>
      </c>
      <c r="V328" s="20">
        <v>0.84</v>
      </c>
      <c r="W328" s="25">
        <v>0.53</v>
      </c>
      <c r="X328" s="22">
        <f t="shared" si="5"/>
        <v>7.5376884422110546E-2</v>
      </c>
      <c r="Y328" s="22">
        <f t="shared" si="6"/>
        <v>0.66355140186915884</v>
      </c>
      <c r="Z328" s="22">
        <f t="shared" si="7"/>
        <v>0.10393258426966279</v>
      </c>
      <c r="AA328" s="22">
        <f t="shared" si="8"/>
        <v>1.5267175572519109E-2</v>
      </c>
    </row>
    <row r="329" spans="1:27" ht="15" x14ac:dyDescent="0.25">
      <c r="A329" s="4">
        <v>260128</v>
      </c>
      <c r="B329" s="29" t="s">
        <v>135</v>
      </c>
      <c r="C329" s="19" t="s">
        <v>23</v>
      </c>
      <c r="D329" s="19" t="s">
        <v>136</v>
      </c>
      <c r="E329" s="19" t="s">
        <v>25</v>
      </c>
      <c r="F329" s="47">
        <v>2.9013925745015712</v>
      </c>
      <c r="G329" s="58">
        <v>12485</v>
      </c>
      <c r="H329" s="58">
        <v>11836</v>
      </c>
      <c r="I329" s="58">
        <v>11513</v>
      </c>
      <c r="J329" s="58">
        <v>12774</v>
      </c>
      <c r="K329" s="58">
        <v>13463</v>
      </c>
      <c r="L329" s="58">
        <v>14298</v>
      </c>
      <c r="M329" s="58">
        <v>15347</v>
      </c>
      <c r="N329" s="58">
        <v>15553</v>
      </c>
      <c r="O329" s="58">
        <v>16885</v>
      </c>
      <c r="P329" s="58">
        <v>17237</v>
      </c>
      <c r="Q329" s="58">
        <v>18127</v>
      </c>
      <c r="R329" s="58">
        <v>19712</v>
      </c>
      <c r="S329" s="58">
        <v>20267</v>
      </c>
      <c r="T329" s="58">
        <v>20402</v>
      </c>
      <c r="U329" s="58">
        <v>21995</v>
      </c>
      <c r="V329" s="58">
        <v>22502</v>
      </c>
      <c r="W329" s="61">
        <v>22738</v>
      </c>
      <c r="X329" s="22">
        <f t="shared" si="5"/>
        <v>4.2007883944095603E-2</v>
      </c>
      <c r="Y329" s="22">
        <f t="shared" si="6"/>
        <v>4.9268864319559791E-2</v>
      </c>
      <c r="Z329" s="22">
        <f t="shared" si="7"/>
        <v>3.3869088083907872E-2</v>
      </c>
      <c r="AA329" s="22">
        <f t="shared" si="8"/>
        <v>2.9013925745015712E-2</v>
      </c>
    </row>
    <row r="330" spans="1:27" ht="15" x14ac:dyDescent="0.25">
      <c r="A330" s="4">
        <v>260128</v>
      </c>
      <c r="B330" s="29" t="s">
        <v>112</v>
      </c>
      <c r="C330" s="19" t="s">
        <v>23</v>
      </c>
      <c r="D330" s="19" t="s">
        <v>113</v>
      </c>
      <c r="E330" s="19" t="s">
        <v>25</v>
      </c>
      <c r="F330" s="47">
        <v>2.87315212207917</v>
      </c>
      <c r="G330" s="58">
        <v>4100</v>
      </c>
      <c r="H330" s="58">
        <v>3661</v>
      </c>
      <c r="I330" s="58">
        <v>3786</v>
      </c>
      <c r="J330" s="58">
        <v>3595</v>
      </c>
      <c r="K330" s="58">
        <v>3884</v>
      </c>
      <c r="L330" s="58">
        <v>3661</v>
      </c>
      <c r="M330" s="58">
        <v>3878</v>
      </c>
      <c r="N330" s="58">
        <v>3850</v>
      </c>
      <c r="O330" s="58">
        <v>4457</v>
      </c>
      <c r="P330" s="58">
        <v>3819</v>
      </c>
      <c r="Q330" s="58">
        <v>4164</v>
      </c>
      <c r="R330" s="58">
        <v>4332</v>
      </c>
      <c r="S330" s="58">
        <v>4229</v>
      </c>
      <c r="T330" s="58">
        <v>3891</v>
      </c>
      <c r="U330" s="58">
        <v>4176</v>
      </c>
      <c r="V330" s="58">
        <v>4480</v>
      </c>
      <c r="W330" s="61">
        <v>4711</v>
      </c>
      <c r="X330" s="22">
        <f t="shared" si="5"/>
        <v>4.352030947775587E-3</v>
      </c>
      <c r="Y330" s="22">
        <f t="shared" si="6"/>
        <v>7.2219547424179353E-4</v>
      </c>
      <c r="Z330" s="22">
        <f t="shared" si="7"/>
        <v>8.9006495068559843E-3</v>
      </c>
      <c r="AA330" s="22">
        <f t="shared" si="8"/>
        <v>2.87315212207917E-2</v>
      </c>
    </row>
    <row r="331" spans="1:27" ht="15" x14ac:dyDescent="0.25">
      <c r="A331" s="4">
        <v>260128</v>
      </c>
      <c r="B331" s="29" t="s">
        <v>158</v>
      </c>
      <c r="C331" s="19" t="s">
        <v>23</v>
      </c>
      <c r="D331" s="19" t="s">
        <v>65</v>
      </c>
      <c r="E331" s="19" t="s">
        <v>59</v>
      </c>
      <c r="F331" s="47">
        <v>2.7744878050881332</v>
      </c>
      <c r="G331" s="58">
        <v>553.07000000000005</v>
      </c>
      <c r="H331" s="58">
        <v>623.33000000000004</v>
      </c>
      <c r="I331" s="58">
        <v>618.44000000000005</v>
      </c>
      <c r="J331" s="58">
        <v>658.88</v>
      </c>
      <c r="K331" s="58">
        <v>613.25</v>
      </c>
      <c r="L331" s="58">
        <v>609.78</v>
      </c>
      <c r="M331" s="58">
        <v>612</v>
      </c>
      <c r="N331" s="58">
        <v>607.07000000000005</v>
      </c>
      <c r="O331" s="58">
        <v>533.80999999999995</v>
      </c>
      <c r="P331" s="58">
        <v>535.39</v>
      </c>
      <c r="Q331" s="58">
        <v>558.49</v>
      </c>
      <c r="R331" s="58">
        <v>567.39</v>
      </c>
      <c r="S331" s="58">
        <v>529.51</v>
      </c>
      <c r="T331" s="58">
        <v>554.30999999999995</v>
      </c>
      <c r="U331" s="58">
        <v>613.41</v>
      </c>
      <c r="V331" s="58">
        <v>624.64</v>
      </c>
      <c r="W331" s="61">
        <v>593.92999999999995</v>
      </c>
      <c r="X331" s="22">
        <f t="shared" si="5"/>
        <v>8.6361935018577363E-3</v>
      </c>
      <c r="Y331" s="22">
        <f t="shared" si="6"/>
        <v>2.4854052586323894E-2</v>
      </c>
      <c r="Z331" s="22">
        <f t="shared" si="7"/>
        <v>2.5280179456155905E-2</v>
      </c>
      <c r="AA331" s="22">
        <f t="shared" si="8"/>
        <v>2.7744878050881328E-2</v>
      </c>
    </row>
    <row r="332" spans="1:27" customFormat="1" hidden="1" x14ac:dyDescent="0.3">
      <c r="B332" s="19" t="s">
        <v>100</v>
      </c>
      <c r="C332" s="19" t="s">
        <v>23</v>
      </c>
      <c r="D332" s="19" t="s">
        <v>101</v>
      </c>
      <c r="E332" s="19" t="s">
        <v>35</v>
      </c>
      <c r="F332" s="19">
        <v>1.6007540056550471</v>
      </c>
      <c r="G332" s="19">
        <v>248.83</v>
      </c>
      <c r="H332" s="19">
        <v>273.97000000000003</v>
      </c>
      <c r="I332" s="19">
        <v>242.33</v>
      </c>
      <c r="J332" s="19">
        <v>277.19</v>
      </c>
      <c r="K332" s="19">
        <v>275.08999999999997</v>
      </c>
      <c r="L332" s="19">
        <v>250.87</v>
      </c>
      <c r="M332" s="19">
        <v>295.47000000000003</v>
      </c>
      <c r="N332" s="19">
        <v>317.64999999999998</v>
      </c>
      <c r="O332" s="19">
        <v>304.58</v>
      </c>
      <c r="P332" s="19">
        <v>327.05</v>
      </c>
      <c r="Q332" s="19">
        <v>312.27</v>
      </c>
      <c r="R332" s="19">
        <v>332.1</v>
      </c>
      <c r="S332" s="19">
        <v>316.7</v>
      </c>
      <c r="T332" s="19">
        <v>345.94</v>
      </c>
      <c r="U332" s="19">
        <v>321.26</v>
      </c>
      <c r="V332" s="19">
        <v>342.35</v>
      </c>
      <c r="W332" s="25">
        <v>337.93</v>
      </c>
      <c r="X332" s="22">
        <f t="shared" si="5"/>
        <v>1.4664782784212793E-2</v>
      </c>
      <c r="Y332" s="22">
        <f t="shared" si="6"/>
        <v>6.8782947337817646E-3</v>
      </c>
      <c r="Z332" s="22">
        <f t="shared" si="7"/>
        <v>7.7887537993921452E-3</v>
      </c>
      <c r="AA332" s="22">
        <f t="shared" si="8"/>
        <v>1.6007540056550473E-2</v>
      </c>
    </row>
    <row r="333" spans="1:27" customFormat="1" hidden="1" x14ac:dyDescent="0.3">
      <c r="B333" s="19" t="s">
        <v>102</v>
      </c>
      <c r="C333" s="19" t="s">
        <v>31</v>
      </c>
      <c r="D333" s="19" t="s">
        <v>32</v>
      </c>
      <c r="E333" s="19" t="s">
        <v>35</v>
      </c>
      <c r="F333" s="19">
        <v>-0.32917775598823029</v>
      </c>
      <c r="G333" s="19">
        <v>1999</v>
      </c>
      <c r="H333" s="19">
        <v>3847</v>
      </c>
      <c r="I333" s="19">
        <v>2963</v>
      </c>
      <c r="J333" s="19">
        <v>3250</v>
      </c>
      <c r="K333" s="19">
        <v>2469</v>
      </c>
      <c r="L333" s="19">
        <v>4414</v>
      </c>
      <c r="M333" s="19">
        <v>3416</v>
      </c>
      <c r="N333" s="19">
        <v>3116</v>
      </c>
      <c r="O333" s="19">
        <v>2183</v>
      </c>
      <c r="P333" s="19">
        <v>4745</v>
      </c>
      <c r="Q333" s="19">
        <v>3632</v>
      </c>
      <c r="R333" s="19">
        <v>2398</v>
      </c>
      <c r="S333" s="19">
        <v>2679</v>
      </c>
      <c r="T333" s="19">
        <v>5113</v>
      </c>
      <c r="U333" s="19">
        <v>3674</v>
      </c>
      <c r="V333" s="19">
        <v>2812</v>
      </c>
      <c r="W333" s="25">
        <v>2632</v>
      </c>
      <c r="X333" s="22">
        <f t="shared" si="5"/>
        <v>2.7352460234874476E-2</v>
      </c>
      <c r="Y333" s="22">
        <f t="shared" si="6"/>
        <v>3.0386340616408436E-3</v>
      </c>
      <c r="Z333" s="22">
        <f t="shared" si="7"/>
        <v>2.9861511829197829E-2</v>
      </c>
      <c r="AA333" s="22">
        <f t="shared" si="8"/>
        <v>-3.2917775598823029E-3</v>
      </c>
    </row>
    <row r="334" spans="1:27" ht="15" x14ac:dyDescent="0.25">
      <c r="A334" s="4">
        <v>260128</v>
      </c>
      <c r="B334" s="29" t="s">
        <v>118</v>
      </c>
      <c r="C334" s="19" t="s">
        <v>23</v>
      </c>
      <c r="D334" s="19" t="s">
        <v>119</v>
      </c>
      <c r="E334" s="19" t="s">
        <v>25</v>
      </c>
      <c r="F334" s="47">
        <v>2.5861984323094722</v>
      </c>
      <c r="G334" s="58">
        <v>549.84</v>
      </c>
      <c r="H334" s="58">
        <v>559.95000000000005</v>
      </c>
      <c r="I334" s="58">
        <v>551.80999999999995</v>
      </c>
      <c r="J334" s="58">
        <v>560.64</v>
      </c>
      <c r="K334" s="58">
        <v>576.21</v>
      </c>
      <c r="L334" s="58">
        <v>592.22</v>
      </c>
      <c r="M334" s="58">
        <v>621.16</v>
      </c>
      <c r="N334" s="58">
        <v>625.44000000000005</v>
      </c>
      <c r="O334" s="58">
        <v>690.11</v>
      </c>
      <c r="P334" s="58">
        <v>679.97</v>
      </c>
      <c r="Q334" s="58">
        <v>707.95</v>
      </c>
      <c r="R334" s="58">
        <v>724.71</v>
      </c>
      <c r="S334" s="58">
        <v>743.51</v>
      </c>
      <c r="T334" s="58">
        <v>745.83</v>
      </c>
      <c r="U334" s="58">
        <v>772.68</v>
      </c>
      <c r="V334" s="58">
        <v>793.43</v>
      </c>
      <c r="W334" s="61">
        <v>822.53</v>
      </c>
      <c r="X334" s="22">
        <f t="shared" si="5"/>
        <v>2.3059093741903292E-2</v>
      </c>
      <c r="Y334" s="22">
        <f t="shared" si="6"/>
        <v>2.2152635181382552E-2</v>
      </c>
      <c r="Z334" s="22">
        <f t="shared" si="7"/>
        <v>2.3008440669226804E-2</v>
      </c>
      <c r="AA334" s="22">
        <f t="shared" si="8"/>
        <v>2.5861984323094944E-2</v>
      </c>
    </row>
    <row r="335" spans="1:27" ht="15" x14ac:dyDescent="0.25">
      <c r="A335" s="4">
        <v>260128</v>
      </c>
      <c r="B335" s="29" t="s">
        <v>45</v>
      </c>
      <c r="C335" s="19" t="s">
        <v>23</v>
      </c>
      <c r="D335" s="19" t="s">
        <v>46</v>
      </c>
      <c r="E335" s="19" t="s">
        <v>25</v>
      </c>
      <c r="F335" s="47">
        <v>2.4397726662627179</v>
      </c>
      <c r="G335" s="58">
        <v>683.74</v>
      </c>
      <c r="H335" s="58">
        <v>792.77</v>
      </c>
      <c r="I335" s="58">
        <v>942.62</v>
      </c>
      <c r="J335" s="58">
        <v>1188</v>
      </c>
      <c r="K335" s="59">
        <v>1226</v>
      </c>
      <c r="L335" s="59">
        <v>1262</v>
      </c>
      <c r="M335" s="58">
        <v>1195</v>
      </c>
      <c r="N335" s="58">
        <v>1216</v>
      </c>
      <c r="O335" s="58">
        <v>1075</v>
      </c>
      <c r="P335" s="58">
        <v>1073</v>
      </c>
      <c r="Q335" s="58">
        <v>1160</v>
      </c>
      <c r="R335" s="58">
        <v>1139</v>
      </c>
      <c r="S335" s="58">
        <v>943.57</v>
      </c>
      <c r="T335" s="58">
        <v>977.46</v>
      </c>
      <c r="U335" s="58">
        <v>1043</v>
      </c>
      <c r="V335" s="58">
        <v>947.4</v>
      </c>
      <c r="W335" s="61">
        <v>1039</v>
      </c>
      <c r="X335" s="22">
        <f t="shared" si="5"/>
        <v>-2.2138442893985921E-2</v>
      </c>
      <c r="Y335" s="22">
        <f t="shared" si="6"/>
        <v>-2.7724921386814816E-2</v>
      </c>
      <c r="Z335" s="22">
        <f t="shared" si="7"/>
        <v>-4.6697196949571529E-2</v>
      </c>
      <c r="AA335" s="22">
        <f t="shared" si="8"/>
        <v>2.4397726662627184E-2</v>
      </c>
    </row>
    <row r="336" spans="1:27" ht="15" x14ac:dyDescent="0.25">
      <c r="A336" s="4">
        <v>260128</v>
      </c>
      <c r="B336" s="29" t="s">
        <v>89</v>
      </c>
      <c r="C336" s="19" t="s">
        <v>23</v>
      </c>
      <c r="D336" s="19" t="s">
        <v>29</v>
      </c>
      <c r="E336" s="19" t="s">
        <v>25</v>
      </c>
      <c r="F336" s="47">
        <v>2.2657487313746389</v>
      </c>
      <c r="G336" s="58">
        <v>64.23</v>
      </c>
      <c r="H336" s="58">
        <v>70.58</v>
      </c>
      <c r="I336" s="58">
        <v>63.8</v>
      </c>
      <c r="J336" s="58">
        <v>72.209999999999994</v>
      </c>
      <c r="K336" s="58">
        <v>75.98</v>
      </c>
      <c r="L336" s="58">
        <v>75.61</v>
      </c>
      <c r="M336" s="58">
        <v>70.739999999999995</v>
      </c>
      <c r="N336" s="58">
        <v>70.260000000000005</v>
      </c>
      <c r="O336" s="58">
        <v>69.45</v>
      </c>
      <c r="P336" s="58">
        <v>75.63</v>
      </c>
      <c r="Q336" s="58">
        <v>71.3</v>
      </c>
      <c r="R336" s="58">
        <v>71.94</v>
      </c>
      <c r="S336" s="58">
        <v>74.42</v>
      </c>
      <c r="T336" s="58">
        <v>76.89</v>
      </c>
      <c r="U336" s="58">
        <v>75.349999999999994</v>
      </c>
      <c r="V336" s="58">
        <v>82.73</v>
      </c>
      <c r="W336" s="61">
        <v>81.430000000000007</v>
      </c>
      <c r="X336" s="22">
        <f t="shared" si="5"/>
        <v>4.296089194994579E-3</v>
      </c>
      <c r="Y336" s="22">
        <f t="shared" si="6"/>
        <v>1.3749787811916603E-2</v>
      </c>
      <c r="Z336" s="22">
        <f t="shared" si="7"/>
        <v>3.6135298057601961E-2</v>
      </c>
      <c r="AA336" s="22">
        <f t="shared" si="8"/>
        <v>2.2657487313746616E-2</v>
      </c>
    </row>
    <row r="337" spans="1:27" ht="15" x14ac:dyDescent="0.25">
      <c r="A337" s="4">
        <v>260128</v>
      </c>
      <c r="B337" s="29" t="s">
        <v>126</v>
      </c>
      <c r="C337" s="19" t="s">
        <v>23</v>
      </c>
      <c r="D337" s="19" t="s">
        <v>127</v>
      </c>
      <c r="E337" s="19" t="s">
        <v>25</v>
      </c>
      <c r="F337" s="47">
        <v>2.2097320603634119</v>
      </c>
      <c r="G337" s="58">
        <v>36585</v>
      </c>
      <c r="H337" s="58">
        <v>38095</v>
      </c>
      <c r="I337" s="58">
        <v>38632</v>
      </c>
      <c r="J337" s="58">
        <v>39939</v>
      </c>
      <c r="K337" s="58">
        <v>39933</v>
      </c>
      <c r="L337" s="58">
        <v>42172</v>
      </c>
      <c r="M337" s="58">
        <v>43672</v>
      </c>
      <c r="N337" s="58">
        <v>42849</v>
      </c>
      <c r="O337" s="58">
        <v>42647</v>
      </c>
      <c r="P337" s="58">
        <v>42577</v>
      </c>
      <c r="Q337" s="58">
        <v>43646</v>
      </c>
      <c r="R337" s="58">
        <v>45145</v>
      </c>
      <c r="S337" s="58">
        <v>45442</v>
      </c>
      <c r="T337" s="58">
        <v>48891</v>
      </c>
      <c r="U337" s="58">
        <v>49776</v>
      </c>
      <c r="V337" s="58">
        <v>50711</v>
      </c>
      <c r="W337" s="61">
        <v>49747</v>
      </c>
      <c r="X337" s="22">
        <f t="shared" si="5"/>
        <v>3.5710649850121623E-2</v>
      </c>
      <c r="Y337" s="22">
        <f t="shared" si="6"/>
        <v>3.3474585526746869E-2</v>
      </c>
      <c r="Z337" s="22">
        <f t="shared" si="7"/>
        <v>2.941021061642024E-2</v>
      </c>
      <c r="AA337" s="22">
        <f t="shared" si="8"/>
        <v>2.2097320603634119E-2</v>
      </c>
    </row>
    <row r="338" spans="1:27" ht="15" x14ac:dyDescent="0.25">
      <c r="A338" s="4">
        <v>260128</v>
      </c>
      <c r="B338" s="29" t="s">
        <v>130</v>
      </c>
      <c r="C338" s="19" t="s">
        <v>23</v>
      </c>
      <c r="D338" s="19" t="s">
        <v>131</v>
      </c>
      <c r="E338" s="19" t="s">
        <v>25</v>
      </c>
      <c r="F338" s="47">
        <v>2.021006037779816</v>
      </c>
      <c r="G338" s="58">
        <v>10292</v>
      </c>
      <c r="H338" s="58">
        <v>9392</v>
      </c>
      <c r="I338" s="58">
        <v>9189</v>
      </c>
      <c r="J338" s="58">
        <v>9975</v>
      </c>
      <c r="K338" s="58">
        <v>10851</v>
      </c>
      <c r="L338" s="58">
        <v>9881</v>
      </c>
      <c r="M338" s="58">
        <v>10152</v>
      </c>
      <c r="N338" s="58">
        <v>10571</v>
      </c>
      <c r="O338" s="58">
        <v>11668</v>
      </c>
      <c r="P338" s="58">
        <v>10731</v>
      </c>
      <c r="Q338" s="58">
        <v>11976</v>
      </c>
      <c r="R338" s="58">
        <v>11671</v>
      </c>
      <c r="S338" s="58">
        <v>13338</v>
      </c>
      <c r="T338" s="58">
        <v>12223</v>
      </c>
      <c r="U338" s="58">
        <v>13041</v>
      </c>
      <c r="V338" s="58">
        <v>12907</v>
      </c>
      <c r="W338" s="61">
        <v>14379</v>
      </c>
      <c r="X338" s="22">
        <f t="shared" si="5"/>
        <v>3.1268337664515089E-2</v>
      </c>
      <c r="Y338" s="22">
        <f t="shared" si="6"/>
        <v>2.1642822305316223E-2</v>
      </c>
      <c r="Z338" s="22">
        <f t="shared" si="7"/>
        <v>2.4585761740894663E-2</v>
      </c>
      <c r="AA338" s="22">
        <f t="shared" si="8"/>
        <v>2.0210060377798156E-2</v>
      </c>
    </row>
    <row r="339" spans="1:27" ht="15" x14ac:dyDescent="0.25">
      <c r="A339" s="4">
        <v>260128</v>
      </c>
      <c r="B339" s="29" t="s">
        <v>154</v>
      </c>
      <c r="C339" s="19" t="s">
        <v>23</v>
      </c>
      <c r="D339" s="19" t="s">
        <v>95</v>
      </c>
      <c r="E339" s="19" t="s">
        <v>25</v>
      </c>
      <c r="F339" s="47">
        <v>1.869425615412057</v>
      </c>
      <c r="G339" s="58">
        <v>2793</v>
      </c>
      <c r="H339" s="58">
        <v>2651</v>
      </c>
      <c r="I339" s="58">
        <v>2662</v>
      </c>
      <c r="J339" s="58">
        <v>2721</v>
      </c>
      <c r="K339" s="58">
        <v>2802</v>
      </c>
      <c r="L339" s="58">
        <v>2851</v>
      </c>
      <c r="M339" s="58">
        <v>2873</v>
      </c>
      <c r="N339" s="58">
        <v>2984</v>
      </c>
      <c r="O339" s="58">
        <v>3034</v>
      </c>
      <c r="P339" s="58">
        <v>3072</v>
      </c>
      <c r="Q339" s="58">
        <v>3227</v>
      </c>
      <c r="R339" s="58">
        <v>3464</v>
      </c>
      <c r="S339" s="58">
        <v>3476</v>
      </c>
      <c r="T339" s="58">
        <v>3400</v>
      </c>
      <c r="U339" s="58">
        <v>3431</v>
      </c>
      <c r="V339" s="58">
        <v>3708</v>
      </c>
      <c r="W339" s="61">
        <v>3738</v>
      </c>
      <c r="X339" s="22">
        <f t="shared" si="5"/>
        <v>2.4775285142382364E-2</v>
      </c>
      <c r="Y339" s="22">
        <f t="shared" si="6"/>
        <v>1.5036485590034676E-2</v>
      </c>
      <c r="Z339" s="22">
        <f t="shared" si="7"/>
        <v>1.7718393725945747E-2</v>
      </c>
      <c r="AA339" s="22">
        <f t="shared" si="8"/>
        <v>1.869425615412057E-2</v>
      </c>
    </row>
    <row r="340" spans="1:27" ht="15" x14ac:dyDescent="0.25">
      <c r="A340" s="4">
        <v>260128</v>
      </c>
      <c r="B340" s="29" t="s">
        <v>188</v>
      </c>
      <c r="C340" s="19" t="s">
        <v>23</v>
      </c>
      <c r="D340" s="19" t="s">
        <v>189</v>
      </c>
      <c r="E340" s="19" t="s">
        <v>25</v>
      </c>
      <c r="F340" s="47">
        <v>1.858371746942034</v>
      </c>
      <c r="G340" s="58">
        <v>5051</v>
      </c>
      <c r="H340" s="58">
        <v>4694</v>
      </c>
      <c r="I340" s="58">
        <v>6728</v>
      </c>
      <c r="J340" s="58">
        <v>6220</v>
      </c>
      <c r="K340" s="58">
        <v>6172</v>
      </c>
      <c r="L340" s="58">
        <v>5706</v>
      </c>
      <c r="M340" s="58">
        <v>7037</v>
      </c>
      <c r="N340" s="58">
        <v>6525</v>
      </c>
      <c r="O340" s="58">
        <v>6823</v>
      </c>
      <c r="P340" s="58">
        <v>6329</v>
      </c>
      <c r="Q340" s="58">
        <v>7354</v>
      </c>
      <c r="R340" s="58">
        <v>6870</v>
      </c>
      <c r="S340" s="58">
        <v>6930</v>
      </c>
      <c r="T340" s="58">
        <v>6428</v>
      </c>
      <c r="U340" s="58">
        <v>7244</v>
      </c>
      <c r="V340" s="58">
        <v>6949</v>
      </c>
      <c r="W340" s="61">
        <v>7442</v>
      </c>
      <c r="X340" s="22">
        <f t="shared" si="5"/>
        <v>3.6022268311319827E-3</v>
      </c>
      <c r="Y340" s="22">
        <f t="shared" si="6"/>
        <v>-3.988108186498418E-3</v>
      </c>
      <c r="Z340" s="22">
        <f t="shared" si="7"/>
        <v>2.8756552125801527E-3</v>
      </c>
      <c r="AA340" s="22">
        <f t="shared" si="8"/>
        <v>1.8583717469420336E-2</v>
      </c>
    </row>
    <row r="341" spans="1:27" ht="15" x14ac:dyDescent="0.25">
      <c r="A341" s="4">
        <v>260128</v>
      </c>
      <c r="B341" s="29" t="s">
        <v>110</v>
      </c>
      <c r="C341" s="19" t="s">
        <v>23</v>
      </c>
      <c r="D341" s="19" t="s">
        <v>111</v>
      </c>
      <c r="E341" s="19" t="s">
        <v>25</v>
      </c>
      <c r="F341" s="47">
        <v>1.723372616907493</v>
      </c>
      <c r="G341" s="58">
        <v>135.75</v>
      </c>
      <c r="H341" s="58">
        <v>132.4</v>
      </c>
      <c r="I341" s="58">
        <v>137.83000000000001</v>
      </c>
      <c r="J341" s="58">
        <v>148.01</v>
      </c>
      <c r="K341" s="58">
        <v>147.32</v>
      </c>
      <c r="L341" s="58">
        <v>159.1</v>
      </c>
      <c r="M341" s="58">
        <v>175.86</v>
      </c>
      <c r="N341" s="58">
        <v>186.19</v>
      </c>
      <c r="O341" s="58">
        <v>182.44</v>
      </c>
      <c r="P341" s="58">
        <v>196.28</v>
      </c>
      <c r="Q341" s="58">
        <v>216.66</v>
      </c>
      <c r="R341" s="58">
        <v>208.44</v>
      </c>
      <c r="S341" s="58">
        <v>205.18</v>
      </c>
      <c r="T341" s="58">
        <v>222.21</v>
      </c>
      <c r="U341" s="58">
        <v>238.1</v>
      </c>
      <c r="V341" s="58">
        <v>235.65</v>
      </c>
      <c r="W341" s="61">
        <v>220.71</v>
      </c>
      <c r="X341" s="22">
        <f t="shared" si="5"/>
        <v>3.1370983352690729E-2</v>
      </c>
      <c r="Y341" s="22">
        <f t="shared" si="6"/>
        <v>2.5149855130265575E-2</v>
      </c>
      <c r="Z341" s="22">
        <f t="shared" si="7"/>
        <v>3.1135216779375918E-2</v>
      </c>
      <c r="AA341" s="22">
        <f t="shared" si="8"/>
        <v>1.7233726169074925E-2</v>
      </c>
    </row>
    <row r="342" spans="1:27" ht="15" x14ac:dyDescent="0.25">
      <c r="A342" s="4">
        <v>260128</v>
      </c>
      <c r="B342" s="29" t="s">
        <v>40</v>
      </c>
      <c r="C342" s="19" t="s">
        <v>23</v>
      </c>
      <c r="D342" s="19" t="s">
        <v>41</v>
      </c>
      <c r="E342" s="19" t="s">
        <v>42</v>
      </c>
      <c r="F342" s="47">
        <v>1.7096715555427799</v>
      </c>
      <c r="G342" s="58">
        <v>187.05</v>
      </c>
      <c r="H342" s="58">
        <v>222.97</v>
      </c>
      <c r="I342" s="58">
        <v>246.54</v>
      </c>
      <c r="J342" s="58">
        <v>241.19</v>
      </c>
      <c r="K342" s="58">
        <v>219.22</v>
      </c>
      <c r="L342" s="58">
        <v>228.15</v>
      </c>
      <c r="M342" s="58">
        <v>251.12</v>
      </c>
      <c r="N342" s="58">
        <v>236.53</v>
      </c>
      <c r="O342" s="58">
        <v>208.5</v>
      </c>
      <c r="P342" s="58">
        <v>223.02</v>
      </c>
      <c r="Q342" s="58">
        <v>255.88</v>
      </c>
      <c r="R342" s="58">
        <v>247.03</v>
      </c>
      <c r="S342" s="58">
        <v>226.21</v>
      </c>
      <c r="T342" s="58">
        <v>245.32</v>
      </c>
      <c r="U342" s="58">
        <v>293.27</v>
      </c>
      <c r="V342" s="58">
        <v>280.43</v>
      </c>
      <c r="W342" s="61">
        <v>244.08</v>
      </c>
      <c r="X342" s="22">
        <f t="shared" si="5"/>
        <v>2.3420925494150202E-2</v>
      </c>
      <c r="Y342" s="22">
        <f t="shared" si="6"/>
        <v>3.837075653708788E-2</v>
      </c>
      <c r="Z342" s="22">
        <f t="shared" si="7"/>
        <v>3.3009497642884744E-2</v>
      </c>
      <c r="AA342" s="22">
        <f t="shared" si="8"/>
        <v>1.7096715555427799E-2</v>
      </c>
    </row>
    <row r="343" spans="1:27" ht="15" x14ac:dyDescent="0.25">
      <c r="A343" s="4">
        <v>260128</v>
      </c>
      <c r="B343" s="29" t="s">
        <v>128</v>
      </c>
      <c r="C343" s="19" t="s">
        <v>23</v>
      </c>
      <c r="D343" s="19" t="s">
        <v>129</v>
      </c>
      <c r="E343" s="19" t="s">
        <v>25</v>
      </c>
      <c r="F343" s="47">
        <v>1.694641704325361</v>
      </c>
      <c r="G343" s="58">
        <v>4678</v>
      </c>
      <c r="H343" s="58">
        <v>4661</v>
      </c>
      <c r="I343" s="58">
        <v>5027</v>
      </c>
      <c r="J343" s="58">
        <v>5075</v>
      </c>
      <c r="K343" s="58">
        <v>4935</v>
      </c>
      <c r="L343" s="58">
        <v>4892</v>
      </c>
      <c r="M343" s="58">
        <v>5119</v>
      </c>
      <c r="N343" s="58">
        <v>5198</v>
      </c>
      <c r="O343" s="58">
        <v>5217</v>
      </c>
      <c r="P343" s="58">
        <v>5159</v>
      </c>
      <c r="Q343" s="58">
        <v>5402</v>
      </c>
      <c r="R343" s="58">
        <v>5609</v>
      </c>
      <c r="S343" s="58">
        <v>5893</v>
      </c>
      <c r="T343" s="58">
        <v>6018</v>
      </c>
      <c r="U343" s="58">
        <v>6430</v>
      </c>
      <c r="V343" s="58">
        <v>6443</v>
      </c>
      <c r="W343" s="61">
        <v>6313</v>
      </c>
      <c r="X343" s="22">
        <f t="shared" si="5"/>
        <v>3.893396183655895E-2</v>
      </c>
      <c r="Y343" s="22">
        <f t="shared" si="6"/>
        <v>4.4847744524910471E-2</v>
      </c>
      <c r="Z343" s="22">
        <f t="shared" si="7"/>
        <v>3.4822546972860025E-2</v>
      </c>
      <c r="AA343" s="22">
        <f t="shared" si="8"/>
        <v>1.6946417043253614E-2</v>
      </c>
    </row>
    <row r="344" spans="1:27" ht="15" x14ac:dyDescent="0.25">
      <c r="A344" s="4">
        <v>260128</v>
      </c>
      <c r="B344" s="29" t="s">
        <v>105</v>
      </c>
      <c r="C344" s="19" t="s">
        <v>23</v>
      </c>
      <c r="D344" s="19" t="s">
        <v>106</v>
      </c>
      <c r="E344" s="19" t="s">
        <v>107</v>
      </c>
      <c r="F344" s="47">
        <v>1.680371826957461</v>
      </c>
      <c r="G344" s="58">
        <v>925.8</v>
      </c>
      <c r="H344" s="58">
        <v>980.4</v>
      </c>
      <c r="I344" s="58">
        <v>1022</v>
      </c>
      <c r="J344" s="58">
        <v>955.5</v>
      </c>
      <c r="K344" s="58">
        <v>1019</v>
      </c>
      <c r="L344" s="58">
        <v>1083</v>
      </c>
      <c r="M344" s="58">
        <v>1076</v>
      </c>
      <c r="N344" s="58">
        <v>1013</v>
      </c>
      <c r="O344" s="58">
        <v>1074</v>
      </c>
      <c r="P344" s="58">
        <v>1120</v>
      </c>
      <c r="Q344" s="58">
        <v>1208</v>
      </c>
      <c r="R344" s="58">
        <v>1139</v>
      </c>
      <c r="S344" s="58">
        <v>1358</v>
      </c>
      <c r="T344" s="58">
        <v>1425</v>
      </c>
      <c r="U344" s="58">
        <v>1462</v>
      </c>
      <c r="V344" s="58">
        <v>1349</v>
      </c>
      <c r="W344" s="61">
        <v>1452</v>
      </c>
      <c r="X344" s="22">
        <f t="shared" si="5"/>
        <v>6.3212435233160669E-2</v>
      </c>
      <c r="Y344" s="22">
        <f t="shared" si="6"/>
        <v>4.9512670565302175E-2</v>
      </c>
      <c r="Z344" s="22">
        <f t="shared" si="7"/>
        <v>3.9004457652303204E-2</v>
      </c>
      <c r="AA344" s="22">
        <f t="shared" si="8"/>
        <v>1.6803718269574608E-2</v>
      </c>
    </row>
    <row r="345" spans="1:27" ht="15" x14ac:dyDescent="0.25">
      <c r="A345" s="4">
        <v>260128</v>
      </c>
      <c r="B345" s="29" t="s">
        <v>133</v>
      </c>
      <c r="C345" s="19" t="s">
        <v>23</v>
      </c>
      <c r="D345" s="19" t="s">
        <v>115</v>
      </c>
      <c r="E345" s="19" t="s">
        <v>25</v>
      </c>
      <c r="F345" s="47">
        <v>1.487824714155872</v>
      </c>
      <c r="G345" s="58">
        <v>4025</v>
      </c>
      <c r="H345" s="58">
        <v>4513</v>
      </c>
      <c r="I345" s="58">
        <v>4128</v>
      </c>
      <c r="J345" s="58">
        <v>4216</v>
      </c>
      <c r="K345" s="58">
        <v>4391</v>
      </c>
      <c r="L345" s="58">
        <v>4928</v>
      </c>
      <c r="M345" s="58">
        <v>4478</v>
      </c>
      <c r="N345" s="58">
        <v>4512</v>
      </c>
      <c r="O345" s="58">
        <v>4668</v>
      </c>
      <c r="P345" s="58">
        <v>5254</v>
      </c>
      <c r="Q345" s="58">
        <v>4769</v>
      </c>
      <c r="R345" s="58">
        <v>4833</v>
      </c>
      <c r="S345" s="58">
        <v>5048</v>
      </c>
      <c r="T345" s="58">
        <v>5553</v>
      </c>
      <c r="U345" s="58">
        <v>5127</v>
      </c>
      <c r="V345" s="58">
        <v>5175</v>
      </c>
      <c r="W345" s="61">
        <v>5359</v>
      </c>
      <c r="X345" s="22">
        <f t="shared" si="5"/>
        <v>1.5022106109324751E-2</v>
      </c>
      <c r="Y345" s="22">
        <f t="shared" si="6"/>
        <v>1.7720140573182164E-2</v>
      </c>
      <c r="Z345" s="22">
        <f t="shared" si="7"/>
        <v>1.6633432226059064E-2</v>
      </c>
      <c r="AA345" s="22">
        <f t="shared" si="8"/>
        <v>1.487824714155872E-2</v>
      </c>
    </row>
    <row r="346" spans="1:27" ht="15" x14ac:dyDescent="0.25">
      <c r="A346" s="4">
        <v>260128</v>
      </c>
      <c r="B346" s="29" t="s">
        <v>147</v>
      </c>
      <c r="C346" s="19" t="s">
        <v>23</v>
      </c>
      <c r="D346" s="19" t="s">
        <v>146</v>
      </c>
      <c r="E346" s="19" t="s">
        <v>25</v>
      </c>
      <c r="F346" s="47">
        <v>1.4124732250954559</v>
      </c>
      <c r="G346" s="58">
        <v>4986</v>
      </c>
      <c r="H346" s="58">
        <v>3534</v>
      </c>
      <c r="I346" s="58">
        <v>5431</v>
      </c>
      <c r="J346" s="58">
        <v>5778</v>
      </c>
      <c r="K346" s="58">
        <v>6430</v>
      </c>
      <c r="L346" s="59">
        <v>6746</v>
      </c>
      <c r="M346" s="58">
        <v>6902</v>
      </c>
      <c r="N346" s="58">
        <v>6673</v>
      </c>
      <c r="O346" s="58">
        <v>7237</v>
      </c>
      <c r="P346" s="58">
        <v>5290</v>
      </c>
      <c r="Q346" s="58">
        <v>6243</v>
      </c>
      <c r="R346" s="58">
        <v>7467</v>
      </c>
      <c r="S346" s="58">
        <v>9263</v>
      </c>
      <c r="T346" s="58">
        <v>7742</v>
      </c>
      <c r="U346" s="58">
        <v>7692</v>
      </c>
      <c r="V346" s="58">
        <v>7516</v>
      </c>
      <c r="W346" s="61">
        <v>9718</v>
      </c>
      <c r="X346" s="22">
        <f t="shared" si="5"/>
        <v>8.6756536814917018E-2</v>
      </c>
      <c r="Y346" s="22">
        <f t="shared" si="6"/>
        <v>4.7175647077974947E-2</v>
      </c>
      <c r="Z346" s="22">
        <f t="shared" si="7"/>
        <v>1.523442357915572E-3</v>
      </c>
      <c r="AA346" s="22">
        <f t="shared" si="8"/>
        <v>1.4124732250954564E-2</v>
      </c>
    </row>
    <row r="347" spans="1:27" ht="15" x14ac:dyDescent="0.25">
      <c r="A347" s="4">
        <v>260128</v>
      </c>
      <c r="B347" s="29" t="s">
        <v>134</v>
      </c>
      <c r="C347" s="19" t="s">
        <v>23</v>
      </c>
      <c r="D347" s="19" t="s">
        <v>106</v>
      </c>
      <c r="E347" s="19" t="s">
        <v>42</v>
      </c>
      <c r="F347" s="47">
        <v>1.3903455694500579</v>
      </c>
      <c r="G347" s="58">
        <v>8050</v>
      </c>
      <c r="H347" s="58">
        <v>7636</v>
      </c>
      <c r="I347" s="58">
        <v>8150</v>
      </c>
      <c r="J347" s="58">
        <v>8414</v>
      </c>
      <c r="K347" s="58">
        <v>8714</v>
      </c>
      <c r="L347" s="58">
        <v>8720</v>
      </c>
      <c r="M347" s="58">
        <v>9168</v>
      </c>
      <c r="N347" s="58">
        <v>9374</v>
      </c>
      <c r="O347" s="58">
        <v>9425</v>
      </c>
      <c r="P347" s="58">
        <v>8563</v>
      </c>
      <c r="Q347" s="58">
        <v>9114</v>
      </c>
      <c r="R347" s="58">
        <v>9074</v>
      </c>
      <c r="S347" s="58">
        <v>9398</v>
      </c>
      <c r="T347" s="58">
        <v>8762</v>
      </c>
      <c r="U347" s="58">
        <v>9456</v>
      </c>
      <c r="V347" s="58">
        <v>9569</v>
      </c>
      <c r="W347" s="61">
        <v>9915</v>
      </c>
      <c r="X347" s="22">
        <f t="shared" si="5"/>
        <v>5.5049932224957576E-3</v>
      </c>
      <c r="Y347" s="22">
        <f t="shared" si="6"/>
        <v>9.4090458897326812E-3</v>
      </c>
      <c r="Z347" s="22">
        <f t="shared" si="7"/>
        <v>1.3491414554374526E-2</v>
      </c>
      <c r="AA347" s="22">
        <f t="shared" si="8"/>
        <v>1.3903455694500577E-2</v>
      </c>
    </row>
    <row r="348" spans="1:27" ht="15" x14ac:dyDescent="0.25">
      <c r="A348" s="4">
        <v>260128</v>
      </c>
      <c r="B348" s="57" t="s">
        <v>414</v>
      </c>
      <c r="C348" s="19" t="s">
        <v>415</v>
      </c>
      <c r="D348" s="55" t="s">
        <v>153</v>
      </c>
      <c r="E348" s="56">
        <v>1.0565436687018925E-2</v>
      </c>
      <c r="G348" s="62"/>
      <c r="H348" s="62"/>
      <c r="I348" s="62"/>
      <c r="J348" s="62"/>
      <c r="K348" s="62"/>
      <c r="L348" s="63">
        <v>6822</v>
      </c>
      <c r="M348" s="63">
        <v>8120</v>
      </c>
      <c r="N348" s="63">
        <v>8252</v>
      </c>
      <c r="O348" s="63">
        <v>10045</v>
      </c>
      <c r="P348" s="63">
        <v>7259</v>
      </c>
      <c r="Q348" s="63">
        <v>8204</v>
      </c>
      <c r="R348" s="63">
        <v>8913</v>
      </c>
      <c r="S348" s="63">
        <v>10558</v>
      </c>
      <c r="T348" s="63">
        <v>8032</v>
      </c>
      <c r="U348" s="63">
        <v>9111</v>
      </c>
      <c r="V348" s="63">
        <v>9969</v>
      </c>
      <c r="W348" s="61">
        <v>10956</v>
      </c>
      <c r="X348" s="22">
        <v>2.2127440316024538E-2</v>
      </c>
      <c r="Y348" s="22">
        <v>2.5401181841095521E-2</v>
      </c>
      <c r="Z348" s="22">
        <v>2.8841426776642809E-2</v>
      </c>
      <c r="AA348" s="22">
        <v>1.0565436687018925E-2</v>
      </c>
    </row>
    <row r="349" spans="1:27" ht="15" x14ac:dyDescent="0.25">
      <c r="A349" s="4">
        <v>260128</v>
      </c>
      <c r="B349" s="29" t="s">
        <v>140</v>
      </c>
      <c r="C349" s="19" t="s">
        <v>23</v>
      </c>
      <c r="D349" s="19" t="s">
        <v>141</v>
      </c>
      <c r="E349" s="19" t="s">
        <v>25</v>
      </c>
      <c r="F349" s="47">
        <v>0.93830334190232456</v>
      </c>
      <c r="G349" s="58">
        <v>31095</v>
      </c>
      <c r="H349" s="58">
        <v>29712</v>
      </c>
      <c r="I349" s="58">
        <v>29643</v>
      </c>
      <c r="J349" s="58">
        <v>30043</v>
      </c>
      <c r="K349" s="58">
        <v>31343</v>
      </c>
      <c r="L349" s="58">
        <v>30139</v>
      </c>
      <c r="M349" s="58">
        <v>29917</v>
      </c>
      <c r="N349" s="58">
        <v>30350</v>
      </c>
      <c r="O349" s="58">
        <v>32022</v>
      </c>
      <c r="P349" s="58">
        <v>30028</v>
      </c>
      <c r="Q349" s="58">
        <v>29797</v>
      </c>
      <c r="R349" s="58">
        <v>30213</v>
      </c>
      <c r="S349" s="58">
        <v>32298</v>
      </c>
      <c r="T349" s="58">
        <v>30626</v>
      </c>
      <c r="U349" s="58">
        <v>30847</v>
      </c>
      <c r="V349" s="58">
        <v>30709</v>
      </c>
      <c r="W349" s="61">
        <v>33466</v>
      </c>
      <c r="X349" s="22">
        <f t="shared" si="5"/>
        <v>4.8881768244832813E-3</v>
      </c>
      <c r="Y349" s="22">
        <f t="shared" si="6"/>
        <v>8.5411684318414949E-3</v>
      </c>
      <c r="Z349" s="22">
        <f t="shared" si="7"/>
        <v>4.0005161956382373E-3</v>
      </c>
      <c r="AA349" s="22">
        <f t="shared" si="8"/>
        <v>9.3830334190232456E-3</v>
      </c>
    </row>
    <row r="350" spans="1:27" ht="15" x14ac:dyDescent="0.25">
      <c r="A350" s="4">
        <v>260128</v>
      </c>
      <c r="B350" s="29" t="s">
        <v>157</v>
      </c>
      <c r="C350" s="19" t="s">
        <v>23</v>
      </c>
      <c r="D350" s="19" t="s">
        <v>131</v>
      </c>
      <c r="E350" s="19" t="s">
        <v>25</v>
      </c>
      <c r="F350" s="47">
        <v>0.93263696439991328</v>
      </c>
      <c r="G350" s="58">
        <v>360.3</v>
      </c>
      <c r="H350" s="58">
        <v>390.6</v>
      </c>
      <c r="I350" s="58">
        <v>393</v>
      </c>
      <c r="J350" s="58">
        <v>364.7</v>
      </c>
      <c r="K350" s="58">
        <v>429.4</v>
      </c>
      <c r="L350" s="58">
        <v>457.7</v>
      </c>
      <c r="M350" s="58">
        <v>454.3</v>
      </c>
      <c r="N350" s="58">
        <v>419.5</v>
      </c>
      <c r="O350" s="58">
        <v>457.5</v>
      </c>
      <c r="P350" s="58">
        <v>472.3</v>
      </c>
      <c r="Q350" s="58">
        <v>500.4</v>
      </c>
      <c r="R350" s="58">
        <v>456.5</v>
      </c>
      <c r="S350" s="58">
        <v>473.8</v>
      </c>
      <c r="T350" s="58">
        <v>456.5</v>
      </c>
      <c r="U350" s="58">
        <v>489.9</v>
      </c>
      <c r="V350" s="58">
        <v>456.2</v>
      </c>
      <c r="W350" s="61">
        <v>491.3</v>
      </c>
      <c r="X350" s="22">
        <f t="shared" si="5"/>
        <v>-8.3026799789804873E-3</v>
      </c>
      <c r="Y350" s="22">
        <f t="shared" si="6"/>
        <v>-5.5637982195846369E-3</v>
      </c>
      <c r="Z350" s="22">
        <f t="shared" si="7"/>
        <v>-1.5985506474125444E-4</v>
      </c>
      <c r="AA350" s="22">
        <f t="shared" si="8"/>
        <v>9.3263696439991328E-3</v>
      </c>
    </row>
    <row r="351" spans="1:27" ht="15" x14ac:dyDescent="0.25">
      <c r="A351" s="4">
        <v>260128</v>
      </c>
      <c r="B351" s="29" t="s">
        <v>152</v>
      </c>
      <c r="C351" s="19" t="s">
        <v>23</v>
      </c>
      <c r="D351" s="19" t="s">
        <v>153</v>
      </c>
      <c r="E351" s="19" t="s">
        <v>25</v>
      </c>
      <c r="F351" s="47">
        <v>0.84556254367575967</v>
      </c>
      <c r="G351" s="58">
        <v>3569</v>
      </c>
      <c r="H351" s="58">
        <v>3414</v>
      </c>
      <c r="I351" s="58">
        <v>3488</v>
      </c>
      <c r="J351" s="58">
        <v>3344</v>
      </c>
      <c r="K351" s="58">
        <v>3439</v>
      </c>
      <c r="L351" s="58">
        <v>3346</v>
      </c>
      <c r="M351" s="58">
        <v>3720</v>
      </c>
      <c r="N351" s="58">
        <v>3523</v>
      </c>
      <c r="O351" s="58">
        <v>3620</v>
      </c>
      <c r="P351" s="58">
        <v>3437</v>
      </c>
      <c r="Q351" s="58">
        <v>3601</v>
      </c>
      <c r="R351" s="58">
        <v>3548</v>
      </c>
      <c r="S351" s="58">
        <v>3675</v>
      </c>
      <c r="T351" s="58">
        <v>3350</v>
      </c>
      <c r="U351" s="58">
        <v>3595</v>
      </c>
      <c r="V351" s="58">
        <v>3690</v>
      </c>
      <c r="W351" s="61">
        <v>3796</v>
      </c>
      <c r="X351" s="22">
        <f t="shared" si="5"/>
        <v>-6.1005539583479651E-3</v>
      </c>
      <c r="Y351" s="22">
        <f t="shared" si="6"/>
        <v>-4.233102864399374E-4</v>
      </c>
      <c r="Z351" s="22">
        <f t="shared" si="7"/>
        <v>1.0022586109542653E-2</v>
      </c>
      <c r="AA351" s="22">
        <f t="shared" si="8"/>
        <v>8.4556254367575967E-3</v>
      </c>
    </row>
    <row r="352" spans="1:27" ht="15" x14ac:dyDescent="0.25">
      <c r="A352" s="4">
        <v>260128</v>
      </c>
      <c r="B352" s="29" t="s">
        <v>160</v>
      </c>
      <c r="C352" s="19" t="s">
        <v>23</v>
      </c>
      <c r="D352" s="19" t="s">
        <v>29</v>
      </c>
      <c r="E352" s="19" t="s">
        <v>25</v>
      </c>
      <c r="F352" s="47">
        <v>0.81635287094847797</v>
      </c>
      <c r="G352" s="58">
        <v>280.52</v>
      </c>
      <c r="H352" s="58">
        <v>275.07</v>
      </c>
      <c r="I352" s="58">
        <v>286.07</v>
      </c>
      <c r="J352" s="58">
        <v>295.37</v>
      </c>
      <c r="K352" s="58">
        <v>293.86</v>
      </c>
      <c r="L352" s="58">
        <v>281.73</v>
      </c>
      <c r="M352" s="58">
        <v>257.61</v>
      </c>
      <c r="N352" s="58">
        <v>278.27</v>
      </c>
      <c r="O352" s="58">
        <v>273.55</v>
      </c>
      <c r="P352" s="58">
        <v>277.11</v>
      </c>
      <c r="Q352" s="58">
        <v>295.72000000000003</v>
      </c>
      <c r="R352" s="58">
        <v>302.79000000000002</v>
      </c>
      <c r="S352" s="58">
        <v>307.61</v>
      </c>
      <c r="T352" s="58">
        <v>306.68</v>
      </c>
      <c r="U352" s="58">
        <v>310.7</v>
      </c>
      <c r="V352" s="58">
        <v>314.67</v>
      </c>
      <c r="W352" s="61">
        <v>317.73</v>
      </c>
      <c r="X352" s="22">
        <f t="shared" si="5"/>
        <v>2.4990914699593469E-2</v>
      </c>
      <c r="Y352" s="22">
        <f t="shared" si="6"/>
        <v>1.2351583113456632E-2</v>
      </c>
      <c r="Z352" s="22">
        <f t="shared" si="7"/>
        <v>9.6760005864242604E-3</v>
      </c>
      <c r="AA352" s="22">
        <f t="shared" si="8"/>
        <v>8.1635287094847797E-3</v>
      </c>
    </row>
    <row r="353" spans="1:27" ht="15" x14ac:dyDescent="0.25">
      <c r="A353" s="4">
        <v>260128</v>
      </c>
      <c r="B353" s="29" t="s">
        <v>121</v>
      </c>
      <c r="C353" s="19" t="s">
        <v>23</v>
      </c>
      <c r="D353" s="19" t="s">
        <v>122</v>
      </c>
      <c r="E353" s="19" t="s">
        <v>25</v>
      </c>
      <c r="F353" s="47">
        <v>0.70686850994621242</v>
      </c>
      <c r="G353" s="58">
        <v>2776</v>
      </c>
      <c r="H353" s="58">
        <v>2524</v>
      </c>
      <c r="I353" s="58">
        <v>2771</v>
      </c>
      <c r="J353" s="58">
        <v>3051</v>
      </c>
      <c r="K353" s="58">
        <v>3296</v>
      </c>
      <c r="L353" s="58">
        <v>3285</v>
      </c>
      <c r="M353" s="58">
        <v>3554</v>
      </c>
      <c r="N353" s="58">
        <v>3765</v>
      </c>
      <c r="O353" s="58">
        <v>3728</v>
      </c>
      <c r="P353" s="58">
        <v>3485</v>
      </c>
      <c r="Q353" s="58">
        <v>3773</v>
      </c>
      <c r="R353" s="58">
        <v>3992</v>
      </c>
      <c r="S353" s="58">
        <v>4095</v>
      </c>
      <c r="T353" s="58">
        <v>3719</v>
      </c>
      <c r="U353" s="58">
        <v>3943</v>
      </c>
      <c r="V353" s="58">
        <v>4229</v>
      </c>
      <c r="W353" s="61">
        <v>4208</v>
      </c>
      <c r="X353" s="22">
        <f t="shared" si="5"/>
        <v>1.5249266862169986E-2</v>
      </c>
      <c r="Y353" s="22">
        <f t="shared" si="6"/>
        <v>1.091212529687402E-2</v>
      </c>
      <c r="Z353" s="22">
        <f t="shared" si="7"/>
        <v>1.504857451266739E-2</v>
      </c>
      <c r="AA353" s="22">
        <f t="shared" si="8"/>
        <v>7.0686850994621242E-3</v>
      </c>
    </row>
    <row r="354" spans="1:27" ht="15" x14ac:dyDescent="0.25">
      <c r="A354" s="4">
        <v>260128</v>
      </c>
      <c r="B354" s="29" t="s">
        <v>92</v>
      </c>
      <c r="C354" s="19" t="s">
        <v>23</v>
      </c>
      <c r="D354" s="19" t="s">
        <v>93</v>
      </c>
      <c r="E354" s="19" t="s">
        <v>25</v>
      </c>
      <c r="F354" s="47">
        <v>0.69623748542622099</v>
      </c>
      <c r="G354" s="58">
        <v>570.58000000000004</v>
      </c>
      <c r="H354" s="58">
        <v>556.02</v>
      </c>
      <c r="I354" s="58">
        <v>562.95000000000005</v>
      </c>
      <c r="J354" s="58">
        <v>555.04</v>
      </c>
      <c r="K354" s="58">
        <v>564</v>
      </c>
      <c r="L354" s="58">
        <v>545.37</v>
      </c>
      <c r="M354" s="58">
        <v>571.69000000000005</v>
      </c>
      <c r="N354" s="58">
        <v>537.84</v>
      </c>
      <c r="O354" s="58">
        <v>537.36</v>
      </c>
      <c r="P354" s="58">
        <v>534.96</v>
      </c>
      <c r="Q354" s="58">
        <v>537.82000000000005</v>
      </c>
      <c r="R354" s="58">
        <v>528.44000000000005</v>
      </c>
      <c r="S354" s="58">
        <v>520.54999999999995</v>
      </c>
      <c r="T354" s="58">
        <v>536.47</v>
      </c>
      <c r="U354" s="58">
        <v>521.26</v>
      </c>
      <c r="V354" s="58">
        <v>540.25</v>
      </c>
      <c r="W354" s="61">
        <v>535.29999999999995</v>
      </c>
      <c r="X354" s="22">
        <f t="shared" si="5"/>
        <v>7.1166997365401663E-4</v>
      </c>
      <c r="Y354" s="22">
        <f t="shared" si="6"/>
        <v>-7.7992539844015107E-3</v>
      </c>
      <c r="Z354" s="22">
        <f t="shared" si="7"/>
        <v>5.6058707374493366E-3</v>
      </c>
      <c r="AA354" s="22">
        <f t="shared" si="8"/>
        <v>6.9623748542622099E-3</v>
      </c>
    </row>
    <row r="355" spans="1:27" ht="15" x14ac:dyDescent="0.25">
      <c r="A355" s="4">
        <v>260128</v>
      </c>
      <c r="B355" s="29" t="s">
        <v>161</v>
      </c>
      <c r="C355" s="19" t="s">
        <v>23</v>
      </c>
      <c r="D355" s="19" t="s">
        <v>162</v>
      </c>
      <c r="E355" s="19" t="s">
        <v>59</v>
      </c>
      <c r="F355" s="47">
        <v>0.44015929574512391</v>
      </c>
      <c r="G355" s="58">
        <v>3624</v>
      </c>
      <c r="H355" s="58">
        <v>2825</v>
      </c>
      <c r="I355" s="58">
        <v>2262</v>
      </c>
      <c r="J355" s="58">
        <v>3081</v>
      </c>
      <c r="K355" s="58">
        <v>3531</v>
      </c>
      <c r="L355" s="58">
        <v>2740</v>
      </c>
      <c r="M355" s="58">
        <v>1968</v>
      </c>
      <c r="N355" s="58">
        <v>2920</v>
      </c>
      <c r="O355" s="58">
        <v>2780</v>
      </c>
      <c r="P355" s="58">
        <v>2247</v>
      </c>
      <c r="Q355" s="58">
        <v>1769</v>
      </c>
      <c r="R355" s="58">
        <v>2758</v>
      </c>
      <c r="S355" s="58">
        <v>2834</v>
      </c>
      <c r="T355" s="58">
        <v>2144</v>
      </c>
      <c r="U355" s="58">
        <v>1761</v>
      </c>
      <c r="V355" s="58">
        <v>2803</v>
      </c>
      <c r="W355" s="61">
        <v>2876</v>
      </c>
      <c r="X355" s="22">
        <f t="shared" si="5"/>
        <v>-1.0720233139050794E-2</v>
      </c>
      <c r="Y355" s="22">
        <f t="shared" si="6"/>
        <v>-8.4166228300897039E-4</v>
      </c>
      <c r="Z355" s="22">
        <f t="shared" si="7"/>
        <v>4.7383384226598046E-3</v>
      </c>
      <c r="AA355" s="22">
        <f t="shared" si="8"/>
        <v>4.4015929574512391E-3</v>
      </c>
    </row>
    <row r="356" spans="1:27" ht="15" x14ac:dyDescent="0.25">
      <c r="A356" s="4">
        <v>260128</v>
      </c>
      <c r="B356" s="29" t="s">
        <v>123</v>
      </c>
      <c r="C356" s="19" t="s">
        <v>23</v>
      </c>
      <c r="D356" s="19" t="s">
        <v>124</v>
      </c>
      <c r="E356" s="19" t="s">
        <v>25</v>
      </c>
      <c r="F356" s="47">
        <v>0.3260363297624691</v>
      </c>
      <c r="G356" s="58">
        <v>2040</v>
      </c>
      <c r="H356" s="58">
        <v>1838</v>
      </c>
      <c r="I356" s="58">
        <v>2202</v>
      </c>
      <c r="J356" s="58">
        <v>2312</v>
      </c>
      <c r="K356" s="58">
        <v>2462</v>
      </c>
      <c r="L356" s="58">
        <v>2266</v>
      </c>
      <c r="M356" s="59">
        <v>3174</v>
      </c>
      <c r="N356" s="59">
        <v>3339</v>
      </c>
      <c r="O356" s="59">
        <v>3776</v>
      </c>
      <c r="P356" s="58">
        <v>3520</v>
      </c>
      <c r="Q356" s="58">
        <v>3603</v>
      </c>
      <c r="R356" s="58">
        <v>3549</v>
      </c>
      <c r="S356" s="58">
        <v>3874</v>
      </c>
      <c r="T356" s="58">
        <v>3795</v>
      </c>
      <c r="U356" s="58">
        <v>3699</v>
      </c>
      <c r="V356" s="58">
        <v>3661</v>
      </c>
      <c r="W356" s="61">
        <v>3923</v>
      </c>
      <c r="X356" s="22">
        <f t="shared" si="5"/>
        <v>1.8905541042210983E-2</v>
      </c>
      <c r="Y356" s="22">
        <f t="shared" si="6"/>
        <v>6.4772957290331057E-3</v>
      </c>
      <c r="Z356" s="22">
        <f t="shared" si="7"/>
        <v>7.5082121069920404E-3</v>
      </c>
      <c r="AA356" s="22">
        <f t="shared" si="8"/>
        <v>3.260363297624691E-3</v>
      </c>
    </row>
    <row r="357" spans="1:27" ht="15" x14ac:dyDescent="0.25">
      <c r="A357" s="4">
        <v>260128</v>
      </c>
      <c r="B357" s="29" t="s">
        <v>178</v>
      </c>
      <c r="C357" s="19" t="s">
        <v>23</v>
      </c>
      <c r="D357" s="19" t="s">
        <v>179</v>
      </c>
      <c r="E357" s="19" t="s">
        <v>25</v>
      </c>
      <c r="F357" s="47">
        <v>0.13216834210114661</v>
      </c>
      <c r="G357" s="58">
        <v>336.43</v>
      </c>
      <c r="H357" s="58">
        <v>360.36</v>
      </c>
      <c r="I357" s="58">
        <v>366.56</v>
      </c>
      <c r="J357" s="58">
        <v>382.43</v>
      </c>
      <c r="K357" s="58">
        <v>341.08</v>
      </c>
      <c r="L357" s="58">
        <v>370.48</v>
      </c>
      <c r="M357" s="58">
        <v>370.99</v>
      </c>
      <c r="N357" s="58">
        <v>389.47</v>
      </c>
      <c r="O357" s="58">
        <v>361.2</v>
      </c>
      <c r="P357" s="58">
        <v>386.85</v>
      </c>
      <c r="Q357" s="58">
        <v>380.6</v>
      </c>
      <c r="R357" s="58">
        <v>393.13</v>
      </c>
      <c r="S357" s="58">
        <v>371.84</v>
      </c>
      <c r="T357" s="58">
        <v>392.24</v>
      </c>
      <c r="U357" s="58">
        <v>376.82</v>
      </c>
      <c r="V357" s="58">
        <v>395.02</v>
      </c>
      <c r="W357" s="61">
        <v>373.87</v>
      </c>
      <c r="X357" s="22">
        <f t="shared" si="5"/>
        <v>3.5173124861331839E-3</v>
      </c>
      <c r="Y357" s="22">
        <f t="shared" si="6"/>
        <v>-2.4580409803551806E-3</v>
      </c>
      <c r="Z357" s="22">
        <f t="shared" si="7"/>
        <v>1.232048916905093E-3</v>
      </c>
      <c r="AA357" s="22">
        <f t="shared" si="8"/>
        <v>1.3216834210114659E-3</v>
      </c>
    </row>
    <row r="358" spans="1:27" ht="15" x14ac:dyDescent="0.25">
      <c r="A358" s="4">
        <v>260128</v>
      </c>
      <c r="B358" s="29" t="s">
        <v>68</v>
      </c>
      <c r="C358" s="19" t="s">
        <v>23</v>
      </c>
      <c r="D358" s="19" t="s">
        <v>69</v>
      </c>
      <c r="E358" s="19" t="s">
        <v>25</v>
      </c>
      <c r="F358" s="47">
        <v>-0.2441688620445914</v>
      </c>
      <c r="G358" s="58">
        <v>5815</v>
      </c>
      <c r="H358" s="58">
        <v>4920</v>
      </c>
      <c r="I358" s="58">
        <v>5097</v>
      </c>
      <c r="J358" s="58">
        <v>4784</v>
      </c>
      <c r="K358" s="58">
        <v>4923</v>
      </c>
      <c r="L358" s="58">
        <v>4649</v>
      </c>
      <c r="M358" s="58">
        <v>4792</v>
      </c>
      <c r="N358" s="58">
        <v>4926</v>
      </c>
      <c r="O358" s="58">
        <v>5088</v>
      </c>
      <c r="P358" s="58">
        <v>4490</v>
      </c>
      <c r="Q358" s="58">
        <v>3989</v>
      </c>
      <c r="R358" s="58">
        <v>3993</v>
      </c>
      <c r="S358" s="58">
        <v>4136</v>
      </c>
      <c r="T358" s="58">
        <v>3621</v>
      </c>
      <c r="U358" s="58">
        <v>3773</v>
      </c>
      <c r="V358" s="58">
        <v>4033</v>
      </c>
      <c r="W358" s="61">
        <v>4098</v>
      </c>
      <c r="X358" s="22">
        <f t="shared" si="5"/>
        <v>-5.2324181117533675E-2</v>
      </c>
      <c r="Y358" s="22">
        <f t="shared" si="6"/>
        <v>-1.3723870639811953E-2</v>
      </c>
      <c r="Z358" s="22">
        <f t="shared" si="7"/>
        <v>2.5768214906911613E-3</v>
      </c>
      <c r="AA358" s="22">
        <f t="shared" si="8"/>
        <v>-2.4416886204459143E-3</v>
      </c>
    </row>
    <row r="359" spans="1:27" ht="15" x14ac:dyDescent="0.25">
      <c r="A359" s="4">
        <v>260128</v>
      </c>
      <c r="B359" s="29" t="s">
        <v>108</v>
      </c>
      <c r="C359" s="19" t="s">
        <v>23</v>
      </c>
      <c r="D359" s="19" t="s">
        <v>109</v>
      </c>
      <c r="E359" s="19" t="s">
        <v>59</v>
      </c>
      <c r="F359" s="47">
        <v>-0.73023158773211083</v>
      </c>
      <c r="G359" s="58">
        <v>1946</v>
      </c>
      <c r="H359" s="58">
        <v>1971</v>
      </c>
      <c r="I359" s="58">
        <v>1976</v>
      </c>
      <c r="J359" s="58">
        <v>1817</v>
      </c>
      <c r="K359" s="58">
        <v>1676</v>
      </c>
      <c r="L359" s="58">
        <v>1437</v>
      </c>
      <c r="M359" s="58">
        <v>1376</v>
      </c>
      <c r="N359" s="58">
        <v>1292</v>
      </c>
      <c r="O359" s="58">
        <v>1208</v>
      </c>
      <c r="P359" s="58">
        <v>1174</v>
      </c>
      <c r="Q359" s="58">
        <v>1229</v>
      </c>
      <c r="R359" s="58">
        <v>1218</v>
      </c>
      <c r="S359" s="58">
        <v>1213</v>
      </c>
      <c r="T359" s="58">
        <v>1156</v>
      </c>
      <c r="U359" s="58">
        <v>1215</v>
      </c>
      <c r="V359" s="58">
        <v>1209</v>
      </c>
      <c r="W359" s="61">
        <v>1178</v>
      </c>
      <c r="X359" s="22">
        <f t="shared" si="5"/>
        <v>-3.7236243276789205E-3</v>
      </c>
      <c r="Y359" s="22">
        <f t="shared" si="6"/>
        <v>-2.9069767441860517E-3</v>
      </c>
      <c r="Z359" s="22">
        <f t="shared" si="7"/>
        <v>-1.8742190753852084E-3</v>
      </c>
      <c r="AA359" s="22">
        <f t="shared" si="8"/>
        <v>-7.3023158773211083E-3</v>
      </c>
    </row>
    <row r="360" spans="1:27" ht="15" x14ac:dyDescent="0.25">
      <c r="A360" s="4">
        <v>260128</v>
      </c>
      <c r="B360" s="29" t="s">
        <v>148</v>
      </c>
      <c r="C360" s="19" t="s">
        <v>23</v>
      </c>
      <c r="D360" s="19" t="s">
        <v>149</v>
      </c>
      <c r="E360" s="19" t="s">
        <v>25</v>
      </c>
      <c r="F360" s="47">
        <v>-0.84280530779123897</v>
      </c>
      <c r="G360" s="58">
        <v>17719</v>
      </c>
      <c r="H360" s="58">
        <v>18756</v>
      </c>
      <c r="I360" s="58">
        <v>16934</v>
      </c>
      <c r="J360" s="58">
        <v>21454</v>
      </c>
      <c r="K360" s="58">
        <v>24318</v>
      </c>
      <c r="L360" s="58">
        <v>23329</v>
      </c>
      <c r="M360" s="58">
        <v>24927</v>
      </c>
      <c r="N360" s="58">
        <v>23350</v>
      </c>
      <c r="O360" s="58">
        <v>25167</v>
      </c>
      <c r="P360" s="58">
        <v>21301</v>
      </c>
      <c r="Q360" s="58">
        <v>25500</v>
      </c>
      <c r="R360" s="58">
        <v>25182</v>
      </c>
      <c r="S360" s="58">
        <v>25707</v>
      </c>
      <c r="T360" s="58">
        <v>19335</v>
      </c>
      <c r="U360" s="58">
        <v>22496</v>
      </c>
      <c r="V360" s="58">
        <v>28095</v>
      </c>
      <c r="W360" s="61">
        <v>24901</v>
      </c>
      <c r="X360" s="22">
        <f t="shared" si="5"/>
        <v>-2.0124884839799351E-2</v>
      </c>
      <c r="Y360" s="22">
        <f t="shared" si="6"/>
        <v>-3.1381889599264579E-2</v>
      </c>
      <c r="Z360" s="22">
        <f t="shared" si="7"/>
        <v>3.14171699741157E-2</v>
      </c>
      <c r="AA360" s="22">
        <f t="shared" si="8"/>
        <v>-8.4280530779123897E-3</v>
      </c>
    </row>
    <row r="361" spans="1:27" ht="15" x14ac:dyDescent="0.25">
      <c r="A361" s="4">
        <v>260128</v>
      </c>
      <c r="B361" s="29" t="s">
        <v>26</v>
      </c>
      <c r="C361" s="19" t="s">
        <v>23</v>
      </c>
      <c r="D361" s="19" t="s">
        <v>27</v>
      </c>
      <c r="E361" s="19" t="s">
        <v>25</v>
      </c>
      <c r="F361" s="47">
        <v>-0.93806148391705202</v>
      </c>
      <c r="G361" s="58">
        <v>1207</v>
      </c>
      <c r="H361" s="58">
        <v>1016</v>
      </c>
      <c r="I361" s="58">
        <v>1166</v>
      </c>
      <c r="J361" s="58">
        <v>1144</v>
      </c>
      <c r="K361" s="58">
        <v>1179</v>
      </c>
      <c r="L361" s="58">
        <v>752.99</v>
      </c>
      <c r="M361" s="58">
        <v>844.19</v>
      </c>
      <c r="N361" s="58">
        <v>889.42</v>
      </c>
      <c r="O361" s="58">
        <v>1206</v>
      </c>
      <c r="P361" s="58">
        <v>948.54</v>
      </c>
      <c r="Q361" s="58">
        <v>1039</v>
      </c>
      <c r="R361" s="58">
        <v>1137</v>
      </c>
      <c r="S361" s="58">
        <v>1273</v>
      </c>
      <c r="T361" s="58">
        <v>903.23</v>
      </c>
      <c r="U361" s="58">
        <v>1001</v>
      </c>
      <c r="V361" s="58">
        <v>980.28</v>
      </c>
      <c r="W361" s="61">
        <v>1234</v>
      </c>
      <c r="X361" s="22">
        <f t="shared" si="5"/>
        <v>-1.0303487859121274E-2</v>
      </c>
      <c r="Y361" s="22">
        <f t="shared" si="6"/>
        <v>-8.7311562118730368E-3</v>
      </c>
      <c r="Z361" s="22">
        <f t="shared" si="7"/>
        <v>-3.6326296928999913E-2</v>
      </c>
      <c r="AA361" s="22">
        <f t="shared" si="8"/>
        <v>-9.3806148391705202E-3</v>
      </c>
    </row>
    <row r="362" spans="1:27" ht="15" x14ac:dyDescent="0.25">
      <c r="A362" s="4">
        <v>260128</v>
      </c>
      <c r="B362" s="29" t="s">
        <v>78</v>
      </c>
      <c r="C362" s="19" t="s">
        <v>23</v>
      </c>
      <c r="D362" s="19" t="s">
        <v>79</v>
      </c>
      <c r="E362" s="19" t="s">
        <v>59</v>
      </c>
      <c r="F362" s="47">
        <v>-1.03971579981692</v>
      </c>
      <c r="G362" s="58">
        <v>341.78</v>
      </c>
      <c r="H362" s="58">
        <v>328.03</v>
      </c>
      <c r="I362" s="58">
        <v>349.54</v>
      </c>
      <c r="J362" s="58">
        <v>329.82</v>
      </c>
      <c r="K362" s="58">
        <v>335.19</v>
      </c>
      <c r="L362" s="58">
        <v>310.83999999999997</v>
      </c>
      <c r="M362" s="58">
        <v>326.97000000000003</v>
      </c>
      <c r="N362" s="58">
        <v>322.08999999999997</v>
      </c>
      <c r="O362" s="58">
        <v>317.64999999999998</v>
      </c>
      <c r="P362" s="58">
        <v>310.08</v>
      </c>
      <c r="Q362" s="58">
        <v>293.18</v>
      </c>
      <c r="R362" s="58">
        <v>301.39</v>
      </c>
      <c r="S362" s="58">
        <v>305.77</v>
      </c>
      <c r="T362" s="58">
        <v>294.99</v>
      </c>
      <c r="U362" s="58">
        <v>301.04000000000002</v>
      </c>
      <c r="V362" s="58">
        <v>288.91000000000003</v>
      </c>
      <c r="W362" s="61">
        <v>293.39</v>
      </c>
      <c r="X362" s="22">
        <f t="shared" si="5"/>
        <v>-1.2466747079526219E-2</v>
      </c>
      <c r="Y362" s="22">
        <f t="shared" si="6"/>
        <v>6.5755900044339732E-3</v>
      </c>
      <c r="Z362" s="22">
        <f t="shared" si="7"/>
        <v>-1.0372426632535237E-2</v>
      </c>
      <c r="AA362" s="22">
        <f t="shared" si="8"/>
        <v>-1.0397157998169204E-2</v>
      </c>
    </row>
    <row r="363" spans="1:27" ht="15" x14ac:dyDescent="0.25">
      <c r="A363" s="4">
        <v>260128</v>
      </c>
      <c r="B363" s="29" t="s">
        <v>53</v>
      </c>
      <c r="C363" s="19" t="s">
        <v>23</v>
      </c>
      <c r="D363" s="19" t="s">
        <v>54</v>
      </c>
      <c r="E363" s="19" t="s">
        <v>25</v>
      </c>
      <c r="F363" s="47">
        <v>-1.2957737668366831</v>
      </c>
      <c r="G363" s="58">
        <v>1052</v>
      </c>
      <c r="H363" s="58">
        <v>860.81</v>
      </c>
      <c r="I363" s="58">
        <v>1041</v>
      </c>
      <c r="J363" s="58">
        <v>1013</v>
      </c>
      <c r="K363" s="58">
        <v>1217</v>
      </c>
      <c r="L363" s="58">
        <v>1001</v>
      </c>
      <c r="M363" s="58">
        <v>1014</v>
      </c>
      <c r="N363" s="58">
        <v>1046</v>
      </c>
      <c r="O363" s="58">
        <v>972.59</v>
      </c>
      <c r="P363" s="58">
        <v>1047</v>
      </c>
      <c r="Q363" s="58">
        <v>1110</v>
      </c>
      <c r="R363" s="58">
        <v>1143</v>
      </c>
      <c r="S363" s="58">
        <v>1205</v>
      </c>
      <c r="T363" s="58">
        <v>976.09</v>
      </c>
      <c r="U363" s="58">
        <v>1163</v>
      </c>
      <c r="V363" s="58">
        <v>1132</v>
      </c>
      <c r="W363" s="61">
        <v>1147</v>
      </c>
      <c r="X363" s="22">
        <f t="shared" si="5"/>
        <v>-1.5740288568257488E-2</v>
      </c>
      <c r="Y363" s="22">
        <f t="shared" si="6"/>
        <v>1.1952847145637602E-2</v>
      </c>
      <c r="Z363" s="22">
        <f t="shared" si="7"/>
        <v>-2.4514774608933587E-3</v>
      </c>
      <c r="AA363" s="22">
        <f t="shared" si="8"/>
        <v>-1.2957737668366831E-2</v>
      </c>
    </row>
    <row r="364" spans="1:27" ht="15" x14ac:dyDescent="0.25">
      <c r="A364" s="4">
        <v>260128</v>
      </c>
      <c r="B364" s="29" t="s">
        <v>186</v>
      </c>
      <c r="C364" s="19" t="s">
        <v>23</v>
      </c>
      <c r="D364" s="19" t="s">
        <v>109</v>
      </c>
      <c r="E364" s="19" t="s">
        <v>25</v>
      </c>
      <c r="F364" s="47">
        <v>-1.647885617351263</v>
      </c>
      <c r="G364" s="58">
        <v>6502</v>
      </c>
      <c r="H364" s="58">
        <v>6816</v>
      </c>
      <c r="I364" s="58">
        <v>6798</v>
      </c>
      <c r="J364" s="58">
        <v>6015</v>
      </c>
      <c r="K364" s="58">
        <v>5067</v>
      </c>
      <c r="L364" s="58">
        <v>4612</v>
      </c>
      <c r="M364" s="58">
        <v>4422</v>
      </c>
      <c r="N364" s="58">
        <v>4341</v>
      </c>
      <c r="O364" s="58">
        <v>4222</v>
      </c>
      <c r="P364" s="58">
        <v>4412</v>
      </c>
      <c r="Q364" s="58">
        <v>4483</v>
      </c>
      <c r="R364" s="58">
        <v>4645</v>
      </c>
      <c r="S364" s="58">
        <v>4185</v>
      </c>
      <c r="T364" s="58">
        <v>4047</v>
      </c>
      <c r="U364" s="58">
        <v>4137</v>
      </c>
      <c r="V364" s="58">
        <v>4137</v>
      </c>
      <c r="W364" s="61">
        <v>3913</v>
      </c>
      <c r="X364" s="22">
        <f t="shared" si="5"/>
        <v>-2.0592383638928013E-2</v>
      </c>
      <c r="Y364" s="22">
        <f t="shared" si="6"/>
        <v>-1.9930875576036899E-2</v>
      </c>
      <c r="Z364" s="22">
        <f t="shared" si="7"/>
        <v>-2.9857764194193059E-2</v>
      </c>
      <c r="AA364" s="22">
        <f t="shared" si="8"/>
        <v>-1.6478856173512635E-2</v>
      </c>
    </row>
    <row r="365" spans="1:27" ht="15" x14ac:dyDescent="0.25">
      <c r="A365" s="4">
        <v>260128</v>
      </c>
      <c r="B365" s="29" t="s">
        <v>70</v>
      </c>
      <c r="C365" s="19" t="s">
        <v>23</v>
      </c>
      <c r="D365" s="19" t="s">
        <v>71</v>
      </c>
      <c r="E365" s="19" t="s">
        <v>59</v>
      </c>
      <c r="F365" s="47">
        <v>-1.8282499780258421</v>
      </c>
      <c r="G365" s="58">
        <v>566</v>
      </c>
      <c r="H365" s="58">
        <v>1678</v>
      </c>
      <c r="I365" s="58">
        <v>1186</v>
      </c>
      <c r="J365" s="58">
        <v>493.7</v>
      </c>
      <c r="K365" s="58">
        <v>526.6</v>
      </c>
      <c r="L365" s="58">
        <v>1532</v>
      </c>
      <c r="M365" s="58">
        <v>1119</v>
      </c>
      <c r="N365" s="58">
        <v>374.5</v>
      </c>
      <c r="O365" s="58">
        <v>410.4</v>
      </c>
      <c r="P365" s="58">
        <v>1525</v>
      </c>
      <c r="Q365" s="58">
        <v>1202</v>
      </c>
      <c r="R365" s="58">
        <v>414.7</v>
      </c>
      <c r="S365" s="58">
        <v>416.8</v>
      </c>
      <c r="T365" s="58">
        <v>1421</v>
      </c>
      <c r="U365" s="58">
        <v>1188</v>
      </c>
      <c r="V365" s="58">
        <v>387.3</v>
      </c>
      <c r="W365" s="61">
        <v>354.4</v>
      </c>
      <c r="X365" s="22">
        <f t="shared" si="5"/>
        <v>-2.9225797386539298E-2</v>
      </c>
      <c r="Y365" s="22">
        <f t="shared" si="6"/>
        <v>-4.0526849037487711E-3</v>
      </c>
      <c r="Z365" s="22">
        <f t="shared" si="7"/>
        <v>-7.9639587269291212E-3</v>
      </c>
      <c r="AA365" s="22">
        <f t="shared" si="8"/>
        <v>-1.8282499780258421E-2</v>
      </c>
    </row>
    <row r="366" spans="1:27" ht="15" x14ac:dyDescent="0.25">
      <c r="A366" s="4">
        <v>260128</v>
      </c>
      <c r="B366" s="29" t="s">
        <v>190</v>
      </c>
      <c r="C366" s="19" t="s">
        <v>23</v>
      </c>
      <c r="D366" s="19" t="s">
        <v>191</v>
      </c>
      <c r="E366" s="19" t="s">
        <v>25</v>
      </c>
      <c r="F366" s="47">
        <v>-2.8058361391694708</v>
      </c>
      <c r="G366" s="58">
        <v>964.8</v>
      </c>
      <c r="H366" s="58">
        <v>1013</v>
      </c>
      <c r="I366" s="58">
        <v>1366</v>
      </c>
      <c r="J366" s="58">
        <v>1245</v>
      </c>
      <c r="K366" s="58">
        <v>1094</v>
      </c>
      <c r="L366" s="58">
        <v>1049</v>
      </c>
      <c r="M366" s="58">
        <v>1411</v>
      </c>
      <c r="N366" s="58">
        <v>1366</v>
      </c>
      <c r="O366" s="58">
        <v>1155</v>
      </c>
      <c r="P366" s="58">
        <v>1047</v>
      </c>
      <c r="Q366" s="58">
        <v>1451</v>
      </c>
      <c r="R366" s="58">
        <v>1498</v>
      </c>
      <c r="S366" s="58">
        <v>1345</v>
      </c>
      <c r="T366" s="58">
        <v>1073</v>
      </c>
      <c r="U366" s="58">
        <v>1501</v>
      </c>
      <c r="V366" s="58">
        <v>1427</v>
      </c>
      <c r="W366" s="61">
        <v>1195</v>
      </c>
      <c r="X366" s="22">
        <f t="shared" si="5"/>
        <v>4.8680022467701978E-3</v>
      </c>
      <c r="Y366" s="22">
        <f t="shared" si="6"/>
        <v>9.3161915408981333E-3</v>
      </c>
      <c r="Z366" s="22">
        <f t="shared" si="7"/>
        <v>-1.3106885730108875E-2</v>
      </c>
      <c r="AA366" s="22">
        <f t="shared" si="8"/>
        <v>-2.8058361391694708E-2</v>
      </c>
    </row>
    <row r="367" spans="1:27" ht="15" x14ac:dyDescent="0.25">
      <c r="A367" s="4">
        <v>260128</v>
      </c>
      <c r="B367" s="29" t="s">
        <v>171</v>
      </c>
      <c r="C367" s="19" t="s">
        <v>23</v>
      </c>
      <c r="D367" s="19" t="s">
        <v>172</v>
      </c>
      <c r="E367" s="19" t="s">
        <v>42</v>
      </c>
      <c r="F367" s="47">
        <v>-3.4654537578514222</v>
      </c>
      <c r="G367" s="58">
        <v>679.33</v>
      </c>
      <c r="H367" s="58">
        <v>699.64</v>
      </c>
      <c r="I367" s="58">
        <v>720.49</v>
      </c>
      <c r="J367" s="58">
        <v>736.12</v>
      </c>
      <c r="K367" s="58">
        <v>736.56</v>
      </c>
      <c r="L367" s="58">
        <v>969.57</v>
      </c>
      <c r="M367" s="58">
        <v>987.56</v>
      </c>
      <c r="N367" s="58">
        <v>1057</v>
      </c>
      <c r="O367" s="58">
        <v>1015</v>
      </c>
      <c r="P367" s="58">
        <v>1053</v>
      </c>
      <c r="Q367" s="58">
        <v>1110</v>
      </c>
      <c r="R367" s="58">
        <v>1144</v>
      </c>
      <c r="S367" s="58">
        <v>1197</v>
      </c>
      <c r="T367" s="58">
        <v>1104</v>
      </c>
      <c r="U367" s="58">
        <v>1153</v>
      </c>
      <c r="V367" s="58">
        <v>1163</v>
      </c>
      <c r="W367" s="61">
        <v>1037</v>
      </c>
      <c r="X367" s="22">
        <f t="shared" si="5"/>
        <v>1.1323268206039128E-2</v>
      </c>
      <c r="Y367" s="22">
        <f t="shared" si="6"/>
        <v>9.4401756311746077E-3</v>
      </c>
      <c r="Z367" s="22">
        <f t="shared" si="7"/>
        <v>4.1322314049587749E-3</v>
      </c>
      <c r="AA367" s="22">
        <f t="shared" si="8"/>
        <v>-3.4654537578514222E-2</v>
      </c>
    </row>
    <row r="368" spans="1:27" customFormat="1" hidden="1" x14ac:dyDescent="0.3">
      <c r="B368" s="19" t="s">
        <v>156</v>
      </c>
      <c r="C368" s="19" t="s">
        <v>31</v>
      </c>
      <c r="D368" s="19" t="s">
        <v>32</v>
      </c>
      <c r="E368" s="19" t="s">
        <v>35</v>
      </c>
      <c r="F368" s="19">
        <v>6.6864340636564989</v>
      </c>
      <c r="G368" s="19">
        <v>28887</v>
      </c>
      <c r="H368" s="19">
        <v>34354</v>
      </c>
      <c r="I368" s="19">
        <v>28571</v>
      </c>
      <c r="J368" s="19">
        <v>33326</v>
      </c>
      <c r="K368" s="19">
        <v>34729</v>
      </c>
      <c r="L368" s="19">
        <v>38841</v>
      </c>
      <c r="M368" s="19">
        <v>33818</v>
      </c>
      <c r="N368" s="19">
        <v>43757</v>
      </c>
      <c r="O368" s="19">
        <v>44145</v>
      </c>
      <c r="P368" s="19">
        <v>52231</v>
      </c>
      <c r="Q368" s="19">
        <v>45022</v>
      </c>
      <c r="R368" s="19">
        <v>55355</v>
      </c>
      <c r="S368" s="19">
        <v>60655</v>
      </c>
      <c r="T368" s="19">
        <v>72869</v>
      </c>
      <c r="U368" s="19">
        <v>61572</v>
      </c>
      <c r="V368" s="19">
        <v>72685</v>
      </c>
      <c r="W368" s="25">
        <v>78560</v>
      </c>
      <c r="X368" s="22">
        <f t="shared" si="5"/>
        <v>9.6772529693383236E-2</v>
      </c>
      <c r="Y368" s="22">
        <f t="shared" si="6"/>
        <v>7.0756431139670228E-2</v>
      </c>
      <c r="Z368" s="22">
        <f t="shared" si="7"/>
        <v>6.9195171909874675E-2</v>
      </c>
      <c r="AA368" s="22">
        <f t="shared" si="8"/>
        <v>6.6864340636564989E-2</v>
      </c>
    </row>
    <row r="369" spans="1:27" ht="15" x14ac:dyDescent="0.25">
      <c r="A369" s="4">
        <v>260128</v>
      </c>
      <c r="B369" s="29" t="s">
        <v>73</v>
      </c>
      <c r="C369" s="19" t="s">
        <v>23</v>
      </c>
      <c r="D369" s="19" t="s">
        <v>29</v>
      </c>
      <c r="E369" s="19" t="s">
        <v>25</v>
      </c>
      <c r="F369" s="47">
        <v>-5.6175071997856758</v>
      </c>
      <c r="G369" s="58">
        <v>110.43</v>
      </c>
      <c r="H369" s="58">
        <v>97.87</v>
      </c>
      <c r="I369" s="58">
        <v>104.99</v>
      </c>
      <c r="J369" s="58">
        <v>112.35</v>
      </c>
      <c r="K369" s="58">
        <v>111.99</v>
      </c>
      <c r="L369" s="58">
        <v>108.09</v>
      </c>
      <c r="M369" s="58">
        <v>112.9</v>
      </c>
      <c r="N369" s="58">
        <v>149.49</v>
      </c>
      <c r="O369" s="58">
        <v>152.03</v>
      </c>
      <c r="P369" s="59">
        <v>163.19999999999999</v>
      </c>
      <c r="Q369" s="58">
        <v>149.51</v>
      </c>
      <c r="R369" s="58">
        <v>142.66999999999999</v>
      </c>
      <c r="S369" s="58">
        <v>191.08</v>
      </c>
      <c r="T369" s="58">
        <v>138.16</v>
      </c>
      <c r="U369" s="58">
        <v>126.17</v>
      </c>
      <c r="V369" s="58">
        <v>141.83000000000001</v>
      </c>
      <c r="W369" s="61">
        <v>157.53</v>
      </c>
      <c r="X369" s="22">
        <f t="shared" si="5"/>
        <v>-3.873402840082929E-2</v>
      </c>
      <c r="Y369" s="22">
        <f t="shared" si="6"/>
        <v>-3.7559138746741438E-2</v>
      </c>
      <c r="Z369" s="22">
        <f t="shared" si="7"/>
        <v>-1.4044943820222811E-3</v>
      </c>
      <c r="AA369" s="22">
        <f t="shared" si="8"/>
        <v>-5.6175071997856874E-2</v>
      </c>
    </row>
    <row r="370" spans="1:27" ht="15" x14ac:dyDescent="0.25">
      <c r="A370" s="4">
        <v>260128</v>
      </c>
      <c r="B370" s="29" t="s">
        <v>80</v>
      </c>
      <c r="C370" s="19" t="s">
        <v>23</v>
      </c>
      <c r="D370" s="19" t="s">
        <v>29</v>
      </c>
      <c r="E370" s="19" t="s">
        <v>25</v>
      </c>
      <c r="F370" s="47">
        <v>-18.746142955675769</v>
      </c>
      <c r="G370" s="58">
        <v>58.01</v>
      </c>
      <c r="H370" s="58">
        <v>51.14</v>
      </c>
      <c r="I370" s="58">
        <v>52</v>
      </c>
      <c r="J370" s="58">
        <v>55.33</v>
      </c>
      <c r="K370" s="58">
        <v>52.48</v>
      </c>
      <c r="L370" s="58">
        <v>48.36</v>
      </c>
      <c r="M370" s="58">
        <v>48.01</v>
      </c>
      <c r="N370" s="58">
        <v>48.8</v>
      </c>
      <c r="O370" s="58">
        <v>20.84</v>
      </c>
      <c r="P370" s="58">
        <v>47.54</v>
      </c>
      <c r="Q370" s="58">
        <v>46.88</v>
      </c>
      <c r="R370" s="58">
        <v>49.24</v>
      </c>
      <c r="S370" s="59">
        <v>60.17</v>
      </c>
      <c r="T370" s="59">
        <v>67.930000000000007</v>
      </c>
      <c r="U370" s="59">
        <v>74.8</v>
      </c>
      <c r="V370" s="58">
        <v>72.569999999999993</v>
      </c>
      <c r="W370" s="61">
        <v>8.5299999999999994</v>
      </c>
      <c r="X370" s="22">
        <f t="shared" si="5"/>
        <v>0.10003434234411057</v>
      </c>
      <c r="Y370" s="22">
        <f t="shared" si="6"/>
        <v>0.12452056016412438</v>
      </c>
      <c r="Z370" s="22">
        <f t="shared" si="7"/>
        <v>9.2527960656778152E-2</v>
      </c>
      <c r="AA370" s="22">
        <f t="shared" si="8"/>
        <v>-0.1874614295567576</v>
      </c>
    </row>
    <row r="371" spans="1:27" customFormat="1" hidden="1" x14ac:dyDescent="0.3">
      <c r="B371" s="19" t="s">
        <v>159</v>
      </c>
      <c r="C371" s="19" t="s">
        <v>67</v>
      </c>
      <c r="D371" s="19" t="s">
        <v>32</v>
      </c>
      <c r="E371" s="19" t="s">
        <v>35</v>
      </c>
      <c r="F371" s="19">
        <v>2.4104813532900731</v>
      </c>
      <c r="G371" s="19">
        <v>112254</v>
      </c>
      <c r="H371" s="19">
        <v>123453</v>
      </c>
      <c r="I371" s="19">
        <v>151783</v>
      </c>
      <c r="J371" s="19">
        <v>109018</v>
      </c>
      <c r="K371" s="19">
        <v>124675</v>
      </c>
      <c r="L371" s="19">
        <v>133808</v>
      </c>
      <c r="M371" s="19">
        <v>174078</v>
      </c>
      <c r="N371" s="19">
        <v>118782</v>
      </c>
      <c r="O371" s="19">
        <v>143039</v>
      </c>
      <c r="P371" s="19">
        <v>141536</v>
      </c>
      <c r="Q371" s="19">
        <v>195070</v>
      </c>
      <c r="R371" s="19">
        <v>128864</v>
      </c>
      <c r="S371" s="19">
        <v>157876</v>
      </c>
      <c r="T371" s="19">
        <v>168752</v>
      </c>
      <c r="U371" s="19">
        <v>216396</v>
      </c>
      <c r="V371" s="19">
        <v>170319</v>
      </c>
      <c r="W371" s="25">
        <v>175071</v>
      </c>
      <c r="X371" s="22">
        <f t="shared" si="5"/>
        <v>4.3661144853740952E-2</v>
      </c>
      <c r="Y371" s="22">
        <f t="shared" si="6"/>
        <v>3.2780887909223067E-2</v>
      </c>
      <c r="Z371" s="22">
        <f t="shared" si="7"/>
        <v>6.1699271307122716E-2</v>
      </c>
      <c r="AA371" s="22">
        <f t="shared" si="8"/>
        <v>2.4104813532900726E-2</v>
      </c>
    </row>
    <row r="372" spans="1:27" ht="15" x14ac:dyDescent="0.25">
      <c r="A372" s="4">
        <v>260128</v>
      </c>
      <c r="B372" s="29" t="s">
        <v>98</v>
      </c>
      <c r="C372" s="19" t="s">
        <v>23</v>
      </c>
      <c r="D372" s="19" t="s">
        <v>99</v>
      </c>
      <c r="E372" s="19" t="s">
        <v>25</v>
      </c>
      <c r="F372" s="47">
        <v>-25.45045045045045</v>
      </c>
      <c r="G372" s="58">
        <v>515</v>
      </c>
      <c r="H372" s="58">
        <v>544</v>
      </c>
      <c r="I372" s="58">
        <v>437</v>
      </c>
      <c r="J372" s="58">
        <v>362</v>
      </c>
      <c r="K372" s="58">
        <v>315</v>
      </c>
      <c r="L372" s="58">
        <v>336</v>
      </c>
      <c r="M372" s="58">
        <v>296</v>
      </c>
      <c r="N372" s="58">
        <v>350</v>
      </c>
      <c r="O372" s="58">
        <v>175</v>
      </c>
      <c r="P372" s="58">
        <v>275</v>
      </c>
      <c r="Q372" s="58">
        <v>233</v>
      </c>
      <c r="R372" s="58">
        <v>135</v>
      </c>
      <c r="S372" s="58">
        <v>206</v>
      </c>
      <c r="T372" s="58">
        <v>126</v>
      </c>
      <c r="U372" s="58">
        <v>119</v>
      </c>
      <c r="V372" s="58">
        <v>-7</v>
      </c>
      <c r="W372" s="61">
        <v>93</v>
      </c>
      <c r="X372" s="22">
        <f t="shared" ref="X372:X394" si="9">SUM(Q372:T372)/SUM(P372:S372)-1</f>
        <v>-0.17550058892815079</v>
      </c>
      <c r="Y372" s="22">
        <f t="shared" ref="Y372:Y394" si="10">SUM(R372:U372)/SUM(Q372:T372)-1</f>
        <v>-0.16285714285714281</v>
      </c>
      <c r="Z372" s="22">
        <f t="shared" ref="Z372:Z394" si="11">SUM(S372:V372)/SUM(R372:U372)-1</f>
        <v>-0.24232081911262804</v>
      </c>
      <c r="AA372" s="22">
        <f t="shared" ref="AA372:AA394" si="12">SUM(T372:W372)/SUM(S372:V372)-1</f>
        <v>-0.25450450450450446</v>
      </c>
    </row>
    <row r="373" spans="1:27" ht="15" x14ac:dyDescent="0.25">
      <c r="A373" s="4">
        <v>260128</v>
      </c>
      <c r="B373" s="29" t="s">
        <v>138</v>
      </c>
      <c r="C373" s="19" t="s">
        <v>23</v>
      </c>
      <c r="D373" s="19" t="s">
        <v>139</v>
      </c>
      <c r="E373" s="19" t="s">
        <v>25</v>
      </c>
      <c r="F373" s="47">
        <v>-26.940827427064448</v>
      </c>
      <c r="G373" s="58">
        <v>8148</v>
      </c>
      <c r="H373" s="58">
        <v>7688</v>
      </c>
      <c r="I373" s="58">
        <v>7751</v>
      </c>
      <c r="J373" s="58">
        <v>7663</v>
      </c>
      <c r="K373" s="58">
        <v>0</v>
      </c>
      <c r="L373" s="58">
        <v>5949</v>
      </c>
      <c r="M373" s="58">
        <v>5912</v>
      </c>
      <c r="N373" s="58">
        <v>5624</v>
      </c>
      <c r="O373" s="59">
        <v>6405</v>
      </c>
      <c r="P373" s="58">
        <v>5796</v>
      </c>
      <c r="Q373" s="58">
        <v>5743</v>
      </c>
      <c r="R373" s="58">
        <v>5798</v>
      </c>
      <c r="S373" s="58">
        <v>6538</v>
      </c>
      <c r="T373" s="58">
        <v>5741</v>
      </c>
      <c r="U373" s="58">
        <v>5936</v>
      </c>
      <c r="V373" s="58">
        <v>6053</v>
      </c>
      <c r="W373" s="61">
        <v>0</v>
      </c>
      <c r="X373" s="22">
        <f t="shared" si="9"/>
        <v>-2.3036649214659422E-3</v>
      </c>
      <c r="Y373" s="22">
        <f t="shared" si="10"/>
        <v>8.1024349286313857E-3</v>
      </c>
      <c r="Z373" s="22">
        <f t="shared" si="11"/>
        <v>1.0619247907383444E-2</v>
      </c>
      <c r="AA373" s="22">
        <f t="shared" si="12"/>
        <v>-0.26940827427064451</v>
      </c>
    </row>
    <row r="374" spans="1:27" ht="15" x14ac:dyDescent="0.25">
      <c r="A374" s="4">
        <v>260128</v>
      </c>
      <c r="B374" s="29" t="s">
        <v>163</v>
      </c>
      <c r="C374" s="19" t="s">
        <v>164</v>
      </c>
      <c r="D374" s="46" t="str">
        <f>VLOOKUP(B374,'실적 기업 정보'!B5:G160,2,FALSE)</f>
        <v>Nordnet AB (publ)</v>
      </c>
      <c r="E374" s="19" t="s">
        <v>25</v>
      </c>
      <c r="F374" s="47">
        <v>0.64687344501574984</v>
      </c>
      <c r="G374" s="58">
        <v>1041</v>
      </c>
      <c r="H374" s="58">
        <v>1080</v>
      </c>
      <c r="I374" s="58">
        <v>868.5</v>
      </c>
      <c r="J374" s="58">
        <v>952.8</v>
      </c>
      <c r="K374" s="58">
        <v>1109</v>
      </c>
      <c r="L374" s="58">
        <v>1288</v>
      </c>
      <c r="M374" s="58">
        <v>1180</v>
      </c>
      <c r="N374" s="58">
        <v>1280</v>
      </c>
      <c r="O374" s="58">
        <v>1317</v>
      </c>
      <c r="P374" s="58">
        <v>1403</v>
      </c>
      <c r="Q374" s="58">
        <v>1422</v>
      </c>
      <c r="R374" s="58">
        <v>1377</v>
      </c>
      <c r="S374" s="58">
        <v>1541</v>
      </c>
      <c r="T374" s="58">
        <v>1574</v>
      </c>
      <c r="U374" s="58">
        <v>1446</v>
      </c>
      <c r="V374" s="58">
        <v>1468</v>
      </c>
      <c r="W374" s="61">
        <v>1580</v>
      </c>
      <c r="X374" s="22">
        <f t="shared" si="9"/>
        <v>2.9775378721922374E-2</v>
      </c>
      <c r="Y374" s="22">
        <f t="shared" si="10"/>
        <v>4.0581670612107601E-3</v>
      </c>
      <c r="Z374" s="22">
        <f t="shared" si="11"/>
        <v>1.5325025261030634E-2</v>
      </c>
      <c r="AA374" s="22">
        <f t="shared" si="12"/>
        <v>6.4687344501574984E-3</v>
      </c>
    </row>
    <row r="375" spans="1:27" ht="15" x14ac:dyDescent="0.25">
      <c r="A375" s="4">
        <v>260128</v>
      </c>
      <c r="B375" s="29">
        <v>6857</v>
      </c>
      <c r="C375" s="19" t="s">
        <v>67</v>
      </c>
      <c r="D375" s="46" t="str">
        <f>VLOOKUP(B375,'실적 기업 정보'!B6:G161,2,FALSE)</f>
        <v>Advantest Corporation</v>
      </c>
      <c r="E375" s="19" t="s">
        <v>25</v>
      </c>
      <c r="F375" s="47">
        <v>5.689657642318191</v>
      </c>
      <c r="G375" s="58">
        <v>112077</v>
      </c>
      <c r="H375" s="58">
        <v>116834</v>
      </c>
      <c r="I375" s="58">
        <v>135943</v>
      </c>
      <c r="J375" s="58">
        <v>138863</v>
      </c>
      <c r="K375" s="58">
        <v>137993</v>
      </c>
      <c r="L375" s="58">
        <v>147392</v>
      </c>
      <c r="M375" s="58">
        <v>101251</v>
      </c>
      <c r="N375" s="58">
        <v>116260</v>
      </c>
      <c r="O375" s="58">
        <v>133233</v>
      </c>
      <c r="P375" s="58">
        <v>135763</v>
      </c>
      <c r="Q375" s="58">
        <v>138725</v>
      </c>
      <c r="R375" s="59">
        <v>190481</v>
      </c>
      <c r="S375" s="59">
        <v>218200</v>
      </c>
      <c r="T375" s="59">
        <v>232349</v>
      </c>
      <c r="U375" s="59">
        <v>263776</v>
      </c>
      <c r="V375" s="58">
        <v>262957</v>
      </c>
      <c r="W375" s="61">
        <v>273804</v>
      </c>
      <c r="X375" s="22">
        <f t="shared" si="9"/>
        <v>0.14137936586701105</v>
      </c>
      <c r="Y375" s="22">
        <f t="shared" si="10"/>
        <v>0.16037216818103128</v>
      </c>
      <c r="Z375" s="22">
        <f t="shared" si="11"/>
        <v>8.0101148754539553E-2</v>
      </c>
      <c r="AA375" s="22">
        <f t="shared" si="12"/>
        <v>5.689657642318191E-2</v>
      </c>
    </row>
    <row r="376" spans="1:27" customFormat="1" hidden="1" x14ac:dyDescent="0.3">
      <c r="B376" s="19" t="s">
        <v>167</v>
      </c>
      <c r="C376" s="19" t="s">
        <v>23</v>
      </c>
      <c r="D376" s="19" t="s">
        <v>168</v>
      </c>
      <c r="E376" s="19" t="s">
        <v>35</v>
      </c>
      <c r="F376" s="19">
        <v>1.009939083039435</v>
      </c>
      <c r="G376" s="19">
        <v>1337</v>
      </c>
      <c r="H376" s="19">
        <v>1393</v>
      </c>
      <c r="I376" s="19">
        <v>1262</v>
      </c>
      <c r="J376" s="19">
        <v>1198</v>
      </c>
      <c r="K376" s="19">
        <v>1228</v>
      </c>
      <c r="L376" s="19">
        <v>1448</v>
      </c>
      <c r="M376" s="19">
        <v>1344</v>
      </c>
      <c r="N376" s="19">
        <v>1384</v>
      </c>
      <c r="O376" s="19">
        <v>1434</v>
      </c>
      <c r="P376" s="19">
        <v>1481</v>
      </c>
      <c r="Q376" s="19">
        <v>1425</v>
      </c>
      <c r="R376" s="19">
        <v>1451</v>
      </c>
      <c r="S376" s="19">
        <v>1611</v>
      </c>
      <c r="T376" s="19">
        <v>1472</v>
      </c>
      <c r="U376" s="19">
        <v>1522</v>
      </c>
      <c r="V376" s="19">
        <v>1633</v>
      </c>
      <c r="W376" s="25">
        <v>1674</v>
      </c>
      <c r="X376" s="22">
        <f t="shared" si="9"/>
        <v>-1.5080428954423741E-3</v>
      </c>
      <c r="Y376" s="22">
        <f t="shared" si="10"/>
        <v>1.6277898976338356E-2</v>
      </c>
      <c r="Z376" s="22">
        <f t="shared" si="11"/>
        <v>3.00528401585205E-2</v>
      </c>
      <c r="AA376" s="22">
        <f t="shared" si="12"/>
        <v>1.009939083039435E-2</v>
      </c>
    </row>
    <row r="377" spans="1:27" ht="15" x14ac:dyDescent="0.25">
      <c r="A377" s="4">
        <v>260128</v>
      </c>
      <c r="B377" s="29">
        <v>2303</v>
      </c>
      <c r="C377" s="19" t="s">
        <v>67</v>
      </c>
      <c r="D377" s="46" t="str">
        <f>VLOOKUP(B377,'실적 기업 정보'!B8:G163,2,FALSE)</f>
        <v>United Microelectronics Corporation</v>
      </c>
      <c r="E377" s="19" t="s">
        <v>170</v>
      </c>
      <c r="F377" s="47">
        <v>3.7780408440063469</v>
      </c>
      <c r="G377" s="58">
        <v>312</v>
      </c>
      <c r="H377" s="58">
        <v>304</v>
      </c>
      <c r="I377" s="58">
        <v>393</v>
      </c>
      <c r="J377" s="58">
        <v>272</v>
      </c>
      <c r="K377" s="58">
        <v>245</v>
      </c>
      <c r="L377" s="59">
        <v>467</v>
      </c>
      <c r="M377" s="58">
        <v>384</v>
      </c>
      <c r="N377" s="58">
        <v>252</v>
      </c>
      <c r="O377" s="58">
        <v>299</v>
      </c>
      <c r="P377" s="58">
        <v>413</v>
      </c>
      <c r="Q377" s="59">
        <v>536</v>
      </c>
      <c r="R377" s="58">
        <v>356</v>
      </c>
      <c r="S377" s="58">
        <v>279</v>
      </c>
      <c r="T377" s="58">
        <v>505.54</v>
      </c>
      <c r="U377" s="58">
        <v>593</v>
      </c>
      <c r="V377" s="58">
        <v>303.49</v>
      </c>
      <c r="W377" s="61">
        <v>342.51</v>
      </c>
      <c r="X377" s="22">
        <f t="shared" si="9"/>
        <v>5.842171717171718E-2</v>
      </c>
      <c r="Y377" s="22">
        <f t="shared" si="10"/>
        <v>3.3998592338983835E-2</v>
      </c>
      <c r="Z377" s="22">
        <f t="shared" si="11"/>
        <v>-3.0290619195403656E-2</v>
      </c>
      <c r="AA377" s="22">
        <f t="shared" si="12"/>
        <v>3.7780408440063473E-2</v>
      </c>
    </row>
    <row r="378" spans="1:27" ht="15" x14ac:dyDescent="0.25">
      <c r="A378" s="4">
        <v>260128</v>
      </c>
      <c r="B378" s="29">
        <v>6807</v>
      </c>
      <c r="C378" s="19" t="s">
        <v>67</v>
      </c>
      <c r="D378" s="46" t="str">
        <f>VLOOKUP(B378,'실적 기업 정보'!B9:G164,2,FALSE)</f>
        <v>Japan Aviation Electronics Industry, Limited</v>
      </c>
      <c r="E378" s="19" t="s">
        <v>25</v>
      </c>
      <c r="F378" s="47">
        <v>1.5294967845806311</v>
      </c>
      <c r="G378" s="58">
        <v>57726</v>
      </c>
      <c r="H378" s="58">
        <v>55328</v>
      </c>
      <c r="I378" s="58">
        <v>56452</v>
      </c>
      <c r="J378" s="58">
        <v>65754</v>
      </c>
      <c r="K378" s="58">
        <v>61556</v>
      </c>
      <c r="L378" s="58">
        <v>52102</v>
      </c>
      <c r="M378" s="58">
        <v>51734</v>
      </c>
      <c r="N378" s="58">
        <v>61551</v>
      </c>
      <c r="O378" s="58">
        <v>58065</v>
      </c>
      <c r="P378" s="58">
        <v>54431</v>
      </c>
      <c r="Q378" s="58">
        <v>55560</v>
      </c>
      <c r="R378" s="58">
        <v>57891</v>
      </c>
      <c r="S378" s="58">
        <v>53002</v>
      </c>
      <c r="T378" s="58">
        <v>55191</v>
      </c>
      <c r="U378" s="58">
        <v>51605</v>
      </c>
      <c r="V378" s="58">
        <v>58836</v>
      </c>
      <c r="W378" s="61">
        <v>56346</v>
      </c>
      <c r="X378" s="22">
        <f t="shared" si="9"/>
        <v>3.440720015935872E-3</v>
      </c>
      <c r="Y378" s="22">
        <f t="shared" si="10"/>
        <v>-1.7843929905614453E-2</v>
      </c>
      <c r="Z378" s="22">
        <f t="shared" si="11"/>
        <v>4.3410553587917011E-3</v>
      </c>
      <c r="AA378" s="22">
        <f t="shared" si="12"/>
        <v>1.5294967845806307E-2</v>
      </c>
    </row>
    <row r="379" spans="1:27" ht="15" x14ac:dyDescent="0.25">
      <c r="A379" s="4">
        <v>260128</v>
      </c>
      <c r="B379" s="29">
        <v>8060</v>
      </c>
      <c r="C379" s="19" t="s">
        <v>67</v>
      </c>
      <c r="D379" s="46" t="str">
        <f>VLOOKUP(B379,'실적 기업 정보'!B10:G165,2,FALSE)</f>
        <v>Canon Marketing Japan Inc.</v>
      </c>
      <c r="E379" s="19" t="s">
        <v>25</v>
      </c>
      <c r="F379" s="47">
        <v>1.0763351968597681</v>
      </c>
      <c r="G379" s="58">
        <v>153890</v>
      </c>
      <c r="H379" s="58">
        <v>147419</v>
      </c>
      <c r="I379" s="58">
        <v>142454</v>
      </c>
      <c r="J379" s="58">
        <v>138206</v>
      </c>
      <c r="K379" s="58">
        <v>160053</v>
      </c>
      <c r="L379" s="58">
        <v>154825</v>
      </c>
      <c r="M379" s="58">
        <v>147953</v>
      </c>
      <c r="N379" s="58">
        <v>141772</v>
      </c>
      <c r="O379" s="58">
        <v>164923</v>
      </c>
      <c r="P379" s="58">
        <v>157226</v>
      </c>
      <c r="Q379" s="58">
        <v>161677</v>
      </c>
      <c r="R379" s="58">
        <v>154278</v>
      </c>
      <c r="S379" s="58">
        <v>180738</v>
      </c>
      <c r="T379" s="58">
        <v>167316</v>
      </c>
      <c r="U379" s="58">
        <v>166533</v>
      </c>
      <c r="V379" s="58">
        <v>157973</v>
      </c>
      <c r="W379" s="61">
        <v>187977</v>
      </c>
      <c r="X379" s="22">
        <f t="shared" si="9"/>
        <v>1.5430045617270682E-2</v>
      </c>
      <c r="Y379" s="22">
        <f t="shared" si="10"/>
        <v>7.3131538879744884E-3</v>
      </c>
      <c r="Z379" s="22">
        <f t="shared" si="11"/>
        <v>5.5242836745830193E-3</v>
      </c>
      <c r="AA379" s="22">
        <f t="shared" si="12"/>
        <v>1.0763351968597679E-2</v>
      </c>
    </row>
    <row r="380" spans="1:27" customFormat="1" hidden="1" x14ac:dyDescent="0.3">
      <c r="B380" s="19" t="s">
        <v>174</v>
      </c>
      <c r="C380" s="19" t="s">
        <v>23</v>
      </c>
      <c r="D380" s="19" t="s">
        <v>162</v>
      </c>
      <c r="E380" s="19" t="s">
        <v>96</v>
      </c>
      <c r="F380" s="19">
        <v>1.598465473145771</v>
      </c>
      <c r="G380" s="19">
        <v>1498</v>
      </c>
      <c r="H380" s="19">
        <v>1685</v>
      </c>
      <c r="I380" s="19">
        <v>1592</v>
      </c>
      <c r="J380" s="19">
        <v>1471</v>
      </c>
      <c r="K380" s="19">
        <v>1517</v>
      </c>
      <c r="L380" s="19">
        <v>1589</v>
      </c>
      <c r="M380" s="19">
        <v>1689</v>
      </c>
      <c r="N380" s="19">
        <v>1337</v>
      </c>
      <c r="O380" s="19">
        <v>1511</v>
      </c>
      <c r="P380" s="19">
        <v>1642</v>
      </c>
      <c r="Q380" s="19">
        <v>1480</v>
      </c>
      <c r="R380" s="19">
        <v>1359</v>
      </c>
      <c r="S380" s="19">
        <v>1443</v>
      </c>
      <c r="T380" s="19">
        <v>1840</v>
      </c>
      <c r="U380" s="19">
        <v>1527</v>
      </c>
      <c r="V380" s="19">
        <v>1446</v>
      </c>
      <c r="W380" s="25">
        <v>1543</v>
      </c>
      <c r="X380" s="22">
        <f t="shared" si="9"/>
        <v>3.342336259284262E-2</v>
      </c>
      <c r="Y380" s="22">
        <f t="shared" si="10"/>
        <v>7.677229663508589E-3</v>
      </c>
      <c r="Z380" s="22">
        <f t="shared" si="11"/>
        <v>1.4102771924136892E-2</v>
      </c>
      <c r="AA380" s="22">
        <f t="shared" si="12"/>
        <v>1.5984654731457715E-2</v>
      </c>
    </row>
    <row r="381" spans="1:27" customFormat="1" hidden="1" x14ac:dyDescent="0.3">
      <c r="B381" s="19" t="s">
        <v>175</v>
      </c>
      <c r="C381" s="19" t="s">
        <v>23</v>
      </c>
      <c r="D381" s="19" t="s">
        <v>95</v>
      </c>
      <c r="E381" s="19" t="s">
        <v>35</v>
      </c>
      <c r="F381" s="19">
        <v>1.863951068450675</v>
      </c>
      <c r="G381" s="19">
        <v>485.32</v>
      </c>
      <c r="H381" s="19">
        <v>501.65</v>
      </c>
      <c r="I381" s="19">
        <v>581.44000000000005</v>
      </c>
      <c r="J381" s="19">
        <v>481.67</v>
      </c>
      <c r="K381" s="19">
        <v>471.33</v>
      </c>
      <c r="L381" s="19">
        <v>456.59</v>
      </c>
      <c r="M381" s="19">
        <v>469.12</v>
      </c>
      <c r="N381" s="19">
        <v>489.06</v>
      </c>
      <c r="O381" s="19">
        <v>476.76</v>
      </c>
      <c r="P381" s="19">
        <v>484.86</v>
      </c>
      <c r="Q381" s="19">
        <v>511.58</v>
      </c>
      <c r="R381" s="19">
        <v>518.99</v>
      </c>
      <c r="S381" s="19">
        <v>537.4</v>
      </c>
      <c r="T381" s="19">
        <v>557.19000000000005</v>
      </c>
      <c r="U381" s="19">
        <v>551.34</v>
      </c>
      <c r="V381" s="19">
        <v>559.6</v>
      </c>
      <c r="W381" s="25">
        <v>578.51</v>
      </c>
      <c r="X381" s="22">
        <f t="shared" si="9"/>
        <v>3.5234286326680797E-2</v>
      </c>
      <c r="Y381" s="22">
        <f t="shared" si="10"/>
        <v>1.870917954412854E-2</v>
      </c>
      <c r="Z381" s="22">
        <f t="shared" si="11"/>
        <v>1.8758198917281144E-2</v>
      </c>
      <c r="AA381" s="22">
        <f t="shared" si="12"/>
        <v>1.8639510684506755E-2</v>
      </c>
    </row>
    <row r="382" spans="1:27" ht="15" x14ac:dyDescent="0.25">
      <c r="A382" s="4">
        <v>260128</v>
      </c>
      <c r="B382" s="29">
        <v>7278</v>
      </c>
      <c r="C382" s="19" t="s">
        <v>67</v>
      </c>
      <c r="D382" s="46" t="str">
        <f>VLOOKUP(B382,'실적 기업 정보'!B13:G168,2,FALSE)</f>
        <v>EXEDY Corporation</v>
      </c>
      <c r="E382" s="19" t="s">
        <v>25</v>
      </c>
      <c r="F382" s="47">
        <v>-0.42281698111965582</v>
      </c>
      <c r="G382" s="58">
        <v>65714</v>
      </c>
      <c r="H382" s="58">
        <v>72028</v>
      </c>
      <c r="I382" s="58">
        <v>64447</v>
      </c>
      <c r="J382" s="58">
        <v>73759</v>
      </c>
      <c r="K382" s="58">
        <v>75129</v>
      </c>
      <c r="L382" s="58">
        <v>72304</v>
      </c>
      <c r="M382" s="58">
        <v>73367</v>
      </c>
      <c r="N382" s="58">
        <v>77827</v>
      </c>
      <c r="O382" s="58">
        <v>80686</v>
      </c>
      <c r="P382" s="58">
        <v>76457</v>
      </c>
      <c r="Q382" s="58">
        <v>75447</v>
      </c>
      <c r="R382" s="58">
        <v>78352</v>
      </c>
      <c r="S382" s="58">
        <v>79584</v>
      </c>
      <c r="T382" s="58">
        <v>76181</v>
      </c>
      <c r="U382" s="58">
        <v>71899</v>
      </c>
      <c r="V382" s="58">
        <v>76250</v>
      </c>
      <c r="W382" s="61">
        <v>78299</v>
      </c>
      <c r="X382" s="22">
        <f t="shared" si="9"/>
        <v>-8.9078233927186723E-4</v>
      </c>
      <c r="Y382" s="22">
        <f t="shared" si="10"/>
        <v>-1.1461281027509651E-2</v>
      </c>
      <c r="Z382" s="22">
        <f t="shared" si="11"/>
        <v>-6.8689218864372847E-3</v>
      </c>
      <c r="AA382" s="22">
        <f t="shared" si="12"/>
        <v>-4.2281698111965582E-3</v>
      </c>
    </row>
    <row r="383" spans="1:27" ht="15" x14ac:dyDescent="0.25">
      <c r="A383" s="4">
        <v>260128</v>
      </c>
      <c r="B383" s="29">
        <v>4552</v>
      </c>
      <c r="C383" s="19" t="s">
        <v>67</v>
      </c>
      <c r="D383" s="46" t="str">
        <f>VLOOKUP(B383,'실적 기업 정보'!B14:G169,2,FALSE)</f>
        <v>JCR Pharmaceuticals Co., Ltd.</v>
      </c>
      <c r="E383" s="19" t="s">
        <v>25</v>
      </c>
      <c r="F383" s="47">
        <v>-0.61413029091775817</v>
      </c>
      <c r="G383" s="58">
        <v>11887</v>
      </c>
      <c r="H383" s="58">
        <v>10812</v>
      </c>
      <c r="I383" s="58">
        <v>9606</v>
      </c>
      <c r="J383" s="58">
        <v>5975</v>
      </c>
      <c r="K383" s="58">
        <v>11115</v>
      </c>
      <c r="L383" s="58">
        <v>7647</v>
      </c>
      <c r="M383" s="58">
        <v>10808</v>
      </c>
      <c r="N383" s="59">
        <v>13464</v>
      </c>
      <c r="O383" s="58">
        <v>9446</v>
      </c>
      <c r="P383" s="58">
        <v>9153</v>
      </c>
      <c r="Q383" s="58">
        <v>8145</v>
      </c>
      <c r="R383" s="58">
        <v>8512</v>
      </c>
      <c r="S383" s="58">
        <v>9223</v>
      </c>
      <c r="T383" s="58">
        <v>7192</v>
      </c>
      <c r="U383" s="58">
        <v>8569</v>
      </c>
      <c r="V383" s="59">
        <v>12793</v>
      </c>
      <c r="W383" s="61">
        <v>8991</v>
      </c>
      <c r="X383" s="22">
        <f t="shared" si="9"/>
        <v>-5.5975794251134636E-2</v>
      </c>
      <c r="Y383" s="22">
        <f t="shared" si="10"/>
        <v>1.2820512820512775E-2</v>
      </c>
      <c r="Z383" s="22">
        <f t="shared" si="11"/>
        <v>0.1278063052304752</v>
      </c>
      <c r="AA383" s="22">
        <f t="shared" si="12"/>
        <v>-6.1413029091775817E-3</v>
      </c>
    </row>
    <row r="384" spans="1:27" ht="15" x14ac:dyDescent="0.25">
      <c r="A384" s="4">
        <v>260128</v>
      </c>
      <c r="B384" s="29">
        <v>2678</v>
      </c>
      <c r="C384" s="19" t="s">
        <v>67</v>
      </c>
      <c r="D384" s="46" t="str">
        <f>VLOOKUP(B384,'실적 기업 정보'!B15:G170,2,FALSE)</f>
        <v>ASKUL Corporation</v>
      </c>
      <c r="E384" s="19" t="s">
        <v>86</v>
      </c>
      <c r="F384" s="47">
        <v>-6.8338552823369536</v>
      </c>
      <c r="G384" s="58">
        <v>106596</v>
      </c>
      <c r="H384" s="58">
        <v>108956</v>
      </c>
      <c r="I384" s="58">
        <v>110523</v>
      </c>
      <c r="J384" s="58">
        <v>110087</v>
      </c>
      <c r="K384" s="58">
        <v>110164</v>
      </c>
      <c r="L384" s="58">
        <v>113973</v>
      </c>
      <c r="M384" s="58">
        <v>112489</v>
      </c>
      <c r="N384" s="58">
        <v>113074</v>
      </c>
      <c r="O384" s="58">
        <v>118214</v>
      </c>
      <c r="P384" s="58">
        <v>118775</v>
      </c>
      <c r="Q384" s="58">
        <v>121619</v>
      </c>
      <c r="R384" s="58">
        <v>118384</v>
      </c>
      <c r="S384" s="58">
        <v>119548</v>
      </c>
      <c r="T384" s="58">
        <v>120901</v>
      </c>
      <c r="U384" s="58">
        <v>122268</v>
      </c>
      <c r="V384" s="58">
        <v>122324</v>
      </c>
      <c r="W384" s="61">
        <v>86401</v>
      </c>
      <c r="X384" s="22">
        <f t="shared" si="9"/>
        <v>4.4446674443789913E-3</v>
      </c>
      <c r="Y384" s="22">
        <f t="shared" si="10"/>
        <v>1.3508113193410054E-3</v>
      </c>
      <c r="Z384" s="22">
        <f t="shared" si="11"/>
        <v>8.189548556332138E-3</v>
      </c>
      <c r="AA384" s="22">
        <f t="shared" si="12"/>
        <v>-6.8338552823369536E-2</v>
      </c>
    </row>
    <row r="385" spans="1:27" customFormat="1" hidden="1" x14ac:dyDescent="0.3">
      <c r="B385" s="19" t="s">
        <v>181</v>
      </c>
      <c r="C385" s="19" t="s">
        <v>23</v>
      </c>
      <c r="D385" s="19" t="s">
        <v>182</v>
      </c>
      <c r="E385" s="19" t="s">
        <v>35</v>
      </c>
      <c r="F385" s="19">
        <v>57.940204455555737</v>
      </c>
      <c r="G385" s="19">
        <v>575.66999999999996</v>
      </c>
      <c r="H385" s="19">
        <v>486.59</v>
      </c>
      <c r="I385" s="19">
        <v>2100</v>
      </c>
      <c r="J385" s="19">
        <v>952.7</v>
      </c>
      <c r="K385" s="19">
        <v>-229.65</v>
      </c>
      <c r="L385" s="19">
        <v>-823.22</v>
      </c>
      <c r="M385" s="19">
        <v>-779.59</v>
      </c>
      <c r="N385" s="20">
        <v>227.31</v>
      </c>
      <c r="O385" s="20">
        <v>-507.16</v>
      </c>
      <c r="P385" s="19">
        <v>-339.38</v>
      </c>
      <c r="Q385" s="19">
        <v>536.25</v>
      </c>
      <c r="R385" s="20">
        <v>41.89</v>
      </c>
      <c r="S385" s="19">
        <v>227.14</v>
      </c>
      <c r="T385" s="20">
        <v>539.11</v>
      </c>
      <c r="U385" s="19">
        <v>244.54</v>
      </c>
      <c r="V385" s="20">
        <v>157.19</v>
      </c>
      <c r="W385" s="26">
        <v>903.87</v>
      </c>
      <c r="X385" s="22">
        <f t="shared" si="9"/>
        <v>1.8855763039278814</v>
      </c>
      <c r="Y385" s="22">
        <f t="shared" si="10"/>
        <v>-0.21698316708693155</v>
      </c>
      <c r="Z385" s="22">
        <f t="shared" si="11"/>
        <v>0.10952996162176531</v>
      </c>
      <c r="AA385" s="22">
        <f t="shared" si="12"/>
        <v>0.57940204455555744</v>
      </c>
    </row>
    <row r="386" spans="1:27" ht="15" x14ac:dyDescent="0.25">
      <c r="A386" s="4">
        <v>260128</v>
      </c>
      <c r="B386" s="29" t="s">
        <v>412</v>
      </c>
      <c r="C386" s="19" t="s">
        <v>31</v>
      </c>
      <c r="D386" s="46" t="str">
        <f>VLOOKUP(B386,'실적 기업 정보'!B17:G172,2,FALSE)</f>
        <v>SBI Life Insurance Company Limited</v>
      </c>
      <c r="E386" s="19" t="s">
        <v>25</v>
      </c>
      <c r="F386" s="47">
        <v>26.23977685698604</v>
      </c>
      <c r="G386" s="58">
        <v>206727</v>
      </c>
      <c r="H386" s="58">
        <v>205458</v>
      </c>
      <c r="I386" s="58">
        <v>48079</v>
      </c>
      <c r="J386" s="58">
        <v>277229</v>
      </c>
      <c r="K386" s="58">
        <v>268097</v>
      </c>
      <c r="L386" s="58">
        <v>212993</v>
      </c>
      <c r="M386" s="59">
        <v>278944</v>
      </c>
      <c r="N386" s="58">
        <v>287927</v>
      </c>
      <c r="O386" s="59">
        <v>390656</v>
      </c>
      <c r="P386" s="59">
        <v>362961</v>
      </c>
      <c r="Q386" s="58">
        <v>346745</v>
      </c>
      <c r="R386" s="58">
        <v>402801</v>
      </c>
      <c r="S386" s="58">
        <v>188592</v>
      </c>
      <c r="T386" s="58">
        <v>230614</v>
      </c>
      <c r="U386" s="58">
        <v>390129</v>
      </c>
      <c r="V386" s="58">
        <v>231074</v>
      </c>
      <c r="W386" s="60">
        <v>461593</v>
      </c>
      <c r="X386" s="22">
        <f t="shared" si="9"/>
        <v>-0.10171939260578944</v>
      </c>
      <c r="Y386" s="22">
        <f t="shared" si="10"/>
        <v>3.7119936479253157E-2</v>
      </c>
      <c r="Z386" s="22">
        <f t="shared" si="11"/>
        <v>-0.14167304658883162</v>
      </c>
      <c r="AA386" s="22">
        <f t="shared" si="12"/>
        <v>0.26239776856986041</v>
      </c>
    </row>
    <row r="387" spans="1:27" ht="15" x14ac:dyDescent="0.25">
      <c r="A387" s="4">
        <v>260128</v>
      </c>
      <c r="B387" s="29" t="s">
        <v>173</v>
      </c>
      <c r="C387" s="19" t="s">
        <v>31</v>
      </c>
      <c r="D387" s="46" t="str">
        <f>VLOOKUP(B387,'실적 기업 정보'!B18:G173,2,FALSE)</f>
        <v>SBI Cards and Payment Services Limited</v>
      </c>
      <c r="E387" s="19" t="s">
        <v>25</v>
      </c>
      <c r="F387" s="47">
        <v>19.49080675072457</v>
      </c>
      <c r="G387" s="58">
        <v>19872</v>
      </c>
      <c r="H387" s="58">
        <v>21924</v>
      </c>
      <c r="I387" s="58">
        <v>23417</v>
      </c>
      <c r="J387" s="58">
        <v>23834</v>
      </c>
      <c r="K387" s="58">
        <v>25098</v>
      </c>
      <c r="L387" s="58">
        <v>26331</v>
      </c>
      <c r="M387" s="58">
        <v>26220</v>
      </c>
      <c r="N387" s="58">
        <v>27409</v>
      </c>
      <c r="O387" s="58">
        <v>30433</v>
      </c>
      <c r="P387" s="58">
        <v>26863</v>
      </c>
      <c r="Q387" s="58">
        <v>24911</v>
      </c>
      <c r="R387" s="58">
        <v>24213</v>
      </c>
      <c r="S387" s="58">
        <v>24769</v>
      </c>
      <c r="T387" s="58">
        <v>26330</v>
      </c>
      <c r="U387" s="58">
        <v>27126</v>
      </c>
      <c r="V387" s="58">
        <v>29082</v>
      </c>
      <c r="W387" s="60">
        <v>45684</v>
      </c>
      <c r="X387" s="22">
        <f t="shared" si="9"/>
        <v>-5.2900075429751503E-3</v>
      </c>
      <c r="Y387" s="22">
        <f t="shared" si="10"/>
        <v>2.2100715404647531E-2</v>
      </c>
      <c r="Z387" s="22">
        <f t="shared" si="11"/>
        <v>4.7531189597610268E-2</v>
      </c>
      <c r="AA387" s="22">
        <f t="shared" si="12"/>
        <v>0.19490806750724565</v>
      </c>
    </row>
    <row r="388" spans="1:27" ht="15" x14ac:dyDescent="0.25">
      <c r="A388" s="4">
        <v>260128</v>
      </c>
      <c r="B388" s="29" t="s">
        <v>120</v>
      </c>
      <c r="C388" s="19" t="s">
        <v>31</v>
      </c>
      <c r="D388" s="46" t="str">
        <f>VLOOKUP(B388,'실적 기업 정보'!B19:G174,2,FALSE)</f>
        <v>Maruti Suzuki India Limited</v>
      </c>
      <c r="E388" s="19" t="s">
        <v>25</v>
      </c>
      <c r="F388" s="47">
        <v>6.9349041110899456</v>
      </c>
      <c r="G388" s="58">
        <v>232533</v>
      </c>
      <c r="H388" s="58">
        <v>267492</v>
      </c>
      <c r="I388" s="58">
        <v>265117</v>
      </c>
      <c r="J388" s="58">
        <v>299425</v>
      </c>
      <c r="K388" s="58">
        <v>290575</v>
      </c>
      <c r="L388" s="58">
        <v>328982</v>
      </c>
      <c r="M388" s="58">
        <v>323385</v>
      </c>
      <c r="N388" s="58">
        <v>370728</v>
      </c>
      <c r="O388" s="58">
        <v>335128</v>
      </c>
      <c r="P388" s="58">
        <v>384712</v>
      </c>
      <c r="Q388" s="58">
        <v>357794</v>
      </c>
      <c r="R388" s="58">
        <v>374492</v>
      </c>
      <c r="S388" s="58">
        <v>387643</v>
      </c>
      <c r="T388" s="58">
        <v>409201</v>
      </c>
      <c r="U388" s="58">
        <v>386052</v>
      </c>
      <c r="V388" s="58">
        <v>423442</v>
      </c>
      <c r="W388" s="61">
        <v>499041</v>
      </c>
      <c r="X388" s="22">
        <f t="shared" si="9"/>
        <v>1.6275643160062803E-2</v>
      </c>
      <c r="Y388" s="22">
        <f t="shared" si="10"/>
        <v>1.8479789161157001E-2</v>
      </c>
      <c r="Z388" s="22">
        <f t="shared" si="11"/>
        <v>3.1430831623205036E-2</v>
      </c>
      <c r="AA388" s="22">
        <f t="shared" si="12"/>
        <v>6.9349041110899456E-2</v>
      </c>
    </row>
    <row r="389" spans="1:27" customFormat="1" hidden="1" x14ac:dyDescent="0.3">
      <c r="B389" s="19" t="s">
        <v>187</v>
      </c>
      <c r="C389" s="19" t="s">
        <v>23</v>
      </c>
      <c r="D389" s="19" t="s">
        <v>113</v>
      </c>
      <c r="E389" s="19" t="s">
        <v>35</v>
      </c>
      <c r="F389" s="19">
        <v>-2.7015205701494849</v>
      </c>
      <c r="G389" s="19">
        <v>159.66</v>
      </c>
      <c r="H389" s="19">
        <v>187.07</v>
      </c>
      <c r="I389" s="19">
        <v>164.67</v>
      </c>
      <c r="J389" s="19">
        <v>172.2</v>
      </c>
      <c r="K389" s="19">
        <v>173.88</v>
      </c>
      <c r="L389" s="19">
        <v>240.69</v>
      </c>
      <c r="M389" s="19">
        <v>213.56</v>
      </c>
      <c r="N389" s="19">
        <v>170.28</v>
      </c>
      <c r="O389" s="19">
        <v>196.28</v>
      </c>
      <c r="P389" s="19">
        <v>201.31</v>
      </c>
      <c r="Q389" s="19">
        <v>208.73</v>
      </c>
      <c r="R389" s="19">
        <v>182.12</v>
      </c>
      <c r="S389" s="19">
        <v>184.89</v>
      </c>
      <c r="T389" s="19">
        <v>221.23</v>
      </c>
      <c r="U389" s="19">
        <v>199.98</v>
      </c>
      <c r="V389" s="19">
        <v>171.24</v>
      </c>
      <c r="W389" s="25">
        <v>163.89</v>
      </c>
      <c r="X389" s="22">
        <f t="shared" si="9"/>
        <v>2.5635415996396738E-2</v>
      </c>
      <c r="Y389" s="22">
        <f t="shared" si="10"/>
        <v>-1.097908327791508E-2</v>
      </c>
      <c r="Z389" s="22">
        <f t="shared" si="11"/>
        <v>-1.3803252898936802E-2</v>
      </c>
      <c r="AA389" s="22">
        <f t="shared" si="12"/>
        <v>-2.7015205701494849E-2</v>
      </c>
    </row>
    <row r="390" spans="1:27" ht="15" x14ac:dyDescent="0.25">
      <c r="A390" s="4">
        <v>260128</v>
      </c>
      <c r="B390" s="29" t="s">
        <v>180</v>
      </c>
      <c r="C390" s="19" t="s">
        <v>31</v>
      </c>
      <c r="D390" s="46" t="str">
        <f>VLOOKUP(B390,'실적 기업 정보'!B21:G176,2,FALSE)</f>
        <v>Lodha Developers Limited</v>
      </c>
      <c r="E390" s="19" t="s">
        <v>25</v>
      </c>
      <c r="F390" s="47">
        <v>3.7415505696423379</v>
      </c>
      <c r="G390" s="58">
        <v>20594</v>
      </c>
      <c r="H390" s="58">
        <v>34446</v>
      </c>
      <c r="I390" s="58">
        <v>26758</v>
      </c>
      <c r="J390" s="58">
        <v>17654</v>
      </c>
      <c r="K390" s="58">
        <v>17738</v>
      </c>
      <c r="L390" s="58">
        <v>32554</v>
      </c>
      <c r="M390" s="58">
        <v>16174</v>
      </c>
      <c r="N390" s="58">
        <v>17496</v>
      </c>
      <c r="O390" s="59">
        <v>29306</v>
      </c>
      <c r="P390" s="58">
        <v>41300</v>
      </c>
      <c r="Q390" s="59">
        <v>28465</v>
      </c>
      <c r="R390" s="58">
        <v>26257</v>
      </c>
      <c r="S390" s="58">
        <v>40830</v>
      </c>
      <c r="T390" s="58">
        <v>43823</v>
      </c>
      <c r="U390" s="58">
        <v>34917</v>
      </c>
      <c r="V390" s="58">
        <v>37985</v>
      </c>
      <c r="W390" s="61">
        <v>46725</v>
      </c>
      <c r="X390" s="22">
        <f t="shared" si="9"/>
        <v>1.8435974629526841E-2</v>
      </c>
      <c r="Y390" s="22">
        <f t="shared" si="10"/>
        <v>4.6292376681614344E-2</v>
      </c>
      <c r="Z390" s="22">
        <f t="shared" si="11"/>
        <v>8.0424064130785178E-2</v>
      </c>
      <c r="AA390" s="22">
        <f t="shared" si="12"/>
        <v>3.7415505696423379E-2</v>
      </c>
    </row>
    <row r="391" spans="1:27" ht="15" x14ac:dyDescent="0.25">
      <c r="A391" s="4">
        <v>260128</v>
      </c>
      <c r="B391" s="29" t="s">
        <v>30</v>
      </c>
      <c r="C391" s="19" t="s">
        <v>31</v>
      </c>
      <c r="D391" s="46" t="str">
        <f>VLOOKUP(B391,'실적 기업 정보'!B22:G177,2,FALSE)</f>
        <v>Sundram Fasteners Limited</v>
      </c>
      <c r="E391" s="19" t="s">
        <v>25</v>
      </c>
      <c r="F391" s="47">
        <v>1.8652196279517419</v>
      </c>
      <c r="G391" s="58">
        <v>12075</v>
      </c>
      <c r="H391" s="58">
        <v>13398</v>
      </c>
      <c r="I391" s="58">
        <v>14101</v>
      </c>
      <c r="J391" s="58">
        <v>14017</v>
      </c>
      <c r="K391" s="58">
        <v>14030</v>
      </c>
      <c r="L391" s="58">
        <v>14480</v>
      </c>
      <c r="M391" s="58">
        <v>14108</v>
      </c>
      <c r="N391" s="58">
        <v>14218</v>
      </c>
      <c r="O391" s="58">
        <v>13673</v>
      </c>
      <c r="P391" s="58">
        <v>14665</v>
      </c>
      <c r="Q391" s="58">
        <v>14977</v>
      </c>
      <c r="R391" s="58">
        <v>14860</v>
      </c>
      <c r="S391" s="58">
        <v>14411</v>
      </c>
      <c r="T391" s="58">
        <v>15306</v>
      </c>
      <c r="U391" s="58">
        <v>15334</v>
      </c>
      <c r="V391" s="58">
        <v>15210</v>
      </c>
      <c r="W391" s="61">
        <v>15535</v>
      </c>
      <c r="X391" s="22">
        <f t="shared" si="9"/>
        <v>1.0880450834281019E-2</v>
      </c>
      <c r="Y391" s="22">
        <f t="shared" si="10"/>
        <v>5.9945595593915435E-3</v>
      </c>
      <c r="Z391" s="22">
        <f t="shared" si="11"/>
        <v>5.8419989651317117E-3</v>
      </c>
      <c r="AA391" s="22">
        <f t="shared" si="12"/>
        <v>1.8652196279517419E-2</v>
      </c>
    </row>
    <row r="392" spans="1:27" ht="15" x14ac:dyDescent="0.25">
      <c r="A392" s="4">
        <v>260128</v>
      </c>
      <c r="B392" s="29" t="s">
        <v>103</v>
      </c>
      <c r="C392" s="19" t="s">
        <v>31</v>
      </c>
      <c r="D392" s="46" t="str">
        <f>VLOOKUP(B392,'실적 기업 정보'!B23:G178,2,FALSE)</f>
        <v>Birlasoft Limited</v>
      </c>
      <c r="E392" s="19" t="s">
        <v>25</v>
      </c>
      <c r="F392" s="47">
        <v>0.32115464540749539</v>
      </c>
      <c r="G392" s="58">
        <v>10719</v>
      </c>
      <c r="H392" s="58">
        <v>11014</v>
      </c>
      <c r="I392" s="58">
        <v>11544</v>
      </c>
      <c r="J392" s="58">
        <v>11921</v>
      </c>
      <c r="K392" s="58">
        <v>12219</v>
      </c>
      <c r="L392" s="58">
        <v>12264</v>
      </c>
      <c r="M392" s="58">
        <v>12628</v>
      </c>
      <c r="N392" s="58">
        <v>13099</v>
      </c>
      <c r="O392" s="58">
        <v>13430</v>
      </c>
      <c r="P392" s="58">
        <v>13625</v>
      </c>
      <c r="Q392" s="58">
        <v>13274</v>
      </c>
      <c r="R392" s="58">
        <v>13682</v>
      </c>
      <c r="S392" s="58">
        <v>13627</v>
      </c>
      <c r="T392" s="58">
        <v>13169</v>
      </c>
      <c r="U392" s="58">
        <v>12849</v>
      </c>
      <c r="V392" s="58">
        <v>13289</v>
      </c>
      <c r="W392" s="61">
        <v>13797</v>
      </c>
      <c r="X392" s="22">
        <f t="shared" si="9"/>
        <v>-8.4120425029515777E-3</v>
      </c>
      <c r="Y392" s="22">
        <f t="shared" si="10"/>
        <v>-7.9066825420449627E-3</v>
      </c>
      <c r="Z392" s="22">
        <f t="shared" si="11"/>
        <v>-7.3696251429857806E-3</v>
      </c>
      <c r="AA392" s="22">
        <f t="shared" si="12"/>
        <v>3.2115464540749539E-3</v>
      </c>
    </row>
    <row r="393" spans="1:27" ht="15" x14ac:dyDescent="0.25">
      <c r="A393" s="4">
        <v>260128</v>
      </c>
      <c r="B393" s="29" t="s">
        <v>43</v>
      </c>
      <c r="C393" s="19" t="s">
        <v>31</v>
      </c>
      <c r="D393" s="46" t="str">
        <f>VLOOKUP(B393,'실적 기업 정보'!B24:G179,2,FALSE)</f>
        <v>Piramal Pharma Limited</v>
      </c>
      <c r="E393" s="19" t="s">
        <v>25</v>
      </c>
      <c r="F393" s="47">
        <v>-0.23613147263225051</v>
      </c>
      <c r="G393" s="58">
        <v>15020</v>
      </c>
      <c r="H393" s="58">
        <v>23064</v>
      </c>
      <c r="I393" s="58">
        <v>14820</v>
      </c>
      <c r="J393" s="58">
        <v>17662</v>
      </c>
      <c r="K393" s="58">
        <v>15979</v>
      </c>
      <c r="L393" s="58">
        <v>21636</v>
      </c>
      <c r="M393" s="58">
        <v>17489</v>
      </c>
      <c r="N393" s="58">
        <v>19114</v>
      </c>
      <c r="O393" s="58">
        <v>19586</v>
      </c>
      <c r="P393" s="58">
        <v>25524</v>
      </c>
      <c r="Q393" s="58">
        <v>19511</v>
      </c>
      <c r="R393" s="58">
        <v>22418</v>
      </c>
      <c r="S393" s="58">
        <v>22042</v>
      </c>
      <c r="T393" s="58">
        <v>27541</v>
      </c>
      <c r="U393" s="58">
        <v>19337</v>
      </c>
      <c r="V393" s="58">
        <v>20437</v>
      </c>
      <c r="W393" s="61">
        <v>21831</v>
      </c>
      <c r="X393" s="22">
        <f t="shared" si="9"/>
        <v>2.2537571931392719E-2</v>
      </c>
      <c r="Y393" s="22">
        <f t="shared" si="10"/>
        <v>-1.901389981641799E-3</v>
      </c>
      <c r="Z393" s="22">
        <f t="shared" si="11"/>
        <v>-2.1688672841533641E-2</v>
      </c>
      <c r="AA393" s="22">
        <f t="shared" si="12"/>
        <v>-2.3613147263225054E-3</v>
      </c>
    </row>
    <row r="394" spans="1:27" customFormat="1" hidden="1" x14ac:dyDescent="0.3">
      <c r="B394" s="19" t="s">
        <v>192</v>
      </c>
      <c r="C394" s="19" t="s">
        <v>31</v>
      </c>
      <c r="D394" s="19" t="s">
        <v>32</v>
      </c>
      <c r="E394" s="19" t="s">
        <v>35</v>
      </c>
      <c r="F394" s="19">
        <v>4.5530247660583889</v>
      </c>
      <c r="G394" s="19">
        <v>763.86</v>
      </c>
      <c r="H394" s="19">
        <v>561.66</v>
      </c>
      <c r="I394" s="19">
        <v>658.81</v>
      </c>
      <c r="J394" s="19">
        <v>545.69000000000005</v>
      </c>
      <c r="K394" s="19">
        <v>847.65</v>
      </c>
      <c r="L394" s="19">
        <v>621.5</v>
      </c>
      <c r="M394" s="19">
        <v>775.1</v>
      </c>
      <c r="N394" s="19">
        <v>664.19</v>
      </c>
      <c r="O394" s="19">
        <v>964.41</v>
      </c>
      <c r="P394" s="19">
        <v>786.77</v>
      </c>
      <c r="Q394" s="19">
        <v>901.48</v>
      </c>
      <c r="R394" s="19">
        <v>789.2</v>
      </c>
      <c r="S394" s="19">
        <v>1174</v>
      </c>
      <c r="T394" s="19">
        <v>1030</v>
      </c>
      <c r="U394" s="19">
        <v>1030</v>
      </c>
      <c r="V394" s="19">
        <v>939.05</v>
      </c>
      <c r="W394" s="25">
        <v>1364</v>
      </c>
      <c r="X394" s="22">
        <f t="shared" si="9"/>
        <v>6.6611893905161201E-2</v>
      </c>
      <c r="Y394" s="22">
        <f t="shared" si="10"/>
        <v>3.2998859983361717E-2</v>
      </c>
      <c r="Z394" s="22">
        <f t="shared" si="11"/>
        <v>3.7246470471266724E-2</v>
      </c>
      <c r="AA394" s="22">
        <f t="shared" si="12"/>
        <v>4.5530247660583889E-2</v>
      </c>
    </row>
    <row r="395" spans="1:27" x14ac:dyDescent="0.3">
      <c r="A395" s="70">
        <v>260127</v>
      </c>
      <c r="B395" s="68" t="s">
        <v>418</v>
      </c>
      <c r="C395" s="2" t="s">
        <v>23</v>
      </c>
      <c r="D395" s="2" t="s">
        <v>29</v>
      </c>
      <c r="F395" s="69">
        <v>57.008956467402612</v>
      </c>
      <c r="G395" s="2">
        <v>61.63</v>
      </c>
      <c r="H395" s="2">
        <v>63.43</v>
      </c>
      <c r="I395" s="2">
        <v>70.489999999999995</v>
      </c>
      <c r="J395" s="2">
        <v>68.06</v>
      </c>
      <c r="K395" s="2">
        <v>46.56</v>
      </c>
      <c r="L395" s="2">
        <v>44.61</v>
      </c>
      <c r="M395" s="2">
        <v>46.98</v>
      </c>
      <c r="N395" s="2">
        <v>47.14</v>
      </c>
      <c r="O395" s="2">
        <v>52.49</v>
      </c>
      <c r="P395" s="2">
        <v>44.89</v>
      </c>
      <c r="Q395" s="2">
        <v>46.18</v>
      </c>
      <c r="R395" s="2">
        <v>50.33</v>
      </c>
      <c r="S395" s="2">
        <v>-26.05</v>
      </c>
      <c r="T395" s="2">
        <v>53.75</v>
      </c>
      <c r="U395" s="3">
        <v>59.29</v>
      </c>
      <c r="V395" s="2">
        <v>57.04</v>
      </c>
      <c r="W395" s="3">
        <v>56.06</v>
      </c>
      <c r="X395" s="107">
        <f t="shared" ref="X395:X458" si="13">SUM(Q395:T395)/SUM(P395:S395)-1</f>
        <v>7.6809709579540586E-2</v>
      </c>
      <c r="Y395" s="22">
        <f t="shared" ref="Y395:Y458" si="14">SUM(R395:U395)/SUM(Q395:T395)-1</f>
        <v>0.10554705740278569</v>
      </c>
      <c r="Z395" s="22">
        <f t="shared" ref="Z395:Z458" si="15">SUM(S395:V395)/SUM(R395:U395)-1</f>
        <v>4.8863967375473383E-2</v>
      </c>
      <c r="AA395" s="22">
        <f t="shared" ref="AA395:AA458" si="16">SUM(T395:W395)/SUM(S395:V395)-1</f>
        <v>0.57008956467402605</v>
      </c>
    </row>
    <row r="396" spans="1:27" x14ac:dyDescent="0.3">
      <c r="A396" s="70">
        <v>260127</v>
      </c>
      <c r="B396" s="68" t="s">
        <v>419</v>
      </c>
      <c r="C396" s="2" t="s">
        <v>23</v>
      </c>
      <c r="D396" s="2" t="s">
        <v>29</v>
      </c>
      <c r="F396" s="69">
        <v>19.927170622559551</v>
      </c>
      <c r="G396" s="2">
        <v>50.17</v>
      </c>
      <c r="H396" s="2">
        <v>50.63</v>
      </c>
      <c r="I396" s="2">
        <v>51.54</v>
      </c>
      <c r="J396" s="2">
        <v>56.78</v>
      </c>
      <c r="K396" s="2">
        <v>56.89</v>
      </c>
      <c r="L396" s="2">
        <v>54.39</v>
      </c>
      <c r="M396" s="2">
        <v>53.15</v>
      </c>
      <c r="N396" s="2">
        <v>54.04</v>
      </c>
      <c r="O396" s="2">
        <v>55.59</v>
      </c>
      <c r="P396" s="2">
        <v>52.86</v>
      </c>
      <c r="Q396" s="2">
        <v>51.99</v>
      </c>
      <c r="R396" s="2">
        <v>56.08</v>
      </c>
      <c r="S396" s="2">
        <v>56.44</v>
      </c>
      <c r="T396" s="2">
        <v>55.38</v>
      </c>
      <c r="U396" s="2">
        <v>56.87</v>
      </c>
      <c r="V396" s="2">
        <v>59.24</v>
      </c>
      <c r="W396" s="3">
        <v>101.86</v>
      </c>
      <c r="X396" s="107">
        <f t="shared" si="13"/>
        <v>1.1593136127340475E-2</v>
      </c>
      <c r="Y396" s="22">
        <f t="shared" si="14"/>
        <v>2.2192914639137751E-2</v>
      </c>
      <c r="Z396" s="22">
        <f t="shared" si="15"/>
        <v>1.4058815678248848E-2</v>
      </c>
      <c r="AA396" s="22">
        <f t="shared" si="16"/>
        <v>0.19927170622559554</v>
      </c>
    </row>
    <row r="397" spans="1:27" x14ac:dyDescent="0.3">
      <c r="A397" s="70">
        <v>260127</v>
      </c>
      <c r="B397" s="68" t="s">
        <v>420</v>
      </c>
      <c r="C397" s="2" t="s">
        <v>23</v>
      </c>
      <c r="D397" s="2" t="s">
        <v>29</v>
      </c>
      <c r="F397" s="69">
        <v>14.067738624700651</v>
      </c>
      <c r="G397" s="2">
        <v>110.33</v>
      </c>
      <c r="H397" s="2">
        <v>106.08</v>
      </c>
      <c r="I397" s="2">
        <v>105.29</v>
      </c>
      <c r="J397" s="2">
        <v>114.87</v>
      </c>
      <c r="K397" s="2">
        <v>119.37</v>
      </c>
      <c r="L397" s="2">
        <v>116.75</v>
      </c>
      <c r="M397" s="2">
        <v>106.06</v>
      </c>
      <c r="N397" s="2">
        <v>108.44</v>
      </c>
      <c r="O397" s="2">
        <v>108.19</v>
      </c>
      <c r="P397" s="2">
        <v>101.55</v>
      </c>
      <c r="Q397" s="2">
        <v>119.19</v>
      </c>
      <c r="R397" s="2">
        <v>118.08</v>
      </c>
      <c r="S397" s="2">
        <v>115.53</v>
      </c>
      <c r="T397" s="2">
        <v>72.64</v>
      </c>
      <c r="U397" s="3">
        <v>199.07</v>
      </c>
      <c r="V397" s="3">
        <v>197.36</v>
      </c>
      <c r="W397" s="3">
        <v>197.77</v>
      </c>
      <c r="X397" s="107">
        <f t="shared" si="13"/>
        <v>-6.3629360625068965E-2</v>
      </c>
      <c r="Y397" s="22">
        <f t="shared" si="14"/>
        <v>0.18775855584806322</v>
      </c>
      <c r="Z397" s="22">
        <f t="shared" si="15"/>
        <v>0.15689068313148113</v>
      </c>
      <c r="AA397" s="22">
        <f t="shared" si="16"/>
        <v>0.14067738624700654</v>
      </c>
    </row>
    <row r="398" spans="1:27" x14ac:dyDescent="0.3">
      <c r="A398" s="70">
        <v>260127</v>
      </c>
      <c r="B398" s="68" t="s">
        <v>421</v>
      </c>
      <c r="C398" s="2" t="s">
        <v>23</v>
      </c>
      <c r="D398" s="2" t="s">
        <v>29</v>
      </c>
      <c r="F398" s="69">
        <v>13.293955299913589</v>
      </c>
      <c r="G398" s="2">
        <v>149.53</v>
      </c>
      <c r="H398" s="2">
        <v>135.59</v>
      </c>
      <c r="I398" s="2">
        <v>148.72999999999999</v>
      </c>
      <c r="J398" s="2">
        <v>161.69999999999999</v>
      </c>
      <c r="K398" s="2">
        <v>160.66</v>
      </c>
      <c r="L398" s="2">
        <v>166.61</v>
      </c>
      <c r="M398" s="2">
        <v>145.44</v>
      </c>
      <c r="N398" s="2">
        <v>160.97</v>
      </c>
      <c r="O398" s="2">
        <v>143.79</v>
      </c>
      <c r="P398" s="2">
        <v>162.22999999999999</v>
      </c>
      <c r="Q398" s="2">
        <v>160.49</v>
      </c>
      <c r="R398" s="2">
        <v>219.36</v>
      </c>
      <c r="S398" s="2">
        <v>164.5</v>
      </c>
      <c r="T398" s="2">
        <v>165.92</v>
      </c>
      <c r="U398" s="2">
        <v>185.87</v>
      </c>
      <c r="V398" s="2">
        <v>259.10000000000002</v>
      </c>
      <c r="W398" s="3">
        <v>267.58</v>
      </c>
      <c r="X398" s="107">
        <f t="shared" si="13"/>
        <v>5.2223385886946971E-3</v>
      </c>
      <c r="Y398" s="22">
        <f t="shared" si="14"/>
        <v>3.5732890309319032E-2</v>
      </c>
      <c r="Z398" s="22">
        <f t="shared" si="15"/>
        <v>5.4020254196968764E-2</v>
      </c>
      <c r="AA398" s="22">
        <f t="shared" si="16"/>
        <v>0.13293955299913596</v>
      </c>
    </row>
    <row r="399" spans="1:27" x14ac:dyDescent="0.3">
      <c r="A399" s="70">
        <v>260127</v>
      </c>
      <c r="B399" s="68" t="s">
        <v>422</v>
      </c>
      <c r="C399" s="2" t="s">
        <v>23</v>
      </c>
      <c r="D399" s="2" t="s">
        <v>29</v>
      </c>
      <c r="F399" s="69">
        <v>12.659894997023139</v>
      </c>
      <c r="G399" s="2">
        <v>320.85000000000002</v>
      </c>
      <c r="H399" s="2">
        <v>340.53</v>
      </c>
      <c r="I399" s="2">
        <v>387.73</v>
      </c>
      <c r="J399" s="2">
        <v>340.21</v>
      </c>
      <c r="K399" s="2">
        <v>361.66</v>
      </c>
      <c r="L399" s="2">
        <v>348.65</v>
      </c>
      <c r="M399" s="2">
        <v>350.69</v>
      </c>
      <c r="N399" s="2">
        <v>350.63</v>
      </c>
      <c r="O399" s="2">
        <v>370.78</v>
      </c>
      <c r="P399" s="2">
        <v>388.68</v>
      </c>
      <c r="Q399" s="2">
        <v>375.98</v>
      </c>
      <c r="R399" s="2">
        <v>388.12</v>
      </c>
      <c r="S399" s="2">
        <v>415.19</v>
      </c>
      <c r="T399" s="2">
        <v>477.84</v>
      </c>
      <c r="U399" s="3">
        <v>665.71</v>
      </c>
      <c r="V399" s="3">
        <v>658.34</v>
      </c>
      <c r="W399" s="3">
        <v>695.87</v>
      </c>
      <c r="X399" s="107">
        <f t="shared" si="13"/>
        <v>5.6863332844378167E-2</v>
      </c>
      <c r="Y399" s="22">
        <f t="shared" si="14"/>
        <v>0.1748384254705424</v>
      </c>
      <c r="Z399" s="22">
        <f t="shared" si="15"/>
        <v>0.13879785911673159</v>
      </c>
      <c r="AA399" s="22">
        <f t="shared" si="16"/>
        <v>0.12659894997023113</v>
      </c>
    </row>
    <row r="400" spans="1:27" x14ac:dyDescent="0.3">
      <c r="A400" s="70">
        <v>260127</v>
      </c>
      <c r="B400" s="68" t="s">
        <v>423</v>
      </c>
      <c r="C400" s="2" t="s">
        <v>23</v>
      </c>
      <c r="D400" s="2" t="s">
        <v>29</v>
      </c>
      <c r="F400" s="69">
        <v>12.38035969879892</v>
      </c>
      <c r="G400" s="2">
        <v>154.6</v>
      </c>
      <c r="H400" s="2">
        <v>141.53</v>
      </c>
      <c r="I400" s="2">
        <v>140.02000000000001</v>
      </c>
      <c r="J400" s="2">
        <v>157.29</v>
      </c>
      <c r="K400" s="2">
        <v>154.52000000000001</v>
      </c>
      <c r="L400" s="2">
        <v>148.41</v>
      </c>
      <c r="M400" s="2">
        <v>150.38</v>
      </c>
      <c r="N400" s="2">
        <v>142.22999999999999</v>
      </c>
      <c r="O400" s="2">
        <v>143.03</v>
      </c>
      <c r="P400" s="2">
        <v>140.58000000000001</v>
      </c>
      <c r="Q400" s="2">
        <v>137.41</v>
      </c>
      <c r="R400" s="2">
        <v>145.96</v>
      </c>
      <c r="S400" s="2">
        <v>163.04</v>
      </c>
      <c r="T400" s="2">
        <v>123.4</v>
      </c>
      <c r="U400" s="3">
        <v>257.51</v>
      </c>
      <c r="V400" s="3">
        <v>259.5</v>
      </c>
      <c r="W400" s="3">
        <v>262.51</v>
      </c>
      <c r="X400" s="107">
        <f t="shared" si="13"/>
        <v>-2.926796027189571E-2</v>
      </c>
      <c r="Y400" s="22">
        <f t="shared" si="14"/>
        <v>0.21077201172320614</v>
      </c>
      <c r="Z400" s="22">
        <f t="shared" si="15"/>
        <v>0.16457219057558237</v>
      </c>
      <c r="AA400" s="22">
        <f t="shared" si="16"/>
        <v>0.12380359698798915</v>
      </c>
    </row>
    <row r="401" spans="1:27" x14ac:dyDescent="0.3">
      <c r="A401" s="70">
        <v>260127</v>
      </c>
      <c r="B401" s="68" t="s">
        <v>424</v>
      </c>
      <c r="C401" s="2" t="s">
        <v>23</v>
      </c>
      <c r="D401" s="2" t="s">
        <v>131</v>
      </c>
      <c r="F401" s="69">
        <v>10.78048961699916</v>
      </c>
      <c r="G401" s="2">
        <v>14793</v>
      </c>
      <c r="H401" s="2">
        <v>13991</v>
      </c>
      <c r="I401" s="2">
        <v>16681</v>
      </c>
      <c r="J401" s="2">
        <v>15956</v>
      </c>
      <c r="K401" s="2">
        <v>19980</v>
      </c>
      <c r="L401" s="2">
        <v>17921</v>
      </c>
      <c r="M401" s="2">
        <v>19751</v>
      </c>
      <c r="N401" s="2">
        <v>18104</v>
      </c>
      <c r="O401" s="2">
        <v>22018</v>
      </c>
      <c r="P401" s="2">
        <v>16569</v>
      </c>
      <c r="Q401" s="2">
        <v>16866</v>
      </c>
      <c r="R401" s="2">
        <v>17840</v>
      </c>
      <c r="S401" s="2">
        <v>15242</v>
      </c>
      <c r="T401" s="2">
        <v>19496</v>
      </c>
      <c r="U401" s="2">
        <v>22749</v>
      </c>
      <c r="V401" s="2">
        <v>23270</v>
      </c>
      <c r="W401" s="3">
        <v>23948</v>
      </c>
      <c r="X401" s="107">
        <f t="shared" si="13"/>
        <v>4.4003788505194263E-2</v>
      </c>
      <c r="Y401" s="22">
        <f t="shared" si="14"/>
        <v>8.4715742180750064E-2</v>
      </c>
      <c r="Z401" s="22">
        <f t="shared" si="15"/>
        <v>7.2085706320442977E-2</v>
      </c>
      <c r="AA401" s="22">
        <f t="shared" si="16"/>
        <v>0.10780489616999156</v>
      </c>
    </row>
    <row r="402" spans="1:27" x14ac:dyDescent="0.3">
      <c r="A402" s="70">
        <v>260127</v>
      </c>
      <c r="B402" s="68" t="s">
        <v>425</v>
      </c>
      <c r="C402" s="2" t="s">
        <v>23</v>
      </c>
      <c r="D402" s="2" t="s">
        <v>29</v>
      </c>
      <c r="F402" s="69">
        <v>8.5087597007295948</v>
      </c>
      <c r="G402" s="2">
        <v>47.67</v>
      </c>
      <c r="H402" s="2">
        <v>47.27</v>
      </c>
      <c r="I402" s="2">
        <v>45.33</v>
      </c>
      <c r="J402" s="2">
        <v>45</v>
      </c>
      <c r="K402" s="2">
        <v>46.3</v>
      </c>
      <c r="L402" s="2">
        <v>42.14</v>
      </c>
      <c r="M402" s="2">
        <v>42.7</v>
      </c>
      <c r="N402" s="2">
        <v>38.229999999999997</v>
      </c>
      <c r="O402" s="2">
        <v>38.130000000000003</v>
      </c>
      <c r="P402" s="2">
        <v>43.7</v>
      </c>
      <c r="Q402" s="2">
        <v>42.18</v>
      </c>
      <c r="R402" s="2">
        <v>44.75</v>
      </c>
      <c r="S402" s="2">
        <v>46.77</v>
      </c>
      <c r="T402" s="2">
        <v>50.63</v>
      </c>
      <c r="U402" s="2">
        <v>55.36</v>
      </c>
      <c r="V402" s="2">
        <v>62.43</v>
      </c>
      <c r="W402" s="2">
        <v>65.08</v>
      </c>
      <c r="X402" s="107">
        <f t="shared" si="13"/>
        <v>3.9064261555806112E-2</v>
      </c>
      <c r="Y402" s="22">
        <f t="shared" si="14"/>
        <v>7.1502197146422031E-2</v>
      </c>
      <c r="Z402" s="22">
        <f t="shared" si="15"/>
        <v>8.9514454964305656E-2</v>
      </c>
      <c r="AA402" s="22">
        <f t="shared" si="16"/>
        <v>8.5087597007295956E-2</v>
      </c>
    </row>
    <row r="403" spans="1:27" x14ac:dyDescent="0.3">
      <c r="A403" s="70">
        <v>260127</v>
      </c>
      <c r="B403" s="68" t="s">
        <v>426</v>
      </c>
      <c r="C403" s="2" t="s">
        <v>23</v>
      </c>
      <c r="D403" s="2" t="s">
        <v>29</v>
      </c>
      <c r="F403" s="69">
        <v>7.9056974459724927</v>
      </c>
      <c r="G403" s="2">
        <v>29.14</v>
      </c>
      <c r="H403" s="2">
        <v>29.95</v>
      </c>
      <c r="I403" s="2">
        <v>31.09</v>
      </c>
      <c r="J403" s="2">
        <v>33.869999999999997</v>
      </c>
      <c r="K403" s="2">
        <v>33.020000000000003</v>
      </c>
      <c r="L403" s="2">
        <v>29.89</v>
      </c>
      <c r="M403" s="2">
        <v>27.24</v>
      </c>
      <c r="N403" s="2">
        <v>27.75</v>
      </c>
      <c r="O403" s="2">
        <v>26.97</v>
      </c>
      <c r="P403" s="2">
        <v>25.43</v>
      </c>
      <c r="Q403" s="2">
        <v>26.16</v>
      </c>
      <c r="R403" s="2">
        <v>27.12</v>
      </c>
      <c r="S403" s="2">
        <v>27.33</v>
      </c>
      <c r="T403" s="2">
        <v>30.79</v>
      </c>
      <c r="U403" s="2">
        <v>34.08</v>
      </c>
      <c r="V403" s="2">
        <v>35.049999999999997</v>
      </c>
      <c r="W403" s="2">
        <v>37.39</v>
      </c>
      <c r="X403" s="107">
        <f t="shared" si="13"/>
        <v>5.0546963410033952E-2</v>
      </c>
      <c r="Y403" s="22">
        <f t="shared" si="14"/>
        <v>7.1095152603231515E-2</v>
      </c>
      <c r="Z403" s="22">
        <f t="shared" si="15"/>
        <v>6.6459939658062073E-2</v>
      </c>
      <c r="AA403" s="22">
        <f t="shared" si="16"/>
        <v>7.9056974459725149E-2</v>
      </c>
    </row>
    <row r="404" spans="1:27" x14ac:dyDescent="0.3">
      <c r="A404" s="70">
        <v>260127</v>
      </c>
      <c r="B404" s="68" t="s">
        <v>427</v>
      </c>
      <c r="C404" s="2" t="s">
        <v>23</v>
      </c>
      <c r="D404" s="2" t="s">
        <v>428</v>
      </c>
      <c r="F404" s="69">
        <v>6.8181144425800699</v>
      </c>
      <c r="G404" s="2">
        <v>337.61</v>
      </c>
      <c r="H404" s="2">
        <v>439.81</v>
      </c>
      <c r="I404" s="2">
        <v>403.23</v>
      </c>
      <c r="J404" s="2">
        <v>467.14</v>
      </c>
      <c r="K404" s="3">
        <v>513.37</v>
      </c>
      <c r="L404" s="2">
        <v>518.4</v>
      </c>
      <c r="M404" s="2">
        <v>479.54</v>
      </c>
      <c r="N404" s="2">
        <v>573.36</v>
      </c>
      <c r="O404" s="2">
        <v>710.43</v>
      </c>
      <c r="P404" s="2">
        <v>736.52</v>
      </c>
      <c r="Q404" s="2">
        <v>719.92</v>
      </c>
      <c r="R404" s="2">
        <v>635.57000000000005</v>
      </c>
      <c r="S404" s="2">
        <v>679.36</v>
      </c>
      <c r="T404" s="2">
        <v>924.34</v>
      </c>
      <c r="U404" s="2">
        <v>864.25</v>
      </c>
      <c r="V404" s="2">
        <v>905.27</v>
      </c>
      <c r="W404" s="2">
        <v>909.35</v>
      </c>
      <c r="X404" s="107">
        <f t="shared" si="13"/>
        <v>6.7771535377809444E-2</v>
      </c>
      <c r="Y404" s="22">
        <f t="shared" si="14"/>
        <v>4.8773481932555818E-2</v>
      </c>
      <c r="Z404" s="22">
        <f t="shared" si="15"/>
        <v>8.6901324947156633E-2</v>
      </c>
      <c r="AA404" s="22">
        <f t="shared" si="16"/>
        <v>6.8181144425800921E-2</v>
      </c>
    </row>
    <row r="405" spans="1:27" x14ac:dyDescent="0.3">
      <c r="A405" s="70">
        <v>260127</v>
      </c>
      <c r="B405" s="68" t="s">
        <v>429</v>
      </c>
      <c r="C405" s="2" t="s">
        <v>23</v>
      </c>
      <c r="D405" s="2" t="s">
        <v>99</v>
      </c>
      <c r="F405" s="69">
        <v>5.4323536899273162</v>
      </c>
      <c r="G405" s="2">
        <v>261.36</v>
      </c>
      <c r="H405" s="2">
        <v>246.21</v>
      </c>
      <c r="I405" s="2">
        <v>239.62</v>
      </c>
      <c r="J405" s="2">
        <v>263.27</v>
      </c>
      <c r="K405" s="2">
        <v>252.58</v>
      </c>
      <c r="L405" s="2">
        <v>242.57</v>
      </c>
      <c r="M405" s="2">
        <v>253.8</v>
      </c>
      <c r="N405" s="2">
        <v>270.95</v>
      </c>
      <c r="O405" s="2">
        <v>267.83</v>
      </c>
      <c r="P405" s="2">
        <v>280.27</v>
      </c>
      <c r="Q405" s="2">
        <v>299.24</v>
      </c>
      <c r="R405" s="2">
        <v>323.45</v>
      </c>
      <c r="S405" s="2">
        <v>336.05</v>
      </c>
      <c r="T405" s="2">
        <v>345.64</v>
      </c>
      <c r="U405" s="2">
        <v>358.68</v>
      </c>
      <c r="V405" s="2">
        <v>373.75</v>
      </c>
      <c r="W405" s="2">
        <v>412.87</v>
      </c>
      <c r="X405" s="107">
        <f t="shared" si="13"/>
        <v>5.2759864730712591E-2</v>
      </c>
      <c r="Y405" s="22">
        <f t="shared" si="14"/>
        <v>4.5569542617948544E-2</v>
      </c>
      <c r="Z405" s="22">
        <f t="shared" si="15"/>
        <v>3.6881699931076151E-2</v>
      </c>
      <c r="AA405" s="22">
        <f t="shared" si="16"/>
        <v>5.4323536899272939E-2</v>
      </c>
    </row>
    <row r="406" spans="1:27" x14ac:dyDescent="0.3">
      <c r="A406" s="70">
        <v>260127</v>
      </c>
      <c r="B406" s="68" t="s">
        <v>430</v>
      </c>
      <c r="C406" s="2" t="s">
        <v>23</v>
      </c>
      <c r="D406" s="2" t="s">
        <v>431</v>
      </c>
      <c r="F406" s="69">
        <v>5.0676047048477502</v>
      </c>
      <c r="G406" s="2">
        <v>3116</v>
      </c>
      <c r="H406" s="2">
        <v>2802</v>
      </c>
      <c r="I406" s="2">
        <v>2628</v>
      </c>
      <c r="J406" s="2">
        <v>2035</v>
      </c>
      <c r="K406" s="2">
        <v>1887</v>
      </c>
      <c r="L406" s="2">
        <v>1860</v>
      </c>
      <c r="M406" s="2">
        <v>1602</v>
      </c>
      <c r="N406" s="2">
        <v>1454</v>
      </c>
      <c r="O406" s="2">
        <v>1555</v>
      </c>
      <c r="P406" s="2">
        <v>1655</v>
      </c>
      <c r="Q406" s="2">
        <v>1887</v>
      </c>
      <c r="R406" s="3">
        <v>2168</v>
      </c>
      <c r="S406" s="3">
        <v>2325</v>
      </c>
      <c r="T406" s="2">
        <v>2160</v>
      </c>
      <c r="U406" s="2">
        <v>2444</v>
      </c>
      <c r="V406" s="2">
        <v>2629</v>
      </c>
      <c r="W406" s="2">
        <v>2825</v>
      </c>
      <c r="X406" s="107">
        <f t="shared" si="13"/>
        <v>6.2850031113876881E-2</v>
      </c>
      <c r="Y406" s="22">
        <f t="shared" si="14"/>
        <v>6.522248243559714E-2</v>
      </c>
      <c r="Z406" s="22">
        <f t="shared" si="15"/>
        <v>5.0676047048477502E-2</v>
      </c>
      <c r="AA406" s="22">
        <f t="shared" si="16"/>
        <v>5.2312199204854526E-2</v>
      </c>
    </row>
    <row r="407" spans="1:27" x14ac:dyDescent="0.3">
      <c r="A407" s="70">
        <v>260127</v>
      </c>
      <c r="B407" s="68" t="s">
        <v>432</v>
      </c>
      <c r="C407" s="2" t="s">
        <v>23</v>
      </c>
      <c r="D407" s="2" t="s">
        <v>115</v>
      </c>
      <c r="F407" s="69">
        <v>4.6722149218863862</v>
      </c>
      <c r="G407" s="2">
        <v>202.38</v>
      </c>
      <c r="H407" s="2">
        <v>205.95</v>
      </c>
      <c r="I407" s="2">
        <v>197.98</v>
      </c>
      <c r="J407" s="2">
        <v>188.06</v>
      </c>
      <c r="K407" s="2">
        <v>195.07</v>
      </c>
      <c r="L407" s="2">
        <v>203.48</v>
      </c>
      <c r="M407" s="2">
        <v>198.15</v>
      </c>
      <c r="N407" s="2">
        <v>201</v>
      </c>
      <c r="O407" s="2">
        <v>216.81</v>
      </c>
      <c r="P407" s="2">
        <v>223.29</v>
      </c>
      <c r="Q407" s="2">
        <v>224.67</v>
      </c>
      <c r="R407" s="2">
        <v>233.28</v>
      </c>
      <c r="S407" s="2">
        <v>262.63</v>
      </c>
      <c r="T407" s="2">
        <v>275.04000000000002</v>
      </c>
      <c r="U407" s="2">
        <v>281.98</v>
      </c>
      <c r="V407" s="2">
        <v>276.19</v>
      </c>
      <c r="W407" s="2">
        <v>313.83</v>
      </c>
      <c r="X407" s="107">
        <f t="shared" si="13"/>
        <v>5.4827465646752005E-2</v>
      </c>
      <c r="Y407" s="22">
        <f t="shared" si="14"/>
        <v>5.7562122094775292E-2</v>
      </c>
      <c r="Z407" s="22">
        <f t="shared" si="15"/>
        <v>4.075294653965611E-2</v>
      </c>
      <c r="AA407" s="22">
        <f t="shared" si="16"/>
        <v>4.6722149218863862E-2</v>
      </c>
    </row>
    <row r="408" spans="1:27" x14ac:dyDescent="0.3">
      <c r="A408" s="70">
        <v>260127</v>
      </c>
      <c r="B408" s="68" t="s">
        <v>433</v>
      </c>
      <c r="C408" s="2" t="s">
        <v>23</v>
      </c>
      <c r="D408" s="2" t="s">
        <v>29</v>
      </c>
      <c r="F408" s="69">
        <v>4.4085318757055569</v>
      </c>
      <c r="G408" s="2">
        <v>72.72</v>
      </c>
      <c r="H408" s="2">
        <v>64.28</v>
      </c>
      <c r="I408" s="2">
        <v>70.98</v>
      </c>
      <c r="J408" s="2">
        <v>81.86</v>
      </c>
      <c r="K408" s="2">
        <v>86.44</v>
      </c>
      <c r="L408" s="2">
        <v>78.72</v>
      </c>
      <c r="M408" s="2">
        <v>82.12</v>
      </c>
      <c r="N408" s="2">
        <v>78.040000000000006</v>
      </c>
      <c r="O408" s="2">
        <v>98.27</v>
      </c>
      <c r="P408" s="2">
        <v>78.59</v>
      </c>
      <c r="Q408" s="2">
        <v>81.56</v>
      </c>
      <c r="R408" s="2">
        <v>83.4</v>
      </c>
      <c r="S408" s="2">
        <v>86.68</v>
      </c>
      <c r="T408" s="2">
        <v>72.64</v>
      </c>
      <c r="U408" s="2">
        <v>80.150000000000006</v>
      </c>
      <c r="V408" s="2">
        <v>97.15</v>
      </c>
      <c r="W408" s="2">
        <v>101.52</v>
      </c>
      <c r="X408" s="107">
        <f t="shared" si="13"/>
        <v>-1.801774520788535E-2</v>
      </c>
      <c r="Y408" s="22">
        <f t="shared" si="14"/>
        <v>-4.3480942395461852E-3</v>
      </c>
      <c r="Z408" s="22">
        <f t="shared" si="15"/>
        <v>4.2586799640722317E-2</v>
      </c>
      <c r="AA408" s="22">
        <f t="shared" si="16"/>
        <v>4.4085318757055569E-2</v>
      </c>
    </row>
    <row r="409" spans="1:27" x14ac:dyDescent="0.3">
      <c r="A409" s="70">
        <v>260127</v>
      </c>
      <c r="B409" s="68" t="s">
        <v>434</v>
      </c>
      <c r="C409" s="2" t="s">
        <v>23</v>
      </c>
      <c r="D409" s="2" t="s">
        <v>435</v>
      </c>
      <c r="F409" s="69">
        <v>4.2398661495170797</v>
      </c>
      <c r="G409" s="2">
        <v>5046</v>
      </c>
      <c r="H409" s="2">
        <v>2890</v>
      </c>
      <c r="I409" s="2">
        <v>5183</v>
      </c>
      <c r="J409" s="2">
        <v>6719</v>
      </c>
      <c r="K409" s="2">
        <v>6164</v>
      </c>
      <c r="L409" s="3">
        <v>6716</v>
      </c>
      <c r="M409" s="2">
        <v>7349</v>
      </c>
      <c r="N409" s="2">
        <v>7172</v>
      </c>
      <c r="O409" s="2">
        <v>6878</v>
      </c>
      <c r="P409" s="2">
        <v>5731</v>
      </c>
      <c r="Q409" s="2">
        <v>6069</v>
      </c>
      <c r="R409" s="2">
        <v>7567</v>
      </c>
      <c r="S409" s="2">
        <v>5385</v>
      </c>
      <c r="T409" s="2">
        <v>6247</v>
      </c>
      <c r="U409" s="2">
        <v>6700</v>
      </c>
      <c r="V409" s="2">
        <v>7966</v>
      </c>
      <c r="W409" s="2">
        <v>6500</v>
      </c>
      <c r="X409" s="107">
        <f t="shared" si="13"/>
        <v>2.084680025856489E-2</v>
      </c>
      <c r="Y409" s="22">
        <f t="shared" si="14"/>
        <v>2.4972296976412789E-2</v>
      </c>
      <c r="Z409" s="22">
        <f t="shared" si="15"/>
        <v>1.5406000231669159E-2</v>
      </c>
      <c r="AA409" s="22">
        <f t="shared" si="16"/>
        <v>4.2398661495170797E-2</v>
      </c>
    </row>
    <row r="410" spans="1:27" x14ac:dyDescent="0.3">
      <c r="A410" s="70">
        <v>260127</v>
      </c>
      <c r="B410" s="68" t="s">
        <v>436</v>
      </c>
      <c r="C410" s="2" t="s">
        <v>23</v>
      </c>
      <c r="D410" s="2" t="s">
        <v>29</v>
      </c>
      <c r="F410" s="69">
        <v>3.8075908260604812</v>
      </c>
      <c r="G410" s="2">
        <v>74.739999999999995</v>
      </c>
      <c r="H410" s="2">
        <v>60.85</v>
      </c>
      <c r="I410" s="2">
        <v>66.760000000000005</v>
      </c>
      <c r="J410" s="2">
        <v>71.44</v>
      </c>
      <c r="K410" s="2">
        <v>71.97</v>
      </c>
      <c r="L410" s="2">
        <v>64.06</v>
      </c>
      <c r="M410" s="2">
        <v>61.49</v>
      </c>
      <c r="N410" s="2">
        <v>60.93</v>
      </c>
      <c r="O410" s="2">
        <v>62.69</v>
      </c>
      <c r="P410" s="2">
        <v>58.16</v>
      </c>
      <c r="Q410" s="2">
        <v>55.72</v>
      </c>
      <c r="R410" s="2">
        <v>56.2</v>
      </c>
      <c r="S410" s="2">
        <v>59.86</v>
      </c>
      <c r="T410" s="2">
        <v>60.1</v>
      </c>
      <c r="U410" s="2">
        <v>57.58</v>
      </c>
      <c r="V410" s="2">
        <v>68.81</v>
      </c>
      <c r="W410" s="2">
        <v>69.239999999999995</v>
      </c>
      <c r="X410" s="107">
        <f t="shared" si="13"/>
        <v>8.4369835609290345E-3</v>
      </c>
      <c r="Y410" s="22">
        <f t="shared" si="14"/>
        <v>8.0213903743315829E-3</v>
      </c>
      <c r="Z410" s="22">
        <f t="shared" si="15"/>
        <v>5.3948832035595196E-2</v>
      </c>
      <c r="AA410" s="22">
        <f t="shared" si="16"/>
        <v>3.8075908260604807E-2</v>
      </c>
    </row>
    <row r="411" spans="1:27" x14ac:dyDescent="0.3">
      <c r="A411" s="70">
        <v>260127</v>
      </c>
      <c r="B411" s="68" t="s">
        <v>437</v>
      </c>
      <c r="C411" s="2" t="s">
        <v>23</v>
      </c>
      <c r="D411" s="2" t="s">
        <v>29</v>
      </c>
      <c r="F411" s="69">
        <v>3.5841529238580749</v>
      </c>
      <c r="G411" s="2">
        <v>98.97</v>
      </c>
      <c r="H411" s="2">
        <v>90.11</v>
      </c>
      <c r="I411" s="2">
        <v>93.99</v>
      </c>
      <c r="J411" s="2">
        <v>102.3</v>
      </c>
      <c r="K411" s="2">
        <v>103.09</v>
      </c>
      <c r="L411" s="2">
        <v>109.28</v>
      </c>
      <c r="M411" s="2">
        <v>119.55</v>
      </c>
      <c r="N411" s="2">
        <v>116.65</v>
      </c>
      <c r="O411" s="2">
        <v>121.79</v>
      </c>
      <c r="P411" s="2">
        <v>111.91</v>
      </c>
      <c r="Q411" s="2">
        <v>112.3</v>
      </c>
      <c r="R411" s="2">
        <v>110.47</v>
      </c>
      <c r="S411" s="2">
        <v>113.83</v>
      </c>
      <c r="T411" s="2">
        <v>112.07</v>
      </c>
      <c r="U411" s="2">
        <v>118.26</v>
      </c>
      <c r="V411" s="2">
        <v>124.57</v>
      </c>
      <c r="W411" s="2">
        <v>130.63</v>
      </c>
      <c r="X411" s="107">
        <f t="shared" si="13"/>
        <v>3.5673675057412702E-4</v>
      </c>
      <c r="Y411" s="22">
        <f t="shared" si="14"/>
        <v>1.3283705173067206E-2</v>
      </c>
      <c r="Z411" s="22">
        <f t="shared" si="15"/>
        <v>3.1014231352968213E-2</v>
      </c>
      <c r="AA411" s="22">
        <f t="shared" si="16"/>
        <v>3.5841529238580971E-2</v>
      </c>
    </row>
    <row r="412" spans="1:27" x14ac:dyDescent="0.3">
      <c r="A412" s="70">
        <v>260127</v>
      </c>
      <c r="B412" s="68" t="s">
        <v>438</v>
      </c>
      <c r="C412" s="2" t="s">
        <v>23</v>
      </c>
      <c r="D412" s="2" t="s">
        <v>29</v>
      </c>
      <c r="F412" s="69">
        <v>3.5738182860966421</v>
      </c>
      <c r="G412" s="2">
        <v>110.75</v>
      </c>
      <c r="H412" s="2">
        <v>121.08</v>
      </c>
      <c r="I412" s="2">
        <v>117.41</v>
      </c>
      <c r="J412" s="2">
        <v>129.52000000000001</v>
      </c>
      <c r="K412" s="2">
        <v>128.94</v>
      </c>
      <c r="L412" s="2">
        <v>124.48</v>
      </c>
      <c r="M412" s="2">
        <v>108.74</v>
      </c>
      <c r="N412" s="2">
        <v>103.02</v>
      </c>
      <c r="O412" s="2">
        <v>115.62</v>
      </c>
      <c r="P412" s="2">
        <v>114.8</v>
      </c>
      <c r="Q412" s="2">
        <v>94.08</v>
      </c>
      <c r="R412" s="3">
        <v>201.26</v>
      </c>
      <c r="S412" s="3">
        <v>197.03</v>
      </c>
      <c r="T412" s="3">
        <v>208.12</v>
      </c>
      <c r="U412" s="3">
        <v>217.06</v>
      </c>
      <c r="V412" s="2">
        <v>214.71</v>
      </c>
      <c r="W412" s="2">
        <v>226.94</v>
      </c>
      <c r="X412" s="107">
        <f t="shared" si="13"/>
        <v>0.15369665826704226</v>
      </c>
      <c r="Y412" s="22">
        <f t="shared" si="14"/>
        <v>0.17556282031149628</v>
      </c>
      <c r="Z412" s="22">
        <f t="shared" si="15"/>
        <v>1.6333321189600181E-2</v>
      </c>
      <c r="AA412" s="22">
        <f t="shared" si="16"/>
        <v>3.5738182860966194E-2</v>
      </c>
    </row>
    <row r="413" spans="1:27" x14ac:dyDescent="0.3">
      <c r="A413" s="70">
        <v>260127</v>
      </c>
      <c r="B413" s="68" t="s">
        <v>439</v>
      </c>
      <c r="C413" s="2" t="s">
        <v>23</v>
      </c>
      <c r="D413" s="2" t="s">
        <v>131</v>
      </c>
      <c r="F413" s="69">
        <v>3.041122017025621</v>
      </c>
      <c r="G413" s="2">
        <v>17044</v>
      </c>
      <c r="H413" s="2">
        <v>15716</v>
      </c>
      <c r="I413" s="2">
        <v>16314</v>
      </c>
      <c r="J413" s="2">
        <v>16951</v>
      </c>
      <c r="K413" s="2">
        <v>18093</v>
      </c>
      <c r="L413" s="2">
        <v>17214</v>
      </c>
      <c r="M413" s="2">
        <v>18315</v>
      </c>
      <c r="N413" s="2">
        <v>13464</v>
      </c>
      <c r="O413" s="2">
        <v>19927</v>
      </c>
      <c r="P413" s="2">
        <v>19305</v>
      </c>
      <c r="Q413" s="2">
        <v>19721</v>
      </c>
      <c r="R413" s="2">
        <v>20089</v>
      </c>
      <c r="S413" s="2">
        <v>21623</v>
      </c>
      <c r="T413" s="2">
        <v>20306</v>
      </c>
      <c r="U413" s="2">
        <v>21581</v>
      </c>
      <c r="V413" s="2">
        <v>22478</v>
      </c>
      <c r="W413" s="2">
        <v>24238</v>
      </c>
      <c r="X413" s="107">
        <f t="shared" si="13"/>
        <v>1.2398127275879967E-2</v>
      </c>
      <c r="Y413" s="22">
        <f t="shared" si="14"/>
        <v>2.2755355460673643E-2</v>
      </c>
      <c r="Z413" s="22">
        <f t="shared" si="15"/>
        <v>2.8576896852833267E-2</v>
      </c>
      <c r="AA413" s="22">
        <f t="shared" si="16"/>
        <v>3.0411220170256215E-2</v>
      </c>
    </row>
    <row r="414" spans="1:27" x14ac:dyDescent="0.3">
      <c r="A414" s="70">
        <v>260127</v>
      </c>
      <c r="B414" s="68" t="s">
        <v>440</v>
      </c>
      <c r="C414" s="2" t="s">
        <v>23</v>
      </c>
      <c r="D414" s="2" t="s">
        <v>127</v>
      </c>
      <c r="F414" s="69">
        <v>2.91874991130936</v>
      </c>
      <c r="G414" s="2">
        <v>73743</v>
      </c>
      <c r="H414" s="2">
        <v>80149</v>
      </c>
      <c r="I414" s="2">
        <v>80332</v>
      </c>
      <c r="J414" s="2">
        <v>80894</v>
      </c>
      <c r="K414" s="2">
        <v>82787</v>
      </c>
      <c r="L414" s="2">
        <v>91931</v>
      </c>
      <c r="M414" s="2">
        <v>92903</v>
      </c>
      <c r="N414" s="2">
        <v>92361</v>
      </c>
      <c r="O414" s="2">
        <v>94427</v>
      </c>
      <c r="P414" s="2">
        <v>99796</v>
      </c>
      <c r="Q414" s="2">
        <v>98855</v>
      </c>
      <c r="R414" s="2">
        <v>100820</v>
      </c>
      <c r="S414" s="2">
        <v>100807</v>
      </c>
      <c r="T414" s="2">
        <v>109575</v>
      </c>
      <c r="U414" s="2">
        <v>111616</v>
      </c>
      <c r="V414" s="2">
        <v>113161</v>
      </c>
      <c r="W414" s="2">
        <v>113215</v>
      </c>
      <c r="X414" s="107">
        <f t="shared" si="13"/>
        <v>2.4430520788052412E-2</v>
      </c>
      <c r="Y414" s="22">
        <f t="shared" si="14"/>
        <v>3.1120063796008957E-2</v>
      </c>
      <c r="Z414" s="22">
        <f t="shared" si="15"/>
        <v>2.9187499113093596E-2</v>
      </c>
      <c r="AA414" s="22">
        <f t="shared" si="16"/>
        <v>2.8513715676339091E-2</v>
      </c>
    </row>
    <row r="415" spans="1:27" x14ac:dyDescent="0.3">
      <c r="A415" s="70">
        <v>260127</v>
      </c>
      <c r="B415" s="68" t="s">
        <v>441</v>
      </c>
      <c r="C415" s="2" t="s">
        <v>23</v>
      </c>
      <c r="D415" s="2" t="s">
        <v>29</v>
      </c>
      <c r="F415" s="69">
        <v>2.626663403197349</v>
      </c>
      <c r="G415" s="2">
        <v>157.52000000000001</v>
      </c>
      <c r="H415" s="2">
        <v>159.63999999999999</v>
      </c>
      <c r="I415" s="2">
        <v>161.19999999999999</v>
      </c>
      <c r="J415" s="2">
        <v>170.58</v>
      </c>
      <c r="K415" s="2">
        <v>173.16</v>
      </c>
      <c r="L415" s="2">
        <v>120.78</v>
      </c>
      <c r="M415" s="2">
        <v>174.51</v>
      </c>
      <c r="N415" s="2">
        <v>172.49</v>
      </c>
      <c r="O415" s="2">
        <v>172.89</v>
      </c>
      <c r="P415" s="2">
        <v>171.13</v>
      </c>
      <c r="Q415" s="2">
        <v>181.09</v>
      </c>
      <c r="R415" s="2">
        <v>181.23</v>
      </c>
      <c r="S415" s="2">
        <v>190.08</v>
      </c>
      <c r="T415" s="2">
        <v>189.56</v>
      </c>
      <c r="U415" s="2">
        <v>195.14</v>
      </c>
      <c r="V415" s="2">
        <v>201.49</v>
      </c>
      <c r="W415" s="2">
        <v>210.47</v>
      </c>
      <c r="X415" s="107">
        <f t="shared" si="13"/>
        <v>2.5472337014360136E-2</v>
      </c>
      <c r="Y415" s="22">
        <f t="shared" si="14"/>
        <v>1.8936330799503853E-2</v>
      </c>
      <c r="Z415" s="22">
        <f t="shared" si="15"/>
        <v>2.6798587320273626E-2</v>
      </c>
      <c r="AA415" s="22">
        <f t="shared" si="16"/>
        <v>2.626663403197349E-2</v>
      </c>
    </row>
    <row r="416" spans="1:27" x14ac:dyDescent="0.3">
      <c r="A416" s="70">
        <v>260127</v>
      </c>
      <c r="B416" s="68" t="s">
        <v>442</v>
      </c>
      <c r="C416" s="2" t="s">
        <v>23</v>
      </c>
      <c r="D416" s="2" t="s">
        <v>131</v>
      </c>
      <c r="F416" s="69">
        <v>2.506841282251759</v>
      </c>
      <c r="G416" s="2">
        <v>8639</v>
      </c>
      <c r="H416" s="2">
        <v>8797</v>
      </c>
      <c r="I416" s="2">
        <v>8801</v>
      </c>
      <c r="J416" s="2">
        <v>8971</v>
      </c>
      <c r="K416" s="2">
        <v>10033</v>
      </c>
      <c r="L416" s="2">
        <v>9301</v>
      </c>
      <c r="M416" s="2">
        <v>9576</v>
      </c>
      <c r="N416" s="2">
        <v>9775</v>
      </c>
      <c r="O416" s="2">
        <v>10638</v>
      </c>
      <c r="P416" s="2">
        <v>10133</v>
      </c>
      <c r="Q416" s="2">
        <v>10218</v>
      </c>
      <c r="R416" s="2">
        <v>9996</v>
      </c>
      <c r="S416" s="2">
        <v>10686</v>
      </c>
      <c r="T416" s="2">
        <v>9468</v>
      </c>
      <c r="U416" s="2">
        <v>10351</v>
      </c>
      <c r="V416" s="2">
        <v>10423</v>
      </c>
      <c r="W416" s="2">
        <v>11712</v>
      </c>
      <c r="X416" s="107">
        <f t="shared" si="13"/>
        <v>-1.6206467964808846E-2</v>
      </c>
      <c r="Y416" s="22">
        <f t="shared" si="14"/>
        <v>3.2946888624654225E-3</v>
      </c>
      <c r="Z416" s="22">
        <f t="shared" si="15"/>
        <v>1.0542949556801018E-2</v>
      </c>
      <c r="AA416" s="22">
        <f t="shared" si="16"/>
        <v>2.5068412822517594E-2</v>
      </c>
    </row>
    <row r="417" spans="1:27" x14ac:dyDescent="0.3">
      <c r="A417" s="70">
        <v>260127</v>
      </c>
      <c r="B417" s="68" t="s">
        <v>443</v>
      </c>
      <c r="C417" s="2" t="s">
        <v>23</v>
      </c>
      <c r="D417" s="2" t="s">
        <v>444</v>
      </c>
      <c r="F417" s="69">
        <v>2.4854634591266578</v>
      </c>
      <c r="G417" s="2">
        <v>2043</v>
      </c>
      <c r="H417" s="2">
        <v>2136</v>
      </c>
      <c r="I417" s="2">
        <v>2237</v>
      </c>
      <c r="J417" s="2">
        <v>2126</v>
      </c>
      <c r="K417" s="2">
        <v>1978</v>
      </c>
      <c r="L417" s="2">
        <v>1976</v>
      </c>
      <c r="M417" s="2">
        <v>1952</v>
      </c>
      <c r="N417" s="2">
        <v>1936</v>
      </c>
      <c r="O417" s="2">
        <v>1938</v>
      </c>
      <c r="P417" s="2">
        <v>1980</v>
      </c>
      <c r="Q417" s="2">
        <v>2075</v>
      </c>
      <c r="R417" s="2">
        <v>2182</v>
      </c>
      <c r="S417" s="2">
        <v>2146</v>
      </c>
      <c r="T417" s="2">
        <v>2141</v>
      </c>
      <c r="U417" s="2">
        <v>2171</v>
      </c>
      <c r="V417" s="2">
        <v>2313</v>
      </c>
      <c r="W417" s="2">
        <v>2364</v>
      </c>
      <c r="X417" s="107">
        <f t="shared" si="13"/>
        <v>1.9205535011332486E-2</v>
      </c>
      <c r="Y417" s="22">
        <f t="shared" si="14"/>
        <v>1.1235955056179803E-2</v>
      </c>
      <c r="Z417" s="22">
        <f t="shared" si="15"/>
        <v>1.5162037037037113E-2</v>
      </c>
      <c r="AA417" s="22">
        <f t="shared" si="16"/>
        <v>2.4854634591266578E-2</v>
      </c>
    </row>
    <row r="418" spans="1:27" x14ac:dyDescent="0.3">
      <c r="A418" s="70">
        <v>260127</v>
      </c>
      <c r="B418" s="68" t="s">
        <v>445</v>
      </c>
      <c r="C418" s="2" t="s">
        <v>23</v>
      </c>
      <c r="D418" s="2" t="s">
        <v>446</v>
      </c>
      <c r="F418" s="69">
        <v>2.409359434727198</v>
      </c>
      <c r="G418" s="2">
        <v>4832</v>
      </c>
      <c r="H418" s="2">
        <v>4905</v>
      </c>
      <c r="I418" s="2">
        <v>5212</v>
      </c>
      <c r="J418" s="2">
        <v>5241</v>
      </c>
      <c r="K418" s="2">
        <v>4670</v>
      </c>
      <c r="L418" s="2">
        <v>4379</v>
      </c>
      <c r="M418" s="2">
        <v>4531</v>
      </c>
      <c r="N418" s="2">
        <v>4532</v>
      </c>
      <c r="O418" s="2">
        <v>4077</v>
      </c>
      <c r="P418" s="2">
        <v>3661</v>
      </c>
      <c r="Q418" s="2">
        <v>3822</v>
      </c>
      <c r="R418" s="2">
        <v>4151</v>
      </c>
      <c r="S418" s="2">
        <v>4007</v>
      </c>
      <c r="T418" s="2">
        <v>4069</v>
      </c>
      <c r="U418" s="2">
        <v>4448</v>
      </c>
      <c r="V418" s="2">
        <v>4742</v>
      </c>
      <c r="W418" s="2">
        <v>4423</v>
      </c>
      <c r="X418" s="107">
        <f t="shared" si="13"/>
        <v>2.6085288664407624E-2</v>
      </c>
      <c r="Y418" s="22">
        <f t="shared" si="14"/>
        <v>3.9005545516854534E-2</v>
      </c>
      <c r="Z418" s="22">
        <f t="shared" si="15"/>
        <v>3.544227886056972E-2</v>
      </c>
      <c r="AA418" s="22">
        <f t="shared" si="16"/>
        <v>2.4093594347271985E-2</v>
      </c>
    </row>
    <row r="419" spans="1:27" x14ac:dyDescent="0.3">
      <c r="A419" s="70">
        <v>260127</v>
      </c>
      <c r="B419" s="68" t="s">
        <v>447</v>
      </c>
      <c r="C419" s="2" t="s">
        <v>23</v>
      </c>
      <c r="D419" s="2" t="s">
        <v>115</v>
      </c>
      <c r="F419" s="69">
        <v>2.3569023569023568</v>
      </c>
      <c r="G419" s="2">
        <v>1257</v>
      </c>
      <c r="H419" s="2">
        <v>1280</v>
      </c>
      <c r="I419" s="2">
        <v>1311</v>
      </c>
      <c r="J419" s="2">
        <v>1350</v>
      </c>
      <c r="K419" s="2">
        <v>1431</v>
      </c>
      <c r="L419" s="2">
        <v>1470</v>
      </c>
      <c r="M419" s="2">
        <v>1531</v>
      </c>
      <c r="N419" s="2">
        <v>1563</v>
      </c>
      <c r="O419" s="2">
        <v>1614</v>
      </c>
      <c r="P419" s="2">
        <v>1681</v>
      </c>
      <c r="Q419" s="2">
        <v>1717</v>
      </c>
      <c r="R419" s="2">
        <v>1765</v>
      </c>
      <c r="S419" s="2">
        <v>1877</v>
      </c>
      <c r="T419" s="2">
        <v>1883</v>
      </c>
      <c r="U419" s="2">
        <v>1944</v>
      </c>
      <c r="V419" s="2">
        <v>2018</v>
      </c>
      <c r="W419" s="2">
        <v>2059</v>
      </c>
      <c r="X419" s="107">
        <f t="shared" si="13"/>
        <v>2.8693181818181923E-2</v>
      </c>
      <c r="Y419" s="22">
        <f t="shared" si="14"/>
        <v>3.1344932339132825E-2</v>
      </c>
      <c r="Z419" s="22">
        <f t="shared" si="15"/>
        <v>3.3873343151693769E-2</v>
      </c>
      <c r="AA419" s="22">
        <f t="shared" si="16"/>
        <v>2.3569023569023573E-2</v>
      </c>
    </row>
    <row r="420" spans="1:27" x14ac:dyDescent="0.3">
      <c r="A420" s="70">
        <v>260127</v>
      </c>
      <c r="B420" s="68" t="s">
        <v>448</v>
      </c>
      <c r="C420" s="2" t="s">
        <v>23</v>
      </c>
      <c r="D420" s="2" t="s">
        <v>449</v>
      </c>
      <c r="F420" s="69">
        <v>2.2608449908153139</v>
      </c>
      <c r="G420" s="2">
        <v>2005</v>
      </c>
      <c r="H420" s="2">
        <v>1793</v>
      </c>
      <c r="I420" s="2">
        <v>2073</v>
      </c>
      <c r="J420" s="2">
        <v>2353</v>
      </c>
      <c r="K420" s="2">
        <v>2419</v>
      </c>
      <c r="L420" s="2">
        <v>2197</v>
      </c>
      <c r="M420" s="2">
        <v>2237</v>
      </c>
      <c r="N420" s="2">
        <v>2269</v>
      </c>
      <c r="O420" s="2">
        <v>2312</v>
      </c>
      <c r="P420" s="2">
        <v>1758</v>
      </c>
      <c r="Q420" s="2">
        <v>1987</v>
      </c>
      <c r="R420" s="2">
        <v>1747</v>
      </c>
      <c r="S420" s="2">
        <v>1782</v>
      </c>
      <c r="T420" s="2">
        <v>1558</v>
      </c>
      <c r="U420" s="2">
        <v>1876</v>
      </c>
      <c r="V420" s="2">
        <v>1861</v>
      </c>
      <c r="W420" s="2">
        <v>1942</v>
      </c>
      <c r="X420" s="107">
        <f t="shared" si="13"/>
        <v>-2.7495188342040122E-2</v>
      </c>
      <c r="Y420" s="22">
        <f t="shared" si="14"/>
        <v>-1.5691263782866782E-2</v>
      </c>
      <c r="Z420" s="22">
        <f t="shared" si="15"/>
        <v>1.6372253339077991E-2</v>
      </c>
      <c r="AA420" s="22">
        <f t="shared" si="16"/>
        <v>2.2608449908153139E-2</v>
      </c>
    </row>
    <row r="421" spans="1:27" x14ac:dyDescent="0.3">
      <c r="A421" s="70">
        <v>260127</v>
      </c>
      <c r="B421" s="68" t="s">
        <v>450</v>
      </c>
      <c r="C421" s="2" t="s">
        <v>23</v>
      </c>
      <c r="D421" s="2" t="s">
        <v>29</v>
      </c>
      <c r="F421" s="69">
        <v>2.1713058078780318</v>
      </c>
      <c r="G421" s="2">
        <v>699.01</v>
      </c>
      <c r="H421" s="2">
        <v>664.5</v>
      </c>
      <c r="I421" s="2">
        <v>440.8</v>
      </c>
      <c r="J421" s="2">
        <v>830.83</v>
      </c>
      <c r="K421" s="3">
        <v>1045</v>
      </c>
      <c r="L421" s="2">
        <v>645.98</v>
      </c>
      <c r="M421" s="2">
        <v>654.95000000000005</v>
      </c>
      <c r="N421" s="2">
        <v>648.45000000000005</v>
      </c>
      <c r="O421" s="2">
        <v>613.05999999999995</v>
      </c>
      <c r="P421" s="2">
        <v>641.96</v>
      </c>
      <c r="Q421" s="2">
        <v>687.82</v>
      </c>
      <c r="R421" s="2">
        <v>665.11</v>
      </c>
      <c r="S421" s="2">
        <v>689.36</v>
      </c>
      <c r="T421" s="2">
        <v>693.58</v>
      </c>
      <c r="U421" s="2">
        <v>751.09</v>
      </c>
      <c r="V421" s="2">
        <v>742.58</v>
      </c>
      <c r="W421" s="2">
        <v>751.82</v>
      </c>
      <c r="X421" s="107">
        <f t="shared" si="13"/>
        <v>1.9230697587780288E-2</v>
      </c>
      <c r="Y421" s="22">
        <f t="shared" si="14"/>
        <v>2.3126098827795261E-2</v>
      </c>
      <c r="Z421" s="22">
        <f t="shared" si="15"/>
        <v>2.7676357738448232E-2</v>
      </c>
      <c r="AA421" s="22">
        <f t="shared" si="16"/>
        <v>2.1713058078780323E-2</v>
      </c>
    </row>
    <row r="422" spans="1:27" x14ac:dyDescent="0.3">
      <c r="A422" s="70">
        <v>260127</v>
      </c>
      <c r="B422" s="68" t="s">
        <v>451</v>
      </c>
      <c r="C422" s="2" t="s">
        <v>23</v>
      </c>
      <c r="D422" s="2" t="s">
        <v>29</v>
      </c>
      <c r="F422" s="69">
        <v>2.1348677830219209</v>
      </c>
      <c r="G422" s="2">
        <v>150.66999999999999</v>
      </c>
      <c r="H422" s="2">
        <v>155.43</v>
      </c>
      <c r="I422" s="2">
        <v>164.78</v>
      </c>
      <c r="J422" s="2">
        <v>177.12</v>
      </c>
      <c r="K422" s="2">
        <v>179.64</v>
      </c>
      <c r="L422" s="2">
        <v>173.67</v>
      </c>
      <c r="M422" s="2">
        <v>169.28</v>
      </c>
      <c r="N422" s="2">
        <v>167.13</v>
      </c>
      <c r="O422" s="2">
        <v>166.65</v>
      </c>
      <c r="P422" s="2">
        <v>164.67</v>
      </c>
      <c r="Q422" s="2">
        <v>-19.989999999999998</v>
      </c>
      <c r="R422" s="2">
        <v>185.73</v>
      </c>
      <c r="S422" s="2">
        <v>189.34</v>
      </c>
      <c r="T422" s="2">
        <v>189.35</v>
      </c>
      <c r="U422" s="3">
        <v>193.97</v>
      </c>
      <c r="V422" s="2">
        <v>200.69</v>
      </c>
      <c r="W422" s="2">
        <v>205.85</v>
      </c>
      <c r="X422" s="107">
        <f t="shared" si="13"/>
        <v>4.7484367484367462E-2</v>
      </c>
      <c r="Y422" s="22">
        <f t="shared" si="14"/>
        <v>0.39299818158440947</v>
      </c>
      <c r="Z422" s="22">
        <f t="shared" si="15"/>
        <v>1.9725998496815444E-2</v>
      </c>
      <c r="AA422" s="22">
        <f t="shared" si="16"/>
        <v>2.1348677830219209E-2</v>
      </c>
    </row>
    <row r="423" spans="1:27" x14ac:dyDescent="0.3">
      <c r="A423" s="70">
        <v>260127</v>
      </c>
      <c r="B423" s="68" t="s">
        <v>452</v>
      </c>
      <c r="C423" s="2" t="s">
        <v>23</v>
      </c>
      <c r="D423" s="2" t="s">
        <v>446</v>
      </c>
      <c r="F423" s="69">
        <v>2.0919485638325459</v>
      </c>
      <c r="G423" s="2">
        <v>1114</v>
      </c>
      <c r="H423" s="2">
        <v>1166</v>
      </c>
      <c r="I423" s="2">
        <v>1035</v>
      </c>
      <c r="J423" s="2">
        <v>1158</v>
      </c>
      <c r="K423" s="2">
        <v>743.28</v>
      </c>
      <c r="L423" s="2">
        <v>632.70000000000005</v>
      </c>
      <c r="M423" s="2">
        <v>651.16</v>
      </c>
      <c r="N423" s="2">
        <v>1103</v>
      </c>
      <c r="O423" s="3">
        <v>1074</v>
      </c>
      <c r="P423" s="2">
        <v>940.99</v>
      </c>
      <c r="Q423" s="2">
        <v>886.67</v>
      </c>
      <c r="R423" s="2">
        <v>1047</v>
      </c>
      <c r="S423" s="2">
        <v>916.32</v>
      </c>
      <c r="T423" s="2">
        <v>869.47</v>
      </c>
      <c r="U423" s="2">
        <v>818.78</v>
      </c>
      <c r="V423" s="2">
        <v>1059</v>
      </c>
      <c r="W423" s="2">
        <v>992.96</v>
      </c>
      <c r="X423" s="107">
        <f t="shared" si="13"/>
        <v>-1.8865834164253026E-2</v>
      </c>
      <c r="Y423" s="22">
        <f t="shared" si="14"/>
        <v>-1.8252649578164637E-2</v>
      </c>
      <c r="Z423" s="22">
        <f t="shared" si="15"/>
        <v>3.2862576918968323E-3</v>
      </c>
      <c r="AA423" s="22">
        <f t="shared" si="16"/>
        <v>2.0919485638325463E-2</v>
      </c>
    </row>
    <row r="424" spans="1:27" x14ac:dyDescent="0.3">
      <c r="A424" s="70">
        <v>260127</v>
      </c>
      <c r="B424" s="68" t="s">
        <v>453</v>
      </c>
      <c r="C424" s="2" t="s">
        <v>23</v>
      </c>
      <c r="D424" s="2" t="s">
        <v>29</v>
      </c>
      <c r="F424" s="69">
        <v>1.93287505054589</v>
      </c>
      <c r="G424" s="2">
        <v>28.5</v>
      </c>
      <c r="H424" s="2">
        <v>29.72</v>
      </c>
      <c r="I424" s="2">
        <v>29.51</v>
      </c>
      <c r="J424" s="2">
        <v>30.01</v>
      </c>
      <c r="K424" s="2">
        <v>33.130000000000003</v>
      </c>
      <c r="L424" s="2">
        <v>31.64</v>
      </c>
      <c r="M424" s="2">
        <v>33.130000000000003</v>
      </c>
      <c r="N424" s="2">
        <v>32.01</v>
      </c>
      <c r="O424" s="2">
        <v>32.090000000000003</v>
      </c>
      <c r="P424" s="2">
        <v>33.21</v>
      </c>
      <c r="Q424" s="2">
        <v>32.46</v>
      </c>
      <c r="R424" s="3">
        <v>50.4</v>
      </c>
      <c r="S424" s="3">
        <v>60.07</v>
      </c>
      <c r="T424" s="3">
        <v>60.94</v>
      </c>
      <c r="U424" s="3">
        <v>62.32</v>
      </c>
      <c r="V424" s="2">
        <v>63.97</v>
      </c>
      <c r="W424" s="2">
        <v>64.849999999999994</v>
      </c>
      <c r="X424" s="107">
        <f t="shared" si="13"/>
        <v>0.15743158850914063</v>
      </c>
      <c r="Y424" s="22">
        <f t="shared" si="14"/>
        <v>0.1464658851228724</v>
      </c>
      <c r="Z424" s="22">
        <f t="shared" si="15"/>
        <v>5.8058443503187451E-2</v>
      </c>
      <c r="AA424" s="22">
        <f t="shared" si="16"/>
        <v>1.9328750505458903E-2</v>
      </c>
    </row>
    <row r="425" spans="1:27" x14ac:dyDescent="0.3">
      <c r="A425" s="70">
        <v>260127</v>
      </c>
      <c r="B425" s="68" t="s">
        <v>454</v>
      </c>
      <c r="C425" s="2" t="s">
        <v>23</v>
      </c>
      <c r="D425" s="2" t="s">
        <v>455</v>
      </c>
      <c r="F425" s="69">
        <v>1.9292604501607751</v>
      </c>
      <c r="G425" s="2">
        <v>876.87</v>
      </c>
      <c r="H425" s="2">
        <v>980.66</v>
      </c>
      <c r="I425" s="2">
        <v>1061</v>
      </c>
      <c r="J425" s="2">
        <v>1062</v>
      </c>
      <c r="K425" s="2">
        <v>1060</v>
      </c>
      <c r="L425" s="2">
        <v>1132</v>
      </c>
      <c r="M425" s="2">
        <v>1158</v>
      </c>
      <c r="N425" s="2">
        <v>1095</v>
      </c>
      <c r="O425" s="2">
        <v>1077</v>
      </c>
      <c r="P425" s="2">
        <v>1146</v>
      </c>
      <c r="Q425" s="2">
        <v>1161</v>
      </c>
      <c r="R425" s="2">
        <v>1099</v>
      </c>
      <c r="S425" s="2">
        <v>1073</v>
      </c>
      <c r="T425" s="2">
        <v>1167</v>
      </c>
      <c r="U425" s="2">
        <v>1225</v>
      </c>
      <c r="V425" s="2">
        <v>1200</v>
      </c>
      <c r="W425" s="2">
        <v>1163</v>
      </c>
      <c r="X425" s="107">
        <f t="shared" si="13"/>
        <v>4.6885465505692725E-3</v>
      </c>
      <c r="Y425" s="22">
        <f t="shared" si="14"/>
        <v>1.4222222222222136E-2</v>
      </c>
      <c r="Z425" s="22">
        <f t="shared" si="15"/>
        <v>2.2129710780017575E-2</v>
      </c>
      <c r="AA425" s="22">
        <f t="shared" si="16"/>
        <v>1.9292604501607746E-2</v>
      </c>
    </row>
    <row r="426" spans="1:27" x14ac:dyDescent="0.3">
      <c r="A426" s="70">
        <v>260127</v>
      </c>
      <c r="B426" s="68" t="s">
        <v>456</v>
      </c>
      <c r="C426" s="2" t="s">
        <v>23</v>
      </c>
      <c r="D426" s="2" t="s">
        <v>29</v>
      </c>
      <c r="F426" s="69">
        <v>1.923662263346926</v>
      </c>
      <c r="G426" s="2">
        <v>35.29</v>
      </c>
      <c r="H426" s="2">
        <v>32.39</v>
      </c>
      <c r="I426" s="2">
        <v>35.89</v>
      </c>
      <c r="J426" s="2">
        <v>38.61</v>
      </c>
      <c r="K426" s="2">
        <v>36.39</v>
      </c>
      <c r="L426" s="2">
        <v>36.25</v>
      </c>
      <c r="M426" s="2">
        <v>37.54</v>
      </c>
      <c r="N426" s="2">
        <v>41.86</v>
      </c>
      <c r="O426" s="2">
        <v>41.5</v>
      </c>
      <c r="P426" s="2">
        <v>39.880000000000003</v>
      </c>
      <c r="Q426" s="2">
        <v>41.11</v>
      </c>
      <c r="R426" s="2">
        <v>40.69</v>
      </c>
      <c r="S426" s="2">
        <v>40.590000000000003</v>
      </c>
      <c r="T426" s="2">
        <v>40.21</v>
      </c>
      <c r="U426" s="2">
        <v>41.28</v>
      </c>
      <c r="V426" s="2">
        <v>42.19</v>
      </c>
      <c r="W426" s="2">
        <v>43.75</v>
      </c>
      <c r="X426" s="107">
        <f t="shared" si="13"/>
        <v>2.0336476243296708E-3</v>
      </c>
      <c r="Y426" s="22">
        <f t="shared" si="14"/>
        <v>1.0455104551045924E-3</v>
      </c>
      <c r="Z426" s="22">
        <f t="shared" si="15"/>
        <v>9.2154573938687534E-3</v>
      </c>
      <c r="AA426" s="22">
        <f t="shared" si="16"/>
        <v>1.9236622633469258E-2</v>
      </c>
    </row>
    <row r="427" spans="1:27" x14ac:dyDescent="0.3">
      <c r="A427" s="70">
        <v>260127</v>
      </c>
      <c r="B427" s="68" t="s">
        <v>457</v>
      </c>
      <c r="C427" s="2" t="s">
        <v>23</v>
      </c>
      <c r="D427" s="2" t="s">
        <v>24</v>
      </c>
      <c r="F427" s="69">
        <v>1.81278274132386</v>
      </c>
      <c r="G427" s="2">
        <v>687.1</v>
      </c>
      <c r="H427" s="2">
        <v>634.22</v>
      </c>
      <c r="I427" s="2">
        <v>674.49</v>
      </c>
      <c r="J427" s="2">
        <v>700.03</v>
      </c>
      <c r="K427" s="2">
        <v>700.38</v>
      </c>
      <c r="L427" s="2">
        <v>703.18</v>
      </c>
      <c r="M427" s="2">
        <v>702.64</v>
      </c>
      <c r="N427" s="2">
        <v>706.97</v>
      </c>
      <c r="O427" s="2">
        <v>692.6</v>
      </c>
      <c r="P427" s="2">
        <v>681.35</v>
      </c>
      <c r="Q427" s="2">
        <v>695.5</v>
      </c>
      <c r="R427" s="2">
        <v>746.67</v>
      </c>
      <c r="S427" s="2">
        <v>766.49</v>
      </c>
      <c r="T427" s="2">
        <v>731.12</v>
      </c>
      <c r="U427" s="2">
        <v>780.37</v>
      </c>
      <c r="V427" s="2">
        <v>810.09</v>
      </c>
      <c r="W427" s="2">
        <v>822.47</v>
      </c>
      <c r="X427" s="107">
        <f t="shared" si="13"/>
        <v>1.7221393697599563E-2</v>
      </c>
      <c r="Y427" s="22">
        <f t="shared" si="14"/>
        <v>2.8869507242038406E-2</v>
      </c>
      <c r="Z427" s="22">
        <f t="shared" si="15"/>
        <v>2.0967715272841581E-2</v>
      </c>
      <c r="AA427" s="22">
        <f t="shared" si="16"/>
        <v>1.8127827413238595E-2</v>
      </c>
    </row>
    <row r="428" spans="1:27" x14ac:dyDescent="0.3">
      <c r="A428" s="70">
        <v>260127</v>
      </c>
      <c r="B428" s="68" t="s">
        <v>458</v>
      </c>
      <c r="C428" s="2" t="s">
        <v>23</v>
      </c>
      <c r="D428" s="2" t="s">
        <v>52</v>
      </c>
      <c r="F428" s="69">
        <v>1.7797116907463111</v>
      </c>
      <c r="G428" s="2">
        <v>409.51</v>
      </c>
      <c r="H428" s="2">
        <v>421.72</v>
      </c>
      <c r="I428" s="2">
        <v>455.21</v>
      </c>
      <c r="J428" s="2">
        <v>425.15</v>
      </c>
      <c r="K428" s="2">
        <v>458.44</v>
      </c>
      <c r="L428" s="2">
        <v>470.28</v>
      </c>
      <c r="M428" s="2">
        <v>483.49</v>
      </c>
      <c r="N428" s="2">
        <v>480.18</v>
      </c>
      <c r="O428" s="2">
        <v>504.87</v>
      </c>
      <c r="P428" s="2">
        <v>520.84</v>
      </c>
      <c r="Q428" s="2">
        <v>534.17999999999995</v>
      </c>
      <c r="R428" s="2">
        <v>551.08000000000004</v>
      </c>
      <c r="S428" s="2">
        <v>587.21</v>
      </c>
      <c r="T428" s="2">
        <v>613.38</v>
      </c>
      <c r="U428" s="2">
        <v>653.65</v>
      </c>
      <c r="V428" s="2">
        <v>620.88</v>
      </c>
      <c r="W428" s="2">
        <v>631.26</v>
      </c>
      <c r="X428" s="107">
        <f t="shared" si="13"/>
        <v>4.2191938212108537E-2</v>
      </c>
      <c r="Y428" s="22">
        <f t="shared" si="14"/>
        <v>5.2265021764332786E-2</v>
      </c>
      <c r="Z428" s="22">
        <f t="shared" si="15"/>
        <v>2.9019007865897395E-2</v>
      </c>
      <c r="AA428" s="22">
        <f t="shared" si="16"/>
        <v>1.7797116907462884E-2</v>
      </c>
    </row>
    <row r="429" spans="1:27" x14ac:dyDescent="0.3">
      <c r="A429" s="70">
        <v>260127</v>
      </c>
      <c r="B429" s="68" t="s">
        <v>459</v>
      </c>
      <c r="C429" s="2" t="s">
        <v>23</v>
      </c>
      <c r="D429" s="2" t="s">
        <v>460</v>
      </c>
      <c r="F429" s="69">
        <v>1.6511590383477599</v>
      </c>
      <c r="G429" s="2">
        <v>15064</v>
      </c>
      <c r="H429" s="2">
        <v>14945</v>
      </c>
      <c r="I429" s="2">
        <v>14820</v>
      </c>
      <c r="J429" s="2">
        <v>14971</v>
      </c>
      <c r="K429" s="2">
        <v>15497</v>
      </c>
      <c r="L429" s="2">
        <v>15591</v>
      </c>
      <c r="M429" s="2">
        <v>15861</v>
      </c>
      <c r="N429" s="2">
        <v>16213</v>
      </c>
      <c r="O429" s="2">
        <v>17303</v>
      </c>
      <c r="P429" s="2">
        <v>17339</v>
      </c>
      <c r="Q429" s="2">
        <v>17492</v>
      </c>
      <c r="R429" s="2">
        <v>17487</v>
      </c>
      <c r="S429" s="2">
        <v>18285</v>
      </c>
      <c r="T429" s="2">
        <v>18321</v>
      </c>
      <c r="U429" s="2">
        <v>18605</v>
      </c>
      <c r="V429" s="2">
        <v>19161</v>
      </c>
      <c r="W429" s="2">
        <v>19513</v>
      </c>
      <c r="X429" s="107">
        <f t="shared" si="13"/>
        <v>1.3908757418239936E-2</v>
      </c>
      <c r="Y429" s="22">
        <f t="shared" si="14"/>
        <v>1.5547949989523024E-2</v>
      </c>
      <c r="Z429" s="22">
        <f t="shared" si="15"/>
        <v>2.3026768274230447E-2</v>
      </c>
      <c r="AA429" s="22">
        <f t="shared" si="16"/>
        <v>1.6511590383477603E-2</v>
      </c>
    </row>
    <row r="430" spans="1:27" x14ac:dyDescent="0.3">
      <c r="A430" s="70">
        <v>260127</v>
      </c>
      <c r="B430" s="68" t="s">
        <v>461</v>
      </c>
      <c r="C430" s="2" t="s">
        <v>23</v>
      </c>
      <c r="D430" s="2" t="s">
        <v>95</v>
      </c>
      <c r="F430" s="69">
        <v>1.576935329722851</v>
      </c>
      <c r="G430" s="2">
        <v>1763</v>
      </c>
      <c r="H430" s="2">
        <v>1629</v>
      </c>
      <c r="I430" s="2">
        <v>1530</v>
      </c>
      <c r="J430" s="2">
        <v>1446</v>
      </c>
      <c r="K430" s="2">
        <v>1443</v>
      </c>
      <c r="L430" s="2">
        <v>1418</v>
      </c>
      <c r="M430" s="2">
        <v>1443</v>
      </c>
      <c r="N430" s="2">
        <v>1442</v>
      </c>
      <c r="O430" s="2">
        <v>1413</v>
      </c>
      <c r="P430" s="2">
        <v>1475</v>
      </c>
      <c r="Q430" s="2">
        <v>1483</v>
      </c>
      <c r="R430" s="2">
        <v>1515</v>
      </c>
      <c r="S430" s="2">
        <v>1593</v>
      </c>
      <c r="T430" s="2">
        <v>1529</v>
      </c>
      <c r="U430" s="2">
        <v>1516</v>
      </c>
      <c r="V430" s="2">
        <v>1640</v>
      </c>
      <c r="W430" s="2">
        <v>1692</v>
      </c>
      <c r="X430" s="107">
        <f t="shared" si="13"/>
        <v>8.9020771513352859E-3</v>
      </c>
      <c r="Y430" s="22">
        <f t="shared" si="14"/>
        <v>5.3921568627450789E-3</v>
      </c>
      <c r="Z430" s="22">
        <f t="shared" si="15"/>
        <v>2.0315293352836106E-2</v>
      </c>
      <c r="AA430" s="22">
        <f t="shared" si="16"/>
        <v>1.5769353297228506E-2</v>
      </c>
    </row>
    <row r="431" spans="1:27" x14ac:dyDescent="0.3">
      <c r="A431" s="70">
        <v>260127</v>
      </c>
      <c r="B431" s="68" t="s">
        <v>462</v>
      </c>
      <c r="C431" s="2" t="s">
        <v>23</v>
      </c>
      <c r="D431" s="2" t="s">
        <v>115</v>
      </c>
      <c r="F431" s="69">
        <v>1.3676287248901129</v>
      </c>
      <c r="G431" s="2">
        <v>171.49</v>
      </c>
      <c r="H431" s="2">
        <v>178.96</v>
      </c>
      <c r="I431" s="2">
        <v>191.92</v>
      </c>
      <c r="J431" s="2">
        <v>198.1</v>
      </c>
      <c r="K431" s="2">
        <v>198.1</v>
      </c>
      <c r="L431" s="2">
        <v>221.01</v>
      </c>
      <c r="M431" s="2">
        <v>231.02</v>
      </c>
      <c r="N431" s="2">
        <v>238.44</v>
      </c>
      <c r="O431" s="2">
        <v>238.26</v>
      </c>
      <c r="P431" s="2">
        <v>254.55</v>
      </c>
      <c r="Q431" s="2">
        <v>265.32</v>
      </c>
      <c r="R431" s="2">
        <v>266.68</v>
      </c>
      <c r="S431" s="2">
        <v>255.8</v>
      </c>
      <c r="T431" s="2">
        <v>262.79000000000002</v>
      </c>
      <c r="U431" s="2">
        <v>272.42</v>
      </c>
      <c r="V431" s="2">
        <v>275.8</v>
      </c>
      <c r="W431" s="2">
        <v>270.39</v>
      </c>
      <c r="X431" s="107">
        <f t="shared" si="13"/>
        <v>7.9052141794981878E-3</v>
      </c>
      <c r="Y431" s="22">
        <f t="shared" si="14"/>
        <v>6.7581073492040122E-3</v>
      </c>
      <c r="Z431" s="22">
        <f t="shared" si="15"/>
        <v>8.6225642674129244E-3</v>
      </c>
      <c r="AA431" s="22">
        <f t="shared" si="16"/>
        <v>1.3676287248901131E-2</v>
      </c>
    </row>
    <row r="432" spans="1:27" x14ac:dyDescent="0.3">
      <c r="A432" s="70">
        <v>260127</v>
      </c>
      <c r="B432" s="68" t="s">
        <v>463</v>
      </c>
      <c r="C432" s="2" t="s">
        <v>23</v>
      </c>
      <c r="D432" s="2" t="s">
        <v>29</v>
      </c>
      <c r="F432" s="69">
        <v>1.3369665149148831</v>
      </c>
      <c r="G432" s="2">
        <v>226.05</v>
      </c>
      <c r="H432" s="2">
        <v>232.28</v>
      </c>
      <c r="I432" s="2">
        <v>217.12</v>
      </c>
      <c r="J432" s="2">
        <v>221.82</v>
      </c>
      <c r="K432" s="2">
        <v>219.4</v>
      </c>
      <c r="L432" s="2">
        <v>217.9</v>
      </c>
      <c r="M432" s="2">
        <v>208.65</v>
      </c>
      <c r="N432" s="2">
        <v>225.62</v>
      </c>
      <c r="O432" s="2">
        <v>211.1</v>
      </c>
      <c r="P432" s="2">
        <v>218.34</v>
      </c>
      <c r="Q432" s="2">
        <v>220.06</v>
      </c>
      <c r="R432" s="2">
        <v>219.32</v>
      </c>
      <c r="S432" s="2">
        <v>222.13</v>
      </c>
      <c r="T432" s="2">
        <v>223.32</v>
      </c>
      <c r="U432" s="2">
        <v>226.22</v>
      </c>
      <c r="V432" s="2">
        <v>231.12</v>
      </c>
      <c r="W432" s="2">
        <v>234.2</v>
      </c>
      <c r="X432" s="107">
        <f t="shared" si="13"/>
        <v>5.6600556913108946E-3</v>
      </c>
      <c r="Y432" s="22">
        <f t="shared" si="14"/>
        <v>6.9617892702553696E-3</v>
      </c>
      <c r="Z432" s="22">
        <f t="shared" si="15"/>
        <v>1.3243695215434448E-2</v>
      </c>
      <c r="AA432" s="22">
        <f t="shared" si="16"/>
        <v>1.3369665149148613E-2</v>
      </c>
    </row>
    <row r="433" spans="1:27" x14ac:dyDescent="0.3">
      <c r="A433" s="70">
        <v>260127</v>
      </c>
      <c r="B433" s="68" t="s">
        <v>464</v>
      </c>
      <c r="C433" s="2" t="s">
        <v>23</v>
      </c>
      <c r="D433" s="2" t="s">
        <v>41</v>
      </c>
      <c r="F433" s="69">
        <v>1.1790949649458149</v>
      </c>
      <c r="G433" s="2">
        <v>0</v>
      </c>
      <c r="H433" s="2">
        <v>4308</v>
      </c>
      <c r="I433" s="2">
        <v>4691</v>
      </c>
      <c r="J433" s="2">
        <v>4468</v>
      </c>
      <c r="K433" s="3">
        <v>4185</v>
      </c>
      <c r="L433" s="2">
        <v>4380</v>
      </c>
      <c r="M433" s="2">
        <v>4872</v>
      </c>
      <c r="N433" s="2">
        <v>4644</v>
      </c>
      <c r="O433" s="2">
        <v>0</v>
      </c>
      <c r="P433" s="2">
        <v>3849</v>
      </c>
      <c r="Q433" s="2">
        <v>4235</v>
      </c>
      <c r="R433" s="2">
        <v>4032</v>
      </c>
      <c r="S433" s="3">
        <v>3729</v>
      </c>
      <c r="T433" s="2">
        <v>3684</v>
      </c>
      <c r="U433" s="2">
        <v>4195</v>
      </c>
      <c r="V433" s="2">
        <v>4082</v>
      </c>
      <c r="W433" s="2">
        <v>3914</v>
      </c>
      <c r="X433" s="107">
        <f t="shared" si="13"/>
        <v>-1.0413379615020535E-2</v>
      </c>
      <c r="Y433" s="22">
        <f t="shared" si="14"/>
        <v>-2.5510204081632404E-3</v>
      </c>
      <c r="Z433" s="22">
        <f t="shared" si="15"/>
        <v>3.1969309462915874E-3</v>
      </c>
      <c r="AA433" s="22">
        <f t="shared" si="16"/>
        <v>1.1790949649458149E-2</v>
      </c>
    </row>
    <row r="434" spans="1:27" x14ac:dyDescent="0.3">
      <c r="A434" s="70">
        <v>260127</v>
      </c>
      <c r="B434" s="68" t="s">
        <v>465</v>
      </c>
      <c r="C434" s="2" t="s">
        <v>23</v>
      </c>
      <c r="D434" s="2" t="s">
        <v>99</v>
      </c>
      <c r="F434" s="69">
        <v>1.1508553654743461</v>
      </c>
      <c r="G434" s="2">
        <v>2169</v>
      </c>
      <c r="H434" s="2">
        <v>2272</v>
      </c>
      <c r="I434" s="2">
        <v>2149</v>
      </c>
      <c r="J434" s="2">
        <v>1986</v>
      </c>
      <c r="K434" s="2">
        <v>1892</v>
      </c>
      <c r="L434" s="2">
        <v>1909</v>
      </c>
      <c r="M434" s="2">
        <v>1911</v>
      </c>
      <c r="N434" s="2">
        <v>1987</v>
      </c>
      <c r="O434" s="2">
        <v>1855</v>
      </c>
      <c r="P434" s="3">
        <v>2914</v>
      </c>
      <c r="Q434" s="2">
        <v>2021</v>
      </c>
      <c r="R434" s="2">
        <v>2217</v>
      </c>
      <c r="S434" s="2">
        <v>2240</v>
      </c>
      <c r="T434" s="2">
        <v>2227</v>
      </c>
      <c r="U434" s="2">
        <v>2501</v>
      </c>
      <c r="V434" s="2">
        <v>2677</v>
      </c>
      <c r="W434" s="2">
        <v>2351</v>
      </c>
      <c r="X434" s="107">
        <f t="shared" si="13"/>
        <v>-7.3147359454855176E-2</v>
      </c>
      <c r="Y434" s="22">
        <f t="shared" si="14"/>
        <v>5.5140723721998741E-2</v>
      </c>
      <c r="Z434" s="22">
        <f t="shared" si="15"/>
        <v>5.0081654872073944E-2</v>
      </c>
      <c r="AA434" s="22">
        <f t="shared" si="16"/>
        <v>1.1508553654743459E-2</v>
      </c>
    </row>
    <row r="435" spans="1:27" x14ac:dyDescent="0.3">
      <c r="A435" s="70">
        <v>260127</v>
      </c>
      <c r="B435" s="68" t="s">
        <v>466</v>
      </c>
      <c r="C435" s="2" t="s">
        <v>23</v>
      </c>
      <c r="D435" s="2" t="s">
        <v>29</v>
      </c>
      <c r="F435" s="69">
        <v>0.93734783314396442</v>
      </c>
      <c r="G435" s="2">
        <v>49.38</v>
      </c>
      <c r="H435" s="2">
        <v>50.51</v>
      </c>
      <c r="I435" s="2">
        <v>42.66</v>
      </c>
      <c r="J435" s="2">
        <v>49.76</v>
      </c>
      <c r="K435" s="2">
        <v>49.78</v>
      </c>
      <c r="L435" s="2">
        <v>55.06</v>
      </c>
      <c r="M435" s="2">
        <v>57.91</v>
      </c>
      <c r="N435" s="2">
        <v>53.62</v>
      </c>
      <c r="O435" s="2">
        <v>54.3</v>
      </c>
      <c r="P435" s="2">
        <v>55.53</v>
      </c>
      <c r="Q435" s="2">
        <v>57.67</v>
      </c>
      <c r="R435" s="2">
        <v>58.52</v>
      </c>
      <c r="S435" s="2">
        <v>59.16</v>
      </c>
      <c r="T435" s="2">
        <v>60.69</v>
      </c>
      <c r="U435" s="2">
        <v>62.58</v>
      </c>
      <c r="V435" s="2">
        <v>64.010000000000005</v>
      </c>
      <c r="W435" s="2">
        <v>61.47</v>
      </c>
      <c r="X435" s="107">
        <f t="shared" si="13"/>
        <v>2.234927234927242E-2</v>
      </c>
      <c r="Y435" s="22">
        <f t="shared" si="14"/>
        <v>2.08015590577868E-2</v>
      </c>
      <c r="Z435" s="22">
        <f t="shared" si="15"/>
        <v>2.27848101265824E-2</v>
      </c>
      <c r="AA435" s="22">
        <f t="shared" si="16"/>
        <v>9.3734783314396442E-3</v>
      </c>
    </row>
    <row r="436" spans="1:27" x14ac:dyDescent="0.3">
      <c r="A436" s="70">
        <v>260127</v>
      </c>
      <c r="B436" s="68" t="s">
        <v>467</v>
      </c>
      <c r="C436" s="2" t="s">
        <v>23</v>
      </c>
      <c r="D436" s="2" t="s">
        <v>50</v>
      </c>
      <c r="F436" s="69">
        <v>0.72203747120465067</v>
      </c>
      <c r="G436" s="2">
        <v>727.76</v>
      </c>
      <c r="H436" s="2">
        <v>753.64</v>
      </c>
      <c r="I436" s="2">
        <v>771.77</v>
      </c>
      <c r="J436" s="2">
        <v>784.37</v>
      </c>
      <c r="K436" s="2">
        <v>780.8</v>
      </c>
      <c r="L436" s="2">
        <v>791.06</v>
      </c>
      <c r="M436" s="2">
        <v>813.18</v>
      </c>
      <c r="N436" s="2">
        <v>815.9</v>
      </c>
      <c r="O436" s="2">
        <v>816.05</v>
      </c>
      <c r="P436" s="2">
        <v>838.11</v>
      </c>
      <c r="Q436" s="2">
        <v>843.59</v>
      </c>
      <c r="R436" s="2">
        <v>846.26</v>
      </c>
      <c r="S436" s="2">
        <v>852.37</v>
      </c>
      <c r="T436" s="2">
        <v>854.92</v>
      </c>
      <c r="U436" s="2">
        <v>856.66</v>
      </c>
      <c r="V436" s="2">
        <v>861.08</v>
      </c>
      <c r="W436" s="2">
        <v>877.1</v>
      </c>
      <c r="X436" s="107">
        <f t="shared" si="13"/>
        <v>4.9728872624861253E-3</v>
      </c>
      <c r="Y436" s="22">
        <f t="shared" si="14"/>
        <v>3.8473539506762577E-3</v>
      </c>
      <c r="Z436" s="22">
        <f t="shared" si="15"/>
        <v>4.3457734274428006E-3</v>
      </c>
      <c r="AA436" s="22">
        <f t="shared" si="16"/>
        <v>7.2203747120462847E-3</v>
      </c>
    </row>
    <row r="437" spans="1:27" x14ac:dyDescent="0.3">
      <c r="A437" s="70">
        <v>260127</v>
      </c>
      <c r="B437" s="68" t="s">
        <v>468</v>
      </c>
      <c r="C437" s="2" t="s">
        <v>23</v>
      </c>
      <c r="D437" s="2" t="s">
        <v>99</v>
      </c>
      <c r="F437" s="69">
        <v>0.45903707337584532</v>
      </c>
      <c r="G437" s="2">
        <v>148.57</v>
      </c>
      <c r="H437" s="2">
        <v>169.55</v>
      </c>
      <c r="I437" s="2">
        <v>152.02000000000001</v>
      </c>
      <c r="J437" s="2">
        <v>151.26</v>
      </c>
      <c r="K437" s="2">
        <v>146.53</v>
      </c>
      <c r="L437" s="2">
        <v>161.55000000000001</v>
      </c>
      <c r="M437" s="2">
        <v>139.32</v>
      </c>
      <c r="N437" s="2">
        <v>136.88</v>
      </c>
      <c r="O437" s="2">
        <v>137.75</v>
      </c>
      <c r="P437" s="2">
        <v>159.05000000000001</v>
      </c>
      <c r="Q437" s="2">
        <v>129.53</v>
      </c>
      <c r="R437" s="2">
        <v>131.41</v>
      </c>
      <c r="S437" s="2">
        <v>138.63</v>
      </c>
      <c r="T437" s="2">
        <v>165.21</v>
      </c>
      <c r="U437" s="2">
        <v>132.44999999999999</v>
      </c>
      <c r="V437" s="2">
        <v>134.47</v>
      </c>
      <c r="W437" s="2">
        <v>141.25</v>
      </c>
      <c r="X437" s="107">
        <f t="shared" si="13"/>
        <v>1.1027174107622217E-2</v>
      </c>
      <c r="Y437" s="22">
        <f t="shared" si="14"/>
        <v>5.1701547505225154E-3</v>
      </c>
      <c r="Z437" s="22">
        <f t="shared" si="15"/>
        <v>5.3901708648933511E-3</v>
      </c>
      <c r="AA437" s="22">
        <f t="shared" si="16"/>
        <v>4.5903707337584532E-3</v>
      </c>
    </row>
    <row r="438" spans="1:27" x14ac:dyDescent="0.3">
      <c r="A438" s="70">
        <v>260127</v>
      </c>
      <c r="B438" s="68" t="s">
        <v>469</v>
      </c>
      <c r="C438" s="2" t="s">
        <v>23</v>
      </c>
      <c r="D438" s="2" t="s">
        <v>124</v>
      </c>
      <c r="F438" s="69">
        <v>-0.14666340747983009</v>
      </c>
      <c r="G438" s="2">
        <v>5733</v>
      </c>
      <c r="H438" s="2">
        <v>5860</v>
      </c>
      <c r="I438" s="2">
        <v>6269</v>
      </c>
      <c r="J438" s="2">
        <v>6566</v>
      </c>
      <c r="K438" s="2">
        <v>6180</v>
      </c>
      <c r="L438" s="2">
        <v>6056</v>
      </c>
      <c r="M438" s="2">
        <v>5963</v>
      </c>
      <c r="N438" s="2">
        <v>5941</v>
      </c>
      <c r="O438" s="2">
        <v>6159</v>
      </c>
      <c r="P438" s="2">
        <v>6031</v>
      </c>
      <c r="Q438" s="2">
        <v>6007</v>
      </c>
      <c r="R438" s="2">
        <v>6091</v>
      </c>
      <c r="S438" s="2">
        <v>6121</v>
      </c>
      <c r="T438" s="2">
        <v>6027</v>
      </c>
      <c r="U438" s="2">
        <v>6154</v>
      </c>
      <c r="V438" s="2">
        <v>6244</v>
      </c>
      <c r="W438" s="2">
        <v>6085</v>
      </c>
      <c r="X438" s="107">
        <f t="shared" si="13"/>
        <v>-1.6494845360826016E-4</v>
      </c>
      <c r="Y438" s="22">
        <f t="shared" si="14"/>
        <v>6.06285572878007E-3</v>
      </c>
      <c r="Z438" s="22">
        <f t="shared" si="15"/>
        <v>6.2722912310908541E-3</v>
      </c>
      <c r="AA438" s="22">
        <f t="shared" si="16"/>
        <v>-1.4666340747983009E-3</v>
      </c>
    </row>
    <row r="439" spans="1:27" x14ac:dyDescent="0.3">
      <c r="A439" s="70">
        <v>260127</v>
      </c>
      <c r="B439" s="68" t="s">
        <v>470</v>
      </c>
      <c r="C439" s="2" t="s">
        <v>23</v>
      </c>
      <c r="D439" s="2" t="s">
        <v>189</v>
      </c>
      <c r="F439" s="69">
        <v>-0.36283672347443557</v>
      </c>
      <c r="G439" s="2">
        <v>1834</v>
      </c>
      <c r="H439" s="2">
        <v>1736</v>
      </c>
      <c r="I439" s="2">
        <v>2445</v>
      </c>
      <c r="J439" s="2">
        <v>2562</v>
      </c>
      <c r="K439" s="2">
        <v>2415</v>
      </c>
      <c r="L439" s="2">
        <v>2328</v>
      </c>
      <c r="M439" s="2">
        <v>2610</v>
      </c>
      <c r="N439" s="2">
        <v>2353</v>
      </c>
      <c r="O439" s="2">
        <v>2325</v>
      </c>
      <c r="P439" s="2">
        <v>2209</v>
      </c>
      <c r="Q439" s="2">
        <v>2428</v>
      </c>
      <c r="R439" s="2">
        <v>2365</v>
      </c>
      <c r="S439" s="2">
        <v>2277</v>
      </c>
      <c r="T439" s="2">
        <v>2140</v>
      </c>
      <c r="U439" s="2">
        <v>2356</v>
      </c>
      <c r="V439" s="2">
        <v>2322</v>
      </c>
      <c r="W439" s="2">
        <v>2244</v>
      </c>
      <c r="X439" s="107">
        <f t="shared" si="13"/>
        <v>-7.4361461364370607E-3</v>
      </c>
      <c r="Y439" s="22">
        <f t="shared" si="14"/>
        <v>-7.8175895765472125E-3</v>
      </c>
      <c r="Z439" s="22">
        <f t="shared" si="15"/>
        <v>-4.7056248632085795E-3</v>
      </c>
      <c r="AA439" s="22">
        <f t="shared" si="16"/>
        <v>-3.6283672347443563E-3</v>
      </c>
    </row>
    <row r="440" spans="1:27" x14ac:dyDescent="0.3">
      <c r="A440" s="70">
        <v>260127</v>
      </c>
      <c r="B440" s="68" t="s">
        <v>471</v>
      </c>
      <c r="C440" s="2" t="s">
        <v>23</v>
      </c>
      <c r="D440" s="2" t="s">
        <v>109</v>
      </c>
      <c r="F440" s="69">
        <v>-0.91861023881630866</v>
      </c>
      <c r="G440" s="2">
        <v>27771</v>
      </c>
      <c r="H440" s="2">
        <v>24378</v>
      </c>
      <c r="I440" s="2">
        <v>24766</v>
      </c>
      <c r="J440" s="2">
        <v>24161</v>
      </c>
      <c r="K440" s="2">
        <v>27033</v>
      </c>
      <c r="L440" s="2">
        <v>22925</v>
      </c>
      <c r="M440" s="2">
        <v>22055</v>
      </c>
      <c r="N440" s="2">
        <v>21061</v>
      </c>
      <c r="O440" s="2">
        <v>24917</v>
      </c>
      <c r="P440" s="2">
        <v>21706</v>
      </c>
      <c r="Q440" s="2">
        <v>21818</v>
      </c>
      <c r="R440" s="2">
        <v>22245</v>
      </c>
      <c r="S440" s="2">
        <v>25301</v>
      </c>
      <c r="T440" s="2">
        <v>21546</v>
      </c>
      <c r="U440" s="2">
        <v>21221</v>
      </c>
      <c r="V440" s="2">
        <v>21415</v>
      </c>
      <c r="W440" s="2">
        <v>24479</v>
      </c>
      <c r="X440" s="107">
        <f t="shared" si="13"/>
        <v>-1.7568903041615958E-3</v>
      </c>
      <c r="Y440" s="22">
        <f t="shared" si="14"/>
        <v>-6.566934330656693E-3</v>
      </c>
      <c r="Z440" s="22">
        <f t="shared" si="15"/>
        <v>-9.1902605383499258E-3</v>
      </c>
      <c r="AA440" s="22">
        <f t="shared" si="16"/>
        <v>-9.1861023881630866E-3</v>
      </c>
    </row>
    <row r="441" spans="1:27" x14ac:dyDescent="0.3">
      <c r="A441" s="70">
        <v>260127</v>
      </c>
      <c r="B441" s="68" t="s">
        <v>472</v>
      </c>
      <c r="C441" s="2" t="s">
        <v>23</v>
      </c>
      <c r="D441" s="2" t="s">
        <v>149</v>
      </c>
      <c r="F441" s="69">
        <v>-1.2889801797956619</v>
      </c>
      <c r="G441" s="2">
        <v>33584</v>
      </c>
      <c r="H441" s="2">
        <v>35979</v>
      </c>
      <c r="I441" s="2">
        <v>35759</v>
      </c>
      <c r="J441" s="2">
        <v>41888</v>
      </c>
      <c r="K441" s="2">
        <v>43108</v>
      </c>
      <c r="L441" s="2">
        <v>39985</v>
      </c>
      <c r="M441" s="2">
        <v>44746</v>
      </c>
      <c r="N441" s="2">
        <v>44131</v>
      </c>
      <c r="O441" s="2">
        <v>42979</v>
      </c>
      <c r="P441" s="2">
        <v>43014</v>
      </c>
      <c r="Q441" s="2">
        <v>47970</v>
      </c>
      <c r="R441" s="2">
        <v>48756</v>
      </c>
      <c r="S441" s="2">
        <v>47702</v>
      </c>
      <c r="T441" s="2">
        <v>44019</v>
      </c>
      <c r="U441" s="2">
        <v>47123</v>
      </c>
      <c r="V441" s="2">
        <v>48591</v>
      </c>
      <c r="W441" s="2">
        <v>45286</v>
      </c>
      <c r="X441" s="107">
        <f t="shared" si="13"/>
        <v>5.3616585397082694E-3</v>
      </c>
      <c r="Y441" s="22">
        <f t="shared" si="14"/>
        <v>-4.4946324430741313E-3</v>
      </c>
      <c r="Z441" s="22">
        <f t="shared" si="15"/>
        <v>-8.7953091684433993E-4</v>
      </c>
      <c r="AA441" s="22">
        <f t="shared" si="16"/>
        <v>-1.2889801797956624E-2</v>
      </c>
    </row>
    <row r="442" spans="1:27" x14ac:dyDescent="0.3">
      <c r="A442" s="70">
        <v>260127</v>
      </c>
      <c r="B442" s="68" t="s">
        <v>473</v>
      </c>
      <c r="C442" s="2" t="s">
        <v>23</v>
      </c>
      <c r="D442" s="2" t="s">
        <v>29</v>
      </c>
      <c r="F442" s="69">
        <v>-1.870056914775664</v>
      </c>
      <c r="G442" s="2">
        <v>71.52</v>
      </c>
      <c r="H442" s="2">
        <v>66.040000000000006</v>
      </c>
      <c r="I442" s="2">
        <v>70.28</v>
      </c>
      <c r="J442" s="2">
        <v>73.77</v>
      </c>
      <c r="K442" s="2">
        <v>87.39</v>
      </c>
      <c r="L442" s="3">
        <v>108.65</v>
      </c>
      <c r="M442" s="2">
        <v>101.91</v>
      </c>
      <c r="N442" s="2">
        <v>106.02</v>
      </c>
      <c r="O442" s="2">
        <v>101.14</v>
      </c>
      <c r="P442" s="2">
        <v>101.72</v>
      </c>
      <c r="Q442" s="2">
        <v>94.83</v>
      </c>
      <c r="R442" s="2">
        <v>104.04</v>
      </c>
      <c r="S442" s="2">
        <v>99.13</v>
      </c>
      <c r="T442" s="2">
        <v>91.87</v>
      </c>
      <c r="U442" s="2">
        <v>104.48</v>
      </c>
      <c r="V442" s="2">
        <v>110.39</v>
      </c>
      <c r="W442" s="2">
        <v>91.54</v>
      </c>
      <c r="X442" s="107">
        <f t="shared" si="13"/>
        <v>-2.4642249574702402E-2</v>
      </c>
      <c r="Y442" s="22">
        <f t="shared" si="14"/>
        <v>2.4751840357042143E-2</v>
      </c>
      <c r="Z442" s="22">
        <f t="shared" si="15"/>
        <v>1.5894072887464805E-2</v>
      </c>
      <c r="AA442" s="22">
        <f t="shared" si="16"/>
        <v>-1.870056914775664E-2</v>
      </c>
    </row>
    <row r="443" spans="1:27" x14ac:dyDescent="0.3">
      <c r="A443" s="70">
        <v>260127</v>
      </c>
      <c r="B443" s="68" t="s">
        <v>474</v>
      </c>
      <c r="C443" s="2" t="s">
        <v>23</v>
      </c>
      <c r="D443" s="2" t="s">
        <v>475</v>
      </c>
      <c r="F443" s="69">
        <v>-3.680628449531032</v>
      </c>
      <c r="G443" s="2">
        <v>6686</v>
      </c>
      <c r="H443" s="2">
        <v>6473</v>
      </c>
      <c r="I443" s="2">
        <v>7159</v>
      </c>
      <c r="J443" s="2">
        <v>7059</v>
      </c>
      <c r="K443" s="2">
        <v>8130</v>
      </c>
      <c r="L443" s="2">
        <v>8473</v>
      </c>
      <c r="M443" s="2">
        <v>8881</v>
      </c>
      <c r="N443" s="2">
        <v>8696</v>
      </c>
      <c r="O443" s="2">
        <v>9077</v>
      </c>
      <c r="P443" s="2">
        <v>8744</v>
      </c>
      <c r="Q443" s="2">
        <v>8772</v>
      </c>
      <c r="R443" s="2">
        <v>8240</v>
      </c>
      <c r="S443" s="2">
        <v>7908</v>
      </c>
      <c r="T443" s="2">
        <v>7442</v>
      </c>
      <c r="U443" s="2">
        <v>7511</v>
      </c>
      <c r="V443" s="2">
        <v>6672</v>
      </c>
      <c r="W443" s="2">
        <v>6821</v>
      </c>
      <c r="X443" s="107">
        <f t="shared" si="13"/>
        <v>-3.8676330798479097E-2</v>
      </c>
      <c r="Y443" s="22">
        <f t="shared" si="14"/>
        <v>-3.8965453309437015E-2</v>
      </c>
      <c r="Z443" s="22">
        <f t="shared" si="15"/>
        <v>-5.0416385325230739E-2</v>
      </c>
      <c r="AA443" s="22">
        <f t="shared" si="16"/>
        <v>-3.6806284495310315E-2</v>
      </c>
    </row>
    <row r="444" spans="1:27" x14ac:dyDescent="0.3">
      <c r="A444" s="70">
        <v>260127</v>
      </c>
      <c r="B444" s="68" t="s">
        <v>476</v>
      </c>
      <c r="C444" s="2" t="s">
        <v>23</v>
      </c>
      <c r="D444" s="2" t="s">
        <v>477</v>
      </c>
      <c r="F444" s="69">
        <v>-4.9031511997687183</v>
      </c>
      <c r="G444" s="2">
        <v>4965</v>
      </c>
      <c r="H444" s="2">
        <v>5095</v>
      </c>
      <c r="I444" s="2">
        <v>5063</v>
      </c>
      <c r="J444" s="2">
        <v>5053</v>
      </c>
      <c r="K444" s="2">
        <v>4964</v>
      </c>
      <c r="L444" s="2">
        <v>5195</v>
      </c>
      <c r="M444" s="2">
        <v>5134</v>
      </c>
      <c r="N444" s="2">
        <v>5132</v>
      </c>
      <c r="O444" s="2">
        <v>4970</v>
      </c>
      <c r="P444" s="2">
        <v>4326</v>
      </c>
      <c r="Q444" s="2">
        <v>4231</v>
      </c>
      <c r="R444" s="2">
        <v>4144</v>
      </c>
      <c r="S444" s="2">
        <v>4928</v>
      </c>
      <c r="T444" s="2">
        <v>4054</v>
      </c>
      <c r="U444" s="2">
        <v>4163</v>
      </c>
      <c r="V444" s="2">
        <v>4150</v>
      </c>
      <c r="W444" s="2">
        <v>4080</v>
      </c>
      <c r="X444" s="107">
        <f t="shared" si="13"/>
        <v>-1.5429122468659573E-2</v>
      </c>
      <c r="Y444" s="22">
        <f t="shared" si="14"/>
        <v>-3.9177277179236469E-3</v>
      </c>
      <c r="Z444" s="22">
        <f t="shared" si="15"/>
        <v>3.4704147145592223E-4</v>
      </c>
      <c r="AA444" s="22">
        <f t="shared" si="16"/>
        <v>-4.9031511997687183E-2</v>
      </c>
    </row>
    <row r="445" spans="1:27" x14ac:dyDescent="0.3">
      <c r="A445" s="70">
        <v>260127</v>
      </c>
      <c r="B445" s="68" t="s">
        <v>478</v>
      </c>
      <c r="C445" s="2" t="s">
        <v>23</v>
      </c>
      <c r="D445" s="2" t="s">
        <v>444</v>
      </c>
      <c r="F445" s="69">
        <v>-8.7419011700996094</v>
      </c>
      <c r="G445" s="2">
        <v>1667</v>
      </c>
      <c r="H445" s="2">
        <v>1622</v>
      </c>
      <c r="I445" s="2">
        <v>1496</v>
      </c>
      <c r="J445" s="2">
        <v>1271</v>
      </c>
      <c r="K445" s="2">
        <v>1309</v>
      </c>
      <c r="L445" s="2">
        <v>1330</v>
      </c>
      <c r="M445" s="2">
        <v>1308</v>
      </c>
      <c r="N445" s="2">
        <v>1206</v>
      </c>
      <c r="O445" s="2">
        <v>0</v>
      </c>
      <c r="P445" s="2">
        <v>1165</v>
      </c>
      <c r="Q445" s="2">
        <v>724.9</v>
      </c>
      <c r="R445" s="2">
        <v>1017</v>
      </c>
      <c r="S445" s="3">
        <v>1266</v>
      </c>
      <c r="T445" s="2">
        <v>0</v>
      </c>
      <c r="U445" s="3">
        <v>1135</v>
      </c>
      <c r="V445" s="2">
        <v>701.3</v>
      </c>
      <c r="W445" s="2">
        <v>994.8</v>
      </c>
      <c r="X445" s="107">
        <f t="shared" si="13"/>
        <v>-0.27918234321455093</v>
      </c>
      <c r="Y445" s="22">
        <f t="shared" si="14"/>
        <v>0.13634096878220681</v>
      </c>
      <c r="Z445" s="22">
        <f t="shared" si="15"/>
        <v>-9.2363955529549346E-2</v>
      </c>
      <c r="AA445" s="22">
        <f t="shared" si="16"/>
        <v>-8.7419011700996085E-2</v>
      </c>
    </row>
    <row r="446" spans="1:27" x14ac:dyDescent="0.3">
      <c r="A446" s="70">
        <v>260127</v>
      </c>
      <c r="B446" s="68" t="s">
        <v>479</v>
      </c>
      <c r="C446" s="2" t="s">
        <v>164</v>
      </c>
      <c r="D446" s="2" t="s">
        <v>32</v>
      </c>
      <c r="F446" s="69">
        <v>1.4669223394055519</v>
      </c>
      <c r="G446" s="2">
        <v>3487</v>
      </c>
      <c r="H446" s="2">
        <v>3111</v>
      </c>
      <c r="I446" s="2">
        <v>3909</v>
      </c>
      <c r="J446" s="2">
        <v>3107</v>
      </c>
      <c r="K446" s="2">
        <v>3308</v>
      </c>
      <c r="L446" s="2">
        <v>2618</v>
      </c>
      <c r="M446" s="2">
        <v>3482</v>
      </c>
      <c r="N446" s="2">
        <v>2862</v>
      </c>
      <c r="O446" s="2">
        <v>2829</v>
      </c>
      <c r="P446" s="2">
        <v>2009</v>
      </c>
      <c r="Q446" s="2">
        <v>2716</v>
      </c>
      <c r="R446" s="2">
        <v>2354</v>
      </c>
      <c r="S446" s="2">
        <v>2884</v>
      </c>
      <c r="T446" s="2">
        <v>2204</v>
      </c>
      <c r="U446" s="2">
        <v>2745</v>
      </c>
      <c r="V446" s="2">
        <v>2597</v>
      </c>
      <c r="W446" s="2">
        <v>3037</v>
      </c>
      <c r="X446" s="107">
        <f t="shared" si="13"/>
        <v>1.9572417946401632E-2</v>
      </c>
      <c r="Y446" s="22">
        <f t="shared" si="14"/>
        <v>2.8548926954123921E-3</v>
      </c>
      <c r="Z446" s="22">
        <f t="shared" si="15"/>
        <v>2.3853931481299773E-2</v>
      </c>
      <c r="AA446" s="22">
        <f t="shared" si="16"/>
        <v>1.4669223394055519E-2</v>
      </c>
    </row>
    <row r="447" spans="1:27" x14ac:dyDescent="0.3">
      <c r="A447" s="70">
        <v>260127</v>
      </c>
      <c r="B447" s="68" t="s">
        <v>480</v>
      </c>
      <c r="C447" s="2" t="s">
        <v>164</v>
      </c>
      <c r="D447" s="2" t="s">
        <v>32</v>
      </c>
      <c r="F447" s="69">
        <v>0.25753925396694299</v>
      </c>
      <c r="G447" s="2">
        <v>25311</v>
      </c>
      <c r="H447" s="2">
        <v>24921</v>
      </c>
      <c r="I447" s="2">
        <v>27050</v>
      </c>
      <c r="J447" s="2">
        <v>29267</v>
      </c>
      <c r="K447" s="2">
        <v>31093</v>
      </c>
      <c r="L447" s="2">
        <v>30968</v>
      </c>
      <c r="M447" s="2">
        <v>32243</v>
      </c>
      <c r="N447" s="2">
        <v>31476</v>
      </c>
      <c r="O447" s="2">
        <v>31816</v>
      </c>
      <c r="P447" s="2">
        <v>29002</v>
      </c>
      <c r="Q447" s="2">
        <v>31419</v>
      </c>
      <c r="R447" s="2">
        <v>30306</v>
      </c>
      <c r="S447" s="2">
        <v>32151</v>
      </c>
      <c r="T447" s="2">
        <v>29301</v>
      </c>
      <c r="U447" s="2">
        <v>29700</v>
      </c>
      <c r="V447" s="2">
        <v>29218</v>
      </c>
      <c r="W447" s="2">
        <v>32461</v>
      </c>
      <c r="X447" s="107">
        <f t="shared" si="13"/>
        <v>2.4333078337863689E-3</v>
      </c>
      <c r="Y447" s="22">
        <f t="shared" si="14"/>
        <v>-1.3955527411773305E-2</v>
      </c>
      <c r="Z447" s="22">
        <f t="shared" si="15"/>
        <v>-8.9578290437847263E-3</v>
      </c>
      <c r="AA447" s="22">
        <f t="shared" si="16"/>
        <v>2.5753925396694299E-3</v>
      </c>
    </row>
    <row r="448" spans="1:27" x14ac:dyDescent="0.3">
      <c r="A448" s="70">
        <v>260127</v>
      </c>
      <c r="B448" s="68">
        <v>8218</v>
      </c>
      <c r="C448" s="2" t="s">
        <v>67</v>
      </c>
      <c r="D448" s="2" t="s">
        <v>32</v>
      </c>
      <c r="F448" s="69">
        <v>2.9594884964100339</v>
      </c>
      <c r="G448" s="2">
        <v>97040</v>
      </c>
      <c r="H448" s="2">
        <v>82110</v>
      </c>
      <c r="I448" s="2">
        <v>107594</v>
      </c>
      <c r="J448" s="2">
        <v>90294</v>
      </c>
      <c r="K448" s="2">
        <v>98897</v>
      </c>
      <c r="L448" s="2">
        <v>82615</v>
      </c>
      <c r="M448" s="2">
        <v>104073</v>
      </c>
      <c r="N448" s="2">
        <v>90204</v>
      </c>
      <c r="O448" s="2">
        <v>95787</v>
      </c>
      <c r="P448" s="2">
        <v>80687</v>
      </c>
      <c r="Q448" s="2">
        <v>107449</v>
      </c>
      <c r="R448" s="2">
        <v>91355</v>
      </c>
      <c r="S448" s="2">
        <v>86667</v>
      </c>
      <c r="T448" s="2">
        <v>93720</v>
      </c>
      <c r="U448" s="2">
        <v>105409</v>
      </c>
      <c r="V448" s="2">
        <v>95824</v>
      </c>
      <c r="W448" s="2">
        <v>97961</v>
      </c>
      <c r="X448" s="107">
        <f t="shared" si="13"/>
        <v>3.5593923934476468E-2</v>
      </c>
      <c r="Y448" s="22">
        <f t="shared" si="14"/>
        <v>-5.379874522338346E-3</v>
      </c>
      <c r="Z448" s="22">
        <f t="shared" si="15"/>
        <v>1.1849365373550746E-2</v>
      </c>
      <c r="AA448" s="22">
        <f t="shared" si="16"/>
        <v>2.9594884964100343E-2</v>
      </c>
    </row>
    <row r="449" spans="1:27" x14ac:dyDescent="0.3">
      <c r="A449" s="70">
        <v>260127</v>
      </c>
      <c r="B449" s="68">
        <v>9697</v>
      </c>
      <c r="C449" s="2" t="s">
        <v>67</v>
      </c>
      <c r="D449" s="2" t="s">
        <v>32</v>
      </c>
      <c r="F449" s="69">
        <v>0.88086687179065315</v>
      </c>
      <c r="G449" s="2">
        <v>18168</v>
      </c>
      <c r="H449" s="2">
        <v>21891</v>
      </c>
      <c r="I449" s="2">
        <v>25232</v>
      </c>
      <c r="J449" s="2">
        <v>23835</v>
      </c>
      <c r="K449" s="3">
        <v>30604</v>
      </c>
      <c r="L449" s="3">
        <v>46259</v>
      </c>
      <c r="M449" s="3">
        <v>43858</v>
      </c>
      <c r="N449" s="2">
        <v>31076</v>
      </c>
      <c r="O449" s="2">
        <v>31245</v>
      </c>
      <c r="P449" s="2">
        <v>46231</v>
      </c>
      <c r="Q449" s="2">
        <v>29597</v>
      </c>
      <c r="R449" s="2">
        <v>26805</v>
      </c>
      <c r="S449" s="2">
        <v>32451</v>
      </c>
      <c r="T449" s="3">
        <v>80751</v>
      </c>
      <c r="U449" s="2">
        <v>45502</v>
      </c>
      <c r="V449" s="2">
        <v>35650</v>
      </c>
      <c r="W449" s="2">
        <v>34163</v>
      </c>
      <c r="X449" s="107">
        <f t="shared" si="13"/>
        <v>0.25554469811376634</v>
      </c>
      <c r="Y449" s="22">
        <f t="shared" si="14"/>
        <v>9.3777269404023533E-2</v>
      </c>
      <c r="Z449" s="22">
        <f t="shared" si="15"/>
        <v>4.7679627403522273E-2</v>
      </c>
      <c r="AA449" s="22">
        <f t="shared" si="16"/>
        <v>8.8086687179065315E-3</v>
      </c>
    </row>
    <row r="450" spans="1:27" x14ac:dyDescent="0.3">
      <c r="A450" s="70">
        <v>260127</v>
      </c>
      <c r="B450" s="68">
        <v>4063</v>
      </c>
      <c r="C450" s="2" t="s">
        <v>67</v>
      </c>
      <c r="D450" s="2" t="s">
        <v>32</v>
      </c>
      <c r="F450" s="69">
        <v>-0.5334758003203155</v>
      </c>
      <c r="G450" s="2">
        <v>542362</v>
      </c>
      <c r="H450" s="2">
        <v>590725</v>
      </c>
      <c r="I450" s="2">
        <v>656707</v>
      </c>
      <c r="J450" s="2">
        <v>752629</v>
      </c>
      <c r="K450" s="2">
        <v>753901</v>
      </c>
      <c r="L450" s="2">
        <v>645587</v>
      </c>
      <c r="M450" s="2">
        <v>599201</v>
      </c>
      <c r="N450" s="2">
        <v>596701</v>
      </c>
      <c r="O450" s="2">
        <v>627501</v>
      </c>
      <c r="P450" s="2">
        <v>591534</v>
      </c>
      <c r="Q450" s="2">
        <v>597930</v>
      </c>
      <c r="R450" s="2">
        <v>668530</v>
      </c>
      <c r="S450" s="2">
        <v>663238</v>
      </c>
      <c r="T450" s="2">
        <v>631551</v>
      </c>
      <c r="U450" s="2">
        <v>628549</v>
      </c>
      <c r="V450" s="2">
        <v>655973</v>
      </c>
      <c r="W450" s="2">
        <v>649478</v>
      </c>
      <c r="X450" s="107">
        <f t="shared" si="13"/>
        <v>1.5872002259212925E-2</v>
      </c>
      <c r="Y450" s="22">
        <f t="shared" si="14"/>
        <v>1.1954714281977363E-2</v>
      </c>
      <c r="Z450" s="22">
        <f t="shared" si="15"/>
        <v>-4.8447683292512922E-3</v>
      </c>
      <c r="AA450" s="22">
        <f t="shared" si="16"/>
        <v>-5.334758003203155E-3</v>
      </c>
    </row>
    <row r="451" spans="1:27" x14ac:dyDescent="0.3">
      <c r="A451" s="70">
        <v>260127</v>
      </c>
      <c r="B451" s="68" t="s">
        <v>481</v>
      </c>
      <c r="C451" s="2" t="s">
        <v>31</v>
      </c>
      <c r="D451" s="2" t="s">
        <v>32</v>
      </c>
      <c r="F451" s="69">
        <v>6.6498635879089996</v>
      </c>
      <c r="G451" s="2">
        <v>15510</v>
      </c>
      <c r="H451" s="2">
        <v>14287</v>
      </c>
      <c r="I451" s="2">
        <v>16652</v>
      </c>
      <c r="J451" s="2">
        <v>16963</v>
      </c>
      <c r="K451" s="2">
        <v>17754</v>
      </c>
      <c r="L451" s="2">
        <v>18356</v>
      </c>
      <c r="M451" s="2">
        <v>18740</v>
      </c>
      <c r="N451" s="2">
        <v>20015</v>
      </c>
      <c r="O451" s="2">
        <v>19788</v>
      </c>
      <c r="P451" s="2">
        <v>21917</v>
      </c>
      <c r="Q451" s="2">
        <v>22275</v>
      </c>
      <c r="R451" s="2">
        <v>24127</v>
      </c>
      <c r="S451" s="2">
        <v>25157</v>
      </c>
      <c r="T451" s="2">
        <v>27528</v>
      </c>
      <c r="U451" s="2">
        <v>28781</v>
      </c>
      <c r="V451" s="2">
        <v>29228</v>
      </c>
      <c r="W451" s="2">
        <v>32518</v>
      </c>
      <c r="X451" s="107">
        <f t="shared" si="13"/>
        <v>6.0026102956908689E-2</v>
      </c>
      <c r="Y451" s="22">
        <f t="shared" si="14"/>
        <v>6.5659470969955613E-2</v>
      </c>
      <c r="Z451" s="22">
        <f t="shared" si="15"/>
        <v>4.8308126485657299E-2</v>
      </c>
      <c r="AA451" s="22">
        <f t="shared" si="16"/>
        <v>6.6498635879089996E-2</v>
      </c>
    </row>
    <row r="452" spans="1:27" x14ac:dyDescent="0.3">
      <c r="A452" s="70">
        <v>260127</v>
      </c>
      <c r="B452" s="68" t="s">
        <v>482</v>
      </c>
      <c r="C452" s="2" t="s">
        <v>31</v>
      </c>
      <c r="D452" s="2" t="s">
        <v>32</v>
      </c>
      <c r="F452" s="69">
        <v>3.7315259142610908</v>
      </c>
      <c r="G452" s="2">
        <v>32084</v>
      </c>
      <c r="H452" s="2">
        <v>31754</v>
      </c>
      <c r="I452" s="2">
        <v>33268</v>
      </c>
      <c r="J452" s="2">
        <v>33631</v>
      </c>
      <c r="K452" s="2">
        <v>34746</v>
      </c>
      <c r="L452" s="2">
        <v>36187</v>
      </c>
      <c r="M452" s="2">
        <v>37412</v>
      </c>
      <c r="N452" s="2">
        <v>37338</v>
      </c>
      <c r="O452" s="2">
        <v>38039</v>
      </c>
      <c r="P452" s="2">
        <v>39269</v>
      </c>
      <c r="Q452" s="2">
        <v>43521</v>
      </c>
      <c r="R452" s="2">
        <v>42145</v>
      </c>
      <c r="S452" s="2">
        <v>44436</v>
      </c>
      <c r="T452" s="2">
        <v>46082</v>
      </c>
      <c r="U452" s="2">
        <v>47789</v>
      </c>
      <c r="V452" s="2">
        <v>49659</v>
      </c>
      <c r="W452" s="2">
        <v>51450</v>
      </c>
      <c r="X452" s="107">
        <f t="shared" si="13"/>
        <v>4.0225304213826529E-2</v>
      </c>
      <c r="Y452" s="22">
        <f t="shared" si="14"/>
        <v>2.4224674204241126E-2</v>
      </c>
      <c r="Z452" s="22">
        <f t="shared" si="15"/>
        <v>4.1639882073903234E-2</v>
      </c>
      <c r="AA452" s="22">
        <f t="shared" si="16"/>
        <v>3.7315259142610913E-2</v>
      </c>
    </row>
    <row r="453" spans="1:27" x14ac:dyDescent="0.3">
      <c r="A453" s="70">
        <v>260127</v>
      </c>
      <c r="B453" s="68" t="s">
        <v>483</v>
      </c>
      <c r="C453" s="2" t="s">
        <v>31</v>
      </c>
      <c r="D453" s="2" t="s">
        <v>32</v>
      </c>
      <c r="F453" s="69">
        <v>0.92508446929977506</v>
      </c>
      <c r="G453" s="2">
        <v>85272</v>
      </c>
      <c r="H453" s="2">
        <v>77733</v>
      </c>
      <c r="I453" s="2">
        <v>86069</v>
      </c>
      <c r="J453" s="2">
        <v>84576</v>
      </c>
      <c r="K453" s="2">
        <v>86367</v>
      </c>
      <c r="L453" s="2">
        <v>87288</v>
      </c>
      <c r="M453" s="2">
        <v>91823</v>
      </c>
      <c r="N453" s="2">
        <v>84786</v>
      </c>
      <c r="O453" s="2">
        <v>91031</v>
      </c>
      <c r="P453" s="2">
        <v>86736</v>
      </c>
      <c r="Q453" s="2">
        <v>89432</v>
      </c>
      <c r="R453" s="2">
        <v>80275</v>
      </c>
      <c r="S453" s="2">
        <v>85494</v>
      </c>
      <c r="T453" s="2">
        <v>83127</v>
      </c>
      <c r="U453" s="2">
        <v>89386</v>
      </c>
      <c r="V453" s="2">
        <v>85313</v>
      </c>
      <c r="W453" s="2">
        <v>88670</v>
      </c>
      <c r="X453" s="107">
        <f t="shared" si="13"/>
        <v>-1.0554575842918412E-2</v>
      </c>
      <c r="Y453" s="22">
        <f t="shared" si="14"/>
        <v>-1.3596273438798434E-4</v>
      </c>
      <c r="Z453" s="22">
        <f t="shared" si="15"/>
        <v>1.4892900006503451E-2</v>
      </c>
      <c r="AA453" s="22">
        <f t="shared" si="16"/>
        <v>9.2508446929977506E-3</v>
      </c>
    </row>
    <row r="454" spans="1:27" x14ac:dyDescent="0.3">
      <c r="A454" s="4">
        <v>260126</v>
      </c>
      <c r="B454" s="32" t="s">
        <v>484</v>
      </c>
      <c r="C454" s="4" t="s">
        <v>636</v>
      </c>
      <c r="D454" s="4" t="s">
        <v>485</v>
      </c>
      <c r="F454" s="74">
        <v>1.9163817708496731</v>
      </c>
      <c r="G454" s="4">
        <v>10364</v>
      </c>
      <c r="H454" s="4">
        <v>10493</v>
      </c>
      <c r="I454" s="4">
        <v>11794</v>
      </c>
      <c r="J454" s="4">
        <v>10501</v>
      </c>
      <c r="K454" s="4">
        <v>8724</v>
      </c>
      <c r="L454" s="4">
        <v>8710</v>
      </c>
      <c r="M454" s="4">
        <v>9523</v>
      </c>
      <c r="N454" s="4">
        <v>8776</v>
      </c>
      <c r="O454" s="4">
        <v>7705</v>
      </c>
      <c r="P454" s="4">
        <v>8137</v>
      </c>
      <c r="Q454" s="4">
        <v>8077</v>
      </c>
      <c r="R454" s="4">
        <v>7444</v>
      </c>
      <c r="S454" s="4">
        <v>7076</v>
      </c>
      <c r="T454" s="4">
        <v>7830</v>
      </c>
      <c r="U454" s="4">
        <v>8456</v>
      </c>
      <c r="V454" s="4">
        <v>8521</v>
      </c>
      <c r="W454" s="4">
        <v>7687</v>
      </c>
      <c r="X454" s="107">
        <f t="shared" si="13"/>
        <v>-9.9889373332465725E-3</v>
      </c>
      <c r="Y454" s="22">
        <f t="shared" si="14"/>
        <v>1.2456042330824646E-2</v>
      </c>
      <c r="Z454" s="22">
        <f t="shared" si="15"/>
        <v>3.4960721937284944E-2</v>
      </c>
      <c r="AA454" s="22">
        <f t="shared" si="16"/>
        <v>1.9163817708496733E-2</v>
      </c>
    </row>
    <row r="455" spans="1:27" x14ac:dyDescent="0.3">
      <c r="A455" s="4">
        <v>260126</v>
      </c>
      <c r="B455" s="32" t="s">
        <v>486</v>
      </c>
      <c r="C455" s="4" t="s">
        <v>636</v>
      </c>
      <c r="D455" s="4" t="s">
        <v>29</v>
      </c>
      <c r="F455" s="74">
        <v>0.59826883910387707</v>
      </c>
      <c r="G455" s="4">
        <v>42.21</v>
      </c>
      <c r="H455" s="4">
        <v>41.97</v>
      </c>
      <c r="I455" s="4">
        <v>42.92</v>
      </c>
      <c r="J455" s="4">
        <v>45.62</v>
      </c>
      <c r="K455" s="4">
        <v>50.07</v>
      </c>
      <c r="L455" s="4">
        <v>54.27</v>
      </c>
      <c r="M455" s="4">
        <v>58.79</v>
      </c>
      <c r="N455" s="4">
        <v>57.77</v>
      </c>
      <c r="O455" s="4">
        <v>56.29</v>
      </c>
      <c r="P455" s="4">
        <v>52.31</v>
      </c>
      <c r="Q455" s="4">
        <v>56.64</v>
      </c>
      <c r="R455" s="4">
        <v>56.44</v>
      </c>
      <c r="S455" s="4">
        <v>59.03</v>
      </c>
      <c r="T455" s="4">
        <v>58.01</v>
      </c>
      <c r="U455" s="4">
        <v>58.8</v>
      </c>
      <c r="V455" s="4">
        <v>59.84</v>
      </c>
      <c r="W455" s="4">
        <v>60.44</v>
      </c>
      <c r="X455" s="107">
        <f t="shared" si="13"/>
        <v>2.5398805810533887E-2</v>
      </c>
      <c r="Y455" s="22">
        <f t="shared" si="14"/>
        <v>9.3864070919518205E-3</v>
      </c>
      <c r="Z455" s="22">
        <f t="shared" si="15"/>
        <v>1.4637506457723548E-2</v>
      </c>
      <c r="AA455" s="22">
        <f t="shared" si="16"/>
        <v>5.9826883910387707E-3</v>
      </c>
    </row>
    <row r="456" spans="1:27" x14ac:dyDescent="0.3">
      <c r="A456" s="4">
        <v>260126</v>
      </c>
      <c r="B456" s="32" t="s">
        <v>487</v>
      </c>
      <c r="C456" s="4" t="s">
        <v>636</v>
      </c>
      <c r="D456" s="4" t="s">
        <v>29</v>
      </c>
      <c r="F456" s="74">
        <v>4.5858196682798669</v>
      </c>
      <c r="G456" s="4">
        <v>27.2</v>
      </c>
      <c r="H456" s="4">
        <v>26.55</v>
      </c>
      <c r="I456" s="4">
        <v>26.36</v>
      </c>
      <c r="J456" s="4">
        <v>27.76</v>
      </c>
      <c r="K456" s="4">
        <v>25.31</v>
      </c>
      <c r="L456" s="4">
        <v>30.05</v>
      </c>
      <c r="M456" s="4">
        <v>33.43</v>
      </c>
      <c r="N456" s="4">
        <v>35.270000000000003</v>
      </c>
      <c r="O456" s="75">
        <v>37.9</v>
      </c>
      <c r="P456" s="4">
        <v>38.47</v>
      </c>
      <c r="Q456" s="4">
        <v>38.049999999999997</v>
      </c>
      <c r="R456" s="4">
        <v>40.03</v>
      </c>
      <c r="S456" s="4">
        <v>43.12</v>
      </c>
      <c r="T456" s="75">
        <v>54.44</v>
      </c>
      <c r="U456" s="4">
        <v>52.57</v>
      </c>
      <c r="V456" s="75">
        <v>62.7</v>
      </c>
      <c r="W456" s="4">
        <v>52.88</v>
      </c>
      <c r="X456" s="107">
        <f t="shared" si="13"/>
        <v>0.10001878875180048</v>
      </c>
      <c r="Y456" s="22">
        <f t="shared" si="14"/>
        <v>8.2669095877932142E-2</v>
      </c>
      <c r="Z456" s="22">
        <f t="shared" si="15"/>
        <v>0.11921539755994948</v>
      </c>
      <c r="AA456" s="22">
        <f t="shared" si="16"/>
        <v>4.5858196682798447E-2</v>
      </c>
    </row>
    <row r="457" spans="1:27" x14ac:dyDescent="0.3">
      <c r="A457" s="4">
        <v>260126</v>
      </c>
      <c r="B457" s="32" t="s">
        <v>488</v>
      </c>
      <c r="C457" s="4" t="s">
        <v>636</v>
      </c>
      <c r="D457" s="4" t="s">
        <v>29</v>
      </c>
      <c r="F457" s="74">
        <v>2.370984929212971</v>
      </c>
      <c r="G457" s="4">
        <v>54.72</v>
      </c>
      <c r="H457" s="4">
        <v>55.57</v>
      </c>
      <c r="I457" s="4">
        <v>59.17</v>
      </c>
      <c r="J457" s="4">
        <v>62.66</v>
      </c>
      <c r="K457" s="4">
        <v>67.36</v>
      </c>
      <c r="L457" s="4">
        <v>61.83</v>
      </c>
      <c r="M457" s="4">
        <v>60.03</v>
      </c>
      <c r="N457" s="4">
        <v>59.23</v>
      </c>
      <c r="O457" s="4">
        <v>65.81</v>
      </c>
      <c r="P457" s="4">
        <v>59.03</v>
      </c>
      <c r="Q457" s="4">
        <v>68.739999999999995</v>
      </c>
      <c r="R457" s="4">
        <v>61.19</v>
      </c>
      <c r="S457" s="4">
        <v>63.57</v>
      </c>
      <c r="T457" s="4">
        <v>63.8</v>
      </c>
      <c r="U457" s="4">
        <v>66.36</v>
      </c>
      <c r="V457" s="4">
        <v>69.03</v>
      </c>
      <c r="W457" s="4">
        <v>69.8</v>
      </c>
      <c r="X457" s="107">
        <f t="shared" si="13"/>
        <v>1.8888844889716205E-2</v>
      </c>
      <c r="Y457" s="22">
        <f t="shared" si="14"/>
        <v>-9.2499028371550995E-3</v>
      </c>
      <c r="Z457" s="22">
        <f t="shared" si="15"/>
        <v>3.0754746587164483E-2</v>
      </c>
      <c r="AA457" s="22">
        <f t="shared" si="16"/>
        <v>2.3709849292129714E-2</v>
      </c>
    </row>
    <row r="458" spans="1:27" x14ac:dyDescent="0.3">
      <c r="A458" s="4">
        <v>260126</v>
      </c>
      <c r="B458" s="32" t="s">
        <v>489</v>
      </c>
      <c r="C458" s="4" t="s">
        <v>636</v>
      </c>
      <c r="D458" s="4" t="s">
        <v>182</v>
      </c>
      <c r="F458" s="74">
        <v>-88.36003770028276</v>
      </c>
      <c r="G458" s="4">
        <v>17.54</v>
      </c>
      <c r="H458" s="4">
        <v>314.37</v>
      </c>
      <c r="I458" s="4">
        <v>150.47999999999999</v>
      </c>
      <c r="J458" s="4">
        <v>282.45999999999998</v>
      </c>
      <c r="K458" s="4">
        <v>2.0499999999999998</v>
      </c>
      <c r="L458" s="4">
        <v>-110.63</v>
      </c>
      <c r="M458" s="4">
        <v>170.01</v>
      </c>
      <c r="N458" s="4">
        <v>216.75</v>
      </c>
      <c r="O458" s="4">
        <v>-286.97000000000003</v>
      </c>
      <c r="P458" s="4">
        <v>139.81</v>
      </c>
      <c r="Q458" s="4">
        <v>64.209999999999994</v>
      </c>
      <c r="R458" s="4">
        <v>-216.19</v>
      </c>
      <c r="S458" s="4">
        <v>186.28</v>
      </c>
      <c r="T458" s="4">
        <v>-44.35</v>
      </c>
      <c r="U458" s="75">
        <v>6.32</v>
      </c>
      <c r="V458" s="4">
        <v>-20.93</v>
      </c>
      <c r="W458" s="4">
        <v>73.78</v>
      </c>
      <c r="X458" s="107">
        <f t="shared" si="13"/>
        <v>-1.0577221296881283</v>
      </c>
      <c r="Y458" s="22">
        <f t="shared" si="14"/>
        <v>5.7601990049751119</v>
      </c>
      <c r="Z458" s="22">
        <f t="shared" si="15"/>
        <v>-2.8740064763026201</v>
      </c>
      <c r="AA458" s="22">
        <f t="shared" si="16"/>
        <v>-0.88360037700282756</v>
      </c>
    </row>
    <row r="459" spans="1:27" x14ac:dyDescent="0.3">
      <c r="A459" s="4">
        <v>260126</v>
      </c>
      <c r="B459" s="32" t="s">
        <v>490</v>
      </c>
      <c r="C459" s="4" t="s">
        <v>636</v>
      </c>
      <c r="D459" s="4" t="s">
        <v>115</v>
      </c>
      <c r="F459" s="74">
        <v>3.612287782262102</v>
      </c>
      <c r="G459" s="4">
        <v>39.46</v>
      </c>
      <c r="H459" s="4">
        <v>46.56</v>
      </c>
      <c r="I459" s="4">
        <v>47.51</v>
      </c>
      <c r="J459" s="4">
        <v>47.74</v>
      </c>
      <c r="K459" s="4">
        <v>49.92</v>
      </c>
      <c r="L459" s="4">
        <v>52.9</v>
      </c>
      <c r="M459" s="4">
        <v>56.06</v>
      </c>
      <c r="N459" s="4">
        <v>58.62</v>
      </c>
      <c r="O459" s="4">
        <v>60.57</v>
      </c>
      <c r="P459" s="4">
        <v>62.22</v>
      </c>
      <c r="Q459" s="4">
        <v>63.51</v>
      </c>
      <c r="R459" s="4">
        <v>68.28</v>
      </c>
      <c r="S459" s="4">
        <v>69.56</v>
      </c>
      <c r="T459" s="4">
        <v>74.27</v>
      </c>
      <c r="U459" s="4">
        <v>76.680000000000007</v>
      </c>
      <c r="V459" s="4">
        <v>79.3</v>
      </c>
      <c r="W459" s="4">
        <v>80.39</v>
      </c>
      <c r="X459" s="107">
        <f t="shared" ref="X459:X468" si="17">SUM(Q459:T459)/SUM(P459:S459)-1</f>
        <v>4.5718404977804772E-2</v>
      </c>
      <c r="Y459" s="22">
        <f t="shared" ref="Y459:Y468" si="18">SUM(R459:U459)/SUM(Q459:T459)-1</f>
        <v>4.778317974022217E-2</v>
      </c>
      <c r="Z459" s="22">
        <f t="shared" ref="Z459:Z468" si="19">SUM(S459:V459)/SUM(R459:U459)-1</f>
        <v>3.8159216039336474E-2</v>
      </c>
      <c r="AA459" s="22">
        <f t="shared" ref="AA459:AA468" si="20">SUM(T459:W459)/SUM(S459:V459)-1</f>
        <v>3.6122877822621025E-2</v>
      </c>
    </row>
    <row r="460" spans="1:27" x14ac:dyDescent="0.3">
      <c r="A460" s="4">
        <v>260126</v>
      </c>
      <c r="B460" s="32" t="s">
        <v>491</v>
      </c>
      <c r="C460" s="4" t="s">
        <v>636</v>
      </c>
      <c r="D460" s="4" t="s">
        <v>29</v>
      </c>
      <c r="F460" s="74">
        <v>0.98142306344197738</v>
      </c>
      <c r="G460" s="4">
        <v>154.25</v>
      </c>
      <c r="H460" s="4">
        <v>199.13</v>
      </c>
      <c r="I460" s="4">
        <v>225.64</v>
      </c>
      <c r="J460" s="4">
        <v>239.48</v>
      </c>
      <c r="K460" s="75">
        <v>258.77</v>
      </c>
      <c r="L460" s="4">
        <v>245.66</v>
      </c>
      <c r="M460" s="4">
        <v>248.71</v>
      </c>
      <c r="N460" s="4">
        <v>255.27</v>
      </c>
      <c r="O460" s="4">
        <v>265.33</v>
      </c>
      <c r="P460" s="4">
        <v>251.14</v>
      </c>
      <c r="Q460" s="4">
        <v>266.05</v>
      </c>
      <c r="R460" s="4">
        <v>267.66000000000003</v>
      </c>
      <c r="S460" s="4">
        <v>261.51</v>
      </c>
      <c r="T460" s="4">
        <v>256.11</v>
      </c>
      <c r="U460" s="4">
        <v>267.5</v>
      </c>
      <c r="V460" s="4">
        <v>270.49</v>
      </c>
      <c r="W460" s="4">
        <v>271.87</v>
      </c>
      <c r="X460" s="107">
        <f t="shared" si="17"/>
        <v>4.749799304254454E-3</v>
      </c>
      <c r="Y460" s="22">
        <f t="shared" si="18"/>
        <v>1.3792053874619459E-3</v>
      </c>
      <c r="Z460" s="22">
        <f t="shared" si="19"/>
        <v>2.6881209749425317E-3</v>
      </c>
      <c r="AA460" s="22">
        <f t="shared" si="20"/>
        <v>9.8142306344197738E-3</v>
      </c>
    </row>
    <row r="461" spans="1:27" x14ac:dyDescent="0.3">
      <c r="A461" s="4">
        <v>260126</v>
      </c>
      <c r="B461" s="32" t="s">
        <v>492</v>
      </c>
      <c r="C461" s="4" t="s">
        <v>636</v>
      </c>
      <c r="D461" s="4" t="s">
        <v>65</v>
      </c>
      <c r="F461" s="74">
        <v>14.56692913385826</v>
      </c>
      <c r="G461" s="4">
        <v>1756</v>
      </c>
      <c r="H461" s="4">
        <v>1915</v>
      </c>
      <c r="I461" s="4">
        <v>2023</v>
      </c>
      <c r="J461" s="4">
        <v>2225</v>
      </c>
      <c r="K461" s="4">
        <v>2356</v>
      </c>
      <c r="L461" s="4">
        <v>2320</v>
      </c>
      <c r="M461" s="4">
        <v>2207</v>
      </c>
      <c r="N461" s="4">
        <v>2052</v>
      </c>
      <c r="O461" s="4">
        <v>1875</v>
      </c>
      <c r="P461" s="4">
        <v>1835</v>
      </c>
      <c r="Q461" s="4">
        <v>1841</v>
      </c>
      <c r="R461" s="4">
        <v>2018</v>
      </c>
      <c r="S461" s="4">
        <v>2006</v>
      </c>
      <c r="T461" s="4">
        <v>1984</v>
      </c>
      <c r="U461" s="4">
        <v>2042</v>
      </c>
      <c r="V461" s="4">
        <v>2096</v>
      </c>
      <c r="W461" s="75">
        <v>3190</v>
      </c>
      <c r="X461" s="107">
        <f t="shared" si="17"/>
        <v>1.9350649350649451E-2</v>
      </c>
      <c r="Y461" s="22">
        <f t="shared" si="18"/>
        <v>2.5608357752579858E-2</v>
      </c>
      <c r="Z461" s="22">
        <f t="shared" si="19"/>
        <v>9.6894409937888781E-3</v>
      </c>
      <c r="AA461" s="22">
        <f t="shared" si="20"/>
        <v>0.14566929133858264</v>
      </c>
    </row>
    <row r="462" spans="1:27" x14ac:dyDescent="0.3">
      <c r="A462" s="4">
        <v>260126</v>
      </c>
      <c r="B462" s="32" t="s">
        <v>493</v>
      </c>
      <c r="C462" s="4" t="s">
        <v>636</v>
      </c>
      <c r="D462" s="4" t="s">
        <v>153</v>
      </c>
      <c r="F462" s="74">
        <v>1.6269123936334171</v>
      </c>
      <c r="G462" s="4">
        <v>825.2</v>
      </c>
      <c r="H462" s="4">
        <v>538.79999999999995</v>
      </c>
      <c r="I462" s="4">
        <v>530.29999999999995</v>
      </c>
      <c r="J462" s="4">
        <v>480</v>
      </c>
      <c r="K462" s="4">
        <v>485.9</v>
      </c>
      <c r="L462" s="4">
        <v>513.79999999999995</v>
      </c>
      <c r="M462" s="4">
        <v>509.6</v>
      </c>
      <c r="N462" s="4">
        <v>530.1</v>
      </c>
      <c r="O462" s="4">
        <v>308.60000000000002</v>
      </c>
      <c r="P462" s="4">
        <v>510.2</v>
      </c>
      <c r="Q462" s="4">
        <v>528.6</v>
      </c>
      <c r="R462" s="4">
        <v>548.29999999999995</v>
      </c>
      <c r="S462" s="75">
        <v>544.1</v>
      </c>
      <c r="T462" s="4">
        <v>557.6</v>
      </c>
      <c r="U462" s="4">
        <v>577.20000000000005</v>
      </c>
      <c r="V462" s="4">
        <v>589.20000000000005</v>
      </c>
      <c r="W462" s="4">
        <v>581</v>
      </c>
      <c r="X462" s="107">
        <f t="shared" si="17"/>
        <v>2.2240990990991083E-2</v>
      </c>
      <c r="Y462" s="22">
        <f t="shared" si="18"/>
        <v>2.230790415863404E-2</v>
      </c>
      <c r="Z462" s="22">
        <f t="shared" si="19"/>
        <v>1.8363864942529062E-2</v>
      </c>
      <c r="AA462" s="22">
        <f t="shared" si="20"/>
        <v>1.6269123936334173E-2</v>
      </c>
    </row>
    <row r="463" spans="1:27" x14ac:dyDescent="0.3">
      <c r="A463" s="4">
        <v>260126</v>
      </c>
      <c r="B463" s="32" t="s">
        <v>494</v>
      </c>
      <c r="C463" s="4" t="s">
        <v>636</v>
      </c>
      <c r="D463" s="4" t="s">
        <v>182</v>
      </c>
      <c r="F463" s="74">
        <v>-892.70072992700739</v>
      </c>
      <c r="G463" s="4">
        <v>-148</v>
      </c>
      <c r="H463" s="4">
        <v>-161</v>
      </c>
      <c r="I463" s="4">
        <v>383</v>
      </c>
      <c r="J463" s="4">
        <v>10</v>
      </c>
      <c r="K463" s="75">
        <v>-86</v>
      </c>
      <c r="L463" s="4">
        <v>-312</v>
      </c>
      <c r="M463" s="75">
        <v>174</v>
      </c>
      <c r="N463" s="4">
        <v>863</v>
      </c>
      <c r="O463" s="4">
        <v>-1042</v>
      </c>
      <c r="P463" s="4">
        <v>410</v>
      </c>
      <c r="Q463" s="4">
        <v>208</v>
      </c>
      <c r="R463" s="4">
        <v>-360</v>
      </c>
      <c r="S463" s="4">
        <v>724</v>
      </c>
      <c r="T463" s="4">
        <v>-450</v>
      </c>
      <c r="U463" s="4">
        <v>-128</v>
      </c>
      <c r="V463" s="4">
        <v>-9</v>
      </c>
      <c r="W463" s="4">
        <v>-499</v>
      </c>
      <c r="X463" s="107">
        <f t="shared" si="17"/>
        <v>-0.87576374745417518</v>
      </c>
      <c r="Y463" s="22">
        <f t="shared" si="18"/>
        <v>-2.7540983606557377</v>
      </c>
      <c r="Z463" s="22">
        <f t="shared" si="19"/>
        <v>-1.6401869158878504</v>
      </c>
      <c r="AA463" s="22">
        <f t="shared" si="20"/>
        <v>-8.9270072992700733</v>
      </c>
    </row>
    <row r="464" spans="1:27" x14ac:dyDescent="0.3">
      <c r="A464" s="4">
        <v>260126</v>
      </c>
      <c r="B464" s="32" t="s">
        <v>495</v>
      </c>
      <c r="C464" s="4" t="s">
        <v>636</v>
      </c>
      <c r="D464" s="4" t="s">
        <v>153</v>
      </c>
      <c r="F464" s="74">
        <v>2.029542178347898</v>
      </c>
      <c r="G464" s="4">
        <v>539.62</v>
      </c>
      <c r="H464" s="4">
        <v>494.29</v>
      </c>
      <c r="I464" s="4">
        <v>548.54999999999995</v>
      </c>
      <c r="J464" s="4">
        <v>545.64</v>
      </c>
      <c r="K464" s="4">
        <v>555.04999999999995</v>
      </c>
      <c r="L464" s="4">
        <v>529.65</v>
      </c>
      <c r="M464" s="4">
        <v>559.64</v>
      </c>
      <c r="N464" s="4">
        <v>539.66999999999996</v>
      </c>
      <c r="O464" s="4">
        <v>566.64</v>
      </c>
      <c r="P464" s="4">
        <v>492.19</v>
      </c>
      <c r="Q464" s="4">
        <v>553.24</v>
      </c>
      <c r="R464" s="4">
        <v>519.21</v>
      </c>
      <c r="S464" s="4">
        <v>548.66999999999996</v>
      </c>
      <c r="T464" s="4">
        <v>528.28</v>
      </c>
      <c r="U464" s="4">
        <v>571.80999999999995</v>
      </c>
      <c r="V464" s="4">
        <v>543.36</v>
      </c>
      <c r="W464" s="4">
        <v>593.16</v>
      </c>
      <c r="X464" s="107">
        <f t="shared" si="17"/>
        <v>1.7077475618815896E-2</v>
      </c>
      <c r="Y464" s="22">
        <f t="shared" si="18"/>
        <v>8.6396203591703191E-3</v>
      </c>
      <c r="Z464" s="22">
        <f t="shared" si="19"/>
        <v>1.1139453036711489E-2</v>
      </c>
      <c r="AA464" s="22">
        <f t="shared" si="20"/>
        <v>2.0295421783478984E-2</v>
      </c>
    </row>
    <row r="465" spans="1:27" x14ac:dyDescent="0.3">
      <c r="A465" s="4">
        <v>260126</v>
      </c>
      <c r="B465" s="32" t="s">
        <v>496</v>
      </c>
      <c r="C465" s="4" t="s">
        <v>636</v>
      </c>
      <c r="D465" s="4" t="s">
        <v>50</v>
      </c>
      <c r="F465" s="74">
        <v>-1.1538616440011309</v>
      </c>
      <c r="G465" s="4">
        <v>574.66</v>
      </c>
      <c r="H465" s="4">
        <v>612.54999999999995</v>
      </c>
      <c r="I465" s="4">
        <v>640.96</v>
      </c>
      <c r="J465" s="4">
        <v>656.85</v>
      </c>
      <c r="K465" s="4">
        <v>665.67</v>
      </c>
      <c r="L465" s="4">
        <v>687.95</v>
      </c>
      <c r="M465" s="4">
        <v>704.34</v>
      </c>
      <c r="N465" s="4">
        <v>707.53</v>
      </c>
      <c r="O465" s="4">
        <v>742.64</v>
      </c>
      <c r="P465" s="4">
        <v>755.55</v>
      </c>
      <c r="Q465" s="4">
        <v>755.16</v>
      </c>
      <c r="R465" s="4">
        <v>775.74</v>
      </c>
      <c r="S465" s="4">
        <v>763.25</v>
      </c>
      <c r="T465" s="4">
        <v>743.18</v>
      </c>
      <c r="U465" s="4">
        <v>737.28</v>
      </c>
      <c r="V465" s="4">
        <v>735.85</v>
      </c>
      <c r="W465" s="4">
        <v>728.87</v>
      </c>
      <c r="X465" s="107">
        <f t="shared" si="17"/>
        <v>-4.0561366691805878E-3</v>
      </c>
      <c r="Y465" s="22">
        <f t="shared" si="18"/>
        <v>-5.8867492172401947E-3</v>
      </c>
      <c r="Z465" s="22">
        <f t="shared" si="19"/>
        <v>-1.3211015251121894E-2</v>
      </c>
      <c r="AA465" s="22">
        <f t="shared" si="20"/>
        <v>-1.1538616440011307E-2</v>
      </c>
    </row>
    <row r="466" spans="1:27" x14ac:dyDescent="0.3">
      <c r="A466" s="4">
        <v>260126</v>
      </c>
      <c r="B466" s="32" t="s">
        <v>497</v>
      </c>
      <c r="C466" s="4" t="s">
        <v>636</v>
      </c>
      <c r="D466" s="4" t="s">
        <v>485</v>
      </c>
      <c r="F466" s="74">
        <v>3.0736078031076359</v>
      </c>
      <c r="G466" s="4">
        <v>5311</v>
      </c>
      <c r="H466" s="4">
        <v>5570</v>
      </c>
      <c r="I466" s="4">
        <v>6213</v>
      </c>
      <c r="J466" s="4">
        <v>5652</v>
      </c>
      <c r="K466" s="4">
        <v>4826</v>
      </c>
      <c r="L466" s="4">
        <v>4893</v>
      </c>
      <c r="M466" s="4">
        <v>5082</v>
      </c>
      <c r="N466" s="4">
        <v>4587</v>
      </c>
      <c r="O466" s="4">
        <v>4233</v>
      </c>
      <c r="P466" s="4">
        <v>4694</v>
      </c>
      <c r="Q466" s="4">
        <v>4633</v>
      </c>
      <c r="R466" s="4">
        <v>4342</v>
      </c>
      <c r="S466" s="4">
        <v>3872</v>
      </c>
      <c r="T466" s="4">
        <v>4369</v>
      </c>
      <c r="U466" s="4">
        <v>4565</v>
      </c>
      <c r="V466" s="4">
        <v>4828</v>
      </c>
      <c r="W466" s="4">
        <v>4414</v>
      </c>
      <c r="X466" s="107">
        <f t="shared" si="17"/>
        <v>-1.8528020067270945E-2</v>
      </c>
      <c r="Y466" s="22">
        <f t="shared" si="18"/>
        <v>-3.9498141263940578E-3</v>
      </c>
      <c r="Z466" s="22">
        <f t="shared" si="19"/>
        <v>2.8341497550734784E-2</v>
      </c>
      <c r="AA466" s="22">
        <f t="shared" si="20"/>
        <v>3.0736078031076364E-2</v>
      </c>
    </row>
    <row r="467" spans="1:27" x14ac:dyDescent="0.3">
      <c r="A467" s="4">
        <v>260126</v>
      </c>
      <c r="B467" s="32" t="s">
        <v>498</v>
      </c>
      <c r="C467" s="4" t="s">
        <v>636</v>
      </c>
      <c r="D467" s="4" t="s">
        <v>136</v>
      </c>
      <c r="F467" s="74">
        <v>1.3765577909912841</v>
      </c>
      <c r="G467" s="4">
        <v>2203</v>
      </c>
      <c r="H467" s="4">
        <v>2249</v>
      </c>
      <c r="I467" s="4">
        <v>2357</v>
      </c>
      <c r="J467" s="4">
        <v>2442</v>
      </c>
      <c r="K467" s="4">
        <v>2513</v>
      </c>
      <c r="L467" s="4">
        <v>2491</v>
      </c>
      <c r="M467" s="4">
        <v>2553</v>
      </c>
      <c r="N467" s="4">
        <v>2642</v>
      </c>
      <c r="O467" s="4">
        <v>2715</v>
      </c>
      <c r="P467" s="4">
        <v>2764</v>
      </c>
      <c r="Q467" s="4">
        <v>2846</v>
      </c>
      <c r="R467" s="4">
        <v>2927</v>
      </c>
      <c r="S467" s="4">
        <v>3011</v>
      </c>
      <c r="T467" s="4">
        <v>3012</v>
      </c>
      <c r="U467" s="4">
        <v>3098</v>
      </c>
      <c r="V467" s="4">
        <v>3156</v>
      </c>
      <c r="W467" s="4">
        <v>3180</v>
      </c>
      <c r="X467" s="107">
        <f t="shared" si="17"/>
        <v>2.1475580187045429E-2</v>
      </c>
      <c r="Y467" s="22">
        <f t="shared" si="18"/>
        <v>2.1363173957273718E-2</v>
      </c>
      <c r="Z467" s="22">
        <f t="shared" si="19"/>
        <v>1.9007304116865908E-2</v>
      </c>
      <c r="AA467" s="22">
        <f t="shared" si="20"/>
        <v>1.3765577909912841E-2</v>
      </c>
    </row>
    <row r="468" spans="1:27" x14ac:dyDescent="0.3">
      <c r="A468" s="4">
        <v>260126</v>
      </c>
      <c r="B468" s="32" t="s">
        <v>499</v>
      </c>
      <c r="C468" s="4" t="s">
        <v>636</v>
      </c>
      <c r="D468" s="4" t="s">
        <v>29</v>
      </c>
      <c r="F468" s="74">
        <v>3.8277650604155111</v>
      </c>
      <c r="G468" s="4">
        <v>164.85</v>
      </c>
      <c r="H468" s="4">
        <v>168.81</v>
      </c>
      <c r="I468" s="4">
        <v>175.06</v>
      </c>
      <c r="J468" s="4">
        <v>172.32</v>
      </c>
      <c r="K468" s="4">
        <v>178.89</v>
      </c>
      <c r="L468" s="4">
        <v>176.69</v>
      </c>
      <c r="M468" s="4">
        <v>167.6</v>
      </c>
      <c r="N468" s="4">
        <v>171.27</v>
      </c>
      <c r="O468" s="4">
        <v>158.07</v>
      </c>
      <c r="P468" s="4">
        <v>156.22</v>
      </c>
      <c r="Q468" s="4">
        <v>156.93</v>
      </c>
      <c r="R468" s="4">
        <v>162.72999999999999</v>
      </c>
      <c r="S468" s="4">
        <v>163.22999999999999</v>
      </c>
      <c r="T468" s="4">
        <v>169.87</v>
      </c>
      <c r="U468" s="4">
        <v>174.48</v>
      </c>
      <c r="V468" s="4">
        <v>182.64</v>
      </c>
      <c r="W468" s="4">
        <v>189.65</v>
      </c>
      <c r="X468" s="22">
        <f t="shared" si="17"/>
        <v>2.1357825726400659E-2</v>
      </c>
      <c r="Y468" s="22">
        <f t="shared" si="18"/>
        <v>2.6885838593051048E-2</v>
      </c>
      <c r="Z468" s="22">
        <f t="shared" si="19"/>
        <v>2.9702674881771252E-2</v>
      </c>
      <c r="AA468" s="22">
        <f t="shared" si="20"/>
        <v>3.8277650604155111E-2</v>
      </c>
    </row>
  </sheetData>
  <autoFilter ref="B2:W394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393">
      <sortCondition descending="1" ref="C2:C394"/>
    </sortState>
  </autoFilter>
  <phoneticPr fontId="5" type="noConversion"/>
  <conditionalFormatting sqref="X150:AA281">
    <cfRule type="cellIs" dxfId="8" priority="1" operator="greaterThan">
      <formula>0.1</formula>
    </cfRule>
  </conditionalFormatting>
  <conditionalFormatting sqref="X282:AA468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458"/>
  <sheetViews>
    <sheetView zoomScale="85" zoomScaleNormal="85" workbookViewId="0">
      <selection activeCell="B94" sqref="B94"/>
    </sheetView>
  </sheetViews>
  <sheetFormatPr defaultRowHeight="16.5" x14ac:dyDescent="0.3"/>
  <cols>
    <col min="1" max="1" width="9" style="4"/>
    <col min="2" max="2" width="12.5" style="32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7" width="9.375" style="4" customWidth="1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x14ac:dyDescent="0.25">
      <c r="B2" s="18" t="s">
        <v>416</v>
      </c>
      <c r="C2" s="18" t="s">
        <v>1</v>
      </c>
      <c r="D2" s="18" t="s">
        <v>413</v>
      </c>
      <c r="E2" s="1" t="s">
        <v>3</v>
      </c>
      <c r="F2" s="18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24" t="s">
        <v>21</v>
      </c>
      <c r="X2" s="48" t="s">
        <v>388</v>
      </c>
      <c r="Y2" s="49" t="s">
        <v>389</v>
      </c>
      <c r="Z2" s="49" t="s">
        <v>390</v>
      </c>
      <c r="AA2" s="49" t="s">
        <v>391</v>
      </c>
    </row>
    <row r="3" spans="1:27" ht="15" x14ac:dyDescent="0.25">
      <c r="A3" s="4">
        <v>260129</v>
      </c>
      <c r="B3" s="29" t="s">
        <v>642</v>
      </c>
      <c r="C3" s="19" t="s">
        <v>23</v>
      </c>
      <c r="D3" s="19" t="s">
        <v>431</v>
      </c>
      <c r="E3" s="19" t="s">
        <v>799</v>
      </c>
      <c r="F3" s="108">
        <v>230.56994818652851</v>
      </c>
      <c r="G3" s="58"/>
      <c r="H3" s="58"/>
      <c r="I3" s="58"/>
      <c r="J3" s="58"/>
      <c r="K3" s="58"/>
      <c r="L3" s="58"/>
      <c r="M3" s="58"/>
      <c r="N3" s="58">
        <v>-546</v>
      </c>
      <c r="O3" s="58">
        <v>-198</v>
      </c>
      <c r="P3" s="59">
        <v>79</v>
      </c>
      <c r="Q3" s="58">
        <v>185</v>
      </c>
      <c r="R3" s="58">
        <v>313</v>
      </c>
      <c r="S3" s="59">
        <v>185</v>
      </c>
      <c r="T3" s="58">
        <v>-42</v>
      </c>
      <c r="U3" s="58">
        <v>51</v>
      </c>
      <c r="V3" s="58">
        <v>192</v>
      </c>
      <c r="W3" s="60">
        <v>1075</v>
      </c>
      <c r="X3" s="22">
        <v>-0.15879265091863515</v>
      </c>
      <c r="Y3" s="22">
        <v>-0.2090483619344774</v>
      </c>
      <c r="Z3" s="22">
        <v>-0.23865877712031558</v>
      </c>
      <c r="AA3" s="22">
        <v>2.3056994818652852</v>
      </c>
    </row>
    <row r="4" spans="1:27" ht="15" x14ac:dyDescent="0.25">
      <c r="A4" s="4">
        <v>260129</v>
      </c>
      <c r="B4" s="29" t="s">
        <v>655</v>
      </c>
      <c r="C4" s="19" t="s">
        <v>23</v>
      </c>
      <c r="D4" s="19" t="s">
        <v>52</v>
      </c>
      <c r="E4" s="19" t="s">
        <v>170</v>
      </c>
      <c r="F4" s="108">
        <v>143.57142857142861</v>
      </c>
      <c r="G4" s="58">
        <v>-62.18</v>
      </c>
      <c r="H4" s="58">
        <v>33.26</v>
      </c>
      <c r="I4" s="58">
        <v>-28.32</v>
      </c>
      <c r="J4" s="58">
        <v>14.89</v>
      </c>
      <c r="K4" s="58">
        <v>-32.880000000000003</v>
      </c>
      <c r="L4" s="59">
        <v>-44.42</v>
      </c>
      <c r="M4" s="59">
        <v>-57.77</v>
      </c>
      <c r="N4" s="58">
        <v>31.79</v>
      </c>
      <c r="O4" s="58">
        <v>-32.19</v>
      </c>
      <c r="P4" s="58">
        <v>-11.06</v>
      </c>
      <c r="Q4" s="58">
        <v>-17.329999999999998</v>
      </c>
      <c r="R4" s="58">
        <v>47.62</v>
      </c>
      <c r="S4" s="58">
        <v>-17.43</v>
      </c>
      <c r="T4" s="58">
        <v>-16.02</v>
      </c>
      <c r="U4" s="58">
        <v>14.35</v>
      </c>
      <c r="V4" s="59">
        <v>96.1</v>
      </c>
      <c r="W4" s="60">
        <v>93.12</v>
      </c>
      <c r="X4" s="22">
        <v>-2.7555555555555582</v>
      </c>
      <c r="Y4" s="22">
        <v>-10.025316455696201</v>
      </c>
      <c r="Z4" s="22">
        <v>1.6998597475455823</v>
      </c>
      <c r="AA4" s="22">
        <v>1.4357142857142859</v>
      </c>
    </row>
    <row r="5" spans="1:27" ht="15" x14ac:dyDescent="0.25">
      <c r="A5" s="4">
        <v>260129</v>
      </c>
      <c r="B5" s="29" t="s">
        <v>643</v>
      </c>
      <c r="C5" s="19" t="s">
        <v>23</v>
      </c>
      <c r="D5" s="19" t="s">
        <v>63</v>
      </c>
      <c r="E5" s="19" t="s">
        <v>25</v>
      </c>
      <c r="F5" s="108">
        <v>106.1055799953693</v>
      </c>
      <c r="G5" s="58">
        <v>939.41</v>
      </c>
      <c r="H5" s="58">
        <v>-1236</v>
      </c>
      <c r="I5" s="58">
        <v>90.52</v>
      </c>
      <c r="J5" s="58">
        <v>-207.27</v>
      </c>
      <c r="K5" s="58">
        <v>1293</v>
      </c>
      <c r="L5" s="58">
        <v>955.26</v>
      </c>
      <c r="M5" s="59">
        <v>567.73</v>
      </c>
      <c r="N5" s="58">
        <v>50.32</v>
      </c>
      <c r="O5" s="58">
        <v>664.58</v>
      </c>
      <c r="P5" s="58">
        <v>65.45</v>
      </c>
      <c r="Q5" s="58">
        <v>20.67</v>
      </c>
      <c r="R5" s="58">
        <v>104.8</v>
      </c>
      <c r="S5" s="58">
        <v>-189.17</v>
      </c>
      <c r="T5" s="58">
        <v>-236.88</v>
      </c>
      <c r="U5" s="58">
        <v>616.29999999999995</v>
      </c>
      <c r="V5" s="59">
        <v>241.65</v>
      </c>
      <c r="W5" s="60">
        <v>269.10000000000002</v>
      </c>
      <c r="X5" s="22">
        <v>-172.75999999999721</v>
      </c>
      <c r="Y5" s="22">
        <v>-1.9816022356776897</v>
      </c>
      <c r="Z5" s="22">
        <v>0.46381969157769887</v>
      </c>
      <c r="AA5" s="22">
        <v>1.0610557999536931</v>
      </c>
    </row>
    <row r="6" spans="1:27" ht="15" x14ac:dyDescent="0.25">
      <c r="A6" s="4">
        <v>260129</v>
      </c>
      <c r="B6" s="29" t="s">
        <v>638</v>
      </c>
      <c r="C6" s="19" t="s">
        <v>23</v>
      </c>
      <c r="D6" s="19" t="s">
        <v>182</v>
      </c>
      <c r="E6" s="19" t="s">
        <v>25</v>
      </c>
      <c r="F6" s="108">
        <v>89.218983557548583</v>
      </c>
      <c r="G6" s="58">
        <v>-64.650000000000006</v>
      </c>
      <c r="H6" s="58">
        <v>-228.42</v>
      </c>
      <c r="I6" s="58">
        <v>-109.54</v>
      </c>
      <c r="J6" s="58">
        <v>-101.43</v>
      </c>
      <c r="K6" s="58">
        <v>36.46</v>
      </c>
      <c r="L6" s="58">
        <v>21.46</v>
      </c>
      <c r="M6" s="58">
        <v>4.25</v>
      </c>
      <c r="N6" s="58">
        <v>-68.56</v>
      </c>
      <c r="O6" s="59">
        <v>27.31</v>
      </c>
      <c r="P6" s="58">
        <v>29.16</v>
      </c>
      <c r="Q6" s="59">
        <v>-13.2</v>
      </c>
      <c r="R6" s="58">
        <v>40.64</v>
      </c>
      <c r="S6" s="58">
        <v>3.74</v>
      </c>
      <c r="T6" s="58">
        <v>19.64</v>
      </c>
      <c r="U6" s="58">
        <v>-23.33</v>
      </c>
      <c r="V6" s="59">
        <v>53.47</v>
      </c>
      <c r="W6" s="60">
        <v>51.49</v>
      </c>
      <c r="X6" s="22">
        <v>-0.15777262180974483</v>
      </c>
      <c r="Y6" s="22">
        <v>-0.19933097205824457</v>
      </c>
      <c r="Z6" s="22">
        <v>0.31531088719587097</v>
      </c>
      <c r="AA6" s="22">
        <v>0.89218983557548581</v>
      </c>
    </row>
    <row r="7" spans="1:27" ht="15" x14ac:dyDescent="0.25">
      <c r="A7" s="4">
        <v>260129</v>
      </c>
      <c r="B7" s="29" t="s">
        <v>639</v>
      </c>
      <c r="C7" s="19" t="s">
        <v>23</v>
      </c>
      <c r="D7" s="19" t="s">
        <v>431</v>
      </c>
      <c r="E7" s="19" t="s">
        <v>799</v>
      </c>
      <c r="F7" s="108">
        <v>47.159647404505378</v>
      </c>
      <c r="G7" s="58">
        <v>729</v>
      </c>
      <c r="H7" s="58">
        <v>524</v>
      </c>
      <c r="I7" s="58">
        <v>611</v>
      </c>
      <c r="J7" s="58">
        <v>182</v>
      </c>
      <c r="K7" s="58">
        <v>-245</v>
      </c>
      <c r="L7" s="58">
        <v>-432</v>
      </c>
      <c r="M7" s="58">
        <v>-574</v>
      </c>
      <c r="N7" s="59">
        <v>-539</v>
      </c>
      <c r="O7" s="58">
        <v>0</v>
      </c>
      <c r="P7" s="58">
        <v>100</v>
      </c>
      <c r="Q7" s="58">
        <v>0</v>
      </c>
      <c r="R7" s="58">
        <v>340</v>
      </c>
      <c r="S7" s="58">
        <v>0</v>
      </c>
      <c r="T7" s="59">
        <v>559</v>
      </c>
      <c r="U7" s="59">
        <v>688</v>
      </c>
      <c r="V7" s="59">
        <v>795</v>
      </c>
      <c r="W7" s="60">
        <v>963</v>
      </c>
      <c r="X7" s="22">
        <v>1.043181818181818</v>
      </c>
      <c r="Y7" s="22">
        <v>0.76529477196885431</v>
      </c>
      <c r="Z7" s="22">
        <v>0.2867044738500315</v>
      </c>
      <c r="AA7" s="22">
        <v>0.47159647404505378</v>
      </c>
    </row>
    <row r="8" spans="1:27" ht="15" x14ac:dyDescent="0.25">
      <c r="A8" s="4">
        <v>260129</v>
      </c>
      <c r="B8" s="29" t="s">
        <v>710</v>
      </c>
      <c r="C8" s="19" t="s">
        <v>23</v>
      </c>
      <c r="D8" s="19" t="s">
        <v>806</v>
      </c>
      <c r="E8" s="19" t="s">
        <v>25</v>
      </c>
      <c r="F8" s="108">
        <v>35.295840656121847</v>
      </c>
      <c r="G8" s="58">
        <v>1601</v>
      </c>
      <c r="H8" s="58">
        <v>1400</v>
      </c>
      <c r="I8" s="58">
        <v>6237</v>
      </c>
      <c r="J8" s="58">
        <v>3796</v>
      </c>
      <c r="K8" s="59">
        <v>4383</v>
      </c>
      <c r="L8" s="59">
        <v>4067</v>
      </c>
      <c r="M8" s="58">
        <v>2785</v>
      </c>
      <c r="N8" s="58">
        <v>3529</v>
      </c>
      <c r="O8" s="58">
        <v>1575</v>
      </c>
      <c r="P8" s="58">
        <v>1703</v>
      </c>
      <c r="Q8" s="58">
        <v>1245</v>
      </c>
      <c r="R8" s="58">
        <v>527</v>
      </c>
      <c r="S8" s="58">
        <v>370</v>
      </c>
      <c r="T8" s="58">
        <v>250</v>
      </c>
      <c r="U8" s="58">
        <v>1117</v>
      </c>
      <c r="V8" s="59">
        <v>1677</v>
      </c>
      <c r="W8" s="60">
        <v>1575</v>
      </c>
      <c r="X8" s="22">
        <v>-0.37789336801040307</v>
      </c>
      <c r="Y8" s="22">
        <v>-5.3511705685618693E-2</v>
      </c>
      <c r="Z8" s="22">
        <v>0.50795053003533575</v>
      </c>
      <c r="AA8" s="22">
        <v>0.35295840656121857</v>
      </c>
    </row>
    <row r="9" spans="1:27" ht="15" x14ac:dyDescent="0.25">
      <c r="A9" s="4">
        <v>260129</v>
      </c>
      <c r="B9" s="29" t="s">
        <v>651</v>
      </c>
      <c r="C9" s="19" t="s">
        <v>23</v>
      </c>
      <c r="D9" s="19" t="s">
        <v>29</v>
      </c>
      <c r="E9" s="19" t="s">
        <v>25</v>
      </c>
      <c r="F9" s="108">
        <v>21.700505538013498</v>
      </c>
      <c r="G9" s="58">
        <v>157.31</v>
      </c>
      <c r="H9" s="58">
        <v>156.04</v>
      </c>
      <c r="I9" s="58">
        <v>132.97</v>
      </c>
      <c r="J9" s="58">
        <v>246.52</v>
      </c>
      <c r="K9" s="59">
        <v>245.14</v>
      </c>
      <c r="L9" s="58">
        <v>203.72</v>
      </c>
      <c r="M9" s="58">
        <v>190.82</v>
      </c>
      <c r="N9" s="58">
        <v>194.83</v>
      </c>
      <c r="O9" s="58">
        <v>88.97</v>
      </c>
      <c r="P9" s="58">
        <v>129.44999999999999</v>
      </c>
      <c r="Q9" s="58">
        <v>93.33</v>
      </c>
      <c r="R9" s="58">
        <v>126.67</v>
      </c>
      <c r="S9" s="58">
        <v>89.06</v>
      </c>
      <c r="T9" s="58">
        <v>139.12</v>
      </c>
      <c r="U9" s="59">
        <v>173.09</v>
      </c>
      <c r="V9" s="59">
        <v>209.96</v>
      </c>
      <c r="W9" s="60">
        <v>221.7</v>
      </c>
      <c r="X9" s="22">
        <v>2.2051948644272734E-2</v>
      </c>
      <c r="Y9" s="22">
        <v>0.17796421080815761</v>
      </c>
      <c r="Z9" s="22">
        <v>0.15776413986437854</v>
      </c>
      <c r="AA9" s="22">
        <v>0.21700505538013526</v>
      </c>
    </row>
    <row r="10" spans="1:27" ht="15" x14ac:dyDescent="0.25">
      <c r="A10" s="4">
        <v>260129</v>
      </c>
      <c r="B10" s="29" t="s">
        <v>700</v>
      </c>
      <c r="C10" s="19" t="s">
        <v>23</v>
      </c>
      <c r="D10" s="19" t="s">
        <v>701</v>
      </c>
      <c r="E10" s="19" t="s">
        <v>25</v>
      </c>
      <c r="F10" s="108">
        <v>17.982015648721241</v>
      </c>
      <c r="G10" s="58">
        <v>33.21</v>
      </c>
      <c r="H10" s="58">
        <v>28.25</v>
      </c>
      <c r="I10" s="58">
        <v>47.29</v>
      </c>
      <c r="J10" s="58">
        <v>62.03</v>
      </c>
      <c r="K10" s="59">
        <v>59.54</v>
      </c>
      <c r="L10" s="59">
        <v>60.42</v>
      </c>
      <c r="M10" s="59">
        <v>88.03</v>
      </c>
      <c r="N10" s="59">
        <v>93.2</v>
      </c>
      <c r="O10" s="59">
        <v>93.24</v>
      </c>
      <c r="P10" s="59">
        <v>103.8</v>
      </c>
      <c r="Q10" s="58">
        <v>122.68</v>
      </c>
      <c r="R10" s="58">
        <v>127.91</v>
      </c>
      <c r="S10" s="58">
        <v>52.65</v>
      </c>
      <c r="T10" s="58">
        <v>110.22</v>
      </c>
      <c r="U10" s="58">
        <v>134.46</v>
      </c>
      <c r="V10" s="58">
        <v>130.82</v>
      </c>
      <c r="W10" s="60">
        <v>129.63999999999999</v>
      </c>
      <c r="X10" s="22">
        <v>1.5772405660377631E-2</v>
      </c>
      <c r="Y10" s="22">
        <v>2.8491268804720971E-2</v>
      </c>
      <c r="Z10" s="22">
        <v>6.8431944313800397E-3</v>
      </c>
      <c r="AA10" s="22">
        <v>0.17982015648721239</v>
      </c>
    </row>
    <row r="11" spans="1:27" ht="15" x14ac:dyDescent="0.25">
      <c r="A11" s="4">
        <v>260129</v>
      </c>
      <c r="B11" s="29" t="s">
        <v>682</v>
      </c>
      <c r="C11" s="19" t="s">
        <v>23</v>
      </c>
      <c r="D11" s="19" t="s">
        <v>131</v>
      </c>
      <c r="E11" s="19" t="s">
        <v>25</v>
      </c>
      <c r="F11" s="108">
        <v>17.90892034794474</v>
      </c>
      <c r="G11" s="58">
        <v>2498</v>
      </c>
      <c r="H11" s="58">
        <v>2099</v>
      </c>
      <c r="I11" s="58">
        <v>654</v>
      </c>
      <c r="J11" s="58">
        <v>2247</v>
      </c>
      <c r="K11" s="58">
        <v>2499</v>
      </c>
      <c r="L11" s="58">
        <v>2161</v>
      </c>
      <c r="M11" s="59">
        <v>2241</v>
      </c>
      <c r="N11" s="58">
        <v>2151</v>
      </c>
      <c r="O11" s="58">
        <v>2490</v>
      </c>
      <c r="P11" s="58">
        <v>2030</v>
      </c>
      <c r="Q11" s="58">
        <v>2240</v>
      </c>
      <c r="R11" s="58">
        <v>2151</v>
      </c>
      <c r="S11" s="58">
        <v>703</v>
      </c>
      <c r="T11" s="58">
        <v>2279</v>
      </c>
      <c r="U11" s="58">
        <v>705</v>
      </c>
      <c r="V11" s="58">
        <v>2176</v>
      </c>
      <c r="W11" s="60">
        <v>1753</v>
      </c>
      <c r="X11" s="22">
        <v>3.4952274003368977E-2</v>
      </c>
      <c r="Y11" s="22">
        <v>-0.20819205208192049</v>
      </c>
      <c r="Z11" s="22">
        <v>4.2822884549502671E-3</v>
      </c>
      <c r="AA11" s="22">
        <v>0.17908920347944735</v>
      </c>
    </row>
    <row r="12" spans="1:27" ht="15" x14ac:dyDescent="0.25">
      <c r="A12" s="4">
        <v>260129</v>
      </c>
      <c r="B12" s="29" t="s">
        <v>657</v>
      </c>
      <c r="C12" s="19" t="s">
        <v>23</v>
      </c>
      <c r="D12" s="19" t="s">
        <v>115</v>
      </c>
      <c r="E12" s="19" t="s">
        <v>25</v>
      </c>
      <c r="F12" s="108">
        <v>14.97744360902256</v>
      </c>
      <c r="G12" s="58">
        <v>-7.34</v>
      </c>
      <c r="H12" s="58">
        <v>-14.67</v>
      </c>
      <c r="I12" s="58">
        <v>-10.53</v>
      </c>
      <c r="J12" s="58">
        <v>-7.82</v>
      </c>
      <c r="K12" s="59">
        <v>-17.72</v>
      </c>
      <c r="L12" s="59">
        <v>-26.53</v>
      </c>
      <c r="M12" s="58">
        <v>-2.58</v>
      </c>
      <c r="N12" s="58">
        <v>-7.0000000000000007E-2</v>
      </c>
      <c r="O12" s="58">
        <v>43.14</v>
      </c>
      <c r="P12" s="59">
        <v>34.090000000000003</v>
      </c>
      <c r="Q12" s="59">
        <v>36.03</v>
      </c>
      <c r="R12" s="59">
        <v>42.57</v>
      </c>
      <c r="S12" s="58">
        <v>23.66</v>
      </c>
      <c r="T12" s="58">
        <v>33.78</v>
      </c>
      <c r="U12" s="58">
        <v>40.51</v>
      </c>
      <c r="V12" s="58">
        <v>35.049999999999997</v>
      </c>
      <c r="W12" s="60">
        <v>43.58</v>
      </c>
      <c r="X12" s="22">
        <v>-2.2735606894023208E-3</v>
      </c>
      <c r="Y12" s="22">
        <v>3.2931490738018265E-2</v>
      </c>
      <c r="Z12" s="22">
        <v>-5.3515513805864057E-2</v>
      </c>
      <c r="AA12" s="22">
        <v>0.14977443609022556</v>
      </c>
    </row>
    <row r="13" spans="1:27" ht="15" x14ac:dyDescent="0.25">
      <c r="A13" s="4">
        <v>260129</v>
      </c>
      <c r="B13" s="29" t="s">
        <v>665</v>
      </c>
      <c r="C13" s="19" t="s">
        <v>23</v>
      </c>
      <c r="D13" s="19" t="s">
        <v>99</v>
      </c>
      <c r="E13" s="19" t="s">
        <v>25</v>
      </c>
      <c r="F13" s="108">
        <v>13.703703703703709</v>
      </c>
      <c r="G13" s="58">
        <v>0</v>
      </c>
      <c r="H13" s="58">
        <v>302</v>
      </c>
      <c r="I13" s="58">
        <v>16</v>
      </c>
      <c r="J13" s="58">
        <v>189</v>
      </c>
      <c r="K13" s="58">
        <v>-208</v>
      </c>
      <c r="L13" s="59">
        <v>638</v>
      </c>
      <c r="M13" s="59">
        <v>86</v>
      </c>
      <c r="N13" s="58">
        <v>225</v>
      </c>
      <c r="O13" s="59">
        <v>18</v>
      </c>
      <c r="P13" s="58">
        <v>188</v>
      </c>
      <c r="Q13" s="59">
        <v>180</v>
      </c>
      <c r="R13" s="58">
        <v>40</v>
      </c>
      <c r="S13" s="58">
        <v>-27</v>
      </c>
      <c r="T13" s="58">
        <v>197</v>
      </c>
      <c r="U13" s="58">
        <v>174</v>
      </c>
      <c r="V13" s="59">
        <v>196</v>
      </c>
      <c r="W13" s="60">
        <v>47</v>
      </c>
      <c r="X13" s="22">
        <v>2.3622047244094446E-2</v>
      </c>
      <c r="Y13" s="22">
        <v>-1.538461538461533E-2</v>
      </c>
      <c r="Z13" s="22">
        <v>0.40625</v>
      </c>
      <c r="AA13" s="22">
        <v>0.13703703703703707</v>
      </c>
    </row>
    <row r="14" spans="1:27" ht="15" x14ac:dyDescent="0.25">
      <c r="A14" s="4">
        <v>260129</v>
      </c>
      <c r="B14" s="29" t="s">
        <v>660</v>
      </c>
      <c r="C14" s="19" t="s">
        <v>23</v>
      </c>
      <c r="D14" s="19" t="s">
        <v>177</v>
      </c>
      <c r="E14" s="19" t="s">
        <v>25</v>
      </c>
      <c r="F14" s="108">
        <v>13.33643575285981</v>
      </c>
      <c r="G14" s="58">
        <v>250.76</v>
      </c>
      <c r="H14" s="58">
        <v>242.52</v>
      </c>
      <c r="I14" s="58">
        <v>172.22</v>
      </c>
      <c r="J14" s="58">
        <v>101.62</v>
      </c>
      <c r="K14" s="58">
        <v>51.49</v>
      </c>
      <c r="L14" s="58">
        <v>137.21</v>
      </c>
      <c r="M14" s="58">
        <v>34.49</v>
      </c>
      <c r="N14" s="59">
        <v>139.02000000000001</v>
      </c>
      <c r="O14" s="58">
        <v>21.87</v>
      </c>
      <c r="P14" s="58">
        <v>139.62</v>
      </c>
      <c r="Q14" s="59">
        <v>155.47999999999999</v>
      </c>
      <c r="R14" s="58">
        <v>150.47</v>
      </c>
      <c r="S14" s="59">
        <v>220.86</v>
      </c>
      <c r="T14" s="59">
        <v>226.93</v>
      </c>
      <c r="U14" s="59">
        <v>284.22000000000003</v>
      </c>
      <c r="V14" s="58">
        <v>192</v>
      </c>
      <c r="W14" s="60">
        <v>344.09</v>
      </c>
      <c r="X14" s="22">
        <v>0.13101150908572534</v>
      </c>
      <c r="Y14" s="22">
        <v>0.17080160267466238</v>
      </c>
      <c r="Z14" s="22">
        <v>4.7060556613180982E-2</v>
      </c>
      <c r="AA14" s="22">
        <v>0.1333643575285981</v>
      </c>
    </row>
    <row r="15" spans="1:27" ht="15" x14ac:dyDescent="0.25">
      <c r="A15" s="4">
        <v>260129</v>
      </c>
      <c r="B15" s="29" t="s">
        <v>645</v>
      </c>
      <c r="C15" s="19" t="s">
        <v>23</v>
      </c>
      <c r="D15" s="19" t="s">
        <v>95</v>
      </c>
      <c r="E15" s="19" t="s">
        <v>25</v>
      </c>
      <c r="F15" s="108">
        <v>13.013367692059919</v>
      </c>
      <c r="G15" s="58">
        <v>3213</v>
      </c>
      <c r="H15" s="58">
        <v>2857</v>
      </c>
      <c r="I15" s="58">
        <v>-270.39</v>
      </c>
      <c r="J15" s="58">
        <v>-102.63</v>
      </c>
      <c r="K15" s="58">
        <v>876.81</v>
      </c>
      <c r="L15" s="58">
        <v>206.65</v>
      </c>
      <c r="M15" s="59">
        <v>1371</v>
      </c>
      <c r="N15" s="59">
        <v>1103</v>
      </c>
      <c r="O15" s="58">
        <v>454.33</v>
      </c>
      <c r="P15" s="59">
        <v>1853</v>
      </c>
      <c r="Q15" s="58">
        <v>1144</v>
      </c>
      <c r="R15" s="59">
        <v>1863</v>
      </c>
      <c r="S15" s="59">
        <v>1427</v>
      </c>
      <c r="T15" s="58">
        <v>1469</v>
      </c>
      <c r="U15" s="59">
        <v>2004</v>
      </c>
      <c r="V15" s="58">
        <v>1309</v>
      </c>
      <c r="W15" s="60">
        <v>2235</v>
      </c>
      <c r="X15" s="22">
        <v>-6.1078415778590744E-2</v>
      </c>
      <c r="Y15" s="22">
        <v>0.14568863289852607</v>
      </c>
      <c r="Z15" s="22">
        <v>-8.1916309330178905E-2</v>
      </c>
      <c r="AA15" s="22">
        <v>0.13013367692059918</v>
      </c>
    </row>
    <row r="16" spans="1:27" ht="15" x14ac:dyDescent="0.25">
      <c r="A16" s="4">
        <v>260129</v>
      </c>
      <c r="B16" s="29" t="s">
        <v>687</v>
      </c>
      <c r="C16" s="19" t="s">
        <v>23</v>
      </c>
      <c r="D16" s="19" t="s">
        <v>136</v>
      </c>
      <c r="E16" s="19" t="s">
        <v>25</v>
      </c>
      <c r="F16" s="47">
        <v>8.5367718261046832</v>
      </c>
      <c r="G16" s="58">
        <v>131.09</v>
      </c>
      <c r="H16" s="58">
        <v>77.06</v>
      </c>
      <c r="I16" s="58">
        <v>57.16</v>
      </c>
      <c r="J16" s="58">
        <v>59.82</v>
      </c>
      <c r="K16" s="58">
        <v>115.01</v>
      </c>
      <c r="L16" s="59">
        <v>121.93</v>
      </c>
      <c r="M16" s="58">
        <v>81.42</v>
      </c>
      <c r="N16" s="59">
        <v>119.7</v>
      </c>
      <c r="O16" s="59">
        <v>164.77</v>
      </c>
      <c r="P16" s="58">
        <v>109.75</v>
      </c>
      <c r="Q16" s="58">
        <v>-72.900000000000006</v>
      </c>
      <c r="R16" s="58">
        <v>123.74</v>
      </c>
      <c r="S16" s="58">
        <v>159.05000000000001</v>
      </c>
      <c r="T16" s="59">
        <v>148.46</v>
      </c>
      <c r="U16" s="59">
        <v>122.16</v>
      </c>
      <c r="V16" s="58">
        <v>158.96</v>
      </c>
      <c r="W16" s="61">
        <v>209.3</v>
      </c>
      <c r="X16" s="22">
        <v>0.12110499311725698</v>
      </c>
      <c r="Y16" s="22">
        <v>0.54432817078275408</v>
      </c>
      <c r="Z16" s="22">
        <v>6.364178457201719E-2</v>
      </c>
      <c r="AA16" s="22">
        <v>8.5367718261047054E-2</v>
      </c>
    </row>
    <row r="17" spans="1:27" ht="15" x14ac:dyDescent="0.25">
      <c r="A17" s="4">
        <v>260129</v>
      </c>
      <c r="B17" s="29" t="s">
        <v>664</v>
      </c>
      <c r="C17" s="19" t="s">
        <v>23</v>
      </c>
      <c r="D17" s="19" t="s">
        <v>153</v>
      </c>
      <c r="E17" s="19" t="s">
        <v>25</v>
      </c>
      <c r="F17" s="47">
        <v>8.2875038191261741</v>
      </c>
      <c r="G17" s="58">
        <v>25.24</v>
      </c>
      <c r="H17" s="58">
        <v>26.08</v>
      </c>
      <c r="I17" s="58">
        <v>26.06</v>
      </c>
      <c r="J17" s="58">
        <v>27.16</v>
      </c>
      <c r="K17" s="58">
        <v>28.49</v>
      </c>
      <c r="L17" s="58">
        <v>28.67</v>
      </c>
      <c r="M17" s="58">
        <v>28.05</v>
      </c>
      <c r="N17" s="58">
        <v>29.05</v>
      </c>
      <c r="O17" s="58">
        <v>28.39</v>
      </c>
      <c r="P17" s="58">
        <v>26.53</v>
      </c>
      <c r="Q17" s="58">
        <v>28.33</v>
      </c>
      <c r="R17" s="58">
        <v>27.03</v>
      </c>
      <c r="S17" s="58">
        <v>25.78</v>
      </c>
      <c r="T17" s="58">
        <v>30.38</v>
      </c>
      <c r="U17" s="58">
        <v>38.700000000000003</v>
      </c>
      <c r="V17" s="58">
        <v>36.06</v>
      </c>
      <c r="W17" s="61">
        <v>36.630000000000003</v>
      </c>
      <c r="X17" s="22">
        <v>3.5757406891427479E-2</v>
      </c>
      <c r="Y17" s="22">
        <v>9.2987804878048808E-2</v>
      </c>
      <c r="Z17" s="22">
        <v>7.4083189761260382E-2</v>
      </c>
      <c r="AA17" s="22">
        <v>8.2875038191261741E-2</v>
      </c>
    </row>
    <row r="18" spans="1:27" ht="15" x14ac:dyDescent="0.25">
      <c r="A18" s="4">
        <v>260129</v>
      </c>
      <c r="B18" s="29" t="s">
        <v>694</v>
      </c>
      <c r="C18" s="19" t="s">
        <v>23</v>
      </c>
      <c r="D18" s="19" t="s">
        <v>695</v>
      </c>
      <c r="E18" s="19" t="s">
        <v>25</v>
      </c>
      <c r="F18" s="47">
        <v>7.1058315334773248</v>
      </c>
      <c r="G18" s="58">
        <v>954</v>
      </c>
      <c r="H18" s="58">
        <v>590</v>
      </c>
      <c r="I18" s="58">
        <v>593</v>
      </c>
      <c r="J18" s="58">
        <v>483</v>
      </c>
      <c r="K18" s="58">
        <v>802</v>
      </c>
      <c r="L18" s="58">
        <v>709</v>
      </c>
      <c r="M18" s="58">
        <v>729</v>
      </c>
      <c r="N18" s="59">
        <v>867</v>
      </c>
      <c r="O18" s="58">
        <v>1014</v>
      </c>
      <c r="P18" s="58">
        <v>966</v>
      </c>
      <c r="Q18" s="58">
        <v>967</v>
      </c>
      <c r="R18" s="58">
        <v>1008</v>
      </c>
      <c r="S18" s="58">
        <v>1134</v>
      </c>
      <c r="T18" s="58">
        <v>832</v>
      </c>
      <c r="U18" s="58">
        <v>1296</v>
      </c>
      <c r="V18" s="58">
        <v>1368</v>
      </c>
      <c r="W18" s="61">
        <v>1463</v>
      </c>
      <c r="X18" s="22">
        <v>-3.288343558282214E-2</v>
      </c>
      <c r="Y18" s="22">
        <v>8.3481349911190161E-2</v>
      </c>
      <c r="Z18" s="22">
        <v>8.4309133489461452E-2</v>
      </c>
      <c r="AA18" s="22">
        <v>7.1058315334773248E-2</v>
      </c>
    </row>
    <row r="19" spans="1:27" ht="15" x14ac:dyDescent="0.25">
      <c r="A19" s="4">
        <v>260129</v>
      </c>
      <c r="B19" s="29" t="s">
        <v>555</v>
      </c>
      <c r="C19" s="19" t="s">
        <v>23</v>
      </c>
      <c r="D19" s="19" t="s">
        <v>29</v>
      </c>
      <c r="E19" s="19" t="s">
        <v>25</v>
      </c>
      <c r="F19" s="47">
        <v>7.0728768271598463</v>
      </c>
      <c r="G19" s="58">
        <v>36.270000000000003</v>
      </c>
      <c r="H19" s="58">
        <v>35.19</v>
      </c>
      <c r="I19" s="58">
        <v>38.130000000000003</v>
      </c>
      <c r="J19" s="58">
        <v>42.44</v>
      </c>
      <c r="K19" s="58">
        <v>41.02</v>
      </c>
      <c r="L19" s="58">
        <v>40.42</v>
      </c>
      <c r="M19" s="58">
        <v>42.07</v>
      </c>
      <c r="N19" s="58">
        <v>42.67</v>
      </c>
      <c r="O19" s="58">
        <v>36.520000000000003</v>
      </c>
      <c r="P19" s="58">
        <v>37.89</v>
      </c>
      <c r="Q19" s="58">
        <v>47.72</v>
      </c>
      <c r="R19" s="58">
        <v>45.38</v>
      </c>
      <c r="S19" s="58">
        <v>40.06</v>
      </c>
      <c r="T19" s="58">
        <v>47.7</v>
      </c>
      <c r="U19" s="58">
        <v>48.13</v>
      </c>
      <c r="V19" s="58">
        <v>54.98</v>
      </c>
      <c r="W19" s="61">
        <v>53.56</v>
      </c>
      <c r="X19" s="22">
        <v>5.7351651563870121E-2</v>
      </c>
      <c r="Y19" s="22">
        <v>2.266946809686976E-3</v>
      </c>
      <c r="Z19" s="22">
        <v>5.2959673415347464E-2</v>
      </c>
      <c r="AA19" s="22">
        <v>7.0728768271598463E-2</v>
      </c>
    </row>
    <row r="20" spans="1:27" ht="15" x14ac:dyDescent="0.25">
      <c r="A20" s="4">
        <v>260129</v>
      </c>
      <c r="B20" s="29" t="s">
        <v>705</v>
      </c>
      <c r="C20" s="19" t="s">
        <v>23</v>
      </c>
      <c r="D20" s="19" t="s">
        <v>706</v>
      </c>
      <c r="E20" s="19" t="s">
        <v>801</v>
      </c>
      <c r="F20" s="47">
        <v>6.9604296832182388</v>
      </c>
      <c r="G20" s="58">
        <v>17.32</v>
      </c>
      <c r="H20" s="58">
        <v>16.399999999999999</v>
      </c>
      <c r="I20" s="58">
        <v>23.52</v>
      </c>
      <c r="J20" s="58">
        <v>21.66</v>
      </c>
      <c r="K20" s="58">
        <v>23.81</v>
      </c>
      <c r="L20" s="58">
        <v>21.1</v>
      </c>
      <c r="M20" s="58">
        <v>20.94</v>
      </c>
      <c r="N20" s="58">
        <v>23.87</v>
      </c>
      <c r="O20" s="58">
        <v>24.77</v>
      </c>
      <c r="P20" s="58">
        <v>17.68</v>
      </c>
      <c r="Q20" s="58">
        <v>14.8</v>
      </c>
      <c r="R20" s="58">
        <v>16.239999999999998</v>
      </c>
      <c r="S20" s="58">
        <v>18.66</v>
      </c>
      <c r="T20" s="59">
        <v>27.2</v>
      </c>
      <c r="U20" s="58">
        <v>19.32</v>
      </c>
      <c r="V20" s="59">
        <v>26.05</v>
      </c>
      <c r="W20" s="61">
        <v>25.01</v>
      </c>
      <c r="X20" s="22">
        <v>0.14128821608786013</v>
      </c>
      <c r="Y20" s="22">
        <v>5.8777633289986753E-2</v>
      </c>
      <c r="Z20" s="22">
        <v>0.12048636698599879</v>
      </c>
      <c r="AA20" s="22">
        <v>6.9604296832182388E-2</v>
      </c>
    </row>
    <row r="21" spans="1:27" ht="15" x14ac:dyDescent="0.25">
      <c r="A21" s="4">
        <v>260129</v>
      </c>
      <c r="B21" s="29" t="s">
        <v>673</v>
      </c>
      <c r="C21" s="19" t="s">
        <v>23</v>
      </c>
      <c r="D21" s="19" t="s">
        <v>674</v>
      </c>
      <c r="E21" s="19" t="s">
        <v>25</v>
      </c>
      <c r="F21" s="47">
        <v>6.7462039045553146</v>
      </c>
      <c r="G21" s="58">
        <v>-987.85</v>
      </c>
      <c r="H21" s="58">
        <v>-859.21</v>
      </c>
      <c r="I21" s="58">
        <v>-217.74</v>
      </c>
      <c r="J21" s="58">
        <v>303</v>
      </c>
      <c r="K21" s="58">
        <v>18.98</v>
      </c>
      <c r="L21" s="58">
        <v>272</v>
      </c>
      <c r="M21" s="59">
        <v>776</v>
      </c>
      <c r="N21" s="59">
        <v>1265</v>
      </c>
      <c r="O21" s="59">
        <v>591</v>
      </c>
      <c r="P21" s="59">
        <v>750</v>
      </c>
      <c r="Q21" s="58">
        <v>1108</v>
      </c>
      <c r="R21" s="58">
        <v>1636</v>
      </c>
      <c r="S21" s="58">
        <v>625</v>
      </c>
      <c r="T21" s="58">
        <v>949</v>
      </c>
      <c r="U21" s="58">
        <v>1333</v>
      </c>
      <c r="V21" s="58">
        <v>1703</v>
      </c>
      <c r="W21" s="61">
        <v>936</v>
      </c>
      <c r="X21" s="22">
        <v>4.8312697256615689E-2</v>
      </c>
      <c r="Y21" s="22">
        <v>5.2107457156090886E-2</v>
      </c>
      <c r="Z21" s="22">
        <v>1.4747963900506367E-2</v>
      </c>
      <c r="AA21" s="22">
        <v>6.7462039045553146E-2</v>
      </c>
    </row>
    <row r="22" spans="1:27" ht="15" x14ac:dyDescent="0.25">
      <c r="A22" s="4">
        <v>260129</v>
      </c>
      <c r="B22" s="29" t="s">
        <v>669</v>
      </c>
      <c r="C22" s="19" t="s">
        <v>23</v>
      </c>
      <c r="D22" s="19" t="s">
        <v>449</v>
      </c>
      <c r="E22" s="19" t="s">
        <v>25</v>
      </c>
      <c r="F22" s="47">
        <v>6.2075983717774896</v>
      </c>
      <c r="G22" s="58">
        <v>137</v>
      </c>
      <c r="H22" s="58">
        <v>239.3</v>
      </c>
      <c r="I22" s="58">
        <v>278.7</v>
      </c>
      <c r="J22" s="58">
        <v>261.89999999999998</v>
      </c>
      <c r="K22" s="58">
        <v>195.2</v>
      </c>
      <c r="L22" s="58">
        <v>245.6</v>
      </c>
      <c r="M22" s="58">
        <v>208.3</v>
      </c>
      <c r="N22" s="58">
        <v>212.4</v>
      </c>
      <c r="O22" s="58">
        <v>125.4</v>
      </c>
      <c r="P22" s="58">
        <v>127.7</v>
      </c>
      <c r="Q22" s="58">
        <v>166.2</v>
      </c>
      <c r="R22" s="58">
        <v>110.6</v>
      </c>
      <c r="S22" s="58">
        <v>33.799999999999997</v>
      </c>
      <c r="T22" s="58">
        <v>58.1</v>
      </c>
      <c r="U22" s="58">
        <v>111.3</v>
      </c>
      <c r="V22" s="58">
        <v>91.6</v>
      </c>
      <c r="W22" s="61">
        <v>52.1</v>
      </c>
      <c r="X22" s="22">
        <v>-0.15879534565366193</v>
      </c>
      <c r="Y22" s="22">
        <v>-0.14890154597233529</v>
      </c>
      <c r="Z22" s="22">
        <v>-6.0548119821542401E-2</v>
      </c>
      <c r="AA22" s="22">
        <v>6.2075983717774896E-2</v>
      </c>
    </row>
    <row r="23" spans="1:27" ht="15" x14ac:dyDescent="0.25">
      <c r="A23" s="4">
        <v>260129</v>
      </c>
      <c r="B23" s="29" t="s">
        <v>658</v>
      </c>
      <c r="C23" s="19" t="s">
        <v>23</v>
      </c>
      <c r="D23" s="19" t="s">
        <v>659</v>
      </c>
      <c r="E23" s="19" t="s">
        <v>59</v>
      </c>
      <c r="F23" s="47">
        <v>6.0278090943254314</v>
      </c>
      <c r="G23" s="58">
        <v>41488</v>
      </c>
      <c r="H23" s="58">
        <v>29979</v>
      </c>
      <c r="I23" s="58">
        <v>23076</v>
      </c>
      <c r="J23" s="58">
        <v>24894</v>
      </c>
      <c r="K23" s="58">
        <v>36016</v>
      </c>
      <c r="L23" s="58">
        <v>28318</v>
      </c>
      <c r="M23" s="58">
        <v>22998</v>
      </c>
      <c r="N23" s="58">
        <v>26969</v>
      </c>
      <c r="O23" s="58">
        <v>40373</v>
      </c>
      <c r="P23" s="58">
        <v>27900</v>
      </c>
      <c r="Q23" s="58">
        <v>25352</v>
      </c>
      <c r="R23" s="58">
        <v>29591</v>
      </c>
      <c r="S23" s="58">
        <v>42832</v>
      </c>
      <c r="T23" s="58">
        <v>29589</v>
      </c>
      <c r="U23" s="58">
        <v>28202</v>
      </c>
      <c r="V23" s="58">
        <v>32427</v>
      </c>
      <c r="W23" s="61">
        <v>50852</v>
      </c>
      <c r="X23" s="22">
        <v>1.3439427093693945E-2</v>
      </c>
      <c r="Y23" s="22">
        <v>2.2376809773562378E-2</v>
      </c>
      <c r="Z23" s="22">
        <v>2.1779532154760695E-2</v>
      </c>
      <c r="AA23" s="22">
        <v>6.0278090943254314E-2</v>
      </c>
    </row>
    <row r="24" spans="1:27" ht="15" x14ac:dyDescent="0.25">
      <c r="A24" s="4">
        <v>260129</v>
      </c>
      <c r="B24" s="29" t="s">
        <v>662</v>
      </c>
      <c r="C24" s="19" t="s">
        <v>23</v>
      </c>
      <c r="D24" s="19" t="s">
        <v>99</v>
      </c>
      <c r="E24" s="19" t="s">
        <v>25</v>
      </c>
      <c r="F24" s="47">
        <v>4.6722417048826506</v>
      </c>
      <c r="G24" s="58">
        <v>2837</v>
      </c>
      <c r="H24" s="58">
        <v>2984</v>
      </c>
      <c r="I24" s="58">
        <v>3184</v>
      </c>
      <c r="J24" s="58">
        <v>3320</v>
      </c>
      <c r="K24" s="58">
        <v>3136</v>
      </c>
      <c r="L24" s="58">
        <v>3347</v>
      </c>
      <c r="M24" s="58">
        <v>3676</v>
      </c>
      <c r="N24" s="58">
        <v>3844</v>
      </c>
      <c r="O24" s="58">
        <v>3680</v>
      </c>
      <c r="P24" s="58">
        <v>3730</v>
      </c>
      <c r="Q24" s="58">
        <v>4134</v>
      </c>
      <c r="R24" s="58">
        <v>4370</v>
      </c>
      <c r="S24" s="58">
        <v>4218</v>
      </c>
      <c r="T24" s="58">
        <v>4300</v>
      </c>
      <c r="U24" s="58">
        <v>4873</v>
      </c>
      <c r="V24" s="58">
        <v>5144</v>
      </c>
      <c r="W24" s="61">
        <v>5084</v>
      </c>
      <c r="X24" s="22">
        <v>3.4646243617797223E-2</v>
      </c>
      <c r="Y24" s="22">
        <v>4.3414404887792246E-2</v>
      </c>
      <c r="Z24" s="22">
        <v>4.3578627329542208E-2</v>
      </c>
      <c r="AA24" s="22">
        <v>4.6722417048826514E-2</v>
      </c>
    </row>
    <row r="25" spans="1:27" ht="15" x14ac:dyDescent="0.25">
      <c r="A25" s="4">
        <v>260129</v>
      </c>
      <c r="B25" s="29" t="s">
        <v>676</v>
      </c>
      <c r="C25" s="19" t="s">
        <v>23</v>
      </c>
      <c r="D25" s="19" t="s">
        <v>677</v>
      </c>
      <c r="E25" s="19" t="s">
        <v>25</v>
      </c>
      <c r="F25" s="47">
        <v>4.5596137151546312</v>
      </c>
      <c r="G25" s="58">
        <v>248.71</v>
      </c>
      <c r="H25" s="58">
        <v>234.27</v>
      </c>
      <c r="I25" s="58">
        <v>257.26</v>
      </c>
      <c r="J25" s="58">
        <v>275.74</v>
      </c>
      <c r="K25" s="58">
        <v>288.61</v>
      </c>
      <c r="L25" s="58">
        <v>300.67</v>
      </c>
      <c r="M25" s="58">
        <v>286.24</v>
      </c>
      <c r="N25" s="58">
        <v>289</v>
      </c>
      <c r="O25" s="58">
        <v>339.32</v>
      </c>
      <c r="P25" s="58">
        <v>374.58</v>
      </c>
      <c r="Q25" s="58">
        <v>381.22</v>
      </c>
      <c r="R25" s="58">
        <v>387.31</v>
      </c>
      <c r="S25" s="58">
        <v>417.24</v>
      </c>
      <c r="T25" s="58">
        <v>426.27</v>
      </c>
      <c r="U25" s="58">
        <v>456.57</v>
      </c>
      <c r="V25" s="58">
        <v>462.35</v>
      </c>
      <c r="W25" s="61">
        <v>497.6</v>
      </c>
      <c r="X25" s="22">
        <v>3.3127183003813343E-2</v>
      </c>
      <c r="Y25" s="22">
        <v>4.6742016327138147E-2</v>
      </c>
      <c r="Z25" s="22">
        <v>4.4471047001582331E-2</v>
      </c>
      <c r="AA25" s="22">
        <v>4.5596137151546534E-2</v>
      </c>
    </row>
    <row r="26" spans="1:27" ht="15" x14ac:dyDescent="0.25">
      <c r="A26" s="4">
        <v>260129</v>
      </c>
      <c r="B26" s="29" t="s">
        <v>717</v>
      </c>
      <c r="C26" s="19" t="s">
        <v>23</v>
      </c>
      <c r="D26" s="19" t="s">
        <v>119</v>
      </c>
      <c r="E26" s="19" t="s">
        <v>25</v>
      </c>
      <c r="F26" s="47">
        <v>4.2839143217135556</v>
      </c>
      <c r="G26" s="58">
        <v>403</v>
      </c>
      <c r="H26" s="58">
        <v>428</v>
      </c>
      <c r="I26" s="58">
        <v>432</v>
      </c>
      <c r="J26" s="58">
        <v>421</v>
      </c>
      <c r="K26" s="58">
        <v>414</v>
      </c>
      <c r="L26" s="58">
        <v>441</v>
      </c>
      <c r="M26" s="58">
        <v>450</v>
      </c>
      <c r="N26" s="58">
        <v>461</v>
      </c>
      <c r="O26" s="58">
        <v>483</v>
      </c>
      <c r="P26" s="58">
        <v>455</v>
      </c>
      <c r="Q26" s="58">
        <v>501</v>
      </c>
      <c r="R26" s="58">
        <v>489</v>
      </c>
      <c r="S26" s="58">
        <v>560</v>
      </c>
      <c r="T26" s="58">
        <v>591</v>
      </c>
      <c r="U26" s="58">
        <v>611</v>
      </c>
      <c r="V26" s="58">
        <v>619</v>
      </c>
      <c r="W26" s="61">
        <v>662</v>
      </c>
      <c r="X26" s="22">
        <v>6.7830423940149709E-2</v>
      </c>
      <c r="Y26" s="22">
        <v>5.1377860812704235E-2</v>
      </c>
      <c r="Z26" s="22">
        <v>5.7752110173256321E-2</v>
      </c>
      <c r="AA26" s="22">
        <v>4.2839143217135556E-2</v>
      </c>
    </row>
    <row r="27" spans="1:27" ht="15" x14ac:dyDescent="0.25">
      <c r="A27" s="4">
        <v>260129</v>
      </c>
      <c r="B27" s="29" t="s">
        <v>707</v>
      </c>
      <c r="C27" s="19" t="s">
        <v>23</v>
      </c>
      <c r="D27" s="19" t="s">
        <v>708</v>
      </c>
      <c r="E27" s="19" t="s">
        <v>25</v>
      </c>
      <c r="F27" s="47">
        <v>4.2293366023857804</v>
      </c>
      <c r="G27" s="58">
        <v>85.51</v>
      </c>
      <c r="H27" s="58">
        <v>29.95</v>
      </c>
      <c r="I27" s="58">
        <v>47.45</v>
      </c>
      <c r="J27" s="58">
        <v>42.5</v>
      </c>
      <c r="K27" s="58">
        <v>36.22</v>
      </c>
      <c r="L27" s="58">
        <v>31.4</v>
      </c>
      <c r="M27" s="58">
        <v>27.11</v>
      </c>
      <c r="N27" s="58">
        <v>52.52</v>
      </c>
      <c r="O27" s="58">
        <v>38.090000000000003</v>
      </c>
      <c r="P27" s="58">
        <v>38.090000000000003</v>
      </c>
      <c r="Q27" s="58">
        <v>29.56</v>
      </c>
      <c r="R27" s="58">
        <v>42.44</v>
      </c>
      <c r="S27" s="58">
        <v>44.17</v>
      </c>
      <c r="T27" s="59">
        <v>57.65</v>
      </c>
      <c r="U27" s="59">
        <v>49.47</v>
      </c>
      <c r="V27" s="58">
        <v>60.8</v>
      </c>
      <c r="W27" s="61">
        <v>53.14</v>
      </c>
      <c r="X27" s="22">
        <v>0.1267989109295995</v>
      </c>
      <c r="Y27" s="22">
        <v>0.1145437809227936</v>
      </c>
      <c r="Z27" s="22">
        <v>9.4771073143034013E-2</v>
      </c>
      <c r="AA27" s="22">
        <v>4.2293366023858026E-2</v>
      </c>
    </row>
    <row r="28" spans="1:27" ht="15" x14ac:dyDescent="0.25">
      <c r="A28" s="4">
        <v>260129</v>
      </c>
      <c r="B28" s="29" t="s">
        <v>656</v>
      </c>
      <c r="C28" s="19" t="s">
        <v>23</v>
      </c>
      <c r="D28" s="19" t="s">
        <v>29</v>
      </c>
      <c r="E28" s="19" t="s">
        <v>25</v>
      </c>
      <c r="F28" s="47">
        <v>4.1681840754841826</v>
      </c>
      <c r="G28" s="58">
        <v>86.34</v>
      </c>
      <c r="H28" s="58">
        <v>86.99</v>
      </c>
      <c r="I28" s="58">
        <v>81.72</v>
      </c>
      <c r="J28" s="58">
        <v>82.85</v>
      </c>
      <c r="K28" s="58">
        <v>117.21</v>
      </c>
      <c r="L28" s="58">
        <v>114.68</v>
      </c>
      <c r="M28" s="58">
        <v>117</v>
      </c>
      <c r="N28" s="58">
        <v>118.16</v>
      </c>
      <c r="O28" s="59">
        <v>217.4</v>
      </c>
      <c r="P28" s="58">
        <v>155.54</v>
      </c>
      <c r="Q28" s="58">
        <v>144.38999999999999</v>
      </c>
      <c r="R28" s="58">
        <v>159.19</v>
      </c>
      <c r="S28" s="58">
        <v>150.33000000000001</v>
      </c>
      <c r="T28" s="58">
        <v>148.08000000000001</v>
      </c>
      <c r="U28" s="58">
        <v>155.80000000000001</v>
      </c>
      <c r="V28" s="58">
        <v>149.88999999999999</v>
      </c>
      <c r="W28" s="61">
        <v>175.51</v>
      </c>
      <c r="X28" s="22">
        <v>-1.2240544753466143E-2</v>
      </c>
      <c r="Y28" s="22">
        <v>1.8953803219322607E-2</v>
      </c>
      <c r="Z28" s="22">
        <v>-1.5161395500489228E-2</v>
      </c>
      <c r="AA28" s="22">
        <v>4.1681840754841826E-2</v>
      </c>
    </row>
    <row r="29" spans="1:27" ht="15" x14ac:dyDescent="0.25">
      <c r="A29" s="4">
        <v>260129</v>
      </c>
      <c r="B29" s="29" t="s">
        <v>704</v>
      </c>
      <c r="C29" s="19" t="s">
        <v>23</v>
      </c>
      <c r="D29" s="19" t="s">
        <v>29</v>
      </c>
      <c r="E29" s="19" t="s">
        <v>25</v>
      </c>
      <c r="F29" s="47">
        <v>4.1184842554705448</v>
      </c>
      <c r="G29" s="58">
        <v>22</v>
      </c>
      <c r="H29" s="58">
        <v>21.27</v>
      </c>
      <c r="I29" s="58">
        <v>22.96</v>
      </c>
      <c r="J29" s="58">
        <v>23.36</v>
      </c>
      <c r="K29" s="58">
        <v>23.7</v>
      </c>
      <c r="L29" s="58">
        <v>24.91</v>
      </c>
      <c r="M29" s="58">
        <v>21.35</v>
      </c>
      <c r="N29" s="58">
        <v>20.49</v>
      </c>
      <c r="O29" s="58">
        <v>21.65</v>
      </c>
      <c r="P29" s="58">
        <v>26.94</v>
      </c>
      <c r="Q29" s="58">
        <v>26.71</v>
      </c>
      <c r="R29" s="58">
        <v>25.37</v>
      </c>
      <c r="S29" s="58">
        <v>25.37</v>
      </c>
      <c r="T29" s="58">
        <v>28.15</v>
      </c>
      <c r="U29" s="58">
        <v>30.13</v>
      </c>
      <c r="V29" s="58">
        <v>28.77</v>
      </c>
      <c r="W29" s="61">
        <v>30</v>
      </c>
      <c r="X29" s="22">
        <v>1.1591148577449806E-2</v>
      </c>
      <c r="Y29" s="22">
        <v>3.2386363636363713E-2</v>
      </c>
      <c r="Z29" s="22">
        <v>3.1186938176481327E-2</v>
      </c>
      <c r="AA29" s="22">
        <v>4.118484255470567E-2</v>
      </c>
    </row>
    <row r="30" spans="1:27" ht="15" x14ac:dyDescent="0.25">
      <c r="A30" s="4">
        <v>260129</v>
      </c>
      <c r="B30" s="29" t="s">
        <v>713</v>
      </c>
      <c r="C30" s="19" t="s">
        <v>23</v>
      </c>
      <c r="D30" s="19" t="s">
        <v>115</v>
      </c>
      <c r="E30" s="19" t="s">
        <v>25</v>
      </c>
      <c r="F30" s="47">
        <v>4.096313318013789</v>
      </c>
      <c r="G30" s="58">
        <v>1558</v>
      </c>
      <c r="H30" s="58">
        <v>1557</v>
      </c>
      <c r="I30" s="58">
        <v>1285</v>
      </c>
      <c r="J30" s="58">
        <v>1651</v>
      </c>
      <c r="K30" s="58">
        <v>1889</v>
      </c>
      <c r="L30" s="58">
        <v>1154</v>
      </c>
      <c r="M30" s="58">
        <v>1453</v>
      </c>
      <c r="N30" s="58">
        <v>1763</v>
      </c>
      <c r="O30" s="58">
        <v>2136</v>
      </c>
      <c r="P30" s="58">
        <v>1534</v>
      </c>
      <c r="Q30" s="58">
        <v>1940</v>
      </c>
      <c r="R30" s="58">
        <v>2252</v>
      </c>
      <c r="S30" s="58">
        <v>2419</v>
      </c>
      <c r="T30" s="59">
        <v>2455</v>
      </c>
      <c r="U30" s="58">
        <v>2569</v>
      </c>
      <c r="V30" s="58">
        <v>2566</v>
      </c>
      <c r="W30" s="61">
        <v>2829</v>
      </c>
      <c r="X30" s="22">
        <v>0.1130755064456721</v>
      </c>
      <c r="Y30" s="22">
        <v>6.938010147804996E-2</v>
      </c>
      <c r="Z30" s="22">
        <v>3.2387828777720395E-2</v>
      </c>
      <c r="AA30" s="22">
        <v>4.096313318013789E-2</v>
      </c>
    </row>
    <row r="31" spans="1:27" ht="15" x14ac:dyDescent="0.25">
      <c r="A31" s="4">
        <v>260129</v>
      </c>
      <c r="B31" s="29" t="s">
        <v>680</v>
      </c>
      <c r="C31" s="19" t="s">
        <v>23</v>
      </c>
      <c r="D31" s="19" t="s">
        <v>681</v>
      </c>
      <c r="E31" s="19" t="s">
        <v>25</v>
      </c>
      <c r="F31" s="47">
        <v>3.8066758263962002</v>
      </c>
      <c r="G31" s="58">
        <v>296.74</v>
      </c>
      <c r="H31" s="58">
        <v>81.28</v>
      </c>
      <c r="I31" s="58">
        <v>57.33</v>
      </c>
      <c r="J31" s="58">
        <v>126</v>
      </c>
      <c r="K31" s="59">
        <v>362.66</v>
      </c>
      <c r="L31" s="58">
        <v>108.74</v>
      </c>
      <c r="M31" s="58">
        <v>70.739999999999995</v>
      </c>
      <c r="N31" s="59">
        <v>224.62</v>
      </c>
      <c r="O31" s="59">
        <v>487.9</v>
      </c>
      <c r="P31" s="58">
        <v>153.44</v>
      </c>
      <c r="Q31" s="58">
        <v>132.81</v>
      </c>
      <c r="R31" s="58">
        <v>305.08999999999997</v>
      </c>
      <c r="S31" s="58">
        <v>567.27</v>
      </c>
      <c r="T31" s="58">
        <v>178.22</v>
      </c>
      <c r="U31" s="58">
        <v>165.29</v>
      </c>
      <c r="V31" s="58">
        <v>326.52</v>
      </c>
      <c r="W31" s="61">
        <v>614.37</v>
      </c>
      <c r="X31" s="22">
        <v>2.1387697326969324E-2</v>
      </c>
      <c r="Y31" s="22">
        <v>2.7446572981012274E-2</v>
      </c>
      <c r="Z31" s="22">
        <v>1.7625239540411508E-2</v>
      </c>
      <c r="AA31" s="22">
        <v>3.8066758263961997E-2</v>
      </c>
    </row>
    <row r="32" spans="1:27" ht="15" x14ac:dyDescent="0.25">
      <c r="A32" s="4">
        <v>260129</v>
      </c>
      <c r="B32" s="29" t="s">
        <v>668</v>
      </c>
      <c r="C32" s="19" t="s">
        <v>23</v>
      </c>
      <c r="D32" s="19" t="s">
        <v>99</v>
      </c>
      <c r="E32" s="19" t="s">
        <v>25</v>
      </c>
      <c r="F32" s="47">
        <v>3.4131602506714431</v>
      </c>
      <c r="G32" s="58">
        <v>4924</v>
      </c>
      <c r="H32" s="58">
        <v>4862</v>
      </c>
      <c r="I32" s="58">
        <v>4865</v>
      </c>
      <c r="J32" s="58">
        <v>5090</v>
      </c>
      <c r="K32" s="58">
        <v>5431</v>
      </c>
      <c r="L32" s="58">
        <v>5336</v>
      </c>
      <c r="M32" s="58">
        <v>5481</v>
      </c>
      <c r="N32" s="58">
        <v>5679</v>
      </c>
      <c r="O32" s="58">
        <v>5963</v>
      </c>
      <c r="P32" s="58">
        <v>5841</v>
      </c>
      <c r="Q32" s="58">
        <v>5833</v>
      </c>
      <c r="R32" s="58">
        <v>6359</v>
      </c>
      <c r="S32" s="58">
        <v>6530</v>
      </c>
      <c r="T32" s="58">
        <v>6435</v>
      </c>
      <c r="U32" s="58">
        <v>6792</v>
      </c>
      <c r="V32" s="58">
        <v>7051</v>
      </c>
      <c r="W32" s="61">
        <v>7445</v>
      </c>
      <c r="X32" s="22">
        <v>2.4182713837886283E-2</v>
      </c>
      <c r="Y32" s="22">
        <v>3.8120602615574262E-2</v>
      </c>
      <c r="Z32" s="22">
        <v>2.6497166487976731E-2</v>
      </c>
      <c r="AA32" s="22">
        <v>3.4131602506714431E-2</v>
      </c>
    </row>
    <row r="33" spans="1:27" ht="15" x14ac:dyDescent="0.25">
      <c r="A33" s="4">
        <v>260129</v>
      </c>
      <c r="B33" s="29" t="s">
        <v>647</v>
      </c>
      <c r="C33" s="19" t="s">
        <v>23</v>
      </c>
      <c r="D33" s="19" t="s">
        <v>177</v>
      </c>
      <c r="E33" s="19" t="s">
        <v>25</v>
      </c>
      <c r="F33" s="47">
        <v>3.2856089750973321</v>
      </c>
      <c r="G33" s="58">
        <v>150.86000000000001</v>
      </c>
      <c r="H33" s="58">
        <v>186.68</v>
      </c>
      <c r="I33" s="58">
        <v>221.22</v>
      </c>
      <c r="J33" s="58">
        <v>314.23</v>
      </c>
      <c r="K33" s="59">
        <v>425.72</v>
      </c>
      <c r="L33" s="59">
        <v>447.6</v>
      </c>
      <c r="M33" s="59">
        <v>392.92</v>
      </c>
      <c r="N33" s="58">
        <v>323.67</v>
      </c>
      <c r="O33" s="58">
        <v>341.95</v>
      </c>
      <c r="P33" s="58">
        <v>383.79</v>
      </c>
      <c r="Q33" s="58">
        <v>366.9</v>
      </c>
      <c r="R33" s="58">
        <v>363.65</v>
      </c>
      <c r="S33" s="58">
        <v>340.51</v>
      </c>
      <c r="T33" s="58">
        <v>453.95</v>
      </c>
      <c r="U33" s="58">
        <v>440.41</v>
      </c>
      <c r="V33" s="58">
        <v>501.49</v>
      </c>
      <c r="W33" s="61">
        <v>397.56</v>
      </c>
      <c r="X33" s="22">
        <v>4.8224902910952938E-2</v>
      </c>
      <c r="Y33" s="22">
        <v>4.8202962603523858E-2</v>
      </c>
      <c r="Z33" s="22">
        <v>8.6229762530340759E-2</v>
      </c>
      <c r="AA33" s="22">
        <v>3.2856089750973094E-2</v>
      </c>
    </row>
    <row r="34" spans="1:27" ht="15" x14ac:dyDescent="0.25">
      <c r="A34" s="4">
        <v>260129</v>
      </c>
      <c r="B34" s="29" t="s">
        <v>690</v>
      </c>
      <c r="C34" s="19" t="s">
        <v>23</v>
      </c>
      <c r="D34" s="19" t="s">
        <v>139</v>
      </c>
      <c r="E34" s="19" t="s">
        <v>25</v>
      </c>
      <c r="F34" s="47">
        <v>3.2097868217054288</v>
      </c>
      <c r="G34" s="58">
        <v>2758</v>
      </c>
      <c r="H34" s="58">
        <v>2830</v>
      </c>
      <c r="I34" s="58">
        <v>1982</v>
      </c>
      <c r="J34" s="58">
        <v>1727</v>
      </c>
      <c r="K34" s="58">
        <v>2036</v>
      </c>
      <c r="L34" s="58">
        <v>1724</v>
      </c>
      <c r="M34" s="58">
        <v>1785</v>
      </c>
      <c r="N34" s="58">
        <v>1976</v>
      </c>
      <c r="O34" s="58">
        <v>1991</v>
      </c>
      <c r="P34" s="58">
        <v>1725</v>
      </c>
      <c r="Q34" s="58">
        <v>1833</v>
      </c>
      <c r="R34" s="58">
        <v>1912</v>
      </c>
      <c r="S34" s="58">
        <v>2335</v>
      </c>
      <c r="T34" s="58">
        <v>1840</v>
      </c>
      <c r="U34" s="58">
        <v>1937</v>
      </c>
      <c r="V34" s="58">
        <v>2144</v>
      </c>
      <c r="W34" s="61">
        <v>2600</v>
      </c>
      <c r="X34" s="22">
        <v>1.4734144778987934E-2</v>
      </c>
      <c r="Y34" s="22">
        <v>1.3131313131313105E-2</v>
      </c>
      <c r="Z34" s="22">
        <v>2.8913260219342041E-2</v>
      </c>
      <c r="AA34" s="22">
        <v>3.2097868217054293E-2</v>
      </c>
    </row>
    <row r="35" spans="1:27" ht="15" x14ac:dyDescent="0.25">
      <c r="A35" s="4">
        <v>260129</v>
      </c>
      <c r="B35" s="29" t="s">
        <v>703</v>
      </c>
      <c r="C35" s="19" t="s">
        <v>23</v>
      </c>
      <c r="D35" s="19" t="s">
        <v>41</v>
      </c>
      <c r="E35" s="19" t="s">
        <v>25</v>
      </c>
      <c r="F35" s="47">
        <v>3.1927580225498802</v>
      </c>
      <c r="G35" s="58">
        <v>371.7</v>
      </c>
      <c r="H35" s="58">
        <v>565.9</v>
      </c>
      <c r="I35" s="58">
        <v>846.3</v>
      </c>
      <c r="J35" s="58">
        <v>972.3</v>
      </c>
      <c r="K35" s="58">
        <v>612.1</v>
      </c>
      <c r="L35" s="58">
        <v>717.9</v>
      </c>
      <c r="M35" s="58">
        <v>1114</v>
      </c>
      <c r="N35" s="58">
        <v>1116</v>
      </c>
      <c r="O35" s="58">
        <v>680.3</v>
      </c>
      <c r="P35" s="58">
        <v>730.7</v>
      </c>
      <c r="Q35" s="58">
        <v>1236</v>
      </c>
      <c r="R35" s="58">
        <v>1136</v>
      </c>
      <c r="S35" s="58">
        <v>671.9</v>
      </c>
      <c r="T35" s="58">
        <v>757.7</v>
      </c>
      <c r="U35" s="58">
        <v>1103</v>
      </c>
      <c r="V35" s="58">
        <v>1157</v>
      </c>
      <c r="W35" s="61">
        <v>789.7</v>
      </c>
      <c r="X35" s="22">
        <v>7.1530758226039381E-3</v>
      </c>
      <c r="Y35" s="22">
        <v>-3.4985269360269355E-2</v>
      </c>
      <c r="Z35" s="22">
        <v>5.7242544839992693E-3</v>
      </c>
      <c r="AA35" s="22">
        <v>3.1927580225498575E-2</v>
      </c>
    </row>
    <row r="36" spans="1:27" ht="15" x14ac:dyDescent="0.25">
      <c r="A36" s="4">
        <v>260129</v>
      </c>
      <c r="B36" s="29" t="s">
        <v>672</v>
      </c>
      <c r="C36" s="19" t="s">
        <v>23</v>
      </c>
      <c r="D36" s="19" t="s">
        <v>101</v>
      </c>
      <c r="E36" s="19" t="s">
        <v>25</v>
      </c>
      <c r="F36" s="47">
        <v>2.9902770133920291</v>
      </c>
      <c r="G36" s="58">
        <v>1100</v>
      </c>
      <c r="H36" s="58">
        <v>687</v>
      </c>
      <c r="I36" s="58">
        <v>873</v>
      </c>
      <c r="J36" s="58">
        <v>781</v>
      </c>
      <c r="K36" s="58">
        <v>1167</v>
      </c>
      <c r="L36" s="58">
        <v>784</v>
      </c>
      <c r="M36" s="58">
        <v>1040</v>
      </c>
      <c r="N36" s="58">
        <v>959</v>
      </c>
      <c r="O36" s="58">
        <v>1331</v>
      </c>
      <c r="P36" s="58">
        <v>973</v>
      </c>
      <c r="Q36" s="58">
        <v>1149</v>
      </c>
      <c r="R36" s="58">
        <v>1186</v>
      </c>
      <c r="S36" s="58">
        <v>1648</v>
      </c>
      <c r="T36" s="58">
        <v>1132</v>
      </c>
      <c r="U36" s="58">
        <v>1322</v>
      </c>
      <c r="V36" s="58">
        <v>1349</v>
      </c>
      <c r="W36" s="61">
        <v>1811</v>
      </c>
      <c r="X36" s="22">
        <v>3.2082324455205757E-2</v>
      </c>
      <c r="Y36" s="22">
        <v>3.3822091886608119E-2</v>
      </c>
      <c r="Z36" s="22">
        <v>3.0824508320726141E-2</v>
      </c>
      <c r="AA36" s="22">
        <v>2.9902770133920287E-2</v>
      </c>
    </row>
    <row r="37" spans="1:27" ht="15" x14ac:dyDescent="0.25">
      <c r="A37" s="4">
        <v>260129</v>
      </c>
      <c r="B37" s="29" t="s">
        <v>715</v>
      </c>
      <c r="C37" s="19" t="s">
        <v>23</v>
      </c>
      <c r="D37" s="19" t="s">
        <v>29</v>
      </c>
      <c r="E37" s="19" t="s">
        <v>25</v>
      </c>
      <c r="F37" s="47">
        <v>2.9053962867994438</v>
      </c>
      <c r="G37" s="58">
        <v>107.48</v>
      </c>
      <c r="H37" s="58">
        <v>109.4</v>
      </c>
      <c r="I37" s="58">
        <v>118.09</v>
      </c>
      <c r="J37" s="58">
        <v>121.08</v>
      </c>
      <c r="K37" s="58">
        <v>104.53</v>
      </c>
      <c r="L37" s="58">
        <v>78.55</v>
      </c>
      <c r="M37" s="58">
        <v>82.97</v>
      </c>
      <c r="N37" s="58">
        <v>105.03</v>
      </c>
      <c r="O37" s="58">
        <v>90.39</v>
      </c>
      <c r="P37" s="58">
        <v>97.45</v>
      </c>
      <c r="Q37" s="59">
        <v>126.5</v>
      </c>
      <c r="R37" s="58">
        <v>125.89</v>
      </c>
      <c r="S37" s="58">
        <v>126.02</v>
      </c>
      <c r="T37" s="58">
        <v>112.94</v>
      </c>
      <c r="U37" s="58">
        <v>142.69</v>
      </c>
      <c r="V37" s="58">
        <v>137.04</v>
      </c>
      <c r="W37" s="61">
        <v>141.09</v>
      </c>
      <c r="X37" s="22">
        <v>3.2551590804017927E-2</v>
      </c>
      <c r="Y37" s="22">
        <v>3.2950035616159612E-2</v>
      </c>
      <c r="Z37" s="22">
        <v>2.1968711825668841E-2</v>
      </c>
      <c r="AA37" s="22">
        <v>2.9053962867994443E-2</v>
      </c>
    </row>
    <row r="38" spans="1:27" ht="15" x14ac:dyDescent="0.25">
      <c r="A38" s="4">
        <v>260129</v>
      </c>
      <c r="B38" s="29" t="s">
        <v>684</v>
      </c>
      <c r="C38" s="19" t="s">
        <v>23</v>
      </c>
      <c r="D38" s="19" t="s">
        <v>153</v>
      </c>
      <c r="E38" s="19" t="s">
        <v>25</v>
      </c>
      <c r="F38" s="47">
        <v>2.714378150908447</v>
      </c>
      <c r="G38" s="58">
        <v>672.49</v>
      </c>
      <c r="H38" s="58">
        <v>738.85</v>
      </c>
      <c r="I38" s="58">
        <v>818.35</v>
      </c>
      <c r="J38" s="58">
        <v>630.86</v>
      </c>
      <c r="K38" s="58">
        <v>675.08</v>
      </c>
      <c r="L38" s="58">
        <v>913.55</v>
      </c>
      <c r="M38" s="59">
        <v>1271</v>
      </c>
      <c r="N38" s="58">
        <v>913.93</v>
      </c>
      <c r="O38" s="58">
        <v>952.17</v>
      </c>
      <c r="P38" s="58">
        <v>1016</v>
      </c>
      <c r="Q38" s="58">
        <v>1130</v>
      </c>
      <c r="R38" s="58">
        <v>984</v>
      </c>
      <c r="S38" s="58">
        <v>977.38</v>
      </c>
      <c r="T38" s="58">
        <v>1075</v>
      </c>
      <c r="U38" s="58">
        <v>1172</v>
      </c>
      <c r="V38" s="58">
        <v>1072</v>
      </c>
      <c r="W38" s="61">
        <v>1094</v>
      </c>
      <c r="X38" s="22">
        <v>1.4364388004031836E-2</v>
      </c>
      <c r="Y38" s="22">
        <v>1.0080693551716369E-2</v>
      </c>
      <c r="Z38" s="22">
        <v>2.0910659208531523E-2</v>
      </c>
      <c r="AA38" s="22">
        <v>2.7143781509084475E-2</v>
      </c>
    </row>
    <row r="39" spans="1:27" ht="15" x14ac:dyDescent="0.25">
      <c r="A39" s="4">
        <v>260129</v>
      </c>
      <c r="B39" s="29" t="s">
        <v>693</v>
      </c>
      <c r="C39" s="19" t="s">
        <v>23</v>
      </c>
      <c r="D39" s="19" t="s">
        <v>146</v>
      </c>
      <c r="E39" s="19" t="s">
        <v>25</v>
      </c>
      <c r="F39" s="47">
        <v>2.2940164404511521</v>
      </c>
      <c r="G39" s="58">
        <v>965.96</v>
      </c>
      <c r="H39" s="58">
        <v>894.91</v>
      </c>
      <c r="I39" s="58">
        <v>971.95</v>
      </c>
      <c r="J39" s="58">
        <v>1111</v>
      </c>
      <c r="K39" s="58">
        <v>1199</v>
      </c>
      <c r="L39" s="58">
        <v>860.59</v>
      </c>
      <c r="M39" s="58">
        <v>821.31</v>
      </c>
      <c r="N39" s="58">
        <v>899.21</v>
      </c>
      <c r="O39" s="58">
        <v>952.32</v>
      </c>
      <c r="P39" s="58">
        <v>806.84</v>
      </c>
      <c r="Q39" s="58">
        <v>977.32</v>
      </c>
      <c r="R39" s="58">
        <v>1120</v>
      </c>
      <c r="S39" s="58">
        <v>1242</v>
      </c>
      <c r="T39" s="59">
        <v>1300</v>
      </c>
      <c r="U39" s="58">
        <v>1352</v>
      </c>
      <c r="V39" s="58">
        <v>1337</v>
      </c>
      <c r="W39" s="61">
        <v>1362</v>
      </c>
      <c r="X39" s="22">
        <v>0.11894379377544517</v>
      </c>
      <c r="Y39" s="22">
        <v>8.0761835786279157E-2</v>
      </c>
      <c r="Z39" s="22">
        <v>4.3278819305943461E-2</v>
      </c>
      <c r="AA39" s="22">
        <v>2.2940164404511521E-2</v>
      </c>
    </row>
    <row r="40" spans="1:27" ht="15" x14ac:dyDescent="0.25">
      <c r="A40" s="4">
        <v>260129</v>
      </c>
      <c r="B40" s="29" t="s">
        <v>683</v>
      </c>
      <c r="C40" s="19" t="s">
        <v>23</v>
      </c>
      <c r="D40" s="19" t="s">
        <v>29</v>
      </c>
      <c r="E40" s="19" t="s">
        <v>25</v>
      </c>
      <c r="F40" s="47">
        <v>1.843640298783233</v>
      </c>
      <c r="G40" s="58">
        <v>111.17</v>
      </c>
      <c r="H40" s="58">
        <v>111.73</v>
      </c>
      <c r="I40" s="58">
        <v>139.79</v>
      </c>
      <c r="J40" s="58">
        <v>197.47</v>
      </c>
      <c r="K40" s="59">
        <v>219.84</v>
      </c>
      <c r="L40" s="59">
        <v>210.84</v>
      </c>
      <c r="M40" s="58">
        <v>193.85</v>
      </c>
      <c r="N40" s="58">
        <v>186.98</v>
      </c>
      <c r="O40" s="58">
        <v>120.7</v>
      </c>
      <c r="P40" s="58">
        <v>161.56</v>
      </c>
      <c r="Q40" s="58">
        <v>175.15</v>
      </c>
      <c r="R40" s="58">
        <v>175.24</v>
      </c>
      <c r="S40" s="59">
        <v>184.01</v>
      </c>
      <c r="T40" s="58">
        <v>179.1</v>
      </c>
      <c r="U40" s="58">
        <v>186.62</v>
      </c>
      <c r="V40" s="58">
        <v>208.01</v>
      </c>
      <c r="W40" s="61">
        <v>197.98</v>
      </c>
      <c r="X40" s="22">
        <v>2.5202597850451092E-2</v>
      </c>
      <c r="Y40" s="22">
        <v>1.6075683251576711E-2</v>
      </c>
      <c r="Z40" s="22">
        <v>4.5201870422224344E-2</v>
      </c>
      <c r="AA40" s="22">
        <v>1.8436402987832334E-2</v>
      </c>
    </row>
    <row r="41" spans="1:27" ht="15" x14ac:dyDescent="0.25">
      <c r="A41" s="4">
        <v>260129</v>
      </c>
      <c r="B41" s="29" t="s">
        <v>679</v>
      </c>
      <c r="C41" s="19" t="s">
        <v>23</v>
      </c>
      <c r="D41" s="19" t="s">
        <v>65</v>
      </c>
      <c r="E41" s="19" t="s">
        <v>25</v>
      </c>
      <c r="F41" s="47">
        <v>1.564036106890687</v>
      </c>
      <c r="G41" s="58">
        <v>29.92</v>
      </c>
      <c r="H41" s="58">
        <v>29.9</v>
      </c>
      <c r="I41" s="58">
        <v>42.29</v>
      </c>
      <c r="J41" s="58">
        <v>19.52</v>
      </c>
      <c r="K41" s="58">
        <v>27.75</v>
      </c>
      <c r="L41" s="58">
        <v>35.229999999999997</v>
      </c>
      <c r="M41" s="59">
        <v>60.35</v>
      </c>
      <c r="N41" s="58">
        <v>23.03</v>
      </c>
      <c r="O41" s="59">
        <v>53.35</v>
      </c>
      <c r="P41" s="58">
        <v>52.37</v>
      </c>
      <c r="Q41" s="58">
        <v>66.709999999999994</v>
      </c>
      <c r="R41" s="58">
        <v>31.51</v>
      </c>
      <c r="S41" s="58">
        <v>58.17</v>
      </c>
      <c r="T41" s="58">
        <v>58.47</v>
      </c>
      <c r="U41" s="58">
        <v>71.34</v>
      </c>
      <c r="V41" s="58">
        <v>35.799999999999997</v>
      </c>
      <c r="W41" s="61">
        <v>61.67</v>
      </c>
      <c r="X41" s="22">
        <v>2.922015711822179E-2</v>
      </c>
      <c r="Y41" s="22">
        <v>2.1548915572931371E-2</v>
      </c>
      <c r="Z41" s="22">
        <v>1.9545309581302295E-2</v>
      </c>
      <c r="AA41" s="22">
        <v>1.5640361068906872E-2</v>
      </c>
    </row>
    <row r="42" spans="1:27" ht="15" x14ac:dyDescent="0.25">
      <c r="A42" s="4">
        <v>260129</v>
      </c>
      <c r="B42" s="29" t="s">
        <v>702</v>
      </c>
      <c r="C42" s="19" t="s">
        <v>23</v>
      </c>
      <c r="D42" s="19" t="s">
        <v>191</v>
      </c>
      <c r="E42" s="19" t="s">
        <v>25</v>
      </c>
      <c r="F42" s="47">
        <v>1.2348555452003751</v>
      </c>
      <c r="G42" s="58">
        <v>434.9</v>
      </c>
      <c r="H42" s="58">
        <v>382.9</v>
      </c>
      <c r="I42" s="58">
        <v>702.1</v>
      </c>
      <c r="J42" s="58">
        <v>701.3</v>
      </c>
      <c r="K42" s="58">
        <v>575.1</v>
      </c>
      <c r="L42" s="58">
        <v>453.9</v>
      </c>
      <c r="M42" s="58">
        <v>828.7</v>
      </c>
      <c r="N42" s="58">
        <v>859.5</v>
      </c>
      <c r="O42" s="58">
        <v>682.6</v>
      </c>
      <c r="P42" s="58">
        <v>631.1</v>
      </c>
      <c r="Q42" s="58">
        <v>1023</v>
      </c>
      <c r="R42" s="58">
        <v>1021</v>
      </c>
      <c r="S42" s="58">
        <v>789</v>
      </c>
      <c r="T42" s="58">
        <v>752.8</v>
      </c>
      <c r="U42" s="58">
        <v>1160</v>
      </c>
      <c r="V42" s="58">
        <v>1161</v>
      </c>
      <c r="W42" s="61">
        <v>836.7</v>
      </c>
      <c r="X42" s="22">
        <v>3.5131780260385215E-2</v>
      </c>
      <c r="Y42" s="22">
        <v>3.8206258017736694E-2</v>
      </c>
      <c r="Z42" s="22">
        <v>3.7606102933275931E-2</v>
      </c>
      <c r="AA42" s="22">
        <v>1.2348555452003751E-2</v>
      </c>
    </row>
    <row r="43" spans="1:27" ht="15" x14ac:dyDescent="0.25">
      <c r="A43" s="4">
        <v>260129</v>
      </c>
      <c r="B43" s="29" t="s">
        <v>725</v>
      </c>
      <c r="C43" s="19" t="s">
        <v>23</v>
      </c>
      <c r="D43" s="19" t="s">
        <v>153</v>
      </c>
      <c r="E43" s="19" t="s">
        <v>25</v>
      </c>
      <c r="F43" s="47">
        <v>1.068999028182716</v>
      </c>
      <c r="G43" s="58">
        <v>165.9</v>
      </c>
      <c r="H43" s="58">
        <v>158.6</v>
      </c>
      <c r="I43" s="58">
        <v>164.3</v>
      </c>
      <c r="J43" s="58">
        <v>150.6</v>
      </c>
      <c r="K43" s="58">
        <v>150.6</v>
      </c>
      <c r="L43" s="58">
        <v>186.9</v>
      </c>
      <c r="M43" s="58">
        <v>204.2</v>
      </c>
      <c r="N43" s="58">
        <v>181.3</v>
      </c>
      <c r="O43" s="58">
        <v>168.5</v>
      </c>
      <c r="P43" s="58">
        <v>192.5</v>
      </c>
      <c r="Q43" s="58">
        <v>207.5</v>
      </c>
      <c r="R43" s="58">
        <v>160.69999999999999</v>
      </c>
      <c r="S43" s="58">
        <v>156.1</v>
      </c>
      <c r="T43" s="58">
        <v>182.8</v>
      </c>
      <c r="U43" s="58">
        <v>205.8</v>
      </c>
      <c r="V43" s="58">
        <v>175.6</v>
      </c>
      <c r="W43" s="61">
        <v>163.80000000000001</v>
      </c>
      <c r="X43" s="22">
        <v>-1.3532366071428825E-2</v>
      </c>
      <c r="Y43" s="22">
        <v>-2.4041861122895414E-3</v>
      </c>
      <c r="Z43" s="22">
        <v>2.1122767224269978E-2</v>
      </c>
      <c r="AA43" s="22">
        <v>1.0689990281826933E-2</v>
      </c>
    </row>
    <row r="44" spans="1:27" ht="15" x14ac:dyDescent="0.25">
      <c r="A44" s="4">
        <v>260129</v>
      </c>
      <c r="B44" s="29" t="s">
        <v>685</v>
      </c>
      <c r="C44" s="19" t="s">
        <v>23</v>
      </c>
      <c r="D44" s="19" t="s">
        <v>95</v>
      </c>
      <c r="E44" s="19" t="s">
        <v>25</v>
      </c>
      <c r="F44" s="47">
        <v>0.98743267504488585</v>
      </c>
      <c r="G44" s="58">
        <v>1073</v>
      </c>
      <c r="H44" s="58">
        <v>1293</v>
      </c>
      <c r="I44" s="58">
        <v>1499</v>
      </c>
      <c r="J44" s="58">
        <v>1248</v>
      </c>
      <c r="K44" s="58">
        <v>1192</v>
      </c>
      <c r="L44" s="58">
        <v>1329</v>
      </c>
      <c r="M44" s="58">
        <v>1429</v>
      </c>
      <c r="N44" s="58">
        <v>1659</v>
      </c>
      <c r="O44" s="58">
        <v>1196</v>
      </c>
      <c r="P44" s="58">
        <v>1590</v>
      </c>
      <c r="Q44" s="58">
        <v>1593</v>
      </c>
      <c r="R44" s="58">
        <v>1557</v>
      </c>
      <c r="S44" s="58">
        <v>1718</v>
      </c>
      <c r="T44" s="58">
        <v>1511</v>
      </c>
      <c r="U44" s="58">
        <v>1630</v>
      </c>
      <c r="V44" s="58">
        <v>1825</v>
      </c>
      <c r="W44" s="61">
        <v>1784</v>
      </c>
      <c r="X44" s="22">
        <v>-1.2232889439454886E-2</v>
      </c>
      <c r="Y44" s="22">
        <v>5.8002821758895706E-3</v>
      </c>
      <c r="Z44" s="22">
        <v>4.1770573566084712E-2</v>
      </c>
      <c r="AA44" s="22">
        <v>9.8743267504488585E-3</v>
      </c>
    </row>
    <row r="45" spans="1:27" ht="15" x14ac:dyDescent="0.25">
      <c r="A45" s="4">
        <v>260129</v>
      </c>
      <c r="B45" s="29" t="s">
        <v>716</v>
      </c>
      <c r="C45" s="19" t="s">
        <v>23</v>
      </c>
      <c r="D45" s="19" t="s">
        <v>677</v>
      </c>
      <c r="E45" s="19" t="s">
        <v>59</v>
      </c>
      <c r="F45" s="47">
        <v>0.6785411365564098</v>
      </c>
      <c r="G45" s="58">
        <v>637.4</v>
      </c>
      <c r="H45" s="58">
        <v>593.9</v>
      </c>
      <c r="I45" s="58">
        <v>238.5</v>
      </c>
      <c r="J45" s="58">
        <v>178.4</v>
      </c>
      <c r="K45" s="58">
        <v>263.5</v>
      </c>
      <c r="L45" s="58">
        <v>261.5</v>
      </c>
      <c r="M45" s="58">
        <v>227.3</v>
      </c>
      <c r="N45" s="58">
        <v>181.4</v>
      </c>
      <c r="O45" s="58">
        <v>226.7</v>
      </c>
      <c r="P45" s="58">
        <v>243.3</v>
      </c>
      <c r="Q45" s="58">
        <v>263.89999999999998</v>
      </c>
      <c r="R45" s="58">
        <v>229</v>
      </c>
      <c r="S45" s="58">
        <v>233.7</v>
      </c>
      <c r="T45" s="58">
        <v>222.9</v>
      </c>
      <c r="U45" s="58">
        <v>260.89999999999998</v>
      </c>
      <c r="V45" s="59">
        <v>343.6</v>
      </c>
      <c r="W45" s="61">
        <v>240.9</v>
      </c>
      <c r="X45" s="22">
        <v>-2.1033096195484324E-2</v>
      </c>
      <c r="Y45" s="22">
        <v>-3.1595576619272148E-3</v>
      </c>
      <c r="Z45" s="22">
        <v>0.1210776545166401</v>
      </c>
      <c r="AA45" s="22">
        <v>6.785411365564098E-3</v>
      </c>
    </row>
    <row r="46" spans="1:27" ht="15" x14ac:dyDescent="0.25">
      <c r="A46" s="4">
        <v>260129</v>
      </c>
      <c r="B46" s="29" t="s">
        <v>686</v>
      </c>
      <c r="C46" s="19" t="s">
        <v>23</v>
      </c>
      <c r="D46" s="19" t="s">
        <v>153</v>
      </c>
      <c r="E46" s="19" t="s">
        <v>25</v>
      </c>
      <c r="F46" s="47">
        <v>0.66077877498480486</v>
      </c>
      <c r="G46" s="58">
        <v>287.58999999999997</v>
      </c>
      <c r="H46" s="58">
        <v>307.51</v>
      </c>
      <c r="I46" s="58">
        <v>361.16</v>
      </c>
      <c r="J46" s="58">
        <v>377.73</v>
      </c>
      <c r="K46" s="58">
        <v>370.54</v>
      </c>
      <c r="L46" s="58">
        <v>327.43</v>
      </c>
      <c r="M46" s="58">
        <v>0</v>
      </c>
      <c r="N46" s="58">
        <v>341.28</v>
      </c>
      <c r="O46" s="58">
        <v>322.37</v>
      </c>
      <c r="P46" s="58">
        <v>273.52999999999997</v>
      </c>
      <c r="Q46" s="59">
        <v>333.27</v>
      </c>
      <c r="R46" s="58">
        <v>348.12</v>
      </c>
      <c r="S46" s="58">
        <v>336.06</v>
      </c>
      <c r="T46" s="58">
        <v>305.22000000000003</v>
      </c>
      <c r="U46" s="58">
        <v>368.72</v>
      </c>
      <c r="V46" s="58">
        <v>388.35</v>
      </c>
      <c r="W46" s="61">
        <v>345.3</v>
      </c>
      <c r="X46" s="22">
        <v>2.4547243179600109E-2</v>
      </c>
      <c r="Y46" s="22">
        <v>2.6801847777601306E-2</v>
      </c>
      <c r="Z46" s="22">
        <v>2.9621830177009256E-2</v>
      </c>
      <c r="AA46" s="22">
        <v>6.6077877498480486E-3</v>
      </c>
    </row>
    <row r="47" spans="1:27" ht="15" x14ac:dyDescent="0.25">
      <c r="A47" s="4">
        <v>260129</v>
      </c>
      <c r="B47" s="29" t="s">
        <v>640</v>
      </c>
      <c r="C47" s="19" t="s">
        <v>23</v>
      </c>
      <c r="D47" s="19" t="s">
        <v>641</v>
      </c>
      <c r="E47" s="19" t="s">
        <v>25</v>
      </c>
      <c r="F47" s="47">
        <v>0.64189312753739625</v>
      </c>
      <c r="G47" s="58">
        <v>234.84</v>
      </c>
      <c r="H47" s="58">
        <v>234.52</v>
      </c>
      <c r="I47" s="58">
        <v>177.53</v>
      </c>
      <c r="J47" s="58">
        <v>185.47</v>
      </c>
      <c r="K47" s="58">
        <v>71.8</v>
      </c>
      <c r="L47" s="58">
        <v>38.15</v>
      </c>
      <c r="M47" s="58">
        <v>72.92</v>
      </c>
      <c r="N47" s="58">
        <v>126.8</v>
      </c>
      <c r="O47" s="59">
        <v>108.59</v>
      </c>
      <c r="P47" s="58">
        <v>43.88</v>
      </c>
      <c r="Q47" s="59">
        <v>133.85</v>
      </c>
      <c r="R47" s="58">
        <v>93.93</v>
      </c>
      <c r="S47" s="58">
        <v>130.9</v>
      </c>
      <c r="T47" s="59">
        <v>104.2</v>
      </c>
      <c r="U47" s="58">
        <v>75.349999999999994</v>
      </c>
      <c r="V47" s="59">
        <v>236.37</v>
      </c>
      <c r="W47" s="61">
        <v>134.41</v>
      </c>
      <c r="X47" s="22">
        <v>0.14984101748807643</v>
      </c>
      <c r="Y47" s="22">
        <v>-0.12638264777048047</v>
      </c>
      <c r="Z47" s="22">
        <v>0.35224293980909049</v>
      </c>
      <c r="AA47" s="22">
        <v>6.4189312753739625E-3</v>
      </c>
    </row>
    <row r="48" spans="1:27" ht="15" x14ac:dyDescent="0.25">
      <c r="A48" s="4">
        <v>260129</v>
      </c>
      <c r="B48" s="29" t="s">
        <v>678</v>
      </c>
      <c r="C48" s="19" t="s">
        <v>23</v>
      </c>
      <c r="D48" s="19" t="s">
        <v>29</v>
      </c>
      <c r="E48" s="19" t="s">
        <v>25</v>
      </c>
      <c r="F48" s="47">
        <v>9.5885634588555035E-2</v>
      </c>
      <c r="G48" s="58">
        <v>20.329999999999998</v>
      </c>
      <c r="H48" s="58">
        <v>19.36</v>
      </c>
      <c r="I48" s="58">
        <v>21.22</v>
      </c>
      <c r="J48" s="58">
        <v>31.15</v>
      </c>
      <c r="K48" s="58">
        <v>28.12</v>
      </c>
      <c r="L48" s="58">
        <v>20.02</v>
      </c>
      <c r="M48" s="58">
        <v>21.75</v>
      </c>
      <c r="N48" s="58">
        <v>23.48</v>
      </c>
      <c r="O48" s="58">
        <v>26.13</v>
      </c>
      <c r="P48" s="58">
        <v>25.9</v>
      </c>
      <c r="Q48" s="58">
        <v>25.23</v>
      </c>
      <c r="R48" s="58">
        <v>23.05</v>
      </c>
      <c r="S48" s="58">
        <v>28.39</v>
      </c>
      <c r="T48" s="58">
        <v>26.53</v>
      </c>
      <c r="U48" s="58">
        <v>27.36</v>
      </c>
      <c r="V48" s="58">
        <v>32.44</v>
      </c>
      <c r="W48" s="61">
        <v>28.5</v>
      </c>
      <c r="X48" s="22">
        <v>6.1421468265576706E-3</v>
      </c>
      <c r="Y48" s="22">
        <v>2.0639534883720945E-2</v>
      </c>
      <c r="Z48" s="22">
        <v>8.9148390771859987E-2</v>
      </c>
      <c r="AA48" s="22">
        <v>9.5885634588555035E-4</v>
      </c>
    </row>
    <row r="49" spans="1:27" ht="15" x14ac:dyDescent="0.25">
      <c r="A49" s="4">
        <v>260129</v>
      </c>
      <c r="B49" s="29" t="s">
        <v>652</v>
      </c>
      <c r="C49" s="19" t="s">
        <v>23</v>
      </c>
      <c r="D49" s="19" t="s">
        <v>29</v>
      </c>
      <c r="E49" s="19" t="s">
        <v>25</v>
      </c>
      <c r="F49" s="47">
        <v>-8.0360012857605412E-2</v>
      </c>
      <c r="G49" s="58">
        <v>44.67</v>
      </c>
      <c r="H49" s="58">
        <v>26.42</v>
      </c>
      <c r="I49" s="58">
        <v>41.64</v>
      </c>
      <c r="J49" s="58">
        <v>38.35</v>
      </c>
      <c r="K49" s="58">
        <v>31.72</v>
      </c>
      <c r="L49" s="58">
        <v>14.52</v>
      </c>
      <c r="M49" s="58">
        <v>41.44</v>
      </c>
      <c r="N49" s="58">
        <v>40.49</v>
      </c>
      <c r="O49" s="58">
        <v>37.799999999999997</v>
      </c>
      <c r="P49" s="59">
        <v>33.840000000000003</v>
      </c>
      <c r="Q49" s="58">
        <v>39.15</v>
      </c>
      <c r="R49" s="58">
        <v>39.25</v>
      </c>
      <c r="S49" s="58">
        <v>43.6</v>
      </c>
      <c r="T49" s="58">
        <v>40.85</v>
      </c>
      <c r="U49" s="58">
        <v>55.28</v>
      </c>
      <c r="V49" s="58">
        <v>46.93</v>
      </c>
      <c r="W49" s="61">
        <v>43.45</v>
      </c>
      <c r="X49" s="22">
        <v>4.4982032854209431E-2</v>
      </c>
      <c r="Y49" s="22">
        <v>9.9048203868590701E-2</v>
      </c>
      <c r="Z49" s="22">
        <v>4.2909822326517189E-2</v>
      </c>
      <c r="AA49" s="22">
        <v>-8.0360012857616514E-4</v>
      </c>
    </row>
    <row r="50" spans="1:27" ht="15" x14ac:dyDescent="0.25">
      <c r="A50" s="4">
        <v>260129</v>
      </c>
      <c r="B50" s="29" t="s">
        <v>731</v>
      </c>
      <c r="C50" s="19" t="s">
        <v>23</v>
      </c>
      <c r="D50" s="19" t="s">
        <v>124</v>
      </c>
      <c r="E50" s="19" t="s">
        <v>25</v>
      </c>
      <c r="F50" s="47">
        <v>-0.39571694599627172</v>
      </c>
      <c r="G50" s="58">
        <v>1155</v>
      </c>
      <c r="H50" s="58">
        <v>1116</v>
      </c>
      <c r="I50" s="58">
        <v>1304</v>
      </c>
      <c r="J50" s="58">
        <v>1302</v>
      </c>
      <c r="K50" s="58">
        <v>1249</v>
      </c>
      <c r="L50" s="58">
        <v>1127</v>
      </c>
      <c r="M50" s="58">
        <v>605</v>
      </c>
      <c r="N50" s="58">
        <v>949</v>
      </c>
      <c r="O50" s="58">
        <v>870</v>
      </c>
      <c r="P50" s="58">
        <v>930</v>
      </c>
      <c r="Q50" s="59">
        <v>1108</v>
      </c>
      <c r="R50" s="59">
        <v>1522</v>
      </c>
      <c r="S50" s="58">
        <v>1019</v>
      </c>
      <c r="T50" s="58">
        <v>983</v>
      </c>
      <c r="U50" s="58">
        <v>1159</v>
      </c>
      <c r="V50" s="58">
        <v>1135</v>
      </c>
      <c r="W50" s="61">
        <v>1002</v>
      </c>
      <c r="X50" s="22">
        <v>1.1574579602533275E-2</v>
      </c>
      <c r="Y50" s="22">
        <v>1.1010362694300557E-2</v>
      </c>
      <c r="Z50" s="22">
        <v>-8.2639333760409994E-2</v>
      </c>
      <c r="AA50" s="22">
        <v>-3.9571694599627172E-3</v>
      </c>
    </row>
    <row r="51" spans="1:27" ht="15" x14ac:dyDescent="0.25">
      <c r="A51" s="4">
        <v>260129</v>
      </c>
      <c r="B51" s="29" t="s">
        <v>719</v>
      </c>
      <c r="C51" s="19" t="s">
        <v>23</v>
      </c>
      <c r="D51" s="19" t="s">
        <v>29</v>
      </c>
      <c r="E51" s="19" t="s">
        <v>25</v>
      </c>
      <c r="F51" s="47">
        <v>-0.45657600840888207</v>
      </c>
      <c r="G51" s="58">
        <v>35.56</v>
      </c>
      <c r="H51" s="58">
        <v>38.11</v>
      </c>
      <c r="I51" s="58">
        <v>41.13</v>
      </c>
      <c r="J51" s="58">
        <v>42.43</v>
      </c>
      <c r="K51" s="58">
        <v>0</v>
      </c>
      <c r="L51" s="59">
        <v>64.87</v>
      </c>
      <c r="M51" s="59">
        <v>66.23</v>
      </c>
      <c r="N51" s="59">
        <v>66.45</v>
      </c>
      <c r="O51" s="59">
        <v>59.22</v>
      </c>
      <c r="P51" s="58">
        <v>74.92</v>
      </c>
      <c r="Q51" s="58">
        <v>71.819999999999993</v>
      </c>
      <c r="R51" s="58">
        <v>69.03</v>
      </c>
      <c r="S51" s="58">
        <v>76.39</v>
      </c>
      <c r="T51" s="58">
        <v>75.239999999999995</v>
      </c>
      <c r="U51" s="58">
        <v>79.650000000000006</v>
      </c>
      <c r="V51" s="58">
        <v>73.16</v>
      </c>
      <c r="W51" s="61">
        <v>75</v>
      </c>
      <c r="X51" s="22">
        <v>1.0952902519167917E-3</v>
      </c>
      <c r="Y51" s="22">
        <v>2.6771061269146745E-2</v>
      </c>
      <c r="Z51" s="22">
        <v>1.3752455795677632E-2</v>
      </c>
      <c r="AA51" s="22">
        <v>-4.5657600840889323E-3</v>
      </c>
    </row>
    <row r="52" spans="1:27" ht="15" x14ac:dyDescent="0.25">
      <c r="A52" s="4">
        <v>260129</v>
      </c>
      <c r="B52" s="29" t="s">
        <v>688</v>
      </c>
      <c r="C52" s="19" t="s">
        <v>23</v>
      </c>
      <c r="D52" s="19" t="s">
        <v>189</v>
      </c>
      <c r="E52" s="19" t="s">
        <v>25</v>
      </c>
      <c r="F52" s="47">
        <v>-0.91729877960774475</v>
      </c>
      <c r="G52" s="58">
        <v>32.950000000000003</v>
      </c>
      <c r="H52" s="58">
        <v>52.05</v>
      </c>
      <c r="I52" s="58">
        <v>88.6</v>
      </c>
      <c r="J52" s="58">
        <v>75.58</v>
      </c>
      <c r="K52" s="58">
        <v>16.32</v>
      </c>
      <c r="L52" s="58">
        <v>-4.7</v>
      </c>
      <c r="M52" s="58">
        <v>31.86</v>
      </c>
      <c r="N52" s="58">
        <v>49.29</v>
      </c>
      <c r="O52" s="59">
        <v>29.94</v>
      </c>
      <c r="P52" s="59">
        <v>99.51</v>
      </c>
      <c r="Q52" s="59">
        <v>119.64</v>
      </c>
      <c r="R52" s="59">
        <v>131.44</v>
      </c>
      <c r="S52" s="59">
        <v>139.91999999999999</v>
      </c>
      <c r="T52" s="58">
        <v>139.38</v>
      </c>
      <c r="U52" s="58">
        <v>170.13</v>
      </c>
      <c r="V52" s="58">
        <v>174.14</v>
      </c>
      <c r="W52" s="61">
        <v>134.19999999999999</v>
      </c>
      <c r="X52" s="22">
        <v>8.1282746529122818E-2</v>
      </c>
      <c r="Y52" s="22">
        <v>9.5195897281194597E-2</v>
      </c>
      <c r="Z52" s="22">
        <v>7.3510424019143539E-2</v>
      </c>
      <c r="AA52" s="22">
        <v>-9.1729877960774475E-3</v>
      </c>
    </row>
    <row r="53" spans="1:27" ht="15" x14ac:dyDescent="0.25">
      <c r="A53" s="4">
        <v>260129</v>
      </c>
      <c r="B53" s="29" t="s">
        <v>666</v>
      </c>
      <c r="C53" s="19" t="s">
        <v>23</v>
      </c>
      <c r="D53" s="19" t="s">
        <v>667</v>
      </c>
      <c r="E53" s="19" t="s">
        <v>25</v>
      </c>
      <c r="F53" s="47">
        <v>-1.0446801671488259</v>
      </c>
      <c r="G53" s="58">
        <v>2872</v>
      </c>
      <c r="H53" s="58">
        <v>2882</v>
      </c>
      <c r="I53" s="58">
        <v>3197</v>
      </c>
      <c r="J53" s="58">
        <v>3197</v>
      </c>
      <c r="K53" s="58">
        <v>3025</v>
      </c>
      <c r="L53" s="58">
        <v>2898</v>
      </c>
      <c r="M53" s="58">
        <v>3216</v>
      </c>
      <c r="N53" s="58">
        <v>3130</v>
      </c>
      <c r="O53" s="58">
        <v>2953</v>
      </c>
      <c r="P53" s="58">
        <v>2781</v>
      </c>
      <c r="Q53" s="58">
        <v>3133</v>
      </c>
      <c r="R53" s="58">
        <v>3257</v>
      </c>
      <c r="S53" s="58">
        <v>3055</v>
      </c>
      <c r="T53" s="58">
        <v>2788</v>
      </c>
      <c r="U53" s="58">
        <v>3302</v>
      </c>
      <c r="V53" s="58">
        <v>3299</v>
      </c>
      <c r="W53" s="61">
        <v>2925</v>
      </c>
      <c r="X53" s="22">
        <v>5.7255030263370088E-4</v>
      </c>
      <c r="Y53" s="22">
        <v>1.381509032943673E-2</v>
      </c>
      <c r="Z53" s="22">
        <v>3.3865505563619447E-3</v>
      </c>
      <c r="AA53" s="22">
        <v>-1.0446801671488259E-2</v>
      </c>
    </row>
    <row r="54" spans="1:27" ht="15" x14ac:dyDescent="0.25">
      <c r="A54" s="4">
        <v>260129</v>
      </c>
      <c r="B54" s="29" t="s">
        <v>712</v>
      </c>
      <c r="C54" s="19" t="s">
        <v>23</v>
      </c>
      <c r="D54" s="19" t="s">
        <v>475</v>
      </c>
      <c r="E54" s="19" t="s">
        <v>25</v>
      </c>
      <c r="F54" s="47">
        <v>-1.2980269989615769</v>
      </c>
      <c r="G54" s="58">
        <v>55.6</v>
      </c>
      <c r="H54" s="58">
        <v>31.9</v>
      </c>
      <c r="I54" s="58">
        <v>76.3</v>
      </c>
      <c r="J54" s="58">
        <v>119.3</v>
      </c>
      <c r="K54" s="59">
        <v>152.6</v>
      </c>
      <c r="L54" s="59">
        <v>131.5</v>
      </c>
      <c r="M54" s="59">
        <v>235.5</v>
      </c>
      <c r="N54" s="59">
        <v>257.2</v>
      </c>
      <c r="O54" s="58">
        <v>216.1</v>
      </c>
      <c r="P54" s="59">
        <v>260.60000000000002</v>
      </c>
      <c r="Q54" s="58">
        <v>313.5</v>
      </c>
      <c r="R54" s="58">
        <v>267.2</v>
      </c>
      <c r="S54" s="58">
        <v>224.5</v>
      </c>
      <c r="T54" s="58">
        <v>177.1</v>
      </c>
      <c r="U54" s="58">
        <v>299.10000000000002</v>
      </c>
      <c r="V54" s="58">
        <v>262.3</v>
      </c>
      <c r="W54" s="61">
        <v>212</v>
      </c>
      <c r="X54" s="22">
        <v>-7.8344905235503748E-2</v>
      </c>
      <c r="Y54" s="22">
        <v>-1.465947266619172E-2</v>
      </c>
      <c r="Z54" s="22">
        <v>-5.0625064572785705E-3</v>
      </c>
      <c r="AA54" s="22">
        <v>-1.2980269989615767E-2</v>
      </c>
    </row>
    <row r="55" spans="1:27" ht="15" x14ac:dyDescent="0.25">
      <c r="A55" s="4">
        <v>260129</v>
      </c>
      <c r="B55" s="29" t="s">
        <v>714</v>
      </c>
      <c r="C55" s="19" t="s">
        <v>23</v>
      </c>
      <c r="D55" s="19" t="s">
        <v>697</v>
      </c>
      <c r="E55" s="19" t="s">
        <v>59</v>
      </c>
      <c r="F55" s="47">
        <v>-1.385743375380555</v>
      </c>
      <c r="G55" s="58">
        <v>293.05</v>
      </c>
      <c r="H55" s="58">
        <v>244.29</v>
      </c>
      <c r="I55" s="58">
        <v>525.04</v>
      </c>
      <c r="J55" s="58">
        <v>306.41000000000003</v>
      </c>
      <c r="K55" s="58">
        <v>359.21</v>
      </c>
      <c r="L55" s="58">
        <v>244.44</v>
      </c>
      <c r="M55" s="58">
        <v>559.33000000000004</v>
      </c>
      <c r="N55" s="58">
        <v>329.61</v>
      </c>
      <c r="O55" s="58">
        <v>334.24</v>
      </c>
      <c r="P55" s="58">
        <v>263.13</v>
      </c>
      <c r="Q55" s="58">
        <v>561.46</v>
      </c>
      <c r="R55" s="58">
        <v>324.60000000000002</v>
      </c>
      <c r="S55" s="58">
        <v>318.35000000000002</v>
      </c>
      <c r="T55" s="58">
        <v>249.14</v>
      </c>
      <c r="U55" s="58">
        <v>577.80999999999995</v>
      </c>
      <c r="V55" s="58">
        <v>342.71</v>
      </c>
      <c r="W55" s="61">
        <v>297.73</v>
      </c>
      <c r="X55" s="22">
        <v>-9.5329599193205716E-3</v>
      </c>
      <c r="Y55" s="22">
        <v>1.1248323071101796E-2</v>
      </c>
      <c r="Z55" s="22">
        <v>1.2320566024899504E-2</v>
      </c>
      <c r="AA55" s="22">
        <v>-1.3857433753805548E-2</v>
      </c>
    </row>
    <row r="56" spans="1:27" ht="15" x14ac:dyDescent="0.25">
      <c r="A56" s="4">
        <v>260129</v>
      </c>
      <c r="B56" s="29" t="s">
        <v>691</v>
      </c>
      <c r="C56" s="19" t="s">
        <v>23</v>
      </c>
      <c r="D56" s="19" t="s">
        <v>692</v>
      </c>
      <c r="E56" s="19" t="s">
        <v>25</v>
      </c>
      <c r="F56" s="47">
        <v>-1.759133964817339</v>
      </c>
      <c r="G56" s="58">
        <v>180.3</v>
      </c>
      <c r="H56" s="58">
        <v>142.4</v>
      </c>
      <c r="I56" s="58">
        <v>183.7</v>
      </c>
      <c r="J56" s="58">
        <v>167.4</v>
      </c>
      <c r="K56" s="58">
        <v>164.6</v>
      </c>
      <c r="L56" s="58">
        <v>117.9</v>
      </c>
      <c r="M56" s="58">
        <v>107.6</v>
      </c>
      <c r="N56" s="58">
        <v>107.9</v>
      </c>
      <c r="O56" s="58">
        <v>105.6</v>
      </c>
      <c r="P56" s="58">
        <v>65.900000000000006</v>
      </c>
      <c r="Q56" s="58">
        <v>101.1</v>
      </c>
      <c r="R56" s="58">
        <v>108.4</v>
      </c>
      <c r="S56" s="58">
        <v>85.8</v>
      </c>
      <c r="T56" s="58">
        <v>44</v>
      </c>
      <c r="U56" s="58">
        <v>77.8</v>
      </c>
      <c r="V56" s="58">
        <v>88</v>
      </c>
      <c r="W56" s="61">
        <v>80.599999999999994</v>
      </c>
      <c r="X56" s="22">
        <v>-6.0631229235880379E-2</v>
      </c>
      <c r="Y56" s="22">
        <v>-6.8670792808723902E-2</v>
      </c>
      <c r="Z56" s="22">
        <v>-6.4556962025316356E-2</v>
      </c>
      <c r="AA56" s="22">
        <v>-1.7591339648173387E-2</v>
      </c>
    </row>
    <row r="57" spans="1:27" ht="15" x14ac:dyDescent="0.25">
      <c r="A57" s="4">
        <v>260129</v>
      </c>
      <c r="B57" s="29" t="s">
        <v>734</v>
      </c>
      <c r="C57" s="19" t="s">
        <v>23</v>
      </c>
      <c r="D57" s="19" t="s">
        <v>29</v>
      </c>
      <c r="E57" s="19" t="s">
        <v>25</v>
      </c>
      <c r="F57" s="47">
        <v>-1.992646186691982</v>
      </c>
      <c r="G57" s="58">
        <v>33.5</v>
      </c>
      <c r="H57" s="58">
        <v>28.14</v>
      </c>
      <c r="I57" s="58">
        <v>28.7</v>
      </c>
      <c r="J57" s="58">
        <v>30.83</v>
      </c>
      <c r="K57" s="58">
        <v>31.96</v>
      </c>
      <c r="L57" s="58">
        <v>30.58</v>
      </c>
      <c r="M57" s="58">
        <v>29.46</v>
      </c>
      <c r="N57" s="58">
        <v>21.57</v>
      </c>
      <c r="O57" s="58">
        <v>19.52</v>
      </c>
      <c r="P57" s="58">
        <v>26.13</v>
      </c>
      <c r="Q57" s="58">
        <v>29.89</v>
      </c>
      <c r="R57" s="58">
        <v>24.91</v>
      </c>
      <c r="S57" s="58">
        <v>26.45</v>
      </c>
      <c r="T57" s="58">
        <v>26.23</v>
      </c>
      <c r="U57" s="58">
        <v>26.53</v>
      </c>
      <c r="V57" s="58">
        <v>5.0999999999999996</v>
      </c>
      <c r="W57" s="61">
        <v>24.77</v>
      </c>
      <c r="X57" s="22">
        <v>9.3127211771282248E-4</v>
      </c>
      <c r="Y57" s="22">
        <v>-3.1261630070710811E-2</v>
      </c>
      <c r="Z57" s="22">
        <v>-0.19026123703419129</v>
      </c>
      <c r="AA57" s="22">
        <v>-1.9926461866919598E-2</v>
      </c>
    </row>
    <row r="58" spans="1:27" ht="15" x14ac:dyDescent="0.25">
      <c r="A58" s="4">
        <v>260129</v>
      </c>
      <c r="B58" s="29" t="s">
        <v>671</v>
      </c>
      <c r="C58" s="19" t="s">
        <v>23</v>
      </c>
      <c r="D58" s="19" t="s">
        <v>177</v>
      </c>
      <c r="E58" s="19" t="s">
        <v>25</v>
      </c>
      <c r="F58" s="47">
        <v>-2.101717147627002</v>
      </c>
      <c r="G58" s="58">
        <v>279.47000000000003</v>
      </c>
      <c r="H58" s="58">
        <v>157.82</v>
      </c>
      <c r="I58" s="58">
        <v>122.13</v>
      </c>
      <c r="J58" s="58">
        <v>155.49</v>
      </c>
      <c r="K58" s="58">
        <v>112.81</v>
      </c>
      <c r="L58" s="58">
        <v>-46.04</v>
      </c>
      <c r="M58" s="58">
        <v>27.33</v>
      </c>
      <c r="N58" s="58">
        <v>5.07</v>
      </c>
      <c r="O58" s="58">
        <v>88.14</v>
      </c>
      <c r="P58" s="59">
        <v>99.89</v>
      </c>
      <c r="Q58" s="59">
        <v>61.8</v>
      </c>
      <c r="R58" s="59">
        <v>167.1</v>
      </c>
      <c r="S58" s="58">
        <v>93.37</v>
      </c>
      <c r="T58" s="58">
        <v>60.06</v>
      </c>
      <c r="U58" s="59">
        <v>102.72</v>
      </c>
      <c r="V58" s="58">
        <v>79.290000000000006</v>
      </c>
      <c r="W58" s="61">
        <v>86.32</v>
      </c>
      <c r="X58" s="22">
        <v>-9.4348114458972843E-2</v>
      </c>
      <c r="Y58" s="22">
        <v>0.10702796013914684</v>
      </c>
      <c r="Z58" s="22">
        <v>-0.20746603662138219</v>
      </c>
      <c r="AA58" s="22">
        <v>-2.1017171476270025E-2</v>
      </c>
    </row>
    <row r="59" spans="1:27" ht="15" x14ac:dyDescent="0.25">
      <c r="A59" s="4">
        <v>260129</v>
      </c>
      <c r="B59" s="29" t="s">
        <v>722</v>
      </c>
      <c r="C59" s="19" t="s">
        <v>23</v>
      </c>
      <c r="D59" s="19" t="s">
        <v>723</v>
      </c>
      <c r="E59" s="19" t="s">
        <v>25</v>
      </c>
      <c r="F59" s="47">
        <v>-2.1607782898105499</v>
      </c>
      <c r="G59" s="58">
        <v>0</v>
      </c>
      <c r="H59" s="58">
        <v>285.10000000000002</v>
      </c>
      <c r="I59" s="58">
        <v>285.3</v>
      </c>
      <c r="J59" s="58">
        <v>279.8</v>
      </c>
      <c r="K59" s="59">
        <v>243.5</v>
      </c>
      <c r="L59" s="58">
        <v>242.7</v>
      </c>
      <c r="M59" s="58">
        <v>272.5</v>
      </c>
      <c r="N59" s="58">
        <v>266.39999999999998</v>
      </c>
      <c r="O59" s="58">
        <v>223.2</v>
      </c>
      <c r="P59" s="58">
        <v>242.7</v>
      </c>
      <c r="Q59" s="58">
        <v>241.1</v>
      </c>
      <c r="R59" s="58">
        <v>231.5</v>
      </c>
      <c r="S59" s="58">
        <v>236.8</v>
      </c>
      <c r="T59" s="58">
        <v>245.5</v>
      </c>
      <c r="U59" s="58">
        <v>261.10000000000002</v>
      </c>
      <c r="V59" s="58">
        <v>233.1</v>
      </c>
      <c r="W59" s="61">
        <v>215.7</v>
      </c>
      <c r="X59" s="22">
        <v>2.9408675559292607E-3</v>
      </c>
      <c r="Y59" s="22">
        <v>2.0944601528955831E-2</v>
      </c>
      <c r="Z59" s="22">
        <v>1.6411939686122867E-3</v>
      </c>
      <c r="AA59" s="22">
        <v>-2.1607782898105499E-2</v>
      </c>
    </row>
    <row r="60" spans="1:27" ht="15" x14ac:dyDescent="0.25">
      <c r="A60" s="4">
        <v>260129</v>
      </c>
      <c r="B60" s="29" t="s">
        <v>724</v>
      </c>
      <c r="C60" s="19" t="s">
        <v>23</v>
      </c>
      <c r="D60" s="19" t="s">
        <v>41</v>
      </c>
      <c r="E60" s="19" t="s">
        <v>25</v>
      </c>
      <c r="F60" s="47">
        <v>-2.611940298507454</v>
      </c>
      <c r="G60" s="58">
        <v>54.7</v>
      </c>
      <c r="H60" s="58">
        <v>67.8</v>
      </c>
      <c r="I60" s="58">
        <v>73.5</v>
      </c>
      <c r="J60" s="58">
        <v>67.2</v>
      </c>
      <c r="K60" s="58">
        <v>44</v>
      </c>
      <c r="L60" s="58">
        <v>63.1</v>
      </c>
      <c r="M60" s="58">
        <v>70.599999999999994</v>
      </c>
      <c r="N60" s="58">
        <v>77</v>
      </c>
      <c r="O60" s="58">
        <v>69.2</v>
      </c>
      <c r="P60" s="58">
        <v>77.3</v>
      </c>
      <c r="Q60" s="58">
        <v>84.8</v>
      </c>
      <c r="R60" s="58">
        <v>79.2</v>
      </c>
      <c r="S60" s="58">
        <v>74.2</v>
      </c>
      <c r="T60" s="58">
        <v>63.2</v>
      </c>
      <c r="U60" s="58">
        <v>79</v>
      </c>
      <c r="V60" s="58">
        <v>78.400000000000006</v>
      </c>
      <c r="W60" s="61">
        <v>66.5</v>
      </c>
      <c r="X60" s="22">
        <v>-4.4690966719492908E-2</v>
      </c>
      <c r="Y60" s="22">
        <v>-1.9243530192435188E-2</v>
      </c>
      <c r="Z60" s="22">
        <v>-2.7063599458728715E-3</v>
      </c>
      <c r="AA60" s="22">
        <v>-2.6119402985074536E-2</v>
      </c>
    </row>
    <row r="61" spans="1:27" ht="15" x14ac:dyDescent="0.25">
      <c r="A61" s="4">
        <v>260129</v>
      </c>
      <c r="B61" s="29" t="s">
        <v>689</v>
      </c>
      <c r="C61" s="19" t="s">
        <v>23</v>
      </c>
      <c r="D61" s="19" t="s">
        <v>649</v>
      </c>
      <c r="E61" s="19" t="s">
        <v>25</v>
      </c>
      <c r="F61" s="47">
        <v>-3.2937685459940691</v>
      </c>
      <c r="G61" s="58">
        <v>1215</v>
      </c>
      <c r="H61" s="58">
        <v>1507</v>
      </c>
      <c r="I61" s="58">
        <v>1423</v>
      </c>
      <c r="J61" s="58">
        <v>848</v>
      </c>
      <c r="K61" s="58">
        <v>1193</v>
      </c>
      <c r="L61" s="58">
        <v>1750</v>
      </c>
      <c r="M61" s="58">
        <v>1527</v>
      </c>
      <c r="N61" s="58">
        <v>1063</v>
      </c>
      <c r="O61" s="58">
        <v>1527</v>
      </c>
      <c r="P61" s="58">
        <v>1995</v>
      </c>
      <c r="Q61" s="58">
        <v>1708</v>
      </c>
      <c r="R61" s="58">
        <v>1176</v>
      </c>
      <c r="S61" s="58">
        <v>1492</v>
      </c>
      <c r="T61" s="58">
        <v>2149</v>
      </c>
      <c r="U61" s="58">
        <v>1877</v>
      </c>
      <c r="V61" s="58">
        <v>1222</v>
      </c>
      <c r="W61" s="61">
        <v>1270</v>
      </c>
      <c r="X61" s="22">
        <v>2.4172029508711335E-2</v>
      </c>
      <c r="Y61" s="22">
        <v>2.5900383141762351E-2</v>
      </c>
      <c r="Z61" s="22">
        <v>6.8718255153870089E-3</v>
      </c>
      <c r="AA61" s="22">
        <v>-3.2937685459940691E-2</v>
      </c>
    </row>
    <row r="62" spans="1:27" ht="15" x14ac:dyDescent="0.25">
      <c r="A62" s="4">
        <v>260129</v>
      </c>
      <c r="B62" s="29" t="s">
        <v>728</v>
      </c>
      <c r="C62" s="19" t="s">
        <v>23</v>
      </c>
      <c r="D62" s="19" t="s">
        <v>729</v>
      </c>
      <c r="E62" s="19" t="s">
        <v>25</v>
      </c>
      <c r="F62" s="47">
        <v>-3.4344884150092292</v>
      </c>
      <c r="G62" s="58">
        <v>125.74</v>
      </c>
      <c r="H62" s="58">
        <v>85.36</v>
      </c>
      <c r="I62" s="58">
        <v>139.05000000000001</v>
      </c>
      <c r="J62" s="58">
        <v>180.61</v>
      </c>
      <c r="K62" s="58">
        <v>146.27000000000001</v>
      </c>
      <c r="L62" s="58">
        <v>119.71</v>
      </c>
      <c r="M62" s="58">
        <v>164.32</v>
      </c>
      <c r="N62" s="58">
        <v>192.44</v>
      </c>
      <c r="O62" s="58">
        <v>166.43</v>
      </c>
      <c r="P62" s="58">
        <v>102.34</v>
      </c>
      <c r="Q62" s="58">
        <v>171.22</v>
      </c>
      <c r="R62" s="58">
        <v>185.97</v>
      </c>
      <c r="S62" s="58">
        <v>157</v>
      </c>
      <c r="T62" s="58">
        <v>85.02</v>
      </c>
      <c r="U62" s="58">
        <v>164.82</v>
      </c>
      <c r="V62" s="58">
        <v>178.4</v>
      </c>
      <c r="W62" s="61">
        <v>136.9</v>
      </c>
      <c r="X62" s="22">
        <v>-2.8092712438972822E-2</v>
      </c>
      <c r="Y62" s="22">
        <v>-1.0680729627342789E-2</v>
      </c>
      <c r="Z62" s="22">
        <v>-1.2769690119937116E-2</v>
      </c>
      <c r="AA62" s="22">
        <v>-3.4344884150092292E-2</v>
      </c>
    </row>
    <row r="63" spans="1:27" ht="15" x14ac:dyDescent="0.25">
      <c r="A63" s="4">
        <v>260129</v>
      </c>
      <c r="B63" s="29" t="s">
        <v>730</v>
      </c>
      <c r="C63" s="19" t="s">
        <v>23</v>
      </c>
      <c r="D63" s="19" t="s">
        <v>144</v>
      </c>
      <c r="E63" s="19" t="s">
        <v>25</v>
      </c>
      <c r="F63" s="47">
        <v>-3.5377358490566002</v>
      </c>
      <c r="G63" s="58">
        <v>233</v>
      </c>
      <c r="H63" s="58">
        <v>921</v>
      </c>
      <c r="I63" s="58">
        <v>116</v>
      </c>
      <c r="J63" s="58">
        <v>147</v>
      </c>
      <c r="K63" s="58">
        <v>148</v>
      </c>
      <c r="L63" s="58">
        <v>-1202</v>
      </c>
      <c r="M63" s="58">
        <v>105</v>
      </c>
      <c r="N63" s="58">
        <v>155</v>
      </c>
      <c r="O63" s="58">
        <v>158</v>
      </c>
      <c r="P63" s="58">
        <v>-252</v>
      </c>
      <c r="Q63" s="59">
        <v>130</v>
      </c>
      <c r="R63" s="59">
        <v>187</v>
      </c>
      <c r="S63" s="59">
        <v>197</v>
      </c>
      <c r="T63" s="59">
        <v>371</v>
      </c>
      <c r="U63" s="58">
        <v>119</v>
      </c>
      <c r="V63" s="58">
        <v>161</v>
      </c>
      <c r="W63" s="61">
        <v>167</v>
      </c>
      <c r="X63" s="22">
        <v>2.3778625954198471</v>
      </c>
      <c r="Y63" s="22">
        <v>-1.2429378531073398E-2</v>
      </c>
      <c r="Z63" s="22">
        <v>-2.9748283752860427E-2</v>
      </c>
      <c r="AA63" s="22">
        <v>-3.5377358490566002E-2</v>
      </c>
    </row>
    <row r="64" spans="1:27" ht="15" x14ac:dyDescent="0.25">
      <c r="A64" s="4">
        <v>260129</v>
      </c>
      <c r="B64" s="29" t="s">
        <v>661</v>
      </c>
      <c r="C64" s="19" t="s">
        <v>23</v>
      </c>
      <c r="D64" s="19" t="s">
        <v>475</v>
      </c>
      <c r="E64" s="19" t="s">
        <v>25</v>
      </c>
      <c r="F64" s="47">
        <v>-3.6497586586501818</v>
      </c>
      <c r="G64" s="58">
        <v>2526</v>
      </c>
      <c r="H64" s="58">
        <v>1943</v>
      </c>
      <c r="I64" s="58">
        <v>2019</v>
      </c>
      <c r="J64" s="58">
        <v>2501</v>
      </c>
      <c r="K64" s="58">
        <v>3293</v>
      </c>
      <c r="L64" s="59">
        <v>3297</v>
      </c>
      <c r="M64" s="59">
        <v>3634</v>
      </c>
      <c r="N64" s="58">
        <v>3437</v>
      </c>
      <c r="O64" s="58">
        <v>3300</v>
      </c>
      <c r="P64" s="58">
        <v>3501</v>
      </c>
      <c r="Q64" s="58">
        <v>3745</v>
      </c>
      <c r="R64" s="58">
        <v>3206</v>
      </c>
      <c r="S64" s="58">
        <v>3111</v>
      </c>
      <c r="T64" s="58">
        <v>2629</v>
      </c>
      <c r="U64" s="58">
        <v>2939</v>
      </c>
      <c r="V64" s="58">
        <v>3130</v>
      </c>
      <c r="W64" s="61">
        <v>2680</v>
      </c>
      <c r="X64" s="22">
        <v>-6.4292560642925656E-2</v>
      </c>
      <c r="Y64" s="22">
        <v>-6.3509573713655398E-2</v>
      </c>
      <c r="Z64" s="22">
        <v>-6.394615061001252E-3</v>
      </c>
      <c r="AA64" s="22">
        <v>-3.6497586586501818E-2</v>
      </c>
    </row>
    <row r="65" spans="1:27" ht="15" x14ac:dyDescent="0.25">
      <c r="A65" s="4">
        <v>260129</v>
      </c>
      <c r="B65" s="29" t="s">
        <v>675</v>
      </c>
      <c r="C65" s="19" t="s">
        <v>23</v>
      </c>
      <c r="D65" s="19" t="s">
        <v>54</v>
      </c>
      <c r="E65" s="19" t="s">
        <v>59</v>
      </c>
      <c r="F65" s="47">
        <v>-3.9362380446333671</v>
      </c>
      <c r="G65" s="58">
        <v>54.68</v>
      </c>
      <c r="H65" s="58">
        <v>69.75</v>
      </c>
      <c r="I65" s="58">
        <v>78.430000000000007</v>
      </c>
      <c r="J65" s="58">
        <v>90.47</v>
      </c>
      <c r="K65" s="58">
        <v>72.849999999999994</v>
      </c>
      <c r="L65" s="58">
        <v>56.35</v>
      </c>
      <c r="M65" s="58">
        <v>55.93</v>
      </c>
      <c r="N65" s="58">
        <v>45.19</v>
      </c>
      <c r="O65" s="58">
        <v>38.9</v>
      </c>
      <c r="P65" s="58">
        <v>38.96</v>
      </c>
      <c r="Q65" s="58">
        <v>38.549999999999997</v>
      </c>
      <c r="R65" s="58">
        <v>49</v>
      </c>
      <c r="S65" s="59">
        <v>63.82</v>
      </c>
      <c r="T65" s="58">
        <v>49</v>
      </c>
      <c r="U65" s="59">
        <v>60.36</v>
      </c>
      <c r="V65" s="58">
        <v>62.07</v>
      </c>
      <c r="W65" s="61">
        <v>54.56</v>
      </c>
      <c r="X65" s="22">
        <v>5.2750485998003471E-2</v>
      </c>
      <c r="Y65" s="22">
        <v>0.10884863003443623</v>
      </c>
      <c r="Z65" s="22">
        <v>5.8826176973624911E-2</v>
      </c>
      <c r="AA65" s="22">
        <v>-3.9362380446333667E-2</v>
      </c>
    </row>
    <row r="66" spans="1:27" ht="15" x14ac:dyDescent="0.25">
      <c r="A66" s="4">
        <v>260129</v>
      </c>
      <c r="B66" s="29" t="s">
        <v>648</v>
      </c>
      <c r="C66" s="19" t="s">
        <v>23</v>
      </c>
      <c r="D66" s="19" t="s">
        <v>649</v>
      </c>
      <c r="E66" s="19" t="s">
        <v>25</v>
      </c>
      <c r="F66" s="47">
        <v>-4.0807265388496443</v>
      </c>
      <c r="G66" s="58">
        <v>248.6</v>
      </c>
      <c r="H66" s="58">
        <v>678.6</v>
      </c>
      <c r="I66" s="58">
        <v>410.7</v>
      </c>
      <c r="J66" s="58">
        <v>400.8</v>
      </c>
      <c r="K66" s="59">
        <v>506.1</v>
      </c>
      <c r="L66" s="58">
        <v>803.2</v>
      </c>
      <c r="M66" s="58">
        <v>415.8</v>
      </c>
      <c r="N66" s="58">
        <v>417.1</v>
      </c>
      <c r="O66" s="58">
        <v>331.1</v>
      </c>
      <c r="P66" s="58">
        <v>871.3</v>
      </c>
      <c r="Q66" s="58">
        <v>514.5</v>
      </c>
      <c r="R66" s="58">
        <v>492.6</v>
      </c>
      <c r="S66" s="58">
        <v>449.1</v>
      </c>
      <c r="T66" s="58">
        <v>957.6</v>
      </c>
      <c r="U66" s="58">
        <v>527.20000000000005</v>
      </c>
      <c r="V66" s="58">
        <v>543.6</v>
      </c>
      <c r="W66" s="61">
        <v>348</v>
      </c>
      <c r="X66" s="22">
        <v>3.7078410311493171E-2</v>
      </c>
      <c r="Y66" s="22">
        <v>5.2614135388184824E-3</v>
      </c>
      <c r="Z66" s="22">
        <v>2.1017927055429597E-2</v>
      </c>
      <c r="AA66" s="22">
        <v>-4.0807265388496439E-2</v>
      </c>
    </row>
    <row r="67" spans="1:27" ht="15" x14ac:dyDescent="0.25">
      <c r="A67" s="4">
        <v>260129</v>
      </c>
      <c r="B67" s="29" t="s">
        <v>718</v>
      </c>
      <c r="C67" s="19" t="s">
        <v>23</v>
      </c>
      <c r="D67" s="19" t="s">
        <v>131</v>
      </c>
      <c r="E67" s="19" t="s">
        <v>799</v>
      </c>
      <c r="F67" s="47">
        <v>-4.3201133144475934</v>
      </c>
      <c r="G67" s="58">
        <v>173</v>
      </c>
      <c r="H67" s="58">
        <v>633</v>
      </c>
      <c r="I67" s="58">
        <v>621</v>
      </c>
      <c r="J67" s="58">
        <v>563</v>
      </c>
      <c r="K67" s="59">
        <v>766</v>
      </c>
      <c r="L67" s="58">
        <v>533</v>
      </c>
      <c r="M67" s="58">
        <v>558</v>
      </c>
      <c r="N67" s="58">
        <v>646</v>
      </c>
      <c r="O67" s="58">
        <v>670</v>
      </c>
      <c r="P67" s="58">
        <v>625</v>
      </c>
      <c r="Q67" s="58">
        <v>640</v>
      </c>
      <c r="R67" s="58">
        <v>641</v>
      </c>
      <c r="S67" s="58">
        <v>732</v>
      </c>
      <c r="T67" s="58">
        <v>667</v>
      </c>
      <c r="U67" s="58">
        <v>696</v>
      </c>
      <c r="V67" s="58">
        <v>729</v>
      </c>
      <c r="W67" s="61">
        <v>610</v>
      </c>
      <c r="X67" s="22">
        <v>1.5921152388172821E-2</v>
      </c>
      <c r="Y67" s="22">
        <v>2.0895522388059806E-2</v>
      </c>
      <c r="Z67" s="22">
        <v>3.2163742690058506E-2</v>
      </c>
      <c r="AA67" s="22">
        <v>-4.3201133144475934E-2</v>
      </c>
    </row>
    <row r="68" spans="1:27" ht="15" x14ac:dyDescent="0.25">
      <c r="A68" s="4">
        <v>260129</v>
      </c>
      <c r="B68" s="29" t="s">
        <v>732</v>
      </c>
      <c r="C68" s="19" t="s">
        <v>23</v>
      </c>
      <c r="D68" s="19" t="s">
        <v>48</v>
      </c>
      <c r="E68" s="19" t="s">
        <v>800</v>
      </c>
      <c r="F68" s="47">
        <v>-4.4540486480694419</v>
      </c>
      <c r="G68" s="58">
        <v>90.49</v>
      </c>
      <c r="H68" s="58">
        <v>48.55</v>
      </c>
      <c r="I68" s="58">
        <v>46.54</v>
      </c>
      <c r="J68" s="58">
        <v>31.69</v>
      </c>
      <c r="K68" s="58">
        <v>93.84</v>
      </c>
      <c r="L68" s="59">
        <v>109.26</v>
      </c>
      <c r="M68" s="58">
        <v>32.61</v>
      </c>
      <c r="N68" s="58">
        <v>27.1</v>
      </c>
      <c r="O68" s="58">
        <v>72.31</v>
      </c>
      <c r="P68" s="58">
        <v>106.47</v>
      </c>
      <c r="Q68" s="58">
        <v>40.86</v>
      </c>
      <c r="R68" s="58">
        <v>45.06</v>
      </c>
      <c r="S68" s="58">
        <v>85.1</v>
      </c>
      <c r="T68" s="58">
        <v>111.97</v>
      </c>
      <c r="U68" s="58">
        <v>47.09</v>
      </c>
      <c r="V68" s="58">
        <v>35.81</v>
      </c>
      <c r="W68" s="61">
        <v>72.63</v>
      </c>
      <c r="X68" s="22">
        <v>1.9820534073299978E-2</v>
      </c>
      <c r="Y68" s="22">
        <v>2.201491218770979E-2</v>
      </c>
      <c r="Z68" s="22">
        <v>-3.1982573819237969E-2</v>
      </c>
      <c r="AA68" s="22">
        <v>-4.4540486480694419E-2</v>
      </c>
    </row>
    <row r="69" spans="1:27" ht="15" x14ac:dyDescent="0.25">
      <c r="A69" s="4">
        <v>260129</v>
      </c>
      <c r="B69" s="29" t="s">
        <v>709</v>
      </c>
      <c r="C69" s="19" t="s">
        <v>23</v>
      </c>
      <c r="D69" s="19" t="s">
        <v>699</v>
      </c>
      <c r="E69" s="19" t="s">
        <v>25</v>
      </c>
      <c r="F69" s="47">
        <v>-4.463276836158192</v>
      </c>
      <c r="G69" s="58">
        <v>177</v>
      </c>
      <c r="H69" s="58">
        <v>194.1</v>
      </c>
      <c r="I69" s="58">
        <v>174.6</v>
      </c>
      <c r="J69" s="58">
        <v>145.4</v>
      </c>
      <c r="K69" s="58">
        <v>143.6</v>
      </c>
      <c r="L69" s="58">
        <v>114.6</v>
      </c>
      <c r="M69" s="58">
        <v>103.8</v>
      </c>
      <c r="N69" s="58">
        <v>46.7</v>
      </c>
      <c r="O69" s="58">
        <v>32.200000000000003</v>
      </c>
      <c r="P69" s="58">
        <v>28.7</v>
      </c>
      <c r="Q69" s="58">
        <v>51</v>
      </c>
      <c r="R69" s="58">
        <v>43.1</v>
      </c>
      <c r="S69" s="58">
        <v>44.4</v>
      </c>
      <c r="T69" s="58">
        <v>42.3</v>
      </c>
      <c r="U69" s="58">
        <v>55</v>
      </c>
      <c r="V69" s="58">
        <v>35.299999999999997</v>
      </c>
      <c r="W69" s="61">
        <v>36.5</v>
      </c>
      <c r="X69" s="22">
        <v>8.1339712918660156E-2</v>
      </c>
      <c r="Y69" s="22">
        <v>2.2123893805309658E-2</v>
      </c>
      <c r="Z69" s="22">
        <v>-4.220779220779225E-2</v>
      </c>
      <c r="AA69" s="22">
        <v>-4.463276836158192E-2</v>
      </c>
    </row>
    <row r="70" spans="1:27" ht="15" x14ac:dyDescent="0.25">
      <c r="A70" s="4">
        <v>260129</v>
      </c>
      <c r="B70" s="29" t="s">
        <v>733</v>
      </c>
      <c r="C70" s="19" t="s">
        <v>23</v>
      </c>
      <c r="D70" s="19" t="s">
        <v>93</v>
      </c>
      <c r="E70" s="19" t="s">
        <v>25</v>
      </c>
      <c r="F70" s="47">
        <v>-5.275954291271578</v>
      </c>
      <c r="G70" s="58">
        <v>1813</v>
      </c>
      <c r="H70" s="58">
        <v>1566</v>
      </c>
      <c r="I70" s="58">
        <v>1894</v>
      </c>
      <c r="J70" s="58">
        <v>2031</v>
      </c>
      <c r="K70" s="58">
        <v>1579</v>
      </c>
      <c r="L70" s="58">
        <v>1844</v>
      </c>
      <c r="M70" s="58">
        <v>2036</v>
      </c>
      <c r="N70" s="58">
        <v>2080</v>
      </c>
      <c r="O70" s="58">
        <v>1594</v>
      </c>
      <c r="P70" s="58">
        <v>2045</v>
      </c>
      <c r="Q70" s="58">
        <v>2138</v>
      </c>
      <c r="R70" s="58">
        <v>2147</v>
      </c>
      <c r="S70" s="58">
        <v>1938</v>
      </c>
      <c r="T70" s="58">
        <v>2144</v>
      </c>
      <c r="U70" s="58">
        <v>2218</v>
      </c>
      <c r="V70" s="58">
        <v>1926</v>
      </c>
      <c r="W70" s="61">
        <v>1504</v>
      </c>
      <c r="X70" s="22">
        <v>1.1973875181422455E-2</v>
      </c>
      <c r="Y70" s="22">
        <v>9.5613720568901162E-3</v>
      </c>
      <c r="Z70" s="22">
        <v>-2.6163134840771818E-2</v>
      </c>
      <c r="AA70" s="22">
        <v>-5.2759542912715784E-2</v>
      </c>
    </row>
    <row r="71" spans="1:27" ht="15" x14ac:dyDescent="0.25">
      <c r="A71" s="4">
        <v>260129</v>
      </c>
      <c r="B71" s="29" t="s">
        <v>720</v>
      </c>
      <c r="C71" s="19" t="s">
        <v>23</v>
      </c>
      <c r="D71" s="19" t="s">
        <v>99</v>
      </c>
      <c r="E71" s="19" t="s">
        <v>25</v>
      </c>
      <c r="F71" s="47">
        <v>-5.8021612635078874</v>
      </c>
      <c r="G71" s="58">
        <v>311.89999999999998</v>
      </c>
      <c r="H71" s="58">
        <v>284.5</v>
      </c>
      <c r="I71" s="58">
        <v>154.1</v>
      </c>
      <c r="J71" s="58">
        <v>122.1</v>
      </c>
      <c r="K71" s="58">
        <v>151</v>
      </c>
      <c r="L71" s="58">
        <v>126.8</v>
      </c>
      <c r="M71" s="58">
        <v>27.9</v>
      </c>
      <c r="N71" s="58">
        <v>96.5</v>
      </c>
      <c r="O71" s="58">
        <v>118.2</v>
      </c>
      <c r="P71" s="58">
        <v>86.4</v>
      </c>
      <c r="Q71" s="58">
        <v>-31.6</v>
      </c>
      <c r="R71" s="58">
        <v>106.5</v>
      </c>
      <c r="S71" s="59">
        <v>191.9</v>
      </c>
      <c r="T71" s="59">
        <v>142.9</v>
      </c>
      <c r="U71" s="59">
        <v>117.8</v>
      </c>
      <c r="V71" s="58">
        <v>148.9</v>
      </c>
      <c r="W71" s="61">
        <v>157</v>
      </c>
      <c r="X71" s="22">
        <v>0.15996602491506229</v>
      </c>
      <c r="Y71" s="22">
        <v>0.36465706614596005</v>
      </c>
      <c r="Z71" s="22">
        <v>7.583616526560566E-2</v>
      </c>
      <c r="AA71" s="22">
        <v>-5.8021612635078879E-2</v>
      </c>
    </row>
    <row r="72" spans="1:27" ht="15" x14ac:dyDescent="0.25">
      <c r="A72" s="4">
        <v>260129</v>
      </c>
      <c r="B72" s="29" t="s">
        <v>721</v>
      </c>
      <c r="C72" s="19" t="s">
        <v>23</v>
      </c>
      <c r="D72" s="19" t="s">
        <v>141</v>
      </c>
      <c r="E72" s="19" t="s">
        <v>25</v>
      </c>
      <c r="F72" s="47">
        <v>-6.7834782217017224</v>
      </c>
      <c r="G72" s="58">
        <v>4821</v>
      </c>
      <c r="H72" s="58">
        <v>5570</v>
      </c>
      <c r="I72" s="58">
        <v>6367</v>
      </c>
      <c r="J72" s="58">
        <v>6157</v>
      </c>
      <c r="K72" s="58">
        <v>4530</v>
      </c>
      <c r="L72" s="58">
        <v>5646</v>
      </c>
      <c r="M72" s="58">
        <v>6709</v>
      </c>
      <c r="N72" s="58">
        <v>6475</v>
      </c>
      <c r="O72" s="58">
        <v>4484</v>
      </c>
      <c r="P72" s="58">
        <v>5809</v>
      </c>
      <c r="Q72" s="58">
        <v>6635</v>
      </c>
      <c r="R72" s="58">
        <v>5859</v>
      </c>
      <c r="S72" s="58">
        <v>4994</v>
      </c>
      <c r="T72" s="58">
        <v>5681</v>
      </c>
      <c r="U72" s="58">
        <v>5993</v>
      </c>
      <c r="V72" s="58">
        <v>5533</v>
      </c>
      <c r="W72" s="61">
        <v>3488</v>
      </c>
      <c r="X72" s="22">
        <v>-5.4942696484525655E-3</v>
      </c>
      <c r="Y72" s="22">
        <v>-2.7709439337045172E-2</v>
      </c>
      <c r="Z72" s="22">
        <v>-1.4471523061215463E-2</v>
      </c>
      <c r="AA72" s="22">
        <v>-6.783478221701722E-2</v>
      </c>
    </row>
    <row r="73" spans="1:27" ht="15" x14ac:dyDescent="0.25">
      <c r="A73" s="4">
        <v>260129</v>
      </c>
      <c r="B73" s="29" t="s">
        <v>670</v>
      </c>
      <c r="C73" s="19" t="s">
        <v>23</v>
      </c>
      <c r="D73" s="19" t="s">
        <v>95</v>
      </c>
      <c r="E73" s="19" t="s">
        <v>25</v>
      </c>
      <c r="F73" s="47">
        <v>-7.0019545388736004</v>
      </c>
      <c r="G73" s="58">
        <v>89.28</v>
      </c>
      <c r="H73" s="58">
        <v>83.95</v>
      </c>
      <c r="I73" s="58">
        <v>92.32</v>
      </c>
      <c r="J73" s="58">
        <v>96.78</v>
      </c>
      <c r="K73" s="58">
        <v>110.67</v>
      </c>
      <c r="L73" s="58">
        <v>85.17</v>
      </c>
      <c r="M73" s="58">
        <v>98.39</v>
      </c>
      <c r="N73" s="58">
        <v>101.42</v>
      </c>
      <c r="O73" s="58">
        <v>99.17</v>
      </c>
      <c r="P73" s="58">
        <v>98.58</v>
      </c>
      <c r="Q73" s="58">
        <v>107.05</v>
      </c>
      <c r="R73" s="58">
        <v>111.74</v>
      </c>
      <c r="S73" s="59">
        <v>174.26</v>
      </c>
      <c r="T73" s="58">
        <v>131.77000000000001</v>
      </c>
      <c r="U73" s="58">
        <v>117.08</v>
      </c>
      <c r="V73" s="58">
        <v>129.44999999999999</v>
      </c>
      <c r="W73" s="61">
        <v>135.57</v>
      </c>
      <c r="X73" s="22">
        <v>6.7510119398734636E-2</v>
      </c>
      <c r="Y73" s="22">
        <v>1.9111314355398257E-2</v>
      </c>
      <c r="Z73" s="22">
        <v>3.3112087501168341E-2</v>
      </c>
      <c r="AA73" s="22">
        <v>-7.0019545388736004E-2</v>
      </c>
    </row>
    <row r="74" spans="1:27" ht="15" x14ac:dyDescent="0.25">
      <c r="A74" s="4">
        <v>260129</v>
      </c>
      <c r="B74" s="29" t="s">
        <v>663</v>
      </c>
      <c r="C74" s="19" t="s">
        <v>23</v>
      </c>
      <c r="D74" s="19" t="s">
        <v>153</v>
      </c>
      <c r="E74" s="19" t="s">
        <v>25</v>
      </c>
      <c r="F74" s="47">
        <v>-7.0523648648648578</v>
      </c>
      <c r="G74" s="58">
        <v>13.43</v>
      </c>
      <c r="H74" s="58">
        <v>29.65</v>
      </c>
      <c r="I74" s="58">
        <v>40.869999999999997</v>
      </c>
      <c r="J74" s="58">
        <v>35.32</v>
      </c>
      <c r="K74" s="58">
        <v>23.11</v>
      </c>
      <c r="L74" s="58">
        <v>39.67</v>
      </c>
      <c r="M74" s="58">
        <v>45.21</v>
      </c>
      <c r="N74" s="58">
        <v>41.99</v>
      </c>
      <c r="O74" s="58">
        <v>27.58</v>
      </c>
      <c r="P74" s="58">
        <v>46.47</v>
      </c>
      <c r="Q74" s="58">
        <v>55.06</v>
      </c>
      <c r="R74" s="58">
        <v>51.55</v>
      </c>
      <c r="S74" s="58">
        <v>30.7</v>
      </c>
      <c r="T74" s="58">
        <v>46.88</v>
      </c>
      <c r="U74" s="58">
        <v>54.88</v>
      </c>
      <c r="V74" s="58">
        <v>56.98</v>
      </c>
      <c r="W74" s="61">
        <v>17.34</v>
      </c>
      <c r="X74" s="22">
        <v>2.230928283817768E-3</v>
      </c>
      <c r="Y74" s="22">
        <v>-9.7725175090945804E-4</v>
      </c>
      <c r="Z74" s="22">
        <v>2.9509265800771844E-2</v>
      </c>
      <c r="AA74" s="22">
        <v>-7.0523648648648574E-2</v>
      </c>
    </row>
    <row r="75" spans="1:27" ht="15" x14ac:dyDescent="0.25">
      <c r="A75" s="4">
        <v>260129</v>
      </c>
      <c r="B75" s="29" t="s">
        <v>696</v>
      </c>
      <c r="C75" s="19" t="s">
        <v>23</v>
      </c>
      <c r="D75" s="19" t="s">
        <v>697</v>
      </c>
      <c r="E75" s="19" t="s">
        <v>25</v>
      </c>
      <c r="F75" s="47">
        <v>-11.0175157106565</v>
      </c>
      <c r="G75" s="58">
        <v>47.31</v>
      </c>
      <c r="H75" s="58">
        <v>71.78</v>
      </c>
      <c r="I75" s="58">
        <v>95.3</v>
      </c>
      <c r="J75" s="58">
        <v>56.34</v>
      </c>
      <c r="K75" s="58">
        <v>37.549999999999997</v>
      </c>
      <c r="L75" s="58">
        <v>55.41</v>
      </c>
      <c r="M75" s="58">
        <v>74.58</v>
      </c>
      <c r="N75" s="58">
        <v>33.25</v>
      </c>
      <c r="O75" s="58">
        <v>19.22</v>
      </c>
      <c r="P75" s="58">
        <v>21.4</v>
      </c>
      <c r="Q75" s="58">
        <v>61.03</v>
      </c>
      <c r="R75" s="58">
        <v>21.38</v>
      </c>
      <c r="S75" s="58">
        <v>13.16</v>
      </c>
      <c r="T75" s="58">
        <v>22.74</v>
      </c>
      <c r="U75" s="58">
        <v>27.52</v>
      </c>
      <c r="V75" s="58">
        <v>11.37</v>
      </c>
      <c r="W75" s="61">
        <v>4.92</v>
      </c>
      <c r="X75" s="22">
        <v>1.1455928870650611E-2</v>
      </c>
      <c r="Y75" s="22">
        <v>-0.28323894852506126</v>
      </c>
      <c r="Z75" s="22">
        <v>-0.11804245283018855</v>
      </c>
      <c r="AA75" s="22">
        <v>-0.11017515710656511</v>
      </c>
    </row>
    <row r="76" spans="1:27" ht="15" x14ac:dyDescent="0.25">
      <c r="A76" s="4">
        <v>260129</v>
      </c>
      <c r="B76" s="29" t="s">
        <v>736</v>
      </c>
      <c r="C76" s="19" t="s">
        <v>23</v>
      </c>
      <c r="D76" s="19" t="s">
        <v>54</v>
      </c>
      <c r="E76" s="19" t="s">
        <v>25</v>
      </c>
      <c r="F76" s="47">
        <v>-11.897885492841461</v>
      </c>
      <c r="G76" s="58">
        <v>849.54</v>
      </c>
      <c r="H76" s="58">
        <v>601.88</v>
      </c>
      <c r="I76" s="58">
        <v>868.13</v>
      </c>
      <c r="J76" s="58">
        <v>834.99</v>
      </c>
      <c r="K76" s="58">
        <v>1082</v>
      </c>
      <c r="L76" s="58">
        <v>697.79</v>
      </c>
      <c r="M76" s="58">
        <v>939.54</v>
      </c>
      <c r="N76" s="58">
        <v>827.99</v>
      </c>
      <c r="O76" s="58">
        <v>940.19</v>
      </c>
      <c r="P76" s="58">
        <v>814.06</v>
      </c>
      <c r="Q76" s="58">
        <v>1033</v>
      </c>
      <c r="R76" s="58">
        <v>893.99</v>
      </c>
      <c r="S76" s="58">
        <v>1158</v>
      </c>
      <c r="T76" s="58">
        <v>674.27</v>
      </c>
      <c r="U76" s="58">
        <v>807.75</v>
      </c>
      <c r="V76" s="58">
        <v>763.61</v>
      </c>
      <c r="W76" s="61">
        <v>753.04</v>
      </c>
      <c r="X76" s="22">
        <v>-3.5852323001756892E-2</v>
      </c>
      <c r="Y76" s="22">
        <v>-5.9918707405180793E-2</v>
      </c>
      <c r="Z76" s="22">
        <v>-3.6892934654966902E-2</v>
      </c>
      <c r="AA76" s="22">
        <v>-0.11897885492841465</v>
      </c>
    </row>
    <row r="77" spans="1:27" ht="15" x14ac:dyDescent="0.25">
      <c r="A77" s="4">
        <v>260129</v>
      </c>
      <c r="B77" s="29" t="s">
        <v>644</v>
      </c>
      <c r="C77" s="19" t="s">
        <v>23</v>
      </c>
      <c r="D77" s="19" t="s">
        <v>182</v>
      </c>
      <c r="E77" s="19" t="s">
        <v>25</v>
      </c>
      <c r="F77" s="47">
        <v>-16.848355933705569</v>
      </c>
      <c r="G77" s="58">
        <v>-19.510000000000002</v>
      </c>
      <c r="H77" s="58">
        <v>18.059999999999999</v>
      </c>
      <c r="I77" s="58">
        <v>-39.869999999999997</v>
      </c>
      <c r="J77" s="58">
        <v>90.38</v>
      </c>
      <c r="K77" s="59">
        <v>-5.48</v>
      </c>
      <c r="L77" s="59">
        <v>38.799999999999997</v>
      </c>
      <c r="M77" s="59">
        <v>46.85</v>
      </c>
      <c r="N77" s="59">
        <v>118.42</v>
      </c>
      <c r="O77" s="59">
        <v>40.32</v>
      </c>
      <c r="P77" s="58">
        <v>32.380000000000003</v>
      </c>
      <c r="Q77" s="58">
        <v>28.61</v>
      </c>
      <c r="R77" s="58">
        <v>26.53</v>
      </c>
      <c r="S77" s="59">
        <v>55.12</v>
      </c>
      <c r="T77" s="58">
        <v>-6.3</v>
      </c>
      <c r="U77" s="58">
        <v>17.010000000000002</v>
      </c>
      <c r="V77" s="59">
        <v>47</v>
      </c>
      <c r="W77" s="61">
        <v>36.11</v>
      </c>
      <c r="X77" s="22">
        <v>-0.27117218171620872</v>
      </c>
      <c r="Y77" s="22">
        <v>-0.11158137745286634</v>
      </c>
      <c r="Z77" s="22">
        <v>0.22163274144651335</v>
      </c>
      <c r="AA77" s="22">
        <v>-0.16848355933705583</v>
      </c>
    </row>
    <row r="78" spans="1:27" ht="15" x14ac:dyDescent="0.25">
      <c r="A78" s="4">
        <v>260129</v>
      </c>
      <c r="B78" s="29" t="s">
        <v>653</v>
      </c>
      <c r="C78" s="19" t="s">
        <v>23</v>
      </c>
      <c r="D78" s="19" t="s">
        <v>29</v>
      </c>
      <c r="E78" s="19" t="s">
        <v>25</v>
      </c>
      <c r="F78" s="47">
        <v>-17.283236994219649</v>
      </c>
      <c r="G78" s="58">
        <v>32.35</v>
      </c>
      <c r="H78" s="58">
        <v>43.1</v>
      </c>
      <c r="I78" s="58">
        <v>46.23</v>
      </c>
      <c r="J78" s="58">
        <v>39.54</v>
      </c>
      <c r="K78" s="58">
        <v>20.95</v>
      </c>
      <c r="L78" s="58">
        <v>10.7</v>
      </c>
      <c r="M78" s="58">
        <v>-212.59</v>
      </c>
      <c r="N78" s="59">
        <v>1.58</v>
      </c>
      <c r="O78" s="59">
        <v>0.25</v>
      </c>
      <c r="P78" s="58">
        <v>-0.12</v>
      </c>
      <c r="Q78" s="58">
        <v>2.66</v>
      </c>
      <c r="R78" s="58">
        <v>-116.97</v>
      </c>
      <c r="S78" s="59">
        <v>-22.96</v>
      </c>
      <c r="T78" s="58">
        <v>6.26</v>
      </c>
      <c r="U78" s="59">
        <v>-10.87</v>
      </c>
      <c r="V78" s="58">
        <v>-58.93</v>
      </c>
      <c r="W78" s="61">
        <v>-8.01</v>
      </c>
      <c r="X78" s="22">
        <v>-4.6437149719775639E-2</v>
      </c>
      <c r="Y78" s="22">
        <v>0.10327455919395456</v>
      </c>
      <c r="Z78" s="22">
        <v>-0.40154974401549748</v>
      </c>
      <c r="AA78" s="22">
        <v>-0.17283236994219653</v>
      </c>
    </row>
    <row r="79" spans="1:27" ht="15" x14ac:dyDescent="0.25">
      <c r="A79" s="4">
        <v>260129</v>
      </c>
      <c r="B79" s="29" t="s">
        <v>646</v>
      </c>
      <c r="C79" s="19" t="s">
        <v>23</v>
      </c>
      <c r="D79" s="19" t="s">
        <v>446</v>
      </c>
      <c r="E79" s="19" t="s">
        <v>25</v>
      </c>
      <c r="F79" s="47">
        <v>-18.363766844749222</v>
      </c>
      <c r="G79" s="58">
        <v>29.34</v>
      </c>
      <c r="H79" s="58">
        <v>48.13</v>
      </c>
      <c r="I79" s="58">
        <v>39.47</v>
      </c>
      <c r="J79" s="58">
        <v>52.58</v>
      </c>
      <c r="K79" s="58">
        <v>45.14</v>
      </c>
      <c r="L79" s="58">
        <v>34.36</v>
      </c>
      <c r="M79" s="58">
        <v>-1.5</v>
      </c>
      <c r="N79" s="58">
        <v>-18.760000000000002</v>
      </c>
      <c r="O79" s="58">
        <v>-30.1</v>
      </c>
      <c r="P79" s="59">
        <v>-51.99</v>
      </c>
      <c r="Q79" s="59">
        <v>-39.96</v>
      </c>
      <c r="R79" s="59">
        <v>-38.68</v>
      </c>
      <c r="S79" s="58">
        <v>-38.119999999999997</v>
      </c>
      <c r="T79" s="58">
        <v>-38.22</v>
      </c>
      <c r="U79" s="58">
        <v>-19.04</v>
      </c>
      <c r="V79" s="58">
        <v>-30.03</v>
      </c>
      <c r="W79" s="61">
        <v>-15.09</v>
      </c>
      <c r="X79" s="22">
        <v>-8.1600000000000006E-2</v>
      </c>
      <c r="Y79" s="22">
        <v>-0.13498515937540323</v>
      </c>
      <c r="Z79" s="22">
        <v>-6.4523347754736782E-2</v>
      </c>
      <c r="AA79" s="22">
        <v>-0.18363766844749219</v>
      </c>
    </row>
    <row r="80" spans="1:27" ht="15" x14ac:dyDescent="0.25">
      <c r="A80" s="4">
        <v>260129</v>
      </c>
      <c r="B80" s="29" t="s">
        <v>650</v>
      </c>
      <c r="C80" s="19" t="s">
        <v>23</v>
      </c>
      <c r="D80" s="19" t="s">
        <v>444</v>
      </c>
      <c r="E80" s="19" t="s">
        <v>25</v>
      </c>
      <c r="F80" s="47">
        <v>-18.71101871101871</v>
      </c>
      <c r="G80" s="58">
        <v>418</v>
      </c>
      <c r="H80" s="58">
        <v>385</v>
      </c>
      <c r="I80" s="58">
        <v>585</v>
      </c>
      <c r="J80" s="58">
        <v>513</v>
      </c>
      <c r="K80" s="58">
        <v>463</v>
      </c>
      <c r="L80" s="58">
        <v>283</v>
      </c>
      <c r="M80" s="58">
        <v>314</v>
      </c>
      <c r="N80" s="58">
        <v>319</v>
      </c>
      <c r="O80" s="58">
        <v>283</v>
      </c>
      <c r="P80" s="58">
        <v>154</v>
      </c>
      <c r="Q80" s="58">
        <v>0</v>
      </c>
      <c r="R80" s="58">
        <v>119</v>
      </c>
      <c r="S80" s="58">
        <v>338</v>
      </c>
      <c r="T80" s="58">
        <v>159</v>
      </c>
      <c r="U80" s="58">
        <v>0</v>
      </c>
      <c r="V80" s="59">
        <v>465</v>
      </c>
      <c r="W80" s="61">
        <v>158</v>
      </c>
      <c r="X80" s="22">
        <v>8.1833060556464332E-3</v>
      </c>
      <c r="Y80" s="22">
        <v>0</v>
      </c>
      <c r="Z80" s="22">
        <v>0.56168831168831179</v>
      </c>
      <c r="AA80" s="22">
        <v>-0.18711018711018712</v>
      </c>
    </row>
    <row r="81" spans="1:27" ht="15" x14ac:dyDescent="0.25">
      <c r="A81" s="4">
        <v>260129</v>
      </c>
      <c r="B81" s="29" t="s">
        <v>740</v>
      </c>
      <c r="C81" s="19" t="s">
        <v>23</v>
      </c>
      <c r="D81" s="19" t="s">
        <v>41</v>
      </c>
      <c r="E81" s="19" t="s">
        <v>25</v>
      </c>
      <c r="F81" s="47">
        <v>-18.8135593220339</v>
      </c>
      <c r="G81" s="58">
        <v>587</v>
      </c>
      <c r="H81" s="58">
        <v>345</v>
      </c>
      <c r="I81" s="58">
        <v>469</v>
      </c>
      <c r="J81" s="58">
        <v>330</v>
      </c>
      <c r="K81" s="58">
        <v>143</v>
      </c>
      <c r="L81" s="58">
        <v>294</v>
      </c>
      <c r="M81" s="58">
        <v>342</v>
      </c>
      <c r="N81" s="58">
        <v>266</v>
      </c>
      <c r="O81" s="58">
        <v>167</v>
      </c>
      <c r="P81" s="58">
        <v>287</v>
      </c>
      <c r="Q81" s="58">
        <v>363</v>
      </c>
      <c r="R81" s="58">
        <v>369</v>
      </c>
      <c r="S81" s="59">
        <v>364</v>
      </c>
      <c r="T81" s="58">
        <v>319</v>
      </c>
      <c r="U81" s="58">
        <v>284</v>
      </c>
      <c r="V81" s="58">
        <v>213</v>
      </c>
      <c r="W81" s="61">
        <v>142</v>
      </c>
      <c r="X81" s="22">
        <v>2.3138105567606759E-2</v>
      </c>
      <c r="Y81" s="22">
        <v>-5.5830388692579502E-2</v>
      </c>
      <c r="Z81" s="22">
        <v>-0.11676646706586824</v>
      </c>
      <c r="AA81" s="22">
        <v>-0.18813559322033901</v>
      </c>
    </row>
    <row r="82" spans="1:27" ht="15" x14ac:dyDescent="0.25">
      <c r="A82" s="4">
        <v>260129</v>
      </c>
      <c r="B82" s="29" t="s">
        <v>735</v>
      </c>
      <c r="C82" s="19" t="s">
        <v>23</v>
      </c>
      <c r="D82" s="19" t="s">
        <v>692</v>
      </c>
      <c r="E82" s="19" t="s">
        <v>25</v>
      </c>
      <c r="F82" s="47">
        <v>-31.01564806613521</v>
      </c>
      <c r="G82" s="58">
        <v>199.05</v>
      </c>
      <c r="H82" s="58">
        <v>257.24</v>
      </c>
      <c r="I82" s="58">
        <v>305.74</v>
      </c>
      <c r="J82" s="58">
        <v>238.61</v>
      </c>
      <c r="K82" s="58">
        <v>173.5</v>
      </c>
      <c r="L82" s="58">
        <v>136.78</v>
      </c>
      <c r="M82" s="58">
        <v>117.54</v>
      </c>
      <c r="N82" s="58">
        <v>143.49</v>
      </c>
      <c r="O82" s="58">
        <v>66.78</v>
      </c>
      <c r="P82" s="58">
        <v>40.9</v>
      </c>
      <c r="Q82" s="58">
        <v>75.540000000000006</v>
      </c>
      <c r="R82" s="58">
        <v>60.57</v>
      </c>
      <c r="S82" s="58">
        <v>64.47</v>
      </c>
      <c r="T82" s="58">
        <v>55.88</v>
      </c>
      <c r="U82" s="58">
        <v>1.54</v>
      </c>
      <c r="V82" s="58">
        <v>13.59</v>
      </c>
      <c r="W82" s="61">
        <v>22.45</v>
      </c>
      <c r="X82" s="22">
        <v>6.2034122908729783E-2</v>
      </c>
      <c r="Y82" s="22">
        <v>-0.28854402245964306</v>
      </c>
      <c r="Z82" s="22">
        <v>-0.25748109174613609</v>
      </c>
      <c r="AA82" s="22">
        <v>-0.31015648066135215</v>
      </c>
    </row>
    <row r="83" spans="1:27" ht="15" x14ac:dyDescent="0.25">
      <c r="A83" s="4">
        <v>260129</v>
      </c>
      <c r="B83" s="29" t="s">
        <v>726</v>
      </c>
      <c r="C83" s="19" t="s">
        <v>23</v>
      </c>
      <c r="D83" s="19" t="s">
        <v>727</v>
      </c>
      <c r="E83" s="19" t="s">
        <v>25</v>
      </c>
      <c r="F83" s="47">
        <v>-47.498045347928063</v>
      </c>
      <c r="G83" s="58">
        <v>536.6</v>
      </c>
      <c r="H83" s="58">
        <v>559.20000000000005</v>
      </c>
      <c r="I83" s="58">
        <v>578.5</v>
      </c>
      <c r="J83" s="58">
        <v>398</v>
      </c>
      <c r="K83" s="58">
        <v>277.7</v>
      </c>
      <c r="L83" s="58">
        <v>297</v>
      </c>
      <c r="M83" s="58">
        <v>214.3</v>
      </c>
      <c r="N83" s="58">
        <v>183.8</v>
      </c>
      <c r="O83" s="58">
        <v>81.599999999999994</v>
      </c>
      <c r="P83" s="58">
        <v>112.4</v>
      </c>
      <c r="Q83" s="58">
        <v>149.1</v>
      </c>
      <c r="R83" s="58">
        <v>30.1</v>
      </c>
      <c r="S83" s="58">
        <v>64.2</v>
      </c>
      <c r="T83" s="58">
        <v>53.4</v>
      </c>
      <c r="U83" s="58">
        <v>47.6</v>
      </c>
      <c r="V83" s="59">
        <v>90.6</v>
      </c>
      <c r="W83" s="61">
        <v>-57.3</v>
      </c>
      <c r="X83" s="22">
        <v>-0.16582349634626214</v>
      </c>
      <c r="Y83" s="22">
        <v>-0.34198113207547154</v>
      </c>
      <c r="Z83" s="22">
        <v>0.309779825908858</v>
      </c>
      <c r="AA83" s="22">
        <v>-0.47498045347928064</v>
      </c>
    </row>
    <row r="84" spans="1:27" ht="15" x14ac:dyDescent="0.25">
      <c r="A84" s="4">
        <v>260129</v>
      </c>
      <c r="B84" s="29" t="s">
        <v>737</v>
      </c>
      <c r="C84" s="19" t="s">
        <v>23</v>
      </c>
      <c r="D84" s="19" t="s">
        <v>727</v>
      </c>
      <c r="E84" s="19" t="s">
        <v>25</v>
      </c>
      <c r="F84" s="47">
        <v>-57.859078590785913</v>
      </c>
      <c r="G84" s="58">
        <v>1817</v>
      </c>
      <c r="H84" s="58">
        <v>2147</v>
      </c>
      <c r="I84" s="58">
        <v>2117</v>
      </c>
      <c r="J84" s="58">
        <v>1193</v>
      </c>
      <c r="K84" s="58">
        <v>475</v>
      </c>
      <c r="L84" s="58">
        <v>772</v>
      </c>
      <c r="M84" s="58">
        <v>948</v>
      </c>
      <c r="N84" s="58">
        <v>577</v>
      </c>
      <c r="O84" s="58">
        <v>342</v>
      </c>
      <c r="P84" s="58">
        <v>611</v>
      </c>
      <c r="Q84" s="58">
        <v>722</v>
      </c>
      <c r="R84" s="58">
        <v>451</v>
      </c>
      <c r="S84" s="58">
        <v>460</v>
      </c>
      <c r="T84" s="58">
        <v>67</v>
      </c>
      <c r="U84" s="58">
        <v>21</v>
      </c>
      <c r="V84" s="58">
        <v>190</v>
      </c>
      <c r="W84" s="61">
        <v>33</v>
      </c>
      <c r="X84" s="22">
        <v>-0.24242424242424243</v>
      </c>
      <c r="Y84" s="22">
        <v>-0.41235294117647059</v>
      </c>
      <c r="Z84" s="22">
        <v>-0.26126126126126126</v>
      </c>
      <c r="AA84" s="22">
        <v>-0.57859078590785906</v>
      </c>
    </row>
    <row r="85" spans="1:27" ht="15" x14ac:dyDescent="0.25">
      <c r="A85" s="4">
        <v>260129</v>
      </c>
      <c r="B85" s="29" t="s">
        <v>738</v>
      </c>
      <c r="C85" s="19" t="s">
        <v>23</v>
      </c>
      <c r="D85" s="19" t="s">
        <v>739</v>
      </c>
      <c r="E85" s="19" t="s">
        <v>25</v>
      </c>
      <c r="F85" s="47">
        <v>-62.3046875</v>
      </c>
      <c r="G85" s="58">
        <v>544</v>
      </c>
      <c r="H85" s="58">
        <v>1332</v>
      </c>
      <c r="I85" s="58">
        <v>1037</v>
      </c>
      <c r="J85" s="58">
        <v>439</v>
      </c>
      <c r="K85" s="58">
        <v>238</v>
      </c>
      <c r="L85" s="58">
        <v>228</v>
      </c>
      <c r="M85" s="58">
        <v>316</v>
      </c>
      <c r="N85" s="58">
        <v>350</v>
      </c>
      <c r="O85" s="58">
        <v>179</v>
      </c>
      <c r="P85" s="58">
        <v>191</v>
      </c>
      <c r="Q85" s="58">
        <v>248</v>
      </c>
      <c r="R85" s="58">
        <v>90</v>
      </c>
      <c r="S85" s="58">
        <v>141</v>
      </c>
      <c r="T85" s="58">
        <v>162</v>
      </c>
      <c r="U85" s="58">
        <v>160</v>
      </c>
      <c r="V85" s="58">
        <v>49</v>
      </c>
      <c r="W85" s="61">
        <v>-178</v>
      </c>
      <c r="X85" s="22">
        <v>-4.3283582089552186E-2</v>
      </c>
      <c r="Y85" s="22">
        <v>-0.13728549141965674</v>
      </c>
      <c r="Z85" s="22">
        <v>-7.4141048824593159E-2</v>
      </c>
      <c r="AA85" s="22">
        <v>-0.623046875</v>
      </c>
    </row>
    <row r="86" spans="1:27" ht="15" x14ac:dyDescent="0.25">
      <c r="A86" s="4">
        <v>260129</v>
      </c>
      <c r="B86" s="29" t="s">
        <v>698</v>
      </c>
      <c r="C86" s="19" t="s">
        <v>23</v>
      </c>
      <c r="D86" s="19" t="s">
        <v>699</v>
      </c>
      <c r="E86" s="19" t="s">
        <v>25</v>
      </c>
      <c r="F86" s="47">
        <v>-64.08654918581307</v>
      </c>
      <c r="G86" s="58">
        <v>18.12</v>
      </c>
      <c r="H86" s="58">
        <v>23.68</v>
      </c>
      <c r="I86" s="58">
        <v>26.47</v>
      </c>
      <c r="J86" s="58">
        <v>21.15</v>
      </c>
      <c r="K86" s="58">
        <v>9.06</v>
      </c>
      <c r="L86" s="58">
        <v>9.34</v>
      </c>
      <c r="M86" s="58">
        <v>10.29</v>
      </c>
      <c r="N86" s="58">
        <v>15.03</v>
      </c>
      <c r="O86" s="59">
        <v>14.55</v>
      </c>
      <c r="P86" s="58">
        <v>13.13</v>
      </c>
      <c r="Q86" s="59">
        <v>17.13</v>
      </c>
      <c r="R86" s="58">
        <v>17.16</v>
      </c>
      <c r="S86" s="58">
        <v>15.45</v>
      </c>
      <c r="T86" s="58">
        <v>8.66</v>
      </c>
      <c r="U86" s="58">
        <v>12.57</v>
      </c>
      <c r="V86" s="58">
        <v>8.15</v>
      </c>
      <c r="W86" s="61">
        <v>-13.28</v>
      </c>
      <c r="X86" s="22">
        <v>-7.1099093367265942E-2</v>
      </c>
      <c r="Y86" s="22">
        <v>-7.8082191780821875E-2</v>
      </c>
      <c r="Z86" s="22">
        <v>-0.16734769687964335</v>
      </c>
      <c r="AA86" s="22">
        <v>-0.64086549185813069</v>
      </c>
    </row>
    <row r="87" spans="1:27" ht="15" x14ac:dyDescent="0.25">
      <c r="A87" s="4">
        <v>260129</v>
      </c>
      <c r="B87" s="29" t="s">
        <v>741</v>
      </c>
      <c r="C87" s="19" t="s">
        <v>23</v>
      </c>
      <c r="D87" s="19" t="s">
        <v>54</v>
      </c>
      <c r="E87" s="19" t="s">
        <v>25</v>
      </c>
      <c r="F87" s="47">
        <v>-68.549525922937264</v>
      </c>
      <c r="G87" s="58">
        <v>40.94</v>
      </c>
      <c r="H87" s="58">
        <v>55.55</v>
      </c>
      <c r="I87" s="58">
        <v>67.239999999999995</v>
      </c>
      <c r="J87" s="58">
        <v>111.73</v>
      </c>
      <c r="K87" s="58">
        <v>28.69</v>
      </c>
      <c r="L87" s="58">
        <v>38.9</v>
      </c>
      <c r="M87" s="58">
        <v>48.22</v>
      </c>
      <c r="N87" s="58">
        <v>62.08</v>
      </c>
      <c r="O87" s="58">
        <v>20.27</v>
      </c>
      <c r="P87" s="58">
        <v>35.99</v>
      </c>
      <c r="Q87" s="58">
        <v>28.72</v>
      </c>
      <c r="R87" s="58">
        <v>60.04</v>
      </c>
      <c r="S87" s="58">
        <v>2.14</v>
      </c>
      <c r="T87" s="58">
        <v>13.9</v>
      </c>
      <c r="U87" s="58">
        <v>6.63</v>
      </c>
      <c r="V87" s="58">
        <v>26.9</v>
      </c>
      <c r="W87" s="61">
        <v>-31.84</v>
      </c>
      <c r="X87" s="22">
        <v>-0.17408779257624718</v>
      </c>
      <c r="Y87" s="22">
        <v>-0.21078244274809166</v>
      </c>
      <c r="Z87" s="22">
        <v>-0.40067706444202644</v>
      </c>
      <c r="AA87" s="22">
        <v>-0.6854952592293726</v>
      </c>
    </row>
    <row r="88" spans="1:27" ht="15" x14ac:dyDescent="0.25">
      <c r="A88" s="4">
        <v>260129</v>
      </c>
      <c r="B88" s="29" t="s">
        <v>637</v>
      </c>
      <c r="C88" s="19" t="s">
        <v>23</v>
      </c>
      <c r="D88" s="19" t="s">
        <v>29</v>
      </c>
      <c r="E88" s="19" t="s">
        <v>25</v>
      </c>
      <c r="F88" s="47">
        <v>-290.6908787309539</v>
      </c>
      <c r="G88" s="58">
        <v>23.84</v>
      </c>
      <c r="H88" s="58">
        <v>18.43</v>
      </c>
      <c r="I88" s="58">
        <v>19.510000000000002</v>
      </c>
      <c r="J88" s="58">
        <v>18.579999999999998</v>
      </c>
      <c r="K88" s="58">
        <v>14.46</v>
      </c>
      <c r="L88" s="58">
        <v>14.86</v>
      </c>
      <c r="M88" s="58">
        <v>16.79</v>
      </c>
      <c r="N88" s="58">
        <v>16.46</v>
      </c>
      <c r="O88" s="58">
        <v>14.94</v>
      </c>
      <c r="P88" s="58">
        <v>2.4300000000000002</v>
      </c>
      <c r="Q88" s="59">
        <v>30.15</v>
      </c>
      <c r="R88" s="58">
        <v>14.55</v>
      </c>
      <c r="S88" s="58">
        <v>-115.27</v>
      </c>
      <c r="T88" s="58">
        <v>20.62</v>
      </c>
      <c r="U88" s="59">
        <v>21.5</v>
      </c>
      <c r="V88" s="58">
        <v>25.24</v>
      </c>
      <c r="W88" s="61">
        <v>24</v>
      </c>
      <c r="X88" s="22">
        <v>-0.26695039624302919</v>
      </c>
      <c r="Y88" s="22">
        <v>0.17317317317317338</v>
      </c>
      <c r="Z88" s="22">
        <v>-0.18242320819112623</v>
      </c>
      <c r="AA88" s="22">
        <v>-2.9069087873095389</v>
      </c>
    </row>
    <row r="89" spans="1:27" ht="15" x14ac:dyDescent="0.25">
      <c r="A89" s="4">
        <v>260129</v>
      </c>
      <c r="B89" s="29" t="s">
        <v>654</v>
      </c>
      <c r="C89" s="19" t="s">
        <v>23</v>
      </c>
      <c r="D89" s="19" t="s">
        <v>446</v>
      </c>
      <c r="E89" s="19" t="s">
        <v>800</v>
      </c>
      <c r="F89" s="47">
        <v>-294.78527607361968</v>
      </c>
      <c r="G89" s="58">
        <v>36.01</v>
      </c>
      <c r="H89" s="58">
        <v>27.24</v>
      </c>
      <c r="I89" s="58">
        <v>14.74</v>
      </c>
      <c r="J89" s="58">
        <v>59.84</v>
      </c>
      <c r="K89" s="59">
        <v>65.63</v>
      </c>
      <c r="L89" s="59">
        <v>59.3</v>
      </c>
      <c r="M89" s="59">
        <v>70.75</v>
      </c>
      <c r="N89" s="58">
        <v>72.92</v>
      </c>
      <c r="O89" s="58">
        <v>36.69</v>
      </c>
      <c r="P89" s="58">
        <v>37.340000000000003</v>
      </c>
      <c r="Q89" s="58">
        <v>-10.63</v>
      </c>
      <c r="R89" s="58">
        <v>4.07</v>
      </c>
      <c r="S89" s="58">
        <v>-0.04</v>
      </c>
      <c r="T89" s="58">
        <v>-6.72</v>
      </c>
      <c r="U89" s="58">
        <v>-2.74</v>
      </c>
      <c r="V89" s="58">
        <v>6.24</v>
      </c>
      <c r="W89" s="61">
        <v>9.57</v>
      </c>
      <c r="X89" s="22">
        <v>-1.4333116460637605</v>
      </c>
      <c r="Y89" s="22">
        <v>-0.5923423423423424</v>
      </c>
      <c r="Z89" s="22">
        <v>-0.39963167587476978</v>
      </c>
      <c r="AA89" s="22">
        <v>-2.9478527607361964</v>
      </c>
    </row>
    <row r="90" spans="1:27" ht="15" x14ac:dyDescent="0.25">
      <c r="A90" s="4">
        <v>260129</v>
      </c>
      <c r="B90" s="29" t="s">
        <v>742</v>
      </c>
      <c r="C90" s="19" t="s">
        <v>164</v>
      </c>
      <c r="D90" s="46" t="s">
        <v>743</v>
      </c>
      <c r="E90" s="19" t="s">
        <v>25</v>
      </c>
      <c r="F90" s="47">
        <v>2.5396825396825311</v>
      </c>
      <c r="G90" s="58">
        <v>176</v>
      </c>
      <c r="H90" s="58">
        <v>331</v>
      </c>
      <c r="I90" s="58">
        <v>346</v>
      </c>
      <c r="J90" s="58">
        <v>319</v>
      </c>
      <c r="K90" s="59">
        <v>328</v>
      </c>
      <c r="L90" s="58">
        <v>401</v>
      </c>
      <c r="M90" s="58">
        <v>450</v>
      </c>
      <c r="N90" s="58">
        <v>440</v>
      </c>
      <c r="O90" s="58">
        <v>282</v>
      </c>
      <c r="P90" s="58">
        <v>356</v>
      </c>
      <c r="Q90" s="58">
        <v>472</v>
      </c>
      <c r="R90" s="58">
        <v>421</v>
      </c>
      <c r="S90" s="58">
        <v>333</v>
      </c>
      <c r="T90" s="58">
        <v>409</v>
      </c>
      <c r="U90" s="58">
        <v>436</v>
      </c>
      <c r="V90" s="58">
        <v>397</v>
      </c>
      <c r="W90" s="61">
        <v>373</v>
      </c>
      <c r="X90" s="22">
        <v>3.3501896333754777E-2</v>
      </c>
      <c r="Y90" s="22">
        <v>-2.2018348623853212E-2</v>
      </c>
      <c r="Z90" s="22">
        <v>-1.5009380863039379E-2</v>
      </c>
      <c r="AA90" s="22">
        <v>2.5396825396825307E-2</v>
      </c>
    </row>
    <row r="91" spans="1:27" ht="15" x14ac:dyDescent="0.25">
      <c r="A91" s="4">
        <v>260129</v>
      </c>
      <c r="B91" s="29" t="s">
        <v>744</v>
      </c>
      <c r="C91" s="19" t="s">
        <v>164</v>
      </c>
      <c r="D91" s="46" t="s">
        <v>745</v>
      </c>
      <c r="E91" s="19" t="s">
        <v>25</v>
      </c>
      <c r="F91" s="47">
        <v>2.027027027027017</v>
      </c>
      <c r="G91" s="58">
        <v>655</v>
      </c>
      <c r="H91" s="58">
        <v>852</v>
      </c>
      <c r="I91" s="58">
        <v>855</v>
      </c>
      <c r="J91" s="58">
        <v>1041</v>
      </c>
      <c r="K91" s="58">
        <v>407</v>
      </c>
      <c r="L91" s="58">
        <v>701</v>
      </c>
      <c r="M91" s="58">
        <v>958</v>
      </c>
      <c r="N91" s="58">
        <v>1112</v>
      </c>
      <c r="O91" s="59">
        <v>822</v>
      </c>
      <c r="P91" s="58">
        <v>836</v>
      </c>
      <c r="Q91" s="58">
        <v>852</v>
      </c>
      <c r="R91" s="58">
        <v>1022</v>
      </c>
      <c r="S91" s="58">
        <v>800</v>
      </c>
      <c r="T91" s="58">
        <v>728</v>
      </c>
      <c r="U91" s="58">
        <v>950</v>
      </c>
      <c r="V91" s="58">
        <v>1074</v>
      </c>
      <c r="W91" s="61">
        <v>872</v>
      </c>
      <c r="X91" s="22">
        <v>-3.0769230769230771E-2</v>
      </c>
      <c r="Y91" s="22">
        <v>2.8806584362139898E-2</v>
      </c>
      <c r="Z91" s="22">
        <v>1.4857142857142902E-2</v>
      </c>
      <c r="AA91" s="22">
        <v>2.0270270270270174E-2</v>
      </c>
    </row>
    <row r="92" spans="1:27" ht="15" x14ac:dyDescent="0.25">
      <c r="A92" s="4">
        <v>260129</v>
      </c>
      <c r="B92" s="29" t="s">
        <v>746</v>
      </c>
      <c r="C92" s="19" t="s">
        <v>164</v>
      </c>
      <c r="D92" s="46" t="s">
        <v>747</v>
      </c>
      <c r="E92" s="19" t="s">
        <v>25</v>
      </c>
      <c r="F92" s="47">
        <v>-2.9765013054830258</v>
      </c>
      <c r="G92" s="58">
        <v>802</v>
      </c>
      <c r="H92" s="58">
        <v>830</v>
      </c>
      <c r="I92" s="58">
        <v>908</v>
      </c>
      <c r="J92" s="58">
        <v>912</v>
      </c>
      <c r="K92" s="58">
        <v>877</v>
      </c>
      <c r="L92" s="58">
        <v>1077</v>
      </c>
      <c r="M92" s="58">
        <v>1061</v>
      </c>
      <c r="N92" s="58">
        <v>1031</v>
      </c>
      <c r="O92" s="58">
        <v>974</v>
      </c>
      <c r="P92" s="58">
        <v>860</v>
      </c>
      <c r="Q92" s="58">
        <v>1087</v>
      </c>
      <c r="R92" s="58">
        <v>1015</v>
      </c>
      <c r="S92" s="58">
        <v>1032</v>
      </c>
      <c r="T92" s="58">
        <v>874</v>
      </c>
      <c r="U92" s="58">
        <v>950</v>
      </c>
      <c r="V92" s="58">
        <v>974</v>
      </c>
      <c r="W92" s="61">
        <v>918</v>
      </c>
      <c r="X92" s="22">
        <v>3.5052578868302042E-3</v>
      </c>
      <c r="Y92" s="22">
        <v>-3.4181636726546949E-2</v>
      </c>
      <c r="Z92" s="22">
        <v>-1.0591578403513324E-2</v>
      </c>
      <c r="AA92" s="22">
        <v>-2.9765013054830258E-2</v>
      </c>
    </row>
    <row r="93" spans="1:27" ht="15" x14ac:dyDescent="0.25">
      <c r="A93" s="4">
        <v>260129</v>
      </c>
      <c r="B93" s="29">
        <v>6952</v>
      </c>
      <c r="C93" s="19" t="s">
        <v>67</v>
      </c>
      <c r="D93" s="46" t="s">
        <v>749</v>
      </c>
      <c r="E93" s="19" t="s">
        <v>25</v>
      </c>
      <c r="F93" s="108">
        <v>58.140925054173209</v>
      </c>
      <c r="G93" s="58">
        <v>8009</v>
      </c>
      <c r="H93" s="58">
        <v>1969</v>
      </c>
      <c r="I93" s="58">
        <v>4835</v>
      </c>
      <c r="J93" s="58">
        <v>5244</v>
      </c>
      <c r="K93" s="58">
        <v>6411</v>
      </c>
      <c r="L93" s="58">
        <v>1674</v>
      </c>
      <c r="M93" s="58">
        <v>4327</v>
      </c>
      <c r="N93" s="58">
        <v>3850</v>
      </c>
      <c r="O93" s="58">
        <v>3643</v>
      </c>
      <c r="P93" s="58">
        <v>2388</v>
      </c>
      <c r="Q93" s="58">
        <v>4529</v>
      </c>
      <c r="R93" s="59">
        <v>5812</v>
      </c>
      <c r="S93" s="58">
        <v>888</v>
      </c>
      <c r="T93" s="58">
        <v>3007</v>
      </c>
      <c r="U93" s="58">
        <v>3730</v>
      </c>
      <c r="V93" s="58">
        <v>5758</v>
      </c>
      <c r="W93" s="60">
        <v>8669</v>
      </c>
      <c r="X93" s="22">
        <v>4.545788352794311E-2</v>
      </c>
      <c r="Y93" s="22">
        <v>-5.6125316100028133E-2</v>
      </c>
      <c r="Z93" s="22">
        <v>-4.0187541862022336E-3</v>
      </c>
      <c r="AA93" s="22">
        <v>0.58140925054173209</v>
      </c>
    </row>
    <row r="94" spans="1:27" ht="15" x14ac:dyDescent="0.25">
      <c r="A94" s="4">
        <v>260129</v>
      </c>
      <c r="B94" s="29">
        <v>6702</v>
      </c>
      <c r="C94" s="19" t="s">
        <v>67</v>
      </c>
      <c r="D94" s="46" t="s">
        <v>775</v>
      </c>
      <c r="E94" s="19" t="s">
        <v>25</v>
      </c>
      <c r="F94" s="108">
        <v>21.112507820616582</v>
      </c>
      <c r="G94" s="58">
        <v>65185</v>
      </c>
      <c r="H94" s="58">
        <v>113339</v>
      </c>
      <c r="I94" s="58">
        <v>25602</v>
      </c>
      <c r="J94" s="58">
        <v>75367</v>
      </c>
      <c r="K94" s="58">
        <v>72316</v>
      </c>
      <c r="L94" s="58">
        <v>105062</v>
      </c>
      <c r="M94" s="58">
        <v>-1665</v>
      </c>
      <c r="N94" s="58">
        <v>46445</v>
      </c>
      <c r="O94" s="58">
        <v>3309</v>
      </c>
      <c r="P94" s="59">
        <v>207286</v>
      </c>
      <c r="Q94" s="58">
        <v>21387</v>
      </c>
      <c r="R94" s="58">
        <v>35008</v>
      </c>
      <c r="S94" s="59">
        <v>68874</v>
      </c>
      <c r="T94" s="58">
        <v>0</v>
      </c>
      <c r="U94" s="58">
        <v>33486</v>
      </c>
      <c r="V94" s="59">
        <v>71859</v>
      </c>
      <c r="W94" s="60">
        <v>105656</v>
      </c>
      <c r="X94" s="22">
        <v>-0.62331343687510343</v>
      </c>
      <c r="Y94" s="22">
        <v>9.658415090724759E-2</v>
      </c>
      <c r="Z94" s="22">
        <v>0.26826480694193688</v>
      </c>
      <c r="AA94" s="22">
        <v>0.21112507820616577</v>
      </c>
    </row>
    <row r="95" spans="1:27" ht="15" x14ac:dyDescent="0.25">
      <c r="A95" s="4">
        <v>260129</v>
      </c>
      <c r="B95" s="29">
        <v>4519</v>
      </c>
      <c r="C95" s="19" t="s">
        <v>67</v>
      </c>
      <c r="D95" s="46" t="s">
        <v>751</v>
      </c>
      <c r="E95" s="19" t="s">
        <v>25</v>
      </c>
      <c r="F95" s="47">
        <v>8.2434516030490244</v>
      </c>
      <c r="G95" s="58">
        <v>139062</v>
      </c>
      <c r="H95" s="58">
        <v>187007</v>
      </c>
      <c r="I95" s="58">
        <v>99939</v>
      </c>
      <c r="J95" s="58">
        <v>96887</v>
      </c>
      <c r="K95" s="58">
        <v>149475</v>
      </c>
      <c r="L95" s="58">
        <v>98296</v>
      </c>
      <c r="M95" s="58">
        <v>112614</v>
      </c>
      <c r="N95" s="58">
        <v>106686</v>
      </c>
      <c r="O95" s="58">
        <v>121576</v>
      </c>
      <c r="P95" s="58">
        <v>99873</v>
      </c>
      <c r="Q95" s="59">
        <v>158321</v>
      </c>
      <c r="R95" s="59">
        <v>160406</v>
      </c>
      <c r="S95" s="58">
        <v>123401</v>
      </c>
      <c r="T95" s="58">
        <v>136650</v>
      </c>
      <c r="U95" s="58">
        <v>136691</v>
      </c>
      <c r="V95" s="58">
        <v>156485</v>
      </c>
      <c r="W95" s="61">
        <v>169006</v>
      </c>
      <c r="X95" s="22">
        <v>6.7854118350335169E-2</v>
      </c>
      <c r="Y95" s="22">
        <v>-3.7371842053429805E-2</v>
      </c>
      <c r="Z95" s="22">
        <v>-7.0376273449783699E-3</v>
      </c>
      <c r="AA95" s="22">
        <v>8.2434516030490235E-2</v>
      </c>
    </row>
    <row r="96" spans="1:27" ht="15" x14ac:dyDescent="0.25">
      <c r="A96" s="4">
        <v>260129</v>
      </c>
      <c r="B96" s="29">
        <v>7380</v>
      </c>
      <c r="C96" s="19" t="s">
        <v>67</v>
      </c>
      <c r="D96" s="46" t="s">
        <v>753</v>
      </c>
      <c r="E96" s="19" t="s">
        <v>25</v>
      </c>
      <c r="F96" s="47">
        <v>6.0038191410169306</v>
      </c>
      <c r="G96" s="58">
        <v>7798</v>
      </c>
      <c r="H96" s="58">
        <v>3765</v>
      </c>
      <c r="I96" s="58">
        <v>8429</v>
      </c>
      <c r="J96" s="58">
        <v>7078</v>
      </c>
      <c r="K96" s="58">
        <v>5716</v>
      </c>
      <c r="L96" s="58">
        <v>5772</v>
      </c>
      <c r="M96" s="58">
        <v>7490</v>
      </c>
      <c r="N96" s="58">
        <v>6522</v>
      </c>
      <c r="O96" s="58">
        <v>6921</v>
      </c>
      <c r="P96" s="58">
        <v>6867</v>
      </c>
      <c r="Q96" s="58">
        <v>8834</v>
      </c>
      <c r="R96" s="58">
        <v>6915</v>
      </c>
      <c r="S96" s="58">
        <v>7689</v>
      </c>
      <c r="T96" s="58">
        <v>7185</v>
      </c>
      <c r="U96" s="58">
        <v>8874</v>
      </c>
      <c r="V96" s="58">
        <v>7149</v>
      </c>
      <c r="W96" s="61">
        <v>9544</v>
      </c>
      <c r="X96" s="22">
        <v>1.0493317934334279E-2</v>
      </c>
      <c r="Y96" s="22">
        <v>1.3062077523429139E-3</v>
      </c>
      <c r="Z96" s="22">
        <v>7.631347226298768E-3</v>
      </c>
      <c r="AA96" s="22">
        <v>6.0038191410169306E-2</v>
      </c>
    </row>
    <row r="97" spans="1:27" ht="15" x14ac:dyDescent="0.25">
      <c r="A97" s="4">
        <v>260129</v>
      </c>
      <c r="B97" s="29">
        <v>7205</v>
      </c>
      <c r="C97" s="19" t="s">
        <v>67</v>
      </c>
      <c r="D97" s="46" t="s">
        <v>776</v>
      </c>
      <c r="E97" s="19" t="s">
        <v>25</v>
      </c>
      <c r="F97" s="47">
        <v>5.2065988498187998</v>
      </c>
      <c r="G97" s="58">
        <v>18021</v>
      </c>
      <c r="H97" s="58">
        <v>-16022</v>
      </c>
      <c r="I97" s="58">
        <v>4317</v>
      </c>
      <c r="J97" s="58">
        <v>12299</v>
      </c>
      <c r="K97" s="58">
        <v>9020</v>
      </c>
      <c r="L97" s="59">
        <v>-8229</v>
      </c>
      <c r="M97" s="58">
        <v>1135</v>
      </c>
      <c r="N97" s="58">
        <v>5632</v>
      </c>
      <c r="O97" s="58">
        <v>-2098</v>
      </c>
      <c r="P97" s="59">
        <v>-12772</v>
      </c>
      <c r="Q97" s="58">
        <v>6384</v>
      </c>
      <c r="R97" s="58">
        <v>17713</v>
      </c>
      <c r="S97" s="59">
        <v>20972</v>
      </c>
      <c r="T97" s="59">
        <v>12422</v>
      </c>
      <c r="U97" s="59">
        <v>16946</v>
      </c>
      <c r="V97" s="58">
        <v>21127</v>
      </c>
      <c r="W97" s="61">
        <v>24693</v>
      </c>
      <c r="X97" s="22">
        <v>0.78007245254977242</v>
      </c>
      <c r="Y97" s="22">
        <v>0.18371571202449077</v>
      </c>
      <c r="Z97" s="22">
        <v>5.01667817730298E-2</v>
      </c>
      <c r="AA97" s="22">
        <v>5.2065988498187998E-2</v>
      </c>
    </row>
    <row r="98" spans="1:27" ht="15" x14ac:dyDescent="0.25">
      <c r="A98" s="4">
        <v>260129</v>
      </c>
      <c r="B98" s="29">
        <v>4373</v>
      </c>
      <c r="C98" s="19" t="s">
        <v>67</v>
      </c>
      <c r="D98" s="46" t="s">
        <v>750</v>
      </c>
      <c r="E98" s="19" t="s">
        <v>25</v>
      </c>
      <c r="F98" s="47">
        <v>4.7802236945216237</v>
      </c>
      <c r="G98" s="58">
        <v>1602</v>
      </c>
      <c r="H98" s="58">
        <v>1140</v>
      </c>
      <c r="I98" s="58">
        <v>1340</v>
      </c>
      <c r="J98" s="58">
        <v>2010</v>
      </c>
      <c r="K98" s="58">
        <v>2017</v>
      </c>
      <c r="L98" s="59">
        <v>1971</v>
      </c>
      <c r="M98" s="58">
        <v>1707</v>
      </c>
      <c r="N98" s="58">
        <v>2292</v>
      </c>
      <c r="O98" s="58">
        <v>2386</v>
      </c>
      <c r="P98" s="58">
        <v>2516</v>
      </c>
      <c r="Q98" s="58">
        <v>1625</v>
      </c>
      <c r="R98" s="58">
        <v>2292</v>
      </c>
      <c r="S98" s="58">
        <v>3090</v>
      </c>
      <c r="T98" s="59">
        <v>3892</v>
      </c>
      <c r="U98" s="59">
        <v>3213</v>
      </c>
      <c r="V98" s="59">
        <v>3842</v>
      </c>
      <c r="W98" s="61">
        <v>3761</v>
      </c>
      <c r="X98" s="22">
        <v>0.14449228184395668</v>
      </c>
      <c r="Y98" s="22">
        <v>0.14570144049912837</v>
      </c>
      <c r="Z98" s="22">
        <v>0.12412909425802843</v>
      </c>
      <c r="AA98" s="22">
        <v>4.7802236945216237E-2</v>
      </c>
    </row>
    <row r="99" spans="1:27" ht="15" x14ac:dyDescent="0.25">
      <c r="A99" s="4">
        <v>260129</v>
      </c>
      <c r="B99" s="29">
        <v>9044</v>
      </c>
      <c r="C99" s="19" t="s">
        <v>67</v>
      </c>
      <c r="D99" s="46" t="s">
        <v>755</v>
      </c>
      <c r="E99" s="19" t="s">
        <v>25</v>
      </c>
      <c r="F99" s="47">
        <v>4.0385473833469021</v>
      </c>
      <c r="G99" s="58">
        <v>6065</v>
      </c>
      <c r="H99" s="58">
        <v>2328</v>
      </c>
      <c r="I99" s="58">
        <v>4798</v>
      </c>
      <c r="J99" s="58">
        <v>4649</v>
      </c>
      <c r="K99" s="58">
        <v>6442</v>
      </c>
      <c r="L99" s="59">
        <v>5135</v>
      </c>
      <c r="M99" s="58">
        <v>6828</v>
      </c>
      <c r="N99" s="59">
        <v>7411</v>
      </c>
      <c r="O99" s="59">
        <v>12522</v>
      </c>
      <c r="P99" s="58">
        <v>4060</v>
      </c>
      <c r="Q99" s="58">
        <v>9877</v>
      </c>
      <c r="R99" s="58">
        <v>8380</v>
      </c>
      <c r="S99" s="58">
        <v>10950</v>
      </c>
      <c r="T99" s="58">
        <v>5449</v>
      </c>
      <c r="U99" s="58">
        <v>11296</v>
      </c>
      <c r="V99" s="58">
        <v>10388</v>
      </c>
      <c r="W99" s="61">
        <v>12488</v>
      </c>
      <c r="X99" s="22">
        <v>4.1753088646406367E-2</v>
      </c>
      <c r="Y99" s="22">
        <v>4.094529085872578E-2</v>
      </c>
      <c r="Z99" s="22">
        <v>5.5661815661815606E-2</v>
      </c>
      <c r="AA99" s="22">
        <v>4.0385473833469021E-2</v>
      </c>
    </row>
    <row r="100" spans="1:27" ht="15" x14ac:dyDescent="0.25">
      <c r="A100" s="4">
        <v>260129</v>
      </c>
      <c r="B100" s="29">
        <v>6754</v>
      </c>
      <c r="C100" s="19" t="s">
        <v>67</v>
      </c>
      <c r="D100" s="46" t="s">
        <v>757</v>
      </c>
      <c r="E100" s="19" t="s">
        <v>25</v>
      </c>
      <c r="F100" s="47">
        <v>3.9750815781667059</v>
      </c>
      <c r="G100" s="58">
        <v>3459</v>
      </c>
      <c r="H100" s="58">
        <v>5891</v>
      </c>
      <c r="I100" s="58">
        <v>3019</v>
      </c>
      <c r="J100" s="58">
        <v>2397</v>
      </c>
      <c r="K100" s="58">
        <v>2586</v>
      </c>
      <c r="L100" s="58">
        <v>3701</v>
      </c>
      <c r="M100" s="58">
        <v>-57</v>
      </c>
      <c r="N100" s="58">
        <v>2994</v>
      </c>
      <c r="O100" s="58">
        <v>2227</v>
      </c>
      <c r="P100" s="58">
        <v>4337</v>
      </c>
      <c r="Q100" s="58">
        <v>624</v>
      </c>
      <c r="R100" s="58">
        <v>2954</v>
      </c>
      <c r="S100" s="58">
        <v>2842</v>
      </c>
      <c r="T100" s="59">
        <v>5607</v>
      </c>
      <c r="U100" s="58">
        <v>1341</v>
      </c>
      <c r="V100" s="58">
        <v>3694</v>
      </c>
      <c r="W100" s="61">
        <v>3378</v>
      </c>
      <c r="X100" s="22">
        <v>0.11806265687459327</v>
      </c>
      <c r="Y100" s="22">
        <v>5.9615864305313071E-2</v>
      </c>
      <c r="Z100" s="22">
        <v>5.8066541117388626E-2</v>
      </c>
      <c r="AA100" s="22">
        <v>3.9750815781667059E-2</v>
      </c>
    </row>
    <row r="101" spans="1:27" ht="15" x14ac:dyDescent="0.25">
      <c r="A101" s="4">
        <v>260129</v>
      </c>
      <c r="B101" s="29">
        <v>1944</v>
      </c>
      <c r="C101" s="19" t="s">
        <v>67</v>
      </c>
      <c r="D101" s="46" t="s">
        <v>758</v>
      </c>
      <c r="E101" s="19" t="s">
        <v>25</v>
      </c>
      <c r="F101" s="47">
        <v>2.799064894800662</v>
      </c>
      <c r="G101" s="58">
        <v>8303</v>
      </c>
      <c r="H101" s="58">
        <v>17228</v>
      </c>
      <c r="I101" s="58">
        <v>354</v>
      </c>
      <c r="J101" s="58">
        <v>6246</v>
      </c>
      <c r="K101" s="58">
        <v>6968</v>
      </c>
      <c r="L101" s="59">
        <v>23863</v>
      </c>
      <c r="M101" s="58">
        <v>869</v>
      </c>
      <c r="N101" s="58">
        <v>8267</v>
      </c>
      <c r="O101" s="59">
        <v>11485</v>
      </c>
      <c r="P101" s="58">
        <v>22057</v>
      </c>
      <c r="Q101" s="58">
        <v>1964</v>
      </c>
      <c r="R101" s="58">
        <v>10913</v>
      </c>
      <c r="S101" s="59">
        <v>17831</v>
      </c>
      <c r="T101" s="59">
        <v>30272</v>
      </c>
      <c r="U101" s="58">
        <v>7245</v>
      </c>
      <c r="V101" s="59">
        <v>24643</v>
      </c>
      <c r="W101" s="61">
        <v>20070</v>
      </c>
      <c r="X101" s="22">
        <v>0.15569032502605884</v>
      </c>
      <c r="Y101" s="22">
        <v>8.6602164644145718E-2</v>
      </c>
      <c r="Z101" s="22">
        <v>0.20721087819380934</v>
      </c>
      <c r="AA101" s="22">
        <v>2.7990648948006625E-2</v>
      </c>
    </row>
    <row r="102" spans="1:27" ht="15" x14ac:dyDescent="0.25">
      <c r="A102" s="4">
        <v>260129</v>
      </c>
      <c r="B102" s="29">
        <v>6504</v>
      </c>
      <c r="C102" s="19" t="s">
        <v>67</v>
      </c>
      <c r="D102" s="46" t="s">
        <v>759</v>
      </c>
      <c r="E102" s="19" t="s">
        <v>25</v>
      </c>
      <c r="F102" s="47">
        <v>2.3697198736372771</v>
      </c>
      <c r="G102" s="58">
        <v>16368</v>
      </c>
      <c r="H102" s="58">
        <v>41580</v>
      </c>
      <c r="I102" s="58">
        <v>9873</v>
      </c>
      <c r="J102" s="58">
        <v>16847</v>
      </c>
      <c r="K102" s="58">
        <v>15716</v>
      </c>
      <c r="L102" s="58">
        <v>45979</v>
      </c>
      <c r="M102" s="58">
        <v>14664</v>
      </c>
      <c r="N102" s="58">
        <v>20331</v>
      </c>
      <c r="O102" s="58">
        <v>22663</v>
      </c>
      <c r="P102" s="58">
        <v>48012</v>
      </c>
      <c r="Q102" s="58">
        <v>17254</v>
      </c>
      <c r="R102" s="58">
        <v>23083</v>
      </c>
      <c r="S102" s="58">
        <v>28095</v>
      </c>
      <c r="T102" s="58">
        <v>49115</v>
      </c>
      <c r="U102" s="58">
        <v>17777</v>
      </c>
      <c r="V102" s="58">
        <v>24352</v>
      </c>
      <c r="W102" s="61">
        <v>30923</v>
      </c>
      <c r="X102" s="22">
        <v>9.4723643983374295E-3</v>
      </c>
      <c r="Y102" s="22">
        <v>4.4492841161407615E-3</v>
      </c>
      <c r="Z102" s="22">
        <v>1.0747861438130002E-2</v>
      </c>
      <c r="AA102" s="22">
        <v>2.3697198736372771E-2</v>
      </c>
    </row>
    <row r="103" spans="1:27" ht="15" x14ac:dyDescent="0.25">
      <c r="A103" s="4">
        <v>260129</v>
      </c>
      <c r="B103" s="29">
        <v>4307</v>
      </c>
      <c r="C103" s="19" t="s">
        <v>67</v>
      </c>
      <c r="D103" s="46" t="s">
        <v>756</v>
      </c>
      <c r="E103" s="19" t="s">
        <v>25</v>
      </c>
      <c r="F103" s="47">
        <v>2.3444311246730631</v>
      </c>
      <c r="G103" s="58">
        <v>27290</v>
      </c>
      <c r="H103" s="58">
        <v>21453</v>
      </c>
      <c r="I103" s="58">
        <v>27992</v>
      </c>
      <c r="J103" s="58">
        <v>27139</v>
      </c>
      <c r="K103" s="58">
        <v>28403</v>
      </c>
      <c r="L103" s="58">
        <v>26044</v>
      </c>
      <c r="M103" s="58">
        <v>26880</v>
      </c>
      <c r="N103" s="58">
        <v>31696</v>
      </c>
      <c r="O103" s="58">
        <v>32043</v>
      </c>
      <c r="P103" s="58">
        <v>28318</v>
      </c>
      <c r="Q103" s="58">
        <v>32491</v>
      </c>
      <c r="R103" s="58">
        <v>32815</v>
      </c>
      <c r="S103" s="58">
        <v>36288</v>
      </c>
      <c r="T103" s="58">
        <v>32235</v>
      </c>
      <c r="U103" s="58">
        <v>36962</v>
      </c>
      <c r="V103" s="58">
        <v>41331</v>
      </c>
      <c r="W103" s="61">
        <v>39730</v>
      </c>
      <c r="X103" s="22">
        <v>3.0151179259806593E-2</v>
      </c>
      <c r="Y103" s="22">
        <v>3.340830462754707E-2</v>
      </c>
      <c r="Z103" s="22">
        <v>6.1576283441793223E-2</v>
      </c>
      <c r="AA103" s="22">
        <v>2.3444311246730631E-2</v>
      </c>
    </row>
    <row r="104" spans="1:27" ht="15" x14ac:dyDescent="0.25">
      <c r="A104" s="4">
        <v>260129</v>
      </c>
      <c r="B104" s="29">
        <v>4290</v>
      </c>
      <c r="C104" s="19" t="s">
        <v>67</v>
      </c>
      <c r="D104" s="46" t="s">
        <v>754</v>
      </c>
      <c r="E104" s="19" t="s">
        <v>25</v>
      </c>
      <c r="F104" s="47">
        <v>2.0774315391879128</v>
      </c>
      <c r="G104" s="58">
        <v>1860</v>
      </c>
      <c r="H104" s="58">
        <v>1918</v>
      </c>
      <c r="I104" s="58">
        <v>1886</v>
      </c>
      <c r="J104" s="58">
        <v>1953</v>
      </c>
      <c r="K104" s="58">
        <v>2202</v>
      </c>
      <c r="L104" s="58">
        <v>1788</v>
      </c>
      <c r="M104" s="58">
        <v>1890</v>
      </c>
      <c r="N104" s="58">
        <v>1968</v>
      </c>
      <c r="O104" s="58">
        <v>1996</v>
      </c>
      <c r="P104" s="58">
        <v>2067</v>
      </c>
      <c r="Q104" s="58">
        <v>1730</v>
      </c>
      <c r="R104" s="58">
        <v>2000</v>
      </c>
      <c r="S104" s="58">
        <v>2249</v>
      </c>
      <c r="T104" s="58">
        <v>1967</v>
      </c>
      <c r="U104" s="58">
        <v>1935</v>
      </c>
      <c r="V104" s="58">
        <v>2321</v>
      </c>
      <c r="W104" s="61">
        <v>2425</v>
      </c>
      <c r="X104" s="22">
        <v>-1.2428535918468819E-2</v>
      </c>
      <c r="Y104" s="22">
        <v>2.5799144223508597E-2</v>
      </c>
      <c r="Z104" s="22">
        <v>3.9381670960618287E-2</v>
      </c>
      <c r="AA104" s="22">
        <v>2.0774315391879128E-2</v>
      </c>
    </row>
    <row r="105" spans="1:27" ht="15" x14ac:dyDescent="0.25">
      <c r="A105" s="4">
        <v>260129</v>
      </c>
      <c r="B105" s="29">
        <v>6861</v>
      </c>
      <c r="C105" s="19" t="s">
        <v>67</v>
      </c>
      <c r="D105" s="46" t="s">
        <v>752</v>
      </c>
      <c r="E105" s="19" t="s">
        <v>802</v>
      </c>
      <c r="F105" s="47">
        <v>1.9950142565023481</v>
      </c>
      <c r="G105" s="58">
        <v>110316</v>
      </c>
      <c r="H105" s="58">
        <v>110316</v>
      </c>
      <c r="I105" s="58">
        <v>102814</v>
      </c>
      <c r="J105" s="58">
        <v>138670</v>
      </c>
      <c r="K105" s="58">
        <v>127548</v>
      </c>
      <c r="L105" s="58">
        <v>129884</v>
      </c>
      <c r="M105" s="58">
        <v>111277</v>
      </c>
      <c r="N105" s="58">
        <v>126389</v>
      </c>
      <c r="O105" s="58">
        <v>121850</v>
      </c>
      <c r="P105" s="58">
        <v>135500</v>
      </c>
      <c r="Q105" s="58">
        <v>123406</v>
      </c>
      <c r="R105" s="58">
        <v>140559</v>
      </c>
      <c r="S105" s="58">
        <v>133070</v>
      </c>
      <c r="T105" s="58">
        <v>152741</v>
      </c>
      <c r="U105" s="58">
        <v>129301</v>
      </c>
      <c r="V105" s="58">
        <v>142879</v>
      </c>
      <c r="W105" s="61">
        <v>144202</v>
      </c>
      <c r="X105" s="22">
        <v>3.2375336832320967E-2</v>
      </c>
      <c r="Y105" s="22">
        <v>1.0722548819882993E-2</v>
      </c>
      <c r="Z105" s="22">
        <v>4.1751324074856822E-3</v>
      </c>
      <c r="AA105" s="22">
        <v>1.9950142565023476E-2</v>
      </c>
    </row>
    <row r="106" spans="1:27" ht="15" x14ac:dyDescent="0.25">
      <c r="A106" s="4">
        <v>260129</v>
      </c>
      <c r="B106" s="29">
        <v>5333</v>
      </c>
      <c r="C106" s="19" t="s">
        <v>67</v>
      </c>
      <c r="D106" s="46" t="s">
        <v>765</v>
      </c>
      <c r="E106" s="19" t="s">
        <v>25</v>
      </c>
      <c r="F106" s="47">
        <v>1.8359646955779629</v>
      </c>
      <c r="G106" s="58">
        <v>18618</v>
      </c>
      <c r="H106" s="58">
        <v>18984</v>
      </c>
      <c r="I106" s="58">
        <v>20635</v>
      </c>
      <c r="J106" s="58">
        <v>18174</v>
      </c>
      <c r="K106" s="58">
        <v>18781</v>
      </c>
      <c r="L106" s="58">
        <v>8433</v>
      </c>
      <c r="M106" s="58">
        <v>18561</v>
      </c>
      <c r="N106" s="58">
        <v>13925</v>
      </c>
      <c r="O106" s="58">
        <v>17832</v>
      </c>
      <c r="P106" s="59">
        <v>15297</v>
      </c>
      <c r="Q106" s="58">
        <v>17658</v>
      </c>
      <c r="R106" s="59">
        <v>22043</v>
      </c>
      <c r="S106" s="58">
        <v>22712</v>
      </c>
      <c r="T106" s="58">
        <v>17641</v>
      </c>
      <c r="U106" s="58">
        <v>23783</v>
      </c>
      <c r="V106" s="58">
        <v>24918</v>
      </c>
      <c r="W106" s="61">
        <v>24347</v>
      </c>
      <c r="X106" s="22">
        <v>3.0163428130227876E-2</v>
      </c>
      <c r="Y106" s="22">
        <v>7.6510855172758463E-2</v>
      </c>
      <c r="Z106" s="22">
        <v>3.336079555344118E-2</v>
      </c>
      <c r="AA106" s="22">
        <v>1.8359646955779629E-2</v>
      </c>
    </row>
    <row r="107" spans="1:27" ht="15" x14ac:dyDescent="0.25">
      <c r="A107" s="4">
        <v>260129</v>
      </c>
      <c r="B107" s="29">
        <v>9766</v>
      </c>
      <c r="C107" s="19" t="s">
        <v>67</v>
      </c>
      <c r="D107" s="46" t="s">
        <v>767</v>
      </c>
      <c r="E107" s="19" t="s">
        <v>25</v>
      </c>
      <c r="F107" s="47">
        <v>1.3226349165264659</v>
      </c>
      <c r="G107" s="58">
        <v>21201</v>
      </c>
      <c r="H107" s="58">
        <v>14124</v>
      </c>
      <c r="I107" s="58">
        <v>14040</v>
      </c>
      <c r="J107" s="58">
        <v>11356</v>
      </c>
      <c r="K107" s="58">
        <v>12127</v>
      </c>
      <c r="L107" s="58">
        <v>8662</v>
      </c>
      <c r="M107" s="58">
        <v>17151</v>
      </c>
      <c r="N107" s="59">
        <v>18292</v>
      </c>
      <c r="O107" s="59">
        <v>24165</v>
      </c>
      <c r="P107" s="59">
        <v>20654</v>
      </c>
      <c r="Q107" s="58">
        <v>25149</v>
      </c>
      <c r="R107" s="58">
        <v>24695</v>
      </c>
      <c r="S107" s="59">
        <v>36920</v>
      </c>
      <c r="T107" s="58">
        <v>14717</v>
      </c>
      <c r="U107" s="58">
        <v>27732</v>
      </c>
      <c r="V107" s="59">
        <v>36536</v>
      </c>
      <c r="W107" s="61">
        <v>38453</v>
      </c>
      <c r="X107" s="22">
        <v>-5.5270066469306767E-2</v>
      </c>
      <c r="Y107" s="22">
        <v>2.5453040470629906E-2</v>
      </c>
      <c r="Z107" s="22">
        <v>0.11378574723247237</v>
      </c>
      <c r="AA107" s="22">
        <v>1.3226349165264661E-2</v>
      </c>
    </row>
    <row r="108" spans="1:27" ht="15" x14ac:dyDescent="0.25">
      <c r="A108" s="4">
        <v>260129</v>
      </c>
      <c r="B108" s="29">
        <v>6345</v>
      </c>
      <c r="C108" s="19" t="s">
        <v>67</v>
      </c>
      <c r="D108" s="46" t="s">
        <v>381</v>
      </c>
      <c r="E108" s="19" t="s">
        <v>25</v>
      </c>
      <c r="F108" s="47">
        <v>0.94702676642015593</v>
      </c>
      <c r="G108" s="58">
        <v>1582</v>
      </c>
      <c r="H108" s="58">
        <v>2678</v>
      </c>
      <c r="I108" s="58">
        <v>702</v>
      </c>
      <c r="J108" s="58">
        <v>1752</v>
      </c>
      <c r="K108" s="58">
        <v>1128</v>
      </c>
      <c r="L108" s="59">
        <v>3769</v>
      </c>
      <c r="M108" s="58">
        <v>729</v>
      </c>
      <c r="N108" s="58">
        <v>1814</v>
      </c>
      <c r="O108" s="58">
        <v>1566</v>
      </c>
      <c r="P108" s="58">
        <v>2233</v>
      </c>
      <c r="Q108" s="58">
        <v>985.04</v>
      </c>
      <c r="R108" s="58">
        <v>1773</v>
      </c>
      <c r="S108" s="58">
        <v>1506</v>
      </c>
      <c r="T108" s="59">
        <v>3176</v>
      </c>
      <c r="U108" s="58">
        <v>295.18</v>
      </c>
      <c r="V108" s="58">
        <v>1992</v>
      </c>
      <c r="W108" s="61">
        <v>1572</v>
      </c>
      <c r="X108" s="22">
        <v>0.14514301897479465</v>
      </c>
      <c r="Y108" s="22">
        <v>-9.2722619770861381E-2</v>
      </c>
      <c r="Z108" s="22">
        <v>3.2443579282330326E-2</v>
      </c>
      <c r="AA108" s="22">
        <v>9.4702676642015593E-3</v>
      </c>
    </row>
    <row r="109" spans="1:27" ht="15" x14ac:dyDescent="0.25">
      <c r="A109" s="4">
        <v>260129</v>
      </c>
      <c r="B109" s="29">
        <v>9436</v>
      </c>
      <c r="C109" s="19" t="s">
        <v>67</v>
      </c>
      <c r="D109" s="46" t="s">
        <v>760</v>
      </c>
      <c r="E109" s="19" t="s">
        <v>25</v>
      </c>
      <c r="F109" s="47">
        <v>0.9224687019547595</v>
      </c>
      <c r="G109" s="58">
        <v>4221</v>
      </c>
      <c r="H109" s="58">
        <v>1580</v>
      </c>
      <c r="I109" s="58">
        <v>4595</v>
      </c>
      <c r="J109" s="58">
        <v>4191</v>
      </c>
      <c r="K109" s="58">
        <v>4252</v>
      </c>
      <c r="L109" s="58">
        <v>2894</v>
      </c>
      <c r="M109" s="58">
        <v>4523</v>
      </c>
      <c r="N109" s="58">
        <v>4762</v>
      </c>
      <c r="O109" s="58">
        <v>4388</v>
      </c>
      <c r="P109" s="58">
        <v>3341</v>
      </c>
      <c r="Q109" s="58">
        <v>4371</v>
      </c>
      <c r="R109" s="58">
        <v>4530</v>
      </c>
      <c r="S109" s="58">
        <v>4832</v>
      </c>
      <c r="T109" s="58">
        <v>4029</v>
      </c>
      <c r="U109" s="58">
        <v>4644</v>
      </c>
      <c r="V109" s="58">
        <v>4707</v>
      </c>
      <c r="W109" s="61">
        <v>5000</v>
      </c>
      <c r="X109" s="22">
        <v>4.0295185662410749E-2</v>
      </c>
      <c r="Y109" s="22">
        <v>1.5369890778065498E-2</v>
      </c>
      <c r="Z109" s="22">
        <v>9.8142500693096935E-3</v>
      </c>
      <c r="AA109" s="22">
        <v>9.224687019547595E-3</v>
      </c>
    </row>
    <row r="110" spans="1:27" ht="15" x14ac:dyDescent="0.25">
      <c r="A110" s="4">
        <v>260129</v>
      </c>
      <c r="B110" s="29">
        <v>4661</v>
      </c>
      <c r="C110" s="19" t="s">
        <v>67</v>
      </c>
      <c r="D110" s="46" t="s">
        <v>764</v>
      </c>
      <c r="E110" s="19" t="s">
        <v>25</v>
      </c>
      <c r="F110" s="47">
        <v>0.77389419494682254</v>
      </c>
      <c r="G110" s="58">
        <v>17504</v>
      </c>
      <c r="H110" s="58">
        <v>9241</v>
      </c>
      <c r="I110" s="58">
        <v>17064</v>
      </c>
      <c r="J110" s="58">
        <v>20930</v>
      </c>
      <c r="K110" s="59">
        <v>47659</v>
      </c>
      <c r="L110" s="59">
        <v>25548</v>
      </c>
      <c r="M110" s="59">
        <v>38680</v>
      </c>
      <c r="N110" s="59">
        <v>38392</v>
      </c>
      <c r="O110" s="59">
        <v>64596</v>
      </c>
      <c r="P110" s="58">
        <v>23770</v>
      </c>
      <c r="Q110" s="58">
        <v>33336</v>
      </c>
      <c r="R110" s="58">
        <v>29863</v>
      </c>
      <c r="S110" s="58">
        <v>71801</v>
      </c>
      <c r="T110" s="58">
        <v>37112</v>
      </c>
      <c r="U110" s="58">
        <v>38768</v>
      </c>
      <c r="V110" s="58">
        <v>29475</v>
      </c>
      <c r="W110" s="61">
        <v>73172</v>
      </c>
      <c r="X110" s="22">
        <v>8.4033507589595047E-2</v>
      </c>
      <c r="Y110" s="22">
        <v>3.1560844101515384E-2</v>
      </c>
      <c r="Z110" s="22">
        <v>-2.1853737665029627E-3</v>
      </c>
      <c r="AA110" s="22">
        <v>7.7389419494682254E-3</v>
      </c>
    </row>
    <row r="111" spans="1:27" ht="15" x14ac:dyDescent="0.25">
      <c r="A111" s="4">
        <v>260129</v>
      </c>
      <c r="B111" s="29">
        <v>8421</v>
      </c>
      <c r="C111" s="19" t="s">
        <v>67</v>
      </c>
      <c r="D111" s="46" t="s">
        <v>748</v>
      </c>
      <c r="E111" s="19" t="s">
        <v>25</v>
      </c>
      <c r="F111" s="47">
        <v>0.69731448883445513</v>
      </c>
      <c r="G111" s="58">
        <v>7196</v>
      </c>
      <c r="H111" s="58">
        <v>6492</v>
      </c>
      <c r="I111" s="58">
        <v>21451</v>
      </c>
      <c r="J111" s="58">
        <v>13675</v>
      </c>
      <c r="K111" s="58">
        <v>2905</v>
      </c>
      <c r="L111" s="58">
        <v>-2382</v>
      </c>
      <c r="M111" s="58">
        <v>12294</v>
      </c>
      <c r="N111" s="58">
        <v>10752</v>
      </c>
      <c r="O111" s="59">
        <v>7637</v>
      </c>
      <c r="P111" s="59">
        <v>13395</v>
      </c>
      <c r="Q111" s="59">
        <v>19155</v>
      </c>
      <c r="R111" s="58">
        <v>10241</v>
      </c>
      <c r="S111" s="59">
        <v>17080</v>
      </c>
      <c r="T111" s="58">
        <v>11830</v>
      </c>
      <c r="U111" s="58">
        <v>14535</v>
      </c>
      <c r="V111" s="58">
        <v>15352</v>
      </c>
      <c r="W111" s="61">
        <v>17490</v>
      </c>
      <c r="X111" s="22">
        <v>-2.6139533329992859E-2</v>
      </c>
      <c r="Y111" s="22">
        <v>-7.9237128254382005E-2</v>
      </c>
      <c r="Z111" s="22">
        <v>9.5201728569831889E-2</v>
      </c>
      <c r="AA111" s="22">
        <v>6.9731448883445513E-3</v>
      </c>
    </row>
    <row r="112" spans="1:27" ht="15" x14ac:dyDescent="0.25">
      <c r="A112" s="4">
        <v>260129</v>
      </c>
      <c r="B112" s="29">
        <v>7947</v>
      </c>
      <c r="C112" s="19" t="s">
        <v>67</v>
      </c>
      <c r="D112" s="46" t="s">
        <v>769</v>
      </c>
      <c r="E112" s="19" t="s">
        <v>25</v>
      </c>
      <c r="F112" s="47">
        <v>0.27235161532681568</v>
      </c>
      <c r="G112" s="58">
        <v>5417</v>
      </c>
      <c r="H112" s="58">
        <v>1900</v>
      </c>
      <c r="I112" s="58">
        <v>2765</v>
      </c>
      <c r="J112" s="58">
        <v>3309</v>
      </c>
      <c r="K112" s="59">
        <v>8100</v>
      </c>
      <c r="L112" s="58">
        <v>2511</v>
      </c>
      <c r="M112" s="58">
        <v>2981</v>
      </c>
      <c r="N112" s="58">
        <v>4001</v>
      </c>
      <c r="O112" s="58">
        <v>6544</v>
      </c>
      <c r="P112" s="58">
        <v>2885</v>
      </c>
      <c r="Q112" s="58">
        <v>2191</v>
      </c>
      <c r="R112" s="58">
        <v>4282</v>
      </c>
      <c r="S112" s="59">
        <v>8440</v>
      </c>
      <c r="T112" s="58">
        <v>3559</v>
      </c>
      <c r="U112" s="58">
        <v>3930</v>
      </c>
      <c r="V112" s="58">
        <v>5367</v>
      </c>
      <c r="W112" s="61">
        <v>8498</v>
      </c>
      <c r="X112" s="22">
        <v>3.7869423530733748E-2</v>
      </c>
      <c r="Y112" s="22">
        <v>9.4142485924642694E-2</v>
      </c>
      <c r="Z112" s="22">
        <v>5.3683637623076486E-2</v>
      </c>
      <c r="AA112" s="22">
        <v>2.7235161532681573E-3</v>
      </c>
    </row>
    <row r="113" spans="1:27" ht="15" x14ac:dyDescent="0.25">
      <c r="A113" s="4">
        <v>260129</v>
      </c>
      <c r="B113" s="29">
        <v>4502</v>
      </c>
      <c r="C113" s="19" t="s">
        <v>67</v>
      </c>
      <c r="D113" s="46" t="s">
        <v>762</v>
      </c>
      <c r="E113" s="19" t="s">
        <v>25</v>
      </c>
      <c r="F113" s="47">
        <v>-0.82319867328086715</v>
      </c>
      <c r="G113" s="58">
        <v>116485</v>
      </c>
      <c r="H113" s="58">
        <v>78497</v>
      </c>
      <c r="I113" s="58">
        <v>164754</v>
      </c>
      <c r="J113" s="58">
        <v>104437</v>
      </c>
      <c r="K113" s="58">
        <v>146990</v>
      </c>
      <c r="L113" s="59">
        <v>137283</v>
      </c>
      <c r="M113" s="58">
        <v>174771</v>
      </c>
      <c r="N113" s="58">
        <v>-143746</v>
      </c>
      <c r="O113" s="59">
        <v>312418</v>
      </c>
      <c r="P113" s="58">
        <v>156032</v>
      </c>
      <c r="Q113" s="58">
        <v>190528</v>
      </c>
      <c r="R113" s="59">
        <v>243338</v>
      </c>
      <c r="S113" s="58">
        <v>69879</v>
      </c>
      <c r="T113" s="58">
        <v>123018</v>
      </c>
      <c r="U113" s="58">
        <v>186865</v>
      </c>
      <c r="V113" s="58">
        <v>170166</v>
      </c>
      <c r="W113" s="61">
        <v>65352</v>
      </c>
      <c r="X113" s="22">
        <v>-5.0038118940187393E-2</v>
      </c>
      <c r="Y113" s="22">
        <v>-5.8443143580587664E-3</v>
      </c>
      <c r="Z113" s="22">
        <v>-0.11743219386936288</v>
      </c>
      <c r="AA113" s="22">
        <v>-8.2319867328086715E-3</v>
      </c>
    </row>
    <row r="114" spans="1:27" ht="15" x14ac:dyDescent="0.25">
      <c r="A114" s="4">
        <v>260129</v>
      </c>
      <c r="B114" s="29">
        <v>4204</v>
      </c>
      <c r="C114" s="19" t="s">
        <v>67</v>
      </c>
      <c r="D114" s="46" t="s">
        <v>768</v>
      </c>
      <c r="E114" s="19" t="s">
        <v>25</v>
      </c>
      <c r="F114" s="47">
        <v>-1.128232563027221</v>
      </c>
      <c r="G114" s="58">
        <v>21934</v>
      </c>
      <c r="H114" s="58">
        <v>31425</v>
      </c>
      <c r="I114" s="58">
        <v>13845</v>
      </c>
      <c r="J114" s="58">
        <v>26500</v>
      </c>
      <c r="K114" s="58">
        <v>22122</v>
      </c>
      <c r="L114" s="58">
        <v>29199</v>
      </c>
      <c r="M114" s="58">
        <v>15287</v>
      </c>
      <c r="N114" s="58">
        <v>25868</v>
      </c>
      <c r="O114" s="58">
        <v>24679</v>
      </c>
      <c r="P114" s="58">
        <v>28566</v>
      </c>
      <c r="Q114" s="58">
        <v>20198</v>
      </c>
      <c r="R114" s="58">
        <v>28525</v>
      </c>
      <c r="S114" s="58">
        <v>28637</v>
      </c>
      <c r="T114" s="58">
        <v>30592</v>
      </c>
      <c r="U114" s="58">
        <v>21220</v>
      </c>
      <c r="V114" s="58">
        <v>24228</v>
      </c>
      <c r="W114" s="61">
        <v>27456</v>
      </c>
      <c r="X114" s="22">
        <v>1.91265600513566E-2</v>
      </c>
      <c r="Y114" s="22">
        <v>9.4671705943383255E-3</v>
      </c>
      <c r="Z114" s="22">
        <v>-3.9431424009396698E-2</v>
      </c>
      <c r="AA114" s="22">
        <v>-1.1282325630272205E-2</v>
      </c>
    </row>
    <row r="115" spans="1:27" ht="15" x14ac:dyDescent="0.25">
      <c r="A115" s="4">
        <v>260129</v>
      </c>
      <c r="B115" s="29">
        <v>7751</v>
      </c>
      <c r="C115" s="19" t="s">
        <v>67</v>
      </c>
      <c r="D115" s="46" t="s">
        <v>763</v>
      </c>
      <c r="E115" s="19" t="s">
        <v>25</v>
      </c>
      <c r="F115" s="47">
        <v>-1.756936923720809</v>
      </c>
      <c r="G115" s="58">
        <v>81021</v>
      </c>
      <c r="H115" s="58">
        <v>81992</v>
      </c>
      <c r="I115" s="58">
        <v>105220</v>
      </c>
      <c r="J115" s="58">
        <v>87498</v>
      </c>
      <c r="K115" s="58">
        <v>104630</v>
      </c>
      <c r="L115" s="58">
        <v>87441</v>
      </c>
      <c r="M115" s="58">
        <v>95176</v>
      </c>
      <c r="N115" s="58">
        <v>85592</v>
      </c>
      <c r="O115" s="58">
        <v>118258</v>
      </c>
      <c r="P115" s="58">
        <v>80083</v>
      </c>
      <c r="Q115" s="58">
        <v>118391</v>
      </c>
      <c r="R115" s="58">
        <v>98164</v>
      </c>
      <c r="S115" s="59">
        <v>161179</v>
      </c>
      <c r="T115" s="58">
        <v>96517</v>
      </c>
      <c r="U115" s="58">
        <v>117791</v>
      </c>
      <c r="V115" s="58">
        <v>88047</v>
      </c>
      <c r="W115" s="61">
        <v>153035</v>
      </c>
      <c r="X115" s="22">
        <v>3.5896438970156153E-2</v>
      </c>
      <c r="Y115" s="22">
        <v>-1.2651528410061452E-3</v>
      </c>
      <c r="Z115" s="22">
        <v>-2.1359608657006923E-2</v>
      </c>
      <c r="AA115" s="22">
        <v>-1.7569369237208088E-2</v>
      </c>
    </row>
    <row r="116" spans="1:27" ht="15" x14ac:dyDescent="0.25">
      <c r="A116" s="4">
        <v>260129</v>
      </c>
      <c r="B116" s="29">
        <v>9505</v>
      </c>
      <c r="C116" s="19" t="s">
        <v>67</v>
      </c>
      <c r="D116" s="46" t="s">
        <v>777</v>
      </c>
      <c r="E116" s="19" t="s">
        <v>25</v>
      </c>
      <c r="F116" s="47">
        <v>-2.453439756746489</v>
      </c>
      <c r="G116" s="58">
        <v>-15423</v>
      </c>
      <c r="H116" s="58">
        <v>-12461</v>
      </c>
      <c r="I116" s="58">
        <v>-12214</v>
      </c>
      <c r="J116" s="58">
        <v>-24969</v>
      </c>
      <c r="K116" s="59">
        <v>-30068</v>
      </c>
      <c r="L116" s="58">
        <v>-6540</v>
      </c>
      <c r="M116" s="58">
        <v>41859</v>
      </c>
      <c r="N116" s="58">
        <v>33154</v>
      </c>
      <c r="O116" s="59">
        <v>15497</v>
      </c>
      <c r="P116" s="59">
        <v>24401</v>
      </c>
      <c r="Q116" s="58">
        <v>35993</v>
      </c>
      <c r="R116" s="58">
        <v>26347</v>
      </c>
      <c r="S116" s="58">
        <v>16121</v>
      </c>
      <c r="T116" s="58">
        <v>22573</v>
      </c>
      <c r="U116" s="58">
        <v>36273</v>
      </c>
      <c r="V116" s="58">
        <v>30273</v>
      </c>
      <c r="W116" s="61">
        <v>13539</v>
      </c>
      <c r="X116" s="22">
        <v>-1.7771383018024167E-2</v>
      </c>
      <c r="Y116" s="22">
        <v>2.7713442999386384E-3</v>
      </c>
      <c r="Z116" s="22">
        <v>3.8750814300096748E-2</v>
      </c>
      <c r="AA116" s="22">
        <v>-2.4534397567464894E-2</v>
      </c>
    </row>
    <row r="117" spans="1:27" ht="15" x14ac:dyDescent="0.25">
      <c r="A117" s="4">
        <v>260129</v>
      </c>
      <c r="B117" s="29">
        <v>6701</v>
      </c>
      <c r="C117" s="19" t="s">
        <v>67</v>
      </c>
      <c r="D117" s="46" t="s">
        <v>766</v>
      </c>
      <c r="E117" s="19" t="s">
        <v>25</v>
      </c>
      <c r="F117" s="47">
        <v>-4.5045917656958423</v>
      </c>
      <c r="G117" s="58">
        <v>24057</v>
      </c>
      <c r="H117" s="58">
        <v>85263</v>
      </c>
      <c r="I117" s="58">
        <v>-15341</v>
      </c>
      <c r="J117" s="58">
        <v>29208</v>
      </c>
      <c r="K117" s="59">
        <v>43232</v>
      </c>
      <c r="L117" s="59">
        <v>113348</v>
      </c>
      <c r="M117" s="58">
        <v>-8125</v>
      </c>
      <c r="N117" s="58">
        <v>36120</v>
      </c>
      <c r="O117" s="58">
        <v>41820</v>
      </c>
      <c r="P117" s="58">
        <v>118197</v>
      </c>
      <c r="Q117" s="58">
        <v>4540</v>
      </c>
      <c r="R117" s="58">
        <v>40153</v>
      </c>
      <c r="S117" s="59">
        <v>81473</v>
      </c>
      <c r="T117" s="58">
        <v>130331</v>
      </c>
      <c r="U117" s="59">
        <v>35389</v>
      </c>
      <c r="V117" s="59">
        <v>83181</v>
      </c>
      <c r="W117" s="61">
        <v>66591</v>
      </c>
      <c r="X117" s="22">
        <v>4.9655635263931019E-2</v>
      </c>
      <c r="Y117" s="22">
        <v>0.1202704125194447</v>
      </c>
      <c r="Z117" s="22">
        <v>0.14974281876204998</v>
      </c>
      <c r="AA117" s="22">
        <v>-4.5045917656958423E-2</v>
      </c>
    </row>
    <row r="118" spans="1:27" ht="15" x14ac:dyDescent="0.25">
      <c r="A118" s="4">
        <v>260129</v>
      </c>
      <c r="B118" s="29">
        <v>7148</v>
      </c>
      <c r="C118" s="19" t="s">
        <v>67</v>
      </c>
      <c r="D118" s="46" t="s">
        <v>778</v>
      </c>
      <c r="E118" s="19" t="s">
        <v>25</v>
      </c>
      <c r="F118" s="47">
        <v>-5.1850977615169764</v>
      </c>
      <c r="G118" s="58">
        <v>3406</v>
      </c>
      <c r="H118" s="58">
        <v>2769</v>
      </c>
      <c r="I118" s="58">
        <v>3660</v>
      </c>
      <c r="J118" s="58">
        <v>1911</v>
      </c>
      <c r="K118" s="59">
        <v>7093</v>
      </c>
      <c r="L118" s="58">
        <v>4236</v>
      </c>
      <c r="M118" s="58">
        <v>4065</v>
      </c>
      <c r="N118" s="58">
        <v>2745</v>
      </c>
      <c r="O118" s="58">
        <v>8310</v>
      </c>
      <c r="P118" s="59">
        <v>7368</v>
      </c>
      <c r="Q118" s="59">
        <v>7415</v>
      </c>
      <c r="R118" s="59">
        <v>5528</v>
      </c>
      <c r="S118" s="58">
        <v>7681</v>
      </c>
      <c r="T118" s="58">
        <v>7441</v>
      </c>
      <c r="U118" s="58">
        <v>3926</v>
      </c>
      <c r="V118" s="58">
        <v>6371</v>
      </c>
      <c r="W118" s="61">
        <v>6363</v>
      </c>
      <c r="X118" s="22">
        <v>2.6078879679909406E-3</v>
      </c>
      <c r="Y118" s="22">
        <v>-0.12431854623196148</v>
      </c>
      <c r="Z118" s="22">
        <v>3.43017578125E-2</v>
      </c>
      <c r="AA118" s="22">
        <v>-5.1850977615169769E-2</v>
      </c>
    </row>
    <row r="119" spans="1:27" ht="15" x14ac:dyDescent="0.25">
      <c r="A119" s="4">
        <v>260129</v>
      </c>
      <c r="B119" s="29">
        <v>6586</v>
      </c>
      <c r="C119" s="19" t="s">
        <v>67</v>
      </c>
      <c r="D119" s="46" t="s">
        <v>761</v>
      </c>
      <c r="E119" s="19" t="s">
        <v>25</v>
      </c>
      <c r="F119" s="47">
        <v>-5.7580821329549341</v>
      </c>
      <c r="G119" s="58">
        <v>21073</v>
      </c>
      <c r="H119" s="58">
        <v>18495</v>
      </c>
      <c r="I119" s="58">
        <v>15228</v>
      </c>
      <c r="J119" s="58">
        <v>6691</v>
      </c>
      <c r="K119" s="58">
        <v>5239</v>
      </c>
      <c r="L119" s="58">
        <v>1088</v>
      </c>
      <c r="M119" s="58">
        <v>16311</v>
      </c>
      <c r="N119" s="59">
        <v>15449</v>
      </c>
      <c r="O119" s="59">
        <v>16289</v>
      </c>
      <c r="P119" s="59">
        <v>18120</v>
      </c>
      <c r="Q119" s="58">
        <v>21344</v>
      </c>
      <c r="R119" s="59">
        <v>30071</v>
      </c>
      <c r="S119" s="59">
        <v>30919</v>
      </c>
      <c r="T119" s="58">
        <v>24704</v>
      </c>
      <c r="U119" s="58">
        <v>26069</v>
      </c>
      <c r="V119" s="58">
        <v>25427</v>
      </c>
      <c r="W119" s="61">
        <v>24751</v>
      </c>
      <c r="X119" s="22">
        <v>6.5542437334501269E-2</v>
      </c>
      <c r="Y119" s="22">
        <v>4.4143201479848182E-2</v>
      </c>
      <c r="Z119" s="22">
        <v>-4.1552213165358842E-2</v>
      </c>
      <c r="AA119" s="22">
        <v>-5.7580821329549337E-2</v>
      </c>
    </row>
    <row r="120" spans="1:27" ht="15" x14ac:dyDescent="0.25">
      <c r="A120" s="4">
        <v>260129</v>
      </c>
      <c r="B120" s="29">
        <v>4956</v>
      </c>
      <c r="C120" s="19" t="s">
        <v>67</v>
      </c>
      <c r="D120" s="46" t="s">
        <v>773</v>
      </c>
      <c r="E120" s="19" t="s">
        <v>25</v>
      </c>
      <c r="F120" s="47">
        <v>-6.2692901234567948</v>
      </c>
      <c r="G120" s="58">
        <v>2062</v>
      </c>
      <c r="H120" s="58">
        <v>1799</v>
      </c>
      <c r="I120" s="58">
        <v>1251</v>
      </c>
      <c r="J120" s="58">
        <v>1624</v>
      </c>
      <c r="K120" s="58">
        <v>2281</v>
      </c>
      <c r="L120" s="58">
        <v>2227</v>
      </c>
      <c r="M120" s="59">
        <v>2191</v>
      </c>
      <c r="N120" s="59">
        <v>2725</v>
      </c>
      <c r="O120" s="59">
        <v>3288</v>
      </c>
      <c r="P120" s="58">
        <v>2037</v>
      </c>
      <c r="Q120" s="58">
        <v>2116</v>
      </c>
      <c r="R120" s="58">
        <v>2758</v>
      </c>
      <c r="S120" s="58">
        <v>3613</v>
      </c>
      <c r="T120" s="58">
        <v>2133</v>
      </c>
      <c r="U120" s="58">
        <v>2107</v>
      </c>
      <c r="V120" s="58">
        <v>2515</v>
      </c>
      <c r="W120" s="61">
        <v>2963</v>
      </c>
      <c r="X120" s="22">
        <v>9.1220068415052147E-3</v>
      </c>
      <c r="Y120" s="22">
        <v>-8.4745762711868622E-4</v>
      </c>
      <c r="Z120" s="22">
        <v>-2.2900763358778664E-2</v>
      </c>
      <c r="AA120" s="22">
        <v>-6.2692901234567944E-2</v>
      </c>
    </row>
    <row r="121" spans="1:27" ht="15" x14ac:dyDescent="0.25">
      <c r="A121" s="4">
        <v>260129</v>
      </c>
      <c r="B121" s="29">
        <v>6923</v>
      </c>
      <c r="C121" s="19" t="s">
        <v>67</v>
      </c>
      <c r="D121" s="46" t="s">
        <v>771</v>
      </c>
      <c r="E121" s="19" t="s">
        <v>25</v>
      </c>
      <c r="F121" s="47">
        <v>-7.5224264020385734</v>
      </c>
      <c r="G121" s="58">
        <v>8425</v>
      </c>
      <c r="H121" s="58">
        <v>6340</v>
      </c>
      <c r="I121" s="58">
        <v>2839</v>
      </c>
      <c r="J121" s="58">
        <v>11787</v>
      </c>
      <c r="K121" s="58">
        <v>6283</v>
      </c>
      <c r="L121" s="59">
        <v>13760</v>
      </c>
      <c r="M121" s="58">
        <v>3666</v>
      </c>
      <c r="N121" s="58">
        <v>10412</v>
      </c>
      <c r="O121" s="59">
        <v>13337</v>
      </c>
      <c r="P121" s="58">
        <v>8420</v>
      </c>
      <c r="Q121" s="59">
        <v>9536</v>
      </c>
      <c r="R121" s="58">
        <v>9662</v>
      </c>
      <c r="S121" s="58">
        <v>13753</v>
      </c>
      <c r="T121" s="59">
        <v>16053</v>
      </c>
      <c r="U121" s="58">
        <v>8608</v>
      </c>
      <c r="V121" s="58">
        <v>9855</v>
      </c>
      <c r="W121" s="61">
        <v>10122</v>
      </c>
      <c r="X121" s="22">
        <v>0.18450122066181618</v>
      </c>
      <c r="Y121" s="22">
        <v>-1.893722961390909E-2</v>
      </c>
      <c r="Z121" s="22">
        <v>4.0144770779599881E-3</v>
      </c>
      <c r="AA121" s="22">
        <v>-7.5224264020385734E-2</v>
      </c>
    </row>
    <row r="122" spans="1:27" ht="15" x14ac:dyDescent="0.25">
      <c r="A122" s="4">
        <v>260129</v>
      </c>
      <c r="B122" s="29">
        <v>5471</v>
      </c>
      <c r="C122" s="19" t="s">
        <v>67</v>
      </c>
      <c r="D122" s="46" t="s">
        <v>772</v>
      </c>
      <c r="E122" s="19" t="s">
        <v>25</v>
      </c>
      <c r="F122" s="47">
        <v>-7.6093661328924922</v>
      </c>
      <c r="G122" s="58">
        <v>9758</v>
      </c>
      <c r="H122" s="58">
        <v>8068</v>
      </c>
      <c r="I122" s="58">
        <v>10191</v>
      </c>
      <c r="J122" s="58">
        <v>13035</v>
      </c>
      <c r="K122" s="59">
        <v>14430</v>
      </c>
      <c r="L122" s="58">
        <v>9331</v>
      </c>
      <c r="M122" s="58">
        <v>7980</v>
      </c>
      <c r="N122" s="58">
        <v>11024</v>
      </c>
      <c r="O122" s="58">
        <v>14048</v>
      </c>
      <c r="P122" s="58">
        <v>3569</v>
      </c>
      <c r="Q122" s="58">
        <v>10068</v>
      </c>
      <c r="R122" s="58">
        <v>8192</v>
      </c>
      <c r="S122" s="58">
        <v>15811</v>
      </c>
      <c r="T122" s="58">
        <v>6253</v>
      </c>
      <c r="U122" s="58">
        <v>8659</v>
      </c>
      <c r="V122" s="58">
        <v>9806</v>
      </c>
      <c r="W122" s="61">
        <v>12727</v>
      </c>
      <c r="X122" s="22">
        <v>7.130712008501594E-2</v>
      </c>
      <c r="Y122" s="22">
        <v>-3.4941970042654535E-2</v>
      </c>
      <c r="Z122" s="22">
        <v>4.147500963638695E-2</v>
      </c>
      <c r="AA122" s="22">
        <v>-7.6093661328924922E-2</v>
      </c>
    </row>
    <row r="123" spans="1:27" ht="15" x14ac:dyDescent="0.25">
      <c r="A123" s="4">
        <v>260129</v>
      </c>
      <c r="B123" s="29">
        <v>6305</v>
      </c>
      <c r="C123" s="19" t="s">
        <v>67</v>
      </c>
      <c r="D123" s="46" t="s">
        <v>770</v>
      </c>
      <c r="E123" s="19" t="s">
        <v>25</v>
      </c>
      <c r="F123" s="47">
        <v>-9.5820907083930429</v>
      </c>
      <c r="G123" s="58">
        <v>23283</v>
      </c>
      <c r="H123" s="58">
        <v>42281</v>
      </c>
      <c r="I123" s="58">
        <v>21791</v>
      </c>
      <c r="J123" s="58">
        <v>31471</v>
      </c>
      <c r="K123" s="58">
        <v>34152</v>
      </c>
      <c r="L123" s="58">
        <v>49976</v>
      </c>
      <c r="M123" s="59">
        <v>38150</v>
      </c>
      <c r="N123" s="58">
        <v>44693</v>
      </c>
      <c r="O123" s="58">
        <v>38878</v>
      </c>
      <c r="P123" s="58">
        <v>0</v>
      </c>
      <c r="Q123" s="58">
        <v>32815</v>
      </c>
      <c r="R123" s="58">
        <v>37974</v>
      </c>
      <c r="S123" s="58">
        <v>45288</v>
      </c>
      <c r="T123" s="59">
        <v>41914</v>
      </c>
      <c r="U123" s="58">
        <v>22081</v>
      </c>
      <c r="V123" s="58">
        <v>45631</v>
      </c>
      <c r="W123" s="61">
        <v>30444</v>
      </c>
      <c r="X123" s="22">
        <v>0.36108789855010026</v>
      </c>
      <c r="Y123" s="22">
        <v>-6.7940578893734505E-2</v>
      </c>
      <c r="Z123" s="22">
        <v>5.1997528131090487E-2</v>
      </c>
      <c r="AA123" s="22">
        <v>-9.5820907083930429E-2</v>
      </c>
    </row>
    <row r="124" spans="1:27" ht="15" x14ac:dyDescent="0.25">
      <c r="A124" s="4">
        <v>260129</v>
      </c>
      <c r="B124" s="29">
        <v>3593</v>
      </c>
      <c r="C124" s="19" t="s">
        <v>67</v>
      </c>
      <c r="D124" s="46" t="s">
        <v>774</v>
      </c>
      <c r="E124" s="19" t="s">
        <v>25</v>
      </c>
      <c r="F124" s="47">
        <v>-17.130405631914179</v>
      </c>
      <c r="G124" s="58">
        <v>1814</v>
      </c>
      <c r="H124" s="58">
        <v>1334</v>
      </c>
      <c r="I124" s="58">
        <v>1858</v>
      </c>
      <c r="J124" s="58">
        <v>1328</v>
      </c>
      <c r="K124" s="58">
        <v>1878</v>
      </c>
      <c r="L124" s="58">
        <v>1571</v>
      </c>
      <c r="M124" s="58">
        <v>1303</v>
      </c>
      <c r="N124" s="58">
        <v>1073</v>
      </c>
      <c r="O124" s="58">
        <v>1111</v>
      </c>
      <c r="P124" s="58">
        <v>682</v>
      </c>
      <c r="Q124" s="58">
        <v>1337</v>
      </c>
      <c r="R124" s="58">
        <v>586</v>
      </c>
      <c r="S124" s="58">
        <v>1322</v>
      </c>
      <c r="T124" s="58">
        <v>383</v>
      </c>
      <c r="U124" s="58">
        <v>951</v>
      </c>
      <c r="V124" s="58">
        <v>327</v>
      </c>
      <c r="W124" s="61">
        <v>811</v>
      </c>
      <c r="X124" s="22">
        <v>-7.6139546727782004E-2</v>
      </c>
      <c r="Y124" s="22">
        <v>-0.10639470782800442</v>
      </c>
      <c r="Z124" s="22">
        <v>-7.9888957433682961E-2</v>
      </c>
      <c r="AA124" s="22">
        <v>-0.17130405631914181</v>
      </c>
    </row>
    <row r="125" spans="1:27" ht="15" x14ac:dyDescent="0.25">
      <c r="A125" s="4">
        <v>260129</v>
      </c>
      <c r="B125" s="29" t="s">
        <v>779</v>
      </c>
      <c r="C125" s="19" t="s">
        <v>31</v>
      </c>
      <c r="D125" s="46" t="s">
        <v>780</v>
      </c>
      <c r="E125" s="19" t="s">
        <v>25</v>
      </c>
      <c r="F125" s="47">
        <v>8.1999766382431893</v>
      </c>
      <c r="G125" s="58">
        <v>2907</v>
      </c>
      <c r="H125" s="58">
        <v>2742</v>
      </c>
      <c r="I125" s="58">
        <v>3149</v>
      </c>
      <c r="J125" s="58">
        <v>2060</v>
      </c>
      <c r="K125" s="59">
        <v>4044</v>
      </c>
      <c r="L125" s="59">
        <v>5173</v>
      </c>
      <c r="M125" s="58">
        <v>3612</v>
      </c>
      <c r="N125" s="59">
        <v>4184</v>
      </c>
      <c r="O125" s="58">
        <v>3718</v>
      </c>
      <c r="P125" s="58">
        <v>6526</v>
      </c>
      <c r="Q125" s="59">
        <v>6058</v>
      </c>
      <c r="R125" s="59">
        <v>7127</v>
      </c>
      <c r="S125" s="58">
        <v>4288</v>
      </c>
      <c r="T125" s="58">
        <v>3432</v>
      </c>
      <c r="U125" s="58">
        <v>6776</v>
      </c>
      <c r="V125" s="59">
        <v>11187</v>
      </c>
      <c r="W125" s="61">
        <v>6394</v>
      </c>
      <c r="X125" s="22">
        <v>-0.12892203841826744</v>
      </c>
      <c r="Y125" s="22">
        <v>3.4345850275053769E-2</v>
      </c>
      <c r="Z125" s="22">
        <v>0.18776303010683071</v>
      </c>
      <c r="AA125" s="22">
        <v>8.1999766382431893E-2</v>
      </c>
    </row>
    <row r="126" spans="1:27" ht="15" x14ac:dyDescent="0.25">
      <c r="A126" s="4">
        <v>260129</v>
      </c>
      <c r="B126" s="29" t="s">
        <v>804</v>
      </c>
      <c r="C126" s="19" t="s">
        <v>31</v>
      </c>
      <c r="D126" s="46" t="s">
        <v>798</v>
      </c>
      <c r="E126" s="19" t="s">
        <v>25</v>
      </c>
      <c r="F126" s="47">
        <v>5.5355681484798414</v>
      </c>
      <c r="G126" s="58">
        <v>24224</v>
      </c>
      <c r="H126" s="58">
        <v>29307</v>
      </c>
      <c r="I126" s="58">
        <v>30960</v>
      </c>
      <c r="J126" s="58">
        <v>34870</v>
      </c>
      <c r="K126" s="59">
        <v>40209</v>
      </c>
      <c r="L126" s="59">
        <v>43595</v>
      </c>
      <c r="M126" s="59">
        <v>51142</v>
      </c>
      <c r="N126" s="59">
        <v>52495</v>
      </c>
      <c r="O126" s="58">
        <v>50969</v>
      </c>
      <c r="P126" s="58">
        <v>-596.52</v>
      </c>
      <c r="Q126" s="58">
        <v>55431</v>
      </c>
      <c r="R126" s="58">
        <v>56389</v>
      </c>
      <c r="S126" s="58">
        <v>56092</v>
      </c>
      <c r="T126" s="58">
        <v>9007</v>
      </c>
      <c r="U126" s="58">
        <v>65378</v>
      </c>
      <c r="V126" s="58">
        <v>63812</v>
      </c>
      <c r="W126" s="61">
        <v>66847</v>
      </c>
      <c r="X126" s="22">
        <v>5.7397677728324936E-2</v>
      </c>
      <c r="Y126" s="22">
        <v>5.6223469497340695E-2</v>
      </c>
      <c r="Z126" s="22">
        <v>3.9723652242783514E-2</v>
      </c>
      <c r="AA126" s="22">
        <v>5.5355681484798414E-2</v>
      </c>
    </row>
    <row r="127" spans="1:27" ht="15" x14ac:dyDescent="0.25">
      <c r="A127" s="4">
        <v>260129</v>
      </c>
      <c r="B127" s="29" t="s">
        <v>785</v>
      </c>
      <c r="C127" s="19" t="s">
        <v>31</v>
      </c>
      <c r="D127" s="46" t="s">
        <v>786</v>
      </c>
      <c r="E127" s="19" t="s">
        <v>25</v>
      </c>
      <c r="F127" s="47">
        <v>5.3415697674418672</v>
      </c>
      <c r="G127" s="58">
        <v>3212</v>
      </c>
      <c r="H127" s="58">
        <v>3205</v>
      </c>
      <c r="I127" s="58">
        <v>3415</v>
      </c>
      <c r="J127" s="58">
        <v>3670</v>
      </c>
      <c r="K127" s="58">
        <v>2905</v>
      </c>
      <c r="L127" s="58">
        <v>3591</v>
      </c>
      <c r="M127" s="58">
        <v>2537</v>
      </c>
      <c r="N127" s="58">
        <v>3934</v>
      </c>
      <c r="O127" s="58">
        <v>3586</v>
      </c>
      <c r="P127" s="58">
        <v>3497</v>
      </c>
      <c r="Q127" s="58">
        <v>2722</v>
      </c>
      <c r="R127" s="58">
        <v>4157</v>
      </c>
      <c r="S127" s="58">
        <v>3795</v>
      </c>
      <c r="T127" s="58">
        <v>2970</v>
      </c>
      <c r="U127" s="58">
        <v>2711</v>
      </c>
      <c r="V127" s="58">
        <v>4284</v>
      </c>
      <c r="W127" s="61">
        <v>4530</v>
      </c>
      <c r="X127" s="22">
        <v>-3.7188624655987601E-2</v>
      </c>
      <c r="Y127" s="22">
        <v>-8.0621518616241783E-4</v>
      </c>
      <c r="Z127" s="22">
        <v>9.3156311890265631E-3</v>
      </c>
      <c r="AA127" s="22">
        <v>5.3415697674418672E-2</v>
      </c>
    </row>
    <row r="128" spans="1:27" ht="15" x14ac:dyDescent="0.25">
      <c r="A128" s="4">
        <v>260129</v>
      </c>
      <c r="B128" s="29" t="s">
        <v>793</v>
      </c>
      <c r="C128" s="19" t="s">
        <v>31</v>
      </c>
      <c r="D128" s="46" t="s">
        <v>794</v>
      </c>
      <c r="E128" s="19" t="s">
        <v>25</v>
      </c>
      <c r="F128" s="47">
        <v>3.4432981498894182</v>
      </c>
      <c r="G128" s="58">
        <v>1459</v>
      </c>
      <c r="H128" s="58">
        <v>2771</v>
      </c>
      <c r="I128" s="58">
        <v>1685</v>
      </c>
      <c r="J128" s="58">
        <v>911.4</v>
      </c>
      <c r="K128" s="58">
        <v>653.20000000000005</v>
      </c>
      <c r="L128" s="58">
        <v>2343</v>
      </c>
      <c r="M128" s="58">
        <v>1741</v>
      </c>
      <c r="N128" s="58">
        <v>585.9</v>
      </c>
      <c r="O128" s="58">
        <v>155.80000000000001</v>
      </c>
      <c r="P128" s="58">
        <v>2061</v>
      </c>
      <c r="Q128" s="59">
        <v>4104</v>
      </c>
      <c r="R128" s="59">
        <v>1458</v>
      </c>
      <c r="S128" s="59">
        <v>1795</v>
      </c>
      <c r="T128" s="59">
        <v>3695</v>
      </c>
      <c r="U128" s="58">
        <v>1601</v>
      </c>
      <c r="V128" s="58">
        <v>459.9</v>
      </c>
      <c r="W128" s="61">
        <v>2055</v>
      </c>
      <c r="X128" s="22">
        <v>0.17349755786791254</v>
      </c>
      <c r="Y128" s="22">
        <v>-0.22647484618168656</v>
      </c>
      <c r="Z128" s="22">
        <v>-0.11675049713416774</v>
      </c>
      <c r="AA128" s="22">
        <v>3.4432981498894177E-2</v>
      </c>
    </row>
    <row r="129" spans="1:27" ht="15" x14ac:dyDescent="0.25">
      <c r="A129" s="4">
        <v>260129</v>
      </c>
      <c r="B129" s="29" t="s">
        <v>789</v>
      </c>
      <c r="C129" s="19" t="s">
        <v>31</v>
      </c>
      <c r="D129" s="46" t="s">
        <v>790</v>
      </c>
      <c r="E129" s="19" t="s">
        <v>25</v>
      </c>
      <c r="F129" s="47">
        <v>1.981057366403749</v>
      </c>
      <c r="G129" s="58">
        <v>149.09</v>
      </c>
      <c r="H129" s="58">
        <v>181.65</v>
      </c>
      <c r="I129" s="58">
        <v>175.48</v>
      </c>
      <c r="J129" s="58">
        <v>3354</v>
      </c>
      <c r="K129" s="58">
        <v>247.37</v>
      </c>
      <c r="L129" s="58">
        <v>232.17</v>
      </c>
      <c r="M129" s="58">
        <v>231.96</v>
      </c>
      <c r="N129" s="58">
        <v>861.33</v>
      </c>
      <c r="O129" s="58">
        <v>245.84</v>
      </c>
      <c r="P129" s="58">
        <v>235.77</v>
      </c>
      <c r="Q129" s="58">
        <v>240.34</v>
      </c>
      <c r="R129" s="59">
        <v>1585</v>
      </c>
      <c r="S129" s="58">
        <v>259.48</v>
      </c>
      <c r="T129" s="58">
        <v>255.96</v>
      </c>
      <c r="U129" s="58">
        <v>263.45999999999998</v>
      </c>
      <c r="V129" s="58">
        <v>799.55</v>
      </c>
      <c r="W129" s="61">
        <v>290.75</v>
      </c>
      <c r="X129" s="22">
        <v>8.7003736118829167E-3</v>
      </c>
      <c r="Y129" s="22">
        <v>9.8770495304985051E-3</v>
      </c>
      <c r="Z129" s="22">
        <v>-0.33226870849020684</v>
      </c>
      <c r="AA129" s="22">
        <v>1.9810573664037268E-2</v>
      </c>
    </row>
    <row r="130" spans="1:27" ht="15" x14ac:dyDescent="0.25">
      <c r="A130" s="4">
        <v>260129</v>
      </c>
      <c r="B130" s="29" t="s">
        <v>783</v>
      </c>
      <c r="C130" s="19" t="s">
        <v>31</v>
      </c>
      <c r="D130" s="46" t="s">
        <v>784</v>
      </c>
      <c r="E130" s="19" t="s">
        <v>25</v>
      </c>
      <c r="F130" s="47">
        <v>7.5412073113789724E-2</v>
      </c>
      <c r="G130" s="58">
        <v>5020</v>
      </c>
      <c r="H130" s="58">
        <v>4022</v>
      </c>
      <c r="I130" s="58">
        <v>6408</v>
      </c>
      <c r="J130" s="58">
        <v>10112</v>
      </c>
      <c r="K130" s="58">
        <v>7335</v>
      </c>
      <c r="L130" s="58">
        <v>5250</v>
      </c>
      <c r="M130" s="58">
        <v>6611</v>
      </c>
      <c r="N130" s="58">
        <v>10048</v>
      </c>
      <c r="O130" s="58">
        <v>2943</v>
      </c>
      <c r="P130" s="58">
        <v>2557</v>
      </c>
      <c r="Q130" s="58">
        <v>4405</v>
      </c>
      <c r="R130" s="58">
        <v>9058</v>
      </c>
      <c r="S130" s="59">
        <v>6510</v>
      </c>
      <c r="T130" s="58">
        <v>4274</v>
      </c>
      <c r="U130" s="58">
        <v>6615</v>
      </c>
      <c r="V130" s="58">
        <v>10448</v>
      </c>
      <c r="W130" s="61">
        <v>6531</v>
      </c>
      <c r="X130" s="22">
        <v>7.6209498446515811E-2</v>
      </c>
      <c r="Y130" s="22">
        <v>9.1145296325318537E-2</v>
      </c>
      <c r="Z130" s="22">
        <v>5.2538080659182862E-2</v>
      </c>
      <c r="AA130" s="22">
        <v>7.5412073113789724E-4</v>
      </c>
    </row>
    <row r="131" spans="1:27" ht="15" x14ac:dyDescent="0.25">
      <c r="A131" s="4">
        <v>260129</v>
      </c>
      <c r="B131" s="29" t="s">
        <v>787</v>
      </c>
      <c r="C131" s="19" t="s">
        <v>31</v>
      </c>
      <c r="D131" s="46" t="s">
        <v>788</v>
      </c>
      <c r="E131" s="19" t="s">
        <v>25</v>
      </c>
      <c r="F131" s="47">
        <v>-2.0977879356787188</v>
      </c>
      <c r="G131" s="58">
        <v>2247</v>
      </c>
      <c r="H131" s="58">
        <v>3926</v>
      </c>
      <c r="I131" s="58">
        <v>2682</v>
      </c>
      <c r="J131" s="58">
        <v>2423</v>
      </c>
      <c r="K131" s="58">
        <v>2791</v>
      </c>
      <c r="L131" s="58">
        <v>4247</v>
      </c>
      <c r="M131" s="58">
        <v>3121</v>
      </c>
      <c r="N131" s="58">
        <v>3302</v>
      </c>
      <c r="O131" s="58">
        <v>3603</v>
      </c>
      <c r="P131" s="58">
        <v>4139</v>
      </c>
      <c r="Q131" s="58">
        <v>3404</v>
      </c>
      <c r="R131" s="58">
        <v>3497</v>
      </c>
      <c r="S131" s="58">
        <v>3329</v>
      </c>
      <c r="T131" s="58">
        <v>3368</v>
      </c>
      <c r="U131" s="58">
        <v>3148</v>
      </c>
      <c r="V131" s="58">
        <v>2406</v>
      </c>
      <c r="W131" s="61">
        <v>3072</v>
      </c>
      <c r="X131" s="22">
        <v>-5.3657178648479409E-2</v>
      </c>
      <c r="Y131" s="22">
        <v>-1.8826297984997797E-2</v>
      </c>
      <c r="Z131" s="22">
        <v>-8.1771848298605954E-2</v>
      </c>
      <c r="AA131" s="22">
        <v>-2.0977879356787188E-2</v>
      </c>
    </row>
    <row r="132" spans="1:27" ht="15" x14ac:dyDescent="0.25">
      <c r="A132" s="4">
        <v>260129</v>
      </c>
      <c r="B132" s="29" t="s">
        <v>795</v>
      </c>
      <c r="C132" s="19" t="s">
        <v>31</v>
      </c>
      <c r="D132" s="46" t="s">
        <v>796</v>
      </c>
      <c r="E132" s="19" t="s">
        <v>25</v>
      </c>
      <c r="F132" s="47">
        <v>-4.605966080047164</v>
      </c>
      <c r="G132" s="58">
        <v>9864</v>
      </c>
      <c r="H132" s="58">
        <v>45900</v>
      </c>
      <c r="I132" s="58">
        <v>49037</v>
      </c>
      <c r="J132" s="58">
        <v>1148</v>
      </c>
      <c r="K132" s="58">
        <v>6321</v>
      </c>
      <c r="L132" s="58">
        <v>12776</v>
      </c>
      <c r="M132" s="58">
        <v>25796</v>
      </c>
      <c r="N132" s="59">
        <v>41669</v>
      </c>
      <c r="O132" s="59">
        <v>36431</v>
      </c>
      <c r="P132" s="59">
        <v>39329</v>
      </c>
      <c r="Q132" s="59">
        <v>51987</v>
      </c>
      <c r="R132" s="58">
        <v>42170</v>
      </c>
      <c r="S132" s="58">
        <v>38529</v>
      </c>
      <c r="T132" s="58">
        <v>38789</v>
      </c>
      <c r="U132" s="58">
        <v>45967</v>
      </c>
      <c r="V132" s="58">
        <v>39569</v>
      </c>
      <c r="W132" s="61">
        <v>31028</v>
      </c>
      <c r="X132" s="22">
        <v>-3.1392611109496427E-3</v>
      </c>
      <c r="Y132" s="22">
        <v>-3.5107158477912237E-2</v>
      </c>
      <c r="Z132" s="22">
        <v>-1.5720286482729495E-2</v>
      </c>
      <c r="AA132" s="22">
        <v>-4.6059660800471636E-2</v>
      </c>
    </row>
    <row r="133" spans="1:27" ht="15" x14ac:dyDescent="0.25">
      <c r="A133" s="4">
        <v>260129</v>
      </c>
      <c r="B133" s="29" t="s">
        <v>791</v>
      </c>
      <c r="C133" s="19" t="s">
        <v>31</v>
      </c>
      <c r="D133" s="46" t="s">
        <v>792</v>
      </c>
      <c r="E133" s="19" t="s">
        <v>25</v>
      </c>
      <c r="F133" s="47">
        <v>-7.5148036876441671</v>
      </c>
      <c r="G133" s="58">
        <v>1297</v>
      </c>
      <c r="H133" s="58">
        <v>803.88</v>
      </c>
      <c r="I133" s="58">
        <v>846.4</v>
      </c>
      <c r="J133" s="58">
        <v>1185</v>
      </c>
      <c r="K133" s="58">
        <v>1237</v>
      </c>
      <c r="L133" s="59">
        <v>1409</v>
      </c>
      <c r="M133" s="58">
        <v>1237</v>
      </c>
      <c r="N133" s="58">
        <v>1217</v>
      </c>
      <c r="O133" s="58">
        <v>1443</v>
      </c>
      <c r="P133" s="58">
        <v>1607</v>
      </c>
      <c r="Q133" s="58">
        <v>1422</v>
      </c>
      <c r="R133" s="58">
        <v>1430</v>
      </c>
      <c r="S133" s="58">
        <v>1244</v>
      </c>
      <c r="T133" s="58">
        <v>975.13</v>
      </c>
      <c r="U133" s="58">
        <v>623.6</v>
      </c>
      <c r="V133" s="58">
        <v>941.8</v>
      </c>
      <c r="W133" s="61">
        <v>959.6</v>
      </c>
      <c r="X133" s="22">
        <v>-0.11079607224267929</v>
      </c>
      <c r="Y133" s="22">
        <v>-0.15744025493331848</v>
      </c>
      <c r="Z133" s="22">
        <v>-0.11425950153648856</v>
      </c>
      <c r="AA133" s="22">
        <v>-7.5148036876441782E-2</v>
      </c>
    </row>
    <row r="134" spans="1:27" ht="15" x14ac:dyDescent="0.25">
      <c r="A134" s="110">
        <v>260129</v>
      </c>
      <c r="B134" s="118" t="s">
        <v>805</v>
      </c>
      <c r="C134" s="111" t="s">
        <v>31</v>
      </c>
      <c r="D134" s="112" t="s">
        <v>782</v>
      </c>
      <c r="E134" s="19" t="s">
        <v>25</v>
      </c>
      <c r="F134" s="113">
        <v>-170.50930996714129</v>
      </c>
      <c r="G134" s="58">
        <v>-8488</v>
      </c>
      <c r="H134" s="58">
        <v>-8163</v>
      </c>
      <c r="I134" s="58">
        <v>-7311</v>
      </c>
      <c r="J134" s="58">
        <v>-6421</v>
      </c>
      <c r="K134" s="58">
        <v>-4547</v>
      </c>
      <c r="L134" s="115">
        <v>-2872</v>
      </c>
      <c r="M134" s="115">
        <v>-4518</v>
      </c>
      <c r="N134" s="115">
        <v>-4111</v>
      </c>
      <c r="O134" s="115">
        <v>-3604</v>
      </c>
      <c r="P134" s="115">
        <v>-3028</v>
      </c>
      <c r="Q134" s="114">
        <v>-9706</v>
      </c>
      <c r="R134" s="115">
        <v>-5819</v>
      </c>
      <c r="S134" s="115">
        <v>-3877</v>
      </c>
      <c r="T134" s="115">
        <v>887</v>
      </c>
      <c r="U134" s="115">
        <v>-702</v>
      </c>
      <c r="V134" s="115">
        <v>40</v>
      </c>
      <c r="W134" s="116">
        <v>2350</v>
      </c>
      <c r="X134" s="119">
        <v>-0.1745430227374053</v>
      </c>
      <c r="Y134" s="119">
        <v>-0.48630839859573316</v>
      </c>
      <c r="Z134" s="119">
        <v>-0.61602355167700562</v>
      </c>
      <c r="AA134" s="119">
        <v>-1.7050930996714129</v>
      </c>
    </row>
    <row r="135" spans="1:27" ht="15" x14ac:dyDescent="0.25">
      <c r="A135" s="4">
        <v>260128</v>
      </c>
      <c r="B135" s="29" t="s">
        <v>28</v>
      </c>
      <c r="C135" s="19" t="s">
        <v>23</v>
      </c>
      <c r="D135" s="19" t="s">
        <v>29</v>
      </c>
      <c r="E135" s="2" t="s">
        <v>25</v>
      </c>
      <c r="F135" s="30">
        <v>731.7663817663821</v>
      </c>
      <c r="G135" s="2">
        <v>38.5</v>
      </c>
      <c r="H135" s="2">
        <v>33.049999999999997</v>
      </c>
      <c r="I135" s="2">
        <v>33.700000000000003</v>
      </c>
      <c r="J135" s="2">
        <v>37.07</v>
      </c>
      <c r="K135" s="2">
        <v>36.14</v>
      </c>
      <c r="L135" s="64">
        <v>8.67</v>
      </c>
      <c r="M135" s="64">
        <v>27.82</v>
      </c>
      <c r="N135" s="64">
        <v>28.87</v>
      </c>
      <c r="O135" s="64">
        <v>28.56</v>
      </c>
      <c r="P135" s="65">
        <v>19.48</v>
      </c>
      <c r="Q135" s="64">
        <v>21.65</v>
      </c>
      <c r="R135" s="64">
        <v>26.75</v>
      </c>
      <c r="S135" s="64">
        <v>23.82</v>
      </c>
      <c r="T135" s="64">
        <v>25.48</v>
      </c>
      <c r="U135" s="64">
        <v>29.59</v>
      </c>
      <c r="V135" s="64">
        <v>-71.87</v>
      </c>
      <c r="W135" s="66">
        <v>75.19</v>
      </c>
      <c r="X135" s="22">
        <f>SUM(Q135:T135)/SUM(P135:S135)-1</f>
        <v>6.5430752453653485E-2</v>
      </c>
      <c r="Y135" s="22">
        <f t="shared" ref="Y135:AA150" si="0">SUM(R135:U135)/SUM(Q135:T135)-1</f>
        <v>8.1269191402251861E-2</v>
      </c>
      <c r="Z135" s="22">
        <f t="shared" si="0"/>
        <v>-0.93354789852328668</v>
      </c>
      <c r="AA135" s="22">
        <f t="shared" si="0"/>
        <v>7.3176638176638207</v>
      </c>
    </row>
    <row r="136" spans="1:27" ht="15" x14ac:dyDescent="0.25">
      <c r="A136" s="4">
        <v>260128</v>
      </c>
      <c r="B136" s="29" t="s">
        <v>38</v>
      </c>
      <c r="C136" s="19" t="s">
        <v>23</v>
      </c>
      <c r="D136" s="19" t="s">
        <v>29</v>
      </c>
      <c r="E136" s="2" t="s">
        <v>25</v>
      </c>
      <c r="F136" s="30">
        <v>91.618371486525646</v>
      </c>
      <c r="G136" s="2">
        <v>40.47</v>
      </c>
      <c r="H136" s="2">
        <v>54.15</v>
      </c>
      <c r="I136" s="2">
        <v>56.14</v>
      </c>
      <c r="J136" s="2">
        <v>40.22</v>
      </c>
      <c r="K136" s="2">
        <v>24.09</v>
      </c>
      <c r="L136" s="64">
        <v>19.62</v>
      </c>
      <c r="M136" s="64">
        <v>16.079999999999998</v>
      </c>
      <c r="N136" s="64">
        <v>9.23</v>
      </c>
      <c r="O136" s="64">
        <v>14.27</v>
      </c>
      <c r="P136" s="64">
        <v>16.87</v>
      </c>
      <c r="Q136" s="64">
        <v>19.64</v>
      </c>
      <c r="R136" s="65">
        <v>18.14</v>
      </c>
      <c r="S136" s="64">
        <v>11.12</v>
      </c>
      <c r="T136" s="64">
        <v>15.7</v>
      </c>
      <c r="U136" s="65">
        <v>53.98</v>
      </c>
      <c r="V136" s="65">
        <v>57.24</v>
      </c>
      <c r="W136" s="66">
        <v>137.59</v>
      </c>
      <c r="X136" s="22">
        <f t="shared" ref="X136:AA159" si="1">SUM(Q136:T136)/SUM(P136:S136)-1</f>
        <v>-1.7789265622624506E-2</v>
      </c>
      <c r="Y136" s="22">
        <f t="shared" si="0"/>
        <v>0.53157894736842115</v>
      </c>
      <c r="Z136" s="22">
        <f t="shared" si="0"/>
        <v>0.39518900343642605</v>
      </c>
      <c r="AA136" s="22">
        <f t="shared" si="0"/>
        <v>0.91618371486525652</v>
      </c>
    </row>
    <row r="137" spans="1:27" ht="15" x14ac:dyDescent="0.25">
      <c r="A137" s="4">
        <v>260128</v>
      </c>
      <c r="B137" s="29" t="s">
        <v>188</v>
      </c>
      <c r="C137" s="19" t="s">
        <v>23</v>
      </c>
      <c r="D137" s="19" t="s">
        <v>189</v>
      </c>
      <c r="E137" s="2" t="s">
        <v>25</v>
      </c>
      <c r="F137" s="30">
        <v>36.111111111111107</v>
      </c>
      <c r="G137" s="2">
        <v>80</v>
      </c>
      <c r="H137" s="2">
        <v>-151</v>
      </c>
      <c r="I137" s="2">
        <v>1158</v>
      </c>
      <c r="J137" s="2">
        <v>421</v>
      </c>
      <c r="K137" s="2">
        <v>-350</v>
      </c>
      <c r="L137" s="64">
        <v>-284</v>
      </c>
      <c r="M137" s="64">
        <v>795</v>
      </c>
      <c r="N137" s="64">
        <v>128</v>
      </c>
      <c r="O137" s="65">
        <v>239</v>
      </c>
      <c r="P137" s="64">
        <v>-393</v>
      </c>
      <c r="Q137" s="64">
        <v>398</v>
      </c>
      <c r="R137" s="64">
        <v>19</v>
      </c>
      <c r="S137" s="64">
        <v>261</v>
      </c>
      <c r="T137" s="65">
        <v>-161</v>
      </c>
      <c r="U137" s="64">
        <v>225</v>
      </c>
      <c r="V137" s="64">
        <v>35</v>
      </c>
      <c r="W137" s="66">
        <v>391</v>
      </c>
      <c r="X137" s="22">
        <f t="shared" si="1"/>
        <v>0.81403508771929833</v>
      </c>
      <c r="Y137" s="22">
        <f t="shared" si="0"/>
        <v>-0.33462282398452614</v>
      </c>
      <c r="Z137" s="22">
        <f t="shared" si="0"/>
        <v>4.6511627906976827E-2</v>
      </c>
      <c r="AA137" s="22">
        <f t="shared" si="0"/>
        <v>0.36111111111111116</v>
      </c>
    </row>
    <row r="138" spans="1:27" ht="15" x14ac:dyDescent="0.25">
      <c r="A138" s="4">
        <v>260128</v>
      </c>
      <c r="B138" s="29" t="s">
        <v>97</v>
      </c>
      <c r="C138" s="19" t="s">
        <v>23</v>
      </c>
      <c r="D138" s="19" t="s">
        <v>29</v>
      </c>
      <c r="E138" s="2" t="s">
        <v>25</v>
      </c>
      <c r="F138" s="30">
        <v>25.528284551778452</v>
      </c>
      <c r="G138" s="2">
        <v>33.18</v>
      </c>
      <c r="H138" s="2">
        <v>25.96</v>
      </c>
      <c r="I138" s="2">
        <v>26.12</v>
      </c>
      <c r="J138" s="2">
        <v>19.059999999999999</v>
      </c>
      <c r="K138" s="2">
        <v>36.299999999999997</v>
      </c>
      <c r="L138" s="64">
        <v>30.57</v>
      </c>
      <c r="M138" s="64">
        <v>27.73</v>
      </c>
      <c r="N138" s="64">
        <v>30.07</v>
      </c>
      <c r="O138" s="64">
        <v>17.54</v>
      </c>
      <c r="P138" s="64">
        <v>28.86</v>
      </c>
      <c r="Q138" s="64">
        <v>26.74</v>
      </c>
      <c r="R138" s="64">
        <v>23.67</v>
      </c>
      <c r="S138" s="64">
        <v>18</v>
      </c>
      <c r="T138" s="64">
        <v>28.55</v>
      </c>
      <c r="U138" s="64">
        <v>18.66</v>
      </c>
      <c r="V138" s="64">
        <v>10.98</v>
      </c>
      <c r="W138" s="66">
        <v>37.450000000000003</v>
      </c>
      <c r="X138" s="22">
        <f t="shared" si="1"/>
        <v>-3.1870052431376417E-3</v>
      </c>
      <c r="Y138" s="22">
        <f t="shared" si="0"/>
        <v>-8.333333333333337E-2</v>
      </c>
      <c r="Z138" s="22">
        <f t="shared" si="0"/>
        <v>-0.14277677767776775</v>
      </c>
      <c r="AA138" s="22">
        <f t="shared" si="0"/>
        <v>0.25528284551778446</v>
      </c>
    </row>
    <row r="139" spans="1:27" customFormat="1" hidden="1" x14ac:dyDescent="0.3">
      <c r="B139" s="2" t="s">
        <v>33</v>
      </c>
      <c r="C139" s="2" t="s">
        <v>23</v>
      </c>
      <c r="D139" s="2" t="s">
        <v>34</v>
      </c>
      <c r="E139" s="2" t="s">
        <v>35</v>
      </c>
      <c r="F139" s="2">
        <v>12.12121212121211</v>
      </c>
      <c r="G139" s="2">
        <v>-2.73</v>
      </c>
      <c r="H139" s="2">
        <v>5.81</v>
      </c>
      <c r="I139" s="2">
        <v>7.18</v>
      </c>
      <c r="J139" s="2">
        <v>3.97</v>
      </c>
      <c r="K139" s="3">
        <v>4.82</v>
      </c>
      <c r="L139" s="3">
        <v>11.41</v>
      </c>
      <c r="M139" s="2">
        <v>6.72</v>
      </c>
      <c r="N139" s="2">
        <v>6.04</v>
      </c>
      <c r="O139" s="2">
        <v>4.6399999999999997</v>
      </c>
      <c r="P139" s="2">
        <v>8.77</v>
      </c>
      <c r="Q139" s="2">
        <v>4.93</v>
      </c>
      <c r="R139" s="2">
        <v>3.3</v>
      </c>
      <c r="S139" s="2">
        <v>3.04</v>
      </c>
      <c r="T139" s="2">
        <v>3.72</v>
      </c>
      <c r="U139" s="2">
        <v>-1.79</v>
      </c>
      <c r="V139" s="3">
        <v>6.91</v>
      </c>
      <c r="W139" s="28">
        <v>4.4800000000000004</v>
      </c>
      <c r="X139" s="22">
        <f t="shared" si="1"/>
        <v>-0.25199600798403188</v>
      </c>
      <c r="Y139" s="22">
        <f t="shared" si="0"/>
        <v>-0.44829886591060708</v>
      </c>
      <c r="Z139" s="22">
        <f t="shared" si="0"/>
        <v>0.43651753325272069</v>
      </c>
      <c r="AA139" s="22">
        <f t="shared" si="0"/>
        <v>0.12121212121212133</v>
      </c>
    </row>
    <row r="140" spans="1:27" ht="15" x14ac:dyDescent="0.25">
      <c r="A140" s="4">
        <v>260128</v>
      </c>
      <c r="B140" s="29" t="s">
        <v>78</v>
      </c>
      <c r="C140" s="19" t="s">
        <v>23</v>
      </c>
      <c r="D140" s="19" t="s">
        <v>79</v>
      </c>
      <c r="E140" s="2" t="s">
        <v>59</v>
      </c>
      <c r="F140" s="30">
        <v>23.14569536423841</v>
      </c>
      <c r="G140" s="2">
        <v>27.44</v>
      </c>
      <c r="H140" s="2">
        <v>11.47</v>
      </c>
      <c r="I140" s="2">
        <v>26.26</v>
      </c>
      <c r="J140" s="2">
        <v>24.57</v>
      </c>
      <c r="K140" s="2">
        <v>24.54</v>
      </c>
      <c r="L140" s="64">
        <v>5.93</v>
      </c>
      <c r="M140" s="64">
        <v>18.190000000000001</v>
      </c>
      <c r="N140" s="64">
        <v>22.95</v>
      </c>
      <c r="O140" s="64">
        <v>21.49</v>
      </c>
      <c r="P140" s="65">
        <v>14.87</v>
      </c>
      <c r="Q140" s="64">
        <v>14.67</v>
      </c>
      <c r="R140" s="64">
        <v>12.55</v>
      </c>
      <c r="S140" s="64">
        <v>11.58</v>
      </c>
      <c r="T140" s="64">
        <v>-1.1299999999999999</v>
      </c>
      <c r="U140" s="64">
        <v>14.03</v>
      </c>
      <c r="V140" s="64">
        <v>5.72</v>
      </c>
      <c r="W140" s="66">
        <v>18.57</v>
      </c>
      <c r="X140" s="22">
        <f t="shared" si="1"/>
        <v>-0.29811812930873871</v>
      </c>
      <c r="Y140" s="22">
        <f t="shared" si="0"/>
        <v>-1.6989646933899483E-2</v>
      </c>
      <c r="Z140" s="22">
        <f t="shared" si="0"/>
        <v>-0.18444504455846622</v>
      </c>
      <c r="AA140" s="22">
        <f t="shared" si="0"/>
        <v>0.23145695364238428</v>
      </c>
    </row>
    <row r="141" spans="1:27" ht="15" x14ac:dyDescent="0.25">
      <c r="A141" s="4">
        <v>260128</v>
      </c>
      <c r="B141" s="29" t="s">
        <v>55</v>
      </c>
      <c r="C141" s="19" t="s">
        <v>23</v>
      </c>
      <c r="D141" s="19" t="s">
        <v>29</v>
      </c>
      <c r="E141" s="2" t="s">
        <v>25</v>
      </c>
      <c r="F141" s="30">
        <v>22.713032581453628</v>
      </c>
      <c r="G141" s="2">
        <v>66.5</v>
      </c>
      <c r="H141" s="2">
        <v>-41.3</v>
      </c>
      <c r="I141" s="2">
        <v>80.3</v>
      </c>
      <c r="J141" s="2">
        <v>108.1</v>
      </c>
      <c r="K141" s="3">
        <v>110</v>
      </c>
      <c r="L141" s="65">
        <v>74.3</v>
      </c>
      <c r="M141" s="64">
        <v>86.9</v>
      </c>
      <c r="N141" s="64">
        <v>94.7</v>
      </c>
      <c r="O141" s="64">
        <v>80.900000000000006</v>
      </c>
      <c r="P141" s="64">
        <v>76.7</v>
      </c>
      <c r="Q141" s="64">
        <v>78.400000000000006</v>
      </c>
      <c r="R141" s="64">
        <v>72.7</v>
      </c>
      <c r="S141" s="64">
        <v>66.7</v>
      </c>
      <c r="T141" s="64">
        <v>66.400000000000006</v>
      </c>
      <c r="U141" s="64">
        <v>93.5</v>
      </c>
      <c r="V141" s="64">
        <v>92.6</v>
      </c>
      <c r="W141" s="66">
        <v>139.19999999999999</v>
      </c>
      <c r="X141" s="22">
        <f t="shared" si="1"/>
        <v>-3.4974533106960748E-2</v>
      </c>
      <c r="Y141" s="22">
        <f t="shared" si="0"/>
        <v>5.31315974665727E-2</v>
      </c>
      <c r="Z141" s="22">
        <f t="shared" si="0"/>
        <v>6.6488473103909262E-2</v>
      </c>
      <c r="AA141" s="22">
        <f t="shared" si="0"/>
        <v>0.22713032581453607</v>
      </c>
    </row>
    <row r="142" spans="1:27" customFormat="1" hidden="1" x14ac:dyDescent="0.3">
      <c r="B142" s="2" t="s">
        <v>39</v>
      </c>
      <c r="C142" s="2" t="s">
        <v>23</v>
      </c>
      <c r="D142" s="2" t="s">
        <v>29</v>
      </c>
      <c r="E142" s="2" t="s">
        <v>35</v>
      </c>
      <c r="F142" s="2">
        <v>9.108561341571054</v>
      </c>
      <c r="G142" s="2">
        <v>67.03</v>
      </c>
      <c r="H142" s="2">
        <v>54.59</v>
      </c>
      <c r="I142" s="2">
        <v>50.65</v>
      </c>
      <c r="J142" s="2">
        <v>64.540000000000006</v>
      </c>
      <c r="K142" s="2">
        <v>47.07</v>
      </c>
      <c r="L142" s="3">
        <v>79.459999999999994</v>
      </c>
      <c r="M142" s="3">
        <v>87.69</v>
      </c>
      <c r="N142" s="2">
        <v>81.150000000000006</v>
      </c>
      <c r="O142" s="3">
        <v>78.37</v>
      </c>
      <c r="P142" s="2">
        <v>71.39</v>
      </c>
      <c r="Q142" s="2">
        <v>61.74</v>
      </c>
      <c r="R142" s="2">
        <v>74.8</v>
      </c>
      <c r="S142" s="2">
        <v>64.88</v>
      </c>
      <c r="T142" s="2">
        <v>66.91</v>
      </c>
      <c r="U142" s="2">
        <v>63.6</v>
      </c>
      <c r="V142" s="2">
        <v>87.86</v>
      </c>
      <c r="W142" s="27">
        <v>90.68</v>
      </c>
      <c r="X142" s="22">
        <f t="shared" si="1"/>
        <v>-1.6421685422088661E-2</v>
      </c>
      <c r="Y142" s="22">
        <f t="shared" si="0"/>
        <v>6.9317631274923297E-3</v>
      </c>
      <c r="Z142" s="22">
        <f t="shared" si="0"/>
        <v>4.8336355897701688E-2</v>
      </c>
      <c r="AA142" s="22">
        <f t="shared" si="0"/>
        <v>9.1085613415710531E-2</v>
      </c>
    </row>
    <row r="143" spans="1:27" ht="15" x14ac:dyDescent="0.25">
      <c r="A143" s="4">
        <v>260128</v>
      </c>
      <c r="B143" s="29" t="s">
        <v>88</v>
      </c>
      <c r="C143" s="19" t="s">
        <v>23</v>
      </c>
      <c r="D143" s="19" t="s">
        <v>29</v>
      </c>
      <c r="E143" s="2" t="s">
        <v>25</v>
      </c>
      <c r="F143" s="30">
        <v>17.742901641308251</v>
      </c>
      <c r="G143" s="2">
        <v>29.93</v>
      </c>
      <c r="H143" s="2">
        <v>25.48</v>
      </c>
      <c r="I143" s="2">
        <v>23.78</v>
      </c>
      <c r="J143" s="2">
        <v>22.63</v>
      </c>
      <c r="K143" s="2">
        <v>26.88</v>
      </c>
      <c r="L143" s="64">
        <v>21.25</v>
      </c>
      <c r="M143" s="64">
        <v>18.95</v>
      </c>
      <c r="N143" s="64">
        <v>17.489999999999998</v>
      </c>
      <c r="O143" s="64">
        <v>19.14</v>
      </c>
      <c r="P143" s="64">
        <v>16.920000000000002</v>
      </c>
      <c r="Q143" s="64">
        <v>20.65</v>
      </c>
      <c r="R143" s="64">
        <v>17.07</v>
      </c>
      <c r="S143" s="64">
        <v>13.4</v>
      </c>
      <c r="T143" s="64">
        <v>22.55</v>
      </c>
      <c r="U143" s="64">
        <v>23.88</v>
      </c>
      <c r="V143" s="64">
        <v>23.64</v>
      </c>
      <c r="W143" s="66">
        <v>28.21</v>
      </c>
      <c r="X143" s="22">
        <f t="shared" si="1"/>
        <v>8.2745443856554912E-2</v>
      </c>
      <c r="Y143" s="22">
        <f t="shared" si="0"/>
        <v>4.3844169947061085E-2</v>
      </c>
      <c r="Z143" s="22">
        <f t="shared" si="0"/>
        <v>8.5435630689206787E-2</v>
      </c>
      <c r="AA143" s="22">
        <f t="shared" si="0"/>
        <v>0.17742901641308251</v>
      </c>
    </row>
    <row r="144" spans="1:27" ht="15" x14ac:dyDescent="0.25">
      <c r="A144" s="4">
        <v>260128</v>
      </c>
      <c r="B144" s="29" t="s">
        <v>142</v>
      </c>
      <c r="C144" s="19" t="s">
        <v>23</v>
      </c>
      <c r="D144" s="19" t="s">
        <v>65</v>
      </c>
      <c r="E144" s="2" t="s">
        <v>25</v>
      </c>
      <c r="F144" s="30">
        <v>15.330359525715799</v>
      </c>
      <c r="G144" s="2">
        <v>600.9</v>
      </c>
      <c r="H144" s="2">
        <v>589.79999999999995</v>
      </c>
      <c r="I144" s="2">
        <v>648.79999999999995</v>
      </c>
      <c r="J144" s="2">
        <v>693.1</v>
      </c>
      <c r="K144" s="2">
        <v>674</v>
      </c>
      <c r="L144" s="64">
        <v>597.1</v>
      </c>
      <c r="M144" s="64">
        <v>623.9</v>
      </c>
      <c r="N144" s="64">
        <v>666.9</v>
      </c>
      <c r="O144" s="64">
        <v>705.8</v>
      </c>
      <c r="P144" s="64">
        <v>684.8</v>
      </c>
      <c r="Q144" s="64">
        <v>768.8</v>
      </c>
      <c r="R144" s="64">
        <v>883.1</v>
      </c>
      <c r="S144" s="64">
        <v>965.8</v>
      </c>
      <c r="T144" s="65">
        <v>1130</v>
      </c>
      <c r="U144" s="65">
        <v>1448</v>
      </c>
      <c r="V144" s="65">
        <v>1702</v>
      </c>
      <c r="W144" s="66">
        <v>1770</v>
      </c>
      <c r="X144" s="22">
        <f t="shared" si="1"/>
        <v>0.13480696442089313</v>
      </c>
      <c r="Y144" s="22">
        <f t="shared" si="0"/>
        <v>0.18123115510846644</v>
      </c>
      <c r="Z144" s="22">
        <f t="shared" si="0"/>
        <v>0.18498271928437515</v>
      </c>
      <c r="AA144" s="22">
        <f t="shared" si="0"/>
        <v>0.15330359525715798</v>
      </c>
    </row>
    <row r="145" spans="1:27" customFormat="1" hidden="1" x14ac:dyDescent="0.3">
      <c r="B145" s="2" t="s">
        <v>44</v>
      </c>
      <c r="C145" s="2" t="s">
        <v>31</v>
      </c>
      <c r="D145" s="2" t="s">
        <v>32</v>
      </c>
      <c r="E145" s="2" t="s">
        <v>35</v>
      </c>
      <c r="F145" s="2">
        <v>-8.1592153284671518</v>
      </c>
      <c r="G145" s="2">
        <v>-2344</v>
      </c>
      <c r="H145" s="2">
        <v>-7520</v>
      </c>
      <c r="I145" s="2">
        <v>-716.19</v>
      </c>
      <c r="J145" s="2">
        <v>3048</v>
      </c>
      <c r="K145" s="2">
        <v>1315</v>
      </c>
      <c r="L145" s="2">
        <v>3008</v>
      </c>
      <c r="M145" s="3">
        <v>1779</v>
      </c>
      <c r="N145" s="2">
        <v>3947</v>
      </c>
      <c r="O145" s="2">
        <v>1778</v>
      </c>
      <c r="P145" s="3">
        <v>4088</v>
      </c>
      <c r="Q145" s="2">
        <v>2089</v>
      </c>
      <c r="R145" s="2">
        <v>4365</v>
      </c>
      <c r="S145" s="2">
        <v>1597</v>
      </c>
      <c r="T145" s="2">
        <v>2860</v>
      </c>
      <c r="U145" s="2">
        <v>649</v>
      </c>
      <c r="V145" s="2">
        <v>3662</v>
      </c>
      <c r="W145" s="27">
        <v>881.6</v>
      </c>
      <c r="X145" s="22">
        <f t="shared" si="1"/>
        <v>-0.10116154543207845</v>
      </c>
      <c r="Y145" s="22">
        <f t="shared" si="0"/>
        <v>-0.13197690404179263</v>
      </c>
      <c r="Z145" s="22">
        <f t="shared" si="0"/>
        <v>-7.4226586421708318E-2</v>
      </c>
      <c r="AA145" s="22">
        <f t="shared" si="0"/>
        <v>-8.1592153284671509E-2</v>
      </c>
    </row>
    <row r="146" spans="1:27" ht="15" x14ac:dyDescent="0.25">
      <c r="A146" s="4">
        <v>260128</v>
      </c>
      <c r="B146" s="29" t="s">
        <v>132</v>
      </c>
      <c r="C146" s="19" t="s">
        <v>23</v>
      </c>
      <c r="D146" s="19" t="s">
        <v>65</v>
      </c>
      <c r="E146" s="2" t="s">
        <v>25</v>
      </c>
      <c r="F146" s="30">
        <v>13.40402969247085</v>
      </c>
      <c r="G146" s="2">
        <v>56.9</v>
      </c>
      <c r="H146" s="2">
        <v>49.4</v>
      </c>
      <c r="I146" s="2">
        <v>60.2</v>
      </c>
      <c r="J146" s="2">
        <v>80</v>
      </c>
      <c r="K146" s="3">
        <v>148.4</v>
      </c>
      <c r="L146" s="64">
        <v>64</v>
      </c>
      <c r="M146" s="64">
        <v>93</v>
      </c>
      <c r="N146" s="65">
        <v>122.2</v>
      </c>
      <c r="O146" s="64">
        <v>68.8</v>
      </c>
      <c r="P146" s="65">
        <v>130.30000000000001</v>
      </c>
      <c r="Q146" s="65">
        <v>144.1</v>
      </c>
      <c r="R146" s="64">
        <v>138.69999999999999</v>
      </c>
      <c r="S146" s="65">
        <v>194.4</v>
      </c>
      <c r="T146" s="64">
        <v>132.6</v>
      </c>
      <c r="U146" s="65">
        <v>286.3</v>
      </c>
      <c r="V146" s="65">
        <v>329.7</v>
      </c>
      <c r="W146" s="66">
        <v>320.8</v>
      </c>
      <c r="X146" s="22">
        <f t="shared" si="1"/>
        <v>3.7860082304526088E-3</v>
      </c>
      <c r="Y146" s="22">
        <f t="shared" si="0"/>
        <v>0.23319121023286327</v>
      </c>
      <c r="Z146" s="22">
        <f t="shared" si="0"/>
        <v>0.2539893617021276</v>
      </c>
      <c r="AA146" s="22">
        <f t="shared" si="0"/>
        <v>0.13404029692470831</v>
      </c>
    </row>
    <row r="147" spans="1:27" customFormat="1" hidden="1" x14ac:dyDescent="0.3">
      <c r="B147" s="2" t="s">
        <v>47</v>
      </c>
      <c r="C147" s="2" t="s">
        <v>23</v>
      </c>
      <c r="D147" s="2" t="s">
        <v>48</v>
      </c>
      <c r="E147" s="2" t="s">
        <v>35</v>
      </c>
      <c r="F147" s="2">
        <v>4.2407247627264999</v>
      </c>
      <c r="G147" s="2">
        <v>16.63</v>
      </c>
      <c r="H147" s="2">
        <v>86.29</v>
      </c>
      <c r="I147" s="2">
        <v>-25.02</v>
      </c>
      <c r="J147" s="2">
        <v>-16.11</v>
      </c>
      <c r="K147" s="2">
        <v>-16.149999999999999</v>
      </c>
      <c r="L147" s="2">
        <v>44.79</v>
      </c>
      <c r="M147" s="2">
        <v>17.920000000000002</v>
      </c>
      <c r="N147" s="3">
        <v>60.12</v>
      </c>
      <c r="O147" s="3">
        <v>33.770000000000003</v>
      </c>
      <c r="P147" s="3">
        <v>108.16</v>
      </c>
      <c r="Q147" s="2">
        <v>39.369999999999997</v>
      </c>
      <c r="R147" s="2">
        <v>66.48</v>
      </c>
      <c r="S147" s="2">
        <v>39.44</v>
      </c>
      <c r="T147" s="2">
        <v>81.11</v>
      </c>
      <c r="U147" s="2">
        <v>41.01</v>
      </c>
      <c r="V147" s="2">
        <v>70.239999999999995</v>
      </c>
      <c r="W147" s="27">
        <v>49.27</v>
      </c>
      <c r="X147" s="22">
        <f t="shared" si="1"/>
        <v>-0.10672716512132574</v>
      </c>
      <c r="Y147" s="22">
        <f t="shared" si="0"/>
        <v>7.243816254417057E-3</v>
      </c>
      <c r="Z147" s="22">
        <f t="shared" si="0"/>
        <v>1.6488335379758023E-2</v>
      </c>
      <c r="AA147" s="22">
        <f t="shared" si="0"/>
        <v>4.2407247627264999E-2</v>
      </c>
    </row>
    <row r="148" spans="1:27" ht="15" x14ac:dyDescent="0.25">
      <c r="A148" s="4">
        <v>260128</v>
      </c>
      <c r="B148" s="29" t="s">
        <v>112</v>
      </c>
      <c r="C148" s="19" t="s">
        <v>23</v>
      </c>
      <c r="D148" s="19" t="s">
        <v>113</v>
      </c>
      <c r="E148" s="2" t="s">
        <v>25</v>
      </c>
      <c r="F148" s="30">
        <v>11.257720381807969</v>
      </c>
      <c r="G148" s="2">
        <v>837</v>
      </c>
      <c r="H148" s="2">
        <v>665</v>
      </c>
      <c r="I148" s="2">
        <v>651</v>
      </c>
      <c r="J148" s="2">
        <v>673</v>
      </c>
      <c r="K148" s="2">
        <v>639</v>
      </c>
      <c r="L148" s="64">
        <v>499</v>
      </c>
      <c r="M148" s="64">
        <v>670</v>
      </c>
      <c r="N148" s="64">
        <v>761</v>
      </c>
      <c r="O148" s="65">
        <v>1251</v>
      </c>
      <c r="P148" s="64">
        <v>660</v>
      </c>
      <c r="Q148" s="64">
        <v>817</v>
      </c>
      <c r="R148" s="64">
        <v>983</v>
      </c>
      <c r="S148" s="64">
        <v>893</v>
      </c>
      <c r="T148" s="64">
        <v>709</v>
      </c>
      <c r="U148" s="64">
        <v>894</v>
      </c>
      <c r="V148" s="64">
        <v>1066</v>
      </c>
      <c r="W148" s="66">
        <v>1294</v>
      </c>
      <c r="X148" s="22">
        <f t="shared" si="1"/>
        <v>1.4613778705636848E-2</v>
      </c>
      <c r="Y148" s="22">
        <f t="shared" si="0"/>
        <v>2.2633744855967031E-2</v>
      </c>
      <c r="Z148" s="22">
        <f t="shared" si="0"/>
        <v>2.3857430296062132E-2</v>
      </c>
      <c r="AA148" s="22">
        <f t="shared" si="0"/>
        <v>0.11257720381807967</v>
      </c>
    </row>
    <row r="149" spans="1:27" ht="15" x14ac:dyDescent="0.25">
      <c r="A149" s="4">
        <v>260128</v>
      </c>
      <c r="B149" s="29" t="s">
        <v>125</v>
      </c>
      <c r="C149" s="19" t="s">
        <v>23</v>
      </c>
      <c r="D149" s="19" t="s">
        <v>65</v>
      </c>
      <c r="E149" s="2" t="s">
        <v>25</v>
      </c>
      <c r="F149" s="30">
        <v>11.175616835994189</v>
      </c>
      <c r="G149" s="2">
        <v>588</v>
      </c>
      <c r="H149" s="2">
        <v>594</v>
      </c>
      <c r="I149" s="2">
        <v>491</v>
      </c>
      <c r="J149" s="2">
        <v>319</v>
      </c>
      <c r="K149" s="2">
        <v>501</v>
      </c>
      <c r="L149" s="64">
        <v>296</v>
      </c>
      <c r="M149" s="64">
        <v>278</v>
      </c>
      <c r="N149" s="64">
        <v>288</v>
      </c>
      <c r="O149" s="64">
        <v>164</v>
      </c>
      <c r="P149" s="64">
        <v>257</v>
      </c>
      <c r="Q149" s="64">
        <v>331</v>
      </c>
      <c r="R149" s="64">
        <v>384</v>
      </c>
      <c r="S149" s="65">
        <v>441</v>
      </c>
      <c r="T149" s="65">
        <v>451</v>
      </c>
      <c r="U149" s="65">
        <v>578</v>
      </c>
      <c r="V149" s="65">
        <v>597</v>
      </c>
      <c r="W149" s="66">
        <v>672</v>
      </c>
      <c r="X149" s="22">
        <f t="shared" si="1"/>
        <v>0.1372965322009907</v>
      </c>
      <c r="Y149" s="22">
        <f t="shared" si="0"/>
        <v>0.15370255133789668</v>
      </c>
      <c r="Z149" s="22">
        <f t="shared" si="0"/>
        <v>0.11488673139158578</v>
      </c>
      <c r="AA149" s="22">
        <f t="shared" si="0"/>
        <v>0.11175616835994195</v>
      </c>
    </row>
    <row r="150" spans="1:27" ht="15" x14ac:dyDescent="0.25">
      <c r="A150" s="4">
        <v>260128</v>
      </c>
      <c r="B150" s="29" t="s">
        <v>158</v>
      </c>
      <c r="C150" s="19" t="s">
        <v>23</v>
      </c>
      <c r="D150" s="19" t="s">
        <v>65</v>
      </c>
      <c r="E150" s="2" t="s">
        <v>59</v>
      </c>
      <c r="F150" s="30">
        <v>10.56644880174291</v>
      </c>
      <c r="G150" s="2">
        <v>98.26</v>
      </c>
      <c r="H150" s="2">
        <v>155.24</v>
      </c>
      <c r="I150" s="2">
        <v>134.44999999999999</v>
      </c>
      <c r="J150" s="2">
        <v>131.71</v>
      </c>
      <c r="K150" s="2">
        <v>112.84</v>
      </c>
      <c r="L150" s="64">
        <v>113.41</v>
      </c>
      <c r="M150" s="64">
        <v>98.42</v>
      </c>
      <c r="N150" s="64">
        <v>97.66</v>
      </c>
      <c r="O150" s="64">
        <v>69.28</v>
      </c>
      <c r="P150" s="64">
        <v>57.77</v>
      </c>
      <c r="Q150" s="64">
        <v>70.25</v>
      </c>
      <c r="R150" s="64">
        <v>89.18</v>
      </c>
      <c r="S150" s="64">
        <v>50.13</v>
      </c>
      <c r="T150" s="64">
        <v>78.11</v>
      </c>
      <c r="U150" s="64">
        <v>94.66</v>
      </c>
      <c r="V150" s="64">
        <v>98.4</v>
      </c>
      <c r="W150" s="66">
        <v>84.08</v>
      </c>
      <c r="X150" s="22">
        <f t="shared" si="1"/>
        <v>7.608573672988439E-2</v>
      </c>
      <c r="Y150" s="22">
        <f t="shared" si="0"/>
        <v>8.4854173184551795E-2</v>
      </c>
      <c r="Z150" s="22">
        <f t="shared" si="0"/>
        <v>2.9543706741860909E-2</v>
      </c>
      <c r="AA150" s="22">
        <f t="shared" si="0"/>
        <v>0.10566448801742889</v>
      </c>
    </row>
    <row r="151" spans="1:27" ht="15" x14ac:dyDescent="0.25">
      <c r="A151" s="4">
        <v>260128</v>
      </c>
      <c r="B151" s="29" t="s">
        <v>92</v>
      </c>
      <c r="C151" s="19" t="s">
        <v>23</v>
      </c>
      <c r="D151" s="19" t="s">
        <v>93</v>
      </c>
      <c r="E151" s="2" t="s">
        <v>25</v>
      </c>
      <c r="F151" s="53">
        <v>9.9700488245189298</v>
      </c>
      <c r="G151" s="2">
        <v>59.46</v>
      </c>
      <c r="H151" s="2">
        <v>48.9</v>
      </c>
      <c r="I151" s="2">
        <v>50.96</v>
      </c>
      <c r="J151" s="2">
        <v>56.84</v>
      </c>
      <c r="K151" s="2">
        <v>57.21</v>
      </c>
      <c r="L151" s="64">
        <v>49.35</v>
      </c>
      <c r="M151" s="64">
        <v>60.79</v>
      </c>
      <c r="N151" s="64">
        <v>56.38</v>
      </c>
      <c r="O151" s="64">
        <v>51.48</v>
      </c>
      <c r="P151" s="64">
        <v>55.13</v>
      </c>
      <c r="Q151" s="64">
        <v>63.44</v>
      </c>
      <c r="R151" s="64">
        <v>62.87</v>
      </c>
      <c r="S151" s="64">
        <v>37.799999999999997</v>
      </c>
      <c r="T151" s="64">
        <v>58.37</v>
      </c>
      <c r="U151" s="64">
        <v>66.91</v>
      </c>
      <c r="V151" s="64">
        <v>80.650000000000006</v>
      </c>
      <c r="W151" s="67">
        <v>62.1</v>
      </c>
      <c r="X151" s="22">
        <f t="shared" si="1"/>
        <v>1.4778325123152802E-2</v>
      </c>
      <c r="Y151" s="22">
        <f t="shared" si="1"/>
        <v>1.5596907587198672E-2</v>
      </c>
      <c r="Z151" s="22">
        <f t="shared" si="1"/>
        <v>7.8689975658331468E-2</v>
      </c>
      <c r="AA151" s="22">
        <f t="shared" si="1"/>
        <v>9.9700488245189511E-2</v>
      </c>
    </row>
    <row r="152" spans="1:27" customFormat="1" hidden="1" x14ac:dyDescent="0.3">
      <c r="B152" s="2" t="s">
        <v>56</v>
      </c>
      <c r="C152" s="2" t="s">
        <v>31</v>
      </c>
      <c r="D152" s="2" t="s">
        <v>32</v>
      </c>
      <c r="E152" s="2" t="s">
        <v>35</v>
      </c>
      <c r="F152" s="2">
        <v>1.9845644983461861</v>
      </c>
      <c r="G152" s="2">
        <v>2313</v>
      </c>
      <c r="H152" s="2">
        <v>2079</v>
      </c>
      <c r="I152" s="2">
        <v>1794</v>
      </c>
      <c r="J152" s="2">
        <v>1900</v>
      </c>
      <c r="K152" s="2">
        <v>1636</v>
      </c>
      <c r="L152" s="2">
        <v>1732</v>
      </c>
      <c r="M152" s="2">
        <v>1466</v>
      </c>
      <c r="N152" s="2">
        <v>2481</v>
      </c>
      <c r="O152" s="3">
        <v>2570</v>
      </c>
      <c r="P152" s="3">
        <v>2874</v>
      </c>
      <c r="Q152" s="3">
        <v>2532</v>
      </c>
      <c r="R152" s="2">
        <v>2964</v>
      </c>
      <c r="S152" s="2">
        <v>3024</v>
      </c>
      <c r="T152" s="2">
        <v>2849</v>
      </c>
      <c r="U152" s="2">
        <v>2566</v>
      </c>
      <c r="V152" s="2">
        <v>3352</v>
      </c>
      <c r="W152" s="27">
        <v>3258</v>
      </c>
      <c r="X152" s="22">
        <f t="shared" si="1"/>
        <v>-2.194137265227325E-3</v>
      </c>
      <c r="Y152" s="22">
        <f t="shared" si="1"/>
        <v>2.9905884422551932E-3</v>
      </c>
      <c r="Z152" s="22">
        <f t="shared" si="1"/>
        <v>3.4026133473647358E-2</v>
      </c>
      <c r="AA152" s="22">
        <f t="shared" si="1"/>
        <v>1.9845644983461863E-2</v>
      </c>
    </row>
    <row r="153" spans="1:27" ht="15" x14ac:dyDescent="0.25">
      <c r="A153" s="4">
        <v>260128</v>
      </c>
      <c r="B153" s="29" t="s">
        <v>116</v>
      </c>
      <c r="C153" s="19" t="s">
        <v>23</v>
      </c>
      <c r="D153" s="19" t="s">
        <v>117</v>
      </c>
      <c r="E153" s="2" t="s">
        <v>25</v>
      </c>
      <c r="F153" s="47">
        <v>9.738632295023276</v>
      </c>
      <c r="G153" s="2">
        <v>-129</v>
      </c>
      <c r="H153" s="2">
        <v>-296</v>
      </c>
      <c r="I153" s="2">
        <v>-147</v>
      </c>
      <c r="J153" s="2">
        <v>-175</v>
      </c>
      <c r="K153" s="2">
        <v>-165</v>
      </c>
      <c r="L153" s="64">
        <v>392</v>
      </c>
      <c r="M153" s="64">
        <v>541</v>
      </c>
      <c r="N153" s="65">
        <v>692</v>
      </c>
      <c r="O153" s="65">
        <v>715</v>
      </c>
      <c r="P153" s="65">
        <v>731</v>
      </c>
      <c r="Q153" s="64">
        <v>607</v>
      </c>
      <c r="R153" s="64">
        <v>515</v>
      </c>
      <c r="S153" s="64">
        <v>599</v>
      </c>
      <c r="T153" s="64">
        <v>616</v>
      </c>
      <c r="U153" s="64">
        <v>791</v>
      </c>
      <c r="V153" s="65">
        <v>787</v>
      </c>
      <c r="W153" s="67">
        <v>871</v>
      </c>
      <c r="X153" s="22">
        <f t="shared" si="1"/>
        <v>-4.6900489396411116E-2</v>
      </c>
      <c r="Y153" s="22">
        <f t="shared" si="1"/>
        <v>7.8733418913136566E-2</v>
      </c>
      <c r="Z153" s="22">
        <f t="shared" si="1"/>
        <v>0.10789369297897666</v>
      </c>
      <c r="AA153" s="22">
        <f t="shared" si="1"/>
        <v>9.7386322950232751E-2</v>
      </c>
    </row>
    <row r="154" spans="1:27" ht="15" x14ac:dyDescent="0.25">
      <c r="A154" s="4">
        <v>260128</v>
      </c>
      <c r="B154" s="29" t="s">
        <v>169</v>
      </c>
      <c r="C154" s="19" t="s">
        <v>23</v>
      </c>
      <c r="D154" s="19" t="s">
        <v>52</v>
      </c>
      <c r="E154" s="2" t="s">
        <v>170</v>
      </c>
      <c r="F154" s="47">
        <v>9.2940107458912671</v>
      </c>
      <c r="G154" s="2">
        <v>-768.1</v>
      </c>
      <c r="H154" s="2">
        <v>-141.19</v>
      </c>
      <c r="I154" s="2">
        <v>349.59</v>
      </c>
      <c r="J154" s="2">
        <v>77.989999999999995</v>
      </c>
      <c r="K154" s="2">
        <v>-2.4900000000000002</v>
      </c>
      <c r="L154" s="65">
        <v>66.489999999999995</v>
      </c>
      <c r="M154" s="64">
        <v>48.05</v>
      </c>
      <c r="N154" s="65">
        <v>205.12</v>
      </c>
      <c r="O154" s="64">
        <v>21.34</v>
      </c>
      <c r="P154" s="65">
        <v>113.43</v>
      </c>
      <c r="Q154" s="64">
        <v>10.53</v>
      </c>
      <c r="R154" s="65">
        <v>293.14999999999998</v>
      </c>
      <c r="S154" s="64">
        <v>19.260000000000002</v>
      </c>
      <c r="T154" s="64">
        <v>124.52</v>
      </c>
      <c r="U154" s="64">
        <v>51.63</v>
      </c>
      <c r="V154" s="64">
        <v>310.83</v>
      </c>
      <c r="W154" s="67">
        <v>66.31</v>
      </c>
      <c r="X154" s="22">
        <f t="shared" si="1"/>
        <v>2.5414212709397699E-2</v>
      </c>
      <c r="Y154" s="22">
        <f t="shared" si="1"/>
        <v>9.1851785634470273E-2</v>
      </c>
      <c r="Z154" s="22">
        <f t="shared" si="1"/>
        <v>3.6187981005403769E-2</v>
      </c>
      <c r="AA154" s="22">
        <f t="shared" si="1"/>
        <v>9.294010745891268E-2</v>
      </c>
    </row>
    <row r="155" spans="1:27" ht="15" x14ac:dyDescent="0.25">
      <c r="A155" s="4">
        <v>260128</v>
      </c>
      <c r="B155" s="29" t="s">
        <v>36</v>
      </c>
      <c r="C155" s="19" t="s">
        <v>23</v>
      </c>
      <c r="D155" s="19" t="s">
        <v>37</v>
      </c>
      <c r="E155" s="2" t="s">
        <v>25</v>
      </c>
      <c r="F155" s="47">
        <v>9.2697466467958289</v>
      </c>
      <c r="G155" s="2">
        <v>20.46</v>
      </c>
      <c r="H155" s="2">
        <v>20.55</v>
      </c>
      <c r="I155" s="2">
        <v>11.78</v>
      </c>
      <c r="J155" s="2">
        <v>18.27</v>
      </c>
      <c r="K155" s="2">
        <v>23.91</v>
      </c>
      <c r="L155" s="65">
        <v>30.95</v>
      </c>
      <c r="M155" s="65">
        <v>38.44</v>
      </c>
      <c r="N155" s="65">
        <v>38.619999999999997</v>
      </c>
      <c r="O155" s="64">
        <v>19.489999999999998</v>
      </c>
      <c r="P155" s="64">
        <v>-48.05</v>
      </c>
      <c r="Q155" s="64">
        <v>-38.94</v>
      </c>
      <c r="R155" s="65">
        <v>-3.44</v>
      </c>
      <c r="S155" s="64">
        <v>13.7</v>
      </c>
      <c r="T155" s="64">
        <v>9.94</v>
      </c>
      <c r="U155" s="64">
        <v>-1.76</v>
      </c>
      <c r="V155" s="65">
        <v>11.67</v>
      </c>
      <c r="W155" s="67">
        <v>16.809999999999999</v>
      </c>
      <c r="X155" s="22">
        <f t="shared" si="1"/>
        <v>-0.75576697510751989</v>
      </c>
      <c r="Y155" s="22">
        <f t="shared" si="1"/>
        <v>-1.9839914621131272</v>
      </c>
      <c r="Z155" s="22">
        <f t="shared" si="1"/>
        <v>0.81941431670282006</v>
      </c>
      <c r="AA155" s="22">
        <f t="shared" si="1"/>
        <v>9.2697466467958289E-2</v>
      </c>
    </row>
    <row r="156" spans="1:27" customFormat="1" hidden="1" x14ac:dyDescent="0.3">
      <c r="B156" s="2" t="s">
        <v>62</v>
      </c>
      <c r="C156" s="2" t="s">
        <v>23</v>
      </c>
      <c r="D156" s="2" t="s">
        <v>63</v>
      </c>
      <c r="E156" s="2" t="s">
        <v>35</v>
      </c>
      <c r="F156" s="2">
        <v>-12.4260095584689</v>
      </c>
      <c r="G156" s="2">
        <v>245.3</v>
      </c>
      <c r="H156" s="2">
        <v>0</v>
      </c>
      <c r="I156" s="2">
        <v>51.75</v>
      </c>
      <c r="J156" s="2">
        <v>573.47</v>
      </c>
      <c r="K156" s="3">
        <v>698.03</v>
      </c>
      <c r="L156" s="3">
        <v>308.89</v>
      </c>
      <c r="M156" s="3">
        <v>296.16000000000003</v>
      </c>
      <c r="N156" s="2">
        <v>160.22999999999999</v>
      </c>
      <c r="O156" s="2">
        <v>368.73</v>
      </c>
      <c r="P156" s="2">
        <v>216.72</v>
      </c>
      <c r="Q156" s="2">
        <v>184.16</v>
      </c>
      <c r="R156" s="2">
        <v>179.69</v>
      </c>
      <c r="S156" s="2">
        <v>169.66</v>
      </c>
      <c r="T156" s="2">
        <v>57.51</v>
      </c>
      <c r="U156" s="2">
        <v>139.97</v>
      </c>
      <c r="V156" s="2">
        <v>89</v>
      </c>
      <c r="W156" s="27">
        <v>112.98</v>
      </c>
      <c r="X156" s="22">
        <f t="shared" si="1"/>
        <v>-0.21221492075763426</v>
      </c>
      <c r="Y156" s="22">
        <f t="shared" si="1"/>
        <v>-7.4769043348786757E-2</v>
      </c>
      <c r="Z156" s="22">
        <f t="shared" si="1"/>
        <v>-0.1658467896786936</v>
      </c>
      <c r="AA156" s="22">
        <f t="shared" si="1"/>
        <v>-0.12426009558468876</v>
      </c>
    </row>
    <row r="157" spans="1:27" customFormat="1" hidden="1" x14ac:dyDescent="0.3">
      <c r="B157" s="2" t="s">
        <v>64</v>
      </c>
      <c r="C157" s="2" t="s">
        <v>23</v>
      </c>
      <c r="D157" s="2" t="s">
        <v>65</v>
      </c>
      <c r="E157" s="2" t="s">
        <v>66</v>
      </c>
      <c r="F157" s="2">
        <v>-0.40444893832153328</v>
      </c>
      <c r="G157" s="2">
        <v>42.34</v>
      </c>
      <c r="H157" s="2">
        <v>32.49</v>
      </c>
      <c r="I157" s="2">
        <v>35.85</v>
      </c>
      <c r="J157" s="2">
        <v>49.59</v>
      </c>
      <c r="K157" s="3">
        <v>62.41</v>
      </c>
      <c r="L157" s="3">
        <v>57.34</v>
      </c>
      <c r="M157" s="3">
        <v>56.81</v>
      </c>
      <c r="N157" s="2">
        <v>51.24</v>
      </c>
      <c r="O157" s="2">
        <v>53.24</v>
      </c>
      <c r="P157" s="2">
        <v>45.32</v>
      </c>
      <c r="Q157" s="2">
        <v>40.56</v>
      </c>
      <c r="R157" s="2">
        <v>48.49</v>
      </c>
      <c r="S157" s="2">
        <v>53.85</v>
      </c>
      <c r="T157" s="2">
        <v>51.39</v>
      </c>
      <c r="U157" s="2">
        <v>48.7</v>
      </c>
      <c r="V157" s="2">
        <v>53.75</v>
      </c>
      <c r="W157" s="27">
        <v>53.01</v>
      </c>
      <c r="X157" s="22">
        <f t="shared" si="1"/>
        <v>3.2249495271490902E-2</v>
      </c>
      <c r="Y157" s="22">
        <f t="shared" si="1"/>
        <v>4.1896134644088701E-2</v>
      </c>
      <c r="Z157" s="22">
        <f t="shared" si="1"/>
        <v>2.5984290865978421E-2</v>
      </c>
      <c r="AA157" s="22">
        <f t="shared" si="1"/>
        <v>-4.0444893832153328E-3</v>
      </c>
    </row>
    <row r="158" spans="1:27" ht="15" x14ac:dyDescent="0.25">
      <c r="A158" s="4">
        <v>260128</v>
      </c>
      <c r="B158" s="29" t="s">
        <v>145</v>
      </c>
      <c r="C158" s="19" t="s">
        <v>23</v>
      </c>
      <c r="D158" s="19" t="s">
        <v>146</v>
      </c>
      <c r="E158" s="2" t="s">
        <v>42</v>
      </c>
      <c r="F158" s="47">
        <v>7.3615836684194136</v>
      </c>
      <c r="G158" s="2">
        <v>1338</v>
      </c>
      <c r="H158" s="2">
        <v>1192</v>
      </c>
      <c r="I158" s="2">
        <v>1479</v>
      </c>
      <c r="J158" s="2">
        <v>1698</v>
      </c>
      <c r="K158" s="2">
        <v>1680</v>
      </c>
      <c r="L158" s="64">
        <v>1049</v>
      </c>
      <c r="M158" s="64">
        <v>867.79</v>
      </c>
      <c r="N158" s="64">
        <v>1033</v>
      </c>
      <c r="O158" s="64">
        <v>1074</v>
      </c>
      <c r="P158" s="64">
        <v>1088</v>
      </c>
      <c r="Q158" s="64">
        <v>1131</v>
      </c>
      <c r="R158" s="64">
        <v>1264</v>
      </c>
      <c r="S158" s="64">
        <v>1334</v>
      </c>
      <c r="T158" s="64">
        <v>1562</v>
      </c>
      <c r="U158" s="65">
        <v>1741</v>
      </c>
      <c r="V158" s="64">
        <v>1829</v>
      </c>
      <c r="W158" s="67">
        <v>1810</v>
      </c>
      <c r="X158" s="22">
        <f t="shared" si="1"/>
        <v>9.8401494706248593E-2</v>
      </c>
      <c r="Y158" s="22">
        <f t="shared" si="1"/>
        <v>0.11529011529011535</v>
      </c>
      <c r="Z158" s="22">
        <f t="shared" si="1"/>
        <v>9.5746483646839575E-2</v>
      </c>
      <c r="AA158" s="22">
        <f t="shared" si="1"/>
        <v>7.3615836684194136E-2</v>
      </c>
    </row>
    <row r="159" spans="1:27" ht="15" x14ac:dyDescent="0.25">
      <c r="A159" s="4">
        <v>260128</v>
      </c>
      <c r="B159" s="29" t="s">
        <v>104</v>
      </c>
      <c r="C159" s="19" t="s">
        <v>23</v>
      </c>
      <c r="D159" s="19" t="s">
        <v>29</v>
      </c>
      <c r="E159" s="2" t="s">
        <v>25</v>
      </c>
      <c r="F159" s="47">
        <v>7.3596723681040643</v>
      </c>
      <c r="G159" s="2">
        <v>27.87</v>
      </c>
      <c r="H159" s="2">
        <v>27.75</v>
      </c>
      <c r="I159" s="2">
        <v>26.77</v>
      </c>
      <c r="J159" s="2">
        <v>24.82</v>
      </c>
      <c r="K159" s="2">
        <v>19.75</v>
      </c>
      <c r="L159" s="64">
        <v>17.52</v>
      </c>
      <c r="M159" s="64">
        <v>9.9</v>
      </c>
      <c r="N159" s="64">
        <v>-186.13</v>
      </c>
      <c r="O159" s="65">
        <v>2.0699999999999998</v>
      </c>
      <c r="P159" s="64">
        <v>17.22</v>
      </c>
      <c r="Q159" s="64">
        <v>15.61</v>
      </c>
      <c r="R159" s="64">
        <v>19.21</v>
      </c>
      <c r="S159" s="65">
        <v>19.100000000000001</v>
      </c>
      <c r="T159" s="64">
        <v>19.25</v>
      </c>
      <c r="U159" s="64">
        <v>21.63</v>
      </c>
      <c r="V159" s="64">
        <v>23.04</v>
      </c>
      <c r="W159" s="67">
        <v>25.21</v>
      </c>
      <c r="X159" s="22">
        <f t="shared" si="1"/>
        <v>2.8535282541467533E-2</v>
      </c>
      <c r="Y159" s="22">
        <f t="shared" si="1"/>
        <v>8.2274156074894078E-2</v>
      </c>
      <c r="Z159" s="22">
        <f t="shared" si="1"/>
        <v>4.8364692511680962E-2</v>
      </c>
      <c r="AA159" s="22">
        <f t="shared" si="1"/>
        <v>7.3596723681040421E-2</v>
      </c>
    </row>
    <row r="160" spans="1:27" ht="15" x14ac:dyDescent="0.25">
      <c r="A160" s="4">
        <v>260128</v>
      </c>
      <c r="B160" s="29" t="s">
        <v>143</v>
      </c>
      <c r="C160" s="19" t="s">
        <v>23</v>
      </c>
      <c r="D160" s="19" t="s">
        <v>144</v>
      </c>
      <c r="E160" s="2" t="s">
        <v>25</v>
      </c>
      <c r="F160" s="47">
        <v>6.1861913825921544</v>
      </c>
      <c r="G160" s="2">
        <v>2810</v>
      </c>
      <c r="H160" s="2">
        <v>988</v>
      </c>
      <c r="I160" s="2">
        <v>1770</v>
      </c>
      <c r="J160" s="2">
        <v>1393</v>
      </c>
      <c r="K160" s="2">
        <v>3414</v>
      </c>
      <c r="L160" s="64">
        <v>1445</v>
      </c>
      <c r="M160" s="64">
        <v>2285</v>
      </c>
      <c r="N160" s="64">
        <v>2140</v>
      </c>
      <c r="O160" s="64">
        <v>4031</v>
      </c>
      <c r="P160" s="64">
        <v>1478</v>
      </c>
      <c r="Q160" s="64">
        <v>2354</v>
      </c>
      <c r="R160" s="64">
        <v>2115</v>
      </c>
      <c r="S160" s="64">
        <v>3841</v>
      </c>
      <c r="T160" s="64">
        <v>1803</v>
      </c>
      <c r="U160" s="64">
        <v>3110</v>
      </c>
      <c r="V160" s="64">
        <v>2804</v>
      </c>
      <c r="W160" s="67">
        <v>4556</v>
      </c>
      <c r="X160" s="22">
        <f t="shared" ref="X160:AA224" si="2">SUM(Q160:T160)/SUM(P160:S160)-1</f>
        <v>3.3203923171229999E-2</v>
      </c>
      <c r="Y160" s="22">
        <f t="shared" si="2"/>
        <v>7.4755265499851786E-2</v>
      </c>
      <c r="Z160" s="22">
        <f t="shared" si="2"/>
        <v>6.3391296347410142E-2</v>
      </c>
      <c r="AA160" s="22">
        <f t="shared" si="2"/>
        <v>6.1861913825921544E-2</v>
      </c>
    </row>
    <row r="161" spans="1:27" customFormat="1" hidden="1" x14ac:dyDescent="0.3">
      <c r="B161" s="2" t="s">
        <v>72</v>
      </c>
      <c r="C161" s="2" t="s">
        <v>23</v>
      </c>
      <c r="D161" s="2" t="s">
        <v>54</v>
      </c>
      <c r="E161" s="2" t="s">
        <v>35</v>
      </c>
      <c r="F161" s="2">
        <v>-15.27836558808818</v>
      </c>
      <c r="G161" s="2">
        <v>260.52</v>
      </c>
      <c r="H161" s="2">
        <v>312.25</v>
      </c>
      <c r="I161" s="2">
        <v>286.24</v>
      </c>
      <c r="J161" s="2">
        <v>332.15</v>
      </c>
      <c r="K161" s="2">
        <v>329.57</v>
      </c>
      <c r="L161" s="2">
        <v>338.69</v>
      </c>
      <c r="M161" s="2">
        <v>156.46</v>
      </c>
      <c r="N161" s="2">
        <v>226.66</v>
      </c>
      <c r="O161" s="2">
        <v>273.31</v>
      </c>
      <c r="P161" s="2">
        <v>245.96</v>
      </c>
      <c r="Q161" s="2">
        <v>224.99</v>
      </c>
      <c r="R161" s="2">
        <v>286.49</v>
      </c>
      <c r="S161" s="2">
        <v>239.25</v>
      </c>
      <c r="T161" s="2">
        <v>207.61</v>
      </c>
      <c r="U161" s="2">
        <v>150.66</v>
      </c>
      <c r="V161" s="2">
        <v>182.21</v>
      </c>
      <c r="W161" s="27">
        <v>120.12</v>
      </c>
      <c r="X161" s="22">
        <f t="shared" si="2"/>
        <v>-3.8477360061804577E-2</v>
      </c>
      <c r="Y161" s="22">
        <f t="shared" si="2"/>
        <v>-7.7561199574263884E-2</v>
      </c>
      <c r="Z161" s="22">
        <f t="shared" si="2"/>
        <v>-0.11796246648793562</v>
      </c>
      <c r="AA161" s="22">
        <f t="shared" si="2"/>
        <v>-0.15278365588088183</v>
      </c>
    </row>
    <row r="162" spans="1:27" ht="15" x14ac:dyDescent="0.25">
      <c r="A162" s="4">
        <v>260128</v>
      </c>
      <c r="B162" s="29" t="s">
        <v>45</v>
      </c>
      <c r="C162" s="19" t="s">
        <v>23</v>
      </c>
      <c r="D162" s="19" t="s">
        <v>46</v>
      </c>
      <c r="E162" s="2" t="s">
        <v>25</v>
      </c>
      <c r="F162" s="47">
        <v>6.0648801128349916</v>
      </c>
      <c r="G162" s="2">
        <v>-58.62</v>
      </c>
      <c r="H162" s="2">
        <v>9.85</v>
      </c>
      <c r="I162" s="2">
        <v>109.36</v>
      </c>
      <c r="J162" s="2">
        <v>180.47</v>
      </c>
      <c r="K162" s="3">
        <v>197.45</v>
      </c>
      <c r="L162" s="65">
        <v>226.22</v>
      </c>
      <c r="M162" s="65">
        <v>203.8</v>
      </c>
      <c r="N162" s="64">
        <v>201.62</v>
      </c>
      <c r="O162" s="64">
        <v>123.99</v>
      </c>
      <c r="P162" s="64">
        <v>114.27</v>
      </c>
      <c r="Q162" s="64">
        <v>143.08000000000001</v>
      </c>
      <c r="R162" s="64">
        <v>113.3</v>
      </c>
      <c r="S162" s="64">
        <v>13.48</v>
      </c>
      <c r="T162" s="64">
        <v>32.53</v>
      </c>
      <c r="U162" s="64">
        <v>42.7</v>
      </c>
      <c r="V162" s="64">
        <v>-3.63</v>
      </c>
      <c r="W162" s="67">
        <v>18.64</v>
      </c>
      <c r="X162" s="22">
        <f t="shared" si="2"/>
        <v>-0.21279254419076887</v>
      </c>
      <c r="Y162" s="22">
        <f t="shared" si="2"/>
        <v>-0.33195542180627668</v>
      </c>
      <c r="Z162" s="22">
        <f t="shared" si="2"/>
        <v>-0.5788327310529181</v>
      </c>
      <c r="AA162" s="22">
        <f t="shared" si="2"/>
        <v>6.0648801128349694E-2</v>
      </c>
    </row>
    <row r="163" spans="1:27" ht="15" x14ac:dyDescent="0.25">
      <c r="A163" s="4">
        <v>260128</v>
      </c>
      <c r="B163" s="29" t="s">
        <v>114</v>
      </c>
      <c r="C163" s="19" t="s">
        <v>23</v>
      </c>
      <c r="D163" s="19" t="s">
        <v>115</v>
      </c>
      <c r="E163" s="2" t="s">
        <v>25</v>
      </c>
      <c r="F163" s="47">
        <v>5.8261557203616254</v>
      </c>
      <c r="G163" s="2">
        <v>115.59</v>
      </c>
      <c r="H163" s="2">
        <v>152.06</v>
      </c>
      <c r="I163" s="2">
        <v>140.62</v>
      </c>
      <c r="J163" s="2">
        <v>134.16</v>
      </c>
      <c r="K163" s="2">
        <v>138.4</v>
      </c>
      <c r="L163" s="64">
        <v>159.76</v>
      </c>
      <c r="M163" s="64">
        <v>177.03</v>
      </c>
      <c r="N163" s="64">
        <v>165.7</v>
      </c>
      <c r="O163" s="64">
        <v>151.36000000000001</v>
      </c>
      <c r="P163" s="64">
        <v>194.84</v>
      </c>
      <c r="Q163" s="64">
        <v>190.25</v>
      </c>
      <c r="R163" s="64">
        <v>197.18</v>
      </c>
      <c r="S163" s="64">
        <v>179.53</v>
      </c>
      <c r="T163" s="64">
        <v>245.65</v>
      </c>
      <c r="U163" s="64">
        <v>262.52</v>
      </c>
      <c r="V163" s="64">
        <v>248.08</v>
      </c>
      <c r="W163" s="67">
        <v>234.05</v>
      </c>
      <c r="X163" s="22">
        <f t="shared" si="2"/>
        <v>6.6697295878183294E-2</v>
      </c>
      <c r="Y163" s="22">
        <f t="shared" si="2"/>
        <v>8.8935651788680792E-2</v>
      </c>
      <c r="Z163" s="22">
        <f t="shared" si="2"/>
        <v>5.7521923876683978E-2</v>
      </c>
      <c r="AA163" s="22">
        <f t="shared" si="2"/>
        <v>5.8261557203616032E-2</v>
      </c>
    </row>
    <row r="164" spans="1:27" customFormat="1" hidden="1" x14ac:dyDescent="0.3">
      <c r="B164" s="2" t="s">
        <v>74</v>
      </c>
      <c r="C164" s="2" t="s">
        <v>23</v>
      </c>
      <c r="D164" s="2" t="s">
        <v>32</v>
      </c>
      <c r="E164" s="2" t="s">
        <v>75</v>
      </c>
      <c r="F164" s="2">
        <v>3.538704581358632</v>
      </c>
      <c r="G164" s="2">
        <v>19.920000000000002</v>
      </c>
      <c r="H164" s="2">
        <v>18.260000000000002</v>
      </c>
      <c r="I164" s="2">
        <v>16.399999999999999</v>
      </c>
      <c r="J164" s="2">
        <v>17.16</v>
      </c>
      <c r="K164" s="2">
        <v>13.8</v>
      </c>
      <c r="L164" s="2">
        <v>18.440000000000001</v>
      </c>
      <c r="M164" s="2">
        <v>12.34</v>
      </c>
      <c r="N164" s="2">
        <v>9.7100000000000009</v>
      </c>
      <c r="O164" s="2">
        <v>9.75</v>
      </c>
      <c r="P164" s="2">
        <v>10.92</v>
      </c>
      <c r="Q164" s="2">
        <v>-5.26</v>
      </c>
      <c r="R164" s="2">
        <v>9.74</v>
      </c>
      <c r="S164" s="2">
        <v>9.51</v>
      </c>
      <c r="T164" s="2">
        <v>4.29</v>
      </c>
      <c r="U164" s="3">
        <v>10.72</v>
      </c>
      <c r="V164" s="2">
        <v>7.13</v>
      </c>
      <c r="W164" s="27">
        <v>10.63</v>
      </c>
      <c r="X164" s="22">
        <f t="shared" si="2"/>
        <v>-0.26615816940987547</v>
      </c>
      <c r="Y164" s="22">
        <f t="shared" si="2"/>
        <v>0.87417943107220974</v>
      </c>
      <c r="Z164" s="22">
        <f t="shared" si="2"/>
        <v>-7.6182136602451767E-2</v>
      </c>
      <c r="AA164" s="22">
        <f t="shared" si="2"/>
        <v>3.5387045813586093E-2</v>
      </c>
    </row>
    <row r="165" spans="1:27" ht="15" x14ac:dyDescent="0.25">
      <c r="A165" s="4">
        <v>260128</v>
      </c>
      <c r="B165" s="29" t="s">
        <v>184</v>
      </c>
      <c r="C165" s="19" t="s">
        <v>23</v>
      </c>
      <c r="D165" s="19" t="s">
        <v>131</v>
      </c>
      <c r="E165" s="2" t="s">
        <v>185</v>
      </c>
      <c r="F165" s="47">
        <v>5.6683587140439862</v>
      </c>
      <c r="G165" s="2">
        <v>281</v>
      </c>
      <c r="H165" s="2">
        <v>260</v>
      </c>
      <c r="I165" s="2">
        <v>291</v>
      </c>
      <c r="J165" s="2">
        <v>285</v>
      </c>
      <c r="K165" s="2">
        <v>274</v>
      </c>
      <c r="L165" s="64">
        <v>244</v>
      </c>
      <c r="M165" s="64">
        <v>345</v>
      </c>
      <c r="N165" s="64">
        <v>317</v>
      </c>
      <c r="O165" s="64">
        <v>0</v>
      </c>
      <c r="P165" s="64">
        <v>266</v>
      </c>
      <c r="Q165" s="64">
        <v>356</v>
      </c>
      <c r="R165" s="64">
        <v>272</v>
      </c>
      <c r="S165" s="65">
        <v>243</v>
      </c>
      <c r="T165" s="64">
        <v>266</v>
      </c>
      <c r="U165" s="64">
        <v>331</v>
      </c>
      <c r="V165" s="64">
        <v>342</v>
      </c>
      <c r="W165" s="67">
        <v>310</v>
      </c>
      <c r="X165" s="22">
        <f t="shared" si="2"/>
        <v>0</v>
      </c>
      <c r="Y165" s="22">
        <f t="shared" si="2"/>
        <v>-2.1987686895338587E-2</v>
      </c>
      <c r="Z165" s="22">
        <f t="shared" si="2"/>
        <v>6.2949640287769837E-2</v>
      </c>
      <c r="AA165" s="22">
        <f t="shared" si="2"/>
        <v>5.6683587140439862E-2</v>
      </c>
    </row>
    <row r="166" spans="1:27" customFormat="1" hidden="1" x14ac:dyDescent="0.3">
      <c r="B166" s="2" t="s">
        <v>77</v>
      </c>
      <c r="C166" s="2" t="s">
        <v>67</v>
      </c>
      <c r="D166" s="2" t="s">
        <v>32</v>
      </c>
      <c r="E166" s="2" t="s">
        <v>35</v>
      </c>
      <c r="F166" s="2">
        <v>3.244357928233033</v>
      </c>
      <c r="G166" s="2">
        <v>2082</v>
      </c>
      <c r="H166" s="2">
        <v>1582</v>
      </c>
      <c r="I166" s="2">
        <v>2678</v>
      </c>
      <c r="J166" s="2">
        <v>702</v>
      </c>
      <c r="K166" s="2">
        <v>1752</v>
      </c>
      <c r="L166" s="2">
        <v>1128</v>
      </c>
      <c r="M166" s="3">
        <v>3769</v>
      </c>
      <c r="N166" s="2">
        <v>729</v>
      </c>
      <c r="O166" s="2">
        <v>1814</v>
      </c>
      <c r="P166" s="2">
        <v>1566</v>
      </c>
      <c r="Q166" s="2">
        <v>2233</v>
      </c>
      <c r="R166" s="2">
        <v>985.04</v>
      </c>
      <c r="S166" s="2">
        <v>1773</v>
      </c>
      <c r="T166" s="2">
        <v>1506</v>
      </c>
      <c r="U166" s="3">
        <v>3176</v>
      </c>
      <c r="V166" s="2">
        <v>295.18</v>
      </c>
      <c r="W166" s="27">
        <v>1992</v>
      </c>
      <c r="X166" s="22">
        <f t="shared" si="2"/>
        <v>-9.1504703341751537E-3</v>
      </c>
      <c r="Y166" s="22">
        <f t="shared" si="2"/>
        <v>0.14514301897479465</v>
      </c>
      <c r="Z166" s="22">
        <f t="shared" si="2"/>
        <v>-9.2722619770861381E-2</v>
      </c>
      <c r="AA166" s="22">
        <f t="shared" si="2"/>
        <v>3.2443579282330326E-2</v>
      </c>
    </row>
    <row r="167" spans="1:27" ht="15" x14ac:dyDescent="0.25">
      <c r="A167" s="4">
        <v>260128</v>
      </c>
      <c r="B167" s="29" t="s">
        <v>135</v>
      </c>
      <c r="C167" s="19" t="s">
        <v>23</v>
      </c>
      <c r="D167" s="19" t="s">
        <v>136</v>
      </c>
      <c r="E167" s="2" t="s">
        <v>25</v>
      </c>
      <c r="F167" s="47">
        <v>5.1711633304322602</v>
      </c>
      <c r="G167" s="2">
        <v>1256</v>
      </c>
      <c r="H167" s="2">
        <v>444.5</v>
      </c>
      <c r="I167" s="2">
        <v>-348.1</v>
      </c>
      <c r="J167" s="2">
        <v>205.6</v>
      </c>
      <c r="K167" s="2">
        <v>1088</v>
      </c>
      <c r="L167" s="65">
        <v>617.70000000000005</v>
      </c>
      <c r="M167" s="65">
        <v>501.4</v>
      </c>
      <c r="N167" s="65">
        <v>1480</v>
      </c>
      <c r="O167" s="65">
        <v>2573</v>
      </c>
      <c r="P167" s="65">
        <v>3010</v>
      </c>
      <c r="Q167" s="65">
        <v>1929</v>
      </c>
      <c r="R167" s="65">
        <v>3016</v>
      </c>
      <c r="S167" s="64">
        <v>3038</v>
      </c>
      <c r="T167" s="64">
        <v>3306</v>
      </c>
      <c r="U167" s="65">
        <v>4051</v>
      </c>
      <c r="V167" s="64">
        <v>3393</v>
      </c>
      <c r="W167" s="67">
        <v>3751</v>
      </c>
      <c r="X167" s="22">
        <f t="shared" si="2"/>
        <v>2.6926225780041779E-2</v>
      </c>
      <c r="Y167" s="22">
        <f t="shared" si="2"/>
        <v>0.18797059084064127</v>
      </c>
      <c r="Z167" s="22">
        <f t="shared" si="2"/>
        <v>2.8111251957348538E-2</v>
      </c>
      <c r="AA167" s="22">
        <f t="shared" si="2"/>
        <v>5.1711633304322602E-2</v>
      </c>
    </row>
    <row r="168" spans="1:27" ht="15" x14ac:dyDescent="0.25">
      <c r="A168" s="4">
        <v>260128</v>
      </c>
      <c r="B168" s="29" t="s">
        <v>176</v>
      </c>
      <c r="C168" s="19" t="s">
        <v>23</v>
      </c>
      <c r="D168" s="19" t="s">
        <v>177</v>
      </c>
      <c r="E168" s="2" t="s">
        <v>25</v>
      </c>
      <c r="F168" s="47">
        <v>4.9530346391801539</v>
      </c>
      <c r="G168" s="2">
        <v>334.9</v>
      </c>
      <c r="H168" s="2">
        <v>241.9</v>
      </c>
      <c r="I168" s="2">
        <v>235.33</v>
      </c>
      <c r="J168" s="2">
        <v>217.73</v>
      </c>
      <c r="K168" s="2">
        <v>257.2</v>
      </c>
      <c r="L168" s="64">
        <v>227.27</v>
      </c>
      <c r="M168" s="64">
        <v>196.53</v>
      </c>
      <c r="N168" s="64">
        <v>176.43</v>
      </c>
      <c r="O168" s="64">
        <v>269.2</v>
      </c>
      <c r="P168" s="64">
        <v>230.85</v>
      </c>
      <c r="Q168" s="64">
        <v>226.89</v>
      </c>
      <c r="R168" s="64">
        <v>216.66</v>
      </c>
      <c r="S168" s="64">
        <v>266.2</v>
      </c>
      <c r="T168" s="64">
        <v>76.040000000000006</v>
      </c>
      <c r="U168" s="64">
        <v>213.82</v>
      </c>
      <c r="V168" s="64">
        <v>286.05</v>
      </c>
      <c r="W168" s="67">
        <v>307.91000000000003</v>
      </c>
      <c r="X168" s="22">
        <f t="shared" si="2"/>
        <v>-0.16458643419094188</v>
      </c>
      <c r="Y168" s="22">
        <f t="shared" si="2"/>
        <v>-1.6632942643708848E-2</v>
      </c>
      <c r="Z168" s="22">
        <f t="shared" si="2"/>
        <v>8.9799668702764013E-2</v>
      </c>
      <c r="AA168" s="22">
        <f t="shared" si="2"/>
        <v>4.9530346391801761E-2</v>
      </c>
    </row>
    <row r="169" spans="1:27" customFormat="1" hidden="1" x14ac:dyDescent="0.3">
      <c r="B169" s="2" t="s">
        <v>81</v>
      </c>
      <c r="C169" s="2" t="s">
        <v>23</v>
      </c>
      <c r="D169" s="2" t="s">
        <v>69</v>
      </c>
      <c r="E169" s="2" t="s">
        <v>35</v>
      </c>
      <c r="F169" s="2">
        <v>-11.711856248997259</v>
      </c>
      <c r="G169" s="2">
        <v>27.62</v>
      </c>
      <c r="H169" s="2">
        <v>32.659999999999997</v>
      </c>
      <c r="I169" s="2">
        <v>31.19</v>
      </c>
      <c r="J169" s="2">
        <v>42.33</v>
      </c>
      <c r="K169" s="2">
        <v>37.65</v>
      </c>
      <c r="L169" s="2">
        <v>36.869999999999997</v>
      </c>
      <c r="M169" s="2">
        <v>28.32</v>
      </c>
      <c r="N169" s="2">
        <v>30.63</v>
      </c>
      <c r="O169" s="2">
        <v>19.84</v>
      </c>
      <c r="P169" s="2">
        <v>21.45</v>
      </c>
      <c r="Q169" s="2">
        <v>14.57</v>
      </c>
      <c r="R169" s="2">
        <v>22.05</v>
      </c>
      <c r="S169" s="2">
        <v>17.8</v>
      </c>
      <c r="T169" s="2">
        <v>18.16</v>
      </c>
      <c r="U169" s="2">
        <v>11.1</v>
      </c>
      <c r="V169" s="2">
        <v>15.27</v>
      </c>
      <c r="W169" s="27">
        <v>10.5</v>
      </c>
      <c r="X169" s="22">
        <f t="shared" si="2"/>
        <v>-4.33636483458546E-2</v>
      </c>
      <c r="Y169" s="22">
        <f t="shared" si="2"/>
        <v>-4.7809313860567637E-2</v>
      </c>
      <c r="Z169" s="22">
        <f t="shared" si="2"/>
        <v>-9.8104471132976379E-2</v>
      </c>
      <c r="AA169" s="22">
        <f t="shared" si="2"/>
        <v>-0.11711856248997266</v>
      </c>
    </row>
    <row r="170" spans="1:27" customFormat="1" hidden="1" x14ac:dyDescent="0.3">
      <c r="B170" s="2" t="s">
        <v>82</v>
      </c>
      <c r="C170" s="2" t="s">
        <v>67</v>
      </c>
      <c r="D170" s="2" t="s">
        <v>32</v>
      </c>
      <c r="E170" s="2" t="s">
        <v>35</v>
      </c>
      <c r="F170" s="2">
        <v>-30.407665190273889</v>
      </c>
      <c r="G170" s="2">
        <v>1954</v>
      </c>
      <c r="H170" s="2">
        <v>683</v>
      </c>
      <c r="I170" s="2">
        <v>1176</v>
      </c>
      <c r="J170" s="2">
        <v>423</v>
      </c>
      <c r="K170" s="2">
        <v>1249</v>
      </c>
      <c r="L170" s="3">
        <v>1670</v>
      </c>
      <c r="M170" s="3">
        <v>2425</v>
      </c>
      <c r="N170" s="3">
        <v>2626</v>
      </c>
      <c r="O170" s="3">
        <v>5539</v>
      </c>
      <c r="P170" s="2">
        <v>1491</v>
      </c>
      <c r="Q170" s="3">
        <v>3959</v>
      </c>
      <c r="R170" s="2">
        <v>3956</v>
      </c>
      <c r="S170" s="2">
        <v>4479</v>
      </c>
      <c r="T170" s="3">
        <v>4682</v>
      </c>
      <c r="U170" s="2">
        <v>979</v>
      </c>
      <c r="V170" s="2">
        <v>923</v>
      </c>
      <c r="W170" s="27">
        <v>1115</v>
      </c>
      <c r="X170" s="22">
        <f t="shared" si="2"/>
        <v>0.22981634857760169</v>
      </c>
      <c r="Y170" s="22">
        <f t="shared" si="2"/>
        <v>-0.17451393769032564</v>
      </c>
      <c r="Z170" s="22">
        <f t="shared" si="2"/>
        <v>-0.21516742338251982</v>
      </c>
      <c r="AA170" s="22">
        <f t="shared" si="2"/>
        <v>-0.30407665190273891</v>
      </c>
    </row>
    <row r="171" spans="1:27" customFormat="1" hidden="1" x14ac:dyDescent="0.3">
      <c r="B171" s="2" t="s">
        <v>83</v>
      </c>
      <c r="C171" s="2" t="s">
        <v>67</v>
      </c>
      <c r="D171" s="2" t="s">
        <v>32</v>
      </c>
      <c r="E171" s="2" t="s">
        <v>35</v>
      </c>
      <c r="F171" s="2">
        <v>12.585383545910661</v>
      </c>
      <c r="G171" s="2">
        <v>3414</v>
      </c>
      <c r="H171" s="2">
        <v>1247</v>
      </c>
      <c r="I171" s="2">
        <v>1973</v>
      </c>
      <c r="J171" s="2">
        <v>3029</v>
      </c>
      <c r="K171" s="2">
        <v>3056</v>
      </c>
      <c r="L171" s="3">
        <v>3005</v>
      </c>
      <c r="M171" s="3">
        <v>5729</v>
      </c>
      <c r="N171" s="3">
        <v>4877</v>
      </c>
      <c r="O171" s="3">
        <v>5064</v>
      </c>
      <c r="P171" s="2">
        <v>4807</v>
      </c>
      <c r="Q171" s="2">
        <v>6307</v>
      </c>
      <c r="R171" s="2">
        <v>3091</v>
      </c>
      <c r="S171" s="2">
        <v>2824</v>
      </c>
      <c r="T171" s="2">
        <v>3784</v>
      </c>
      <c r="U171" s="2">
        <v>5633</v>
      </c>
      <c r="V171" s="2">
        <v>4302</v>
      </c>
      <c r="W171" s="28">
        <v>4906</v>
      </c>
      <c r="X171" s="22">
        <f t="shared" si="2"/>
        <v>-6.007399142639025E-2</v>
      </c>
      <c r="Y171" s="22">
        <f t="shared" si="2"/>
        <v>-4.2109209046607532E-2</v>
      </c>
      <c r="Z171" s="22">
        <f t="shared" si="2"/>
        <v>7.8985129141664556E-2</v>
      </c>
      <c r="AA171" s="22">
        <f t="shared" si="2"/>
        <v>0.12585383545910656</v>
      </c>
    </row>
    <row r="172" spans="1:27" customFormat="1" hidden="1" x14ac:dyDescent="0.3">
      <c r="B172" s="2" t="s">
        <v>84</v>
      </c>
      <c r="C172" s="2" t="s">
        <v>31</v>
      </c>
      <c r="D172" s="2" t="s">
        <v>32</v>
      </c>
      <c r="E172" s="2" t="s">
        <v>35</v>
      </c>
      <c r="F172" s="2">
        <v>10.795884400060521</v>
      </c>
      <c r="G172" s="2">
        <v>314.47000000000003</v>
      </c>
      <c r="H172" s="2">
        <v>380.4</v>
      </c>
      <c r="I172" s="2">
        <v>358.92</v>
      </c>
      <c r="J172" s="2">
        <v>356.08</v>
      </c>
      <c r="K172" s="2">
        <v>382.51</v>
      </c>
      <c r="L172" s="2">
        <v>385.66</v>
      </c>
      <c r="M172" s="3">
        <v>576.29999999999995</v>
      </c>
      <c r="N172" s="2">
        <v>469.53</v>
      </c>
      <c r="O172" s="2">
        <v>561.4</v>
      </c>
      <c r="P172" s="2">
        <v>466.61</v>
      </c>
      <c r="Q172" s="2">
        <v>591.08000000000004</v>
      </c>
      <c r="R172" s="2">
        <v>377</v>
      </c>
      <c r="S172" s="2">
        <v>546.20000000000005</v>
      </c>
      <c r="T172" s="2">
        <v>362.7</v>
      </c>
      <c r="U172" s="2">
        <v>323.3</v>
      </c>
      <c r="V172" s="2">
        <v>89.6</v>
      </c>
      <c r="W172" s="28">
        <v>688.9</v>
      </c>
      <c r="X172" s="22">
        <f t="shared" si="2"/>
        <v>-5.2456219174209506E-2</v>
      </c>
      <c r="Y172" s="22">
        <f t="shared" si="2"/>
        <v>-0.14266534539526265</v>
      </c>
      <c r="Z172" s="22">
        <f t="shared" si="2"/>
        <v>-0.17859806114839683</v>
      </c>
      <c r="AA172" s="22">
        <f t="shared" si="2"/>
        <v>0.10795884400060518</v>
      </c>
    </row>
    <row r="173" spans="1:27" customFormat="1" hidden="1" x14ac:dyDescent="0.3">
      <c r="B173" s="2" t="s">
        <v>85</v>
      </c>
      <c r="C173" s="2" t="s">
        <v>31</v>
      </c>
      <c r="D173" s="2" t="s">
        <v>32</v>
      </c>
      <c r="E173" s="2" t="s">
        <v>35</v>
      </c>
      <c r="F173" s="2">
        <v>5.1582211272990008</v>
      </c>
      <c r="G173" s="2">
        <v>293.55</v>
      </c>
      <c r="H173" s="2">
        <v>324.07</v>
      </c>
      <c r="I173" s="2">
        <v>644.99</v>
      </c>
      <c r="J173" s="2">
        <v>340.71</v>
      </c>
      <c r="K173" s="2">
        <v>439.62</v>
      </c>
      <c r="L173" s="3">
        <v>529.01</v>
      </c>
      <c r="M173" s="3">
        <v>924.99</v>
      </c>
      <c r="N173" s="2">
        <v>456.75</v>
      </c>
      <c r="O173" s="2">
        <v>660.34</v>
      </c>
      <c r="P173" s="3">
        <v>1019</v>
      </c>
      <c r="Q173" s="2">
        <v>1001</v>
      </c>
      <c r="R173" s="2">
        <v>728.2</v>
      </c>
      <c r="S173" s="2">
        <v>718.13</v>
      </c>
      <c r="T173" s="2">
        <v>956.62</v>
      </c>
      <c r="U173" s="2">
        <v>1164</v>
      </c>
      <c r="V173" s="2">
        <v>692.7</v>
      </c>
      <c r="W173" s="27">
        <v>900.29</v>
      </c>
      <c r="X173" s="22">
        <f t="shared" si="2"/>
        <v>-1.7995978455600081E-2</v>
      </c>
      <c r="Y173" s="22">
        <f t="shared" si="2"/>
        <v>4.788554473479345E-2</v>
      </c>
      <c r="Z173" s="22">
        <f t="shared" si="2"/>
        <v>-9.9524804104347275E-3</v>
      </c>
      <c r="AA173" s="22">
        <f t="shared" si="2"/>
        <v>5.1582211272989786E-2</v>
      </c>
    </row>
    <row r="174" spans="1:27" ht="15" x14ac:dyDescent="0.25">
      <c r="A174" s="4">
        <v>260128</v>
      </c>
      <c r="B174" s="29" t="s">
        <v>183</v>
      </c>
      <c r="C174" s="19" t="s">
        <v>23</v>
      </c>
      <c r="D174" s="19" t="s">
        <v>177</v>
      </c>
      <c r="E174" s="2" t="s">
        <v>25</v>
      </c>
      <c r="F174" s="47">
        <v>4.8803906961344401</v>
      </c>
      <c r="G174" s="2">
        <v>249.17</v>
      </c>
      <c r="H174" s="2">
        <v>102.72</v>
      </c>
      <c r="I174" s="2">
        <v>77.53</v>
      </c>
      <c r="J174" s="2">
        <v>89.58</v>
      </c>
      <c r="K174" s="2">
        <v>84.74</v>
      </c>
      <c r="L174" s="64">
        <v>89.99</v>
      </c>
      <c r="M174" s="64">
        <v>73.22</v>
      </c>
      <c r="N174" s="64">
        <v>100.84</v>
      </c>
      <c r="O174" s="64">
        <v>106.21</v>
      </c>
      <c r="P174" s="64">
        <v>111.84</v>
      </c>
      <c r="Q174" s="64">
        <v>110.11</v>
      </c>
      <c r="R174" s="64">
        <v>135.30000000000001</v>
      </c>
      <c r="S174" s="64">
        <v>148.82</v>
      </c>
      <c r="T174" s="64">
        <v>158.88999999999999</v>
      </c>
      <c r="U174" s="64">
        <v>127.36</v>
      </c>
      <c r="V174" s="64">
        <v>168.98</v>
      </c>
      <c r="W174" s="67">
        <v>178.3</v>
      </c>
      <c r="X174" s="22">
        <f t="shared" si="2"/>
        <v>9.2971328077143589E-2</v>
      </c>
      <c r="Y174" s="22">
        <f t="shared" si="2"/>
        <v>3.1186722591842742E-2</v>
      </c>
      <c r="Z174" s="22">
        <f t="shared" si="2"/>
        <v>5.9049388993109631E-2</v>
      </c>
      <c r="AA174" s="22">
        <f t="shared" si="2"/>
        <v>4.8803906961344401E-2</v>
      </c>
    </row>
    <row r="175" spans="1:27" customFormat="1" hidden="1" x14ac:dyDescent="0.3">
      <c r="B175" s="2" t="s">
        <v>87</v>
      </c>
      <c r="C175" s="2" t="s">
        <v>31</v>
      </c>
      <c r="D175" s="2" t="s">
        <v>32</v>
      </c>
      <c r="E175" s="2" t="s">
        <v>35</v>
      </c>
      <c r="F175" s="2">
        <v>24.1941914082187</v>
      </c>
      <c r="G175" s="2">
        <v>-345.84</v>
      </c>
      <c r="H175" s="2">
        <v>-342.15</v>
      </c>
      <c r="I175" s="2">
        <v>-323.89</v>
      </c>
      <c r="J175" s="2">
        <v>-43.44</v>
      </c>
      <c r="K175" s="2">
        <v>10.49</v>
      </c>
      <c r="L175" s="2">
        <v>33.630000000000003</v>
      </c>
      <c r="M175" s="2">
        <v>57.88</v>
      </c>
      <c r="N175" s="3">
        <v>-29.03</v>
      </c>
      <c r="O175" s="3">
        <v>18.25</v>
      </c>
      <c r="P175" s="3">
        <v>157.80000000000001</v>
      </c>
      <c r="Q175" s="3">
        <v>170.38</v>
      </c>
      <c r="R175" s="3">
        <v>115.16</v>
      </c>
      <c r="S175" s="3">
        <v>220.64</v>
      </c>
      <c r="T175" s="3">
        <v>395.67</v>
      </c>
      <c r="U175" s="3">
        <v>368.34</v>
      </c>
      <c r="V175" s="3">
        <v>344.76</v>
      </c>
      <c r="W175" s="28">
        <v>542.28</v>
      </c>
      <c r="X175" s="22">
        <f t="shared" si="2"/>
        <v>0.35824874243200089</v>
      </c>
      <c r="Y175" s="22">
        <f t="shared" si="2"/>
        <v>0.2195043521649942</v>
      </c>
      <c r="Z175" s="22">
        <f t="shared" si="2"/>
        <v>0.20876333184822826</v>
      </c>
      <c r="AA175" s="22">
        <f t="shared" si="2"/>
        <v>0.24194191408218702</v>
      </c>
    </row>
    <row r="176" spans="1:27" ht="15" x14ac:dyDescent="0.25">
      <c r="A176" s="4">
        <v>260128</v>
      </c>
      <c r="B176" s="29" t="s">
        <v>22</v>
      </c>
      <c r="C176" s="19" t="s">
        <v>23</v>
      </c>
      <c r="D176" s="19" t="s">
        <v>24</v>
      </c>
      <c r="E176" s="2" t="s">
        <v>25</v>
      </c>
      <c r="F176" s="47">
        <v>4.8713742395374293</v>
      </c>
      <c r="G176" s="2">
        <v>22247</v>
      </c>
      <c r="H176" s="2">
        <v>20364</v>
      </c>
      <c r="I176" s="2">
        <v>20534</v>
      </c>
      <c r="J176" s="2">
        <v>21518</v>
      </c>
      <c r="K176" s="2">
        <v>20551</v>
      </c>
      <c r="L176" s="64">
        <v>22352</v>
      </c>
      <c r="M176" s="64">
        <v>24254</v>
      </c>
      <c r="N176" s="64">
        <v>26895</v>
      </c>
      <c r="O176" s="64">
        <v>27032</v>
      </c>
      <c r="P176" s="64">
        <v>27581</v>
      </c>
      <c r="Q176" s="64">
        <v>27925</v>
      </c>
      <c r="R176" s="64">
        <v>30552</v>
      </c>
      <c r="S176" s="64">
        <v>31653</v>
      </c>
      <c r="T176" s="64">
        <v>32000</v>
      </c>
      <c r="U176" s="64">
        <v>34323</v>
      </c>
      <c r="V176" s="64">
        <v>37961</v>
      </c>
      <c r="W176" s="67">
        <v>38275</v>
      </c>
      <c r="X176" s="22">
        <f t="shared" si="2"/>
        <v>3.7541096414098973E-2</v>
      </c>
      <c r="Y176" s="22">
        <f t="shared" si="2"/>
        <v>5.2386800949807633E-2</v>
      </c>
      <c r="Z176" s="22">
        <f t="shared" si="2"/>
        <v>5.7645026764596041E-2</v>
      </c>
      <c r="AA176" s="22">
        <f t="shared" si="2"/>
        <v>4.8713742395374293E-2</v>
      </c>
    </row>
    <row r="177" spans="1:27" ht="15" x14ac:dyDescent="0.25">
      <c r="A177" s="4">
        <v>260128</v>
      </c>
      <c r="B177" s="29" t="s">
        <v>51</v>
      </c>
      <c r="C177" s="19" t="s">
        <v>23</v>
      </c>
      <c r="D177" s="19" t="s">
        <v>52</v>
      </c>
      <c r="E177" s="2" t="s">
        <v>25</v>
      </c>
      <c r="F177" s="47">
        <v>4.6018930957683724</v>
      </c>
      <c r="G177" s="2">
        <v>32.340000000000003</v>
      </c>
      <c r="H177" s="2">
        <v>49.39</v>
      </c>
      <c r="I177" s="2">
        <v>60.06</v>
      </c>
      <c r="J177" s="2">
        <v>48.24</v>
      </c>
      <c r="K177" s="3">
        <v>61.73</v>
      </c>
      <c r="L177" s="64">
        <v>58.74</v>
      </c>
      <c r="M177" s="64">
        <v>57.63</v>
      </c>
      <c r="N177" s="64">
        <v>52.63</v>
      </c>
      <c r="O177" s="64">
        <v>65.59</v>
      </c>
      <c r="P177" s="64">
        <v>80.650000000000006</v>
      </c>
      <c r="Q177" s="64">
        <v>72.77</v>
      </c>
      <c r="R177" s="64">
        <v>72.33</v>
      </c>
      <c r="S177" s="65">
        <v>98.64</v>
      </c>
      <c r="T177" s="64">
        <v>97.46</v>
      </c>
      <c r="U177" s="64">
        <v>77.31</v>
      </c>
      <c r="V177" s="64">
        <v>85.79</v>
      </c>
      <c r="W177" s="67">
        <v>115.17</v>
      </c>
      <c r="X177" s="22">
        <f t="shared" si="2"/>
        <v>5.1820339714541142E-2</v>
      </c>
      <c r="Y177" s="22">
        <f t="shared" si="2"/>
        <v>1.3305978898006998E-2</v>
      </c>
      <c r="Z177" s="22">
        <f t="shared" si="2"/>
        <v>3.8930988604153338E-2</v>
      </c>
      <c r="AA177" s="22">
        <f t="shared" si="2"/>
        <v>4.6018930957683724E-2</v>
      </c>
    </row>
    <row r="178" spans="1:27" customFormat="1" hidden="1" x14ac:dyDescent="0.3">
      <c r="B178" s="2" t="s">
        <v>90</v>
      </c>
      <c r="C178" s="2" t="s">
        <v>67</v>
      </c>
      <c r="D178" s="2" t="s">
        <v>32</v>
      </c>
      <c r="E178" s="2" t="s">
        <v>35</v>
      </c>
      <c r="F178" s="2">
        <v>14.472378432021159</v>
      </c>
      <c r="G178" s="2">
        <v>-381</v>
      </c>
      <c r="H178" s="2">
        <v>568</v>
      </c>
      <c r="I178" s="2">
        <v>10789</v>
      </c>
      <c r="J178" s="2">
        <v>-1932</v>
      </c>
      <c r="K178" s="2">
        <v>-1053</v>
      </c>
      <c r="L178" s="2">
        <v>961</v>
      </c>
      <c r="M178" s="2">
        <v>10714</v>
      </c>
      <c r="N178" s="2">
        <v>-2523</v>
      </c>
      <c r="O178" s="2">
        <v>-259</v>
      </c>
      <c r="P178" s="3">
        <v>2874</v>
      </c>
      <c r="Q178" s="2">
        <v>9812</v>
      </c>
      <c r="R178" s="2">
        <v>-2068</v>
      </c>
      <c r="S178" s="2">
        <v>-1</v>
      </c>
      <c r="T178" s="2">
        <v>1717</v>
      </c>
      <c r="U178" s="3">
        <v>10979</v>
      </c>
      <c r="V178" s="3">
        <v>-603</v>
      </c>
      <c r="W178" s="28">
        <v>1749</v>
      </c>
      <c r="X178" s="22">
        <f t="shared" si="2"/>
        <v>-0.10897617029292639</v>
      </c>
      <c r="Y178" s="22">
        <f t="shared" si="2"/>
        <v>0.12336152219873142</v>
      </c>
      <c r="Z178" s="22">
        <f t="shared" si="2"/>
        <v>0.13785640350051764</v>
      </c>
      <c r="AA178" s="22">
        <f t="shared" si="2"/>
        <v>0.1447237843202116</v>
      </c>
    </row>
    <row r="179" spans="1:27" customFormat="1" hidden="1" x14ac:dyDescent="0.3">
      <c r="B179" s="2" t="s">
        <v>91</v>
      </c>
      <c r="C179" s="2" t="s">
        <v>67</v>
      </c>
      <c r="D179" s="2" t="s">
        <v>32</v>
      </c>
      <c r="E179" s="2" t="s">
        <v>35</v>
      </c>
      <c r="F179" s="2">
        <v>6.1854589296010953</v>
      </c>
      <c r="G179" s="2">
        <v>2570</v>
      </c>
      <c r="H179" s="2">
        <v>2725</v>
      </c>
      <c r="I179" s="2">
        <v>2981</v>
      </c>
      <c r="J179" s="2">
        <v>3350</v>
      </c>
      <c r="K179" s="3">
        <v>3773</v>
      </c>
      <c r="L179" s="3">
        <v>4278</v>
      </c>
      <c r="M179" s="2">
        <v>4146</v>
      </c>
      <c r="N179" s="2">
        <v>3817</v>
      </c>
      <c r="O179" s="2">
        <v>4169</v>
      </c>
      <c r="P179" s="2">
        <v>3384</v>
      </c>
      <c r="Q179" s="2">
        <v>4861</v>
      </c>
      <c r="R179" s="2">
        <v>4721</v>
      </c>
      <c r="S179" s="2">
        <v>4798</v>
      </c>
      <c r="T179" s="2">
        <v>4447</v>
      </c>
      <c r="U179" s="2">
        <v>4114</v>
      </c>
      <c r="V179" s="2">
        <v>5718</v>
      </c>
      <c r="W179" s="27">
        <v>5978</v>
      </c>
      <c r="X179" s="22">
        <f t="shared" si="2"/>
        <v>5.984012609772571E-2</v>
      </c>
      <c r="Y179" s="22">
        <f t="shared" si="2"/>
        <v>-3.9677059542146953E-2</v>
      </c>
      <c r="Z179" s="22">
        <f t="shared" si="2"/>
        <v>5.5143805309734617E-2</v>
      </c>
      <c r="AA179" s="22">
        <f t="shared" si="2"/>
        <v>6.1854589296010953E-2</v>
      </c>
    </row>
    <row r="180" spans="1:27" ht="15" x14ac:dyDescent="0.25">
      <c r="A180" s="4">
        <v>260128</v>
      </c>
      <c r="B180" s="29" t="s">
        <v>89</v>
      </c>
      <c r="C180" s="19" t="s">
        <v>23</v>
      </c>
      <c r="D180" s="19" t="s">
        <v>29</v>
      </c>
      <c r="E180" s="2" t="s">
        <v>25</v>
      </c>
      <c r="F180" s="47">
        <v>4.5756457564575692</v>
      </c>
      <c r="G180" s="2">
        <v>21.99</v>
      </c>
      <c r="H180" s="2">
        <v>25.17</v>
      </c>
      <c r="I180" s="2">
        <v>16.420000000000002</v>
      </c>
      <c r="J180" s="2">
        <v>25.99</v>
      </c>
      <c r="K180" s="2">
        <v>29.63</v>
      </c>
      <c r="L180" s="64">
        <v>26.08</v>
      </c>
      <c r="M180" s="64">
        <v>20.94</v>
      </c>
      <c r="N180" s="64">
        <v>21.27</v>
      </c>
      <c r="O180" s="64">
        <v>20.399999999999999</v>
      </c>
      <c r="P180" s="64">
        <v>25.56</v>
      </c>
      <c r="Q180" s="64">
        <v>22.59</v>
      </c>
      <c r="R180" s="64">
        <v>23.39</v>
      </c>
      <c r="S180" s="64">
        <v>23.76</v>
      </c>
      <c r="T180" s="64">
        <v>27.56</v>
      </c>
      <c r="U180" s="64">
        <v>25.02</v>
      </c>
      <c r="V180" s="64">
        <v>32.06</v>
      </c>
      <c r="W180" s="67">
        <v>28.72</v>
      </c>
      <c r="X180" s="22">
        <f t="shared" si="2"/>
        <v>2.0986358866736721E-2</v>
      </c>
      <c r="Y180" s="22">
        <f t="shared" si="2"/>
        <v>2.4974306269270219E-2</v>
      </c>
      <c r="Z180" s="22">
        <f t="shared" si="2"/>
        <v>8.6934723754136245E-2</v>
      </c>
      <c r="AA180" s="22">
        <f t="shared" si="2"/>
        <v>4.5756457564575692E-2</v>
      </c>
    </row>
    <row r="181" spans="1:27" customFormat="1" hidden="1" x14ac:dyDescent="0.3">
      <c r="B181" s="2" t="s">
        <v>94</v>
      </c>
      <c r="C181" s="2" t="s">
        <v>23</v>
      </c>
      <c r="D181" s="2" t="s">
        <v>95</v>
      </c>
      <c r="E181" s="2" t="s">
        <v>96</v>
      </c>
      <c r="F181" s="2">
        <v>-79.90654205607477</v>
      </c>
      <c r="G181" s="2">
        <v>-0.82</v>
      </c>
      <c r="H181" s="2">
        <v>-0.21</v>
      </c>
      <c r="I181" s="2">
        <v>-0.72</v>
      </c>
      <c r="J181" s="2">
        <v>-0.24</v>
      </c>
      <c r="K181" s="2">
        <v>-0.45</v>
      </c>
      <c r="L181" s="2">
        <v>-0.01</v>
      </c>
      <c r="M181" s="2">
        <v>-0.41</v>
      </c>
      <c r="N181" s="2">
        <v>-0.31</v>
      </c>
      <c r="O181" s="2">
        <v>-0.01</v>
      </c>
      <c r="P181" s="3">
        <v>-0.35</v>
      </c>
      <c r="Q181" s="3">
        <v>-0.83</v>
      </c>
      <c r="R181" s="2">
        <v>-0.11</v>
      </c>
      <c r="S181" s="3">
        <v>-0.32</v>
      </c>
      <c r="T181" s="2">
        <v>-0.38</v>
      </c>
      <c r="U181" s="2">
        <v>0.92</v>
      </c>
      <c r="V181" s="2">
        <v>-4.5</v>
      </c>
      <c r="W181" s="27">
        <v>3.1</v>
      </c>
      <c r="X181" s="22">
        <f t="shared" si="2"/>
        <v>1.8633540372670732E-2</v>
      </c>
      <c r="Y181" s="22">
        <f t="shared" si="2"/>
        <v>-1.0670731707317074</v>
      </c>
      <c r="Z181" s="22">
        <f t="shared" si="2"/>
        <v>-39.909090909090914</v>
      </c>
      <c r="AA181" s="22">
        <f t="shared" si="2"/>
        <v>-0.7990654205607477</v>
      </c>
    </row>
    <row r="182" spans="1:27" ht="15" x14ac:dyDescent="0.25">
      <c r="A182" s="4">
        <v>260128</v>
      </c>
      <c r="B182" s="29" t="s">
        <v>161</v>
      </c>
      <c r="C182" s="19" t="s">
        <v>23</v>
      </c>
      <c r="D182" s="19" t="s">
        <v>162</v>
      </c>
      <c r="E182" s="2" t="s">
        <v>59</v>
      </c>
      <c r="F182" s="47">
        <v>4.3207957724588084</v>
      </c>
      <c r="G182" s="2">
        <v>635.72</v>
      </c>
      <c r="H182" s="2">
        <v>376.65</v>
      </c>
      <c r="I182" s="2">
        <v>72.09</v>
      </c>
      <c r="J182" s="2">
        <v>331.33</v>
      </c>
      <c r="K182" s="2">
        <v>516.29</v>
      </c>
      <c r="L182" s="64">
        <v>138.44999999999999</v>
      </c>
      <c r="M182" s="64">
        <v>-32.479999999999997</v>
      </c>
      <c r="N182" s="64">
        <v>351.06</v>
      </c>
      <c r="O182" s="64">
        <v>216.78</v>
      </c>
      <c r="P182" s="64">
        <v>-63.97</v>
      </c>
      <c r="Q182" s="64">
        <v>-110.28</v>
      </c>
      <c r="R182" s="64">
        <v>284.57</v>
      </c>
      <c r="S182" s="65">
        <v>296.14</v>
      </c>
      <c r="T182" s="65">
        <v>3.91</v>
      </c>
      <c r="U182" s="64">
        <v>-69.47</v>
      </c>
      <c r="V182" s="64">
        <v>316.31</v>
      </c>
      <c r="W182" s="67">
        <v>319.77</v>
      </c>
      <c r="X182" s="22">
        <f t="shared" si="2"/>
        <v>0.16700290311469757</v>
      </c>
      <c r="Y182" s="22">
        <f t="shared" si="2"/>
        <v>8.6035333305224171E-2</v>
      </c>
      <c r="Z182" s="22">
        <f t="shared" si="2"/>
        <v>6.1613122391536379E-2</v>
      </c>
      <c r="AA182" s="22">
        <f t="shared" si="2"/>
        <v>4.3207957724588075E-2</v>
      </c>
    </row>
    <row r="183" spans="1:27" ht="15" x14ac:dyDescent="0.25">
      <c r="A183" s="4">
        <v>260128</v>
      </c>
      <c r="B183" s="29" t="s">
        <v>165</v>
      </c>
      <c r="C183" s="19" t="s">
        <v>23</v>
      </c>
      <c r="D183" s="19" t="s">
        <v>166</v>
      </c>
      <c r="E183" s="2" t="s">
        <v>25</v>
      </c>
      <c r="F183" s="47">
        <v>4.1015150287612601</v>
      </c>
      <c r="G183" s="2">
        <v>206.71</v>
      </c>
      <c r="H183" s="2">
        <v>241.39</v>
      </c>
      <c r="I183" s="2">
        <v>166.86</v>
      </c>
      <c r="J183" s="2">
        <v>179.49</v>
      </c>
      <c r="K183" s="2">
        <v>257.79000000000002</v>
      </c>
      <c r="L183" s="64">
        <v>225.12</v>
      </c>
      <c r="M183" s="64">
        <v>157.51</v>
      </c>
      <c r="N183" s="64">
        <v>128.53</v>
      </c>
      <c r="O183" s="64">
        <v>210.7</v>
      </c>
      <c r="P183" s="64">
        <v>254.68</v>
      </c>
      <c r="Q183" s="64">
        <v>152.84</v>
      </c>
      <c r="R183" s="64">
        <v>125.19</v>
      </c>
      <c r="S183" s="64">
        <v>235.62</v>
      </c>
      <c r="T183" s="64">
        <v>331.09</v>
      </c>
      <c r="U183" s="65">
        <v>237.35</v>
      </c>
      <c r="V183" s="64">
        <v>183.38</v>
      </c>
      <c r="W183" s="67">
        <v>276.12</v>
      </c>
      <c r="X183" s="22">
        <f t="shared" si="2"/>
        <v>9.9449455312170532E-2</v>
      </c>
      <c r="Y183" s="22">
        <f t="shared" si="2"/>
        <v>0.1000426166631152</v>
      </c>
      <c r="Z183" s="22">
        <f t="shared" si="2"/>
        <v>6.2620392789884294E-2</v>
      </c>
      <c r="AA183" s="22">
        <f t="shared" si="2"/>
        <v>4.1015150287612379E-2</v>
      </c>
    </row>
    <row r="184" spans="1:27" ht="15" x14ac:dyDescent="0.25">
      <c r="A184" s="4">
        <v>260128</v>
      </c>
      <c r="B184" s="29" t="s">
        <v>70</v>
      </c>
      <c r="C184" s="19" t="s">
        <v>23</v>
      </c>
      <c r="D184" s="19" t="s">
        <v>71</v>
      </c>
      <c r="E184" s="2" t="s">
        <v>59</v>
      </c>
      <c r="F184" s="47">
        <v>3.953114226614574</v>
      </c>
      <c r="G184" s="2">
        <v>-34.6</v>
      </c>
      <c r="H184" s="2">
        <v>389.3</v>
      </c>
      <c r="I184" s="2">
        <v>150.4</v>
      </c>
      <c r="J184" s="2">
        <v>-103.6</v>
      </c>
      <c r="K184" s="2">
        <v>-11.7</v>
      </c>
      <c r="L184" s="64">
        <v>352</v>
      </c>
      <c r="M184" s="64">
        <v>114.7</v>
      </c>
      <c r="N184" s="64">
        <v>-148.5</v>
      </c>
      <c r="O184" s="64">
        <v>-55.4</v>
      </c>
      <c r="P184" s="64">
        <v>347.8</v>
      </c>
      <c r="Q184" s="65">
        <v>203.9</v>
      </c>
      <c r="R184" s="64">
        <v>-128.80000000000001</v>
      </c>
      <c r="S184" s="64">
        <v>-39</v>
      </c>
      <c r="T184" s="64">
        <v>365.9</v>
      </c>
      <c r="U184" s="64">
        <v>231.5</v>
      </c>
      <c r="V184" s="64">
        <v>-123.3</v>
      </c>
      <c r="W184" s="67">
        <v>-21.8</v>
      </c>
      <c r="X184" s="22">
        <f t="shared" si="2"/>
        <v>4.7147694712164512E-2</v>
      </c>
      <c r="Y184" s="22">
        <f t="shared" si="2"/>
        <v>6.8656716417910379E-2</v>
      </c>
      <c r="Z184" s="22">
        <f t="shared" si="2"/>
        <v>1.2802607076350059E-2</v>
      </c>
      <c r="AA184" s="22">
        <f t="shared" si="2"/>
        <v>3.9531142266145736E-2</v>
      </c>
    </row>
    <row r="185" spans="1:27" customFormat="1" hidden="1" x14ac:dyDescent="0.3">
      <c r="B185" s="2" t="s">
        <v>100</v>
      </c>
      <c r="C185" s="2" t="s">
        <v>23</v>
      </c>
      <c r="D185" s="2" t="s">
        <v>101</v>
      </c>
      <c r="E185" s="2" t="s">
        <v>35</v>
      </c>
      <c r="F185" s="2">
        <v>-1.2977099236641141</v>
      </c>
      <c r="G185" s="2">
        <v>26.72</v>
      </c>
      <c r="H185" s="2">
        <v>36.81</v>
      </c>
      <c r="I185" s="2">
        <v>22.44</v>
      </c>
      <c r="J185" s="2">
        <v>28.3</v>
      </c>
      <c r="K185" s="2">
        <v>26.35</v>
      </c>
      <c r="L185" s="2">
        <v>14.98</v>
      </c>
      <c r="M185" s="2">
        <v>21.34</v>
      </c>
      <c r="N185" s="2">
        <v>29.02</v>
      </c>
      <c r="O185" s="3">
        <v>35.700000000000003</v>
      </c>
      <c r="P185" s="3">
        <v>42.12</v>
      </c>
      <c r="Q185" s="2">
        <v>30.11</v>
      </c>
      <c r="R185" s="2">
        <v>38.43</v>
      </c>
      <c r="S185" s="2">
        <v>38.659999999999997</v>
      </c>
      <c r="T185" s="2">
        <v>53.72</v>
      </c>
      <c r="U185" s="2">
        <v>23.36</v>
      </c>
      <c r="V185" s="2">
        <v>41.46</v>
      </c>
      <c r="W185" s="27">
        <v>36.619999999999997</v>
      </c>
      <c r="X185" s="22">
        <f t="shared" si="2"/>
        <v>7.7685507634610129E-2</v>
      </c>
      <c r="Y185" s="22">
        <f t="shared" si="2"/>
        <v>-4.1946308724832071E-2</v>
      </c>
      <c r="Z185" s="22">
        <f t="shared" si="2"/>
        <v>1.965362911072166E-2</v>
      </c>
      <c r="AA185" s="22">
        <f t="shared" si="2"/>
        <v>-1.2977099236641143E-2</v>
      </c>
    </row>
    <row r="186" spans="1:27" customFormat="1" hidden="1" x14ac:dyDescent="0.3">
      <c r="B186" s="2" t="s">
        <v>102</v>
      </c>
      <c r="C186" s="2" t="s">
        <v>31</v>
      </c>
      <c r="D186" s="2" t="s">
        <v>32</v>
      </c>
      <c r="E186" s="2" t="s">
        <v>35</v>
      </c>
      <c r="F186" s="2">
        <v>-3.150809965953572</v>
      </c>
      <c r="G186" s="2">
        <v>689.91</v>
      </c>
      <c r="H186" s="2">
        <v>1671</v>
      </c>
      <c r="I186" s="2">
        <v>1171</v>
      </c>
      <c r="J186" s="2">
        <v>1367</v>
      </c>
      <c r="K186" s="2">
        <v>905.4</v>
      </c>
      <c r="L186" s="2">
        <v>1994</v>
      </c>
      <c r="M186" s="2">
        <v>1405</v>
      </c>
      <c r="N186" s="2">
        <v>1182</v>
      </c>
      <c r="O186" s="2">
        <v>603.49</v>
      </c>
      <c r="P186" s="2">
        <v>2076</v>
      </c>
      <c r="Q186" s="2">
        <v>1373</v>
      </c>
      <c r="R186" s="2">
        <v>755.17</v>
      </c>
      <c r="S186" s="2">
        <v>846.97</v>
      </c>
      <c r="T186" s="2">
        <v>2031</v>
      </c>
      <c r="U186" s="2">
        <v>1266</v>
      </c>
      <c r="V186" s="2">
        <v>808.09</v>
      </c>
      <c r="W186" s="27">
        <v>690.94</v>
      </c>
      <c r="X186" s="22">
        <f t="shared" si="2"/>
        <v>-8.9088799756095183E-3</v>
      </c>
      <c r="Y186" s="22">
        <f t="shared" si="2"/>
        <v>-2.1373753031277754E-2</v>
      </c>
      <c r="Z186" s="22">
        <f t="shared" si="2"/>
        <v>1.0801895842944109E-2</v>
      </c>
      <c r="AA186" s="22">
        <f t="shared" si="2"/>
        <v>-3.1508099659535604E-2</v>
      </c>
    </row>
    <row r="187" spans="1:27" ht="15" x14ac:dyDescent="0.25">
      <c r="A187" s="4">
        <v>260128</v>
      </c>
      <c r="B187" s="29" t="s">
        <v>118</v>
      </c>
      <c r="C187" s="19" t="s">
        <v>23</v>
      </c>
      <c r="D187" s="19" t="s">
        <v>119</v>
      </c>
      <c r="E187" s="2" t="s">
        <v>25</v>
      </c>
      <c r="F187" s="47">
        <v>3.678931793926465</v>
      </c>
      <c r="G187" s="2">
        <v>288.06</v>
      </c>
      <c r="H187" s="2">
        <v>290.29000000000002</v>
      </c>
      <c r="I187" s="2">
        <v>302.2</v>
      </c>
      <c r="J187" s="2">
        <v>310.45999999999998</v>
      </c>
      <c r="K187" s="2">
        <v>307.74</v>
      </c>
      <c r="L187" s="64">
        <v>314.60000000000002</v>
      </c>
      <c r="M187" s="64">
        <v>345.95</v>
      </c>
      <c r="N187" s="64">
        <v>354.32</v>
      </c>
      <c r="O187" s="64">
        <v>371.53</v>
      </c>
      <c r="P187" s="64">
        <v>340.89</v>
      </c>
      <c r="Q187" s="64">
        <v>385.34</v>
      </c>
      <c r="R187" s="64">
        <v>404.43</v>
      </c>
      <c r="S187" s="64">
        <v>402.95</v>
      </c>
      <c r="T187" s="64">
        <v>377.02</v>
      </c>
      <c r="U187" s="64">
        <v>421.46</v>
      </c>
      <c r="V187" s="64">
        <v>447.69</v>
      </c>
      <c r="W187" s="67">
        <v>463.62</v>
      </c>
      <c r="X187" s="22">
        <f t="shared" si="2"/>
        <v>2.3558792652629945E-2</v>
      </c>
      <c r="Y187" s="22">
        <f t="shared" si="2"/>
        <v>2.301018002981392E-2</v>
      </c>
      <c r="Z187" s="22">
        <f t="shared" si="2"/>
        <v>2.6938836511277486E-2</v>
      </c>
      <c r="AA187" s="22">
        <f t="shared" si="2"/>
        <v>3.6789317939264432E-2</v>
      </c>
    </row>
    <row r="188" spans="1:27" ht="15" x14ac:dyDescent="0.25">
      <c r="A188" s="4">
        <v>260128</v>
      </c>
      <c r="B188" s="29" t="s">
        <v>150</v>
      </c>
      <c r="C188" s="19" t="s">
        <v>23</v>
      </c>
      <c r="D188" s="19" t="s">
        <v>151</v>
      </c>
      <c r="E188" s="2" t="s">
        <v>25</v>
      </c>
      <c r="F188" s="47">
        <v>3.526896157336612</v>
      </c>
      <c r="G188" s="2">
        <v>12585</v>
      </c>
      <c r="H188" s="2">
        <v>8524</v>
      </c>
      <c r="I188" s="2">
        <v>8358</v>
      </c>
      <c r="J188" s="2">
        <v>5664</v>
      </c>
      <c r="K188" s="2">
        <v>11010</v>
      </c>
      <c r="L188" s="64">
        <v>7848</v>
      </c>
      <c r="M188" s="64">
        <v>9576</v>
      </c>
      <c r="N188" s="65">
        <v>14092</v>
      </c>
      <c r="O188" s="65">
        <v>17491</v>
      </c>
      <c r="P188" s="65">
        <v>13818</v>
      </c>
      <c r="Q188" s="64">
        <v>14847</v>
      </c>
      <c r="R188" s="64">
        <v>17350</v>
      </c>
      <c r="S188" s="64">
        <v>21908</v>
      </c>
      <c r="T188" s="64">
        <v>17555</v>
      </c>
      <c r="U188" s="64">
        <v>20441</v>
      </c>
      <c r="V188" s="64">
        <v>20535</v>
      </c>
      <c r="W188" s="67">
        <v>24745</v>
      </c>
      <c r="X188" s="22">
        <f t="shared" si="2"/>
        <v>5.5018182353547385E-2</v>
      </c>
      <c r="Y188" s="22">
        <f t="shared" si="2"/>
        <v>7.8063075634942747E-2</v>
      </c>
      <c r="Z188" s="22">
        <f t="shared" si="2"/>
        <v>4.1227638698319913E-2</v>
      </c>
      <c r="AA188" s="22">
        <f t="shared" si="2"/>
        <v>3.526896157336612E-2</v>
      </c>
    </row>
    <row r="189" spans="1:27" ht="15" x14ac:dyDescent="0.25">
      <c r="A189" s="4">
        <v>260128</v>
      </c>
      <c r="B189" s="29" t="s">
        <v>157</v>
      </c>
      <c r="C189" s="19" t="s">
        <v>23</v>
      </c>
      <c r="D189" s="19" t="s">
        <v>131</v>
      </c>
      <c r="E189" s="2" t="s">
        <v>25</v>
      </c>
      <c r="F189" s="47">
        <v>2.181633688483009</v>
      </c>
      <c r="G189" s="2">
        <v>41.8</v>
      </c>
      <c r="H189" s="2">
        <v>31.1</v>
      </c>
      <c r="I189" s="2">
        <v>44.4</v>
      </c>
      <c r="J189" s="2">
        <v>40.799999999999997</v>
      </c>
      <c r="K189" s="2">
        <v>48.1</v>
      </c>
      <c r="L189" s="65">
        <v>63</v>
      </c>
      <c r="M189" s="64">
        <v>61.3</v>
      </c>
      <c r="N189" s="64">
        <v>42.8</v>
      </c>
      <c r="O189" s="64">
        <v>48.4</v>
      </c>
      <c r="P189" s="64">
        <v>52.9</v>
      </c>
      <c r="Q189" s="64">
        <v>72</v>
      </c>
      <c r="R189" s="64">
        <v>52.5</v>
      </c>
      <c r="S189" s="64">
        <v>57.1</v>
      </c>
      <c r="T189" s="64">
        <v>45.3</v>
      </c>
      <c r="U189" s="64">
        <v>54.2</v>
      </c>
      <c r="V189" s="64">
        <v>40.5</v>
      </c>
      <c r="W189" s="67">
        <v>61.4</v>
      </c>
      <c r="X189" s="22">
        <f t="shared" si="2"/>
        <v>-3.2409381663113135E-2</v>
      </c>
      <c r="Y189" s="22">
        <f t="shared" si="2"/>
        <v>-7.844865579550464E-2</v>
      </c>
      <c r="Z189" s="22">
        <f t="shared" si="2"/>
        <v>-5.7388809182209233E-2</v>
      </c>
      <c r="AA189" s="22">
        <f t="shared" si="2"/>
        <v>2.1816336884829868E-2</v>
      </c>
    </row>
    <row r="190" spans="1:27" ht="15" x14ac:dyDescent="0.25">
      <c r="A190" s="4">
        <v>260128</v>
      </c>
      <c r="B190" s="29" t="s">
        <v>110</v>
      </c>
      <c r="C190" s="19" t="s">
        <v>23</v>
      </c>
      <c r="D190" s="19" t="s">
        <v>111</v>
      </c>
      <c r="E190" s="2" t="s">
        <v>25</v>
      </c>
      <c r="F190" s="47">
        <v>2.1540687966158378</v>
      </c>
      <c r="G190" s="2">
        <v>22.83</v>
      </c>
      <c r="H190" s="2">
        <v>18.829999999999998</v>
      </c>
      <c r="I190" s="2">
        <v>22.06</v>
      </c>
      <c r="J190" s="2">
        <v>23.84</v>
      </c>
      <c r="K190" s="2">
        <v>22.44</v>
      </c>
      <c r="L190" s="64">
        <v>25.01</v>
      </c>
      <c r="M190" s="64">
        <v>29.47</v>
      </c>
      <c r="N190" s="64">
        <v>31.39</v>
      </c>
      <c r="O190" s="64">
        <v>32.049999999999997</v>
      </c>
      <c r="P190" s="64">
        <v>36.57</v>
      </c>
      <c r="Q190" s="64">
        <v>41.5</v>
      </c>
      <c r="R190" s="64">
        <v>40.61</v>
      </c>
      <c r="S190" s="64">
        <v>39.21</v>
      </c>
      <c r="T190" s="64">
        <v>49.45</v>
      </c>
      <c r="U190" s="64">
        <v>44.89</v>
      </c>
      <c r="V190" s="64">
        <v>46.11</v>
      </c>
      <c r="W190" s="67">
        <v>43.08</v>
      </c>
      <c r="X190" s="22">
        <f t="shared" si="2"/>
        <v>8.1575780606751414E-2</v>
      </c>
      <c r="Y190" s="22">
        <f t="shared" si="2"/>
        <v>1.9851261931252528E-2</v>
      </c>
      <c r="Z190" s="22">
        <f t="shared" si="2"/>
        <v>3.1580156178227181E-2</v>
      </c>
      <c r="AA190" s="22">
        <f t="shared" si="2"/>
        <v>2.1540687966157934E-2</v>
      </c>
    </row>
    <row r="191" spans="1:27" ht="15" x14ac:dyDescent="0.25">
      <c r="A191" s="4">
        <v>260128</v>
      </c>
      <c r="B191" s="29" t="s">
        <v>137</v>
      </c>
      <c r="C191" s="19" t="s">
        <v>23</v>
      </c>
      <c r="D191" s="19" t="s">
        <v>115</v>
      </c>
      <c r="E191" s="2" t="s">
        <v>25</v>
      </c>
      <c r="F191" s="47">
        <v>1.980198019801982</v>
      </c>
      <c r="G191" s="2">
        <v>35</v>
      </c>
      <c r="H191" s="2">
        <v>87</v>
      </c>
      <c r="I191" s="2">
        <v>22</v>
      </c>
      <c r="J191" s="2">
        <v>91</v>
      </c>
      <c r="K191" s="3">
        <v>155</v>
      </c>
      <c r="L191" s="65">
        <v>144</v>
      </c>
      <c r="M191" s="65">
        <v>117</v>
      </c>
      <c r="N191" s="65">
        <v>231</v>
      </c>
      <c r="O191" s="65">
        <v>308</v>
      </c>
      <c r="P191" s="65">
        <v>332</v>
      </c>
      <c r="Q191" s="65">
        <v>240</v>
      </c>
      <c r="R191" s="65">
        <v>418</v>
      </c>
      <c r="S191" s="64">
        <v>407</v>
      </c>
      <c r="T191" s="64">
        <v>451</v>
      </c>
      <c r="U191" s="64">
        <v>388</v>
      </c>
      <c r="V191" s="64">
        <v>572</v>
      </c>
      <c r="W191" s="67">
        <v>443</v>
      </c>
      <c r="X191" s="22">
        <f t="shared" si="2"/>
        <v>8.5182534001431609E-2</v>
      </c>
      <c r="Y191" s="22">
        <f t="shared" si="2"/>
        <v>9.7625329815303363E-2</v>
      </c>
      <c r="Z191" s="22">
        <f t="shared" si="2"/>
        <v>9.2548076923076872E-2</v>
      </c>
      <c r="AA191" s="22">
        <f t="shared" si="2"/>
        <v>1.980198019801982E-2</v>
      </c>
    </row>
    <row r="192" spans="1:27" ht="15" x14ac:dyDescent="0.25">
      <c r="A192" s="4">
        <v>260128</v>
      </c>
      <c r="B192" s="29" t="s">
        <v>160</v>
      </c>
      <c r="C192" s="19" t="s">
        <v>23</v>
      </c>
      <c r="D192" s="19" t="s">
        <v>29</v>
      </c>
      <c r="E192" s="2" t="s">
        <v>25</v>
      </c>
      <c r="F192" s="47">
        <v>1.902649016352487</v>
      </c>
      <c r="G192" s="2">
        <v>160.97999999999999</v>
      </c>
      <c r="H192" s="2">
        <v>155.22</v>
      </c>
      <c r="I192" s="2">
        <v>163.19</v>
      </c>
      <c r="J192" s="2">
        <v>173.15</v>
      </c>
      <c r="K192" s="2">
        <v>174.62</v>
      </c>
      <c r="L192" s="64">
        <v>158.72999999999999</v>
      </c>
      <c r="M192" s="64">
        <v>111.74</v>
      </c>
      <c r="N192" s="64">
        <v>142.61000000000001</v>
      </c>
      <c r="O192" s="64">
        <v>121.38</v>
      </c>
      <c r="P192" s="64">
        <v>141.27000000000001</v>
      </c>
      <c r="Q192" s="64">
        <v>142.88</v>
      </c>
      <c r="R192" s="64">
        <v>162.44999999999999</v>
      </c>
      <c r="S192" s="64">
        <v>166.07</v>
      </c>
      <c r="T192" s="64">
        <v>166.38</v>
      </c>
      <c r="U192" s="64">
        <v>172.14</v>
      </c>
      <c r="V192" s="64">
        <v>176.04</v>
      </c>
      <c r="W192" s="67">
        <v>179.02</v>
      </c>
      <c r="X192" s="22">
        <f t="shared" si="2"/>
        <v>4.0984543065598178E-2</v>
      </c>
      <c r="Y192" s="22">
        <f t="shared" si="2"/>
        <v>4.5877888927216226E-2</v>
      </c>
      <c r="Z192" s="22">
        <f t="shared" si="2"/>
        <v>2.0373590789158014E-2</v>
      </c>
      <c r="AA192" s="22">
        <f t="shared" si="2"/>
        <v>1.9026490163524867E-2</v>
      </c>
    </row>
    <row r="193" spans="1:27" ht="15" x14ac:dyDescent="0.25">
      <c r="A193" s="4">
        <v>260128</v>
      </c>
      <c r="B193" s="29" t="s">
        <v>133</v>
      </c>
      <c r="C193" s="19" t="s">
        <v>23</v>
      </c>
      <c r="D193" s="19" t="s">
        <v>115</v>
      </c>
      <c r="E193" s="2" t="s">
        <v>25</v>
      </c>
      <c r="F193" s="47">
        <v>1.7081591858985949</v>
      </c>
      <c r="G193" s="2">
        <v>919.6</v>
      </c>
      <c r="H193" s="2">
        <v>1201</v>
      </c>
      <c r="I193" s="2">
        <v>810.1</v>
      </c>
      <c r="J193" s="2">
        <v>1033</v>
      </c>
      <c r="K193" s="2">
        <v>1098</v>
      </c>
      <c r="L193" s="64">
        <v>1379</v>
      </c>
      <c r="M193" s="64">
        <v>1050</v>
      </c>
      <c r="N193" s="64">
        <v>1125</v>
      </c>
      <c r="O193" s="64">
        <v>1192</v>
      </c>
      <c r="P193" s="64">
        <v>1553</v>
      </c>
      <c r="Q193" s="64">
        <v>1106</v>
      </c>
      <c r="R193" s="64">
        <v>1280</v>
      </c>
      <c r="S193" s="64">
        <v>1308</v>
      </c>
      <c r="T193" s="64">
        <v>1641</v>
      </c>
      <c r="U193" s="64">
        <v>1214</v>
      </c>
      <c r="V193" s="64">
        <v>1340</v>
      </c>
      <c r="W193" s="67">
        <v>1402</v>
      </c>
      <c r="X193" s="22">
        <f t="shared" si="2"/>
        <v>1.6771488469601747E-2</v>
      </c>
      <c r="Y193" s="22">
        <f t="shared" si="2"/>
        <v>2.0243673851921384E-2</v>
      </c>
      <c r="Z193" s="22">
        <f t="shared" si="2"/>
        <v>1.1023332720925927E-2</v>
      </c>
      <c r="AA193" s="22">
        <f t="shared" si="2"/>
        <v>1.7081591858985945E-2</v>
      </c>
    </row>
    <row r="194" spans="1:27" ht="15" x14ac:dyDescent="0.25">
      <c r="A194" s="4">
        <v>260128</v>
      </c>
      <c r="B194" s="29" t="s">
        <v>123</v>
      </c>
      <c r="C194" s="19" t="s">
        <v>23</v>
      </c>
      <c r="D194" s="19" t="s">
        <v>124</v>
      </c>
      <c r="E194" s="2" t="s">
        <v>25</v>
      </c>
      <c r="F194" s="47">
        <v>1.673360107095045</v>
      </c>
      <c r="G194" s="2">
        <v>969</v>
      </c>
      <c r="H194" s="2">
        <v>656</v>
      </c>
      <c r="I194" s="2">
        <v>988</v>
      </c>
      <c r="J194" s="2">
        <v>1039</v>
      </c>
      <c r="K194" s="2">
        <v>1170</v>
      </c>
      <c r="L194" s="64">
        <v>927</v>
      </c>
      <c r="M194" s="64">
        <v>1143</v>
      </c>
      <c r="N194" s="64">
        <v>1258</v>
      </c>
      <c r="O194" s="65">
        <v>1699</v>
      </c>
      <c r="P194" s="64">
        <v>1263</v>
      </c>
      <c r="Q194" s="64">
        <v>1383</v>
      </c>
      <c r="R194" s="64">
        <v>1328</v>
      </c>
      <c r="S194" s="64">
        <v>1607</v>
      </c>
      <c r="T194" s="64">
        <v>1444</v>
      </c>
      <c r="U194" s="64">
        <v>1469</v>
      </c>
      <c r="V194" s="64">
        <v>1456</v>
      </c>
      <c r="W194" s="67">
        <v>1707</v>
      </c>
      <c r="X194" s="22">
        <f t="shared" si="2"/>
        <v>3.2431463895359336E-2</v>
      </c>
      <c r="Y194" s="22">
        <f t="shared" si="2"/>
        <v>1.4925373134328401E-2</v>
      </c>
      <c r="Z194" s="22">
        <f t="shared" si="2"/>
        <v>2.188782489740082E-2</v>
      </c>
      <c r="AA194" s="22">
        <f t="shared" si="2"/>
        <v>1.6733601070950455E-2</v>
      </c>
    </row>
    <row r="195" spans="1:27" ht="15" x14ac:dyDescent="0.25">
      <c r="A195" s="4">
        <v>260128</v>
      </c>
      <c r="B195" s="29" t="s">
        <v>128</v>
      </c>
      <c r="C195" s="19" t="s">
        <v>23</v>
      </c>
      <c r="D195" s="19" t="s">
        <v>129</v>
      </c>
      <c r="E195" s="2" t="s">
        <v>25</v>
      </c>
      <c r="F195" s="47">
        <v>1.654898499558688</v>
      </c>
      <c r="G195" s="2">
        <v>721</v>
      </c>
      <c r="H195" s="2">
        <v>785</v>
      </c>
      <c r="I195" s="2">
        <v>890</v>
      </c>
      <c r="J195" s="2">
        <v>943</v>
      </c>
      <c r="K195" s="2">
        <v>810</v>
      </c>
      <c r="L195" s="64">
        <v>825</v>
      </c>
      <c r="M195" s="64">
        <v>945</v>
      </c>
      <c r="N195" s="64">
        <v>1021</v>
      </c>
      <c r="O195" s="64">
        <v>1032</v>
      </c>
      <c r="P195" s="64">
        <v>1014</v>
      </c>
      <c r="Q195" s="64">
        <v>1067</v>
      </c>
      <c r="R195" s="64">
        <v>1127</v>
      </c>
      <c r="S195" s="64">
        <v>1101</v>
      </c>
      <c r="T195" s="64">
        <v>1028</v>
      </c>
      <c r="U195" s="64">
        <v>1187</v>
      </c>
      <c r="V195" s="64">
        <v>1216</v>
      </c>
      <c r="W195" s="67">
        <v>1176</v>
      </c>
      <c r="X195" s="22">
        <f t="shared" si="2"/>
        <v>3.2490136922720403E-3</v>
      </c>
      <c r="Y195" s="22">
        <f t="shared" si="2"/>
        <v>2.7758501040943795E-2</v>
      </c>
      <c r="Z195" s="22">
        <f t="shared" si="2"/>
        <v>2.0031510240828165E-2</v>
      </c>
      <c r="AA195" s="22">
        <f t="shared" si="2"/>
        <v>1.654898499558688E-2</v>
      </c>
    </row>
    <row r="196" spans="1:27" ht="15" x14ac:dyDescent="0.25">
      <c r="A196" s="4">
        <v>260128</v>
      </c>
      <c r="B196" s="29" t="s">
        <v>130</v>
      </c>
      <c r="C196" s="19" t="s">
        <v>23</v>
      </c>
      <c r="D196" s="19" t="s">
        <v>131</v>
      </c>
      <c r="E196" s="2" t="s">
        <v>25</v>
      </c>
      <c r="F196" s="47">
        <v>1.614114114114118</v>
      </c>
      <c r="G196" s="2">
        <v>1197</v>
      </c>
      <c r="H196" s="2">
        <v>994</v>
      </c>
      <c r="I196" s="2">
        <v>1064</v>
      </c>
      <c r="J196" s="2">
        <v>1183</v>
      </c>
      <c r="K196" s="2">
        <v>1360</v>
      </c>
      <c r="L196" s="64">
        <v>811</v>
      </c>
      <c r="M196" s="64">
        <v>835</v>
      </c>
      <c r="N196" s="64">
        <v>929</v>
      </c>
      <c r="O196" s="64">
        <v>1132</v>
      </c>
      <c r="P196" s="64">
        <v>1046</v>
      </c>
      <c r="Q196" s="64">
        <v>1166</v>
      </c>
      <c r="R196" s="64">
        <v>1191</v>
      </c>
      <c r="S196" s="64">
        <v>1366</v>
      </c>
      <c r="T196" s="64">
        <v>1287</v>
      </c>
      <c r="U196" s="64">
        <v>1325</v>
      </c>
      <c r="V196" s="64">
        <v>1350</v>
      </c>
      <c r="W196" s="67">
        <v>1452</v>
      </c>
      <c r="X196" s="22">
        <f t="shared" si="2"/>
        <v>5.0534703292094862E-2</v>
      </c>
      <c r="Y196" s="22">
        <f t="shared" si="2"/>
        <v>3.1736526946107846E-2</v>
      </c>
      <c r="Z196" s="22">
        <f t="shared" si="2"/>
        <v>3.0760301799187539E-2</v>
      </c>
      <c r="AA196" s="22">
        <f t="shared" si="2"/>
        <v>1.614114114114118E-2</v>
      </c>
    </row>
    <row r="197" spans="1:27" ht="15" x14ac:dyDescent="0.25">
      <c r="A197" s="4">
        <v>260128</v>
      </c>
      <c r="B197" s="29" t="s">
        <v>60</v>
      </c>
      <c r="C197" s="19" t="s">
        <v>23</v>
      </c>
      <c r="D197" s="19" t="s">
        <v>61</v>
      </c>
      <c r="E197" s="2" t="s">
        <v>59</v>
      </c>
      <c r="F197" s="47">
        <v>1.4739517153748329</v>
      </c>
      <c r="G197" s="2">
        <v>215.92</v>
      </c>
      <c r="H197" s="2">
        <v>304.92</v>
      </c>
      <c r="I197" s="2">
        <v>288.94</v>
      </c>
      <c r="J197" s="2">
        <v>295.45</v>
      </c>
      <c r="K197" s="2">
        <v>303.89</v>
      </c>
      <c r="L197" s="64">
        <v>318.54000000000002</v>
      </c>
      <c r="M197" s="64">
        <v>268.63</v>
      </c>
      <c r="N197" s="64">
        <v>260.25</v>
      </c>
      <c r="O197" s="64">
        <v>245.28</v>
      </c>
      <c r="P197" s="64">
        <v>193.94</v>
      </c>
      <c r="Q197" s="64">
        <v>220.57</v>
      </c>
      <c r="R197" s="64">
        <v>171.59</v>
      </c>
      <c r="S197" s="64">
        <v>162.09</v>
      </c>
      <c r="T197" s="64">
        <v>155.32</v>
      </c>
      <c r="U197" s="64">
        <v>159.9</v>
      </c>
      <c r="V197" s="64">
        <v>152.29</v>
      </c>
      <c r="W197" s="67">
        <v>171.37</v>
      </c>
      <c r="X197" s="22">
        <f t="shared" si="2"/>
        <v>-5.1617904542963888E-2</v>
      </c>
      <c r="Y197" s="22">
        <f t="shared" si="2"/>
        <v>-8.5502487421959761E-2</v>
      </c>
      <c r="Z197" s="22">
        <f t="shared" si="2"/>
        <v>-2.974264139312699E-2</v>
      </c>
      <c r="AA197" s="22">
        <f t="shared" si="2"/>
        <v>1.4739517153748549E-2</v>
      </c>
    </row>
    <row r="198" spans="1:27" ht="15" x14ac:dyDescent="0.25">
      <c r="A198" s="4">
        <v>260128</v>
      </c>
      <c r="B198" s="29" t="s">
        <v>40</v>
      </c>
      <c r="C198" s="19" t="s">
        <v>23</v>
      </c>
      <c r="D198" s="19" t="s">
        <v>41</v>
      </c>
      <c r="E198" s="2" t="s">
        <v>42</v>
      </c>
      <c r="F198" s="47">
        <v>1.240592175998678</v>
      </c>
      <c r="G198" s="2">
        <v>14.26</v>
      </c>
      <c r="H198" s="2">
        <v>15.21</v>
      </c>
      <c r="I198" s="2">
        <v>27.86</v>
      </c>
      <c r="J198" s="2">
        <v>26.54</v>
      </c>
      <c r="K198" s="2">
        <v>15.27</v>
      </c>
      <c r="L198" s="64">
        <v>18.48</v>
      </c>
      <c r="M198" s="64">
        <v>32.49</v>
      </c>
      <c r="N198" s="64">
        <v>32.99</v>
      </c>
      <c r="O198" s="64">
        <v>18.47</v>
      </c>
      <c r="P198" s="64">
        <v>20.079999999999998</v>
      </c>
      <c r="Q198" s="64">
        <v>39.79</v>
      </c>
      <c r="R198" s="64">
        <v>33.75</v>
      </c>
      <c r="S198" s="64">
        <v>21.06</v>
      </c>
      <c r="T198" s="64">
        <v>24.58</v>
      </c>
      <c r="U198" s="64">
        <v>41.33</v>
      </c>
      <c r="V198" s="64">
        <v>33.94</v>
      </c>
      <c r="W198" s="67">
        <v>22.56</v>
      </c>
      <c r="X198" s="22">
        <f t="shared" si="2"/>
        <v>3.9239623299616166E-2</v>
      </c>
      <c r="Y198" s="22">
        <f t="shared" si="2"/>
        <v>1.2921631146165513E-2</v>
      </c>
      <c r="Z198" s="22">
        <f t="shared" si="2"/>
        <v>1.5738899933730455E-3</v>
      </c>
      <c r="AA198" s="22">
        <f t="shared" si="2"/>
        <v>1.2405921759986782E-2</v>
      </c>
    </row>
    <row r="199" spans="1:27" ht="15" x14ac:dyDescent="0.25">
      <c r="A199" s="4">
        <v>260128</v>
      </c>
      <c r="B199" s="29" t="s">
        <v>154</v>
      </c>
      <c r="C199" s="19" t="s">
        <v>23</v>
      </c>
      <c r="D199" s="19" t="s">
        <v>95</v>
      </c>
      <c r="E199" s="2" t="s">
        <v>25</v>
      </c>
      <c r="F199" s="47">
        <v>1.124410591222347</v>
      </c>
      <c r="G199" s="2">
        <v>559</v>
      </c>
      <c r="H199" s="2">
        <v>470</v>
      </c>
      <c r="I199" s="2">
        <v>441</v>
      </c>
      <c r="J199" s="2">
        <v>564</v>
      </c>
      <c r="K199" s="2">
        <v>668</v>
      </c>
      <c r="L199" s="64">
        <v>580</v>
      </c>
      <c r="M199" s="64">
        <v>535</v>
      </c>
      <c r="N199" s="64">
        <v>573</v>
      </c>
      <c r="O199" s="64">
        <v>675</v>
      </c>
      <c r="P199" s="64">
        <v>599</v>
      </c>
      <c r="Q199" s="64">
        <v>645</v>
      </c>
      <c r="R199" s="64">
        <v>798</v>
      </c>
      <c r="S199" s="64">
        <v>697</v>
      </c>
      <c r="T199" s="64">
        <v>693</v>
      </c>
      <c r="U199" s="64">
        <v>620</v>
      </c>
      <c r="V199" s="64">
        <v>747</v>
      </c>
      <c r="W199" s="67">
        <v>728</v>
      </c>
      <c r="X199" s="22">
        <f t="shared" si="2"/>
        <v>3.4319094560058439E-2</v>
      </c>
      <c r="Y199" s="22">
        <f t="shared" si="2"/>
        <v>-8.8245675961877712E-3</v>
      </c>
      <c r="Z199" s="22">
        <f t="shared" si="2"/>
        <v>-1.8162393162393209E-2</v>
      </c>
      <c r="AA199" s="22">
        <f t="shared" si="2"/>
        <v>1.1244105912223468E-2</v>
      </c>
    </row>
    <row r="200" spans="1:27" ht="15" x14ac:dyDescent="0.25">
      <c r="A200" s="4">
        <v>260128</v>
      </c>
      <c r="B200" s="29" t="s">
        <v>147</v>
      </c>
      <c r="C200" s="19" t="s">
        <v>23</v>
      </c>
      <c r="D200" s="19" t="s">
        <v>146</v>
      </c>
      <c r="E200" s="2" t="s">
        <v>25</v>
      </c>
      <c r="F200" s="47">
        <v>0.67706013363029172</v>
      </c>
      <c r="G200" s="2">
        <v>1818</v>
      </c>
      <c r="H200" s="2">
        <v>784.6</v>
      </c>
      <c r="I200" s="2">
        <v>1653</v>
      </c>
      <c r="J200" s="2">
        <v>1939</v>
      </c>
      <c r="K200" s="2">
        <v>2124</v>
      </c>
      <c r="L200" s="65">
        <v>2205</v>
      </c>
      <c r="M200" s="64">
        <v>2263</v>
      </c>
      <c r="N200" s="64">
        <v>2182</v>
      </c>
      <c r="O200" s="64">
        <v>2392</v>
      </c>
      <c r="P200" s="64">
        <v>1391</v>
      </c>
      <c r="Q200" s="64">
        <v>1835</v>
      </c>
      <c r="R200" s="64">
        <v>2441</v>
      </c>
      <c r="S200" s="65">
        <v>3355</v>
      </c>
      <c r="T200" s="65">
        <v>2738</v>
      </c>
      <c r="U200" s="64">
        <v>2664</v>
      </c>
      <c r="V200" s="64">
        <v>2468</v>
      </c>
      <c r="W200" s="67">
        <v>3431</v>
      </c>
      <c r="X200" s="22">
        <f t="shared" si="2"/>
        <v>0.14930170693859446</v>
      </c>
      <c r="Y200" s="22">
        <f t="shared" si="2"/>
        <v>7.9949850515961041E-2</v>
      </c>
      <c r="Z200" s="22">
        <f t="shared" si="2"/>
        <v>2.4111448472940999E-3</v>
      </c>
      <c r="AA200" s="22">
        <f t="shared" si="2"/>
        <v>6.7706013363029172E-3</v>
      </c>
    </row>
    <row r="201" spans="1:27" x14ac:dyDescent="0.3">
      <c r="A201" s="4">
        <v>260128</v>
      </c>
      <c r="B201" s="57" t="s">
        <v>414</v>
      </c>
      <c r="C201" s="4" t="s">
        <v>415</v>
      </c>
      <c r="D201" s="55" t="s">
        <v>153</v>
      </c>
      <c r="F201" s="56">
        <f>AA201</f>
        <v>4.8828125E-3</v>
      </c>
      <c r="L201" s="54">
        <v>-215</v>
      </c>
      <c r="M201" s="54">
        <v>-97</v>
      </c>
      <c r="N201" s="54">
        <v>-55</v>
      </c>
      <c r="O201" s="54">
        <v>461</v>
      </c>
      <c r="P201" s="54">
        <v>-12</v>
      </c>
      <c r="Q201" s="54">
        <v>473</v>
      </c>
      <c r="R201" s="54">
        <v>-22</v>
      </c>
      <c r="S201" s="54">
        <v>710</v>
      </c>
      <c r="T201" s="54">
        <v>227</v>
      </c>
      <c r="U201" s="54">
        <v>539</v>
      </c>
      <c r="V201" s="54">
        <v>572</v>
      </c>
      <c r="W201" s="54">
        <v>720</v>
      </c>
      <c r="X201" s="22">
        <f t="shared" ref="X201" si="3">SUM(Q201:T201)/SUM(P201:S201)-1</f>
        <v>0.20800696257615314</v>
      </c>
      <c r="Y201" s="22">
        <f t="shared" ref="Y201" si="4">SUM(R201:U201)/SUM(Q201:T201)-1</f>
        <v>4.7550432276657117E-2</v>
      </c>
      <c r="Z201" s="22">
        <f t="shared" ref="Z201" si="5">SUM(S201:V201)/SUM(R201:U201)-1</f>
        <v>0.40852819807427787</v>
      </c>
      <c r="AA201" s="22">
        <f t="shared" ref="AA201" si="6">SUM(T201:W201)/SUM(S201:V201)-1</f>
        <v>4.8828125E-3</v>
      </c>
    </row>
    <row r="202" spans="1:27" ht="15" x14ac:dyDescent="0.25">
      <c r="A202" s="4">
        <v>260128</v>
      </c>
      <c r="B202" s="29" t="s">
        <v>152</v>
      </c>
      <c r="C202" s="19" t="s">
        <v>23</v>
      </c>
      <c r="D202" s="19" t="s">
        <v>153</v>
      </c>
      <c r="E202" s="2" t="s">
        <v>25</v>
      </c>
      <c r="F202" s="47">
        <v>0.37174721189590088</v>
      </c>
      <c r="G202" s="2">
        <v>538</v>
      </c>
      <c r="H202" s="2">
        <v>534</v>
      </c>
      <c r="I202" s="2">
        <v>532</v>
      </c>
      <c r="J202" s="2">
        <v>531</v>
      </c>
      <c r="K202" s="2">
        <v>499</v>
      </c>
      <c r="L202" s="64">
        <v>512</v>
      </c>
      <c r="M202" s="64">
        <v>580</v>
      </c>
      <c r="N202" s="64">
        <v>592</v>
      </c>
      <c r="O202" s="64">
        <v>557</v>
      </c>
      <c r="P202" s="64">
        <v>562</v>
      </c>
      <c r="Q202" s="64">
        <v>611</v>
      </c>
      <c r="R202" s="64">
        <v>596</v>
      </c>
      <c r="S202" s="64">
        <v>581</v>
      </c>
      <c r="T202" s="64">
        <v>606</v>
      </c>
      <c r="U202" s="64">
        <v>607</v>
      </c>
      <c r="V202" s="64">
        <v>627</v>
      </c>
      <c r="W202" s="67">
        <v>590</v>
      </c>
      <c r="X202" s="22">
        <f t="shared" si="2"/>
        <v>1.8723404255319043E-2</v>
      </c>
      <c r="Y202" s="22">
        <f t="shared" si="2"/>
        <v>-1.6708437761069339E-3</v>
      </c>
      <c r="Z202" s="22">
        <f t="shared" si="2"/>
        <v>1.2970711297071169E-2</v>
      </c>
      <c r="AA202" s="22">
        <f t="shared" si="2"/>
        <v>3.7174721189590088E-3</v>
      </c>
    </row>
    <row r="203" spans="1:27" ht="15" x14ac:dyDescent="0.25">
      <c r="A203" s="4">
        <v>260128</v>
      </c>
      <c r="B203" s="29" t="s">
        <v>105</v>
      </c>
      <c r="C203" s="19" t="s">
        <v>23</v>
      </c>
      <c r="D203" s="19" t="s">
        <v>106</v>
      </c>
      <c r="E203" s="2" t="s">
        <v>107</v>
      </c>
      <c r="F203" s="47">
        <v>5.1724137931019598E-2</v>
      </c>
      <c r="G203" s="2">
        <v>44.8</v>
      </c>
      <c r="H203" s="2">
        <v>52.6</v>
      </c>
      <c r="I203" s="2">
        <v>56.1</v>
      </c>
      <c r="J203" s="2">
        <v>-16</v>
      </c>
      <c r="K203" s="2">
        <v>46.6</v>
      </c>
      <c r="L203" s="65">
        <v>70.8</v>
      </c>
      <c r="M203" s="65">
        <v>71.900000000000006</v>
      </c>
      <c r="N203" s="65">
        <v>29.5</v>
      </c>
      <c r="O203" s="64">
        <v>65.099999999999994</v>
      </c>
      <c r="P203" s="64">
        <v>79.8</v>
      </c>
      <c r="Q203" s="64">
        <v>78.7</v>
      </c>
      <c r="R203" s="65">
        <v>59.6</v>
      </c>
      <c r="S203" s="65">
        <v>168.1</v>
      </c>
      <c r="T203" s="65">
        <v>165.9</v>
      </c>
      <c r="U203" s="65">
        <v>126.8</v>
      </c>
      <c r="V203" s="65">
        <v>119.2</v>
      </c>
      <c r="W203" s="67">
        <v>168.4</v>
      </c>
      <c r="X203" s="22">
        <f t="shared" si="2"/>
        <v>0.2229414810978767</v>
      </c>
      <c r="Y203" s="22">
        <f t="shared" si="2"/>
        <v>0.10184204954478093</v>
      </c>
      <c r="Z203" s="22">
        <f t="shared" si="2"/>
        <v>0.11452728670253665</v>
      </c>
      <c r="AA203" s="22">
        <f t="shared" si="2"/>
        <v>5.1724137931019598E-4</v>
      </c>
    </row>
    <row r="204" spans="1:27" ht="15" x14ac:dyDescent="0.25">
      <c r="A204" s="4">
        <v>260128</v>
      </c>
      <c r="B204" s="29" t="s">
        <v>148</v>
      </c>
      <c r="C204" s="19" t="s">
        <v>23</v>
      </c>
      <c r="D204" s="19" t="s">
        <v>149</v>
      </c>
      <c r="E204" s="2" t="s">
        <v>25</v>
      </c>
      <c r="F204" s="47">
        <v>-0.24686278543509799</v>
      </c>
      <c r="G204" s="2">
        <v>2613</v>
      </c>
      <c r="H204" s="2">
        <v>3603</v>
      </c>
      <c r="I204" s="2">
        <v>2500</v>
      </c>
      <c r="J204" s="2">
        <v>3688</v>
      </c>
      <c r="K204" s="3">
        <v>3865</v>
      </c>
      <c r="L204" s="64">
        <v>2664</v>
      </c>
      <c r="M204" s="64">
        <v>2399</v>
      </c>
      <c r="N204" s="64">
        <v>1764</v>
      </c>
      <c r="O204" s="64">
        <v>2064</v>
      </c>
      <c r="P204" s="64">
        <v>1171</v>
      </c>
      <c r="Q204" s="64">
        <v>2188</v>
      </c>
      <c r="R204" s="65">
        <v>2772</v>
      </c>
      <c r="S204" s="64">
        <v>1583</v>
      </c>
      <c r="T204" s="64">
        <v>493</v>
      </c>
      <c r="U204" s="64">
        <v>923</v>
      </c>
      <c r="V204" s="64">
        <v>1862</v>
      </c>
      <c r="W204" s="67">
        <v>1571</v>
      </c>
      <c r="X204" s="22">
        <f t="shared" si="2"/>
        <v>-8.7892144153487117E-2</v>
      </c>
      <c r="Y204" s="22">
        <f t="shared" si="2"/>
        <v>-0.17978965321205231</v>
      </c>
      <c r="Z204" s="22">
        <f t="shared" si="2"/>
        <v>-0.15768497660717384</v>
      </c>
      <c r="AA204" s="22">
        <f t="shared" si="2"/>
        <v>-2.4686278543509799E-3</v>
      </c>
    </row>
    <row r="205" spans="1:27" ht="15" x14ac:dyDescent="0.25">
      <c r="A205" s="4">
        <v>260128</v>
      </c>
      <c r="B205" s="29" t="s">
        <v>121</v>
      </c>
      <c r="C205" s="19" t="s">
        <v>23</v>
      </c>
      <c r="D205" s="19" t="s">
        <v>122</v>
      </c>
      <c r="E205" s="2" t="s">
        <v>25</v>
      </c>
      <c r="F205" s="47">
        <v>-0.60210737581535279</v>
      </c>
      <c r="G205" s="2">
        <v>755</v>
      </c>
      <c r="H205" s="2">
        <v>578</v>
      </c>
      <c r="I205" s="2">
        <v>721</v>
      </c>
      <c r="J205" s="2">
        <v>925</v>
      </c>
      <c r="K205" s="2">
        <v>1035</v>
      </c>
      <c r="L205" s="64">
        <v>782</v>
      </c>
      <c r="M205" s="64">
        <v>966</v>
      </c>
      <c r="N205" s="64">
        <v>1125</v>
      </c>
      <c r="O205" s="64">
        <v>1090</v>
      </c>
      <c r="P205" s="64">
        <v>870</v>
      </c>
      <c r="Q205" s="64">
        <v>1021</v>
      </c>
      <c r="R205" s="64">
        <v>1137</v>
      </c>
      <c r="S205" s="64">
        <v>1040</v>
      </c>
      <c r="T205" s="64">
        <v>816</v>
      </c>
      <c r="U205" s="64">
        <v>1010</v>
      </c>
      <c r="V205" s="64">
        <v>1120</v>
      </c>
      <c r="W205" s="67">
        <v>1016</v>
      </c>
      <c r="X205" s="22">
        <f t="shared" si="2"/>
        <v>-1.3274336283185861E-2</v>
      </c>
      <c r="Y205" s="22">
        <f t="shared" si="2"/>
        <v>-2.7404085700050151E-3</v>
      </c>
      <c r="Z205" s="22">
        <f t="shared" si="2"/>
        <v>-4.2468148888333834E-3</v>
      </c>
      <c r="AA205" s="22">
        <f t="shared" si="2"/>
        <v>-6.0210737581535279E-3</v>
      </c>
    </row>
    <row r="206" spans="1:27" ht="15" x14ac:dyDescent="0.25">
      <c r="A206" s="4">
        <v>260128</v>
      </c>
      <c r="B206" s="29" t="s">
        <v>171</v>
      </c>
      <c r="C206" s="19" t="s">
        <v>23</v>
      </c>
      <c r="D206" s="19" t="s">
        <v>172</v>
      </c>
      <c r="E206" s="2" t="s">
        <v>42</v>
      </c>
      <c r="F206" s="47">
        <v>-0.65624587785252375</v>
      </c>
      <c r="G206" s="2">
        <v>87.22</v>
      </c>
      <c r="H206" s="2">
        <v>74.69</v>
      </c>
      <c r="I206" s="2">
        <v>83.64</v>
      </c>
      <c r="J206" s="2">
        <v>95.39</v>
      </c>
      <c r="K206" s="2">
        <v>96.74</v>
      </c>
      <c r="L206" s="64">
        <v>88.5</v>
      </c>
      <c r="M206" s="64">
        <v>99.78</v>
      </c>
      <c r="N206" s="65">
        <v>134.9</v>
      </c>
      <c r="O206" s="64">
        <v>111.08</v>
      </c>
      <c r="P206" s="64">
        <v>117.7</v>
      </c>
      <c r="Q206" s="64">
        <v>129.13</v>
      </c>
      <c r="R206" s="64">
        <v>154.34</v>
      </c>
      <c r="S206" s="64">
        <v>137.53</v>
      </c>
      <c r="T206" s="64">
        <v>130.09</v>
      </c>
      <c r="U206" s="64">
        <v>164.93</v>
      </c>
      <c r="V206" s="64">
        <v>173.93</v>
      </c>
      <c r="W206" s="67">
        <v>133.55000000000001</v>
      </c>
      <c r="X206" s="22">
        <f t="shared" si="2"/>
        <v>2.2999814367922866E-2</v>
      </c>
      <c r="Y206" s="22">
        <f t="shared" si="2"/>
        <v>6.4962165889419277E-2</v>
      </c>
      <c r="Z206" s="22">
        <f t="shared" si="2"/>
        <v>3.3379338547257387E-2</v>
      </c>
      <c r="AA206" s="22">
        <f t="shared" si="2"/>
        <v>-6.5624587785252375E-3</v>
      </c>
    </row>
    <row r="207" spans="1:27" ht="15" x14ac:dyDescent="0.25">
      <c r="A207" s="4">
        <v>260128</v>
      </c>
      <c r="B207" s="29" t="s">
        <v>178</v>
      </c>
      <c r="C207" s="19" t="s">
        <v>23</v>
      </c>
      <c r="D207" s="19" t="s">
        <v>179</v>
      </c>
      <c r="E207" s="2" t="s">
        <v>25</v>
      </c>
      <c r="F207" s="47">
        <v>-0.84304395069129123</v>
      </c>
      <c r="G207" s="2">
        <v>98.74</v>
      </c>
      <c r="H207" s="2">
        <v>116.08</v>
      </c>
      <c r="I207" s="2">
        <v>97.49</v>
      </c>
      <c r="J207" s="2">
        <v>105.64</v>
      </c>
      <c r="K207" s="2">
        <v>105.98</v>
      </c>
      <c r="L207" s="64">
        <v>123.15</v>
      </c>
      <c r="M207" s="64">
        <v>100.55</v>
      </c>
      <c r="N207" s="64">
        <v>116.53</v>
      </c>
      <c r="O207" s="64">
        <v>127.04</v>
      </c>
      <c r="P207" s="64">
        <v>135.06</v>
      </c>
      <c r="Q207" s="64">
        <v>113.38</v>
      </c>
      <c r="R207" s="64">
        <v>127.18</v>
      </c>
      <c r="S207" s="64">
        <v>139.43</v>
      </c>
      <c r="T207" s="64">
        <v>147.62</v>
      </c>
      <c r="U207" s="64">
        <v>115.78</v>
      </c>
      <c r="V207" s="64">
        <v>130.94999999999999</v>
      </c>
      <c r="W207" s="67">
        <v>134.93</v>
      </c>
      <c r="X207" s="22">
        <f t="shared" si="2"/>
        <v>2.4385981943500834E-2</v>
      </c>
      <c r="Y207" s="22">
        <f t="shared" si="2"/>
        <v>4.5488144652299223E-3</v>
      </c>
      <c r="Z207" s="22">
        <f t="shared" si="2"/>
        <v>7.1130733382389622E-3</v>
      </c>
      <c r="AA207" s="22">
        <f t="shared" si="2"/>
        <v>-8.4304395069129123E-3</v>
      </c>
    </row>
    <row r="208" spans="1:27" ht="15" x14ac:dyDescent="0.25">
      <c r="A208" s="4">
        <v>260128</v>
      </c>
      <c r="B208" s="29" t="s">
        <v>186</v>
      </c>
      <c r="C208" s="19" t="s">
        <v>23</v>
      </c>
      <c r="D208" s="19" t="s">
        <v>109</v>
      </c>
      <c r="E208" s="2" t="s">
        <v>25</v>
      </c>
      <c r="F208" s="47">
        <v>-1.8788315903353729</v>
      </c>
      <c r="G208" s="2">
        <v>287.41000000000003</v>
      </c>
      <c r="H208" s="2">
        <v>345.47</v>
      </c>
      <c r="I208" s="2">
        <v>469.67</v>
      </c>
      <c r="J208" s="2">
        <v>287.61</v>
      </c>
      <c r="K208" s="2">
        <v>200.72</v>
      </c>
      <c r="L208" s="64">
        <v>164.76</v>
      </c>
      <c r="M208" s="64">
        <v>146.76</v>
      </c>
      <c r="N208" s="64">
        <v>113.38</v>
      </c>
      <c r="O208" s="64">
        <v>107.19</v>
      </c>
      <c r="P208" s="64">
        <v>140.04</v>
      </c>
      <c r="Q208" s="64">
        <v>193.3</v>
      </c>
      <c r="R208" s="65">
        <v>184.55</v>
      </c>
      <c r="S208" s="65">
        <v>196.98</v>
      </c>
      <c r="T208" s="64">
        <v>184.35</v>
      </c>
      <c r="U208" s="64">
        <v>219.8</v>
      </c>
      <c r="V208" s="64">
        <v>230.77</v>
      </c>
      <c r="W208" s="67">
        <v>181.35</v>
      </c>
      <c r="X208" s="22">
        <f t="shared" si="2"/>
        <v>6.1983297662511871E-2</v>
      </c>
      <c r="Y208" s="22">
        <f t="shared" si="2"/>
        <v>3.4906082878895628E-2</v>
      </c>
      <c r="Z208" s="22">
        <f t="shared" si="2"/>
        <v>5.8828021586396329E-2</v>
      </c>
      <c r="AA208" s="22">
        <f t="shared" si="2"/>
        <v>-1.8788315903353725E-2</v>
      </c>
    </row>
    <row r="209" spans="1:27" ht="15" x14ac:dyDescent="0.25">
      <c r="A209" s="4">
        <v>260128</v>
      </c>
      <c r="B209" s="29" t="s">
        <v>134</v>
      </c>
      <c r="C209" s="19" t="s">
        <v>23</v>
      </c>
      <c r="D209" s="19" t="s">
        <v>106</v>
      </c>
      <c r="E209" s="2" t="s">
        <v>42</v>
      </c>
      <c r="F209" s="47">
        <v>-4.2553769280903806</v>
      </c>
      <c r="G209" s="2">
        <v>1130</v>
      </c>
      <c r="H209" s="2">
        <v>904.2</v>
      </c>
      <c r="I209" s="2">
        <v>1255</v>
      </c>
      <c r="J209" s="2">
        <v>1154</v>
      </c>
      <c r="K209" s="2">
        <v>1201</v>
      </c>
      <c r="L209" s="64">
        <v>1194</v>
      </c>
      <c r="M209" s="64">
        <v>1521</v>
      </c>
      <c r="N209" s="64">
        <v>1610</v>
      </c>
      <c r="O209" s="64">
        <v>1430</v>
      </c>
      <c r="P209" s="64">
        <v>1031</v>
      </c>
      <c r="Q209" s="64">
        <v>1444</v>
      </c>
      <c r="R209" s="64">
        <v>1227</v>
      </c>
      <c r="S209" s="64">
        <v>1075</v>
      </c>
      <c r="T209" s="64">
        <v>658.1</v>
      </c>
      <c r="U209" s="64">
        <v>899.3</v>
      </c>
      <c r="V209" s="64">
        <v>1050</v>
      </c>
      <c r="W209" s="67">
        <v>918.3</v>
      </c>
      <c r="X209" s="22">
        <f t="shared" si="2"/>
        <v>-7.8061544902658486E-2</v>
      </c>
      <c r="Y209" s="22">
        <f t="shared" si="2"/>
        <v>-0.12368020707976679</v>
      </c>
      <c r="Z209" s="22">
        <f t="shared" si="2"/>
        <v>-4.5862051096025258E-2</v>
      </c>
      <c r="AA209" s="22">
        <f t="shared" si="2"/>
        <v>-4.2553769280903708E-2</v>
      </c>
    </row>
    <row r="210" spans="1:27" ht="15" x14ac:dyDescent="0.25">
      <c r="A210" s="4">
        <v>260128</v>
      </c>
      <c r="B210" s="29" t="s">
        <v>126</v>
      </c>
      <c r="C210" s="19" t="s">
        <v>23</v>
      </c>
      <c r="D210" s="19" t="s">
        <v>127</v>
      </c>
      <c r="E210" s="2" t="s">
        <v>25</v>
      </c>
      <c r="F210" s="47">
        <v>-4.4728809579713591</v>
      </c>
      <c r="G210" s="2">
        <v>1829</v>
      </c>
      <c r="H210" s="2">
        <v>2507</v>
      </c>
      <c r="I210" s="2">
        <v>2330</v>
      </c>
      <c r="J210" s="2">
        <v>2340</v>
      </c>
      <c r="K210" s="2">
        <v>1317</v>
      </c>
      <c r="L210" s="64">
        <v>2870</v>
      </c>
      <c r="M210" s="64">
        <v>2702</v>
      </c>
      <c r="N210" s="64">
        <v>1913</v>
      </c>
      <c r="O210" s="65">
        <v>2404</v>
      </c>
      <c r="P210" s="64">
        <v>3204</v>
      </c>
      <c r="Q210" s="64">
        <v>3026</v>
      </c>
      <c r="R210" s="64">
        <v>2378</v>
      </c>
      <c r="S210" s="64">
        <v>987</v>
      </c>
      <c r="T210" s="64">
        <v>3141</v>
      </c>
      <c r="U210" s="64">
        <v>2633</v>
      </c>
      <c r="V210" s="64">
        <v>1757</v>
      </c>
      <c r="W210" s="67">
        <v>606</v>
      </c>
      <c r="X210" s="22">
        <f t="shared" si="2"/>
        <v>-6.565919749869753E-3</v>
      </c>
      <c r="Y210" s="22">
        <f t="shared" si="2"/>
        <v>-4.122954259336975E-2</v>
      </c>
      <c r="Z210" s="22">
        <f t="shared" si="2"/>
        <v>-6.7950541634752115E-2</v>
      </c>
      <c r="AA210" s="22">
        <f t="shared" si="2"/>
        <v>-4.4728809579713591E-2</v>
      </c>
    </row>
    <row r="211" spans="1:27" ht="15" x14ac:dyDescent="0.25">
      <c r="A211" s="4">
        <v>260128</v>
      </c>
      <c r="B211" s="29" t="s">
        <v>190</v>
      </c>
      <c r="C211" s="19" t="s">
        <v>23</v>
      </c>
      <c r="D211" s="19" t="s">
        <v>191</v>
      </c>
      <c r="E211" s="2" t="s">
        <v>25</v>
      </c>
      <c r="F211" s="47">
        <v>-4.5467462347257737</v>
      </c>
      <c r="G211" s="2">
        <v>103.7</v>
      </c>
      <c r="H211" s="2">
        <v>110.3</v>
      </c>
      <c r="I211" s="2">
        <v>224</v>
      </c>
      <c r="J211" s="2">
        <v>182</v>
      </c>
      <c r="K211" s="2">
        <v>135.4</v>
      </c>
      <c r="L211" s="64">
        <v>137.5</v>
      </c>
      <c r="M211" s="64">
        <v>272.10000000000002</v>
      </c>
      <c r="N211" s="64">
        <v>244.7</v>
      </c>
      <c r="O211" s="64">
        <v>175</v>
      </c>
      <c r="P211" s="64">
        <v>166.2</v>
      </c>
      <c r="Q211" s="64">
        <v>316.89999999999998</v>
      </c>
      <c r="R211" s="64">
        <v>301.5</v>
      </c>
      <c r="S211" s="64">
        <v>249.5</v>
      </c>
      <c r="T211" s="64">
        <v>154.69999999999999</v>
      </c>
      <c r="U211" s="64">
        <v>347</v>
      </c>
      <c r="V211" s="64">
        <v>304.5</v>
      </c>
      <c r="W211" s="67">
        <v>201.5</v>
      </c>
      <c r="X211" s="22">
        <f t="shared" si="2"/>
        <v>-1.1120781355768328E-2</v>
      </c>
      <c r="Y211" s="22">
        <f t="shared" si="2"/>
        <v>2.9434774105222106E-2</v>
      </c>
      <c r="Z211" s="22">
        <f t="shared" si="2"/>
        <v>2.8498147620403813E-3</v>
      </c>
      <c r="AA211" s="22">
        <f t="shared" si="2"/>
        <v>-4.5467462347257737E-2</v>
      </c>
    </row>
    <row r="212" spans="1:27" ht="15" x14ac:dyDescent="0.25">
      <c r="A212" s="4">
        <v>260128</v>
      </c>
      <c r="B212" s="29" t="s">
        <v>140</v>
      </c>
      <c r="C212" s="19" t="s">
        <v>23</v>
      </c>
      <c r="D212" s="19" t="s">
        <v>141</v>
      </c>
      <c r="E212" s="2" t="s">
        <v>25</v>
      </c>
      <c r="F212" s="47">
        <v>-4.8561424874410068</v>
      </c>
      <c r="G212" s="2">
        <v>7002</v>
      </c>
      <c r="H212" s="2">
        <v>7681</v>
      </c>
      <c r="I212" s="2">
        <v>7905</v>
      </c>
      <c r="J212" s="2">
        <v>8363</v>
      </c>
      <c r="K212" s="2">
        <v>4400</v>
      </c>
      <c r="L212" s="64">
        <v>6799</v>
      </c>
      <c r="M212" s="64">
        <v>7279</v>
      </c>
      <c r="N212" s="64">
        <v>7209</v>
      </c>
      <c r="O212" s="64">
        <v>5247</v>
      </c>
      <c r="P212" s="64">
        <v>6604</v>
      </c>
      <c r="Q212" s="64">
        <v>6837</v>
      </c>
      <c r="R212" s="64">
        <v>7136</v>
      </c>
      <c r="S212" s="64">
        <v>5873</v>
      </c>
      <c r="T212" s="64">
        <v>6766</v>
      </c>
      <c r="U212" s="64">
        <v>7010</v>
      </c>
      <c r="V212" s="64">
        <v>6627</v>
      </c>
      <c r="W212" s="67">
        <v>4597</v>
      </c>
      <c r="X212" s="22">
        <f t="shared" si="2"/>
        <v>6.1247637051040638E-3</v>
      </c>
      <c r="Y212" s="22">
        <f t="shared" si="2"/>
        <v>6.5008266947241822E-3</v>
      </c>
      <c r="Z212" s="22">
        <f t="shared" si="2"/>
        <v>-1.9003173417957764E-2</v>
      </c>
      <c r="AA212" s="22">
        <f t="shared" si="2"/>
        <v>-4.8561424874410064E-2</v>
      </c>
    </row>
    <row r="213" spans="1:27" ht="15" x14ac:dyDescent="0.25">
      <c r="A213" s="4">
        <v>260128</v>
      </c>
      <c r="B213" s="29" t="s">
        <v>108</v>
      </c>
      <c r="C213" s="19" t="s">
        <v>23</v>
      </c>
      <c r="D213" s="19" t="s">
        <v>109</v>
      </c>
      <c r="E213" s="2" t="s">
        <v>59</v>
      </c>
      <c r="F213" s="47">
        <v>-12.344259152769791</v>
      </c>
      <c r="G213" s="2">
        <v>148.16999999999999</v>
      </c>
      <c r="H213" s="2">
        <v>162.66999999999999</v>
      </c>
      <c r="I213" s="2">
        <v>150.41999999999999</v>
      </c>
      <c r="J213" s="2">
        <v>133.5</v>
      </c>
      <c r="K213" s="2">
        <v>122.68</v>
      </c>
      <c r="L213" s="64">
        <v>100.14</v>
      </c>
      <c r="M213" s="64">
        <v>87.95</v>
      </c>
      <c r="N213" s="64">
        <v>80.349999999999994</v>
      </c>
      <c r="O213" s="64">
        <v>73.84</v>
      </c>
      <c r="P213" s="64">
        <v>59.71</v>
      </c>
      <c r="Q213" s="64">
        <v>68.06</v>
      </c>
      <c r="R213" s="64">
        <v>63.12</v>
      </c>
      <c r="S213" s="64">
        <v>57.38</v>
      </c>
      <c r="T213" s="64">
        <v>38.590000000000003</v>
      </c>
      <c r="U213" s="64">
        <v>56.28</v>
      </c>
      <c r="V213" s="64">
        <v>56.43</v>
      </c>
      <c r="W213" s="67">
        <v>31.62</v>
      </c>
      <c r="X213" s="22">
        <f t="shared" si="2"/>
        <v>-8.5068675232609636E-2</v>
      </c>
      <c r="Y213" s="22">
        <f t="shared" si="2"/>
        <v>-5.1860004402377258E-2</v>
      </c>
      <c r="Z213" s="22">
        <f t="shared" si="2"/>
        <v>-3.1062822120072386E-2</v>
      </c>
      <c r="AA213" s="22">
        <f t="shared" si="2"/>
        <v>-0.12344259152769788</v>
      </c>
    </row>
    <row r="214" spans="1:27" ht="15" x14ac:dyDescent="0.25">
      <c r="A214" s="4">
        <v>260128</v>
      </c>
      <c r="B214" s="29" t="s">
        <v>58</v>
      </c>
      <c r="C214" s="19" t="s">
        <v>23</v>
      </c>
      <c r="D214" s="19" t="s">
        <v>37</v>
      </c>
      <c r="E214" s="2" t="s">
        <v>59</v>
      </c>
      <c r="F214" s="47">
        <v>-12.79069767441861</v>
      </c>
      <c r="G214" s="2">
        <v>49.2</v>
      </c>
      <c r="H214" s="2">
        <v>40.9</v>
      </c>
      <c r="I214" s="2">
        <v>47.6</v>
      </c>
      <c r="J214" s="2">
        <v>43.9</v>
      </c>
      <c r="K214" s="2">
        <v>24.2</v>
      </c>
      <c r="L214" s="64">
        <v>6.1</v>
      </c>
      <c r="M214" s="64">
        <v>10.4</v>
      </c>
      <c r="N214" s="64">
        <v>13.7</v>
      </c>
      <c r="O214" s="64">
        <v>16.100000000000001</v>
      </c>
      <c r="P214" s="64">
        <v>4.7</v>
      </c>
      <c r="Q214" s="64">
        <v>8.6</v>
      </c>
      <c r="R214" s="64">
        <v>6.7</v>
      </c>
      <c r="S214" s="65">
        <v>22.3</v>
      </c>
      <c r="T214" s="65">
        <v>24.3</v>
      </c>
      <c r="U214" s="65">
        <v>21.2</v>
      </c>
      <c r="V214" s="65">
        <v>18.2</v>
      </c>
      <c r="W214" s="67">
        <v>11.3</v>
      </c>
      <c r="X214" s="22">
        <f t="shared" si="2"/>
        <v>0.46335697399527209</v>
      </c>
      <c r="Y214" s="22">
        <f t="shared" si="2"/>
        <v>0.20355411954765734</v>
      </c>
      <c r="Z214" s="22">
        <f t="shared" si="2"/>
        <v>0.15436241610738266</v>
      </c>
      <c r="AA214" s="22">
        <f t="shared" si="2"/>
        <v>-0.12790697674418605</v>
      </c>
    </row>
    <row r="215" spans="1:27" ht="15" x14ac:dyDescent="0.25">
      <c r="A215" s="4">
        <v>260128</v>
      </c>
      <c r="B215" s="29" t="s">
        <v>53</v>
      </c>
      <c r="C215" s="19" t="s">
        <v>23</v>
      </c>
      <c r="D215" s="19" t="s">
        <v>54</v>
      </c>
      <c r="E215" s="2" t="s">
        <v>25</v>
      </c>
      <c r="F215" s="47">
        <v>-14.68726954672521</v>
      </c>
      <c r="G215" s="2">
        <v>138.93</v>
      </c>
      <c r="H215" s="2">
        <v>122.03</v>
      </c>
      <c r="I215" s="2">
        <v>181.92</v>
      </c>
      <c r="J215" s="2">
        <v>165.95</v>
      </c>
      <c r="K215" s="2">
        <v>162.43</v>
      </c>
      <c r="L215" s="64">
        <v>132.26</v>
      </c>
      <c r="M215" s="64">
        <v>148.08000000000001</v>
      </c>
      <c r="N215" s="64">
        <v>169.54</v>
      </c>
      <c r="O215" s="64">
        <v>126.99</v>
      </c>
      <c r="P215" s="64">
        <v>170.44</v>
      </c>
      <c r="Q215" s="64">
        <v>183.31</v>
      </c>
      <c r="R215" s="64">
        <v>178.36</v>
      </c>
      <c r="S215" s="64">
        <v>160.28</v>
      </c>
      <c r="T215" s="64">
        <v>138.26</v>
      </c>
      <c r="U215" s="64">
        <v>152.65</v>
      </c>
      <c r="V215" s="64">
        <v>131.9</v>
      </c>
      <c r="W215" s="67">
        <v>74.64</v>
      </c>
      <c r="X215" s="22">
        <f t="shared" si="2"/>
        <v>-4.6476696659397132E-2</v>
      </c>
      <c r="Y215" s="22">
        <f t="shared" si="2"/>
        <v>-4.6439769164356881E-2</v>
      </c>
      <c r="Z215" s="22">
        <f t="shared" si="2"/>
        <v>-7.379874513541429E-2</v>
      </c>
      <c r="AA215" s="22">
        <f t="shared" si="2"/>
        <v>-0.14687269546725201</v>
      </c>
    </row>
    <row r="216" spans="1:27" ht="15" x14ac:dyDescent="0.25">
      <c r="A216" s="4">
        <v>260128</v>
      </c>
      <c r="B216" s="29" t="s">
        <v>68</v>
      </c>
      <c r="C216" s="19" t="s">
        <v>23</v>
      </c>
      <c r="D216" s="19" t="s">
        <v>69</v>
      </c>
      <c r="E216" s="2" t="s">
        <v>25</v>
      </c>
      <c r="F216" s="47">
        <v>-15.25625744934446</v>
      </c>
      <c r="G216" s="2">
        <v>509</v>
      </c>
      <c r="H216" s="2">
        <v>478</v>
      </c>
      <c r="I216" s="2">
        <v>443</v>
      </c>
      <c r="J216" s="2">
        <v>239</v>
      </c>
      <c r="K216" s="2">
        <v>153</v>
      </c>
      <c r="L216" s="64">
        <v>270</v>
      </c>
      <c r="M216" s="64">
        <v>333</v>
      </c>
      <c r="N216" s="64">
        <v>311</v>
      </c>
      <c r="O216" s="65">
        <v>311</v>
      </c>
      <c r="P216" s="64">
        <v>152</v>
      </c>
      <c r="Q216" s="64">
        <v>224</v>
      </c>
      <c r="R216" s="64">
        <v>242</v>
      </c>
      <c r="S216" s="64">
        <v>272</v>
      </c>
      <c r="T216" s="64">
        <v>190</v>
      </c>
      <c r="U216" s="64">
        <v>201</v>
      </c>
      <c r="V216" s="64">
        <v>176</v>
      </c>
      <c r="W216" s="67">
        <v>144</v>
      </c>
      <c r="X216" s="22">
        <f t="shared" si="2"/>
        <v>4.2696629213483162E-2</v>
      </c>
      <c r="Y216" s="22">
        <f t="shared" si="2"/>
        <v>-2.4784482758620663E-2</v>
      </c>
      <c r="Z216" s="22">
        <f t="shared" si="2"/>
        <v>-7.2928176795580058E-2</v>
      </c>
      <c r="AA216" s="22">
        <f t="shared" si="2"/>
        <v>-0.15256257449344457</v>
      </c>
    </row>
    <row r="217" spans="1:27" ht="15" x14ac:dyDescent="0.25">
      <c r="A217" s="4">
        <v>260128</v>
      </c>
      <c r="B217" s="29" t="s">
        <v>73</v>
      </c>
      <c r="C217" s="19" t="s">
        <v>23</v>
      </c>
      <c r="D217" s="19" t="s">
        <v>29</v>
      </c>
      <c r="E217" s="2" t="s">
        <v>25</v>
      </c>
      <c r="F217" s="47">
        <v>-16.991818753933281</v>
      </c>
      <c r="G217" s="2">
        <v>72.78</v>
      </c>
      <c r="H217" s="2">
        <v>66.84</v>
      </c>
      <c r="I217" s="2">
        <v>72.03</v>
      </c>
      <c r="J217" s="2">
        <v>77.400000000000006</v>
      </c>
      <c r="K217" s="2">
        <v>74.88</v>
      </c>
      <c r="L217" s="64">
        <v>73.319999999999993</v>
      </c>
      <c r="M217" s="64">
        <v>68.58</v>
      </c>
      <c r="N217" s="64">
        <v>106.56</v>
      </c>
      <c r="O217" s="64">
        <v>99.45</v>
      </c>
      <c r="P217" s="65">
        <v>114.29</v>
      </c>
      <c r="Q217" s="64">
        <v>99.13</v>
      </c>
      <c r="R217" s="64">
        <v>81.349999999999994</v>
      </c>
      <c r="S217" s="64">
        <v>127.88</v>
      </c>
      <c r="T217" s="64">
        <v>76.5</v>
      </c>
      <c r="U217" s="64">
        <v>48.84</v>
      </c>
      <c r="V217" s="64">
        <v>64.58</v>
      </c>
      <c r="W217" s="67">
        <v>73.88</v>
      </c>
      <c r="X217" s="22">
        <f t="shared" si="2"/>
        <v>-8.941204306163486E-2</v>
      </c>
      <c r="Y217" s="22">
        <f t="shared" si="2"/>
        <v>-0.13067089331185355</v>
      </c>
      <c r="Z217" s="22">
        <f t="shared" si="2"/>
        <v>-5.0124039812296517E-2</v>
      </c>
      <c r="AA217" s="22">
        <f t="shared" si="2"/>
        <v>-0.16991818753933285</v>
      </c>
    </row>
    <row r="218" spans="1:27" ht="15" x14ac:dyDescent="0.25">
      <c r="A218" s="4">
        <v>260128</v>
      </c>
      <c r="B218" s="29" t="s">
        <v>26</v>
      </c>
      <c r="C218" s="19" t="s">
        <v>23</v>
      </c>
      <c r="D218" s="19" t="s">
        <v>27</v>
      </c>
      <c r="E218" s="2" t="s">
        <v>25</v>
      </c>
      <c r="F218" s="47">
        <v>-27.80973905896856</v>
      </c>
      <c r="G218" s="2">
        <v>212.53</v>
      </c>
      <c r="H218" s="2">
        <v>189.64</v>
      </c>
      <c r="I218" s="2">
        <v>219.89</v>
      </c>
      <c r="J218" s="2">
        <v>177.73</v>
      </c>
      <c r="K218" s="2">
        <v>117.6</v>
      </c>
      <c r="L218" s="64">
        <v>42.51</v>
      </c>
      <c r="M218" s="64">
        <v>70.09</v>
      </c>
      <c r="N218" s="64">
        <v>113.66</v>
      </c>
      <c r="O218" s="64">
        <v>129.38999999999999</v>
      </c>
      <c r="P218" s="65">
        <v>93.95</v>
      </c>
      <c r="Q218" s="64">
        <v>109.36</v>
      </c>
      <c r="R218" s="64">
        <v>112.25</v>
      </c>
      <c r="S218" s="64">
        <v>130.74</v>
      </c>
      <c r="T218" s="64">
        <v>57.56</v>
      </c>
      <c r="U218" s="64">
        <v>49.75</v>
      </c>
      <c r="V218" s="64">
        <v>53.97</v>
      </c>
      <c r="W218" s="67">
        <v>49.53</v>
      </c>
      <c r="X218" s="22">
        <f t="shared" si="2"/>
        <v>-8.1537082679811745E-2</v>
      </c>
      <c r="Y218" s="22">
        <f t="shared" si="2"/>
        <v>-0.1454221658412822</v>
      </c>
      <c r="Z218" s="22">
        <f t="shared" si="2"/>
        <v>-0.16637168141592928</v>
      </c>
      <c r="AA218" s="22">
        <f t="shared" si="2"/>
        <v>-0.27809739058968563</v>
      </c>
    </row>
    <row r="219" spans="1:27" ht="15" x14ac:dyDescent="0.25">
      <c r="A219" s="4">
        <v>260128</v>
      </c>
      <c r="B219" s="29" t="s">
        <v>138</v>
      </c>
      <c r="C219" s="19" t="s">
        <v>23</v>
      </c>
      <c r="D219" s="19" t="s">
        <v>139</v>
      </c>
      <c r="E219" s="2" t="s">
        <v>25</v>
      </c>
      <c r="F219" s="47">
        <v>-28.1957773512476</v>
      </c>
      <c r="G219" s="2">
        <v>2223</v>
      </c>
      <c r="H219" s="2">
        <v>2176</v>
      </c>
      <c r="I219" s="2">
        <v>2225</v>
      </c>
      <c r="J219" s="2">
        <v>2028</v>
      </c>
      <c r="K219" s="2">
        <v>0</v>
      </c>
      <c r="L219" s="64">
        <v>1519</v>
      </c>
      <c r="M219" s="64">
        <v>1165</v>
      </c>
      <c r="N219" s="64">
        <v>1186</v>
      </c>
      <c r="O219" s="65">
        <v>1511</v>
      </c>
      <c r="P219" s="64">
        <v>1338</v>
      </c>
      <c r="Q219" s="64">
        <v>1168</v>
      </c>
      <c r="R219" s="64">
        <v>1179</v>
      </c>
      <c r="S219" s="64">
        <v>1469</v>
      </c>
      <c r="T219" s="64">
        <v>1291</v>
      </c>
      <c r="U219" s="64">
        <v>1194</v>
      </c>
      <c r="V219" s="64">
        <v>1256</v>
      </c>
      <c r="W219" s="67">
        <v>0</v>
      </c>
      <c r="X219" s="22">
        <f t="shared" si="2"/>
        <v>-9.1191307722157111E-3</v>
      </c>
      <c r="Y219" s="22">
        <f t="shared" si="2"/>
        <v>5.091051497944088E-3</v>
      </c>
      <c r="Z219" s="22">
        <f t="shared" si="2"/>
        <v>1.5000974089226515E-2</v>
      </c>
      <c r="AA219" s="22">
        <f t="shared" si="2"/>
        <v>-0.28195777351247597</v>
      </c>
    </row>
    <row r="220" spans="1:27" ht="15" x14ac:dyDescent="0.25">
      <c r="A220" s="4">
        <v>260128</v>
      </c>
      <c r="B220" s="29" t="s">
        <v>80</v>
      </c>
      <c r="C220" s="19" t="s">
        <v>23</v>
      </c>
      <c r="D220" s="19" t="s">
        <v>29</v>
      </c>
      <c r="E220" s="2" t="s">
        <v>25</v>
      </c>
      <c r="F220" s="47">
        <v>-65.580261955528485</v>
      </c>
      <c r="G220" s="2">
        <v>16.73</v>
      </c>
      <c r="H220" s="2">
        <v>13.07</v>
      </c>
      <c r="I220" s="2">
        <v>12.02</v>
      </c>
      <c r="J220" s="2">
        <v>12.56</v>
      </c>
      <c r="K220" s="2">
        <v>14.53</v>
      </c>
      <c r="L220" s="64">
        <v>10.49</v>
      </c>
      <c r="M220" s="64">
        <v>11.64</v>
      </c>
      <c r="N220" s="64">
        <v>11.54</v>
      </c>
      <c r="O220" s="64">
        <v>-17.82</v>
      </c>
      <c r="P220" s="64">
        <v>8.52</v>
      </c>
      <c r="Q220" s="64">
        <v>8.1300000000000008</v>
      </c>
      <c r="R220" s="64">
        <v>6.8</v>
      </c>
      <c r="S220" s="65">
        <v>-0.28999999999999998</v>
      </c>
      <c r="T220" s="65">
        <v>17.559999999999999</v>
      </c>
      <c r="U220" s="65">
        <v>26.36</v>
      </c>
      <c r="V220" s="65">
        <v>22.03</v>
      </c>
      <c r="W220" s="67">
        <v>-43.35</v>
      </c>
      <c r="X220" s="22">
        <f t="shared" si="2"/>
        <v>0.3903281519861832</v>
      </c>
      <c r="Y220" s="22">
        <f t="shared" si="2"/>
        <v>0.56614906832298129</v>
      </c>
      <c r="Z220" s="22">
        <f t="shared" si="2"/>
        <v>0.30200277612532211</v>
      </c>
      <c r="AA220" s="22">
        <f t="shared" si="2"/>
        <v>-0.65580261955528474</v>
      </c>
    </row>
    <row r="221" spans="1:27" customFormat="1" hidden="1" x14ac:dyDescent="0.3">
      <c r="B221" s="2" t="s">
        <v>156</v>
      </c>
      <c r="C221" s="2" t="s">
        <v>31</v>
      </c>
      <c r="D221" s="2" t="s">
        <v>32</v>
      </c>
      <c r="E221" s="2" t="s">
        <v>35</v>
      </c>
      <c r="F221" s="2">
        <v>11.67180277349769</v>
      </c>
      <c r="G221" s="2">
        <v>1710</v>
      </c>
      <c r="H221" s="2">
        <v>2404</v>
      </c>
      <c r="I221" s="2">
        <v>1804</v>
      </c>
      <c r="J221" s="2">
        <v>2052</v>
      </c>
      <c r="K221" s="2">
        <v>2058</v>
      </c>
      <c r="L221" s="2">
        <v>2649</v>
      </c>
      <c r="M221" s="2">
        <v>2081</v>
      </c>
      <c r="N221" s="2">
        <v>2589</v>
      </c>
      <c r="O221" s="2">
        <v>2467</v>
      </c>
      <c r="P221" s="2">
        <v>3001</v>
      </c>
      <c r="Q221" s="2">
        <v>2072</v>
      </c>
      <c r="R221" s="2">
        <v>3006</v>
      </c>
      <c r="S221" s="2">
        <v>2423</v>
      </c>
      <c r="T221" s="2">
        <v>3499</v>
      </c>
      <c r="U221" s="2">
        <v>2955</v>
      </c>
      <c r="V221" s="2">
        <v>4103</v>
      </c>
      <c r="W221" s="28">
        <v>3938</v>
      </c>
      <c r="X221" s="22">
        <f t="shared" si="2"/>
        <v>4.7419539135402866E-2</v>
      </c>
      <c r="Y221" s="22">
        <f t="shared" si="2"/>
        <v>8.0272727272727273E-2</v>
      </c>
      <c r="Z221" s="22">
        <f t="shared" si="2"/>
        <v>9.2316755028191588E-2</v>
      </c>
      <c r="AA221" s="22">
        <f t="shared" si="2"/>
        <v>0.11671802773497686</v>
      </c>
    </row>
    <row r="222" spans="1:27" ht="15" x14ac:dyDescent="0.25">
      <c r="A222" s="4">
        <v>260128</v>
      </c>
      <c r="B222" s="29" t="s">
        <v>98</v>
      </c>
      <c r="C222" s="19" t="s">
        <v>23</v>
      </c>
      <c r="D222" s="19" t="s">
        <v>99</v>
      </c>
      <c r="E222" s="2" t="s">
        <v>25</v>
      </c>
      <c r="F222" s="47">
        <v>-193.93939393939391</v>
      </c>
      <c r="G222" s="2">
        <v>58</v>
      </c>
      <c r="H222" s="2">
        <v>335</v>
      </c>
      <c r="I222" s="2">
        <v>244</v>
      </c>
      <c r="J222" s="2">
        <v>158</v>
      </c>
      <c r="K222" s="2">
        <v>131</v>
      </c>
      <c r="L222" s="64">
        <v>148</v>
      </c>
      <c r="M222" s="64">
        <v>111</v>
      </c>
      <c r="N222" s="64">
        <v>114</v>
      </c>
      <c r="O222" s="64">
        <v>-26</v>
      </c>
      <c r="P222" s="64">
        <v>89</v>
      </c>
      <c r="Q222" s="64">
        <v>64</v>
      </c>
      <c r="R222" s="64">
        <v>-189</v>
      </c>
      <c r="S222" s="64">
        <v>196</v>
      </c>
      <c r="T222" s="64">
        <v>-2</v>
      </c>
      <c r="U222" s="64">
        <v>18</v>
      </c>
      <c r="V222" s="65">
        <v>-113</v>
      </c>
      <c r="W222" s="67">
        <v>4</v>
      </c>
      <c r="X222" s="22">
        <f t="shared" si="2"/>
        <v>-0.56874999999999998</v>
      </c>
      <c r="Y222" s="22">
        <f t="shared" si="2"/>
        <v>-0.66666666666666674</v>
      </c>
      <c r="Z222" s="22">
        <f t="shared" si="2"/>
        <v>3.3043478260869561</v>
      </c>
      <c r="AA222" s="22">
        <f t="shared" si="2"/>
        <v>-1.9393939393939394</v>
      </c>
    </row>
    <row r="223" spans="1:27" ht="15" x14ac:dyDescent="0.25">
      <c r="A223" s="4">
        <v>260128</v>
      </c>
      <c r="B223" s="29" t="s">
        <v>49</v>
      </c>
      <c r="C223" s="19" t="s">
        <v>23</v>
      </c>
      <c r="D223" s="19" t="s">
        <v>50</v>
      </c>
      <c r="E223" s="2" t="s">
        <v>25</v>
      </c>
      <c r="F223" s="47">
        <v>-275.10356673739523</v>
      </c>
      <c r="G223" s="2">
        <v>-7.22</v>
      </c>
      <c r="H223" s="2">
        <v>31.6</v>
      </c>
      <c r="I223" s="2">
        <v>49.61</v>
      </c>
      <c r="J223" s="2">
        <v>33.21</v>
      </c>
      <c r="K223" s="3">
        <v>6.03</v>
      </c>
      <c r="L223" s="64">
        <v>7.69</v>
      </c>
      <c r="M223" s="64">
        <v>13.58</v>
      </c>
      <c r="N223" s="64">
        <v>-3.02</v>
      </c>
      <c r="O223" s="64">
        <v>-11.52</v>
      </c>
      <c r="P223" s="65">
        <v>126.96</v>
      </c>
      <c r="Q223" s="65">
        <v>45.06</v>
      </c>
      <c r="R223" s="65">
        <v>17.25</v>
      </c>
      <c r="S223" s="64">
        <v>-230.01</v>
      </c>
      <c r="T223" s="65">
        <v>58.73</v>
      </c>
      <c r="U223" s="64">
        <v>62.34</v>
      </c>
      <c r="V223" s="64">
        <v>9.9700000000000006</v>
      </c>
      <c r="W223" s="67">
        <v>42.26</v>
      </c>
      <c r="X223" s="22">
        <f t="shared" si="2"/>
        <v>1.6747668139420711</v>
      </c>
      <c r="Y223" s="22">
        <f t="shared" si="2"/>
        <v>-0.15857575479489772</v>
      </c>
      <c r="Z223" s="22">
        <f t="shared" si="2"/>
        <v>7.9397971425455349E-2</v>
      </c>
      <c r="AA223" s="22">
        <f t="shared" si="2"/>
        <v>-2.7510356673739516</v>
      </c>
    </row>
    <row r="224" spans="1:27" customFormat="1" hidden="1" x14ac:dyDescent="0.3">
      <c r="B224" s="2" t="s">
        <v>159</v>
      </c>
      <c r="C224" s="2" t="s">
        <v>67</v>
      </c>
      <c r="D224" s="2" t="s">
        <v>32</v>
      </c>
      <c r="E224" s="2" t="s">
        <v>35</v>
      </c>
      <c r="F224" s="2">
        <v>7.9940231602540157</v>
      </c>
      <c r="G224" s="2">
        <v>6484</v>
      </c>
      <c r="H224" s="2">
        <v>7160</v>
      </c>
      <c r="I224" s="2">
        <v>10031</v>
      </c>
      <c r="J224" s="2">
        <v>5852</v>
      </c>
      <c r="K224" s="2">
        <v>7779</v>
      </c>
      <c r="L224" s="2">
        <v>7791</v>
      </c>
      <c r="M224" s="2">
        <v>11327</v>
      </c>
      <c r="N224" s="2">
        <v>6768</v>
      </c>
      <c r="O224" s="2">
        <v>8978</v>
      </c>
      <c r="P224" s="2">
        <v>9187</v>
      </c>
      <c r="Q224" s="3">
        <v>16003</v>
      </c>
      <c r="R224" s="2">
        <v>10353</v>
      </c>
      <c r="S224" s="3">
        <v>15075</v>
      </c>
      <c r="T224" s="3">
        <v>16505</v>
      </c>
      <c r="U224" s="2">
        <v>16394</v>
      </c>
      <c r="V224" s="3">
        <v>18951</v>
      </c>
      <c r="W224" s="27">
        <v>20425</v>
      </c>
      <c r="X224" s="22">
        <f t="shared" si="2"/>
        <v>0.14457307677110909</v>
      </c>
      <c r="Y224" s="22">
        <f t="shared" si="2"/>
        <v>6.748826291079757E-3</v>
      </c>
      <c r="Z224" s="22">
        <f t="shared" si="2"/>
        <v>0.14741029026008534</v>
      </c>
      <c r="AA224" s="22">
        <f t="shared" ref="AA224:AA247" si="7">SUM(T224:W224)/SUM(S224:V224)-1</f>
        <v>7.9940231602540157E-2</v>
      </c>
    </row>
    <row r="225" spans="1:27" ht="15" x14ac:dyDescent="0.25">
      <c r="A225" s="4">
        <v>260128</v>
      </c>
      <c r="B225" s="29" t="s">
        <v>76</v>
      </c>
      <c r="C225" s="19" t="s">
        <v>23</v>
      </c>
      <c r="D225" s="19" t="s">
        <v>29</v>
      </c>
      <c r="E225" s="2" t="s">
        <v>25</v>
      </c>
      <c r="F225" s="47">
        <v>-301.1638316920322</v>
      </c>
      <c r="G225" s="2">
        <v>25.65</v>
      </c>
      <c r="H225" s="2">
        <v>20.93</v>
      </c>
      <c r="I225" s="2">
        <v>25.29</v>
      </c>
      <c r="J225" s="2">
        <v>23.98</v>
      </c>
      <c r="K225" s="2">
        <v>20.97</v>
      </c>
      <c r="L225" s="64">
        <v>16.11</v>
      </c>
      <c r="M225" s="64">
        <v>14.11</v>
      </c>
      <c r="N225" s="64">
        <v>14.09</v>
      </c>
      <c r="O225" s="64">
        <v>12.17</v>
      </c>
      <c r="P225" s="64">
        <v>13.77</v>
      </c>
      <c r="Q225" s="64">
        <v>13.84</v>
      </c>
      <c r="R225" s="64">
        <v>13.83</v>
      </c>
      <c r="S225" s="64">
        <v>-80.25</v>
      </c>
      <c r="T225" s="64">
        <v>15.67</v>
      </c>
      <c r="U225" s="64">
        <v>17.13</v>
      </c>
      <c r="V225" s="64">
        <v>13.94</v>
      </c>
      <c r="W225" s="67">
        <v>20.67</v>
      </c>
      <c r="X225" s="22">
        <f t="shared" ref="X225:Z247" si="8">SUM(Q225:T225)/SUM(P225:S225)-1</f>
        <v>-4.8956454522030568E-2</v>
      </c>
      <c r="Y225" s="22">
        <f t="shared" si="8"/>
        <v>-8.913573557301524E-2</v>
      </c>
      <c r="Z225" s="22">
        <f t="shared" si="8"/>
        <v>-3.2718619869125387E-3</v>
      </c>
      <c r="AA225" s="22">
        <f t="shared" si="7"/>
        <v>-3.011638316920322</v>
      </c>
    </row>
    <row r="226" spans="1:27" ht="15" x14ac:dyDescent="0.25">
      <c r="A226" s="4">
        <v>260128</v>
      </c>
      <c r="B226" s="29" t="s">
        <v>57</v>
      </c>
      <c r="C226" s="19" t="s">
        <v>23</v>
      </c>
      <c r="D226" s="19" t="s">
        <v>24</v>
      </c>
      <c r="E226" s="2" t="s">
        <v>25</v>
      </c>
      <c r="F226" s="47">
        <v>-398.71977240398292</v>
      </c>
      <c r="G226" s="2">
        <v>13.83</v>
      </c>
      <c r="H226" s="2">
        <v>9.85</v>
      </c>
      <c r="I226" s="2">
        <v>9.6999999999999993</v>
      </c>
      <c r="J226" s="2">
        <v>20.010000000000002</v>
      </c>
      <c r="K226" s="2">
        <v>13.05</v>
      </c>
      <c r="L226" s="64">
        <v>9.94</v>
      </c>
      <c r="M226" s="64">
        <v>11.81</v>
      </c>
      <c r="N226" s="64">
        <v>15.93</v>
      </c>
      <c r="O226" s="64">
        <v>-12.09</v>
      </c>
      <c r="P226" s="64">
        <v>-2.0299999999999998</v>
      </c>
      <c r="Q226" s="64">
        <v>-11.36</v>
      </c>
      <c r="R226" s="65">
        <v>-10.9</v>
      </c>
      <c r="S226" s="65">
        <v>-18.75</v>
      </c>
      <c r="T226" s="64">
        <v>-6.08</v>
      </c>
      <c r="U226" s="64">
        <v>0.39</v>
      </c>
      <c r="V226" s="64">
        <v>17.41</v>
      </c>
      <c r="W226" s="67">
        <v>9.2799999999999994</v>
      </c>
      <c r="X226" s="22">
        <f t="shared" si="8"/>
        <v>9.4098513011152463E-2</v>
      </c>
      <c r="Y226" s="22">
        <f t="shared" si="8"/>
        <v>-0.2495221915480994</v>
      </c>
      <c r="Z226" s="22">
        <f t="shared" si="8"/>
        <v>-0.80107526881720437</v>
      </c>
      <c r="AA226" s="22">
        <f t="shared" si="7"/>
        <v>-3.9871977240398304</v>
      </c>
    </row>
    <row r="227" spans="1:27" ht="15" x14ac:dyDescent="0.25">
      <c r="A227" s="4">
        <v>260128</v>
      </c>
      <c r="B227" s="29" t="s">
        <v>163</v>
      </c>
      <c r="C227" s="19" t="s">
        <v>164</v>
      </c>
      <c r="D227" s="46" t="str">
        <f>VLOOKUP(B227,'실적 기업 정보'!B5:G160,2,FALSE)</f>
        <v>Nordnet AB (publ)</v>
      </c>
      <c r="E227" s="2" t="s">
        <v>25</v>
      </c>
      <c r="F227" s="47">
        <v>3.5197832278043522</v>
      </c>
      <c r="G227" s="2">
        <v>587.20000000000005</v>
      </c>
      <c r="H227" s="2">
        <v>613.4</v>
      </c>
      <c r="I227" s="2">
        <v>310.39999999999998</v>
      </c>
      <c r="J227" s="2">
        <v>487.7</v>
      </c>
      <c r="K227" s="2">
        <v>623.1</v>
      </c>
      <c r="L227" s="64">
        <v>794.2</v>
      </c>
      <c r="M227" s="65">
        <v>729.6</v>
      </c>
      <c r="N227" s="65">
        <v>806.6</v>
      </c>
      <c r="O227" s="64">
        <v>824.8</v>
      </c>
      <c r="P227" s="64">
        <v>882</v>
      </c>
      <c r="Q227" s="64">
        <v>905</v>
      </c>
      <c r="R227" s="64">
        <v>851</v>
      </c>
      <c r="S227" s="64">
        <v>835.7</v>
      </c>
      <c r="T227" s="64">
        <v>985</v>
      </c>
      <c r="U227" s="64">
        <v>889</v>
      </c>
      <c r="V227" s="64">
        <v>907</v>
      </c>
      <c r="W227" s="67">
        <v>963</v>
      </c>
      <c r="X227" s="22">
        <f t="shared" si="8"/>
        <v>2.9651380372513358E-2</v>
      </c>
      <c r="Y227" s="22">
        <f t="shared" si="8"/>
        <v>-4.4733972656358922E-3</v>
      </c>
      <c r="Z227" s="22">
        <f t="shared" si="8"/>
        <v>1.5727244642907312E-2</v>
      </c>
      <c r="AA227" s="22">
        <f t="shared" si="7"/>
        <v>3.5197832278043517E-2</v>
      </c>
    </row>
    <row r="228" spans="1:27" ht="15" x14ac:dyDescent="0.25">
      <c r="A228" s="4">
        <v>260128</v>
      </c>
      <c r="B228" s="29">
        <v>4552</v>
      </c>
      <c r="C228" s="19" t="s">
        <v>67</v>
      </c>
      <c r="D228" s="46" t="str">
        <f>VLOOKUP(B228,'실적 기업 정보'!B6:G161,2,FALSE)</f>
        <v>JCR Pharmaceuticals Co., Ltd.</v>
      </c>
      <c r="E228" s="2" t="s">
        <v>25</v>
      </c>
      <c r="F228" s="30">
        <v>52.094028640907872</v>
      </c>
      <c r="G228" s="2">
        <v>4717</v>
      </c>
      <c r="H228" s="2">
        <v>1578</v>
      </c>
      <c r="I228" s="2">
        <v>1537</v>
      </c>
      <c r="J228" s="2">
        <v>-791</v>
      </c>
      <c r="K228" s="2">
        <v>4208</v>
      </c>
      <c r="L228" s="64">
        <v>23</v>
      </c>
      <c r="M228" s="65">
        <v>2066</v>
      </c>
      <c r="N228" s="65">
        <v>4832</v>
      </c>
      <c r="O228" s="64">
        <v>911</v>
      </c>
      <c r="P228" s="64">
        <v>-277</v>
      </c>
      <c r="Q228" s="64">
        <v>-510</v>
      </c>
      <c r="R228" s="64">
        <v>-327</v>
      </c>
      <c r="S228" s="65">
        <v>-60</v>
      </c>
      <c r="T228" s="65">
        <v>-5944</v>
      </c>
      <c r="U228" s="64">
        <v>-644</v>
      </c>
      <c r="V228" s="64">
        <v>2947</v>
      </c>
      <c r="W228" s="66">
        <v>-1988</v>
      </c>
      <c r="X228" s="22">
        <f t="shared" si="8"/>
        <v>4.8270868824531519</v>
      </c>
      <c r="Y228" s="22">
        <f t="shared" si="8"/>
        <v>1.9587779564391061E-2</v>
      </c>
      <c r="Z228" s="22">
        <f t="shared" si="8"/>
        <v>-0.46939068100358428</v>
      </c>
      <c r="AA228" s="22">
        <f t="shared" si="7"/>
        <v>0.52094028640907863</v>
      </c>
    </row>
    <row r="229" spans="1:27" customFormat="1" hidden="1" x14ac:dyDescent="0.3">
      <c r="B229" s="2" t="s">
        <v>167</v>
      </c>
      <c r="C229" s="2" t="s">
        <v>23</v>
      </c>
      <c r="D229" s="2" t="s">
        <v>168</v>
      </c>
      <c r="E229" s="2" t="s">
        <v>35</v>
      </c>
      <c r="F229" s="2">
        <v>3.0699251540338151</v>
      </c>
      <c r="G229" s="2">
        <v>32.15</v>
      </c>
      <c r="H229" s="2">
        <v>236.41</v>
      </c>
      <c r="I229" s="2">
        <v>108.97</v>
      </c>
      <c r="J229" s="2">
        <v>2.73</v>
      </c>
      <c r="K229" s="2">
        <v>-115.72</v>
      </c>
      <c r="L229" s="2">
        <v>183.78</v>
      </c>
      <c r="M229" s="3">
        <v>223.8</v>
      </c>
      <c r="N229" s="3">
        <v>222.97</v>
      </c>
      <c r="O229" s="3">
        <v>204.65</v>
      </c>
      <c r="P229" s="2">
        <v>-97.45</v>
      </c>
      <c r="Q229" s="2">
        <v>275.52999999999997</v>
      </c>
      <c r="R229" s="2">
        <v>268.25</v>
      </c>
      <c r="S229" s="3">
        <v>336.08</v>
      </c>
      <c r="T229" s="3">
        <v>171.63</v>
      </c>
      <c r="U229" s="2">
        <v>309.70999999999998</v>
      </c>
      <c r="V229" s="3">
        <v>391.73</v>
      </c>
      <c r="W229" s="27">
        <v>373.2</v>
      </c>
      <c r="X229" s="22">
        <f t="shared" si="8"/>
        <v>0.34391175981902045</v>
      </c>
      <c r="Y229" s="22">
        <f t="shared" si="8"/>
        <v>3.2506253031412635E-2</v>
      </c>
      <c r="Z229" s="22">
        <f t="shared" si="8"/>
        <v>0.1137362181878474</v>
      </c>
      <c r="AA229" s="22">
        <f t="shared" si="7"/>
        <v>3.0699251540338146E-2</v>
      </c>
    </row>
    <row r="230" spans="1:27" ht="15" x14ac:dyDescent="0.25">
      <c r="A230" s="4">
        <v>260128</v>
      </c>
      <c r="B230" s="29">
        <v>6857</v>
      </c>
      <c r="C230" s="19" t="s">
        <v>67</v>
      </c>
      <c r="D230" s="46" t="str">
        <f>VLOOKUP(B230,'실적 기업 정보'!B8:G163,2,FALSE)</f>
        <v>Advantest Corporation</v>
      </c>
      <c r="E230" s="2" t="s">
        <v>25</v>
      </c>
      <c r="F230" s="30">
        <v>11.463508524452079</v>
      </c>
      <c r="G230" s="2">
        <v>33566</v>
      </c>
      <c r="H230" s="2">
        <v>32946</v>
      </c>
      <c r="I230" s="2">
        <v>44783</v>
      </c>
      <c r="J230" s="2">
        <v>43133</v>
      </c>
      <c r="K230" s="2">
        <v>41224</v>
      </c>
      <c r="L230" s="64">
        <v>38547</v>
      </c>
      <c r="M230" s="64">
        <v>14864</v>
      </c>
      <c r="N230" s="64">
        <v>17821</v>
      </c>
      <c r="O230" s="64">
        <v>26830</v>
      </c>
      <c r="P230" s="64">
        <v>31111</v>
      </c>
      <c r="Q230" s="65">
        <v>31325</v>
      </c>
      <c r="R230" s="65">
        <v>64100</v>
      </c>
      <c r="S230" s="65">
        <v>69200</v>
      </c>
      <c r="T230" s="65">
        <v>85428</v>
      </c>
      <c r="U230" s="65">
        <v>123952</v>
      </c>
      <c r="V230" s="65">
        <v>108483</v>
      </c>
      <c r="W230" s="66">
        <v>113571</v>
      </c>
      <c r="X230" s="22">
        <f t="shared" si="8"/>
        <v>0.27750132831977758</v>
      </c>
      <c r="Y230" s="22">
        <f t="shared" si="8"/>
        <v>0.370429468952582</v>
      </c>
      <c r="Z230" s="22">
        <f t="shared" si="8"/>
        <v>0.12951733395587728</v>
      </c>
      <c r="AA230" s="22">
        <f t="shared" si="7"/>
        <v>0.11463508524452082</v>
      </c>
    </row>
    <row r="231" spans="1:27" ht="15" x14ac:dyDescent="0.25">
      <c r="A231" s="4">
        <v>260128</v>
      </c>
      <c r="B231" s="29">
        <v>2303</v>
      </c>
      <c r="C231" s="19" t="s">
        <v>67</v>
      </c>
      <c r="D231" s="46" t="str">
        <f>VLOOKUP(B231,'실적 기업 정보'!B9:G164,2,FALSE)</f>
        <v>United Microelectronics Corporation</v>
      </c>
      <c r="E231" s="2" t="s">
        <v>170</v>
      </c>
      <c r="F231" s="47">
        <v>9.7913808768772981</v>
      </c>
      <c r="G231" s="2">
        <v>120</v>
      </c>
      <c r="H231" s="2">
        <v>114</v>
      </c>
      <c r="I231" s="2">
        <v>124</v>
      </c>
      <c r="J231" s="2">
        <v>68</v>
      </c>
      <c r="K231" s="2">
        <v>66</v>
      </c>
      <c r="L231" s="65">
        <v>192</v>
      </c>
      <c r="M231" s="64">
        <v>117</v>
      </c>
      <c r="N231" s="64">
        <v>66</v>
      </c>
      <c r="O231" s="64">
        <v>100</v>
      </c>
      <c r="P231" s="64">
        <v>165</v>
      </c>
      <c r="Q231" s="65">
        <v>202</v>
      </c>
      <c r="R231" s="65">
        <v>120</v>
      </c>
      <c r="S231" s="64">
        <v>71</v>
      </c>
      <c r="T231" s="64">
        <v>191.27</v>
      </c>
      <c r="U231" s="64">
        <v>219</v>
      </c>
      <c r="V231" s="64">
        <v>80.040000000000006</v>
      </c>
      <c r="W231" s="67">
        <v>125.96</v>
      </c>
      <c r="X231" s="22">
        <f t="shared" si="8"/>
        <v>4.7078853046594871E-2</v>
      </c>
      <c r="Y231" s="22">
        <f t="shared" si="8"/>
        <v>2.9096137059920979E-2</v>
      </c>
      <c r="Z231" s="22">
        <f t="shared" si="8"/>
        <v>-6.6459327756249298E-2</v>
      </c>
      <c r="AA231" s="22">
        <f t="shared" si="7"/>
        <v>9.7913808768773203E-2</v>
      </c>
    </row>
    <row r="232" spans="1:27" ht="15" x14ac:dyDescent="0.25">
      <c r="A232" s="4">
        <v>260128</v>
      </c>
      <c r="B232" s="29">
        <v>8060</v>
      </c>
      <c r="C232" s="19" t="s">
        <v>67</v>
      </c>
      <c r="D232" s="46" t="str">
        <f>VLOOKUP(B232,'실적 기업 정보'!B10:G165,2,FALSE)</f>
        <v>Canon Marketing Japan Inc.</v>
      </c>
      <c r="E232" s="2" t="s">
        <v>25</v>
      </c>
      <c r="F232" s="47">
        <v>5.7328197114510981</v>
      </c>
      <c r="G232" s="2">
        <v>13038</v>
      </c>
      <c r="H232" s="2">
        <v>14797</v>
      </c>
      <c r="I232" s="2">
        <v>13036</v>
      </c>
      <c r="J232" s="2">
        <v>10021</v>
      </c>
      <c r="K232" s="2">
        <v>12095</v>
      </c>
      <c r="L232" s="64">
        <v>15286</v>
      </c>
      <c r="M232" s="64">
        <v>11805</v>
      </c>
      <c r="N232" s="64">
        <v>10591</v>
      </c>
      <c r="O232" s="64">
        <v>14814</v>
      </c>
      <c r="P232" s="64">
        <v>13809</v>
      </c>
      <c r="Q232" s="64">
        <v>12226</v>
      </c>
      <c r="R232" s="64">
        <v>10256</v>
      </c>
      <c r="S232" s="64">
        <v>16833</v>
      </c>
      <c r="T232" s="64">
        <v>13170</v>
      </c>
      <c r="U232" s="64">
        <v>14157</v>
      </c>
      <c r="V232" s="64">
        <v>10874</v>
      </c>
      <c r="W232" s="67">
        <v>19988</v>
      </c>
      <c r="X232" s="22">
        <f t="shared" si="8"/>
        <v>-1.2028461712220495E-2</v>
      </c>
      <c r="Y232" s="22">
        <f t="shared" si="8"/>
        <v>3.6791464227874604E-2</v>
      </c>
      <c r="Z232" s="22">
        <f t="shared" si="8"/>
        <v>1.1356953837106776E-2</v>
      </c>
      <c r="AA232" s="22">
        <f t="shared" si="7"/>
        <v>5.7328197114510981E-2</v>
      </c>
    </row>
    <row r="233" spans="1:27" customFormat="1" hidden="1" x14ac:dyDescent="0.3">
      <c r="B233" s="2" t="s">
        <v>174</v>
      </c>
      <c r="C233" s="2" t="s">
        <v>23</v>
      </c>
      <c r="D233" s="2" t="s">
        <v>162</v>
      </c>
      <c r="E233" s="2" t="s">
        <v>96</v>
      </c>
      <c r="F233" s="2">
        <v>-0.23584905660378741</v>
      </c>
      <c r="G233" s="2">
        <v>215.61</v>
      </c>
      <c r="H233" s="2">
        <v>234.91</v>
      </c>
      <c r="I233" s="2">
        <v>236.3</v>
      </c>
      <c r="J233" s="2">
        <v>138.19999999999999</v>
      </c>
      <c r="K233" s="2">
        <v>187.5</v>
      </c>
      <c r="L233" s="2">
        <v>145.69999999999999</v>
      </c>
      <c r="M233" s="2">
        <v>185.3</v>
      </c>
      <c r="N233" s="2">
        <v>16.5</v>
      </c>
      <c r="O233" s="2">
        <v>139.30000000000001</v>
      </c>
      <c r="P233" s="2">
        <v>180.9</v>
      </c>
      <c r="Q233" s="2">
        <v>137</v>
      </c>
      <c r="R233" s="3">
        <v>85.1</v>
      </c>
      <c r="S233" s="2">
        <v>182.1</v>
      </c>
      <c r="T233" s="3">
        <v>258</v>
      </c>
      <c r="U233" s="3">
        <v>203.9</v>
      </c>
      <c r="V233" s="2">
        <v>119.2</v>
      </c>
      <c r="W233" s="27">
        <v>180.3</v>
      </c>
      <c r="X233" s="22">
        <f t="shared" si="8"/>
        <v>0.13177234660741766</v>
      </c>
      <c r="Y233" s="22">
        <f t="shared" si="8"/>
        <v>0.1010268800966474</v>
      </c>
      <c r="Z233" s="22">
        <f t="shared" si="8"/>
        <v>4.676999039912233E-2</v>
      </c>
      <c r="AA233" s="22">
        <f t="shared" si="7"/>
        <v>-2.3584905660376521E-3</v>
      </c>
    </row>
    <row r="234" spans="1:27" customFormat="1" hidden="1" x14ac:dyDescent="0.3">
      <c r="B234" s="2" t="s">
        <v>175</v>
      </c>
      <c r="C234" s="2" t="s">
        <v>23</v>
      </c>
      <c r="D234" s="2" t="s">
        <v>95</v>
      </c>
      <c r="E234" s="2" t="s">
        <v>35</v>
      </c>
      <c r="F234" s="2">
        <v>2.7236499949343069</v>
      </c>
      <c r="G234" s="2">
        <v>141.13</v>
      </c>
      <c r="H234" s="2">
        <v>144.66999999999999</v>
      </c>
      <c r="I234" s="2">
        <v>214.8</v>
      </c>
      <c r="J234" s="2">
        <v>115.86</v>
      </c>
      <c r="K234" s="2">
        <v>51.05</v>
      </c>
      <c r="L234" s="2">
        <v>94.05</v>
      </c>
      <c r="M234" s="2">
        <v>101.77</v>
      </c>
      <c r="N234" s="2">
        <v>112.6</v>
      </c>
      <c r="O234" s="3">
        <v>108.47</v>
      </c>
      <c r="P234" s="2">
        <v>106.93</v>
      </c>
      <c r="Q234" s="2">
        <v>132.05000000000001</v>
      </c>
      <c r="R234" s="2">
        <v>136.51</v>
      </c>
      <c r="S234" s="2">
        <v>143.83000000000001</v>
      </c>
      <c r="T234" s="2">
        <v>144</v>
      </c>
      <c r="U234" s="2">
        <v>155.75</v>
      </c>
      <c r="V234" s="2">
        <v>148.63999999999999</v>
      </c>
      <c r="W234" s="27">
        <v>159.96</v>
      </c>
      <c r="X234" s="22">
        <f t="shared" si="8"/>
        <v>7.1381806978356277E-2</v>
      </c>
      <c r="Y234" s="22">
        <f t="shared" si="8"/>
        <v>4.2596020776793253E-2</v>
      </c>
      <c r="Z234" s="22">
        <f t="shared" si="8"/>
        <v>2.0910548363185066E-2</v>
      </c>
      <c r="AA234" s="22">
        <f t="shared" si="7"/>
        <v>2.7236499949343074E-2</v>
      </c>
    </row>
    <row r="235" spans="1:27" ht="15" x14ac:dyDescent="0.25">
      <c r="A235" s="4">
        <v>260128</v>
      </c>
      <c r="B235" s="29">
        <v>7278</v>
      </c>
      <c r="C235" s="19" t="s">
        <v>67</v>
      </c>
      <c r="D235" s="46" t="str">
        <f>VLOOKUP(B235,'실적 기업 정보'!B13:G168,2,FALSE)</f>
        <v>EXEDY Corporation</v>
      </c>
      <c r="E235" s="2" t="s">
        <v>25</v>
      </c>
      <c r="F235" s="47">
        <v>4.8536244305110721</v>
      </c>
      <c r="G235" s="2">
        <v>3979</v>
      </c>
      <c r="H235" s="2">
        <v>5342</v>
      </c>
      <c r="I235" s="2">
        <v>1034</v>
      </c>
      <c r="J235" s="2">
        <v>2539</v>
      </c>
      <c r="K235" s="2">
        <v>5110</v>
      </c>
      <c r="L235" s="64">
        <v>4372</v>
      </c>
      <c r="M235" s="65">
        <v>2413</v>
      </c>
      <c r="N235" s="65">
        <v>4018</v>
      </c>
      <c r="O235" s="64">
        <v>5096</v>
      </c>
      <c r="P235" s="64">
        <v>5325</v>
      </c>
      <c r="Q235" s="64">
        <v>4084</v>
      </c>
      <c r="R235" s="65">
        <v>7252</v>
      </c>
      <c r="S235" s="64">
        <v>4847</v>
      </c>
      <c r="T235" s="64">
        <v>6509</v>
      </c>
      <c r="U235" s="64">
        <v>4912</v>
      </c>
      <c r="V235" s="64">
        <v>5901</v>
      </c>
      <c r="W235" s="67">
        <v>5923</v>
      </c>
      <c r="X235" s="22">
        <f t="shared" si="8"/>
        <v>5.5049283987353537E-2</v>
      </c>
      <c r="Y235" s="22">
        <f t="shared" si="8"/>
        <v>3.6488630354309937E-2</v>
      </c>
      <c r="Z235" s="22">
        <f t="shared" si="8"/>
        <v>-5.7440476190476208E-2</v>
      </c>
      <c r="AA235" s="22">
        <f t="shared" si="7"/>
        <v>4.8536244305110721E-2</v>
      </c>
    </row>
    <row r="236" spans="1:27" ht="15" x14ac:dyDescent="0.25">
      <c r="A236" s="4">
        <v>260128</v>
      </c>
      <c r="B236" s="29">
        <v>6807</v>
      </c>
      <c r="C236" s="19" t="s">
        <v>67</v>
      </c>
      <c r="D236" s="46" t="str">
        <f>VLOOKUP(B236,'실적 기업 정보'!B14:G169,2,FALSE)</f>
        <v>Japan Aviation Electronics Industry, Limited</v>
      </c>
      <c r="E236" s="2" t="s">
        <v>25</v>
      </c>
      <c r="F236" s="47">
        <v>-9.6782865848194284</v>
      </c>
      <c r="G236" s="2">
        <v>5250</v>
      </c>
      <c r="H236" s="2">
        <v>3575</v>
      </c>
      <c r="I236" s="2">
        <v>5226</v>
      </c>
      <c r="J236" s="2">
        <v>5597</v>
      </c>
      <c r="K236" s="2">
        <v>5362</v>
      </c>
      <c r="L236" s="64">
        <v>1378</v>
      </c>
      <c r="M236" s="64">
        <v>1828</v>
      </c>
      <c r="N236" s="64">
        <v>4944</v>
      </c>
      <c r="O236" s="64">
        <v>4727</v>
      </c>
      <c r="P236" s="65">
        <v>2925</v>
      </c>
      <c r="Q236" s="65">
        <v>3775</v>
      </c>
      <c r="R236" s="64">
        <v>5443</v>
      </c>
      <c r="S236" s="64">
        <v>2236</v>
      </c>
      <c r="T236" s="64">
        <v>4162</v>
      </c>
      <c r="U236" s="64">
        <v>1481</v>
      </c>
      <c r="V236" s="64">
        <v>3280</v>
      </c>
      <c r="W236" s="67">
        <v>1156</v>
      </c>
      <c r="X236" s="22">
        <f t="shared" si="8"/>
        <v>8.602823562139239E-2</v>
      </c>
      <c r="Y236" s="22">
        <f t="shared" si="8"/>
        <v>-0.14690061475409832</v>
      </c>
      <c r="Z236" s="22">
        <f t="shared" si="8"/>
        <v>-0.1623630085572737</v>
      </c>
      <c r="AA236" s="22">
        <f t="shared" si="7"/>
        <v>-9.6782865848194288E-2</v>
      </c>
    </row>
    <row r="237" spans="1:27" ht="15" x14ac:dyDescent="0.25">
      <c r="A237" s="4">
        <v>260128</v>
      </c>
      <c r="B237" s="29">
        <v>2678</v>
      </c>
      <c r="C237" s="19" t="s">
        <v>67</v>
      </c>
      <c r="D237" s="46" t="str">
        <f>VLOOKUP(B237,'실적 기업 정보'!B15:G170,2,FALSE)</f>
        <v>ASKUL Corporation</v>
      </c>
      <c r="E237" s="2" t="s">
        <v>86</v>
      </c>
      <c r="F237" s="47">
        <v>-59.924914130521607</v>
      </c>
      <c r="G237" s="2">
        <v>3423</v>
      </c>
      <c r="H237" s="2">
        <v>3942</v>
      </c>
      <c r="I237" s="2">
        <v>3672</v>
      </c>
      <c r="J237" s="2">
        <v>2957</v>
      </c>
      <c r="K237" s="2">
        <v>3788</v>
      </c>
      <c r="L237" s="64">
        <v>3618</v>
      </c>
      <c r="M237" s="64">
        <v>4258</v>
      </c>
      <c r="N237" s="64">
        <v>2829</v>
      </c>
      <c r="O237" s="64">
        <v>4414</v>
      </c>
      <c r="P237" s="65">
        <v>5251</v>
      </c>
      <c r="Q237" s="64">
        <v>4459</v>
      </c>
      <c r="R237" s="64">
        <v>2576</v>
      </c>
      <c r="S237" s="64">
        <v>3453</v>
      </c>
      <c r="T237" s="64">
        <v>3772</v>
      </c>
      <c r="U237" s="64">
        <v>4239</v>
      </c>
      <c r="V237" s="64">
        <v>1055</v>
      </c>
      <c r="W237" s="67">
        <v>-4049</v>
      </c>
      <c r="X237" s="22">
        <f t="shared" si="8"/>
        <v>-9.3970392019823379E-2</v>
      </c>
      <c r="Y237" s="22">
        <f t="shared" si="8"/>
        <v>-1.5427769985974726E-2</v>
      </c>
      <c r="Z237" s="22">
        <f t="shared" si="8"/>
        <v>-0.10833333333333328</v>
      </c>
      <c r="AA237" s="22">
        <f t="shared" si="7"/>
        <v>-0.59924914130521612</v>
      </c>
    </row>
    <row r="238" spans="1:27" customFormat="1" hidden="1" x14ac:dyDescent="0.3">
      <c r="B238" s="2" t="s">
        <v>181</v>
      </c>
      <c r="C238" s="2" t="s">
        <v>23</v>
      </c>
      <c r="D238" s="2" t="s">
        <v>182</v>
      </c>
      <c r="E238" s="2" t="s">
        <v>35</v>
      </c>
      <c r="F238" s="2">
        <v>71.952361980035946</v>
      </c>
      <c r="G238" s="2">
        <v>528.78</v>
      </c>
      <c r="H238" s="2">
        <v>447.18</v>
      </c>
      <c r="I238" s="2">
        <v>2051</v>
      </c>
      <c r="J238" s="2">
        <v>910.71</v>
      </c>
      <c r="K238" s="2">
        <v>-275.35000000000002</v>
      </c>
      <c r="L238" s="2">
        <v>-866.27</v>
      </c>
      <c r="M238" s="2">
        <v>-828.3</v>
      </c>
      <c r="N238" s="3">
        <v>175.46</v>
      </c>
      <c r="O238" s="3">
        <v>-556.69000000000005</v>
      </c>
      <c r="P238" s="2">
        <v>-389.5</v>
      </c>
      <c r="Q238" s="2">
        <v>485.47</v>
      </c>
      <c r="R238" s="3">
        <v>-15.62</v>
      </c>
      <c r="S238" s="2">
        <v>170.23</v>
      </c>
      <c r="T238" s="3">
        <v>483.48</v>
      </c>
      <c r="U238" s="2">
        <v>182.36</v>
      </c>
      <c r="V238" s="3">
        <v>92.6</v>
      </c>
      <c r="W238" s="28">
        <v>838.43</v>
      </c>
      <c r="X238" s="22">
        <f t="shared" si="8"/>
        <v>3.4838374970069435</v>
      </c>
      <c r="Y238" s="22">
        <f t="shared" si="8"/>
        <v>-0.26977642493502785</v>
      </c>
      <c r="Z238" s="22">
        <f t="shared" si="8"/>
        <v>0.13190322384057529</v>
      </c>
      <c r="AA238" s="22">
        <f t="shared" si="7"/>
        <v>0.71952361980035939</v>
      </c>
    </row>
    <row r="239" spans="1:27" ht="15" x14ac:dyDescent="0.25">
      <c r="A239" s="4">
        <v>260128</v>
      </c>
      <c r="B239" s="29" t="s">
        <v>103</v>
      </c>
      <c r="C239" s="19" t="s">
        <v>31</v>
      </c>
      <c r="D239" s="46" t="str">
        <f>VLOOKUP(B239,'실적 기업 정보'!B17:G172,2,FALSE)</f>
        <v>Birlasoft Limited</v>
      </c>
      <c r="E239" s="2" t="s">
        <v>25</v>
      </c>
      <c r="F239" s="30">
        <v>18.34319526627219</v>
      </c>
      <c r="G239" s="2">
        <v>1440</v>
      </c>
      <c r="H239" s="2">
        <v>1546</v>
      </c>
      <c r="I239" s="2">
        <v>1502</v>
      </c>
      <c r="J239" s="2">
        <v>1557</v>
      </c>
      <c r="K239" s="2">
        <v>-136.36000000000001</v>
      </c>
      <c r="L239" s="64">
        <v>1471</v>
      </c>
      <c r="M239" s="64">
        <v>1717</v>
      </c>
      <c r="N239" s="64">
        <v>1856</v>
      </c>
      <c r="O239" s="65">
        <v>1932</v>
      </c>
      <c r="P239" s="64">
        <v>2006</v>
      </c>
      <c r="Q239" s="64">
        <v>1745</v>
      </c>
      <c r="R239" s="64">
        <v>1431</v>
      </c>
      <c r="S239" s="64">
        <v>1422</v>
      </c>
      <c r="T239" s="64">
        <v>1520</v>
      </c>
      <c r="U239" s="64">
        <v>1380</v>
      </c>
      <c r="V239" s="64">
        <v>1931</v>
      </c>
      <c r="W239" s="66">
        <v>2569</v>
      </c>
      <c r="X239" s="22">
        <f t="shared" si="8"/>
        <v>-7.3591762568140484E-2</v>
      </c>
      <c r="Y239" s="22">
        <f t="shared" si="8"/>
        <v>-5.9660019614253046E-2</v>
      </c>
      <c r="Z239" s="22">
        <f t="shared" si="8"/>
        <v>8.6911176777333621E-2</v>
      </c>
      <c r="AA239" s="22">
        <f t="shared" si="7"/>
        <v>0.18343195266272194</v>
      </c>
    </row>
    <row r="240" spans="1:27" ht="15" x14ac:dyDescent="0.25">
      <c r="A240" s="4">
        <v>260128</v>
      </c>
      <c r="B240" s="29" t="s">
        <v>173</v>
      </c>
      <c r="C240" s="19" t="s">
        <v>31</v>
      </c>
      <c r="D240" s="46" t="str">
        <f>VLOOKUP(B240,'실적 기업 정보'!B18:G173,2,FALSE)</f>
        <v>SBI Cards and Payment Services Limited</v>
      </c>
      <c r="E240" s="2" t="s">
        <v>25</v>
      </c>
      <c r="F240" s="47">
        <v>8.9739116951583533</v>
      </c>
      <c r="G240" s="2">
        <v>5185</v>
      </c>
      <c r="H240" s="2">
        <v>6658</v>
      </c>
      <c r="I240" s="2">
        <v>8409</v>
      </c>
      <c r="J240" s="2">
        <v>7057</v>
      </c>
      <c r="K240" s="2">
        <v>6843</v>
      </c>
      <c r="L240" s="64">
        <v>7871</v>
      </c>
      <c r="M240" s="64">
        <v>7966</v>
      </c>
      <c r="N240" s="64">
        <v>8094</v>
      </c>
      <c r="O240" s="64">
        <v>7376</v>
      </c>
      <c r="P240" s="64">
        <v>8708</v>
      </c>
      <c r="Q240" s="64">
        <v>7992</v>
      </c>
      <c r="R240" s="64">
        <v>5452</v>
      </c>
      <c r="S240" s="64">
        <v>5176</v>
      </c>
      <c r="T240" s="64">
        <v>7139</v>
      </c>
      <c r="U240" s="64">
        <v>7484</v>
      </c>
      <c r="V240" s="64">
        <v>5998</v>
      </c>
      <c r="W240" s="67">
        <v>7491</v>
      </c>
      <c r="X240" s="22">
        <f t="shared" si="8"/>
        <v>-5.7413641686182681E-2</v>
      </c>
      <c r="Y240" s="22">
        <f t="shared" si="8"/>
        <v>-1.9721262471369183E-2</v>
      </c>
      <c r="Z240" s="22">
        <f t="shared" si="8"/>
        <v>2.1622906023523791E-2</v>
      </c>
      <c r="AA240" s="22">
        <f t="shared" si="7"/>
        <v>8.9739116951583542E-2</v>
      </c>
    </row>
    <row r="241" spans="1:27" ht="15" x14ac:dyDescent="0.25">
      <c r="A241" s="4">
        <v>260128</v>
      </c>
      <c r="B241" s="29" t="s">
        <v>30</v>
      </c>
      <c r="C241" s="19" t="s">
        <v>31</v>
      </c>
      <c r="D241" s="46" t="str">
        <f>VLOOKUP(B241,'실적 기업 정보'!B19:G174,2,FALSE)</f>
        <v>Sundram Fasteners Limited</v>
      </c>
      <c r="E241" s="2" t="s">
        <v>25</v>
      </c>
      <c r="F241" s="47">
        <v>3.3110740122426212</v>
      </c>
      <c r="G241" s="2">
        <v>1436</v>
      </c>
      <c r="H241" s="2">
        <v>1456</v>
      </c>
      <c r="I241" s="2">
        <v>1769</v>
      </c>
      <c r="J241" s="2">
        <v>1554</v>
      </c>
      <c r="K241" s="2">
        <v>1464</v>
      </c>
      <c r="L241" s="64">
        <v>1791</v>
      </c>
      <c r="M241" s="64">
        <v>1745</v>
      </c>
      <c r="N241" s="64">
        <v>1763</v>
      </c>
      <c r="O241" s="64">
        <v>1476</v>
      </c>
      <c r="P241" s="64">
        <v>1752</v>
      </c>
      <c r="Q241" s="64">
        <v>1934</v>
      </c>
      <c r="R241" s="64">
        <v>1889</v>
      </c>
      <c r="S241" s="64">
        <v>1714</v>
      </c>
      <c r="T241" s="64">
        <v>1667</v>
      </c>
      <c r="U241" s="64">
        <v>1884</v>
      </c>
      <c r="V241" s="64">
        <v>1923</v>
      </c>
      <c r="W241" s="67">
        <v>1952</v>
      </c>
      <c r="X241" s="22">
        <f t="shared" si="8"/>
        <v>-1.1661407600493945E-2</v>
      </c>
      <c r="Y241" s="22">
        <f t="shared" si="8"/>
        <v>-6.9405885619100438E-3</v>
      </c>
      <c r="Z241" s="22">
        <f t="shared" si="8"/>
        <v>4.7525859658932301E-3</v>
      </c>
      <c r="AA241" s="22">
        <f t="shared" si="7"/>
        <v>3.3110740122426208E-2</v>
      </c>
    </row>
    <row r="242" spans="1:27" customFormat="1" hidden="1" x14ac:dyDescent="0.3">
      <c r="B242" s="2" t="s">
        <v>187</v>
      </c>
      <c r="C242" s="2" t="s">
        <v>23</v>
      </c>
      <c r="D242" s="2" t="s">
        <v>113</v>
      </c>
      <c r="E242" s="2" t="s">
        <v>35</v>
      </c>
      <c r="F242" s="2">
        <v>13.63522641981487</v>
      </c>
      <c r="G242" s="2">
        <v>17.739999999999998</v>
      </c>
      <c r="H242" s="2">
        <v>12.49</v>
      </c>
      <c r="I242" s="2">
        <v>0.46</v>
      </c>
      <c r="J242" s="2">
        <v>-3.77</v>
      </c>
      <c r="K242" s="2">
        <v>-13.53</v>
      </c>
      <c r="L242" s="2">
        <v>37.69</v>
      </c>
      <c r="M242" s="3">
        <v>12.52</v>
      </c>
      <c r="N242" s="2">
        <v>-31.17</v>
      </c>
      <c r="O242" s="3">
        <v>-12.18</v>
      </c>
      <c r="P242" s="2">
        <v>19.940000000000001</v>
      </c>
      <c r="Q242" s="3">
        <v>-18.21</v>
      </c>
      <c r="R242" s="3">
        <v>-36.15</v>
      </c>
      <c r="S242" s="3">
        <v>-32.69</v>
      </c>
      <c r="T242" s="3">
        <v>1.17</v>
      </c>
      <c r="U242" s="2">
        <v>-19.82</v>
      </c>
      <c r="V242" s="2">
        <v>-28.6</v>
      </c>
      <c r="W242" s="28">
        <v>-43.59</v>
      </c>
      <c r="X242" s="22">
        <f t="shared" si="8"/>
        <v>0.27969006109372674</v>
      </c>
      <c r="Y242" s="22">
        <f t="shared" si="8"/>
        <v>1.8747088961341474E-2</v>
      </c>
      <c r="Z242" s="22">
        <f t="shared" si="8"/>
        <v>-8.6295576637330118E-2</v>
      </c>
      <c r="AA242" s="22">
        <f t="shared" si="7"/>
        <v>0.13635226419814872</v>
      </c>
    </row>
    <row r="243" spans="1:27" ht="15" x14ac:dyDescent="0.25">
      <c r="A243" s="4">
        <v>260128</v>
      </c>
      <c r="B243" s="29" t="s">
        <v>155</v>
      </c>
      <c r="C243" s="19" t="s">
        <v>31</v>
      </c>
      <c r="D243" s="46" t="str">
        <f>VLOOKUP(B243,'실적 기업 정보'!B21:G176,2,FALSE)</f>
        <v>SBI Life Insurance Company Limited</v>
      </c>
      <c r="E243" s="2" t="s">
        <v>25</v>
      </c>
      <c r="F243" s="47">
        <v>2.54224834680381</v>
      </c>
      <c r="G243" s="2">
        <v>4098</v>
      </c>
      <c r="H243" s="2">
        <v>7351</v>
      </c>
      <c r="I243" s="2">
        <v>3009</v>
      </c>
      <c r="J243" s="2">
        <v>4370</v>
      </c>
      <c r="K243" s="2">
        <v>3465</v>
      </c>
      <c r="L243" s="64">
        <v>8316</v>
      </c>
      <c r="M243" s="64">
        <v>4326</v>
      </c>
      <c r="N243" s="64">
        <v>4241</v>
      </c>
      <c r="O243" s="64">
        <v>3700</v>
      </c>
      <c r="P243" s="64">
        <v>8603</v>
      </c>
      <c r="Q243" s="64">
        <v>5970</v>
      </c>
      <c r="R243" s="64">
        <v>5598</v>
      </c>
      <c r="S243" s="64">
        <v>5951</v>
      </c>
      <c r="T243" s="64">
        <v>9131</v>
      </c>
      <c r="U243" s="64">
        <v>6562</v>
      </c>
      <c r="V243" s="64">
        <v>5576</v>
      </c>
      <c r="W243" s="67">
        <v>6643</v>
      </c>
      <c r="X243" s="22">
        <f t="shared" si="8"/>
        <v>2.0212847408314749E-2</v>
      </c>
      <c r="Y243" s="22">
        <f t="shared" si="8"/>
        <v>2.2213883677298263E-2</v>
      </c>
      <c r="Z243" s="22">
        <f t="shared" si="8"/>
        <v>-8.0757653623086956E-4</v>
      </c>
      <c r="AA243" s="22">
        <f t="shared" si="7"/>
        <v>2.5422483468038104E-2</v>
      </c>
    </row>
    <row r="244" spans="1:27" ht="15" x14ac:dyDescent="0.25">
      <c r="A244" s="4">
        <v>260128</v>
      </c>
      <c r="B244" s="29" t="s">
        <v>180</v>
      </c>
      <c r="C244" s="19" t="s">
        <v>31</v>
      </c>
      <c r="D244" s="46" t="str">
        <f>VLOOKUP(B244,'실적 기업 정보'!B22:G177,2,FALSE)</f>
        <v>Lodha Developers Limited</v>
      </c>
      <c r="E244" s="2" t="s">
        <v>25</v>
      </c>
      <c r="F244" s="47">
        <v>1.711756665871178</v>
      </c>
      <c r="G244" s="2">
        <v>4671</v>
      </c>
      <c r="H244" s="2">
        <v>9143</v>
      </c>
      <c r="I244" s="2">
        <v>4471</v>
      </c>
      <c r="J244" s="2">
        <v>4021</v>
      </c>
      <c r="K244" s="2">
        <v>3821</v>
      </c>
      <c r="L244" s="64">
        <v>7503</v>
      </c>
      <c r="M244" s="64">
        <v>3060</v>
      </c>
      <c r="N244" s="64">
        <v>3868</v>
      </c>
      <c r="O244" s="65">
        <v>8494</v>
      </c>
      <c r="P244" s="65">
        <v>11200</v>
      </c>
      <c r="Q244" s="65">
        <v>6964</v>
      </c>
      <c r="R244" s="64">
        <v>6381</v>
      </c>
      <c r="S244" s="65">
        <v>12387</v>
      </c>
      <c r="T244" s="64">
        <v>14147</v>
      </c>
      <c r="U244" s="64">
        <v>9185</v>
      </c>
      <c r="V244" s="64">
        <v>10374</v>
      </c>
      <c r="W244" s="67">
        <v>13176</v>
      </c>
      <c r="X244" s="22">
        <f t="shared" si="8"/>
        <v>7.9795299469294978E-2</v>
      </c>
      <c r="Y244" s="22">
        <f t="shared" si="8"/>
        <v>5.5693472755084183E-2</v>
      </c>
      <c r="Z244" s="22">
        <f t="shared" si="8"/>
        <v>9.4845605700712543E-2</v>
      </c>
      <c r="AA244" s="22">
        <f t="shared" si="7"/>
        <v>1.711756665871178E-2</v>
      </c>
    </row>
    <row r="245" spans="1:27" ht="15" x14ac:dyDescent="0.25">
      <c r="A245" s="4">
        <v>260128</v>
      </c>
      <c r="B245" s="29" t="s">
        <v>120</v>
      </c>
      <c r="C245" s="19" t="s">
        <v>31</v>
      </c>
      <c r="D245" s="46" t="str">
        <f>VLOOKUP(B245,'실적 기업 정보'!B23:G178,2,FALSE)</f>
        <v>Maruti Suzuki India Limited</v>
      </c>
      <c r="E245" s="2" t="s">
        <v>25</v>
      </c>
      <c r="F245" s="47">
        <v>1.409178102405195</v>
      </c>
      <c r="G245" s="2">
        <v>9216</v>
      </c>
      <c r="H245" s="2">
        <v>18537</v>
      </c>
      <c r="I245" s="2">
        <v>12629</v>
      </c>
      <c r="J245" s="2">
        <v>20476</v>
      </c>
      <c r="K245" s="3">
        <v>21263</v>
      </c>
      <c r="L245" s="65">
        <v>27074</v>
      </c>
      <c r="M245" s="65">
        <v>22373</v>
      </c>
      <c r="N245" s="65">
        <v>40159</v>
      </c>
      <c r="O245" s="64">
        <v>31385</v>
      </c>
      <c r="P245" s="65">
        <v>41346</v>
      </c>
      <c r="Q245" s="65">
        <v>37749</v>
      </c>
      <c r="R245" s="64">
        <v>36131</v>
      </c>
      <c r="S245" s="64">
        <v>36475</v>
      </c>
      <c r="T245" s="64">
        <v>34569</v>
      </c>
      <c r="U245" s="64">
        <v>30666</v>
      </c>
      <c r="V245" s="64">
        <v>33830</v>
      </c>
      <c r="W245" s="67">
        <v>38385</v>
      </c>
      <c r="X245" s="22">
        <f t="shared" si="8"/>
        <v>-4.4673403603140427E-2</v>
      </c>
      <c r="Y245" s="22">
        <f t="shared" si="8"/>
        <v>-4.887389252297758E-2</v>
      </c>
      <c r="Z245" s="22">
        <f t="shared" si="8"/>
        <v>-1.6693146451346119E-2</v>
      </c>
      <c r="AA245" s="22">
        <f t="shared" si="7"/>
        <v>1.4091781024051953E-2</v>
      </c>
    </row>
    <row r="246" spans="1:27" ht="15" x14ac:dyDescent="0.25">
      <c r="A246" s="4">
        <v>260128</v>
      </c>
      <c r="B246" s="29" t="s">
        <v>43</v>
      </c>
      <c r="C246" s="19" t="s">
        <v>31</v>
      </c>
      <c r="D246" s="46" t="str">
        <f>VLOOKUP(B246,'실적 기업 정보'!B24:G179,2,FALSE)</f>
        <v>Piramal Pharma Limited</v>
      </c>
      <c r="E246" s="2" t="s">
        <v>25</v>
      </c>
      <c r="F246" s="47">
        <v>-34.889098487844947</v>
      </c>
      <c r="G246" s="2">
        <v>413.4</v>
      </c>
      <c r="H246" s="2">
        <v>4295</v>
      </c>
      <c r="I246" s="2">
        <v>-1446</v>
      </c>
      <c r="J246" s="2">
        <v>525.9</v>
      </c>
      <c r="K246" s="2">
        <v>-1952</v>
      </c>
      <c r="L246" s="64">
        <v>1707</v>
      </c>
      <c r="M246" s="64">
        <v>-412.9</v>
      </c>
      <c r="N246" s="64">
        <v>811.3</v>
      </c>
      <c r="O246" s="65">
        <v>820.5</v>
      </c>
      <c r="P246" s="65">
        <v>3382</v>
      </c>
      <c r="Q246" s="65">
        <v>199.4</v>
      </c>
      <c r="R246" s="65">
        <v>1494</v>
      </c>
      <c r="S246" s="64">
        <v>1409</v>
      </c>
      <c r="T246" s="64">
        <v>3225</v>
      </c>
      <c r="U246" s="64">
        <v>-905.8</v>
      </c>
      <c r="V246" s="64">
        <v>-441.5</v>
      </c>
      <c r="W246" s="67">
        <v>262.3</v>
      </c>
      <c r="X246" s="22">
        <f t="shared" si="8"/>
        <v>-2.4211954845475336E-2</v>
      </c>
      <c r="Y246" s="22">
        <f t="shared" si="8"/>
        <v>-0.17466890033821159</v>
      </c>
      <c r="Z246" s="22">
        <f t="shared" si="8"/>
        <v>-0.37062923672015624</v>
      </c>
      <c r="AA246" s="22">
        <f t="shared" si="7"/>
        <v>-0.34889098487844949</v>
      </c>
    </row>
    <row r="247" spans="1:27" customFormat="1" hidden="1" x14ac:dyDescent="0.3">
      <c r="B247" s="2" t="s">
        <v>192</v>
      </c>
      <c r="C247" s="2" t="s">
        <v>31</v>
      </c>
      <c r="D247" s="2" t="s">
        <v>32</v>
      </c>
      <c r="E247" s="2" t="s">
        <v>35</v>
      </c>
      <c r="F247" s="2">
        <v>8.1124449457514292</v>
      </c>
      <c r="G247" s="2">
        <v>317.06</v>
      </c>
      <c r="H247" s="2">
        <v>130.75</v>
      </c>
      <c r="I247" s="2">
        <v>205.51</v>
      </c>
      <c r="J247" s="2">
        <v>138.49</v>
      </c>
      <c r="K247" s="2">
        <v>394.76</v>
      </c>
      <c r="L247" s="2">
        <v>152.15</v>
      </c>
      <c r="M247" s="2">
        <v>259.79000000000002</v>
      </c>
      <c r="N247" s="2">
        <v>152.61000000000001</v>
      </c>
      <c r="O247" s="2">
        <v>392.8</v>
      </c>
      <c r="P247" s="2">
        <v>207.5</v>
      </c>
      <c r="Q247" s="2">
        <v>263.61</v>
      </c>
      <c r="R247" s="2">
        <v>190.18</v>
      </c>
      <c r="S247" s="3">
        <v>528.66</v>
      </c>
      <c r="T247" s="3">
        <v>358.68</v>
      </c>
      <c r="U247" s="2">
        <v>358.68</v>
      </c>
      <c r="V247" s="2">
        <v>243.42</v>
      </c>
      <c r="W247" s="27">
        <v>649.49</v>
      </c>
      <c r="X247" s="22">
        <f t="shared" si="8"/>
        <v>0.12704735493087971</v>
      </c>
      <c r="Y247" s="22">
        <f t="shared" si="8"/>
        <v>7.0887982522201298E-2</v>
      </c>
      <c r="Z247" s="22">
        <f t="shared" si="8"/>
        <v>3.7070045954602504E-2</v>
      </c>
      <c r="AA247" s="22">
        <f t="shared" si="7"/>
        <v>8.1124449457514292E-2</v>
      </c>
    </row>
    <row r="248" spans="1:27" x14ac:dyDescent="0.3">
      <c r="A248" s="83">
        <v>260127</v>
      </c>
      <c r="B248" s="92" t="s">
        <v>470</v>
      </c>
      <c r="C248" s="93" t="s">
        <v>23</v>
      </c>
      <c r="D248" s="93" t="s">
        <v>189</v>
      </c>
      <c r="F248" s="94">
        <v>54.460093896713623</v>
      </c>
      <c r="G248" s="72">
        <v>-111</v>
      </c>
      <c r="H248" s="72">
        <v>-367</v>
      </c>
      <c r="I248" s="72">
        <v>-69</v>
      </c>
      <c r="J248" s="72">
        <v>152</v>
      </c>
      <c r="K248" s="72">
        <v>99</v>
      </c>
      <c r="L248" s="95">
        <v>-130</v>
      </c>
      <c r="M248" s="96">
        <v>259</v>
      </c>
      <c r="N248" s="95">
        <v>-123</v>
      </c>
      <c r="O248" s="95">
        <v>-38</v>
      </c>
      <c r="P248" s="96">
        <v>-157</v>
      </c>
      <c r="Q248" s="96">
        <v>58</v>
      </c>
      <c r="R248" s="95">
        <v>-11</v>
      </c>
      <c r="S248" s="95">
        <v>17</v>
      </c>
      <c r="T248" s="96">
        <v>-174</v>
      </c>
      <c r="U248" s="96">
        <v>30</v>
      </c>
      <c r="V248" s="96">
        <v>-86</v>
      </c>
      <c r="W248" s="98">
        <v>-99</v>
      </c>
      <c r="X248" s="22">
        <f t="shared" ref="X248:X311" si="9">SUM(Q248:T248)/SUM(P248:S248)-1</f>
        <v>0.18279569892473124</v>
      </c>
      <c r="Y248" s="22">
        <f t="shared" ref="Y248:Y311" si="10">SUM(R248:U248)/SUM(Q248:T248)-1</f>
        <v>0.25454545454545463</v>
      </c>
      <c r="Z248" s="22">
        <f t="shared" ref="Z248:Z311" si="11">SUM(S248:V248)/SUM(R248:U248)-1</f>
        <v>0.54347826086956519</v>
      </c>
      <c r="AA248" s="22">
        <f t="shared" ref="AA248:AA311" si="12">SUM(T248:W248)/SUM(S248:V248)-1</f>
        <v>0.54460093896713624</v>
      </c>
    </row>
    <row r="249" spans="1:27" x14ac:dyDescent="0.3">
      <c r="A249" s="4">
        <v>260127</v>
      </c>
      <c r="B249" s="29" t="s">
        <v>419</v>
      </c>
      <c r="C249" s="19" t="s">
        <v>23</v>
      </c>
      <c r="D249" s="19" t="s">
        <v>29</v>
      </c>
      <c r="F249" s="71">
        <v>39.055649241146703</v>
      </c>
      <c r="G249" s="72">
        <v>17.7</v>
      </c>
      <c r="H249" s="72">
        <v>18.739999999999998</v>
      </c>
      <c r="I249" s="72">
        <v>18.93</v>
      </c>
      <c r="J249" s="72">
        <v>20.68</v>
      </c>
      <c r="K249" s="72">
        <v>19.87</v>
      </c>
      <c r="L249" s="97">
        <v>20.399999999999999</v>
      </c>
      <c r="M249" s="97">
        <v>17.16</v>
      </c>
      <c r="N249" s="97">
        <v>17.13</v>
      </c>
      <c r="O249" s="97">
        <v>17.14</v>
      </c>
      <c r="P249" s="97">
        <v>15.43</v>
      </c>
      <c r="Q249" s="97">
        <v>16</v>
      </c>
      <c r="R249" s="97">
        <v>17.29</v>
      </c>
      <c r="S249" s="97">
        <v>18.63</v>
      </c>
      <c r="T249" s="97">
        <v>14.34</v>
      </c>
      <c r="U249" s="97">
        <v>17.25</v>
      </c>
      <c r="V249" s="97">
        <v>9.08</v>
      </c>
      <c r="W249" s="99">
        <v>41.79</v>
      </c>
      <c r="X249" s="22">
        <f t="shared" si="9"/>
        <v>-1.6184112843355414E-2</v>
      </c>
      <c r="Y249" s="22">
        <f t="shared" si="10"/>
        <v>1.8865076969514005E-2</v>
      </c>
      <c r="Z249" s="22">
        <f t="shared" si="11"/>
        <v>-0.12161161309435653</v>
      </c>
      <c r="AA249" s="22">
        <f t="shared" si="12"/>
        <v>0.39055649241146728</v>
      </c>
    </row>
    <row r="250" spans="1:27" x14ac:dyDescent="0.3">
      <c r="A250" s="4">
        <v>260127</v>
      </c>
      <c r="B250" s="29" t="s">
        <v>452</v>
      </c>
      <c r="C250" s="19" t="s">
        <v>23</v>
      </c>
      <c r="D250" s="19" t="s">
        <v>446</v>
      </c>
      <c r="F250" s="71">
        <v>29.387434777075459</v>
      </c>
      <c r="G250" s="72">
        <v>296.01</v>
      </c>
      <c r="H250" s="72">
        <v>344.3</v>
      </c>
      <c r="I250" s="72">
        <v>101.86</v>
      </c>
      <c r="J250" s="72">
        <v>261.56</v>
      </c>
      <c r="K250" s="72">
        <v>36.11</v>
      </c>
      <c r="L250" s="72">
        <v>-71.66</v>
      </c>
      <c r="M250" s="72">
        <v>-25.4</v>
      </c>
      <c r="N250" s="72">
        <v>207.85</v>
      </c>
      <c r="O250" s="73">
        <v>134.72</v>
      </c>
      <c r="P250" s="73">
        <v>88.79</v>
      </c>
      <c r="Q250" s="73">
        <v>21.41</v>
      </c>
      <c r="R250" s="72">
        <v>132.05000000000001</v>
      </c>
      <c r="S250" s="72">
        <v>53.59</v>
      </c>
      <c r="T250" s="73">
        <v>194.62</v>
      </c>
      <c r="U250" s="72">
        <v>35.85</v>
      </c>
      <c r="V250" s="73">
        <v>187.4</v>
      </c>
      <c r="W250" s="99">
        <v>192.14</v>
      </c>
      <c r="X250" s="22">
        <f t="shared" si="9"/>
        <v>0.35772714981070841</v>
      </c>
      <c r="Y250" s="22">
        <f t="shared" si="10"/>
        <v>3.5949909129384894E-2</v>
      </c>
      <c r="Z250" s="22">
        <f t="shared" si="11"/>
        <v>0.13301771166278153</v>
      </c>
      <c r="AA250" s="22">
        <f t="shared" si="12"/>
        <v>0.29387434777075461</v>
      </c>
    </row>
    <row r="251" spans="1:27" x14ac:dyDescent="0.3">
      <c r="A251" s="4">
        <v>260127</v>
      </c>
      <c r="B251" s="29" t="s">
        <v>420</v>
      </c>
      <c r="C251" s="19" t="s">
        <v>23</v>
      </c>
      <c r="D251" s="19" t="s">
        <v>29</v>
      </c>
      <c r="F251" s="71">
        <v>27.392491467576789</v>
      </c>
      <c r="G251" s="72">
        <v>39.159999999999997</v>
      </c>
      <c r="H251" s="72">
        <v>35.71</v>
      </c>
      <c r="I251" s="72">
        <v>36.200000000000003</v>
      </c>
      <c r="J251" s="72">
        <v>44.14</v>
      </c>
      <c r="K251" s="72">
        <v>45.69</v>
      </c>
      <c r="L251" s="72">
        <v>46.35</v>
      </c>
      <c r="M251" s="72">
        <v>36.85</v>
      </c>
      <c r="N251" s="72">
        <v>37.49</v>
      </c>
      <c r="O251" s="72">
        <v>33.22</v>
      </c>
      <c r="P251" s="72">
        <v>34.96</v>
      </c>
      <c r="Q251" s="72">
        <v>38.42</v>
      </c>
      <c r="R251" s="72">
        <v>42.56</v>
      </c>
      <c r="S251" s="72">
        <v>37.36</v>
      </c>
      <c r="T251" s="72">
        <v>-32.67</v>
      </c>
      <c r="U251" s="73">
        <v>64.510000000000005</v>
      </c>
      <c r="V251" s="73">
        <v>77.3</v>
      </c>
      <c r="W251" s="99">
        <v>77.489999999999995</v>
      </c>
      <c r="X251" s="22">
        <f t="shared" si="9"/>
        <v>-0.44116112198303981</v>
      </c>
      <c r="Y251" s="22">
        <f t="shared" si="10"/>
        <v>0.30454067935099816</v>
      </c>
      <c r="Z251" s="22">
        <f t="shared" si="11"/>
        <v>0.31084466714387959</v>
      </c>
      <c r="AA251" s="22">
        <f t="shared" si="12"/>
        <v>0.27392491467576785</v>
      </c>
    </row>
    <row r="252" spans="1:27" x14ac:dyDescent="0.3">
      <c r="A252" s="4">
        <v>260127</v>
      </c>
      <c r="B252" s="29" t="s">
        <v>421</v>
      </c>
      <c r="C252" s="19" t="s">
        <v>23</v>
      </c>
      <c r="D252" s="19" t="s">
        <v>29</v>
      </c>
      <c r="F252" s="71">
        <v>26.20505399087163</v>
      </c>
      <c r="G252" s="72">
        <v>48.42</v>
      </c>
      <c r="H252" s="72">
        <v>41.48</v>
      </c>
      <c r="I252" s="72">
        <v>50.54</v>
      </c>
      <c r="J252" s="72">
        <v>60.13</v>
      </c>
      <c r="K252" s="72">
        <v>59.16</v>
      </c>
      <c r="L252" s="72">
        <v>57.4</v>
      </c>
      <c r="M252" s="72">
        <v>35.28</v>
      </c>
      <c r="N252" s="72">
        <v>52.6</v>
      </c>
      <c r="O252" s="72">
        <v>31.91</v>
      </c>
      <c r="P252" s="72">
        <v>49.32</v>
      </c>
      <c r="Q252" s="72">
        <v>48.51</v>
      </c>
      <c r="R252" s="73">
        <v>97.38</v>
      </c>
      <c r="S252" s="72">
        <v>49.75</v>
      </c>
      <c r="T252" s="72">
        <v>51.97</v>
      </c>
      <c r="U252" s="72">
        <v>2.67</v>
      </c>
      <c r="V252" s="72">
        <v>75.27</v>
      </c>
      <c r="W252" s="99">
        <v>96.83</v>
      </c>
      <c r="X252" s="22">
        <f t="shared" si="9"/>
        <v>1.0818092749836694E-2</v>
      </c>
      <c r="Y252" s="22">
        <f t="shared" si="10"/>
        <v>-0.1851298412826623</v>
      </c>
      <c r="Z252" s="22">
        <f t="shared" si="11"/>
        <v>-0.10958021509639682</v>
      </c>
      <c r="AA252" s="22">
        <f t="shared" si="12"/>
        <v>0.26205053990871652</v>
      </c>
    </row>
    <row r="253" spans="1:27" x14ac:dyDescent="0.3">
      <c r="A253" s="4">
        <v>260127</v>
      </c>
      <c r="B253" s="29" t="s">
        <v>423</v>
      </c>
      <c r="C253" s="19" t="s">
        <v>23</v>
      </c>
      <c r="D253" s="19" t="s">
        <v>29</v>
      </c>
      <c r="F253" s="71">
        <v>23.253145001103519</v>
      </c>
      <c r="G253" s="72">
        <v>66.290000000000006</v>
      </c>
      <c r="H253" s="72">
        <v>53.98</v>
      </c>
      <c r="I253" s="72">
        <v>53</v>
      </c>
      <c r="J253" s="72">
        <v>65.349999999999994</v>
      </c>
      <c r="K253" s="72">
        <v>64.069999999999993</v>
      </c>
      <c r="L253" s="72">
        <v>52.28</v>
      </c>
      <c r="M253" s="72">
        <v>53.94</v>
      </c>
      <c r="N253" s="72">
        <v>44.3</v>
      </c>
      <c r="O253" s="72">
        <v>43.53</v>
      </c>
      <c r="P253" s="72">
        <v>43.39</v>
      </c>
      <c r="Q253" s="72">
        <v>35.020000000000003</v>
      </c>
      <c r="R253" s="72">
        <v>44.77</v>
      </c>
      <c r="S253" s="73">
        <v>61.94</v>
      </c>
      <c r="T253" s="72">
        <v>-9.67</v>
      </c>
      <c r="U253" s="73">
        <v>70.97</v>
      </c>
      <c r="V253" s="73">
        <v>103.31</v>
      </c>
      <c r="W253" s="99">
        <v>114.62</v>
      </c>
      <c r="X253" s="22">
        <f t="shared" si="9"/>
        <v>-0.2866248919619705</v>
      </c>
      <c r="Y253" s="22">
        <f t="shared" si="10"/>
        <v>0.27222474632742655</v>
      </c>
      <c r="Z253" s="22">
        <f t="shared" si="11"/>
        <v>0.34843164097375179</v>
      </c>
      <c r="AA253" s="22">
        <f t="shared" si="12"/>
        <v>0.23253145001103515</v>
      </c>
    </row>
    <row r="254" spans="1:27" x14ac:dyDescent="0.3">
      <c r="A254" s="4">
        <v>260127</v>
      </c>
      <c r="B254" s="29" t="s">
        <v>422</v>
      </c>
      <c r="C254" s="19" t="s">
        <v>23</v>
      </c>
      <c r="D254" s="19" t="s">
        <v>29</v>
      </c>
      <c r="F254" s="71">
        <v>16.743832308164428</v>
      </c>
      <c r="G254" s="72">
        <v>98.37</v>
      </c>
      <c r="H254" s="72">
        <v>125.76</v>
      </c>
      <c r="I254" s="72">
        <v>173.6</v>
      </c>
      <c r="J254" s="72">
        <v>108.81</v>
      </c>
      <c r="K254" s="72">
        <v>123.85</v>
      </c>
      <c r="L254" s="72">
        <v>111.59</v>
      </c>
      <c r="M254" s="72">
        <v>110.02</v>
      </c>
      <c r="N254" s="72">
        <v>119.19</v>
      </c>
      <c r="O254" s="72">
        <v>80.8</v>
      </c>
      <c r="P254" s="72">
        <v>133.87</v>
      </c>
      <c r="Q254" s="72">
        <v>126.91</v>
      </c>
      <c r="R254" s="72">
        <v>135.66999999999999</v>
      </c>
      <c r="S254" s="73">
        <v>144.82</v>
      </c>
      <c r="T254" s="72">
        <v>93.05</v>
      </c>
      <c r="U254" s="73">
        <v>275.04000000000002</v>
      </c>
      <c r="V254" s="73">
        <v>236.56</v>
      </c>
      <c r="W254" s="99">
        <v>270.31</v>
      </c>
      <c r="X254" s="22">
        <f t="shared" si="9"/>
        <v>-7.5415227150959718E-2</v>
      </c>
      <c r="Y254" s="22">
        <f t="shared" si="10"/>
        <v>0.2959936057548207</v>
      </c>
      <c r="Z254" s="22">
        <f t="shared" si="11"/>
        <v>0.15555521292670127</v>
      </c>
      <c r="AA254" s="22">
        <f t="shared" si="12"/>
        <v>0.1674383230816443</v>
      </c>
    </row>
    <row r="255" spans="1:27" x14ac:dyDescent="0.3">
      <c r="A255" s="4">
        <v>260127</v>
      </c>
      <c r="B255" s="29" t="s">
        <v>430</v>
      </c>
      <c r="C255" s="19" t="s">
        <v>23</v>
      </c>
      <c r="D255" s="19" t="s">
        <v>431</v>
      </c>
      <c r="F255" s="71">
        <v>15.71576763485478</v>
      </c>
      <c r="G255" s="72">
        <v>581</v>
      </c>
      <c r="H255" s="72">
        <v>429</v>
      </c>
      <c r="I255" s="72">
        <v>361</v>
      </c>
      <c r="J255" s="72">
        <v>116</v>
      </c>
      <c r="K255" s="72">
        <v>-40</v>
      </c>
      <c r="L255" s="72">
        <v>5</v>
      </c>
      <c r="M255" s="72">
        <v>110</v>
      </c>
      <c r="N255" s="72">
        <v>-114</v>
      </c>
      <c r="O255" s="72">
        <v>93</v>
      </c>
      <c r="P255" s="73">
        <v>145</v>
      </c>
      <c r="Q255" s="73">
        <v>283</v>
      </c>
      <c r="R255" s="73">
        <v>404</v>
      </c>
      <c r="S255" s="73">
        <v>489</v>
      </c>
      <c r="T255" s="73">
        <v>451</v>
      </c>
      <c r="U255" s="73">
        <v>584</v>
      </c>
      <c r="V255" s="73">
        <v>707</v>
      </c>
      <c r="W255" s="99">
        <v>846</v>
      </c>
      <c r="X255" s="22">
        <f t="shared" si="9"/>
        <v>0.23164269492808476</v>
      </c>
      <c r="Y255" s="22">
        <f t="shared" si="10"/>
        <v>0.18500307314074993</v>
      </c>
      <c r="Z255" s="22">
        <f t="shared" si="11"/>
        <v>0.15715767634854783</v>
      </c>
      <c r="AA255" s="22">
        <f t="shared" si="12"/>
        <v>0.16001792917974011</v>
      </c>
    </row>
    <row r="256" spans="1:27" x14ac:dyDescent="0.3">
      <c r="A256" s="4">
        <v>260127</v>
      </c>
      <c r="B256" s="29" t="s">
        <v>425</v>
      </c>
      <c r="C256" s="19" t="s">
        <v>23</v>
      </c>
      <c r="D256" s="19" t="s">
        <v>29</v>
      </c>
      <c r="F256" s="71">
        <v>14.267034723231159</v>
      </c>
      <c r="G256" s="72">
        <v>20.7</v>
      </c>
      <c r="H256" s="72">
        <v>21.06</v>
      </c>
      <c r="I256" s="72">
        <v>18.77</v>
      </c>
      <c r="J256" s="72">
        <v>17.91</v>
      </c>
      <c r="K256" s="72">
        <v>19.309999999999999</v>
      </c>
      <c r="L256" s="72">
        <v>15.98</v>
      </c>
      <c r="M256" s="72">
        <v>15.55</v>
      </c>
      <c r="N256" s="72">
        <v>12.02</v>
      </c>
      <c r="O256" s="72">
        <v>10.28</v>
      </c>
      <c r="P256" s="72">
        <v>16.34</v>
      </c>
      <c r="Q256" s="72">
        <v>14.87</v>
      </c>
      <c r="R256" s="72">
        <v>15.85</v>
      </c>
      <c r="S256" s="73">
        <v>18.399999999999999</v>
      </c>
      <c r="T256" s="72">
        <v>6.17</v>
      </c>
      <c r="U256" s="72">
        <v>17.760000000000002</v>
      </c>
      <c r="V256" s="73">
        <v>26.5</v>
      </c>
      <c r="W256" s="99">
        <v>28.22</v>
      </c>
      <c r="X256" s="22">
        <f t="shared" si="9"/>
        <v>-0.15536205316223661</v>
      </c>
      <c r="Y256" s="22">
        <f t="shared" si="10"/>
        <v>5.2269849882438102E-2</v>
      </c>
      <c r="Z256" s="22">
        <f t="shared" si="11"/>
        <v>0.18305259539360597</v>
      </c>
      <c r="AA256" s="22">
        <f t="shared" si="12"/>
        <v>0.14267034723231165</v>
      </c>
    </row>
    <row r="257" spans="1:27" x14ac:dyDescent="0.3">
      <c r="A257" s="4">
        <v>260127</v>
      </c>
      <c r="B257" s="29" t="s">
        <v>438</v>
      </c>
      <c r="C257" s="19" t="s">
        <v>23</v>
      </c>
      <c r="D257" s="19" t="s">
        <v>29</v>
      </c>
      <c r="F257" s="71">
        <v>13.81406502704812</v>
      </c>
      <c r="G257" s="72">
        <v>52.08</v>
      </c>
      <c r="H257" s="72">
        <v>59.19</v>
      </c>
      <c r="I257" s="72">
        <v>53.57</v>
      </c>
      <c r="J257" s="72">
        <v>60.08</v>
      </c>
      <c r="K257" s="72">
        <v>67.27</v>
      </c>
      <c r="L257" s="72">
        <v>54.99</v>
      </c>
      <c r="M257" s="72">
        <v>43.63</v>
      </c>
      <c r="N257" s="72">
        <v>37.39</v>
      </c>
      <c r="O257" s="72">
        <v>39.770000000000003</v>
      </c>
      <c r="P257" s="72">
        <v>42.97</v>
      </c>
      <c r="Q257" s="72">
        <v>-21.32</v>
      </c>
      <c r="R257" s="73">
        <v>65.260000000000005</v>
      </c>
      <c r="S257" s="73">
        <v>62.71</v>
      </c>
      <c r="T257" s="73">
        <v>91.85</v>
      </c>
      <c r="U257" s="73">
        <v>102.44</v>
      </c>
      <c r="V257" s="73">
        <v>101.62</v>
      </c>
      <c r="W257" s="99">
        <v>112.25</v>
      </c>
      <c r="X257" s="22">
        <f t="shared" si="9"/>
        <v>0.32669429220692425</v>
      </c>
      <c r="Y257" s="22">
        <f t="shared" si="10"/>
        <v>0.62347607052896725</v>
      </c>
      <c r="Z257" s="22">
        <f t="shared" si="11"/>
        <v>0.11282815118227529</v>
      </c>
      <c r="AA257" s="22">
        <f t="shared" si="12"/>
        <v>0.13814065027048117</v>
      </c>
    </row>
    <row r="258" spans="1:27" x14ac:dyDescent="0.3">
      <c r="A258" s="4">
        <v>260127</v>
      </c>
      <c r="B258" s="29" t="s">
        <v>432</v>
      </c>
      <c r="C258" s="19" t="s">
        <v>23</v>
      </c>
      <c r="D258" s="19" t="s">
        <v>115</v>
      </c>
      <c r="F258" s="71">
        <v>12.826471890216901</v>
      </c>
      <c r="G258" s="72">
        <v>12.36</v>
      </c>
      <c r="H258" s="72">
        <v>7.66</v>
      </c>
      <c r="I258" s="72">
        <v>9.58</v>
      </c>
      <c r="J258" s="72">
        <v>9.31</v>
      </c>
      <c r="K258" s="72">
        <v>14.25</v>
      </c>
      <c r="L258" s="73">
        <v>19.91</v>
      </c>
      <c r="M258" s="73">
        <v>18.48</v>
      </c>
      <c r="N258" s="73">
        <v>17.63</v>
      </c>
      <c r="O258" s="72">
        <v>21.05</v>
      </c>
      <c r="P258" s="72">
        <v>22.74</v>
      </c>
      <c r="Q258" s="72">
        <v>23.11</v>
      </c>
      <c r="R258" s="72">
        <v>18.440000000000001</v>
      </c>
      <c r="S258" s="72">
        <v>20.07</v>
      </c>
      <c r="T258" s="72">
        <v>30.33</v>
      </c>
      <c r="U258" s="72">
        <v>24.78</v>
      </c>
      <c r="V258" s="72">
        <v>15.18</v>
      </c>
      <c r="W258" s="99">
        <v>31.66</v>
      </c>
      <c r="X258" s="22">
        <f t="shared" si="9"/>
        <v>8.9971550497866426E-2</v>
      </c>
      <c r="Y258" s="22">
        <f t="shared" si="10"/>
        <v>1.8162044589451032E-2</v>
      </c>
      <c r="Z258" s="22">
        <f t="shared" si="11"/>
        <v>-3.4821619312112695E-2</v>
      </c>
      <c r="AA258" s="22">
        <f t="shared" si="12"/>
        <v>0.12826471890216884</v>
      </c>
    </row>
    <row r="259" spans="1:27" x14ac:dyDescent="0.3">
      <c r="A259" s="4">
        <v>260127</v>
      </c>
      <c r="B259" s="29" t="s">
        <v>426</v>
      </c>
      <c r="C259" s="19" t="s">
        <v>23</v>
      </c>
      <c r="D259" s="19" t="s">
        <v>29</v>
      </c>
      <c r="F259" s="71">
        <v>12.43445692883896</v>
      </c>
      <c r="G259" s="72">
        <v>16.829999999999998</v>
      </c>
      <c r="H259" s="72">
        <v>16.55</v>
      </c>
      <c r="I259" s="72">
        <v>17.399999999999999</v>
      </c>
      <c r="J259" s="72">
        <v>19.829999999999998</v>
      </c>
      <c r="K259" s="72">
        <v>17.93</v>
      </c>
      <c r="L259" s="72">
        <v>15.82</v>
      </c>
      <c r="M259" s="72">
        <v>12.96</v>
      </c>
      <c r="N259" s="72">
        <v>12.51</v>
      </c>
      <c r="O259" s="72">
        <v>11.23</v>
      </c>
      <c r="P259" s="72">
        <v>10.24</v>
      </c>
      <c r="Q259" s="72">
        <v>10.62</v>
      </c>
      <c r="R259" s="72">
        <v>11.36</v>
      </c>
      <c r="S259" s="72">
        <v>10.51</v>
      </c>
      <c r="T259" s="72">
        <v>12.65</v>
      </c>
      <c r="U259" s="73">
        <v>15.14</v>
      </c>
      <c r="V259" s="72">
        <v>15.1</v>
      </c>
      <c r="W259" s="99">
        <v>17.149999999999999</v>
      </c>
      <c r="X259" s="22">
        <f t="shared" si="9"/>
        <v>5.6400655277322631E-2</v>
      </c>
      <c r="Y259" s="22">
        <f t="shared" si="10"/>
        <v>0.10013291980505112</v>
      </c>
      <c r="Z259" s="22">
        <f t="shared" si="11"/>
        <v>7.5312122432541262E-2</v>
      </c>
      <c r="AA259" s="22">
        <f t="shared" si="12"/>
        <v>0.12434456928838955</v>
      </c>
    </row>
    <row r="260" spans="1:27" x14ac:dyDescent="0.3">
      <c r="A260" s="4">
        <v>260127</v>
      </c>
      <c r="B260" s="29" t="s">
        <v>453</v>
      </c>
      <c r="C260" s="19" t="s">
        <v>23</v>
      </c>
      <c r="D260" s="19" t="s">
        <v>29</v>
      </c>
      <c r="F260" s="71">
        <v>11.21586475942782</v>
      </c>
      <c r="G260" s="72">
        <v>8.5</v>
      </c>
      <c r="H260" s="72">
        <v>10.38</v>
      </c>
      <c r="I260" s="72">
        <v>10.74</v>
      </c>
      <c r="J260" s="72">
        <v>-6.4</v>
      </c>
      <c r="K260" s="73">
        <v>11.89</v>
      </c>
      <c r="L260" s="72">
        <v>11.39</v>
      </c>
      <c r="M260" s="72">
        <v>12.39</v>
      </c>
      <c r="N260" s="73">
        <v>11.56</v>
      </c>
      <c r="O260" s="72">
        <v>9.6999999999999993</v>
      </c>
      <c r="P260" s="72">
        <v>10.74</v>
      </c>
      <c r="Q260" s="72">
        <v>9.82</v>
      </c>
      <c r="R260" s="72">
        <v>-9.9</v>
      </c>
      <c r="S260" s="73">
        <v>17.14</v>
      </c>
      <c r="T260" s="73">
        <v>22.76</v>
      </c>
      <c r="U260" s="73">
        <v>24.7</v>
      </c>
      <c r="V260" s="73">
        <v>27.68</v>
      </c>
      <c r="W260" s="99">
        <v>27.49</v>
      </c>
      <c r="X260" s="22">
        <f t="shared" si="9"/>
        <v>0.43237410071942461</v>
      </c>
      <c r="Y260" s="22">
        <f t="shared" si="10"/>
        <v>0.37368156705173261</v>
      </c>
      <c r="Z260" s="22">
        <f t="shared" si="11"/>
        <v>0.6870201096892139</v>
      </c>
      <c r="AA260" s="22">
        <f t="shared" si="12"/>
        <v>0.11215864759427818</v>
      </c>
    </row>
    <row r="261" spans="1:27" x14ac:dyDescent="0.3">
      <c r="A261" s="4">
        <v>260127</v>
      </c>
      <c r="B261" s="29" t="s">
        <v>434</v>
      </c>
      <c r="C261" s="19" t="s">
        <v>23</v>
      </c>
      <c r="D261" s="19" t="s">
        <v>435</v>
      </c>
      <c r="F261" s="47">
        <v>8.1132075471698215</v>
      </c>
      <c r="G261" s="72">
        <v>1362</v>
      </c>
      <c r="H261" s="72">
        <v>-614</v>
      </c>
      <c r="I261" s="72">
        <v>966</v>
      </c>
      <c r="J261" s="72">
        <v>1761</v>
      </c>
      <c r="K261" s="73">
        <v>1763</v>
      </c>
      <c r="L261" s="73">
        <v>3004</v>
      </c>
      <c r="M261" s="73">
        <v>2855</v>
      </c>
      <c r="N261" s="72">
        <v>1891</v>
      </c>
      <c r="O261" s="72">
        <v>2327</v>
      </c>
      <c r="P261" s="72">
        <v>2021</v>
      </c>
      <c r="Q261" s="72">
        <v>1707</v>
      </c>
      <c r="R261" s="73">
        <v>2690</v>
      </c>
      <c r="S261" s="72">
        <v>944</v>
      </c>
      <c r="T261" s="72">
        <v>2287</v>
      </c>
      <c r="U261" s="72">
        <v>2268</v>
      </c>
      <c r="V261" s="72">
        <v>2451</v>
      </c>
      <c r="W261" s="100">
        <v>1589</v>
      </c>
      <c r="X261" s="22">
        <f t="shared" si="9"/>
        <v>3.6131486009236546E-2</v>
      </c>
      <c r="Y261" s="22">
        <f t="shared" si="10"/>
        <v>7.3544834819087468E-2</v>
      </c>
      <c r="Z261" s="22">
        <f t="shared" si="11"/>
        <v>-2.9185492734155605E-2</v>
      </c>
      <c r="AA261" s="22">
        <f t="shared" si="12"/>
        <v>8.1132075471698206E-2</v>
      </c>
    </row>
    <row r="262" spans="1:27" x14ac:dyDescent="0.3">
      <c r="A262" s="4">
        <v>260127</v>
      </c>
      <c r="B262" s="29" t="s">
        <v>471</v>
      </c>
      <c r="C262" s="19" t="s">
        <v>23</v>
      </c>
      <c r="D262" s="19" t="s">
        <v>109</v>
      </c>
      <c r="F262" s="47">
        <v>7.0727410017618952</v>
      </c>
      <c r="G262" s="72">
        <v>2904</v>
      </c>
      <c r="H262" s="72">
        <v>3604</v>
      </c>
      <c r="I262" s="72">
        <v>3874</v>
      </c>
      <c r="J262" s="72">
        <v>3446</v>
      </c>
      <c r="K262" s="72">
        <v>2893</v>
      </c>
      <c r="L262" s="72">
        <v>2621</v>
      </c>
      <c r="M262" s="72">
        <v>2985</v>
      </c>
      <c r="N262" s="72">
        <v>1681</v>
      </c>
      <c r="O262" s="72">
        <v>2141</v>
      </c>
      <c r="P262" s="72">
        <v>1814</v>
      </c>
      <c r="Q262" s="72">
        <v>2126</v>
      </c>
      <c r="R262" s="72">
        <v>2051</v>
      </c>
      <c r="S262" s="72">
        <v>2060</v>
      </c>
      <c r="T262" s="72">
        <v>1793</v>
      </c>
      <c r="U262" s="72">
        <v>1914</v>
      </c>
      <c r="V262" s="72">
        <v>2179</v>
      </c>
      <c r="W262" s="100">
        <v>2622</v>
      </c>
      <c r="X262" s="22">
        <f t="shared" si="9"/>
        <v>-2.6083716308532567E-3</v>
      </c>
      <c r="Y262" s="22">
        <f t="shared" si="10"/>
        <v>-2.6400996264009935E-2</v>
      </c>
      <c r="Z262" s="22">
        <f t="shared" si="11"/>
        <v>1.6372473778460073E-2</v>
      </c>
      <c r="AA262" s="22">
        <f t="shared" si="12"/>
        <v>7.0727410017618952E-2</v>
      </c>
    </row>
    <row r="263" spans="1:27" x14ac:dyDescent="0.3">
      <c r="A263" s="4">
        <v>260127</v>
      </c>
      <c r="B263" s="29" t="s">
        <v>437</v>
      </c>
      <c r="C263" s="19" t="s">
        <v>23</v>
      </c>
      <c r="D263" s="19" t="s">
        <v>29</v>
      </c>
      <c r="F263" s="47">
        <v>6.5831244778613129</v>
      </c>
      <c r="G263" s="72">
        <v>43.63</v>
      </c>
      <c r="H263" s="72">
        <v>34.46</v>
      </c>
      <c r="I263" s="72">
        <v>38.39</v>
      </c>
      <c r="J263" s="72">
        <v>42.45</v>
      </c>
      <c r="K263" s="72">
        <v>44.88</v>
      </c>
      <c r="L263" s="72">
        <v>37.94</v>
      </c>
      <c r="M263" s="72">
        <v>53.61</v>
      </c>
      <c r="N263" s="72">
        <v>49.29</v>
      </c>
      <c r="O263" s="72">
        <v>56.72</v>
      </c>
      <c r="P263" s="72">
        <v>46.48</v>
      </c>
      <c r="Q263" s="72">
        <v>46.58</v>
      </c>
      <c r="R263" s="72">
        <v>40.53</v>
      </c>
      <c r="S263" s="72">
        <v>44.62</v>
      </c>
      <c r="T263" s="72">
        <v>41.04</v>
      </c>
      <c r="U263" s="72">
        <v>42.07</v>
      </c>
      <c r="V263" s="72">
        <v>51.82</v>
      </c>
      <c r="W263" s="100">
        <v>56.44</v>
      </c>
      <c r="X263" s="22">
        <f t="shared" si="9"/>
        <v>-3.0525784187194982E-2</v>
      </c>
      <c r="Y263" s="22">
        <f t="shared" si="10"/>
        <v>-2.6104068993459517E-2</v>
      </c>
      <c r="Z263" s="22">
        <f t="shared" si="11"/>
        <v>6.7098537976940431E-2</v>
      </c>
      <c r="AA263" s="22">
        <f t="shared" si="12"/>
        <v>6.5831244778613351E-2</v>
      </c>
    </row>
    <row r="264" spans="1:27" x14ac:dyDescent="0.3">
      <c r="A264" s="4">
        <v>260127</v>
      </c>
      <c r="B264" s="29" t="s">
        <v>450</v>
      </c>
      <c r="C264" s="19" t="s">
        <v>23</v>
      </c>
      <c r="D264" s="19" t="s">
        <v>29</v>
      </c>
      <c r="F264" s="47">
        <v>5.9889884304828778</v>
      </c>
      <c r="G264" s="72">
        <v>281.62</v>
      </c>
      <c r="H264" s="72">
        <v>262.17</v>
      </c>
      <c r="I264" s="72">
        <v>275.63</v>
      </c>
      <c r="J264" s="72">
        <v>490.38</v>
      </c>
      <c r="K264" s="72">
        <v>206.79</v>
      </c>
      <c r="L264" s="72">
        <v>205.29</v>
      </c>
      <c r="M264" s="72">
        <v>194.66</v>
      </c>
      <c r="N264" s="72">
        <v>182.47</v>
      </c>
      <c r="O264" s="72">
        <v>93.12</v>
      </c>
      <c r="P264" s="72">
        <v>158.85</v>
      </c>
      <c r="Q264" s="72">
        <v>218.25</v>
      </c>
      <c r="R264" s="72">
        <v>197.79</v>
      </c>
      <c r="S264" s="73">
        <v>221.73</v>
      </c>
      <c r="T264" s="72">
        <v>222.57</v>
      </c>
      <c r="U264" s="72">
        <v>258.32</v>
      </c>
      <c r="V264" s="72">
        <v>247.29</v>
      </c>
      <c r="W264" s="100">
        <v>278.62</v>
      </c>
      <c r="X264" s="22">
        <f t="shared" si="9"/>
        <v>7.9987949084883603E-2</v>
      </c>
      <c r="Y264" s="22">
        <f t="shared" si="10"/>
        <v>4.6574610037891873E-2</v>
      </c>
      <c r="Z264" s="22">
        <f t="shared" si="11"/>
        <v>5.4974955853444474E-2</v>
      </c>
      <c r="AA264" s="22">
        <f t="shared" si="12"/>
        <v>5.9889884304829E-2</v>
      </c>
    </row>
    <row r="265" spans="1:27" x14ac:dyDescent="0.3">
      <c r="A265" s="4">
        <v>260127</v>
      </c>
      <c r="B265" s="29" t="s">
        <v>442</v>
      </c>
      <c r="C265" s="19" t="s">
        <v>23</v>
      </c>
      <c r="D265" s="19" t="s">
        <v>131</v>
      </c>
      <c r="F265" s="47">
        <v>5.4738081224249502</v>
      </c>
      <c r="G265" s="72">
        <v>3465</v>
      </c>
      <c r="H265" s="72">
        <v>1273</v>
      </c>
      <c r="I265" s="72">
        <v>1331</v>
      </c>
      <c r="J265" s="72">
        <v>1220</v>
      </c>
      <c r="K265" s="72">
        <v>2514</v>
      </c>
      <c r="L265" s="72">
        <v>1079</v>
      </c>
      <c r="M265" s="72">
        <v>1100</v>
      </c>
      <c r="N265" s="72">
        <v>1148</v>
      </c>
      <c r="O265" s="72">
        <v>-682</v>
      </c>
      <c r="P265" s="72">
        <v>1239</v>
      </c>
      <c r="Q265" s="72">
        <v>1257</v>
      </c>
      <c r="R265" s="72">
        <v>1288</v>
      </c>
      <c r="S265" s="73">
        <v>1685</v>
      </c>
      <c r="T265" s="72">
        <v>703</v>
      </c>
      <c r="U265" s="72">
        <v>1331</v>
      </c>
      <c r="V265" s="72">
        <v>1378</v>
      </c>
      <c r="W265" s="100">
        <v>1964</v>
      </c>
      <c r="X265" s="22">
        <f t="shared" si="9"/>
        <v>-9.8006948253794079E-2</v>
      </c>
      <c r="Y265" s="22">
        <f t="shared" si="10"/>
        <v>1.5001013581998679E-2</v>
      </c>
      <c r="Z265" s="22">
        <f t="shared" si="11"/>
        <v>1.7974835230677E-2</v>
      </c>
      <c r="AA265" s="22">
        <f t="shared" si="12"/>
        <v>5.4738081224249502E-2</v>
      </c>
    </row>
    <row r="266" spans="1:27" x14ac:dyDescent="0.3">
      <c r="A266" s="4">
        <v>260127</v>
      </c>
      <c r="B266" s="29" t="s">
        <v>429</v>
      </c>
      <c r="C266" s="19" t="s">
        <v>23</v>
      </c>
      <c r="D266" s="19" t="s">
        <v>99</v>
      </c>
      <c r="F266" s="47">
        <v>5.0982349233032096</v>
      </c>
      <c r="G266" s="72">
        <v>61.66</v>
      </c>
      <c r="H266" s="72">
        <v>68.260000000000005</v>
      </c>
      <c r="I266" s="72">
        <v>64.540000000000006</v>
      </c>
      <c r="J266" s="72">
        <v>67.59</v>
      </c>
      <c r="K266" s="72">
        <v>67.72</v>
      </c>
      <c r="L266" s="72">
        <v>65.95</v>
      </c>
      <c r="M266" s="72">
        <v>66.010000000000005</v>
      </c>
      <c r="N266" s="72">
        <v>55.07</v>
      </c>
      <c r="O266" s="72">
        <v>40.33</v>
      </c>
      <c r="P266" s="72">
        <v>65.2</v>
      </c>
      <c r="Q266" s="72">
        <v>74.099999999999994</v>
      </c>
      <c r="R266" s="72">
        <v>76.81</v>
      </c>
      <c r="S266" s="73">
        <v>78.209999999999994</v>
      </c>
      <c r="T266" s="72">
        <v>91.36</v>
      </c>
      <c r="U266" s="72">
        <v>101.33</v>
      </c>
      <c r="V266" s="72">
        <v>109.82</v>
      </c>
      <c r="W266" s="100">
        <v>97.62</v>
      </c>
      <c r="X266" s="22">
        <f t="shared" si="9"/>
        <v>8.8882848600163156E-2</v>
      </c>
      <c r="Y266" s="22">
        <f t="shared" si="10"/>
        <v>8.4966300549176088E-2</v>
      </c>
      <c r="Z266" s="22">
        <f t="shared" si="11"/>
        <v>9.4935434701331589E-2</v>
      </c>
      <c r="AA266" s="22">
        <f t="shared" si="12"/>
        <v>5.0982349233032132E-2</v>
      </c>
    </row>
    <row r="267" spans="1:27" x14ac:dyDescent="0.3">
      <c r="A267" s="4">
        <v>260127</v>
      </c>
      <c r="B267" s="29" t="s">
        <v>439</v>
      </c>
      <c r="C267" s="19" t="s">
        <v>23</v>
      </c>
      <c r="D267" s="19" t="s">
        <v>131</v>
      </c>
      <c r="F267" s="47">
        <v>4.8075951924048121</v>
      </c>
      <c r="G267" s="72">
        <v>1479</v>
      </c>
      <c r="H267" s="72">
        <v>1560</v>
      </c>
      <c r="I267" s="72">
        <v>1805</v>
      </c>
      <c r="J267" s="72">
        <v>1993</v>
      </c>
      <c r="K267" s="72">
        <v>1957</v>
      </c>
      <c r="L267" s="72">
        <v>2131</v>
      </c>
      <c r="M267" s="72">
        <v>1962</v>
      </c>
      <c r="N267" s="72">
        <v>-950</v>
      </c>
      <c r="O267" s="72">
        <v>2132</v>
      </c>
      <c r="P267" s="72">
        <v>1841</v>
      </c>
      <c r="Q267" s="72">
        <v>1815</v>
      </c>
      <c r="R267" s="73">
        <v>2402</v>
      </c>
      <c r="S267" s="72">
        <v>2221</v>
      </c>
      <c r="T267" s="72">
        <v>2401</v>
      </c>
      <c r="U267" s="72">
        <v>2492</v>
      </c>
      <c r="V267" s="72">
        <v>2787</v>
      </c>
      <c r="W267" s="100">
        <v>2697</v>
      </c>
      <c r="X267" s="22">
        <f t="shared" si="9"/>
        <v>6.7641019446793127E-2</v>
      </c>
      <c r="Y267" s="22">
        <f t="shared" si="10"/>
        <v>7.6592374703020605E-2</v>
      </c>
      <c r="Z267" s="22">
        <f t="shared" si="11"/>
        <v>4.0458175704077393E-2</v>
      </c>
      <c r="AA267" s="22">
        <f t="shared" si="12"/>
        <v>4.8075951924048121E-2</v>
      </c>
    </row>
    <row r="268" spans="1:27" x14ac:dyDescent="0.3">
      <c r="A268" s="4">
        <v>260127</v>
      </c>
      <c r="B268" s="29" t="s">
        <v>436</v>
      </c>
      <c r="C268" s="19" t="s">
        <v>23</v>
      </c>
      <c r="D268" s="19" t="s">
        <v>29</v>
      </c>
      <c r="F268" s="47">
        <v>4.6543197905556166</v>
      </c>
      <c r="G268" s="72">
        <v>43.11</v>
      </c>
      <c r="H268" s="72">
        <v>29.16</v>
      </c>
      <c r="I268" s="72">
        <v>35.28</v>
      </c>
      <c r="J268" s="72">
        <v>38.159999999999997</v>
      </c>
      <c r="K268" s="72">
        <v>38.119999999999997</v>
      </c>
      <c r="L268" s="72">
        <v>31.27</v>
      </c>
      <c r="M268" s="72">
        <v>29.15</v>
      </c>
      <c r="N268" s="72">
        <v>26.68</v>
      </c>
      <c r="O268" s="72">
        <v>27.48</v>
      </c>
      <c r="P268" s="72">
        <v>21.72</v>
      </c>
      <c r="Q268" s="72">
        <v>20.440000000000001</v>
      </c>
      <c r="R268" s="72">
        <v>21.12</v>
      </c>
      <c r="S268" s="72">
        <v>25.33</v>
      </c>
      <c r="T268" s="72">
        <v>25.11</v>
      </c>
      <c r="U268" s="72">
        <v>21.23</v>
      </c>
      <c r="V268" s="73">
        <v>31.46</v>
      </c>
      <c r="W268" s="100">
        <v>30.13</v>
      </c>
      <c r="X268" s="22">
        <f t="shared" si="9"/>
        <v>3.8257533009818268E-2</v>
      </c>
      <c r="Y268" s="22">
        <f t="shared" si="10"/>
        <v>8.5869565217391308E-3</v>
      </c>
      <c r="Z268" s="22">
        <f t="shared" si="11"/>
        <v>0.11143442181269525</v>
      </c>
      <c r="AA268" s="22">
        <f t="shared" si="12"/>
        <v>4.6543197905556166E-2</v>
      </c>
    </row>
    <row r="269" spans="1:27" x14ac:dyDescent="0.3">
      <c r="A269" s="4">
        <v>260127</v>
      </c>
      <c r="B269" s="29" t="s">
        <v>458</v>
      </c>
      <c r="C269" s="19" t="s">
        <v>23</v>
      </c>
      <c r="D269" s="19" t="s">
        <v>52</v>
      </c>
      <c r="F269" s="47">
        <v>4.6349810747716269</v>
      </c>
      <c r="G269" s="72">
        <v>58.74</v>
      </c>
      <c r="H269" s="72">
        <v>65.89</v>
      </c>
      <c r="I269" s="72">
        <v>39</v>
      </c>
      <c r="J269" s="72">
        <v>-31.39</v>
      </c>
      <c r="K269" s="72">
        <v>69.47</v>
      </c>
      <c r="L269" s="72">
        <v>73.5</v>
      </c>
      <c r="M269" s="73">
        <v>58.18</v>
      </c>
      <c r="N269" s="73">
        <v>4.32</v>
      </c>
      <c r="O269" s="72">
        <v>85.59</v>
      </c>
      <c r="P269" s="72">
        <v>89.31</v>
      </c>
      <c r="Q269" s="72">
        <v>70.38</v>
      </c>
      <c r="R269" s="73">
        <v>48.14</v>
      </c>
      <c r="S269" s="73">
        <v>126.4</v>
      </c>
      <c r="T269" s="73">
        <v>131.99</v>
      </c>
      <c r="U269" s="73">
        <v>112.94</v>
      </c>
      <c r="V269" s="72">
        <v>69.88</v>
      </c>
      <c r="W269" s="100">
        <v>146.85</v>
      </c>
      <c r="X269" s="22">
        <f t="shared" si="9"/>
        <v>0.12769649642461789</v>
      </c>
      <c r="Y269" s="22">
        <f t="shared" si="10"/>
        <v>0.11291820328460367</v>
      </c>
      <c r="Z269" s="22">
        <f t="shared" si="11"/>
        <v>5.182730588599882E-2</v>
      </c>
      <c r="AA269" s="22">
        <f t="shared" si="12"/>
        <v>4.6349810747716491E-2</v>
      </c>
    </row>
    <row r="270" spans="1:27" x14ac:dyDescent="0.3">
      <c r="A270" s="4">
        <v>260127</v>
      </c>
      <c r="B270" s="29" t="s">
        <v>433</v>
      </c>
      <c r="C270" s="19" t="s">
        <v>23</v>
      </c>
      <c r="D270" s="19" t="s">
        <v>29</v>
      </c>
      <c r="F270" s="47">
        <v>4.2094770740683796</v>
      </c>
      <c r="G270" s="72">
        <v>33.31</v>
      </c>
      <c r="H270" s="72">
        <v>25.96</v>
      </c>
      <c r="I270" s="72">
        <v>16.73</v>
      </c>
      <c r="J270" s="72">
        <v>34.119999999999997</v>
      </c>
      <c r="K270" s="72">
        <v>36.74</v>
      </c>
      <c r="L270" s="72">
        <v>29.94</v>
      </c>
      <c r="M270" s="73">
        <v>32.39</v>
      </c>
      <c r="N270" s="72">
        <v>26.96</v>
      </c>
      <c r="O270" s="72">
        <v>37.33</v>
      </c>
      <c r="P270" s="72">
        <v>27.9</v>
      </c>
      <c r="Q270" s="72">
        <v>31.67</v>
      </c>
      <c r="R270" s="72">
        <v>29.83</v>
      </c>
      <c r="S270" s="72">
        <v>33.18</v>
      </c>
      <c r="T270" s="72">
        <v>26.11</v>
      </c>
      <c r="U270" s="72">
        <v>30.57</v>
      </c>
      <c r="V270" s="72">
        <v>40.56</v>
      </c>
      <c r="W270" s="100">
        <v>38.67</v>
      </c>
      <c r="X270" s="22">
        <f t="shared" si="9"/>
        <v>-1.4602708435307643E-2</v>
      </c>
      <c r="Y270" s="22">
        <f t="shared" si="10"/>
        <v>-9.1067141319646217E-3</v>
      </c>
      <c r="Z270" s="22">
        <f t="shared" si="11"/>
        <v>8.9648257999833003E-2</v>
      </c>
      <c r="AA270" s="22">
        <f t="shared" si="12"/>
        <v>4.2094770740684018E-2</v>
      </c>
    </row>
    <row r="271" spans="1:27" x14ac:dyDescent="0.3">
      <c r="A271" s="4">
        <v>260127</v>
      </c>
      <c r="B271" s="29" t="s">
        <v>427</v>
      </c>
      <c r="C271" s="19" t="s">
        <v>23</v>
      </c>
      <c r="D271" s="19" t="s">
        <v>428</v>
      </c>
      <c r="F271" s="47">
        <v>3.4833335670513721</v>
      </c>
      <c r="G271" s="72">
        <v>17.11</v>
      </c>
      <c r="H271" s="72">
        <v>20.52</v>
      </c>
      <c r="I271" s="72">
        <v>29.77</v>
      </c>
      <c r="J271" s="72">
        <v>39.47</v>
      </c>
      <c r="K271" s="73">
        <v>58.66</v>
      </c>
      <c r="L271" s="73">
        <v>42.02</v>
      </c>
      <c r="M271" s="73">
        <v>73.88</v>
      </c>
      <c r="N271" s="73">
        <v>94.09</v>
      </c>
      <c r="O271" s="73">
        <v>148.47</v>
      </c>
      <c r="P271" s="73">
        <v>270.67</v>
      </c>
      <c r="Q271" s="73">
        <v>161.57</v>
      </c>
      <c r="R271" s="72">
        <v>135.65</v>
      </c>
      <c r="S271" s="72">
        <v>151.27000000000001</v>
      </c>
      <c r="T271" s="72">
        <v>190.61</v>
      </c>
      <c r="U271" s="72">
        <v>187.31</v>
      </c>
      <c r="V271" s="72">
        <v>183.92</v>
      </c>
      <c r="W271" s="100">
        <v>176.11</v>
      </c>
      <c r="X271" s="22">
        <f t="shared" si="9"/>
        <v>-0.11132432282106897</v>
      </c>
      <c r="Y271" s="22">
        <f t="shared" si="10"/>
        <v>4.0275387263339013E-2</v>
      </c>
      <c r="Z271" s="22">
        <f t="shared" si="11"/>
        <v>7.2603934781300783E-2</v>
      </c>
      <c r="AA271" s="22">
        <f t="shared" si="12"/>
        <v>3.4833335670513721E-2</v>
      </c>
    </row>
    <row r="272" spans="1:27" x14ac:dyDescent="0.3">
      <c r="A272" s="4">
        <v>260127</v>
      </c>
      <c r="B272" s="29" t="s">
        <v>451</v>
      </c>
      <c r="C272" s="19" t="s">
        <v>23</v>
      </c>
      <c r="D272" s="19" t="s">
        <v>29</v>
      </c>
      <c r="F272" s="47">
        <v>3.258322484656873</v>
      </c>
      <c r="G272" s="72">
        <v>31.2</v>
      </c>
      <c r="H272" s="72">
        <v>33.909999999999997</v>
      </c>
      <c r="I272" s="72">
        <v>41.01</v>
      </c>
      <c r="J272" s="72">
        <v>50.42</v>
      </c>
      <c r="K272" s="72">
        <v>-51.59</v>
      </c>
      <c r="L272" s="73">
        <v>56.08</v>
      </c>
      <c r="M272" s="72">
        <v>47.66</v>
      </c>
      <c r="N272" s="72">
        <v>36.840000000000003</v>
      </c>
      <c r="O272" s="73">
        <v>40.46</v>
      </c>
      <c r="P272" s="72">
        <v>45.01</v>
      </c>
      <c r="Q272" s="72">
        <v>-138.31</v>
      </c>
      <c r="R272" s="72">
        <v>62.46</v>
      </c>
      <c r="S272" s="73">
        <v>64.91</v>
      </c>
      <c r="T272" s="73">
        <v>65.33</v>
      </c>
      <c r="U272" s="73">
        <v>68.86</v>
      </c>
      <c r="V272" s="72">
        <v>69.75</v>
      </c>
      <c r="W272" s="100">
        <v>73.67</v>
      </c>
      <c r="X272" s="22">
        <f t="shared" si="9"/>
        <v>0.59641913707073746</v>
      </c>
      <c r="Y272" s="22">
        <f t="shared" si="10"/>
        <v>3.8089722375436663</v>
      </c>
      <c r="Z272" s="22">
        <f t="shared" si="11"/>
        <v>2.787123413365955E-2</v>
      </c>
      <c r="AA272" s="22">
        <f t="shared" si="12"/>
        <v>3.2583224846568726E-2</v>
      </c>
    </row>
    <row r="273" spans="1:27" x14ac:dyDescent="0.3">
      <c r="A273" s="4">
        <v>260127</v>
      </c>
      <c r="B273" s="29" t="s">
        <v>447</v>
      </c>
      <c r="C273" s="19" t="s">
        <v>23</v>
      </c>
      <c r="D273" s="19" t="s">
        <v>115</v>
      </c>
      <c r="F273" s="47">
        <v>2.9284464499493179</v>
      </c>
      <c r="G273" s="72">
        <v>354.9</v>
      </c>
      <c r="H273" s="72">
        <v>355.9</v>
      </c>
      <c r="I273" s="72">
        <v>362.9</v>
      </c>
      <c r="J273" s="72">
        <v>393.2</v>
      </c>
      <c r="K273" s="72">
        <v>412.5</v>
      </c>
      <c r="L273" s="72">
        <v>401</v>
      </c>
      <c r="M273" s="72">
        <v>435.3</v>
      </c>
      <c r="N273" s="72">
        <v>446.1</v>
      </c>
      <c r="O273" s="72">
        <v>462.8</v>
      </c>
      <c r="P273" s="72">
        <v>481.3</v>
      </c>
      <c r="Q273" s="72">
        <v>494.2</v>
      </c>
      <c r="R273" s="72">
        <v>496.6</v>
      </c>
      <c r="S273" s="72">
        <v>524.70000000000005</v>
      </c>
      <c r="T273" s="72">
        <v>525.79999999999995</v>
      </c>
      <c r="U273" s="72">
        <v>548.29999999999995</v>
      </c>
      <c r="V273" s="72">
        <v>573</v>
      </c>
      <c r="W273" s="100">
        <v>588.29999999999995</v>
      </c>
      <c r="X273" s="22">
        <f t="shared" si="9"/>
        <v>2.2285657051282159E-2</v>
      </c>
      <c r="Y273" s="22">
        <f t="shared" si="10"/>
        <v>2.6502718855631047E-2</v>
      </c>
      <c r="Z273" s="22">
        <f t="shared" si="11"/>
        <v>3.646081893671882E-2</v>
      </c>
      <c r="AA273" s="22">
        <f t="shared" si="12"/>
        <v>2.9284464499493179E-2</v>
      </c>
    </row>
    <row r="274" spans="1:27" x14ac:dyDescent="0.3">
      <c r="A274" s="4">
        <v>260127</v>
      </c>
      <c r="B274" s="29" t="s">
        <v>459</v>
      </c>
      <c r="C274" s="19" t="s">
        <v>23</v>
      </c>
      <c r="D274" s="19" t="s">
        <v>460</v>
      </c>
      <c r="F274" s="47">
        <v>2.8539499699131721</v>
      </c>
      <c r="G274" s="72">
        <v>2386</v>
      </c>
      <c r="H274" s="72">
        <v>2201</v>
      </c>
      <c r="I274" s="72">
        <v>2296</v>
      </c>
      <c r="J274" s="72">
        <v>2143</v>
      </c>
      <c r="K274" s="72">
        <v>2413</v>
      </c>
      <c r="L274" s="72">
        <v>2434</v>
      </c>
      <c r="M274" s="72">
        <v>2300</v>
      </c>
      <c r="N274" s="72">
        <v>2092</v>
      </c>
      <c r="O274" s="72">
        <v>2800</v>
      </c>
      <c r="P274" s="72">
        <v>2560</v>
      </c>
      <c r="Q274" s="72">
        <v>2731</v>
      </c>
      <c r="R274" s="72">
        <v>2410</v>
      </c>
      <c r="S274" s="72">
        <v>2846</v>
      </c>
      <c r="T274" s="72">
        <v>2855</v>
      </c>
      <c r="U274" s="72">
        <v>2967</v>
      </c>
      <c r="V274" s="72">
        <v>2965</v>
      </c>
      <c r="W274" s="100">
        <v>3178</v>
      </c>
      <c r="X274" s="22">
        <f t="shared" si="9"/>
        <v>2.7970038873613268E-2</v>
      </c>
      <c r="Y274" s="22">
        <f t="shared" si="10"/>
        <v>2.1767201623316801E-2</v>
      </c>
      <c r="Z274" s="22">
        <f t="shared" si="11"/>
        <v>5.0099295901787411E-2</v>
      </c>
      <c r="AA274" s="22">
        <f t="shared" si="12"/>
        <v>2.8539499699131721E-2</v>
      </c>
    </row>
    <row r="275" spans="1:27" x14ac:dyDescent="0.3">
      <c r="A275" s="4">
        <v>260127</v>
      </c>
      <c r="B275" s="29" t="s">
        <v>463</v>
      </c>
      <c r="C275" s="19" t="s">
        <v>23</v>
      </c>
      <c r="D275" s="19" t="s">
        <v>29</v>
      </c>
      <c r="F275" s="47">
        <v>2.7870955011839</v>
      </c>
      <c r="G275" s="72">
        <v>115.26</v>
      </c>
      <c r="H275" s="72">
        <v>125.63</v>
      </c>
      <c r="I275" s="72">
        <v>108.8</v>
      </c>
      <c r="J275" s="72">
        <v>106.63</v>
      </c>
      <c r="K275" s="72">
        <v>106.53</v>
      </c>
      <c r="L275" s="72">
        <v>102.63</v>
      </c>
      <c r="M275" s="72">
        <v>100.94</v>
      </c>
      <c r="N275" s="72">
        <v>108.99</v>
      </c>
      <c r="O275" s="72">
        <v>84.87</v>
      </c>
      <c r="P275" s="72">
        <v>97.41</v>
      </c>
      <c r="Q275" s="72">
        <v>101.38</v>
      </c>
      <c r="R275" s="72">
        <v>96.39</v>
      </c>
      <c r="S275" s="72">
        <v>96.03</v>
      </c>
      <c r="T275" s="72">
        <v>100.3</v>
      </c>
      <c r="U275" s="72">
        <v>102.89</v>
      </c>
      <c r="V275" s="72">
        <v>106.22</v>
      </c>
      <c r="W275" s="100">
        <v>107.33</v>
      </c>
      <c r="X275" s="22">
        <f t="shared" si="9"/>
        <v>7.3873367245211874E-3</v>
      </c>
      <c r="Y275" s="22">
        <f t="shared" si="10"/>
        <v>3.8315148439482805E-3</v>
      </c>
      <c r="Z275" s="22">
        <f t="shared" si="11"/>
        <v>2.4847703546421851E-2</v>
      </c>
      <c r="AA275" s="22">
        <f t="shared" si="12"/>
        <v>2.7870955011839005E-2</v>
      </c>
    </row>
    <row r="276" spans="1:27" x14ac:dyDescent="0.3">
      <c r="A276" s="4">
        <v>260127</v>
      </c>
      <c r="B276" s="29" t="s">
        <v>441</v>
      </c>
      <c r="C276" s="19" t="s">
        <v>23</v>
      </c>
      <c r="D276" s="19" t="s">
        <v>29</v>
      </c>
      <c r="F276" s="47">
        <v>2.7535258562793712</v>
      </c>
      <c r="G276" s="72">
        <v>56.6</v>
      </c>
      <c r="H276" s="72">
        <v>59.83</v>
      </c>
      <c r="I276" s="72">
        <v>50.78</v>
      </c>
      <c r="J276" s="72">
        <v>62.4</v>
      </c>
      <c r="K276" s="72">
        <v>67.31</v>
      </c>
      <c r="L276" s="72">
        <v>6.97</v>
      </c>
      <c r="M276" s="72">
        <v>61.47</v>
      </c>
      <c r="N276" s="72">
        <v>55.99</v>
      </c>
      <c r="O276" s="72">
        <v>43.8</v>
      </c>
      <c r="P276" s="73">
        <v>53.04</v>
      </c>
      <c r="Q276" s="72">
        <v>62.09</v>
      </c>
      <c r="R276" s="72">
        <v>57.03</v>
      </c>
      <c r="S276" s="72">
        <v>64.540000000000006</v>
      </c>
      <c r="T276" s="72">
        <v>64.27</v>
      </c>
      <c r="U276" s="72">
        <v>66.040000000000006</v>
      </c>
      <c r="V276" s="72">
        <v>73.17</v>
      </c>
      <c r="W276" s="100">
        <v>71.92</v>
      </c>
      <c r="X276" s="22">
        <f t="shared" si="9"/>
        <v>4.7444021968736871E-2</v>
      </c>
      <c r="Y276" s="22">
        <f t="shared" si="10"/>
        <v>1.5931916266688217E-2</v>
      </c>
      <c r="Z276" s="22">
        <f t="shared" si="11"/>
        <v>6.4078132444021163E-2</v>
      </c>
      <c r="AA276" s="22">
        <f t="shared" si="12"/>
        <v>2.7535258562793707E-2</v>
      </c>
    </row>
    <row r="277" spans="1:27" x14ac:dyDescent="0.3">
      <c r="A277" s="4">
        <v>260127</v>
      </c>
      <c r="B277" s="29" t="s">
        <v>462</v>
      </c>
      <c r="C277" s="19" t="s">
        <v>23</v>
      </c>
      <c r="D277" s="19" t="s">
        <v>115</v>
      </c>
      <c r="F277" s="47">
        <v>2.2863758049345368</v>
      </c>
      <c r="G277" s="72">
        <v>27.14</v>
      </c>
      <c r="H277" s="72">
        <v>33.97</v>
      </c>
      <c r="I277" s="72">
        <v>37.25</v>
      </c>
      <c r="J277" s="72">
        <v>36.770000000000003</v>
      </c>
      <c r="K277" s="73">
        <v>44.71</v>
      </c>
      <c r="L277" s="72">
        <v>47.09</v>
      </c>
      <c r="M277" s="72">
        <v>50.48</v>
      </c>
      <c r="N277" s="72">
        <v>53.45</v>
      </c>
      <c r="O277" s="72">
        <v>58.87</v>
      </c>
      <c r="P277" s="72">
        <v>57.63</v>
      </c>
      <c r="Q277" s="72">
        <v>68.19</v>
      </c>
      <c r="R277" s="72">
        <v>75.09</v>
      </c>
      <c r="S277" s="72">
        <v>60.69</v>
      </c>
      <c r="T277" s="72">
        <v>66.099999999999994</v>
      </c>
      <c r="U277" s="72">
        <v>73.8</v>
      </c>
      <c r="V277" s="72">
        <v>75.83</v>
      </c>
      <c r="W277" s="100">
        <v>67.010000000000005</v>
      </c>
      <c r="X277" s="22">
        <f t="shared" si="9"/>
        <v>3.2377675840978393E-2</v>
      </c>
      <c r="Y277" s="22">
        <f t="shared" si="10"/>
        <v>2.0772392342726098E-2</v>
      </c>
      <c r="Z277" s="22">
        <f t="shared" si="11"/>
        <v>2.6842716192685412E-3</v>
      </c>
      <c r="AA277" s="22">
        <f t="shared" si="12"/>
        <v>2.2863758049345151E-2</v>
      </c>
    </row>
    <row r="278" spans="1:27" x14ac:dyDescent="0.3">
      <c r="A278" s="4">
        <v>260127</v>
      </c>
      <c r="B278" s="29" t="s">
        <v>445</v>
      </c>
      <c r="C278" s="19" t="s">
        <v>23</v>
      </c>
      <c r="D278" s="19" t="s">
        <v>446</v>
      </c>
      <c r="F278" s="47">
        <v>1.79461615154537</v>
      </c>
      <c r="G278" s="72">
        <v>2491</v>
      </c>
      <c r="H278" s="72">
        <v>2626</v>
      </c>
      <c r="I278" s="72">
        <v>2769</v>
      </c>
      <c r="J278" s="72">
        <v>2737</v>
      </c>
      <c r="K278" s="72">
        <v>2220</v>
      </c>
      <c r="L278" s="72">
        <v>1930</v>
      </c>
      <c r="M278" s="72">
        <v>1968</v>
      </c>
      <c r="N278" s="72">
        <v>1887</v>
      </c>
      <c r="O278" s="72">
        <v>1530</v>
      </c>
      <c r="P278" s="72">
        <v>1159</v>
      </c>
      <c r="Q278" s="72">
        <v>1244</v>
      </c>
      <c r="R278" s="72">
        <v>1550</v>
      </c>
      <c r="S278" s="72">
        <v>1397</v>
      </c>
      <c r="T278" s="72">
        <v>1321</v>
      </c>
      <c r="U278" s="72">
        <v>1558</v>
      </c>
      <c r="V278" s="72">
        <v>1742</v>
      </c>
      <c r="W278" s="100">
        <v>1505</v>
      </c>
      <c r="X278" s="22">
        <f t="shared" si="9"/>
        <v>3.028037383177562E-2</v>
      </c>
      <c r="Y278" s="22">
        <f t="shared" si="10"/>
        <v>5.6966618287372928E-2</v>
      </c>
      <c r="Z278" s="22">
        <f t="shared" si="11"/>
        <v>3.2955715756951554E-2</v>
      </c>
      <c r="AA278" s="22">
        <f t="shared" si="12"/>
        <v>1.7946161515453696E-2</v>
      </c>
    </row>
    <row r="279" spans="1:27" x14ac:dyDescent="0.3">
      <c r="A279" s="4">
        <v>260127</v>
      </c>
      <c r="B279" s="29" t="s">
        <v>466</v>
      </c>
      <c r="C279" s="19" t="s">
        <v>23</v>
      </c>
      <c r="D279" s="19" t="s">
        <v>29</v>
      </c>
      <c r="F279" s="47">
        <v>1.5155279503105581</v>
      </c>
      <c r="G279" s="72">
        <v>9.18</v>
      </c>
      <c r="H279" s="72">
        <v>11.28</v>
      </c>
      <c r="I279" s="72">
        <v>7.22</v>
      </c>
      <c r="J279" s="72">
        <v>12.06</v>
      </c>
      <c r="K279" s="72">
        <v>10.51</v>
      </c>
      <c r="L279" s="73">
        <v>17.38</v>
      </c>
      <c r="M279" s="73">
        <v>17.62</v>
      </c>
      <c r="N279" s="72">
        <v>14.51</v>
      </c>
      <c r="O279" s="72">
        <v>14.35</v>
      </c>
      <c r="P279" s="72">
        <v>15.36</v>
      </c>
      <c r="Q279" s="72">
        <v>17.23</v>
      </c>
      <c r="R279" s="72">
        <v>15.6</v>
      </c>
      <c r="S279" s="72">
        <v>17.38</v>
      </c>
      <c r="T279" s="73">
        <v>21.99</v>
      </c>
      <c r="U279" s="72">
        <v>20.04</v>
      </c>
      <c r="V279" s="72">
        <v>21.09</v>
      </c>
      <c r="W279" s="100">
        <v>18.600000000000001</v>
      </c>
      <c r="X279" s="22">
        <f t="shared" si="9"/>
        <v>0.10111331401555557</v>
      </c>
      <c r="Y279" s="22">
        <f t="shared" si="10"/>
        <v>3.8919667590027629E-2</v>
      </c>
      <c r="Z279" s="22">
        <f t="shared" si="11"/>
        <v>7.3190241301160031E-2</v>
      </c>
      <c r="AA279" s="22">
        <f t="shared" si="12"/>
        <v>1.5155279503105579E-2</v>
      </c>
    </row>
    <row r="280" spans="1:27" x14ac:dyDescent="0.3">
      <c r="A280" s="4">
        <v>260127</v>
      </c>
      <c r="B280" s="29" t="s">
        <v>454</v>
      </c>
      <c r="C280" s="19" t="s">
        <v>23</v>
      </c>
      <c r="D280" s="19" t="s">
        <v>455</v>
      </c>
      <c r="F280" s="47">
        <v>0.46269295073679828</v>
      </c>
      <c r="G280" s="72">
        <v>78.02</v>
      </c>
      <c r="H280" s="72">
        <v>95.69</v>
      </c>
      <c r="I280" s="72">
        <v>109.07</v>
      </c>
      <c r="J280" s="72">
        <v>106.39</v>
      </c>
      <c r="K280" s="72">
        <v>111.72</v>
      </c>
      <c r="L280" s="72">
        <v>126.84</v>
      </c>
      <c r="M280" s="72">
        <v>127.92</v>
      </c>
      <c r="N280" s="72">
        <v>120.65</v>
      </c>
      <c r="O280" s="72">
        <v>114.57</v>
      </c>
      <c r="P280" s="72">
        <v>121.18</v>
      </c>
      <c r="Q280" s="72">
        <v>139.31</v>
      </c>
      <c r="R280" s="72">
        <v>113.14</v>
      </c>
      <c r="S280" s="72">
        <v>120.83</v>
      </c>
      <c r="T280" s="72">
        <v>129.5</v>
      </c>
      <c r="U280" s="72">
        <v>135.05000000000001</v>
      </c>
      <c r="V280" s="72">
        <v>129</v>
      </c>
      <c r="W280" s="100">
        <v>123.21</v>
      </c>
      <c r="X280" s="22">
        <f t="shared" si="9"/>
        <v>1.6826436921085541E-2</v>
      </c>
      <c r="Y280" s="22">
        <f t="shared" si="10"/>
        <v>-8.4728907275546383E-3</v>
      </c>
      <c r="Z280" s="22">
        <f t="shared" si="11"/>
        <v>3.1814169943031212E-2</v>
      </c>
      <c r="AA280" s="22">
        <f t="shared" si="12"/>
        <v>4.6269295073679828E-3</v>
      </c>
    </row>
    <row r="281" spans="1:27" x14ac:dyDescent="0.3">
      <c r="A281" s="4">
        <v>260127</v>
      </c>
      <c r="B281" s="29" t="s">
        <v>464</v>
      </c>
      <c r="C281" s="19" t="s">
        <v>23</v>
      </c>
      <c r="D281" s="19" t="s">
        <v>41</v>
      </c>
      <c r="F281" s="47">
        <v>-0.1388888888888884</v>
      </c>
      <c r="G281" s="72">
        <v>0</v>
      </c>
      <c r="H281" s="72">
        <v>376</v>
      </c>
      <c r="I281" s="72">
        <v>503</v>
      </c>
      <c r="J281" s="72">
        <v>476</v>
      </c>
      <c r="K281" s="73">
        <v>363</v>
      </c>
      <c r="L281" s="73">
        <v>567</v>
      </c>
      <c r="M281" s="72">
        <v>687</v>
      </c>
      <c r="N281" s="72">
        <v>584</v>
      </c>
      <c r="O281" s="72">
        <v>0</v>
      </c>
      <c r="P281" s="72">
        <v>566</v>
      </c>
      <c r="Q281" s="72">
        <v>686</v>
      </c>
      <c r="R281" s="72">
        <v>575</v>
      </c>
      <c r="S281" s="73">
        <v>453</v>
      </c>
      <c r="T281" s="72">
        <v>490</v>
      </c>
      <c r="U281" s="72">
        <v>639</v>
      </c>
      <c r="V281" s="72">
        <v>578</v>
      </c>
      <c r="W281" s="100">
        <v>450</v>
      </c>
      <c r="X281" s="22">
        <f t="shared" si="9"/>
        <v>-3.3333333333333326E-2</v>
      </c>
      <c r="Y281" s="22">
        <f t="shared" si="10"/>
        <v>-2.1324863883847578E-2</v>
      </c>
      <c r="Z281" s="22">
        <f t="shared" si="11"/>
        <v>1.3908205841446364E-3</v>
      </c>
      <c r="AA281" s="22">
        <f t="shared" si="12"/>
        <v>-1.388888888888884E-3</v>
      </c>
    </row>
    <row r="282" spans="1:27" x14ac:dyDescent="0.3">
      <c r="A282" s="4">
        <v>260127</v>
      </c>
      <c r="B282" s="29" t="s">
        <v>457</v>
      </c>
      <c r="C282" s="19" t="s">
        <v>23</v>
      </c>
      <c r="D282" s="19" t="s">
        <v>24</v>
      </c>
      <c r="F282" s="47">
        <v>-0.2855554432427132</v>
      </c>
      <c r="G282" s="72">
        <v>128.24</v>
      </c>
      <c r="H282" s="72">
        <v>74.650000000000006</v>
      </c>
      <c r="I282" s="72">
        <v>107.46</v>
      </c>
      <c r="J282" s="72">
        <v>107.53</v>
      </c>
      <c r="K282" s="72">
        <v>99.95</v>
      </c>
      <c r="L282" s="72">
        <v>106.05</v>
      </c>
      <c r="M282" s="73">
        <v>160.22</v>
      </c>
      <c r="N282" s="73">
        <v>171.74</v>
      </c>
      <c r="O282" s="73">
        <v>172.99</v>
      </c>
      <c r="P282" s="72">
        <v>140.05000000000001</v>
      </c>
      <c r="Q282" s="72">
        <v>163.18</v>
      </c>
      <c r="R282" s="72">
        <v>191.03</v>
      </c>
      <c r="S282" s="72">
        <v>216.4</v>
      </c>
      <c r="T282" s="72">
        <v>158.9</v>
      </c>
      <c r="U282" s="72">
        <v>196.32</v>
      </c>
      <c r="V282" s="72">
        <v>219.82</v>
      </c>
      <c r="W282" s="100">
        <v>214.14</v>
      </c>
      <c r="X282" s="22">
        <f t="shared" si="9"/>
        <v>2.6524639067908806E-2</v>
      </c>
      <c r="Y282" s="22">
        <f t="shared" si="10"/>
        <v>4.5427752875217831E-2</v>
      </c>
      <c r="Z282" s="22">
        <f t="shared" si="11"/>
        <v>3.7749950829345069E-2</v>
      </c>
      <c r="AA282" s="22">
        <f t="shared" si="12"/>
        <v>-2.855554432427132E-3</v>
      </c>
    </row>
    <row r="283" spans="1:27" x14ac:dyDescent="0.3">
      <c r="A283" s="4">
        <v>260127</v>
      </c>
      <c r="B283" s="29" t="s">
        <v>465</v>
      </c>
      <c r="C283" s="19" t="s">
        <v>23</v>
      </c>
      <c r="D283" s="19" t="s">
        <v>99</v>
      </c>
      <c r="F283" s="47">
        <v>-0.45239121068505472</v>
      </c>
      <c r="G283" s="72">
        <v>1047</v>
      </c>
      <c r="H283" s="72">
        <v>1233</v>
      </c>
      <c r="I283" s="72">
        <v>1066</v>
      </c>
      <c r="J283" s="72">
        <v>922</v>
      </c>
      <c r="K283" s="72">
        <v>741</v>
      </c>
      <c r="L283" s="72">
        <v>790</v>
      </c>
      <c r="M283" s="72">
        <v>742</v>
      </c>
      <c r="N283" s="72">
        <v>833</v>
      </c>
      <c r="O283" s="72">
        <v>539</v>
      </c>
      <c r="P283" s="73">
        <v>1708</v>
      </c>
      <c r="Q283" s="72">
        <v>844</v>
      </c>
      <c r="R283" s="72">
        <v>1028</v>
      </c>
      <c r="S283" s="73">
        <v>973</v>
      </c>
      <c r="T283" s="72">
        <v>984</v>
      </c>
      <c r="U283" s="73">
        <v>1256</v>
      </c>
      <c r="V283" s="72">
        <v>1429</v>
      </c>
      <c r="W283" s="100">
        <v>952</v>
      </c>
      <c r="X283" s="22">
        <f t="shared" si="9"/>
        <v>-0.15901603338458159</v>
      </c>
      <c r="Y283" s="22">
        <f t="shared" si="10"/>
        <v>0.107599895534082</v>
      </c>
      <c r="Z283" s="22">
        <f t="shared" si="11"/>
        <v>9.4553171421834392E-2</v>
      </c>
      <c r="AA283" s="22">
        <f t="shared" si="12"/>
        <v>-4.5239121068505472E-3</v>
      </c>
    </row>
    <row r="284" spans="1:27" x14ac:dyDescent="0.3">
      <c r="A284" s="4">
        <v>260127</v>
      </c>
      <c r="B284" s="29" t="s">
        <v>456</v>
      </c>
      <c r="C284" s="19" t="s">
        <v>23</v>
      </c>
      <c r="D284" s="19" t="s">
        <v>29</v>
      </c>
      <c r="F284" s="47">
        <v>-0.55135475740392126</v>
      </c>
      <c r="G284" s="72">
        <v>13.59</v>
      </c>
      <c r="H284" s="72">
        <v>12.4</v>
      </c>
      <c r="I284" s="72">
        <v>14.64</v>
      </c>
      <c r="J284" s="72">
        <v>17.46</v>
      </c>
      <c r="K284" s="72">
        <v>15.66</v>
      </c>
      <c r="L284" s="72">
        <v>15.44</v>
      </c>
      <c r="M284" s="72">
        <v>12.87</v>
      </c>
      <c r="N284" s="72">
        <v>18.95</v>
      </c>
      <c r="O284" s="72">
        <v>14.72</v>
      </c>
      <c r="P284" s="72">
        <v>16.489999999999998</v>
      </c>
      <c r="Q284" s="72">
        <v>16.21</v>
      </c>
      <c r="R284" s="72">
        <v>16.510000000000002</v>
      </c>
      <c r="S284" s="72">
        <v>16.48</v>
      </c>
      <c r="T284" s="72">
        <v>15.26</v>
      </c>
      <c r="U284" s="72">
        <v>15.83</v>
      </c>
      <c r="V284" s="72">
        <v>15.91</v>
      </c>
      <c r="W284" s="100">
        <v>16.13</v>
      </c>
      <c r="X284" s="22">
        <f t="shared" si="9"/>
        <v>-1.8724311158471618E-2</v>
      </c>
      <c r="Y284" s="22">
        <f t="shared" si="10"/>
        <v>-5.8951287620231385E-3</v>
      </c>
      <c r="Z284" s="22">
        <f t="shared" si="11"/>
        <v>-9.3632958801497246E-3</v>
      </c>
      <c r="AA284" s="22">
        <f t="shared" si="12"/>
        <v>-5.5135475740392126E-3</v>
      </c>
    </row>
    <row r="285" spans="1:27" x14ac:dyDescent="0.3">
      <c r="A285" s="4">
        <v>260127</v>
      </c>
      <c r="B285" s="29" t="s">
        <v>467</v>
      </c>
      <c r="C285" s="19" t="s">
        <v>23</v>
      </c>
      <c r="D285" s="19" t="s">
        <v>50</v>
      </c>
      <c r="F285" s="47">
        <v>-0.56956059603313625</v>
      </c>
      <c r="G285" s="72">
        <v>252.74</v>
      </c>
      <c r="H285" s="72">
        <v>257.72000000000003</v>
      </c>
      <c r="I285" s="72">
        <v>273.17</v>
      </c>
      <c r="J285" s="72">
        <v>269.27999999999997</v>
      </c>
      <c r="K285" s="72">
        <v>255.8</v>
      </c>
      <c r="L285" s="72">
        <v>228.44</v>
      </c>
      <c r="M285" s="72">
        <v>266.93</v>
      </c>
      <c r="N285" s="72">
        <v>267.08999999999997</v>
      </c>
      <c r="O285" s="72">
        <v>252.49</v>
      </c>
      <c r="P285" s="72">
        <v>248.69</v>
      </c>
      <c r="Q285" s="72">
        <v>248.49</v>
      </c>
      <c r="R285" s="72">
        <v>252.1</v>
      </c>
      <c r="S285" s="72">
        <v>260.14999999999998</v>
      </c>
      <c r="T285" s="72">
        <v>242.62</v>
      </c>
      <c r="U285" s="72">
        <v>248.54</v>
      </c>
      <c r="V285" s="72">
        <v>245.95</v>
      </c>
      <c r="W285" s="100">
        <v>254.47</v>
      </c>
      <c r="X285" s="22">
        <f t="shared" si="9"/>
        <v>-6.0132946316237001E-3</v>
      </c>
      <c r="Y285" s="22">
        <f t="shared" si="10"/>
        <v>4.9832562589724461E-5</v>
      </c>
      <c r="Z285" s="22">
        <f t="shared" si="11"/>
        <v>-6.1290997697850402E-3</v>
      </c>
      <c r="AA285" s="22">
        <f t="shared" si="12"/>
        <v>-5.6956059603313625E-3</v>
      </c>
    </row>
    <row r="286" spans="1:27" x14ac:dyDescent="0.3">
      <c r="A286" s="4">
        <v>260127</v>
      </c>
      <c r="B286" s="29" t="s">
        <v>469</v>
      </c>
      <c r="C286" s="19" t="s">
        <v>23</v>
      </c>
      <c r="D286" s="19" t="s">
        <v>124</v>
      </c>
      <c r="F286" s="47">
        <v>-1.3668562306694549</v>
      </c>
      <c r="G286" s="72">
        <v>2447</v>
      </c>
      <c r="H286" s="72">
        <v>2397</v>
      </c>
      <c r="I286" s="72">
        <v>2516</v>
      </c>
      <c r="J286" s="72">
        <v>2655</v>
      </c>
      <c r="K286" s="72">
        <v>2433</v>
      </c>
      <c r="L286" s="72">
        <v>2308</v>
      </c>
      <c r="M286" s="72">
        <v>2218</v>
      </c>
      <c r="N286" s="72">
        <v>2189</v>
      </c>
      <c r="O286" s="72">
        <v>2419</v>
      </c>
      <c r="P286" s="72">
        <v>2387</v>
      </c>
      <c r="Q286" s="72">
        <v>2369</v>
      </c>
      <c r="R286" s="72">
        <v>2428</v>
      </c>
      <c r="S286" s="72">
        <v>2538</v>
      </c>
      <c r="T286" s="72">
        <v>2384</v>
      </c>
      <c r="U286" s="72">
        <v>2539</v>
      </c>
      <c r="V286" s="72">
        <v>2562</v>
      </c>
      <c r="W286" s="100">
        <v>2401</v>
      </c>
      <c r="X286" s="22">
        <f t="shared" si="9"/>
        <v>-3.0857848179388636E-4</v>
      </c>
      <c r="Y286" s="22">
        <f t="shared" si="10"/>
        <v>1.7491511472373711E-2</v>
      </c>
      <c r="Z286" s="22">
        <f t="shared" si="11"/>
        <v>1.3550409545960207E-2</v>
      </c>
      <c r="AA286" s="22">
        <f t="shared" si="12"/>
        <v>-1.3668562306694554E-2</v>
      </c>
    </row>
    <row r="287" spans="1:27" x14ac:dyDescent="0.3">
      <c r="A287" s="4">
        <v>260127</v>
      </c>
      <c r="B287" s="29" t="s">
        <v>476</v>
      </c>
      <c r="C287" s="19" t="s">
        <v>23</v>
      </c>
      <c r="D287" s="19" t="s">
        <v>477</v>
      </c>
      <c r="F287" s="47">
        <v>-3.8447319778188489</v>
      </c>
      <c r="G287" s="72">
        <v>610</v>
      </c>
      <c r="H287" s="72">
        <v>663</v>
      </c>
      <c r="I287" s="72">
        <v>622</v>
      </c>
      <c r="J287" s="72">
        <v>668</v>
      </c>
      <c r="K287" s="72">
        <v>619</v>
      </c>
      <c r="L287" s="72">
        <v>779</v>
      </c>
      <c r="M287" s="72">
        <v>684</v>
      </c>
      <c r="N287" s="72">
        <v>786</v>
      </c>
      <c r="O287" s="72">
        <v>582</v>
      </c>
      <c r="P287" s="72">
        <v>783</v>
      </c>
      <c r="Q287" s="72">
        <v>738</v>
      </c>
      <c r="R287" s="72">
        <v>627</v>
      </c>
      <c r="S287" s="72">
        <v>655</v>
      </c>
      <c r="T287" s="72">
        <v>682</v>
      </c>
      <c r="U287" s="72">
        <v>675</v>
      </c>
      <c r="V287" s="72">
        <v>693</v>
      </c>
      <c r="W287" s="100">
        <v>551</v>
      </c>
      <c r="X287" s="22">
        <f t="shared" si="9"/>
        <v>-3.6032821976453855E-2</v>
      </c>
      <c r="Y287" s="22">
        <f t="shared" si="10"/>
        <v>-2.3316062176165775E-2</v>
      </c>
      <c r="Z287" s="22">
        <f t="shared" si="11"/>
        <v>2.5009473285335426E-2</v>
      </c>
      <c r="AA287" s="22">
        <f t="shared" si="12"/>
        <v>-3.8447319778188493E-2</v>
      </c>
    </row>
    <row r="288" spans="1:27" x14ac:dyDescent="0.3">
      <c r="A288" s="4">
        <v>260127</v>
      </c>
      <c r="B288" s="29" t="s">
        <v>473</v>
      </c>
      <c r="C288" s="19" t="s">
        <v>23</v>
      </c>
      <c r="D288" s="19" t="s">
        <v>29</v>
      </c>
      <c r="F288" s="47">
        <v>-10.477657935285039</v>
      </c>
      <c r="G288" s="72">
        <v>28.06</v>
      </c>
      <c r="H288" s="72">
        <v>21.96</v>
      </c>
      <c r="I288" s="72">
        <v>24.72</v>
      </c>
      <c r="J288" s="72">
        <v>19.829999999999998</v>
      </c>
      <c r="K288" s="72">
        <v>19.670000000000002</v>
      </c>
      <c r="L288" s="73">
        <v>50.36</v>
      </c>
      <c r="M288" s="73">
        <v>40.93</v>
      </c>
      <c r="N288" s="73">
        <v>45.41</v>
      </c>
      <c r="O288" s="73">
        <v>38.9</v>
      </c>
      <c r="P288" s="72">
        <v>38.89</v>
      </c>
      <c r="Q288" s="72">
        <v>31.75</v>
      </c>
      <c r="R288" s="72">
        <v>39.880000000000003</v>
      </c>
      <c r="S288" s="72">
        <v>34.729999999999997</v>
      </c>
      <c r="T288" s="72">
        <v>29.85</v>
      </c>
      <c r="U288" s="72">
        <v>41.54</v>
      </c>
      <c r="V288" s="72">
        <v>43.15</v>
      </c>
      <c r="W288" s="100">
        <v>19.09</v>
      </c>
      <c r="X288" s="22">
        <f t="shared" si="9"/>
        <v>-6.2237521514630134E-2</v>
      </c>
      <c r="Y288" s="22">
        <f t="shared" si="10"/>
        <v>7.1874311724543061E-2</v>
      </c>
      <c r="Z288" s="22">
        <f t="shared" si="11"/>
        <v>2.2397260273972597E-2</v>
      </c>
      <c r="AA288" s="22">
        <f t="shared" si="12"/>
        <v>-0.10477657935285067</v>
      </c>
    </row>
    <row r="289" spans="1:27" x14ac:dyDescent="0.3">
      <c r="A289" s="4">
        <v>260127</v>
      </c>
      <c r="B289" s="29" t="s">
        <v>478</v>
      </c>
      <c r="C289" s="19" t="s">
        <v>23</v>
      </c>
      <c r="D289" s="19" t="s">
        <v>444</v>
      </c>
      <c r="F289" s="47">
        <v>-10.729215048769159</v>
      </c>
      <c r="G289" s="72">
        <v>192.6</v>
      </c>
      <c r="H289" s="72">
        <v>206.7</v>
      </c>
      <c r="I289" s="72">
        <v>171.1</v>
      </c>
      <c r="J289" s="72">
        <v>113.8</v>
      </c>
      <c r="K289" s="72">
        <v>176.3</v>
      </c>
      <c r="L289" s="72">
        <v>172.9</v>
      </c>
      <c r="M289" s="72">
        <v>140.5</v>
      </c>
      <c r="N289" s="72">
        <v>78.3</v>
      </c>
      <c r="O289" s="72">
        <v>0</v>
      </c>
      <c r="P289" s="72">
        <v>94.5</v>
      </c>
      <c r="Q289" s="72">
        <v>54.7</v>
      </c>
      <c r="R289" s="72">
        <v>39.200000000000003</v>
      </c>
      <c r="S289" s="73">
        <v>79.599999999999994</v>
      </c>
      <c r="T289" s="72">
        <v>0</v>
      </c>
      <c r="U289" s="73">
        <v>102.1</v>
      </c>
      <c r="V289" s="72">
        <v>33.6</v>
      </c>
      <c r="W289" s="100">
        <v>56.5</v>
      </c>
      <c r="X289" s="22">
        <f t="shared" si="9"/>
        <v>-0.35261194029850751</v>
      </c>
      <c r="Y289" s="22">
        <f t="shared" si="10"/>
        <v>0.27319884726224775</v>
      </c>
      <c r="Z289" s="22">
        <f t="shared" si="11"/>
        <v>-2.5350837483024025E-2</v>
      </c>
      <c r="AA289" s="22">
        <f t="shared" si="12"/>
        <v>-0.10729215048769158</v>
      </c>
    </row>
    <row r="290" spans="1:27" x14ac:dyDescent="0.3">
      <c r="A290" s="4">
        <v>260127</v>
      </c>
      <c r="B290" s="29" t="s">
        <v>443</v>
      </c>
      <c r="C290" s="19" t="s">
        <v>23</v>
      </c>
      <c r="D290" s="19" t="s">
        <v>444</v>
      </c>
      <c r="F290" s="47">
        <v>-11.529320987654319</v>
      </c>
      <c r="G290" s="72">
        <v>372.8</v>
      </c>
      <c r="H290" s="72">
        <v>374.6</v>
      </c>
      <c r="I290" s="72">
        <v>436.4</v>
      </c>
      <c r="J290" s="72">
        <v>375.9</v>
      </c>
      <c r="K290" s="72">
        <v>306.60000000000002</v>
      </c>
      <c r="L290" s="72">
        <v>285.7</v>
      </c>
      <c r="M290" s="72">
        <v>296.2</v>
      </c>
      <c r="N290" s="72">
        <v>268.7</v>
      </c>
      <c r="O290" s="72">
        <v>273.3</v>
      </c>
      <c r="P290" s="72">
        <v>214.7</v>
      </c>
      <c r="Q290" s="72">
        <v>284.60000000000002</v>
      </c>
      <c r="R290" s="72">
        <v>340</v>
      </c>
      <c r="S290" s="72">
        <v>317.8</v>
      </c>
      <c r="T290" s="72">
        <v>294.8</v>
      </c>
      <c r="U290" s="72">
        <v>320.60000000000002</v>
      </c>
      <c r="V290" s="72">
        <v>362.8</v>
      </c>
      <c r="W290" s="100">
        <v>168.38</v>
      </c>
      <c r="X290" s="22">
        <f t="shared" si="9"/>
        <v>6.9224786103189162E-2</v>
      </c>
      <c r="Y290" s="22">
        <f t="shared" si="10"/>
        <v>2.9097963142579841E-2</v>
      </c>
      <c r="Z290" s="22">
        <f t="shared" si="11"/>
        <v>1.7907634307257503E-2</v>
      </c>
      <c r="AA290" s="22">
        <f t="shared" si="12"/>
        <v>-0.11529320987654323</v>
      </c>
    </row>
    <row r="291" spans="1:27" x14ac:dyDescent="0.3">
      <c r="A291" s="4">
        <v>260127</v>
      </c>
      <c r="B291" s="29" t="s">
        <v>474</v>
      </c>
      <c r="C291" s="19" t="s">
        <v>23</v>
      </c>
      <c r="D291" s="19" t="s">
        <v>475</v>
      </c>
      <c r="F291" s="47">
        <v>-12.39083441418072</v>
      </c>
      <c r="G291" s="72">
        <v>645.4</v>
      </c>
      <c r="H291" s="72">
        <v>765.8</v>
      </c>
      <c r="I291" s="72">
        <v>921.4</v>
      </c>
      <c r="J291" s="72">
        <v>948.2</v>
      </c>
      <c r="K291" s="73">
        <v>1144</v>
      </c>
      <c r="L291" s="73">
        <v>1474</v>
      </c>
      <c r="M291" s="73">
        <v>1511</v>
      </c>
      <c r="N291" s="73">
        <v>1517</v>
      </c>
      <c r="O291" s="72">
        <v>1541</v>
      </c>
      <c r="P291" s="72">
        <v>1448</v>
      </c>
      <c r="Q291" s="72">
        <v>1367</v>
      </c>
      <c r="R291" s="72">
        <v>1147</v>
      </c>
      <c r="S291" s="72">
        <v>1032</v>
      </c>
      <c r="T291" s="72">
        <v>910.6</v>
      </c>
      <c r="U291" s="72">
        <v>865</v>
      </c>
      <c r="V291" s="72">
        <v>661.9</v>
      </c>
      <c r="W291" s="100">
        <v>602.1</v>
      </c>
      <c r="X291" s="22">
        <f t="shared" si="9"/>
        <v>-0.10760913095714852</v>
      </c>
      <c r="Y291" s="22">
        <f t="shared" si="10"/>
        <v>-0.11264192433693854</v>
      </c>
      <c r="Z291" s="22">
        <f t="shared" si="11"/>
        <v>-0.12266727355484752</v>
      </c>
      <c r="AA291" s="22">
        <f t="shared" si="12"/>
        <v>-0.12390834414180718</v>
      </c>
    </row>
    <row r="292" spans="1:27" x14ac:dyDescent="0.3">
      <c r="A292" s="4">
        <v>260127</v>
      </c>
      <c r="B292" s="29" t="s">
        <v>468</v>
      </c>
      <c r="C292" s="19" t="s">
        <v>23</v>
      </c>
      <c r="D292" s="19" t="s">
        <v>99</v>
      </c>
      <c r="F292" s="47">
        <v>-13.191850594227491</v>
      </c>
      <c r="G292" s="72">
        <v>17.88</v>
      </c>
      <c r="H292" s="72">
        <v>34.700000000000003</v>
      </c>
      <c r="I292" s="72">
        <v>-5.45</v>
      </c>
      <c r="J292" s="72">
        <v>12.94</v>
      </c>
      <c r="K292" s="72">
        <v>22.37</v>
      </c>
      <c r="L292" s="73">
        <v>41.46</v>
      </c>
      <c r="M292" s="73">
        <v>24.9</v>
      </c>
      <c r="N292" s="73">
        <v>33.46</v>
      </c>
      <c r="O292" s="72">
        <v>31.21</v>
      </c>
      <c r="P292" s="73">
        <v>58.16</v>
      </c>
      <c r="Q292" s="72">
        <v>22.7</v>
      </c>
      <c r="R292" s="72">
        <v>38.39</v>
      </c>
      <c r="S292" s="72">
        <v>27.31</v>
      </c>
      <c r="T292" s="72">
        <v>66.25</v>
      </c>
      <c r="U292" s="72">
        <v>11.58</v>
      </c>
      <c r="V292" s="72">
        <v>12.66</v>
      </c>
      <c r="W292" s="100">
        <v>11.77</v>
      </c>
      <c r="X292" s="22">
        <f t="shared" si="9"/>
        <v>5.5199235807860347E-2</v>
      </c>
      <c r="Y292" s="22">
        <f t="shared" si="10"/>
        <v>-7.1904300032331059E-2</v>
      </c>
      <c r="Z292" s="22">
        <f t="shared" si="11"/>
        <v>-0.17926565874730027</v>
      </c>
      <c r="AA292" s="22">
        <f t="shared" si="12"/>
        <v>-0.13191850594227505</v>
      </c>
    </row>
    <row r="293" spans="1:27" x14ac:dyDescent="0.3">
      <c r="A293" s="4">
        <v>260127</v>
      </c>
      <c r="B293" s="29" t="s">
        <v>440</v>
      </c>
      <c r="C293" s="19" t="s">
        <v>23</v>
      </c>
      <c r="D293" s="19" t="s">
        <v>127</v>
      </c>
      <c r="F293" s="47">
        <v>-14.286178861788621</v>
      </c>
      <c r="G293" s="72">
        <v>5541</v>
      </c>
      <c r="H293" s="72">
        <v>6950</v>
      </c>
      <c r="I293" s="72">
        <v>7132</v>
      </c>
      <c r="J293" s="72">
        <v>7462</v>
      </c>
      <c r="K293" s="72">
        <v>6891</v>
      </c>
      <c r="L293" s="72">
        <v>8086</v>
      </c>
      <c r="M293" s="72">
        <v>8057</v>
      </c>
      <c r="N293" s="72">
        <v>8526</v>
      </c>
      <c r="O293" s="72">
        <v>7689</v>
      </c>
      <c r="P293" s="72">
        <v>7931</v>
      </c>
      <c r="Q293" s="72">
        <v>7875</v>
      </c>
      <c r="R293" s="72">
        <v>8708</v>
      </c>
      <c r="S293" s="72">
        <v>7773</v>
      </c>
      <c r="T293" s="72">
        <v>9119</v>
      </c>
      <c r="U293" s="72">
        <v>5150</v>
      </c>
      <c r="V293" s="72">
        <v>4315</v>
      </c>
      <c r="W293" s="100">
        <v>380</v>
      </c>
      <c r="X293" s="22">
        <f t="shared" si="9"/>
        <v>3.6794994889584043E-2</v>
      </c>
      <c r="Y293" s="22">
        <f t="shared" si="10"/>
        <v>-8.1404032860343589E-2</v>
      </c>
      <c r="Z293" s="22">
        <f t="shared" si="11"/>
        <v>-0.14286178861788623</v>
      </c>
      <c r="AA293" s="22">
        <f t="shared" si="12"/>
        <v>-0.28049474522897144</v>
      </c>
    </row>
    <row r="294" spans="1:27" x14ac:dyDescent="0.3">
      <c r="A294" s="4">
        <v>260127</v>
      </c>
      <c r="B294" s="29" t="s">
        <v>424</v>
      </c>
      <c r="C294" s="19" t="s">
        <v>23</v>
      </c>
      <c r="D294" s="19" t="s">
        <v>131</v>
      </c>
      <c r="F294" s="47">
        <v>-35.383663366336627</v>
      </c>
      <c r="G294" s="72">
        <v>-3377</v>
      </c>
      <c r="H294" s="72">
        <v>-408</v>
      </c>
      <c r="I294" s="72">
        <v>1382</v>
      </c>
      <c r="J294" s="72">
        <v>-2087</v>
      </c>
      <c r="K294" s="72">
        <v>296</v>
      </c>
      <c r="L294" s="72">
        <v>532</v>
      </c>
      <c r="M294" s="72">
        <v>4</v>
      </c>
      <c r="N294" s="72">
        <v>-687</v>
      </c>
      <c r="O294" s="73">
        <v>570</v>
      </c>
      <c r="P294" s="72">
        <v>68</v>
      </c>
      <c r="Q294" s="73">
        <v>-961</v>
      </c>
      <c r="R294" s="73">
        <v>-5605</v>
      </c>
      <c r="S294" s="73">
        <v>-3650</v>
      </c>
      <c r="T294" s="72">
        <v>539</v>
      </c>
      <c r="U294" s="72">
        <v>-222</v>
      </c>
      <c r="V294" s="72">
        <v>-4747</v>
      </c>
      <c r="W294" s="100">
        <v>-791</v>
      </c>
      <c r="X294" s="22">
        <f t="shared" si="9"/>
        <v>-4.6413086322428021E-2</v>
      </c>
      <c r="Y294" s="22">
        <f t="shared" si="10"/>
        <v>-7.6366642554510644E-2</v>
      </c>
      <c r="Z294" s="22">
        <f t="shared" si="11"/>
        <v>-9.5994629671067311E-2</v>
      </c>
      <c r="AA294" s="22">
        <f t="shared" si="12"/>
        <v>-0.35383663366336637</v>
      </c>
    </row>
    <row r="295" spans="1:27" x14ac:dyDescent="0.3">
      <c r="A295" s="4">
        <v>260127</v>
      </c>
      <c r="B295" s="29" t="s">
        <v>472</v>
      </c>
      <c r="C295" s="19" t="s">
        <v>23</v>
      </c>
      <c r="D295" s="19" t="s">
        <v>149</v>
      </c>
      <c r="F295" s="47">
        <v>-69.371428571428567</v>
      </c>
      <c r="G295" s="72">
        <v>1973</v>
      </c>
      <c r="H295" s="72">
        <v>2626</v>
      </c>
      <c r="I295" s="72">
        <v>2542</v>
      </c>
      <c r="J295" s="72">
        <v>3811</v>
      </c>
      <c r="K295" s="72">
        <v>1947</v>
      </c>
      <c r="L295" s="72">
        <v>2706</v>
      </c>
      <c r="M295" s="72">
        <v>2933</v>
      </c>
      <c r="N295" s="72">
        <v>3154</v>
      </c>
      <c r="O295" s="72">
        <v>804</v>
      </c>
      <c r="P295" s="73">
        <v>3769</v>
      </c>
      <c r="Q295" s="73">
        <v>4197</v>
      </c>
      <c r="R295" s="72">
        <v>3881</v>
      </c>
      <c r="S295" s="72">
        <v>1193</v>
      </c>
      <c r="T295" s="72">
        <v>3437</v>
      </c>
      <c r="U295" s="72">
        <v>2238</v>
      </c>
      <c r="V295" s="72">
        <v>2757</v>
      </c>
      <c r="W295" s="100">
        <v>-5484</v>
      </c>
      <c r="X295" s="22">
        <f t="shared" si="9"/>
        <v>-2.5460122699386467E-2</v>
      </c>
      <c r="Y295" s="22">
        <f t="shared" si="10"/>
        <v>-0.15415486307837578</v>
      </c>
      <c r="Z295" s="22">
        <f t="shared" si="11"/>
        <v>-0.10456786677830499</v>
      </c>
      <c r="AA295" s="22">
        <f t="shared" si="12"/>
        <v>-0.69371428571428573</v>
      </c>
    </row>
    <row r="296" spans="1:27" x14ac:dyDescent="0.3">
      <c r="A296" s="4">
        <v>260127</v>
      </c>
      <c r="B296" s="29" t="s">
        <v>448</v>
      </c>
      <c r="C296" s="19" t="s">
        <v>23</v>
      </c>
      <c r="D296" s="19" t="s">
        <v>449</v>
      </c>
      <c r="F296" s="47">
        <v>-70.704012112036338</v>
      </c>
      <c r="G296" s="72">
        <v>159.9</v>
      </c>
      <c r="H296" s="72">
        <v>100.2</v>
      </c>
      <c r="I296" s="72">
        <v>193.1</v>
      </c>
      <c r="J296" s="72">
        <v>254.3</v>
      </c>
      <c r="K296" s="73">
        <v>256.89999999999998</v>
      </c>
      <c r="L296" s="72">
        <v>161.1</v>
      </c>
      <c r="M296" s="72">
        <v>196</v>
      </c>
      <c r="N296" s="72">
        <v>201.1</v>
      </c>
      <c r="O296" s="72">
        <v>142.69999999999999</v>
      </c>
      <c r="P296" s="72">
        <v>39</v>
      </c>
      <c r="Q296" s="72">
        <v>119.7</v>
      </c>
      <c r="R296" s="72">
        <v>66.099999999999994</v>
      </c>
      <c r="S296" s="72">
        <v>65.8</v>
      </c>
      <c r="T296" s="72">
        <v>-36.1</v>
      </c>
      <c r="U296" s="72">
        <v>39.700000000000003</v>
      </c>
      <c r="V296" s="72">
        <v>62.7</v>
      </c>
      <c r="W296" s="100">
        <v>-27.6</v>
      </c>
      <c r="X296" s="22">
        <f t="shared" si="9"/>
        <v>-0.25843083275980716</v>
      </c>
      <c r="Y296" s="22">
        <f t="shared" si="10"/>
        <v>-0.37122969837587017</v>
      </c>
      <c r="Z296" s="22">
        <f t="shared" si="11"/>
        <v>-2.5092250922509107E-2</v>
      </c>
      <c r="AA296" s="22">
        <f t="shared" si="12"/>
        <v>-0.70704012112036341</v>
      </c>
    </row>
    <row r="297" spans="1:27" x14ac:dyDescent="0.3">
      <c r="A297" s="4">
        <v>260127</v>
      </c>
      <c r="B297" s="29" t="s">
        <v>461</v>
      </c>
      <c r="C297" s="19" t="s">
        <v>23</v>
      </c>
      <c r="D297" s="19" t="s">
        <v>95</v>
      </c>
      <c r="F297" s="47">
        <v>-162.06675811614079</v>
      </c>
      <c r="G297" s="72">
        <v>421.3</v>
      </c>
      <c r="H297" s="72">
        <v>412.9</v>
      </c>
      <c r="I297" s="72">
        <v>344.9</v>
      </c>
      <c r="J297" s="72">
        <v>319.89999999999998</v>
      </c>
      <c r="K297" s="72">
        <v>313.3</v>
      </c>
      <c r="L297" s="72">
        <v>231.1</v>
      </c>
      <c r="M297" s="72">
        <v>203.8</v>
      </c>
      <c r="N297" s="72">
        <v>227.7</v>
      </c>
      <c r="O297" s="72">
        <v>153.1</v>
      </c>
      <c r="P297" s="72">
        <v>213.1</v>
      </c>
      <c r="Q297" s="72">
        <v>256.8</v>
      </c>
      <c r="R297" s="72">
        <v>248.1</v>
      </c>
      <c r="S297" s="73">
        <v>314.2</v>
      </c>
      <c r="T297" s="72">
        <v>277.3</v>
      </c>
      <c r="U297" s="72">
        <v>231.1</v>
      </c>
      <c r="V297" s="72">
        <v>270.89999999999998</v>
      </c>
      <c r="W297" s="100">
        <v>-1458</v>
      </c>
      <c r="X297" s="22">
        <f t="shared" si="9"/>
        <v>6.2197248595233345E-2</v>
      </c>
      <c r="Y297" s="22">
        <f t="shared" si="10"/>
        <v>-2.3440350237139751E-2</v>
      </c>
      <c r="Z297" s="22">
        <f t="shared" si="11"/>
        <v>2.1294480246567771E-2</v>
      </c>
      <c r="AA297" s="22">
        <f t="shared" si="12"/>
        <v>-1.6206675811614084</v>
      </c>
    </row>
    <row r="298" spans="1:27" x14ac:dyDescent="0.3">
      <c r="A298" s="4">
        <v>260127</v>
      </c>
      <c r="B298" s="29" t="s">
        <v>418</v>
      </c>
      <c r="C298" s="19" t="s">
        <v>23</v>
      </c>
      <c r="D298" s="19" t="s">
        <v>29</v>
      </c>
      <c r="F298" s="47">
        <v>-176.44454283816691</v>
      </c>
      <c r="G298" s="72">
        <v>22.83</v>
      </c>
      <c r="H298" s="72">
        <v>24.64</v>
      </c>
      <c r="I298" s="72">
        <v>34.97</v>
      </c>
      <c r="J298" s="72">
        <v>32.42</v>
      </c>
      <c r="K298" s="72">
        <v>12.82</v>
      </c>
      <c r="L298" s="72">
        <v>5.46</v>
      </c>
      <c r="M298" s="72">
        <v>11.87</v>
      </c>
      <c r="N298" s="72">
        <v>10.75</v>
      </c>
      <c r="O298" s="72">
        <v>11.75</v>
      </c>
      <c r="P298" s="72">
        <v>5</v>
      </c>
      <c r="Q298" s="72">
        <v>7.14</v>
      </c>
      <c r="R298" s="72">
        <v>11.46</v>
      </c>
      <c r="S298" s="72">
        <v>-71.86</v>
      </c>
      <c r="T298" s="73">
        <v>-5.93</v>
      </c>
      <c r="U298" s="72">
        <v>18.940000000000001</v>
      </c>
      <c r="V298" s="72">
        <v>13.68</v>
      </c>
      <c r="W298" s="100">
        <v>7.84</v>
      </c>
      <c r="X298" s="22">
        <f t="shared" si="9"/>
        <v>0.22648155822627425</v>
      </c>
      <c r="Y298" s="22">
        <f t="shared" si="10"/>
        <v>-0.19935799966210499</v>
      </c>
      <c r="Z298" s="22">
        <f t="shared" si="11"/>
        <v>-4.6845326018147393E-2</v>
      </c>
      <c r="AA298" s="22">
        <f t="shared" si="12"/>
        <v>-1.7644454283816695</v>
      </c>
    </row>
    <row r="299" spans="1:27" x14ac:dyDescent="0.3">
      <c r="A299" s="4">
        <v>260127</v>
      </c>
      <c r="B299" s="29" t="s">
        <v>480</v>
      </c>
      <c r="C299" s="19" t="s">
        <v>164</v>
      </c>
      <c r="D299" s="19" t="s">
        <v>32</v>
      </c>
      <c r="F299" s="47">
        <v>-2.5614610161554641</v>
      </c>
      <c r="G299" s="72">
        <v>5173</v>
      </c>
      <c r="H299" s="72">
        <v>4731</v>
      </c>
      <c r="I299" s="72">
        <v>3691</v>
      </c>
      <c r="J299" s="72">
        <v>5010</v>
      </c>
      <c r="K299" s="72">
        <v>6090</v>
      </c>
      <c r="L299" s="72">
        <v>5592</v>
      </c>
      <c r="M299" s="72">
        <v>5132</v>
      </c>
      <c r="N299" s="72">
        <v>5765</v>
      </c>
      <c r="O299" s="72">
        <v>6539</v>
      </c>
      <c r="P299" s="72">
        <v>2194</v>
      </c>
      <c r="Q299" s="72">
        <v>5554</v>
      </c>
      <c r="R299" s="72">
        <v>4926</v>
      </c>
      <c r="S299" s="72">
        <v>6432</v>
      </c>
      <c r="T299" s="73">
        <v>5207</v>
      </c>
      <c r="U299" s="72">
        <v>4552</v>
      </c>
      <c r="V299" s="72">
        <v>5164</v>
      </c>
      <c r="W299" s="100">
        <v>5885</v>
      </c>
      <c r="X299" s="22">
        <f t="shared" si="9"/>
        <v>0.15769915209881713</v>
      </c>
      <c r="Y299" s="22">
        <f t="shared" si="10"/>
        <v>-4.5300420453004198E-2</v>
      </c>
      <c r="Z299" s="22">
        <f t="shared" si="11"/>
        <v>1.1270540322962486E-2</v>
      </c>
      <c r="AA299" s="22">
        <f t="shared" si="12"/>
        <v>-2.5614610161554641E-2</v>
      </c>
    </row>
    <row r="300" spans="1:27" x14ac:dyDescent="0.3">
      <c r="A300" s="4">
        <v>260127</v>
      </c>
      <c r="B300" s="29" t="s">
        <v>479</v>
      </c>
      <c r="C300" s="19" t="s">
        <v>164</v>
      </c>
      <c r="D300" s="19" t="s">
        <v>32</v>
      </c>
      <c r="F300" s="47">
        <v>-259.11303407247158</v>
      </c>
      <c r="G300" s="72">
        <v>146.9</v>
      </c>
      <c r="H300" s="72">
        <v>82.4</v>
      </c>
      <c r="I300" s="72">
        <v>123.3</v>
      </c>
      <c r="J300" s="72">
        <v>-364</v>
      </c>
      <c r="K300" s="72">
        <v>368.7</v>
      </c>
      <c r="L300" s="72">
        <v>-95.9</v>
      </c>
      <c r="M300" s="72">
        <v>69.3</v>
      </c>
      <c r="N300" s="73">
        <v>-1260</v>
      </c>
      <c r="O300" s="72">
        <v>1114</v>
      </c>
      <c r="P300" s="72">
        <v>-37.6</v>
      </c>
      <c r="Q300" s="73">
        <v>38.299999999999997</v>
      </c>
      <c r="R300" s="72">
        <v>-0.4</v>
      </c>
      <c r="S300" s="72">
        <v>-343.5</v>
      </c>
      <c r="T300" s="72">
        <v>-0.4</v>
      </c>
      <c r="U300" s="72">
        <v>91.5</v>
      </c>
      <c r="V300" s="72">
        <v>67.5</v>
      </c>
      <c r="W300" s="100">
        <v>135.6</v>
      </c>
      <c r="X300" s="22">
        <f t="shared" si="9"/>
        <v>-0.10839160839160833</v>
      </c>
      <c r="Y300" s="22">
        <f t="shared" si="10"/>
        <v>-0.17385620915032696</v>
      </c>
      <c r="Z300" s="22">
        <f t="shared" si="11"/>
        <v>-0.26859177215189867</v>
      </c>
      <c r="AA300" s="22">
        <f t="shared" si="12"/>
        <v>-2.5911303407247162</v>
      </c>
    </row>
    <row r="301" spans="1:27" x14ac:dyDescent="0.3">
      <c r="A301" s="4">
        <v>260127</v>
      </c>
      <c r="B301" s="29">
        <v>9697</v>
      </c>
      <c r="C301" s="19" t="s">
        <v>67</v>
      </c>
      <c r="D301" s="19" t="s">
        <v>32</v>
      </c>
      <c r="F301" s="47">
        <v>5.5388990934407856</v>
      </c>
      <c r="G301" s="72">
        <v>6171</v>
      </c>
      <c r="H301" s="72">
        <v>7815</v>
      </c>
      <c r="I301" s="72">
        <v>12061</v>
      </c>
      <c r="J301" s="72">
        <v>9836</v>
      </c>
      <c r="K301" s="73">
        <v>11436</v>
      </c>
      <c r="L301" s="73">
        <v>17481</v>
      </c>
      <c r="M301" s="73">
        <v>24047</v>
      </c>
      <c r="N301" s="72">
        <v>9790</v>
      </c>
      <c r="O301" s="72">
        <v>13868</v>
      </c>
      <c r="P301" s="72">
        <v>9378</v>
      </c>
      <c r="Q301" s="72">
        <v>12890</v>
      </c>
      <c r="R301" s="72">
        <v>7837</v>
      </c>
      <c r="S301" s="72">
        <v>10294</v>
      </c>
      <c r="T301" s="73">
        <v>34757</v>
      </c>
      <c r="U301" s="73">
        <v>24599</v>
      </c>
      <c r="V301" s="72">
        <v>14735</v>
      </c>
      <c r="W301" s="100">
        <v>14968</v>
      </c>
      <c r="X301" s="22">
        <f t="shared" si="9"/>
        <v>0.6282086190252234</v>
      </c>
      <c r="Y301" s="22">
        <f t="shared" si="10"/>
        <v>0.1780078445680926</v>
      </c>
      <c r="Z301" s="22">
        <f t="shared" si="11"/>
        <v>8.9021384232193856E-2</v>
      </c>
      <c r="AA301" s="22">
        <f t="shared" si="12"/>
        <v>5.5388990934407856E-2</v>
      </c>
    </row>
    <row r="302" spans="1:27" x14ac:dyDescent="0.3">
      <c r="A302" s="4">
        <v>260127</v>
      </c>
      <c r="B302" s="29">
        <v>8218</v>
      </c>
      <c r="C302" s="19" t="s">
        <v>67</v>
      </c>
      <c r="D302" s="19" t="s">
        <v>32</v>
      </c>
      <c r="F302" s="47">
        <v>-1.524068868587491</v>
      </c>
      <c r="G302" s="72">
        <v>7379</v>
      </c>
      <c r="H302" s="72">
        <v>2702</v>
      </c>
      <c r="I302" s="72">
        <v>10596</v>
      </c>
      <c r="J302" s="72">
        <v>6481</v>
      </c>
      <c r="K302" s="72">
        <v>7139</v>
      </c>
      <c r="L302" s="72">
        <v>1837</v>
      </c>
      <c r="M302" s="72">
        <v>8440</v>
      </c>
      <c r="N302" s="72">
        <v>5388</v>
      </c>
      <c r="O302" s="72">
        <v>6278</v>
      </c>
      <c r="P302" s="72">
        <v>1976</v>
      </c>
      <c r="Q302" s="72">
        <v>9463</v>
      </c>
      <c r="R302" s="72">
        <v>4632</v>
      </c>
      <c r="S302" s="72">
        <v>5719</v>
      </c>
      <c r="T302" s="72">
        <v>1777</v>
      </c>
      <c r="U302" s="72">
        <v>10007</v>
      </c>
      <c r="V302" s="72">
        <v>5265</v>
      </c>
      <c r="W302" s="100">
        <v>5372</v>
      </c>
      <c r="X302" s="22">
        <f t="shared" si="9"/>
        <v>-9.1326296466268664E-3</v>
      </c>
      <c r="Y302" s="22">
        <f t="shared" si="10"/>
        <v>2.5195683386596279E-2</v>
      </c>
      <c r="Z302" s="22">
        <f t="shared" si="11"/>
        <v>2.8597244183419912E-2</v>
      </c>
      <c r="AA302" s="22">
        <f t="shared" si="12"/>
        <v>-1.5240688685874915E-2</v>
      </c>
    </row>
    <row r="303" spans="1:27" x14ac:dyDescent="0.3">
      <c r="A303" s="4">
        <v>260127</v>
      </c>
      <c r="B303" s="29">
        <v>4063</v>
      </c>
      <c r="C303" s="19" t="s">
        <v>67</v>
      </c>
      <c r="D303" s="19" t="s">
        <v>32</v>
      </c>
      <c r="F303" s="47">
        <v>-2.1847220129576632</v>
      </c>
      <c r="G303" s="72">
        <v>181709</v>
      </c>
      <c r="H303" s="72">
        <v>192570</v>
      </c>
      <c r="I303" s="72">
        <v>248936</v>
      </c>
      <c r="J303" s="72">
        <v>286205</v>
      </c>
      <c r="K303" s="73">
        <v>273087</v>
      </c>
      <c r="L303" s="72">
        <v>189974</v>
      </c>
      <c r="M303" s="72">
        <v>190822</v>
      </c>
      <c r="N303" s="72">
        <v>191097</v>
      </c>
      <c r="O303" s="72">
        <v>177609</v>
      </c>
      <c r="P303" s="72">
        <v>141510</v>
      </c>
      <c r="Q303" s="72">
        <v>191023</v>
      </c>
      <c r="R303" s="72">
        <v>214682</v>
      </c>
      <c r="S303" s="72">
        <v>178735</v>
      </c>
      <c r="T303" s="72">
        <v>157666</v>
      </c>
      <c r="U303" s="72">
        <v>166805</v>
      </c>
      <c r="V303" s="72">
        <v>167131</v>
      </c>
      <c r="W303" s="100">
        <v>164090</v>
      </c>
      <c r="X303" s="22">
        <f t="shared" si="9"/>
        <v>2.2254976238032853E-2</v>
      </c>
      <c r="Y303" s="22">
        <f t="shared" si="10"/>
        <v>-3.263415199445896E-2</v>
      </c>
      <c r="Z303" s="22">
        <f t="shared" si="11"/>
        <v>-6.6237351787465482E-2</v>
      </c>
      <c r="AA303" s="22">
        <f t="shared" si="12"/>
        <v>-2.1847220129576628E-2</v>
      </c>
    </row>
    <row r="304" spans="1:27" x14ac:dyDescent="0.3">
      <c r="A304" s="4">
        <v>260127</v>
      </c>
      <c r="B304" s="29" t="s">
        <v>482</v>
      </c>
      <c r="C304" s="19" t="s">
        <v>31</v>
      </c>
      <c r="D304" s="19" t="s">
        <v>32</v>
      </c>
      <c r="F304" s="47">
        <v>9.7603296822470487</v>
      </c>
      <c r="G304" s="72">
        <v>3919</v>
      </c>
      <c r="H304" s="72">
        <v>3504</v>
      </c>
      <c r="I304" s="72">
        <v>3844</v>
      </c>
      <c r="J304" s="72">
        <v>3607</v>
      </c>
      <c r="K304" s="72">
        <v>3785</v>
      </c>
      <c r="L304" s="72">
        <v>4228</v>
      </c>
      <c r="M304" s="72">
        <v>4631</v>
      </c>
      <c r="N304" s="72">
        <v>4432</v>
      </c>
      <c r="O304" s="72">
        <v>4869</v>
      </c>
      <c r="P304" s="72">
        <v>5047</v>
      </c>
      <c r="Q304" s="72">
        <v>5194</v>
      </c>
      <c r="R304" s="72">
        <v>4770</v>
      </c>
      <c r="S304" s="72">
        <v>4144</v>
      </c>
      <c r="T304" s="72">
        <v>4533</v>
      </c>
      <c r="U304" s="72">
        <v>4580</v>
      </c>
      <c r="V304" s="72">
        <v>5185</v>
      </c>
      <c r="W304" s="100">
        <v>5944</v>
      </c>
      <c r="X304" s="22">
        <f t="shared" si="9"/>
        <v>-2.6833724876011433E-2</v>
      </c>
      <c r="Y304" s="22">
        <f t="shared" si="10"/>
        <v>-3.2938147095112891E-2</v>
      </c>
      <c r="Z304" s="22">
        <f t="shared" si="11"/>
        <v>2.3021024019526326E-2</v>
      </c>
      <c r="AA304" s="22">
        <f t="shared" si="12"/>
        <v>9.7603296822470487E-2</v>
      </c>
    </row>
    <row r="305" spans="1:27" x14ac:dyDescent="0.3">
      <c r="A305" s="4">
        <v>260127</v>
      </c>
      <c r="B305" s="29" t="s">
        <v>481</v>
      </c>
      <c r="C305" s="19" t="s">
        <v>31</v>
      </c>
      <c r="D305" s="19" t="s">
        <v>32</v>
      </c>
      <c r="F305" s="47">
        <v>9.3883911180366209</v>
      </c>
      <c r="G305" s="72">
        <v>1835</v>
      </c>
      <c r="H305" s="72">
        <v>1281</v>
      </c>
      <c r="I305" s="72">
        <v>1680</v>
      </c>
      <c r="J305" s="72">
        <v>2350</v>
      </c>
      <c r="K305" s="72">
        <v>2510</v>
      </c>
      <c r="L305" s="73">
        <v>2449</v>
      </c>
      <c r="M305" s="72">
        <v>2411</v>
      </c>
      <c r="N305" s="72">
        <v>2858</v>
      </c>
      <c r="O305" s="72">
        <v>2370</v>
      </c>
      <c r="P305" s="72">
        <v>2614</v>
      </c>
      <c r="Q305" s="72">
        <v>3031</v>
      </c>
      <c r="R305" s="72">
        <v>2671</v>
      </c>
      <c r="S305" s="72">
        <v>3026</v>
      </c>
      <c r="T305" s="72">
        <v>3185</v>
      </c>
      <c r="U305" s="72">
        <v>3377</v>
      </c>
      <c r="V305" s="72">
        <v>3247</v>
      </c>
      <c r="W305" s="100">
        <v>4231</v>
      </c>
      <c r="X305" s="22">
        <f t="shared" si="9"/>
        <v>5.0343854699347546E-2</v>
      </c>
      <c r="Y305" s="22">
        <f t="shared" si="10"/>
        <v>2.9043901620078971E-2</v>
      </c>
      <c r="Z305" s="22">
        <f t="shared" si="11"/>
        <v>4.6985887919079872E-2</v>
      </c>
      <c r="AA305" s="22">
        <f t="shared" si="12"/>
        <v>9.3883911180366209E-2</v>
      </c>
    </row>
    <row r="306" spans="1:27" x14ac:dyDescent="0.3">
      <c r="A306" s="4">
        <v>260127</v>
      </c>
      <c r="B306" s="29" t="s">
        <v>483</v>
      </c>
      <c r="C306" s="19" t="s">
        <v>31</v>
      </c>
      <c r="D306" s="19" t="s">
        <v>32</v>
      </c>
      <c r="F306" s="47">
        <v>1.720613625989809</v>
      </c>
      <c r="G306" s="72">
        <v>13344</v>
      </c>
      <c r="H306" s="72">
        <v>12382</v>
      </c>
      <c r="I306" s="72">
        <v>13479</v>
      </c>
      <c r="J306" s="72">
        <v>10120</v>
      </c>
      <c r="K306" s="72">
        <v>13974</v>
      </c>
      <c r="L306" s="72">
        <v>17058</v>
      </c>
      <c r="M306" s="73">
        <v>19230</v>
      </c>
      <c r="N306" s="72">
        <v>15075</v>
      </c>
      <c r="O306" s="72">
        <v>18357</v>
      </c>
      <c r="P306" s="72">
        <v>14761</v>
      </c>
      <c r="Q306" s="72">
        <v>14661</v>
      </c>
      <c r="R306" s="72">
        <v>9975</v>
      </c>
      <c r="S306" s="72">
        <v>13812</v>
      </c>
      <c r="T306" s="72">
        <v>11351</v>
      </c>
      <c r="U306" s="72">
        <v>13241</v>
      </c>
      <c r="V306" s="72">
        <v>11985</v>
      </c>
      <c r="W306" s="100">
        <v>14679</v>
      </c>
      <c r="X306" s="22">
        <f t="shared" si="9"/>
        <v>-6.4086902591666828E-2</v>
      </c>
      <c r="Y306" s="22">
        <f t="shared" si="10"/>
        <v>-2.8514628807807418E-2</v>
      </c>
      <c r="Z306" s="22">
        <f t="shared" si="11"/>
        <v>4.154695218999982E-2</v>
      </c>
      <c r="AA306" s="22">
        <f t="shared" si="12"/>
        <v>1.7206136259898086E-2</v>
      </c>
    </row>
    <row r="307" spans="1:27" x14ac:dyDescent="0.3">
      <c r="A307" s="83">
        <v>260126</v>
      </c>
      <c r="B307" s="84" t="s">
        <v>494</v>
      </c>
      <c r="C307" s="85" t="s">
        <v>636</v>
      </c>
      <c r="D307" s="83" t="s">
        <v>182</v>
      </c>
      <c r="F307" s="89">
        <v>99.28400954653938</v>
      </c>
      <c r="G307" s="77">
        <v>-27</v>
      </c>
      <c r="H307" s="77">
        <v>-651</v>
      </c>
      <c r="I307" s="77">
        <v>-434</v>
      </c>
      <c r="J307" s="77">
        <v>-666</v>
      </c>
      <c r="K307" s="77">
        <v>561</v>
      </c>
      <c r="L307" s="90">
        <v>-151</v>
      </c>
      <c r="M307" s="90">
        <v>286</v>
      </c>
      <c r="N307" s="91">
        <v>-392</v>
      </c>
      <c r="O307" s="90">
        <v>412</v>
      </c>
      <c r="P307" s="91">
        <v>443</v>
      </c>
      <c r="Q307" s="90">
        <v>-48</v>
      </c>
      <c r="R307" s="91">
        <v>346</v>
      </c>
      <c r="S307" s="90">
        <v>122</v>
      </c>
      <c r="T307" s="90">
        <v>50</v>
      </c>
      <c r="U307" s="90">
        <v>-140</v>
      </c>
      <c r="V307" s="91">
        <v>806</v>
      </c>
      <c r="W307" s="101">
        <v>954</v>
      </c>
      <c r="X307" s="22">
        <f t="shared" si="9"/>
        <v>-0.45538818076477405</v>
      </c>
      <c r="Y307" s="22">
        <f t="shared" si="10"/>
        <v>-0.19574468085106378</v>
      </c>
      <c r="Z307" s="22">
        <f t="shared" si="11"/>
        <v>1.2169312169312168</v>
      </c>
      <c r="AA307" s="22">
        <f t="shared" si="12"/>
        <v>0.99284009546539376</v>
      </c>
    </row>
    <row r="308" spans="1:27" x14ac:dyDescent="0.3">
      <c r="A308" s="4">
        <v>260126</v>
      </c>
      <c r="B308" s="32" t="s">
        <v>489</v>
      </c>
      <c r="C308" s="82" t="s">
        <v>636</v>
      </c>
      <c r="D308" s="4" t="s">
        <v>182</v>
      </c>
      <c r="F308" s="76">
        <v>72.660858271551504</v>
      </c>
      <c r="G308" s="77">
        <v>14.06</v>
      </c>
      <c r="H308" s="77">
        <v>117.21</v>
      </c>
      <c r="I308" s="77">
        <v>29.34</v>
      </c>
      <c r="J308" s="77">
        <v>-46.67</v>
      </c>
      <c r="K308" s="78">
        <v>43.29</v>
      </c>
      <c r="L308" s="77">
        <v>-41.72</v>
      </c>
      <c r="M308" s="77">
        <v>54.34</v>
      </c>
      <c r="N308" s="78">
        <v>-43.05</v>
      </c>
      <c r="O308" s="77">
        <v>24.31</v>
      </c>
      <c r="P308" s="77">
        <v>40.119999999999997</v>
      </c>
      <c r="Q308" s="77">
        <v>-8.3000000000000007</v>
      </c>
      <c r="R308" s="78">
        <v>31</v>
      </c>
      <c r="S308" s="78">
        <v>51.09</v>
      </c>
      <c r="T308" s="77">
        <v>-3.08</v>
      </c>
      <c r="U308" s="77">
        <v>-13.61</v>
      </c>
      <c r="V308" s="78">
        <v>150.38999999999999</v>
      </c>
      <c r="W308" s="102">
        <v>185.36</v>
      </c>
      <c r="X308" s="22">
        <f t="shared" si="9"/>
        <v>-0.3792467737687647</v>
      </c>
      <c r="Y308" s="22">
        <f t="shared" si="10"/>
        <v>-7.5095460330929176E-2</v>
      </c>
      <c r="Z308" s="22">
        <f t="shared" si="11"/>
        <v>1.8255351681957181</v>
      </c>
      <c r="AA308" s="22">
        <f t="shared" si="12"/>
        <v>0.72660858271551509</v>
      </c>
    </row>
    <row r="309" spans="1:27" x14ac:dyDescent="0.3">
      <c r="A309" s="4">
        <v>260126</v>
      </c>
      <c r="B309" s="32" t="s">
        <v>490</v>
      </c>
      <c r="C309" s="82" t="s">
        <v>636</v>
      </c>
      <c r="D309" s="4" t="s">
        <v>115</v>
      </c>
      <c r="F309" s="76">
        <v>16.97318007662836</v>
      </c>
      <c r="G309" s="77">
        <v>1.62</v>
      </c>
      <c r="H309" s="77">
        <v>2.64</v>
      </c>
      <c r="I309" s="77">
        <v>3.25</v>
      </c>
      <c r="J309" s="77">
        <v>2.99</v>
      </c>
      <c r="K309" s="78">
        <v>3.68</v>
      </c>
      <c r="L309" s="77">
        <v>3.51</v>
      </c>
      <c r="M309" s="77">
        <v>1.72</v>
      </c>
      <c r="N309" s="77">
        <v>3.56</v>
      </c>
      <c r="O309" s="78">
        <v>7.75</v>
      </c>
      <c r="P309" s="77">
        <v>3.51</v>
      </c>
      <c r="Q309" s="78">
        <v>6.01</v>
      </c>
      <c r="R309" s="77">
        <v>4.2300000000000004</v>
      </c>
      <c r="S309" s="77">
        <v>7.24</v>
      </c>
      <c r="T309" s="78">
        <v>5.76</v>
      </c>
      <c r="U309" s="77">
        <v>4.54</v>
      </c>
      <c r="V309" s="78">
        <v>8.56</v>
      </c>
      <c r="W309" s="102">
        <v>11.67</v>
      </c>
      <c r="X309" s="22">
        <f t="shared" si="9"/>
        <v>0.10719390185802768</v>
      </c>
      <c r="Y309" s="22">
        <f t="shared" si="10"/>
        <v>-6.3253012048192891E-2</v>
      </c>
      <c r="Z309" s="22">
        <f t="shared" si="11"/>
        <v>0.19889756545705106</v>
      </c>
      <c r="AA309" s="22">
        <f t="shared" si="12"/>
        <v>0.16973180076628358</v>
      </c>
    </row>
    <row r="310" spans="1:27" x14ac:dyDescent="0.3">
      <c r="A310" s="4">
        <v>260126</v>
      </c>
      <c r="B310" s="32" t="s">
        <v>499</v>
      </c>
      <c r="C310" s="82" t="s">
        <v>636</v>
      </c>
      <c r="D310" s="4" t="s">
        <v>29</v>
      </c>
      <c r="F310" s="76">
        <v>11.059771089444689</v>
      </c>
      <c r="G310" s="77">
        <v>76.98</v>
      </c>
      <c r="H310" s="77">
        <v>70.44</v>
      </c>
      <c r="I310" s="77">
        <v>74.62</v>
      </c>
      <c r="J310" s="77">
        <v>66.569999999999993</v>
      </c>
      <c r="K310" s="77">
        <v>79.010000000000005</v>
      </c>
      <c r="L310" s="77">
        <v>62.77</v>
      </c>
      <c r="M310" s="77">
        <v>61.07</v>
      </c>
      <c r="N310" s="77">
        <v>63.67</v>
      </c>
      <c r="O310" s="77">
        <v>39.61</v>
      </c>
      <c r="P310" s="77">
        <v>48.36</v>
      </c>
      <c r="Q310" s="77">
        <v>45.31</v>
      </c>
      <c r="R310" s="77">
        <v>52.64</v>
      </c>
      <c r="S310" s="77">
        <v>51.54</v>
      </c>
      <c r="T310" s="77">
        <v>56.16</v>
      </c>
      <c r="U310" s="77">
        <v>60.45</v>
      </c>
      <c r="V310" s="77">
        <v>67.75</v>
      </c>
      <c r="W310" s="102">
        <v>77.63</v>
      </c>
      <c r="X310" s="22">
        <f t="shared" si="9"/>
        <v>3.9423805913570975E-2</v>
      </c>
      <c r="Y310" s="22">
        <f t="shared" si="10"/>
        <v>7.3620228543642252E-2</v>
      </c>
      <c r="Z310" s="22">
        <f t="shared" si="11"/>
        <v>6.8436070474205968E-2</v>
      </c>
      <c r="AA310" s="22">
        <f t="shared" si="12"/>
        <v>0.11059771089444692</v>
      </c>
    </row>
    <row r="311" spans="1:27" x14ac:dyDescent="0.3">
      <c r="A311" s="4">
        <v>260126</v>
      </c>
      <c r="B311" s="32" t="s">
        <v>492</v>
      </c>
      <c r="C311" s="82" t="s">
        <v>636</v>
      </c>
      <c r="D311" s="4" t="s">
        <v>65</v>
      </c>
      <c r="F311" s="74">
        <v>6.9812180428289414</v>
      </c>
      <c r="G311" s="77">
        <v>75.05</v>
      </c>
      <c r="H311" s="77">
        <v>79.209999999999994</v>
      </c>
      <c r="I311" s="77">
        <v>95.61</v>
      </c>
      <c r="J311" s="77">
        <v>104.44</v>
      </c>
      <c r="K311" s="78">
        <v>129.06</v>
      </c>
      <c r="L311" s="78">
        <v>121.41</v>
      </c>
      <c r="M311" s="77">
        <v>107.66</v>
      </c>
      <c r="N311" s="77">
        <v>103.59</v>
      </c>
      <c r="O311" s="77">
        <v>89.77</v>
      </c>
      <c r="P311" s="77">
        <v>79.239999999999995</v>
      </c>
      <c r="Q311" s="77">
        <v>84.16</v>
      </c>
      <c r="R311" s="77">
        <v>92.56</v>
      </c>
      <c r="S311" s="77">
        <v>90.05</v>
      </c>
      <c r="T311" s="77">
        <v>92.61</v>
      </c>
      <c r="U311" s="77">
        <v>103.43</v>
      </c>
      <c r="V311" s="77">
        <v>108.97</v>
      </c>
      <c r="W311" s="103">
        <v>117.63</v>
      </c>
      <c r="X311" s="22">
        <f t="shared" si="9"/>
        <v>3.8640501719603426E-2</v>
      </c>
      <c r="Y311" s="22">
        <f t="shared" si="10"/>
        <v>5.3620123546107346E-2</v>
      </c>
      <c r="Z311" s="22">
        <f t="shared" si="11"/>
        <v>4.3338175095734899E-2</v>
      </c>
      <c r="AA311" s="22">
        <f t="shared" si="12"/>
        <v>6.9812180428289183E-2</v>
      </c>
    </row>
    <row r="312" spans="1:27" x14ac:dyDescent="0.3">
      <c r="A312" s="4">
        <v>260126</v>
      </c>
      <c r="B312" s="32" t="s">
        <v>488</v>
      </c>
      <c r="C312" s="82" t="s">
        <v>636</v>
      </c>
      <c r="D312" s="4" t="s">
        <v>29</v>
      </c>
      <c r="F312" s="74">
        <v>6.0104676684112679</v>
      </c>
      <c r="G312" s="77">
        <v>29.79</v>
      </c>
      <c r="H312" s="77">
        <v>28.18</v>
      </c>
      <c r="I312" s="77">
        <v>31.26</v>
      </c>
      <c r="J312" s="77">
        <v>34.76</v>
      </c>
      <c r="K312" s="77">
        <v>30.96</v>
      </c>
      <c r="L312" s="77">
        <v>28.05</v>
      </c>
      <c r="M312" s="77">
        <v>16.489999999999998</v>
      </c>
      <c r="N312" s="77">
        <v>29.73</v>
      </c>
      <c r="O312" s="77">
        <v>36.06</v>
      </c>
      <c r="P312" s="77">
        <v>27.8</v>
      </c>
      <c r="Q312" s="77">
        <v>26.92</v>
      </c>
      <c r="R312" s="77">
        <v>27.74</v>
      </c>
      <c r="S312" s="77">
        <v>29.23</v>
      </c>
      <c r="T312" s="77">
        <v>24.24</v>
      </c>
      <c r="U312" s="77">
        <v>32.93</v>
      </c>
      <c r="V312" s="77">
        <v>32.06</v>
      </c>
      <c r="W312" s="103">
        <v>36.35</v>
      </c>
      <c r="X312" s="22">
        <f t="shared" ref="X312:X375" si="13">SUM(Q312:T312)/SUM(P312:S312)-1</f>
        <v>-3.1873936789327595E-2</v>
      </c>
      <c r="Y312" s="22">
        <f t="shared" ref="Y312:Y375" si="14">SUM(R312:U312)/SUM(Q312:T312)-1</f>
        <v>5.5581244797928253E-2</v>
      </c>
      <c r="Z312" s="22">
        <f t="shared" ref="Z312:Z375" si="15">SUM(S312:V312)/SUM(R312:U312)-1</f>
        <v>3.7848256527072133E-2</v>
      </c>
      <c r="AA312" s="22">
        <f t="shared" ref="AA312:AA375" si="16">SUM(T312:W312)/SUM(S312:V312)-1</f>
        <v>6.0104676684112901E-2</v>
      </c>
    </row>
    <row r="313" spans="1:27" x14ac:dyDescent="0.3">
      <c r="A313" s="4">
        <v>260126</v>
      </c>
      <c r="B313" s="32" t="s">
        <v>484</v>
      </c>
      <c r="C313" s="82" t="s">
        <v>636</v>
      </c>
      <c r="D313" s="4" t="s">
        <v>485</v>
      </c>
      <c r="F313" s="74">
        <v>5.6013598309742729</v>
      </c>
      <c r="G313" s="77">
        <v>3021</v>
      </c>
      <c r="H313" s="77">
        <v>2934</v>
      </c>
      <c r="I313" s="77">
        <v>3541</v>
      </c>
      <c r="J313" s="77">
        <v>2357</v>
      </c>
      <c r="K313" s="77">
        <v>1579</v>
      </c>
      <c r="L313" s="77">
        <v>1608</v>
      </c>
      <c r="M313" s="77">
        <v>2048</v>
      </c>
      <c r="N313" s="77">
        <v>1535</v>
      </c>
      <c r="O313" s="77">
        <v>1038</v>
      </c>
      <c r="P313" s="77">
        <v>1178</v>
      </c>
      <c r="Q313" s="77">
        <v>900</v>
      </c>
      <c r="R313" s="77">
        <v>514</v>
      </c>
      <c r="S313" s="77">
        <v>386.96</v>
      </c>
      <c r="T313" s="77">
        <v>324</v>
      </c>
      <c r="U313" s="77">
        <v>919</v>
      </c>
      <c r="V313" s="78">
        <v>888</v>
      </c>
      <c r="W313" s="103">
        <v>528</v>
      </c>
      <c r="X313" s="22">
        <f t="shared" si="13"/>
        <v>-0.28667722963718878</v>
      </c>
      <c r="Y313" s="22">
        <f t="shared" si="14"/>
        <v>8.9413447782547006E-3</v>
      </c>
      <c r="Z313" s="22">
        <f t="shared" si="15"/>
        <v>0.17444355305136283</v>
      </c>
      <c r="AA313" s="22">
        <f t="shared" si="16"/>
        <v>5.6013598309742729E-2</v>
      </c>
    </row>
    <row r="314" spans="1:27" x14ac:dyDescent="0.3">
      <c r="A314" s="4">
        <v>260126</v>
      </c>
      <c r="B314" s="32" t="s">
        <v>497</v>
      </c>
      <c r="C314" s="82" t="s">
        <v>636</v>
      </c>
      <c r="D314" s="4" t="s">
        <v>485</v>
      </c>
      <c r="F314" s="74">
        <v>5.1829311745506867</v>
      </c>
      <c r="G314" s="77">
        <v>1429</v>
      </c>
      <c r="H314" s="77">
        <v>1495</v>
      </c>
      <c r="I314" s="77">
        <v>1618</v>
      </c>
      <c r="J314" s="77">
        <v>1220</v>
      </c>
      <c r="K314" s="77">
        <v>759.05</v>
      </c>
      <c r="L314" s="77">
        <v>835.36</v>
      </c>
      <c r="M314" s="77">
        <v>1064</v>
      </c>
      <c r="N314" s="77">
        <v>733.55</v>
      </c>
      <c r="O314" s="77">
        <v>518.54</v>
      </c>
      <c r="P314" s="77">
        <v>750.98</v>
      </c>
      <c r="Q314" s="77">
        <v>559.12</v>
      </c>
      <c r="R314" s="77">
        <v>395.44</v>
      </c>
      <c r="S314" s="77">
        <v>237.5</v>
      </c>
      <c r="T314" s="77">
        <v>275.14</v>
      </c>
      <c r="U314" s="77">
        <v>382.86</v>
      </c>
      <c r="V314" s="77">
        <v>507.76</v>
      </c>
      <c r="W314" s="103">
        <v>310.23</v>
      </c>
      <c r="X314" s="22">
        <f t="shared" si="13"/>
        <v>-0.24489459815546777</v>
      </c>
      <c r="Y314" s="22">
        <f t="shared" si="14"/>
        <v>-0.12013358778625938</v>
      </c>
      <c r="Z314" s="22">
        <f t="shared" si="15"/>
        <v>8.7006367453173583E-2</v>
      </c>
      <c r="AA314" s="22">
        <f t="shared" si="16"/>
        <v>5.1829311745506867E-2</v>
      </c>
    </row>
    <row r="315" spans="1:27" x14ac:dyDescent="0.3">
      <c r="A315" s="4">
        <v>260126</v>
      </c>
      <c r="B315" s="32" t="s">
        <v>487</v>
      </c>
      <c r="C315" s="82" t="s">
        <v>636</v>
      </c>
      <c r="D315" s="4" t="s">
        <v>29</v>
      </c>
      <c r="F315" s="74">
        <v>5.0994431185362066</v>
      </c>
      <c r="G315" s="77">
        <v>14.09</v>
      </c>
      <c r="H315" s="77">
        <v>16.43</v>
      </c>
      <c r="I315" s="77">
        <v>15.25</v>
      </c>
      <c r="J315" s="77">
        <v>15.79</v>
      </c>
      <c r="K315" s="77">
        <v>11.82</v>
      </c>
      <c r="L315" s="77">
        <v>16.02</v>
      </c>
      <c r="M315" s="77">
        <v>18.920000000000002</v>
      </c>
      <c r="N315" s="77">
        <v>18.45</v>
      </c>
      <c r="O315" s="78">
        <v>22.32</v>
      </c>
      <c r="P315" s="77">
        <v>22.36</v>
      </c>
      <c r="Q315" s="77">
        <v>21.03</v>
      </c>
      <c r="R315" s="77">
        <v>22.4</v>
      </c>
      <c r="S315" s="77">
        <v>25.01</v>
      </c>
      <c r="T315" s="78">
        <v>33.43</v>
      </c>
      <c r="U315" s="77">
        <v>29.52</v>
      </c>
      <c r="V315" s="78">
        <v>37.74</v>
      </c>
      <c r="W315" s="103">
        <v>31.42</v>
      </c>
      <c r="X315" s="22">
        <f t="shared" si="13"/>
        <v>0.12191629955947136</v>
      </c>
      <c r="Y315" s="22">
        <f t="shared" si="14"/>
        <v>8.3341513693923508E-2</v>
      </c>
      <c r="Z315" s="22">
        <f t="shared" si="15"/>
        <v>0.1389996375498368</v>
      </c>
      <c r="AA315" s="22">
        <f t="shared" si="16"/>
        <v>5.0994431185362066E-2</v>
      </c>
    </row>
    <row r="316" spans="1:27" x14ac:dyDescent="0.3">
      <c r="A316" s="4">
        <v>260126</v>
      </c>
      <c r="B316" s="32" t="s">
        <v>495</v>
      </c>
      <c r="C316" s="82" t="s">
        <v>636</v>
      </c>
      <c r="D316" s="4" t="s">
        <v>153</v>
      </c>
      <c r="F316" s="74">
        <v>4.967046546752707</v>
      </c>
      <c r="G316" s="77">
        <v>134.03</v>
      </c>
      <c r="H316" s="77">
        <v>119.35</v>
      </c>
      <c r="I316" s="77">
        <v>149.08000000000001</v>
      </c>
      <c r="J316" s="77">
        <v>144.15</v>
      </c>
      <c r="K316" s="77">
        <v>149.52000000000001</v>
      </c>
      <c r="L316" s="77">
        <v>156.13</v>
      </c>
      <c r="M316" s="77">
        <v>156.52000000000001</v>
      </c>
      <c r="N316" s="77">
        <v>161.94</v>
      </c>
      <c r="O316" s="77">
        <v>127.46</v>
      </c>
      <c r="P316" s="77">
        <v>131.80000000000001</v>
      </c>
      <c r="Q316" s="77">
        <v>160.84</v>
      </c>
      <c r="R316" s="77">
        <v>144.82</v>
      </c>
      <c r="S316" s="77">
        <v>129.63999999999999</v>
      </c>
      <c r="T316" s="77">
        <v>144.41</v>
      </c>
      <c r="U316" s="77">
        <v>157.38999999999999</v>
      </c>
      <c r="V316" s="77">
        <v>151.19999999999999</v>
      </c>
      <c r="W316" s="103">
        <v>158.58000000000001</v>
      </c>
      <c r="X316" s="22">
        <f t="shared" si="13"/>
        <v>2.2235937224475366E-2</v>
      </c>
      <c r="Y316" s="22">
        <f t="shared" si="14"/>
        <v>-5.9512514878127254E-3</v>
      </c>
      <c r="Z316" s="22">
        <f t="shared" si="15"/>
        <v>1.1071391385832685E-2</v>
      </c>
      <c r="AA316" s="22">
        <f t="shared" si="16"/>
        <v>4.9670465467527292E-2</v>
      </c>
    </row>
    <row r="317" spans="1:27" x14ac:dyDescent="0.3">
      <c r="A317" s="4">
        <v>260126</v>
      </c>
      <c r="B317" s="32" t="s">
        <v>493</v>
      </c>
      <c r="C317" s="82" t="s">
        <v>636</v>
      </c>
      <c r="D317" s="4" t="s">
        <v>153</v>
      </c>
      <c r="F317" s="74">
        <v>3.8786673296867362</v>
      </c>
      <c r="G317" s="77">
        <v>58.1</v>
      </c>
      <c r="H317" s="77">
        <v>66.900000000000006</v>
      </c>
      <c r="I317" s="77">
        <v>47.7</v>
      </c>
      <c r="J317" s="77">
        <v>50.8</v>
      </c>
      <c r="K317" s="77">
        <v>20.9</v>
      </c>
      <c r="L317" s="77">
        <v>76</v>
      </c>
      <c r="M317" s="77">
        <v>61.6</v>
      </c>
      <c r="N317" s="78">
        <v>74.900000000000006</v>
      </c>
      <c r="O317" s="78">
        <v>65.099999999999994</v>
      </c>
      <c r="P317" s="77">
        <v>81.3</v>
      </c>
      <c r="Q317" s="77">
        <v>89.3</v>
      </c>
      <c r="R317" s="77">
        <v>99.5</v>
      </c>
      <c r="S317" s="77">
        <v>86.2</v>
      </c>
      <c r="T317" s="77">
        <v>97.1</v>
      </c>
      <c r="U317" s="77">
        <v>101.7</v>
      </c>
      <c r="V317" s="77">
        <v>117.2</v>
      </c>
      <c r="W317" s="103">
        <v>101.8</v>
      </c>
      <c r="X317" s="22">
        <f t="shared" si="13"/>
        <v>4.4344653381981569E-2</v>
      </c>
      <c r="Y317" s="22">
        <f t="shared" si="14"/>
        <v>3.3324375167965492E-2</v>
      </c>
      <c r="Z317" s="22">
        <f t="shared" si="15"/>
        <v>4.6033810143043086E-2</v>
      </c>
      <c r="AA317" s="22">
        <f t="shared" si="16"/>
        <v>3.8786673296867358E-2</v>
      </c>
    </row>
    <row r="318" spans="1:27" x14ac:dyDescent="0.3">
      <c r="A318" s="4">
        <v>260126</v>
      </c>
      <c r="B318" s="32" t="s">
        <v>491</v>
      </c>
      <c r="C318" s="82" t="s">
        <v>636</v>
      </c>
      <c r="D318" s="4" t="s">
        <v>29</v>
      </c>
      <c r="F318" s="74">
        <v>3.5025698202485471</v>
      </c>
      <c r="G318" s="77">
        <v>71.89</v>
      </c>
      <c r="H318" s="77">
        <v>5.7</v>
      </c>
      <c r="I318" s="77">
        <v>83.33</v>
      </c>
      <c r="J318" s="77">
        <v>99.11</v>
      </c>
      <c r="K318" s="78">
        <v>112.47</v>
      </c>
      <c r="L318" s="78">
        <v>83.6</v>
      </c>
      <c r="M318" s="77">
        <v>91.63</v>
      </c>
      <c r="N318" s="77">
        <v>97.17</v>
      </c>
      <c r="O318" s="77">
        <v>92.87</v>
      </c>
      <c r="P318" s="77">
        <v>86.93</v>
      </c>
      <c r="Q318" s="77">
        <v>90.47</v>
      </c>
      <c r="R318" s="77">
        <v>85.52</v>
      </c>
      <c r="S318" s="77">
        <v>84.35</v>
      </c>
      <c r="T318" s="77">
        <v>86.97</v>
      </c>
      <c r="U318" s="77">
        <v>95.54</v>
      </c>
      <c r="V318" s="77">
        <v>100.87</v>
      </c>
      <c r="W318" s="103">
        <v>97.23</v>
      </c>
      <c r="X318" s="22">
        <f t="shared" si="13"/>
        <v>1.1518415066102961E-4</v>
      </c>
      <c r="Y318" s="22">
        <f t="shared" si="14"/>
        <v>1.4597909648440766E-2</v>
      </c>
      <c r="Z318" s="22">
        <f t="shared" si="15"/>
        <v>4.3560928543050048E-2</v>
      </c>
      <c r="AA318" s="22">
        <f t="shared" si="16"/>
        <v>3.5025698202485467E-2</v>
      </c>
    </row>
    <row r="319" spans="1:27" x14ac:dyDescent="0.3">
      <c r="A319" s="4">
        <v>260126</v>
      </c>
      <c r="B319" s="32" t="s">
        <v>496</v>
      </c>
      <c r="C319" s="82" t="s">
        <v>636</v>
      </c>
      <c r="D319" s="4" t="s">
        <v>50</v>
      </c>
      <c r="F319" s="74">
        <v>-0.64473827996940347</v>
      </c>
      <c r="G319" s="77">
        <v>123.32</v>
      </c>
      <c r="H319" s="77">
        <v>152.37</v>
      </c>
      <c r="I319" s="77">
        <v>162.22</v>
      </c>
      <c r="J319" s="77">
        <v>153.82</v>
      </c>
      <c r="K319" s="77">
        <v>158.63</v>
      </c>
      <c r="L319" s="77">
        <v>180.56</v>
      </c>
      <c r="M319" s="77">
        <v>182.81</v>
      </c>
      <c r="N319" s="77">
        <v>180.99</v>
      </c>
      <c r="O319" s="77">
        <v>190.32</v>
      </c>
      <c r="P319" s="77">
        <v>216.34</v>
      </c>
      <c r="Q319" s="77">
        <v>214.26</v>
      </c>
      <c r="R319" s="77">
        <v>220.54</v>
      </c>
      <c r="S319" s="77">
        <v>185.25</v>
      </c>
      <c r="T319" s="77">
        <v>158.52000000000001</v>
      </c>
      <c r="U319" s="77">
        <v>153.34</v>
      </c>
      <c r="V319" s="77">
        <v>143.46</v>
      </c>
      <c r="W319" s="103">
        <v>181.12</v>
      </c>
      <c r="X319" s="22">
        <f t="shared" si="13"/>
        <v>-6.9130429584284947E-2</v>
      </c>
      <c r="Y319" s="22">
        <f t="shared" si="14"/>
        <v>-7.8246015130302937E-2</v>
      </c>
      <c r="Z319" s="22">
        <f t="shared" si="15"/>
        <v>-0.10740611718804416</v>
      </c>
      <c r="AA319" s="22">
        <f t="shared" si="16"/>
        <v>-6.4473827996940347E-3</v>
      </c>
    </row>
    <row r="320" spans="1:27" x14ac:dyDescent="0.3">
      <c r="A320" s="4">
        <v>260126</v>
      </c>
      <c r="B320" s="32" t="s">
        <v>486</v>
      </c>
      <c r="C320" s="82" t="s">
        <v>636</v>
      </c>
      <c r="D320" s="4" t="s">
        <v>29</v>
      </c>
      <c r="F320" s="74">
        <v>-1.4057929993395499</v>
      </c>
      <c r="G320" s="77">
        <v>18.68</v>
      </c>
      <c r="H320" s="77">
        <v>18.399999999999999</v>
      </c>
      <c r="I320" s="77">
        <v>18.940000000000001</v>
      </c>
      <c r="J320" s="77">
        <v>21.24</v>
      </c>
      <c r="K320" s="77">
        <v>17.62</v>
      </c>
      <c r="L320" s="77">
        <v>12.13</v>
      </c>
      <c r="M320" s="77">
        <v>25.04</v>
      </c>
      <c r="N320" s="77">
        <v>26.62</v>
      </c>
      <c r="O320" s="77">
        <v>24.79</v>
      </c>
      <c r="P320" s="77">
        <v>20.52</v>
      </c>
      <c r="Q320" s="77">
        <v>24.95</v>
      </c>
      <c r="R320" s="77">
        <v>24.51</v>
      </c>
      <c r="S320" s="77">
        <v>27.4</v>
      </c>
      <c r="T320" s="77">
        <v>25.5</v>
      </c>
      <c r="U320" s="77">
        <v>26.36</v>
      </c>
      <c r="V320" s="77">
        <v>26.73</v>
      </c>
      <c r="W320" s="103">
        <v>25.91</v>
      </c>
      <c r="X320" s="22">
        <f t="shared" si="13"/>
        <v>5.1139864448552119E-2</v>
      </c>
      <c r="Y320" s="22">
        <f t="shared" si="14"/>
        <v>1.3774912075029233E-2</v>
      </c>
      <c r="Z320" s="22">
        <f t="shared" si="15"/>
        <v>2.139346631974548E-2</v>
      </c>
      <c r="AA320" s="22">
        <f t="shared" si="16"/>
        <v>-1.4057929993395502E-2</v>
      </c>
    </row>
    <row r="321" spans="1:27" x14ac:dyDescent="0.3">
      <c r="A321" s="4">
        <v>260126</v>
      </c>
      <c r="B321" s="32" t="s">
        <v>498</v>
      </c>
      <c r="C321" s="82" t="s">
        <v>636</v>
      </c>
      <c r="D321" s="4" t="s">
        <v>136</v>
      </c>
      <c r="F321" s="74">
        <v>-3.9938436664386678</v>
      </c>
      <c r="G321" s="77">
        <v>385.44</v>
      </c>
      <c r="H321" s="77">
        <v>763.24</v>
      </c>
      <c r="I321" s="77">
        <v>214.46</v>
      </c>
      <c r="J321" s="77">
        <v>276.98</v>
      </c>
      <c r="K321" s="77">
        <v>544.45000000000005</v>
      </c>
      <c r="L321" s="77">
        <v>417.4</v>
      </c>
      <c r="M321" s="78">
        <v>500.27</v>
      </c>
      <c r="N321" s="77">
        <v>429.34</v>
      </c>
      <c r="O321" s="77">
        <v>566.65</v>
      </c>
      <c r="P321" s="77">
        <v>592.62</v>
      </c>
      <c r="Q321" s="77">
        <v>509.26</v>
      </c>
      <c r="R321" s="77">
        <v>530.79</v>
      </c>
      <c r="S321" s="77">
        <v>706.35</v>
      </c>
      <c r="T321" s="77">
        <v>589.71</v>
      </c>
      <c r="U321" s="77">
        <v>609.04</v>
      </c>
      <c r="V321" s="77">
        <v>667.86</v>
      </c>
      <c r="W321" s="103">
        <v>603.59</v>
      </c>
      <c r="X321" s="22">
        <f t="shared" si="13"/>
        <v>-1.2441107814382679E-3</v>
      </c>
      <c r="Y321" s="22">
        <f t="shared" si="14"/>
        <v>4.2712029827362441E-2</v>
      </c>
      <c r="Z321" s="22">
        <f t="shared" si="15"/>
        <v>5.627101387993716E-2</v>
      </c>
      <c r="AA321" s="22">
        <f t="shared" si="16"/>
        <v>-3.9938436664386456E-2</v>
      </c>
    </row>
    <row r="322" spans="1:27" ht="15" x14ac:dyDescent="0.25">
      <c r="A322" s="83" t="s">
        <v>635</v>
      </c>
      <c r="B322" s="84" t="s">
        <v>500</v>
      </c>
      <c r="C322" s="85" t="s">
        <v>636</v>
      </c>
      <c r="D322" s="86"/>
      <c r="E322" s="80"/>
      <c r="F322" s="87">
        <v>265.17205422314908</v>
      </c>
      <c r="G322" s="80">
        <v>8.0299999999999994</v>
      </c>
      <c r="H322" s="80">
        <v>8.98</v>
      </c>
      <c r="I322" s="80">
        <v>8.61</v>
      </c>
      <c r="J322" s="80">
        <v>10.210000000000001</v>
      </c>
      <c r="K322" s="80">
        <v>8.58</v>
      </c>
      <c r="L322" s="86">
        <v>7.27</v>
      </c>
      <c r="M322" s="86">
        <v>8.24</v>
      </c>
      <c r="N322" s="86">
        <v>5.19</v>
      </c>
      <c r="O322" s="86">
        <v>0.45</v>
      </c>
      <c r="P322" s="86">
        <v>5.61</v>
      </c>
      <c r="Q322" s="86">
        <v>5.34</v>
      </c>
      <c r="R322" s="86">
        <v>4.8499999999999996</v>
      </c>
      <c r="S322" s="86">
        <v>-16.059999999999999</v>
      </c>
      <c r="T322" s="86">
        <v>7.29</v>
      </c>
      <c r="U322" s="88">
        <v>7.83</v>
      </c>
      <c r="V322" s="88">
        <v>10.53</v>
      </c>
      <c r="W322" s="104">
        <v>9.3699999999999992</v>
      </c>
      <c r="X322" s="22">
        <f t="shared" si="13"/>
        <v>-6.4615384615384688</v>
      </c>
      <c r="Y322" s="22">
        <f t="shared" si="14"/>
        <v>1.7535211267605626</v>
      </c>
      <c r="Z322" s="22">
        <f t="shared" si="15"/>
        <v>1.4526854219948842</v>
      </c>
      <c r="AA322" s="22">
        <f t="shared" si="16"/>
        <v>2.6517205422314909</v>
      </c>
    </row>
    <row r="323" spans="1:27" ht="15" x14ac:dyDescent="0.25">
      <c r="A323" s="4" t="s">
        <v>635</v>
      </c>
      <c r="B323" s="32" t="s">
        <v>501</v>
      </c>
      <c r="C323" s="82" t="s">
        <v>636</v>
      </c>
      <c r="D323" s="80"/>
      <c r="E323" s="80"/>
      <c r="F323" s="79">
        <v>143.57061575420411</v>
      </c>
      <c r="G323" s="80">
        <v>92.05</v>
      </c>
      <c r="H323" s="80">
        <v>92.91</v>
      </c>
      <c r="I323" s="80">
        <v>110.19</v>
      </c>
      <c r="J323" s="80">
        <v>122.44</v>
      </c>
      <c r="K323" s="81">
        <v>134.09</v>
      </c>
      <c r="L323" s="80">
        <v>130.69999999999999</v>
      </c>
      <c r="M323" s="80">
        <v>110.69</v>
      </c>
      <c r="N323" s="80">
        <v>102.67</v>
      </c>
      <c r="O323" s="80">
        <v>-138.01</v>
      </c>
      <c r="P323" s="80">
        <v>101.19</v>
      </c>
      <c r="Q323" s="80">
        <v>102.88</v>
      </c>
      <c r="R323" s="80">
        <v>108.14</v>
      </c>
      <c r="S323" s="80">
        <v>-177.75</v>
      </c>
      <c r="T323" s="81">
        <v>121.1</v>
      </c>
      <c r="U323" s="81">
        <v>139.63</v>
      </c>
      <c r="V323" s="81">
        <v>154.29</v>
      </c>
      <c r="W323" s="105">
        <v>162.9</v>
      </c>
      <c r="X323" s="22">
        <f t="shared" si="13"/>
        <v>0.14807377658783283</v>
      </c>
      <c r="Y323" s="22">
        <f t="shared" si="14"/>
        <v>0.23806439074949814</v>
      </c>
      <c r="Z323" s="22">
        <f t="shared" si="15"/>
        <v>0.24147132691502704</v>
      </c>
      <c r="AA323" s="22">
        <f t="shared" si="16"/>
        <v>1.4357061575420409</v>
      </c>
    </row>
    <row r="324" spans="1:27" ht="15" x14ac:dyDescent="0.25">
      <c r="A324" s="4" t="s">
        <v>635</v>
      </c>
      <c r="B324" s="32" t="s">
        <v>502</v>
      </c>
      <c r="C324" s="82" t="s">
        <v>636</v>
      </c>
      <c r="D324" s="80"/>
      <c r="E324" s="80"/>
      <c r="F324" s="79">
        <v>85.35800482703138</v>
      </c>
      <c r="G324" s="80">
        <v>768</v>
      </c>
      <c r="H324" s="80">
        <v>537</v>
      </c>
      <c r="I324" s="80">
        <v>662</v>
      </c>
      <c r="J324" s="80">
        <v>664</v>
      </c>
      <c r="K324" s="80">
        <v>470</v>
      </c>
      <c r="L324" s="80">
        <v>392</v>
      </c>
      <c r="M324" s="80">
        <v>344</v>
      </c>
      <c r="N324" s="80">
        <v>367</v>
      </c>
      <c r="O324" s="80">
        <v>57</v>
      </c>
      <c r="P324" s="80">
        <v>278</v>
      </c>
      <c r="Q324" s="80">
        <v>335</v>
      </c>
      <c r="R324" s="80">
        <v>-506</v>
      </c>
      <c r="S324" s="80">
        <v>-413</v>
      </c>
      <c r="T324" s="80">
        <v>515</v>
      </c>
      <c r="U324" s="80">
        <v>539</v>
      </c>
      <c r="V324" s="81">
        <v>602</v>
      </c>
      <c r="W324" s="105">
        <v>648</v>
      </c>
      <c r="X324" s="22">
        <f t="shared" si="13"/>
        <v>-0.77450980392156865</v>
      </c>
      <c r="Y324" s="22">
        <f t="shared" si="14"/>
        <v>-2.9565217391304346</v>
      </c>
      <c r="Z324" s="22">
        <f t="shared" si="15"/>
        <v>8.2074074074074073</v>
      </c>
      <c r="AA324" s="22">
        <f t="shared" si="16"/>
        <v>0.85358004827031375</v>
      </c>
    </row>
    <row r="325" spans="1:27" ht="15" x14ac:dyDescent="0.25">
      <c r="A325" s="4" t="s">
        <v>635</v>
      </c>
      <c r="B325" s="32" t="s">
        <v>503</v>
      </c>
      <c r="C325" s="82" t="s">
        <v>636</v>
      </c>
      <c r="D325" s="80"/>
      <c r="E325" s="80"/>
      <c r="F325" s="79">
        <v>70.65737919024815</v>
      </c>
      <c r="G325" s="80">
        <v>51.17</v>
      </c>
      <c r="H325" s="80">
        <v>48.02</v>
      </c>
      <c r="I325" s="80">
        <v>53.75</v>
      </c>
      <c r="J325" s="80">
        <v>54.91</v>
      </c>
      <c r="K325" s="80">
        <v>55.23</v>
      </c>
      <c r="L325" s="80">
        <v>50.93</v>
      </c>
      <c r="M325" s="80">
        <v>37.549999999999997</v>
      </c>
      <c r="N325" s="80">
        <v>23.08</v>
      </c>
      <c r="O325" s="80">
        <v>25.33</v>
      </c>
      <c r="P325" s="80">
        <v>24.28</v>
      </c>
      <c r="Q325" s="80">
        <v>26.03</v>
      </c>
      <c r="R325" s="80">
        <v>18.22</v>
      </c>
      <c r="S325" s="80">
        <v>-17.09</v>
      </c>
      <c r="T325" s="80">
        <v>28.71</v>
      </c>
      <c r="U325" s="81">
        <v>40.17</v>
      </c>
      <c r="V325" s="81">
        <v>40.090000000000003</v>
      </c>
      <c r="W325" s="105">
        <v>47.83</v>
      </c>
      <c r="X325" s="22">
        <f t="shared" si="13"/>
        <v>8.6119751166407577E-2</v>
      </c>
      <c r="Y325" s="22">
        <f t="shared" si="14"/>
        <v>0.25308752461070338</v>
      </c>
      <c r="Z325" s="22">
        <f t="shared" si="15"/>
        <v>0.3123839451506929</v>
      </c>
      <c r="AA325" s="22">
        <f t="shared" si="16"/>
        <v>0.70657379190248149</v>
      </c>
    </row>
    <row r="326" spans="1:27" ht="15" x14ac:dyDescent="0.25">
      <c r="A326" s="4" t="s">
        <v>635</v>
      </c>
      <c r="B326" s="32" t="s">
        <v>504</v>
      </c>
      <c r="C326" s="82" t="s">
        <v>636</v>
      </c>
      <c r="D326" s="80"/>
      <c r="E326" s="80"/>
      <c r="F326" s="79">
        <v>51.715712312758953</v>
      </c>
      <c r="G326" s="80">
        <v>47.78</v>
      </c>
      <c r="H326" s="80">
        <v>42.9</v>
      </c>
      <c r="I326" s="80">
        <v>122.32</v>
      </c>
      <c r="J326" s="80">
        <v>44.39</v>
      </c>
      <c r="K326" s="80">
        <v>0.72</v>
      </c>
      <c r="L326" s="80">
        <v>3.61</v>
      </c>
      <c r="M326" s="80">
        <v>18.97</v>
      </c>
      <c r="N326" s="80">
        <v>42.76</v>
      </c>
      <c r="O326" s="81">
        <v>17.48</v>
      </c>
      <c r="P326" s="81">
        <v>22.11</v>
      </c>
      <c r="Q326" s="81">
        <v>36.06</v>
      </c>
      <c r="R326" s="80">
        <v>17.84</v>
      </c>
      <c r="S326" s="80">
        <v>13.23</v>
      </c>
      <c r="T326" s="80">
        <v>13.13</v>
      </c>
      <c r="U326" s="80">
        <v>31.2</v>
      </c>
      <c r="V326" s="81">
        <v>36.57</v>
      </c>
      <c r="W326" s="105">
        <v>61.91</v>
      </c>
      <c r="X326" s="22">
        <f t="shared" si="13"/>
        <v>-0.10062752129090102</v>
      </c>
      <c r="Y326" s="22">
        <f t="shared" si="14"/>
        <v>-6.0553202093197145E-2</v>
      </c>
      <c r="Z326" s="22">
        <f t="shared" si="15"/>
        <v>0.24840848806366034</v>
      </c>
      <c r="AA326" s="22">
        <f t="shared" si="16"/>
        <v>0.51715712312758955</v>
      </c>
    </row>
    <row r="327" spans="1:27" ht="15" x14ac:dyDescent="0.25">
      <c r="A327" s="4" t="s">
        <v>635</v>
      </c>
      <c r="B327" s="32" t="s">
        <v>505</v>
      </c>
      <c r="C327" s="82" t="s">
        <v>636</v>
      </c>
      <c r="D327" s="80"/>
      <c r="E327" s="80"/>
      <c r="F327" s="79">
        <v>35.788113695090431</v>
      </c>
      <c r="G327" s="80">
        <v>899</v>
      </c>
      <c r="H327" s="80">
        <v>846</v>
      </c>
      <c r="I327" s="80">
        <v>634</v>
      </c>
      <c r="J327" s="80">
        <v>417</v>
      </c>
      <c r="K327" s="80">
        <v>445</v>
      </c>
      <c r="L327" s="80">
        <v>388</v>
      </c>
      <c r="M327" s="80">
        <v>403</v>
      </c>
      <c r="N327" s="80">
        <v>228</v>
      </c>
      <c r="O327" s="80">
        <v>84</v>
      </c>
      <c r="P327" s="80">
        <v>183</v>
      </c>
      <c r="Q327" s="80">
        <v>279</v>
      </c>
      <c r="R327" s="80">
        <v>265</v>
      </c>
      <c r="S327" s="80">
        <v>109</v>
      </c>
      <c r="T327" s="80">
        <v>-284</v>
      </c>
      <c r="U327" s="81">
        <v>436</v>
      </c>
      <c r="V327" s="81">
        <v>513</v>
      </c>
      <c r="W327" s="105">
        <v>386</v>
      </c>
      <c r="X327" s="22">
        <f t="shared" si="13"/>
        <v>-0.55861244019138756</v>
      </c>
      <c r="Y327" s="22">
        <f t="shared" si="14"/>
        <v>0.42547425474254741</v>
      </c>
      <c r="Z327" s="22">
        <f t="shared" si="15"/>
        <v>0.47148288973384034</v>
      </c>
      <c r="AA327" s="22">
        <f t="shared" si="16"/>
        <v>0.35788113695090429</v>
      </c>
    </row>
    <row r="328" spans="1:27" ht="15" x14ac:dyDescent="0.25">
      <c r="A328" s="4" t="s">
        <v>635</v>
      </c>
      <c r="B328" s="32" t="s">
        <v>506</v>
      </c>
      <c r="C328" s="82" t="s">
        <v>636</v>
      </c>
      <c r="D328" s="80"/>
      <c r="E328" s="80"/>
      <c r="F328" s="79">
        <v>31.991373112868441</v>
      </c>
      <c r="G328" s="80">
        <v>8.9</v>
      </c>
      <c r="H328" s="80">
        <v>10.5</v>
      </c>
      <c r="I328" s="80">
        <v>10.92</v>
      </c>
      <c r="J328" s="80">
        <v>11.67</v>
      </c>
      <c r="K328" s="81">
        <v>13.3</v>
      </c>
      <c r="L328" s="80">
        <v>12.22</v>
      </c>
      <c r="M328" s="80">
        <v>12.56</v>
      </c>
      <c r="N328" s="80">
        <v>13.8</v>
      </c>
      <c r="O328" s="80">
        <v>15.04</v>
      </c>
      <c r="P328" s="80">
        <v>14.08</v>
      </c>
      <c r="Q328" s="80">
        <v>10.88</v>
      </c>
      <c r="R328" s="80">
        <v>15.48</v>
      </c>
      <c r="S328" s="80">
        <v>2.5299999999999998</v>
      </c>
      <c r="T328" s="80">
        <v>12.99</v>
      </c>
      <c r="U328" s="80">
        <v>10.44</v>
      </c>
      <c r="V328" s="80">
        <v>15.77</v>
      </c>
      <c r="W328" s="105">
        <v>15.88</v>
      </c>
      <c r="X328" s="22">
        <f t="shared" si="13"/>
        <v>-2.5366534791715023E-2</v>
      </c>
      <c r="Y328" s="22">
        <f t="shared" si="14"/>
        <v>-1.0506208213944768E-2</v>
      </c>
      <c r="Z328" s="22">
        <f t="shared" si="15"/>
        <v>6.9980694980695812E-3</v>
      </c>
      <c r="AA328" s="22">
        <f t="shared" si="16"/>
        <v>0.31991373112868438</v>
      </c>
    </row>
    <row r="329" spans="1:27" ht="15" x14ac:dyDescent="0.25">
      <c r="A329" s="4" t="s">
        <v>635</v>
      </c>
      <c r="B329" s="32" t="s">
        <v>507</v>
      </c>
      <c r="C329" s="82" t="s">
        <v>636</v>
      </c>
      <c r="D329" s="80"/>
      <c r="E329" s="80"/>
      <c r="F329" s="79">
        <v>29.886755292959119</v>
      </c>
      <c r="G329" s="80">
        <v>10.45</v>
      </c>
      <c r="H329" s="80">
        <v>19.260000000000002</v>
      </c>
      <c r="I329" s="80">
        <v>16.940000000000001</v>
      </c>
      <c r="J329" s="80">
        <v>18.809999999999999</v>
      </c>
      <c r="K329" s="80">
        <v>15.26</v>
      </c>
      <c r="L329" s="80">
        <v>14.85</v>
      </c>
      <c r="M329" s="80">
        <v>12.95</v>
      </c>
      <c r="N329" s="80">
        <v>14.27</v>
      </c>
      <c r="O329" s="80">
        <v>-39.659999999999997</v>
      </c>
      <c r="P329" s="81">
        <v>17.760000000000002</v>
      </c>
      <c r="Q329" s="81">
        <v>16.3</v>
      </c>
      <c r="R329" s="81">
        <v>23.84</v>
      </c>
      <c r="S329" s="81">
        <v>20.39</v>
      </c>
      <c r="T329" s="80">
        <v>18.850000000000001</v>
      </c>
      <c r="U329" s="80">
        <v>18.37</v>
      </c>
      <c r="V329" s="80">
        <v>-37.299999999999997</v>
      </c>
      <c r="W329" s="105">
        <v>26.46</v>
      </c>
      <c r="X329" s="22">
        <f t="shared" si="13"/>
        <v>1.3922595478349509E-2</v>
      </c>
      <c r="Y329" s="22">
        <f t="shared" si="14"/>
        <v>2.6077097505669E-2</v>
      </c>
      <c r="Z329" s="22">
        <f t="shared" si="15"/>
        <v>-0.75064456721915285</v>
      </c>
      <c r="AA329" s="22">
        <f t="shared" si="16"/>
        <v>0.29886755292959122</v>
      </c>
    </row>
    <row r="330" spans="1:27" ht="15" x14ac:dyDescent="0.25">
      <c r="A330" s="4" t="s">
        <v>635</v>
      </c>
      <c r="B330" s="32" t="s">
        <v>508</v>
      </c>
      <c r="C330" s="82" t="s">
        <v>636</v>
      </c>
      <c r="D330" s="80"/>
      <c r="E330" s="80"/>
      <c r="F330" s="79">
        <v>28.71759890859482</v>
      </c>
      <c r="G330" s="80">
        <v>3.33</v>
      </c>
      <c r="H330" s="80">
        <v>3.5</v>
      </c>
      <c r="I330" s="80">
        <v>3.43</v>
      </c>
      <c r="J330" s="80">
        <v>3.65</v>
      </c>
      <c r="K330" s="80">
        <v>3.98</v>
      </c>
      <c r="L330" s="80">
        <v>4.3099999999999996</v>
      </c>
      <c r="M330" s="81">
        <v>5.21</v>
      </c>
      <c r="N330" s="80">
        <v>5.08</v>
      </c>
      <c r="O330" s="80">
        <v>4.0199999999999996</v>
      </c>
      <c r="P330" s="80">
        <v>3.6</v>
      </c>
      <c r="Q330" s="80">
        <v>4.72</v>
      </c>
      <c r="R330" s="80">
        <v>5.24</v>
      </c>
      <c r="S330" s="80">
        <v>2.85</v>
      </c>
      <c r="T330" s="80">
        <v>2.7</v>
      </c>
      <c r="U330" s="80">
        <v>3.94</v>
      </c>
      <c r="V330" s="80">
        <v>5.17</v>
      </c>
      <c r="W330" s="105">
        <v>7.06</v>
      </c>
      <c r="X330" s="22">
        <f t="shared" si="13"/>
        <v>-5.4844606946983454E-2</v>
      </c>
      <c r="Y330" s="22">
        <f t="shared" si="14"/>
        <v>-5.0290135396518609E-2</v>
      </c>
      <c r="Z330" s="22">
        <f t="shared" si="15"/>
        <v>-4.7522063815341742E-3</v>
      </c>
      <c r="AA330" s="22">
        <f t="shared" si="16"/>
        <v>0.28717598908594821</v>
      </c>
    </row>
    <row r="331" spans="1:27" ht="15" x14ac:dyDescent="0.25">
      <c r="A331" s="4" t="s">
        <v>635</v>
      </c>
      <c r="B331" s="32" t="s">
        <v>509</v>
      </c>
      <c r="C331" s="82" t="s">
        <v>636</v>
      </c>
      <c r="D331" s="80"/>
      <c r="E331" s="80"/>
      <c r="F331" s="79">
        <v>27.06727168597736</v>
      </c>
      <c r="G331" s="80">
        <v>115.25</v>
      </c>
      <c r="H331" s="80">
        <v>96.09</v>
      </c>
      <c r="I331" s="80">
        <v>77.55</v>
      </c>
      <c r="J331" s="80">
        <v>81.81</v>
      </c>
      <c r="K331" s="80">
        <v>35.85</v>
      </c>
      <c r="L331" s="80">
        <v>68.28</v>
      </c>
      <c r="M331" s="80">
        <v>68.34</v>
      </c>
      <c r="N331" s="81">
        <v>110.23</v>
      </c>
      <c r="O331" s="81">
        <v>83.89</v>
      </c>
      <c r="P331" s="80">
        <v>65.38</v>
      </c>
      <c r="Q331" s="80">
        <v>77.12</v>
      </c>
      <c r="R331" s="80">
        <v>46.02</v>
      </c>
      <c r="S331" s="80">
        <v>35.86</v>
      </c>
      <c r="T331" s="80">
        <v>11.89</v>
      </c>
      <c r="U331" s="80">
        <v>78.900000000000006</v>
      </c>
      <c r="V331" s="81">
        <v>100.34</v>
      </c>
      <c r="W331" s="105">
        <v>97.3</v>
      </c>
      <c r="X331" s="22">
        <f t="shared" si="13"/>
        <v>-0.2383902308583653</v>
      </c>
      <c r="Y331" s="22">
        <f t="shared" si="14"/>
        <v>1.0416057112762722E-2</v>
      </c>
      <c r="Z331" s="22">
        <f t="shared" si="15"/>
        <v>0.31458852145711469</v>
      </c>
      <c r="AA331" s="22">
        <f t="shared" si="16"/>
        <v>0.27067271685977357</v>
      </c>
    </row>
    <row r="332" spans="1:27" ht="15" x14ac:dyDescent="0.25">
      <c r="A332" s="4" t="s">
        <v>635</v>
      </c>
      <c r="B332" s="32" t="s">
        <v>510</v>
      </c>
      <c r="C332" s="82" t="s">
        <v>636</v>
      </c>
      <c r="D332" s="80"/>
      <c r="E332" s="80"/>
      <c r="F332" s="79">
        <v>26.416085227699</v>
      </c>
      <c r="G332" s="80">
        <v>55.8</v>
      </c>
      <c r="H332" s="80">
        <v>52.96</v>
      </c>
      <c r="I332" s="80">
        <v>74.73</v>
      </c>
      <c r="J332" s="80">
        <v>69.959999999999994</v>
      </c>
      <c r="K332" s="81">
        <v>82.3</v>
      </c>
      <c r="L332" s="80">
        <v>42.95</v>
      </c>
      <c r="M332" s="80">
        <v>64.55</v>
      </c>
      <c r="N332" s="80">
        <v>65.540000000000006</v>
      </c>
      <c r="O332" s="80">
        <v>66.87</v>
      </c>
      <c r="P332" s="80">
        <v>59.87</v>
      </c>
      <c r="Q332" s="80">
        <v>36.590000000000003</v>
      </c>
      <c r="R332" s="81">
        <v>92.03</v>
      </c>
      <c r="S332" s="80">
        <v>71.3</v>
      </c>
      <c r="T332" s="80">
        <v>61.51</v>
      </c>
      <c r="U332" s="80">
        <v>17.489999999999998</v>
      </c>
      <c r="V332" s="81">
        <v>116.28</v>
      </c>
      <c r="W332" s="105">
        <v>141.72</v>
      </c>
      <c r="X332" s="22">
        <f t="shared" si="13"/>
        <v>6.3127911005043114E-3</v>
      </c>
      <c r="Y332" s="22">
        <f t="shared" si="14"/>
        <v>-7.3059710056229243E-2</v>
      </c>
      <c r="Z332" s="22">
        <f t="shared" si="15"/>
        <v>0.1000701522716958</v>
      </c>
      <c r="AA332" s="22">
        <f t="shared" si="16"/>
        <v>0.26416085227698982</v>
      </c>
    </row>
    <row r="333" spans="1:27" ht="15" x14ac:dyDescent="0.25">
      <c r="A333" s="4" t="s">
        <v>635</v>
      </c>
      <c r="B333" s="32" t="s">
        <v>511</v>
      </c>
      <c r="C333" s="82" t="s">
        <v>636</v>
      </c>
      <c r="D333" s="80"/>
      <c r="E333" s="80"/>
      <c r="F333" s="79">
        <v>22.73070122290504</v>
      </c>
      <c r="G333" s="80">
        <v>398.93</v>
      </c>
      <c r="H333" s="80">
        <v>166.17</v>
      </c>
      <c r="I333" s="80">
        <v>456.37</v>
      </c>
      <c r="J333" s="80">
        <v>104.72</v>
      </c>
      <c r="K333" s="80">
        <v>-93.93</v>
      </c>
      <c r="L333" s="80">
        <v>155.86000000000001</v>
      </c>
      <c r="M333" s="80">
        <v>356.55</v>
      </c>
      <c r="N333" s="80">
        <v>40.61</v>
      </c>
      <c r="O333" s="81">
        <v>226.24</v>
      </c>
      <c r="P333" s="81">
        <v>387.49</v>
      </c>
      <c r="Q333" s="80">
        <v>338.55</v>
      </c>
      <c r="R333" s="80">
        <v>-59.56</v>
      </c>
      <c r="S333" s="80">
        <v>132.16999999999999</v>
      </c>
      <c r="T333" s="80">
        <v>403.12</v>
      </c>
      <c r="U333" s="80">
        <v>87.63</v>
      </c>
      <c r="V333" s="81">
        <v>185.81</v>
      </c>
      <c r="W333" s="105">
        <v>316</v>
      </c>
      <c r="X333" s="22">
        <f t="shared" si="13"/>
        <v>1.957052526137848E-2</v>
      </c>
      <c r="Y333" s="22">
        <f t="shared" si="14"/>
        <v>-0.30814953087390085</v>
      </c>
      <c r="Z333" s="22">
        <f t="shared" si="15"/>
        <v>0.43554742970746951</v>
      </c>
      <c r="AA333" s="22">
        <f t="shared" si="16"/>
        <v>0.22730701222905036</v>
      </c>
    </row>
    <row r="334" spans="1:27" ht="15" x14ac:dyDescent="0.25">
      <c r="A334" s="4" t="s">
        <v>635</v>
      </c>
      <c r="B334" s="32" t="s">
        <v>512</v>
      </c>
      <c r="C334" s="82" t="s">
        <v>636</v>
      </c>
      <c r="D334" s="80"/>
      <c r="E334" s="80"/>
      <c r="F334" s="79">
        <v>22.663252240717039</v>
      </c>
      <c r="G334" s="80">
        <v>6.35</v>
      </c>
      <c r="H334" s="80">
        <v>5.94</v>
      </c>
      <c r="I334" s="80">
        <v>6.77</v>
      </c>
      <c r="J334" s="80">
        <v>7.55</v>
      </c>
      <c r="K334" s="81">
        <v>11.5</v>
      </c>
      <c r="L334" s="80">
        <v>5.48</v>
      </c>
      <c r="M334" s="80">
        <v>4.4400000000000004</v>
      </c>
      <c r="N334" s="80">
        <v>3.69</v>
      </c>
      <c r="O334" s="80">
        <v>5.0599999999999996</v>
      </c>
      <c r="P334" s="80">
        <v>2.69</v>
      </c>
      <c r="Q334" s="80">
        <v>-0.49</v>
      </c>
      <c r="R334" s="80">
        <v>3.23</v>
      </c>
      <c r="S334" s="80">
        <v>3.69</v>
      </c>
      <c r="T334" s="81">
        <v>3.9</v>
      </c>
      <c r="U334" s="81">
        <v>2.65</v>
      </c>
      <c r="V334" s="81">
        <v>5.38</v>
      </c>
      <c r="W334" s="105">
        <v>7.23</v>
      </c>
      <c r="X334" s="22">
        <f t="shared" si="13"/>
        <v>0.13267543859649122</v>
      </c>
      <c r="Y334" s="22">
        <f t="shared" si="14"/>
        <v>0.30396902226524691</v>
      </c>
      <c r="Z334" s="22">
        <f t="shared" si="15"/>
        <v>0.15961395694135128</v>
      </c>
      <c r="AA334" s="22">
        <f t="shared" si="16"/>
        <v>0.22663252240717013</v>
      </c>
    </row>
    <row r="335" spans="1:27" ht="15" x14ac:dyDescent="0.25">
      <c r="A335" s="4" t="s">
        <v>635</v>
      </c>
      <c r="B335" s="32" t="s">
        <v>513</v>
      </c>
      <c r="C335" s="82" t="s">
        <v>636</v>
      </c>
      <c r="D335" s="80"/>
      <c r="E335" s="80"/>
      <c r="F335" s="79">
        <v>20.501635768811319</v>
      </c>
      <c r="G335" s="80">
        <v>32.15</v>
      </c>
      <c r="H335" s="80">
        <v>66.16</v>
      </c>
      <c r="I335" s="80">
        <v>0</v>
      </c>
      <c r="J335" s="80">
        <v>69.459999999999994</v>
      </c>
      <c r="K335" s="81">
        <v>48.96</v>
      </c>
      <c r="L335" s="80">
        <v>-267.45999999999998</v>
      </c>
      <c r="M335" s="80">
        <v>60.36</v>
      </c>
      <c r="N335" s="81">
        <v>47.29</v>
      </c>
      <c r="O335" s="81">
        <v>33.82</v>
      </c>
      <c r="P335" s="80">
        <v>48.94</v>
      </c>
      <c r="Q335" s="80">
        <v>38</v>
      </c>
      <c r="R335" s="80">
        <v>-3.35</v>
      </c>
      <c r="S335" s="81">
        <v>72.180000000000007</v>
      </c>
      <c r="T335" s="80">
        <v>-183.94</v>
      </c>
      <c r="U335" s="80">
        <v>100.32</v>
      </c>
      <c r="V335" s="80">
        <v>93.97</v>
      </c>
      <c r="W335" s="105">
        <v>89.1</v>
      </c>
      <c r="X335" s="22">
        <f t="shared" si="13"/>
        <v>-1.4950247159273287</v>
      </c>
      <c r="Y335" s="22">
        <f t="shared" si="14"/>
        <v>-0.80819608351705363</v>
      </c>
      <c r="Z335" s="22">
        <f t="shared" si="15"/>
        <v>-6.5801217038539583</v>
      </c>
      <c r="AA335" s="22">
        <f t="shared" si="16"/>
        <v>0.20501635768811322</v>
      </c>
    </row>
    <row r="336" spans="1:27" ht="15" x14ac:dyDescent="0.25">
      <c r="A336" s="4" t="s">
        <v>635</v>
      </c>
      <c r="B336" s="32" t="s">
        <v>514</v>
      </c>
      <c r="C336" s="82" t="s">
        <v>636</v>
      </c>
      <c r="D336" s="80"/>
      <c r="E336" s="80"/>
      <c r="F336" s="79">
        <v>19.759277833500509</v>
      </c>
      <c r="G336" s="80">
        <v>7.15</v>
      </c>
      <c r="H336" s="80">
        <v>6.45</v>
      </c>
      <c r="I336" s="80">
        <v>6.22</v>
      </c>
      <c r="J336" s="80">
        <v>6.98</v>
      </c>
      <c r="K336" s="80">
        <v>5.5</v>
      </c>
      <c r="L336" s="80">
        <v>3.87</v>
      </c>
      <c r="M336" s="80">
        <v>3.02</v>
      </c>
      <c r="N336" s="80">
        <v>3.52</v>
      </c>
      <c r="O336" s="80">
        <v>2.48</v>
      </c>
      <c r="P336" s="80">
        <v>2.72</v>
      </c>
      <c r="Q336" s="80">
        <v>2.57</v>
      </c>
      <c r="R336" s="80">
        <v>2.61</v>
      </c>
      <c r="S336" s="81">
        <v>4.34</v>
      </c>
      <c r="T336" s="81">
        <v>4.24</v>
      </c>
      <c r="U336" s="81">
        <v>5.64</v>
      </c>
      <c r="V336" s="81">
        <v>5.72</v>
      </c>
      <c r="W336" s="105">
        <v>8.2799999999999994</v>
      </c>
      <c r="X336" s="22">
        <f t="shared" si="13"/>
        <v>0.12418300653594772</v>
      </c>
      <c r="Y336" s="22">
        <f t="shared" si="14"/>
        <v>0.22311046511627897</v>
      </c>
      <c r="Z336" s="22">
        <f t="shared" si="15"/>
        <v>0.18478906714200827</v>
      </c>
      <c r="AA336" s="22">
        <f t="shared" si="16"/>
        <v>0.19759277833500488</v>
      </c>
    </row>
    <row r="337" spans="1:27" ht="15" x14ac:dyDescent="0.25">
      <c r="A337" s="4" t="s">
        <v>635</v>
      </c>
      <c r="B337" s="32" t="s">
        <v>515</v>
      </c>
      <c r="C337" s="82" t="s">
        <v>636</v>
      </c>
      <c r="D337" s="80"/>
      <c r="E337" s="80"/>
      <c r="F337" s="79">
        <v>17.6174223955794</v>
      </c>
      <c r="G337" s="80">
        <v>0.59</v>
      </c>
      <c r="H337" s="80">
        <v>13.92</v>
      </c>
      <c r="I337" s="80">
        <v>15.02</v>
      </c>
      <c r="J337" s="80">
        <v>19.11</v>
      </c>
      <c r="K337" s="81">
        <v>19.3</v>
      </c>
      <c r="L337" s="80">
        <v>13.81</v>
      </c>
      <c r="M337" s="80">
        <v>4.9800000000000004</v>
      </c>
      <c r="N337" s="80">
        <v>11.51</v>
      </c>
      <c r="O337" s="80">
        <v>14.39</v>
      </c>
      <c r="P337" s="80">
        <v>14.71</v>
      </c>
      <c r="Q337" s="81">
        <v>14.27</v>
      </c>
      <c r="R337" s="80">
        <v>14.87</v>
      </c>
      <c r="S337" s="80">
        <v>16.18</v>
      </c>
      <c r="T337" s="80">
        <v>16.809999999999999</v>
      </c>
      <c r="U337" s="80">
        <v>4.28</v>
      </c>
      <c r="V337" s="81">
        <v>24.26</v>
      </c>
      <c r="W337" s="105">
        <v>27.02</v>
      </c>
      <c r="X337" s="22">
        <f t="shared" si="13"/>
        <v>3.4982508745627028E-2</v>
      </c>
      <c r="Y337" s="22">
        <f t="shared" si="14"/>
        <v>-0.16079188797682276</v>
      </c>
      <c r="Z337" s="22">
        <f t="shared" si="15"/>
        <v>0.18009205983889531</v>
      </c>
      <c r="AA337" s="22">
        <f t="shared" si="16"/>
        <v>0.17617422395579396</v>
      </c>
    </row>
    <row r="338" spans="1:27" ht="15" x14ac:dyDescent="0.25">
      <c r="A338" s="4" t="s">
        <v>635</v>
      </c>
      <c r="B338" s="32" t="s">
        <v>516</v>
      </c>
      <c r="C338" s="82" t="s">
        <v>636</v>
      </c>
      <c r="D338" s="80"/>
      <c r="E338" s="80"/>
      <c r="F338" s="79">
        <v>17.437722419928821</v>
      </c>
      <c r="G338" s="80">
        <v>15.66</v>
      </c>
      <c r="H338" s="80">
        <v>10.3</v>
      </c>
      <c r="I338" s="80">
        <v>9.59</v>
      </c>
      <c r="J338" s="80">
        <v>11.14</v>
      </c>
      <c r="K338" s="80">
        <v>7.09</v>
      </c>
      <c r="L338" s="80">
        <v>3.54</v>
      </c>
      <c r="M338" s="80">
        <v>3.26</v>
      </c>
      <c r="N338" s="80">
        <v>5.29</v>
      </c>
      <c r="O338" s="80">
        <v>5.34</v>
      </c>
      <c r="P338" s="80">
        <v>3.38</v>
      </c>
      <c r="Q338" s="80">
        <v>3.91</v>
      </c>
      <c r="R338" s="80">
        <v>5.73</v>
      </c>
      <c r="S338" s="80">
        <v>6.89</v>
      </c>
      <c r="T338" s="81">
        <v>6.91</v>
      </c>
      <c r="U338" s="81">
        <v>8.59</v>
      </c>
      <c r="V338" s="81">
        <v>11.33</v>
      </c>
      <c r="W338" s="105">
        <v>12.77</v>
      </c>
      <c r="X338" s="22">
        <f t="shared" si="13"/>
        <v>0.17729784028126572</v>
      </c>
      <c r="Y338" s="22">
        <f t="shared" si="14"/>
        <v>0.19965870307167233</v>
      </c>
      <c r="Z338" s="22">
        <f t="shared" si="15"/>
        <v>0.19914651493598856</v>
      </c>
      <c r="AA338" s="22">
        <f t="shared" si="16"/>
        <v>0.17437722419928803</v>
      </c>
    </row>
    <row r="339" spans="1:27" ht="15" x14ac:dyDescent="0.25">
      <c r="A339" s="4" t="s">
        <v>635</v>
      </c>
      <c r="B339" s="32" t="s">
        <v>517</v>
      </c>
      <c r="C339" s="82" t="s">
        <v>636</v>
      </c>
      <c r="D339" s="80"/>
      <c r="E339" s="80"/>
      <c r="F339" s="79">
        <v>16.58109586735122</v>
      </c>
      <c r="G339" s="80">
        <v>62.84</v>
      </c>
      <c r="H339" s="80">
        <v>44.55</v>
      </c>
      <c r="I339" s="80">
        <v>26.07</v>
      </c>
      <c r="J339" s="80">
        <v>40.76</v>
      </c>
      <c r="K339" s="80">
        <v>48.19</v>
      </c>
      <c r="L339" s="80">
        <v>46.08</v>
      </c>
      <c r="M339" s="81">
        <v>45.14</v>
      </c>
      <c r="N339" s="80">
        <v>23.15</v>
      </c>
      <c r="O339" s="80">
        <v>35.92</v>
      </c>
      <c r="P339" s="80">
        <v>34.25</v>
      </c>
      <c r="Q339" s="80">
        <v>50.91</v>
      </c>
      <c r="R339" s="80">
        <v>11.39</v>
      </c>
      <c r="S339" s="81">
        <v>50.12</v>
      </c>
      <c r="T339" s="80">
        <v>48.83</v>
      </c>
      <c r="U339" s="80">
        <v>-9.74</v>
      </c>
      <c r="V339" s="81">
        <v>29.6</v>
      </c>
      <c r="W339" s="105">
        <v>69.819999999999993</v>
      </c>
      <c r="X339" s="22">
        <f t="shared" si="13"/>
        <v>9.9406831662916861E-2</v>
      </c>
      <c r="Y339" s="22">
        <f t="shared" si="14"/>
        <v>-0.37612403100775194</v>
      </c>
      <c r="Z339" s="22">
        <f t="shared" si="15"/>
        <v>0.18101391650099385</v>
      </c>
      <c r="AA339" s="22">
        <f t="shared" si="16"/>
        <v>0.16581095867351214</v>
      </c>
    </row>
    <row r="340" spans="1:27" ht="15" x14ac:dyDescent="0.25">
      <c r="A340" s="4" t="s">
        <v>635</v>
      </c>
      <c r="B340" s="32" t="s">
        <v>518</v>
      </c>
      <c r="C340" s="82" t="s">
        <v>636</v>
      </c>
      <c r="D340" s="80"/>
      <c r="E340" s="80"/>
      <c r="F340" s="79">
        <v>15.36444677503934</v>
      </c>
      <c r="G340" s="80">
        <v>-44</v>
      </c>
      <c r="H340" s="80">
        <v>-46</v>
      </c>
      <c r="I340" s="80">
        <v>10</v>
      </c>
      <c r="J340" s="80">
        <v>-25</v>
      </c>
      <c r="K340" s="80">
        <v>24</v>
      </c>
      <c r="L340" s="81">
        <v>-81</v>
      </c>
      <c r="M340" s="81">
        <v>-33</v>
      </c>
      <c r="N340" s="80">
        <v>8</v>
      </c>
      <c r="O340" s="80">
        <v>73</v>
      </c>
      <c r="P340" s="81">
        <v>-238</v>
      </c>
      <c r="Q340" s="81">
        <v>-94</v>
      </c>
      <c r="R340" s="81">
        <v>-112</v>
      </c>
      <c r="S340" s="81">
        <v>-81.400000000000006</v>
      </c>
      <c r="T340" s="80">
        <v>-117</v>
      </c>
      <c r="U340" s="80">
        <v>-74</v>
      </c>
      <c r="V340" s="80">
        <v>-109</v>
      </c>
      <c r="W340" s="105">
        <v>-140</v>
      </c>
      <c r="X340" s="22">
        <f t="shared" si="13"/>
        <v>-0.23030072325846973</v>
      </c>
      <c r="Y340" s="22">
        <f t="shared" si="14"/>
        <v>-4.9455984174085033E-2</v>
      </c>
      <c r="Z340" s="22">
        <f t="shared" si="15"/>
        <v>-7.804370447450526E-3</v>
      </c>
      <c r="AA340" s="22">
        <f t="shared" si="16"/>
        <v>0.15364446775039342</v>
      </c>
    </row>
    <row r="341" spans="1:27" ht="15" x14ac:dyDescent="0.25">
      <c r="A341" s="4" t="s">
        <v>635</v>
      </c>
      <c r="B341" s="32" t="s">
        <v>519</v>
      </c>
      <c r="C341" s="82" t="s">
        <v>636</v>
      </c>
      <c r="D341" s="80"/>
      <c r="E341" s="80"/>
      <c r="F341" s="79">
        <v>14.29110105580693</v>
      </c>
      <c r="G341" s="80">
        <v>111.34</v>
      </c>
      <c r="H341" s="80">
        <v>51.78</v>
      </c>
      <c r="I341" s="80">
        <v>-16.2</v>
      </c>
      <c r="J341" s="80">
        <v>574.07000000000005</v>
      </c>
      <c r="K341" s="80">
        <v>109.23</v>
      </c>
      <c r="L341" s="80">
        <v>120.88</v>
      </c>
      <c r="M341" s="81">
        <v>96.56</v>
      </c>
      <c r="N341" s="80">
        <v>15.16</v>
      </c>
      <c r="O341" s="80">
        <v>142.36000000000001</v>
      </c>
      <c r="P341" s="80">
        <v>156.84</v>
      </c>
      <c r="Q341" s="80">
        <v>103.26</v>
      </c>
      <c r="R341" s="81">
        <v>117.2</v>
      </c>
      <c r="S341" s="80">
        <v>61.45</v>
      </c>
      <c r="T341" s="80">
        <v>76.92</v>
      </c>
      <c r="U341" s="81">
        <v>155.4</v>
      </c>
      <c r="V341" s="80">
        <v>157.07</v>
      </c>
      <c r="W341" s="105">
        <v>125.88</v>
      </c>
      <c r="X341" s="22">
        <f t="shared" si="13"/>
        <v>-0.18215384615384611</v>
      </c>
      <c r="Y341" s="22">
        <f t="shared" si="14"/>
        <v>0.14530557645681785</v>
      </c>
      <c r="Z341" s="22">
        <f t="shared" si="15"/>
        <v>9.7014380611723405E-2</v>
      </c>
      <c r="AA341" s="22">
        <f t="shared" si="16"/>
        <v>0.14291101055806932</v>
      </c>
    </row>
    <row r="342" spans="1:27" ht="15" x14ac:dyDescent="0.25">
      <c r="A342" s="4" t="s">
        <v>635</v>
      </c>
      <c r="B342" s="32" t="s">
        <v>520</v>
      </c>
      <c r="C342" s="82" t="s">
        <v>636</v>
      </c>
      <c r="D342" s="80"/>
      <c r="E342" s="80"/>
      <c r="F342" s="79">
        <v>14.040453872718309</v>
      </c>
      <c r="G342" s="80">
        <v>135.12</v>
      </c>
      <c r="H342" s="80">
        <v>127.41</v>
      </c>
      <c r="I342" s="80">
        <v>152.12</v>
      </c>
      <c r="J342" s="80">
        <v>171.08</v>
      </c>
      <c r="K342" s="80">
        <v>182.76</v>
      </c>
      <c r="L342" s="80">
        <v>179.02</v>
      </c>
      <c r="M342" s="80">
        <v>157.94</v>
      </c>
      <c r="N342" s="80">
        <v>157.30000000000001</v>
      </c>
      <c r="O342" s="80">
        <v>136.58000000000001</v>
      </c>
      <c r="P342" s="80">
        <v>153.52000000000001</v>
      </c>
      <c r="Q342" s="80">
        <v>172.85</v>
      </c>
      <c r="R342" s="80">
        <v>186.54</v>
      </c>
      <c r="S342" s="80">
        <v>187.34</v>
      </c>
      <c r="T342" s="80">
        <v>121.25</v>
      </c>
      <c r="U342" s="81">
        <v>282.2</v>
      </c>
      <c r="V342" s="81">
        <v>321.36</v>
      </c>
      <c r="W342" s="105">
        <v>315.41000000000003</v>
      </c>
      <c r="X342" s="22">
        <f t="shared" si="13"/>
        <v>-4.6083541592288446E-2</v>
      </c>
      <c r="Y342" s="22">
        <f t="shared" si="14"/>
        <v>0.1637025060630557</v>
      </c>
      <c r="Z342" s="22">
        <f t="shared" si="15"/>
        <v>0.17343985180039367</v>
      </c>
      <c r="AA342" s="22">
        <f t="shared" si="16"/>
        <v>0.14040453872718306</v>
      </c>
    </row>
    <row r="343" spans="1:27" ht="15" x14ac:dyDescent="0.25">
      <c r="A343" s="4" t="s">
        <v>635</v>
      </c>
      <c r="B343" s="32" t="s">
        <v>521</v>
      </c>
      <c r="C343" s="82" t="s">
        <v>636</v>
      </c>
      <c r="D343" s="80"/>
      <c r="E343" s="80"/>
      <c r="F343" s="79">
        <v>14.037202893558391</v>
      </c>
      <c r="G343" s="80">
        <v>117.14</v>
      </c>
      <c r="H343" s="80">
        <v>121.5</v>
      </c>
      <c r="I343" s="80">
        <v>105.14</v>
      </c>
      <c r="J343" s="80">
        <v>111.51</v>
      </c>
      <c r="K343" s="80">
        <v>112.43</v>
      </c>
      <c r="L343" s="80">
        <v>-18.920000000000002</v>
      </c>
      <c r="M343" s="81">
        <v>179.08</v>
      </c>
      <c r="N343" s="81">
        <v>183.97</v>
      </c>
      <c r="O343" s="80">
        <v>127.07</v>
      </c>
      <c r="P343" s="81">
        <v>169.07</v>
      </c>
      <c r="Q343" s="80">
        <v>161.09</v>
      </c>
      <c r="R343" s="80">
        <v>196</v>
      </c>
      <c r="S343" s="80">
        <v>192.35</v>
      </c>
      <c r="T343" s="80">
        <v>123.85</v>
      </c>
      <c r="U343" s="80">
        <v>203.46</v>
      </c>
      <c r="V343" s="80">
        <v>119</v>
      </c>
      <c r="W343" s="105">
        <v>282</v>
      </c>
      <c r="X343" s="22">
        <f t="shared" si="13"/>
        <v>-6.2935797692446727E-2</v>
      </c>
      <c r="Y343" s="22">
        <f t="shared" si="14"/>
        <v>6.2929792511399185E-2</v>
      </c>
      <c r="Z343" s="22">
        <f t="shared" si="15"/>
        <v>-0.1075929910851523</v>
      </c>
      <c r="AA343" s="22">
        <f t="shared" si="16"/>
        <v>0.14037202893558387</v>
      </c>
    </row>
    <row r="344" spans="1:27" ht="15" x14ac:dyDescent="0.25">
      <c r="A344" s="4" t="s">
        <v>635</v>
      </c>
      <c r="B344" s="32" t="s">
        <v>522</v>
      </c>
      <c r="C344" s="82" t="s">
        <v>636</v>
      </c>
      <c r="D344" s="80"/>
      <c r="E344" s="80"/>
      <c r="F344" s="79">
        <v>13.842813721233171</v>
      </c>
      <c r="G344" s="80">
        <v>-1.1200000000000001</v>
      </c>
      <c r="H344" s="80">
        <v>70.2</v>
      </c>
      <c r="I344" s="80">
        <v>82.2</v>
      </c>
      <c r="J344" s="80">
        <v>95.07</v>
      </c>
      <c r="K344" s="81">
        <v>100.29</v>
      </c>
      <c r="L344" s="80">
        <v>81.33</v>
      </c>
      <c r="M344" s="80">
        <v>82.75</v>
      </c>
      <c r="N344" s="80">
        <v>80.14</v>
      </c>
      <c r="O344" s="80">
        <v>70.92</v>
      </c>
      <c r="P344" s="80">
        <v>62.5</v>
      </c>
      <c r="Q344" s="80">
        <v>66.39</v>
      </c>
      <c r="R344" s="80">
        <v>55.31</v>
      </c>
      <c r="S344" s="80">
        <v>62.93</v>
      </c>
      <c r="T344" s="80">
        <v>57.17</v>
      </c>
      <c r="U344" s="80">
        <v>65.81</v>
      </c>
      <c r="V344" s="80">
        <v>44.39</v>
      </c>
      <c r="W344" s="105">
        <v>94.81</v>
      </c>
      <c r="X344" s="22">
        <f t="shared" si="13"/>
        <v>-2.1567596002104117E-2</v>
      </c>
      <c r="Y344" s="22">
        <f t="shared" si="14"/>
        <v>-2.3986765922249242E-3</v>
      </c>
      <c r="Z344" s="22">
        <f t="shared" si="15"/>
        <v>-4.5269878119558959E-2</v>
      </c>
      <c r="AA344" s="22">
        <f t="shared" si="16"/>
        <v>0.13842813721233171</v>
      </c>
    </row>
    <row r="345" spans="1:27" ht="15" x14ac:dyDescent="0.25">
      <c r="A345" s="4" t="s">
        <v>635</v>
      </c>
      <c r="B345" s="32" t="s">
        <v>523</v>
      </c>
      <c r="C345" s="82" t="s">
        <v>636</v>
      </c>
      <c r="D345" s="80"/>
      <c r="E345" s="80"/>
      <c r="F345" s="79">
        <v>13.499855616517481</v>
      </c>
      <c r="G345" s="80">
        <v>24.32</v>
      </c>
      <c r="H345" s="80">
        <v>23.34</v>
      </c>
      <c r="I345" s="80">
        <v>22.56</v>
      </c>
      <c r="J345" s="80">
        <v>25.65</v>
      </c>
      <c r="K345" s="80">
        <v>27.89</v>
      </c>
      <c r="L345" s="80">
        <v>24.67</v>
      </c>
      <c r="M345" s="80">
        <v>19.87</v>
      </c>
      <c r="N345" s="80">
        <v>21.8</v>
      </c>
      <c r="O345" s="80">
        <v>6.58</v>
      </c>
      <c r="P345" s="80">
        <v>6.87</v>
      </c>
      <c r="Q345" s="80">
        <v>16</v>
      </c>
      <c r="R345" s="80">
        <v>13.07</v>
      </c>
      <c r="S345" s="81">
        <v>16.329999999999998</v>
      </c>
      <c r="T345" s="81">
        <v>16.16</v>
      </c>
      <c r="U345" s="80">
        <v>14.46</v>
      </c>
      <c r="V345" s="81">
        <v>22.31</v>
      </c>
      <c r="W345" s="105">
        <v>25.68</v>
      </c>
      <c r="X345" s="22">
        <f t="shared" si="13"/>
        <v>0.17773101205280284</v>
      </c>
      <c r="Y345" s="22">
        <f t="shared" si="14"/>
        <v>-2.5016244314489899E-2</v>
      </c>
      <c r="Z345" s="22">
        <f t="shared" si="15"/>
        <v>0.15394868377207582</v>
      </c>
      <c r="AA345" s="22">
        <f t="shared" si="16"/>
        <v>0.13499855616517475</v>
      </c>
    </row>
    <row r="346" spans="1:27" ht="15" x14ac:dyDescent="0.25">
      <c r="A346" s="4" t="s">
        <v>635</v>
      </c>
      <c r="B346" s="32" t="s">
        <v>524</v>
      </c>
      <c r="C346" s="82" t="s">
        <v>636</v>
      </c>
      <c r="D346" s="80"/>
      <c r="E346" s="80"/>
      <c r="F346" s="79">
        <v>11.93857331571995</v>
      </c>
      <c r="G346" s="80">
        <v>19.309999999999999</v>
      </c>
      <c r="H346" s="80">
        <v>18</v>
      </c>
      <c r="I346" s="80">
        <v>20.97</v>
      </c>
      <c r="J346" s="80">
        <v>25.92</v>
      </c>
      <c r="K346" s="81">
        <v>29.49</v>
      </c>
      <c r="L346" s="80">
        <v>26.59</v>
      </c>
      <c r="M346" s="80">
        <v>23.12</v>
      </c>
      <c r="N346" s="80">
        <v>22.25</v>
      </c>
      <c r="O346" s="80">
        <v>18.46</v>
      </c>
      <c r="P346" s="80">
        <v>14.42</v>
      </c>
      <c r="Q346" s="80">
        <v>13.07</v>
      </c>
      <c r="R346" s="80">
        <v>14.45</v>
      </c>
      <c r="S346" s="80">
        <v>14.74</v>
      </c>
      <c r="T346" s="80">
        <v>16.329999999999998</v>
      </c>
      <c r="U346" s="80">
        <v>8.93</v>
      </c>
      <c r="V346" s="81">
        <v>20.56</v>
      </c>
      <c r="W346" s="105">
        <v>21.97</v>
      </c>
      <c r="X346" s="22">
        <f t="shared" si="13"/>
        <v>3.369795342272397E-2</v>
      </c>
      <c r="Y346" s="22">
        <f t="shared" si="14"/>
        <v>-7.0660522273425563E-2</v>
      </c>
      <c r="Z346" s="22">
        <f t="shared" si="15"/>
        <v>0.112213039485767</v>
      </c>
      <c r="AA346" s="22">
        <f t="shared" si="16"/>
        <v>0.11938573315719925</v>
      </c>
    </row>
    <row r="347" spans="1:27" ht="15" x14ac:dyDescent="0.25">
      <c r="A347" s="4" t="s">
        <v>635</v>
      </c>
      <c r="B347" s="32" t="s">
        <v>525</v>
      </c>
      <c r="C347" s="82" t="s">
        <v>636</v>
      </c>
      <c r="D347" s="80"/>
      <c r="E347" s="80"/>
      <c r="F347" s="79">
        <v>11.924837388581061</v>
      </c>
      <c r="G347" s="80">
        <v>5.53</v>
      </c>
      <c r="H347" s="80">
        <v>8.23</v>
      </c>
      <c r="I347" s="80">
        <v>10.87</v>
      </c>
      <c r="J347" s="80">
        <v>13.05</v>
      </c>
      <c r="K347" s="81">
        <v>12.8</v>
      </c>
      <c r="L347" s="80">
        <v>11.42</v>
      </c>
      <c r="M347" s="80">
        <v>12.06</v>
      </c>
      <c r="N347" s="80">
        <v>11.63</v>
      </c>
      <c r="O347" s="80">
        <v>4.75</v>
      </c>
      <c r="P347" s="80">
        <v>8.5299999999999994</v>
      </c>
      <c r="Q347" s="80">
        <v>14.25</v>
      </c>
      <c r="R347" s="80">
        <v>9.41</v>
      </c>
      <c r="S347" s="80">
        <v>8.23</v>
      </c>
      <c r="T347" s="80">
        <v>-0.55000000000000004</v>
      </c>
      <c r="U347" s="80">
        <v>14.91</v>
      </c>
      <c r="V347" s="81">
        <v>18.920000000000002</v>
      </c>
      <c r="W347" s="105">
        <v>13.18</v>
      </c>
      <c r="X347" s="22">
        <f t="shared" si="13"/>
        <v>-0.22464126669965367</v>
      </c>
      <c r="Y347" s="22">
        <f t="shared" si="14"/>
        <v>2.105934907466489E-2</v>
      </c>
      <c r="Z347" s="22">
        <f t="shared" si="15"/>
        <v>0.29718750000000016</v>
      </c>
      <c r="AA347" s="22">
        <f t="shared" si="16"/>
        <v>0.11924837388581055</v>
      </c>
    </row>
    <row r="348" spans="1:27" ht="15" x14ac:dyDescent="0.25">
      <c r="A348" s="4" t="s">
        <v>635</v>
      </c>
      <c r="B348" s="32" t="s">
        <v>526</v>
      </c>
      <c r="C348" s="82" t="s">
        <v>636</v>
      </c>
      <c r="D348" s="80"/>
      <c r="E348" s="80"/>
      <c r="F348" s="79">
        <v>11.796151104775481</v>
      </c>
      <c r="G348" s="80">
        <v>806</v>
      </c>
      <c r="H348" s="80">
        <v>399.5</v>
      </c>
      <c r="I348" s="80">
        <v>-37.9</v>
      </c>
      <c r="J348" s="80">
        <v>-103.3</v>
      </c>
      <c r="K348" s="80">
        <v>665.8</v>
      </c>
      <c r="L348" s="80">
        <v>266.10000000000002</v>
      </c>
      <c r="M348" s="81">
        <v>217.5</v>
      </c>
      <c r="N348" s="81">
        <v>80.5</v>
      </c>
      <c r="O348" s="80">
        <v>264.7</v>
      </c>
      <c r="P348" s="81">
        <v>415.2</v>
      </c>
      <c r="Q348" s="80">
        <v>135.69999999999999</v>
      </c>
      <c r="R348" s="81">
        <v>448.2</v>
      </c>
      <c r="S348" s="80">
        <v>148.19999999999999</v>
      </c>
      <c r="T348" s="80">
        <v>325.7</v>
      </c>
      <c r="U348" s="81">
        <v>278</v>
      </c>
      <c r="V348" s="80">
        <v>370.5</v>
      </c>
      <c r="W348" s="105">
        <v>280.60000000000002</v>
      </c>
      <c r="X348" s="22">
        <f t="shared" si="13"/>
        <v>-7.8009239083064563E-2</v>
      </c>
      <c r="Y348" s="22">
        <f t="shared" si="14"/>
        <v>0.13452448477973156</v>
      </c>
      <c r="Z348" s="22">
        <f t="shared" si="15"/>
        <v>-6.4744604616281842E-2</v>
      </c>
      <c r="AA348" s="22">
        <f t="shared" si="16"/>
        <v>0.11796151104775499</v>
      </c>
    </row>
    <row r="349" spans="1:27" ht="15" x14ac:dyDescent="0.25">
      <c r="A349" s="4" t="s">
        <v>635</v>
      </c>
      <c r="B349" s="32" t="s">
        <v>527</v>
      </c>
      <c r="C349" s="82" t="s">
        <v>636</v>
      </c>
      <c r="D349" s="80"/>
      <c r="E349" s="80"/>
      <c r="F349" s="79">
        <v>11.48132427843804</v>
      </c>
      <c r="G349" s="80">
        <v>9.23</v>
      </c>
      <c r="H349" s="80">
        <v>7.99</v>
      </c>
      <c r="I349" s="80">
        <v>8.5</v>
      </c>
      <c r="J349" s="80">
        <v>8.35</v>
      </c>
      <c r="K349" s="80">
        <v>10.31</v>
      </c>
      <c r="L349" s="80">
        <v>9.32</v>
      </c>
      <c r="M349" s="80">
        <v>8.34</v>
      </c>
      <c r="N349" s="80">
        <v>8.49</v>
      </c>
      <c r="O349" s="80">
        <v>7.7</v>
      </c>
      <c r="P349" s="80">
        <v>4.8</v>
      </c>
      <c r="Q349" s="80">
        <v>-7.88</v>
      </c>
      <c r="R349" s="80">
        <v>4.16</v>
      </c>
      <c r="S349" s="81">
        <v>9.92</v>
      </c>
      <c r="T349" s="81">
        <v>11.36</v>
      </c>
      <c r="U349" s="81">
        <v>10.76</v>
      </c>
      <c r="V349" s="81">
        <v>15.08</v>
      </c>
      <c r="W349" s="105">
        <v>15.33</v>
      </c>
      <c r="X349" s="22">
        <f t="shared" si="13"/>
        <v>0.59636363636363621</v>
      </c>
      <c r="Y349" s="22">
        <f t="shared" si="14"/>
        <v>1.0615034168564921</v>
      </c>
      <c r="Z349" s="22">
        <f t="shared" si="15"/>
        <v>0.3016574585635361</v>
      </c>
      <c r="AA349" s="22">
        <f t="shared" si="16"/>
        <v>0.11481324278438021</v>
      </c>
    </row>
    <row r="350" spans="1:27" ht="15" x14ac:dyDescent="0.25">
      <c r="A350" s="4" t="s">
        <v>635</v>
      </c>
      <c r="B350" s="32" t="s">
        <v>528</v>
      </c>
      <c r="C350" s="82" t="s">
        <v>636</v>
      </c>
      <c r="D350" s="80"/>
      <c r="E350" s="80"/>
      <c r="F350" s="79">
        <v>11.29924072065398</v>
      </c>
      <c r="G350" s="80">
        <v>68.239999999999995</v>
      </c>
      <c r="H350" s="80">
        <v>-36.299999999999997</v>
      </c>
      <c r="I350" s="80">
        <v>139.94999999999999</v>
      </c>
      <c r="J350" s="80">
        <v>179.04</v>
      </c>
      <c r="K350" s="81">
        <v>262.04000000000002</v>
      </c>
      <c r="L350" s="81">
        <v>188.02</v>
      </c>
      <c r="M350" s="80">
        <v>202.43</v>
      </c>
      <c r="N350" s="80">
        <v>192.18</v>
      </c>
      <c r="O350" s="80">
        <v>168.67</v>
      </c>
      <c r="P350" s="80">
        <v>152.77000000000001</v>
      </c>
      <c r="Q350" s="80">
        <v>156.47999999999999</v>
      </c>
      <c r="R350" s="80">
        <v>185.08</v>
      </c>
      <c r="S350" s="80">
        <v>186.11</v>
      </c>
      <c r="T350" s="80">
        <v>181.56</v>
      </c>
      <c r="U350" s="80">
        <v>155.71</v>
      </c>
      <c r="V350" s="80">
        <v>232.6</v>
      </c>
      <c r="W350" s="105">
        <v>271.52999999999997</v>
      </c>
      <c r="X350" s="22">
        <f t="shared" si="13"/>
        <v>4.2310857680324387E-2</v>
      </c>
      <c r="Y350" s="22">
        <f t="shared" si="14"/>
        <v>-1.0856844747120231E-3</v>
      </c>
      <c r="Z350" s="22">
        <f t="shared" si="15"/>
        <v>6.7075064223809377E-2</v>
      </c>
      <c r="AA350" s="22">
        <f t="shared" si="16"/>
        <v>0.1129924072065398</v>
      </c>
    </row>
    <row r="351" spans="1:27" ht="15" x14ac:dyDescent="0.25">
      <c r="A351" s="4" t="s">
        <v>635</v>
      </c>
      <c r="B351" s="32" t="s">
        <v>529</v>
      </c>
      <c r="C351" s="82" t="s">
        <v>636</v>
      </c>
      <c r="D351" s="80"/>
      <c r="E351" s="80"/>
      <c r="F351" s="79">
        <v>11.072210065645519</v>
      </c>
      <c r="G351" s="80">
        <v>-5.01</v>
      </c>
      <c r="H351" s="80">
        <v>-5.18</v>
      </c>
      <c r="I351" s="80">
        <v>-5.37</v>
      </c>
      <c r="J351" s="80">
        <v>-4.87</v>
      </c>
      <c r="K351" s="80">
        <v>-4.6900000000000004</v>
      </c>
      <c r="L351" s="80">
        <v>-5.61</v>
      </c>
      <c r="M351" s="80">
        <v>-5.54</v>
      </c>
      <c r="N351" s="80">
        <v>-5.24</v>
      </c>
      <c r="O351" s="80">
        <v>-5.4</v>
      </c>
      <c r="P351" s="80">
        <v>-6.26</v>
      </c>
      <c r="Q351" s="80">
        <v>-7.6</v>
      </c>
      <c r="R351" s="80">
        <v>-5.12</v>
      </c>
      <c r="S351" s="80">
        <v>-5.95</v>
      </c>
      <c r="T351" s="80">
        <v>-4.8</v>
      </c>
      <c r="U351" s="80">
        <v>-5.82</v>
      </c>
      <c r="V351" s="80">
        <v>-6.28</v>
      </c>
      <c r="W351" s="105">
        <v>-8.48</v>
      </c>
      <c r="X351" s="22">
        <f t="shared" si="13"/>
        <v>-5.8563979141596501E-2</v>
      </c>
      <c r="Y351" s="22">
        <f t="shared" si="14"/>
        <v>-7.5841499786961974E-2</v>
      </c>
      <c r="Z351" s="22">
        <f t="shared" si="15"/>
        <v>5.348086675887509E-2</v>
      </c>
      <c r="AA351" s="22">
        <f t="shared" si="16"/>
        <v>0.11072210065645516</v>
      </c>
    </row>
    <row r="352" spans="1:27" ht="15" x14ac:dyDescent="0.25">
      <c r="A352" s="4" t="s">
        <v>635</v>
      </c>
      <c r="B352" s="32" t="s">
        <v>530</v>
      </c>
      <c r="C352" s="82" t="s">
        <v>636</v>
      </c>
      <c r="D352" s="80"/>
      <c r="E352" s="80"/>
      <c r="F352" s="79">
        <v>11.06145251396649</v>
      </c>
      <c r="G352" s="80">
        <v>25.57</v>
      </c>
      <c r="H352" s="80">
        <v>24.22</v>
      </c>
      <c r="I352" s="80">
        <v>15.58</v>
      </c>
      <c r="J352" s="80">
        <v>21.79</v>
      </c>
      <c r="K352" s="80">
        <v>1.98</v>
      </c>
      <c r="L352" s="80">
        <v>13.21</v>
      </c>
      <c r="M352" s="80">
        <v>15.39</v>
      </c>
      <c r="N352" s="80">
        <v>13.15</v>
      </c>
      <c r="O352" s="80">
        <v>-12.05</v>
      </c>
      <c r="P352" s="80">
        <v>9.11</v>
      </c>
      <c r="Q352" s="80">
        <v>-91</v>
      </c>
      <c r="R352" s="80">
        <v>7.18</v>
      </c>
      <c r="S352" s="80">
        <v>7.82</v>
      </c>
      <c r="T352" s="80">
        <v>7.85</v>
      </c>
      <c r="U352" s="80">
        <v>8.16</v>
      </c>
      <c r="V352" s="81">
        <v>11.97</v>
      </c>
      <c r="W352" s="105">
        <v>11.78</v>
      </c>
      <c r="X352" s="22">
        <f t="shared" si="13"/>
        <v>1.8836896397069758E-2</v>
      </c>
      <c r="Y352" s="22">
        <f t="shared" si="14"/>
        <v>-1.4550256786500366</v>
      </c>
      <c r="Z352" s="22">
        <f t="shared" si="15"/>
        <v>0.15446630119316329</v>
      </c>
      <c r="AA352" s="22">
        <f t="shared" si="16"/>
        <v>0.11061452513966485</v>
      </c>
    </row>
    <row r="353" spans="1:27" ht="15" x14ac:dyDescent="0.25">
      <c r="A353" s="4" t="s">
        <v>635</v>
      </c>
      <c r="B353" s="32" t="s">
        <v>531</v>
      </c>
      <c r="C353" s="82" t="s">
        <v>636</v>
      </c>
      <c r="D353" s="80"/>
      <c r="E353" s="80"/>
      <c r="F353" s="79">
        <v>10.933991917377631</v>
      </c>
      <c r="G353" s="80">
        <v>13.43</v>
      </c>
      <c r="H353" s="80">
        <v>13.5</v>
      </c>
      <c r="I353" s="80">
        <v>14.43</v>
      </c>
      <c r="J353" s="80">
        <v>14.43</v>
      </c>
      <c r="K353" s="80">
        <v>13.72</v>
      </c>
      <c r="L353" s="80">
        <v>14.57</v>
      </c>
      <c r="M353" s="80">
        <v>10.59</v>
      </c>
      <c r="N353" s="80">
        <v>1.37</v>
      </c>
      <c r="O353" s="80">
        <v>11.16</v>
      </c>
      <c r="P353" s="80">
        <v>8.3800000000000008</v>
      </c>
      <c r="Q353" s="80">
        <v>8.8000000000000007</v>
      </c>
      <c r="R353" s="81">
        <v>9.4</v>
      </c>
      <c r="S353" s="80">
        <v>9.73</v>
      </c>
      <c r="T353" s="80">
        <v>10.3</v>
      </c>
      <c r="U353" s="80">
        <v>11.02</v>
      </c>
      <c r="V353" s="81">
        <v>13.49</v>
      </c>
      <c r="W353" s="105">
        <v>14.6</v>
      </c>
      <c r="X353" s="22">
        <f t="shared" si="13"/>
        <v>5.2877995042688086E-2</v>
      </c>
      <c r="Y353" s="22">
        <f t="shared" si="14"/>
        <v>5.8069578864765825E-2</v>
      </c>
      <c r="Z353" s="22">
        <f t="shared" si="15"/>
        <v>0.1011124845488256</v>
      </c>
      <c r="AA353" s="22">
        <f t="shared" si="16"/>
        <v>0.1093399191737765</v>
      </c>
    </row>
    <row r="354" spans="1:27" ht="15" x14ac:dyDescent="0.25">
      <c r="A354" s="4" t="s">
        <v>635</v>
      </c>
      <c r="B354" s="32" t="s">
        <v>532</v>
      </c>
      <c r="C354" s="82" t="s">
        <v>636</v>
      </c>
      <c r="D354" s="80"/>
      <c r="E354" s="80"/>
      <c r="F354" s="79">
        <v>10.735326205542229</v>
      </c>
      <c r="G354" s="80">
        <v>28.05</v>
      </c>
      <c r="H354" s="80">
        <v>26.04</v>
      </c>
      <c r="I354" s="80">
        <v>33.630000000000003</v>
      </c>
      <c r="J354" s="80">
        <v>35.950000000000003</v>
      </c>
      <c r="K354" s="80">
        <v>1.28</v>
      </c>
      <c r="L354" s="80">
        <v>33.840000000000003</v>
      </c>
      <c r="M354" s="80">
        <v>24.86</v>
      </c>
      <c r="N354" s="80">
        <v>28.36</v>
      </c>
      <c r="O354" s="81">
        <v>19.87</v>
      </c>
      <c r="P354" s="80">
        <v>24.29</v>
      </c>
      <c r="Q354" s="80">
        <v>23.88</v>
      </c>
      <c r="R354" s="80">
        <v>17.57</v>
      </c>
      <c r="S354" s="81">
        <v>31.34</v>
      </c>
      <c r="T354" s="80">
        <v>23.36</v>
      </c>
      <c r="U354" s="80">
        <v>26.78</v>
      </c>
      <c r="V354" s="80">
        <v>10.18</v>
      </c>
      <c r="W354" s="105">
        <v>41.18</v>
      </c>
      <c r="X354" s="22">
        <f t="shared" si="13"/>
        <v>-9.579728059332604E-3</v>
      </c>
      <c r="Y354" s="22">
        <f t="shared" si="14"/>
        <v>3.0161206448257927E-2</v>
      </c>
      <c r="Z354" s="22">
        <f t="shared" si="15"/>
        <v>-7.4608783442705717E-2</v>
      </c>
      <c r="AA354" s="22">
        <f t="shared" si="16"/>
        <v>0.10735326205542228</v>
      </c>
    </row>
    <row r="355" spans="1:27" ht="15" x14ac:dyDescent="0.25">
      <c r="A355" s="4" t="s">
        <v>635</v>
      </c>
      <c r="B355" s="32" t="s">
        <v>533</v>
      </c>
      <c r="C355" s="82" t="s">
        <v>636</v>
      </c>
      <c r="D355" s="80"/>
      <c r="E355" s="80"/>
      <c r="F355" s="79">
        <v>10.51815181518152</v>
      </c>
      <c r="G355" s="80">
        <v>123</v>
      </c>
      <c r="H355" s="80">
        <v>67</v>
      </c>
      <c r="I355" s="80">
        <v>137</v>
      </c>
      <c r="J355" s="80">
        <v>173</v>
      </c>
      <c r="K355" s="81">
        <v>176</v>
      </c>
      <c r="L355" s="81">
        <v>182</v>
      </c>
      <c r="M355" s="80">
        <v>179</v>
      </c>
      <c r="N355" s="80">
        <v>164</v>
      </c>
      <c r="O355" s="80">
        <v>59</v>
      </c>
      <c r="P355" s="80">
        <v>156</v>
      </c>
      <c r="Q355" s="80">
        <v>157</v>
      </c>
      <c r="R355" s="80">
        <v>140</v>
      </c>
      <c r="S355" s="80">
        <v>102</v>
      </c>
      <c r="T355" s="80">
        <v>148</v>
      </c>
      <c r="U355" s="80">
        <v>166</v>
      </c>
      <c r="V355" s="80">
        <v>190</v>
      </c>
      <c r="W355" s="105">
        <v>165.74</v>
      </c>
      <c r="X355" s="22">
        <f t="shared" si="13"/>
        <v>-1.4414414414414378E-2</v>
      </c>
      <c r="Y355" s="22">
        <f t="shared" si="14"/>
        <v>1.6453382084095081E-2</v>
      </c>
      <c r="Z355" s="22">
        <f t="shared" si="15"/>
        <v>8.9928057553956942E-2</v>
      </c>
      <c r="AA355" s="22">
        <f t="shared" si="16"/>
        <v>0.1051815181518152</v>
      </c>
    </row>
    <row r="356" spans="1:27" ht="15" x14ac:dyDescent="0.25">
      <c r="A356" s="4" t="s">
        <v>635</v>
      </c>
      <c r="B356" s="32" t="s">
        <v>534</v>
      </c>
      <c r="C356" s="82" t="s">
        <v>636</v>
      </c>
      <c r="D356" s="80"/>
      <c r="E356" s="80"/>
      <c r="F356" s="79">
        <v>10.476728183775011</v>
      </c>
      <c r="G356" s="80">
        <v>187.68</v>
      </c>
      <c r="H356" s="80">
        <v>162.11000000000001</v>
      </c>
      <c r="I356" s="80">
        <v>163.13</v>
      </c>
      <c r="J356" s="80">
        <v>175.18</v>
      </c>
      <c r="K356" s="80">
        <v>67.150000000000006</v>
      </c>
      <c r="L356" s="80">
        <v>-1260</v>
      </c>
      <c r="M356" s="81">
        <v>-264.44</v>
      </c>
      <c r="N356" s="81">
        <v>-26.57</v>
      </c>
      <c r="O356" s="81">
        <v>-659.99</v>
      </c>
      <c r="P356" s="80">
        <v>42.4</v>
      </c>
      <c r="Q356" s="80">
        <v>44.64</v>
      </c>
      <c r="R356" s="80">
        <v>11.51</v>
      </c>
      <c r="S356" s="80">
        <v>70.099999999999994</v>
      </c>
      <c r="T356" s="81">
        <v>73.06</v>
      </c>
      <c r="U356" s="80">
        <v>47.88</v>
      </c>
      <c r="V356" s="81">
        <v>92.35</v>
      </c>
      <c r="W356" s="105">
        <v>99.79</v>
      </c>
      <c r="X356" s="22">
        <f t="shared" si="13"/>
        <v>0.18179662021938947</v>
      </c>
      <c r="Y356" s="22">
        <f t="shared" si="14"/>
        <v>1.6256083488033868E-2</v>
      </c>
      <c r="Z356" s="22">
        <f t="shared" si="15"/>
        <v>0.39911133053567016</v>
      </c>
      <c r="AA356" s="22">
        <f t="shared" si="16"/>
        <v>0.10476728183775008</v>
      </c>
    </row>
    <row r="357" spans="1:27" ht="15" x14ac:dyDescent="0.25">
      <c r="A357" s="4" t="s">
        <v>635</v>
      </c>
      <c r="B357" s="32" t="s">
        <v>535</v>
      </c>
      <c r="C357" s="82" t="s">
        <v>636</v>
      </c>
      <c r="D357" s="80"/>
      <c r="E357" s="80"/>
      <c r="F357" s="79">
        <v>10.36585365853659</v>
      </c>
      <c r="G357" s="80">
        <v>3.35</v>
      </c>
      <c r="H357" s="80">
        <v>2.93</v>
      </c>
      <c r="I357" s="80">
        <v>3.16</v>
      </c>
      <c r="J357" s="80">
        <v>3.8</v>
      </c>
      <c r="K357" s="80">
        <v>4.3499999999999996</v>
      </c>
      <c r="L357" s="81">
        <v>4.59</v>
      </c>
      <c r="M357" s="80">
        <v>3.16</v>
      </c>
      <c r="N357" s="80">
        <v>3.71</v>
      </c>
      <c r="O357" s="80">
        <v>3.59</v>
      </c>
      <c r="P357" s="80">
        <v>3.46</v>
      </c>
      <c r="Q357" s="80">
        <v>3.32</v>
      </c>
      <c r="R357" s="80">
        <v>3.44</v>
      </c>
      <c r="S357" s="80">
        <v>3.95</v>
      </c>
      <c r="T357" s="80">
        <v>3.91</v>
      </c>
      <c r="U357" s="80">
        <v>4.63</v>
      </c>
      <c r="V357" s="81">
        <v>5.55</v>
      </c>
      <c r="W357" s="105">
        <v>5.82</v>
      </c>
      <c r="X357" s="22">
        <f t="shared" si="13"/>
        <v>3.1757233592096146E-2</v>
      </c>
      <c r="Y357" s="22">
        <f t="shared" si="14"/>
        <v>8.960328317373456E-2</v>
      </c>
      <c r="Z357" s="22">
        <f t="shared" si="15"/>
        <v>0.13245448838669183</v>
      </c>
      <c r="AA357" s="22">
        <f t="shared" si="16"/>
        <v>0.10365853658536595</v>
      </c>
    </row>
    <row r="358" spans="1:27" ht="15" x14ac:dyDescent="0.25">
      <c r="A358" s="4" t="s">
        <v>635</v>
      </c>
      <c r="B358" s="32" t="s">
        <v>536</v>
      </c>
      <c r="C358" s="82" t="s">
        <v>636</v>
      </c>
      <c r="D358" s="80"/>
      <c r="E358" s="80"/>
      <c r="F358" s="82">
        <v>9.8480880041906804</v>
      </c>
      <c r="G358" s="80">
        <v>11.6</v>
      </c>
      <c r="H358" s="80">
        <v>11.75</v>
      </c>
      <c r="I358" s="80">
        <v>12.16</v>
      </c>
      <c r="J358" s="80">
        <v>12.31</v>
      </c>
      <c r="K358" s="80">
        <v>11.17</v>
      </c>
      <c r="L358" s="80">
        <v>9.64</v>
      </c>
      <c r="M358" s="80">
        <v>8.93</v>
      </c>
      <c r="N358" s="80">
        <v>9.0399999999999991</v>
      </c>
      <c r="O358" s="80">
        <v>8.09</v>
      </c>
      <c r="P358" s="80">
        <v>7.27</v>
      </c>
      <c r="Q358" s="80">
        <v>7.47</v>
      </c>
      <c r="R358" s="80">
        <v>9.16</v>
      </c>
      <c r="S358" s="80">
        <v>8.68</v>
      </c>
      <c r="T358" s="80">
        <v>8.57</v>
      </c>
      <c r="U358" s="80">
        <v>9.85</v>
      </c>
      <c r="V358" s="80">
        <v>11.08</v>
      </c>
      <c r="W358" s="106">
        <v>12.44</v>
      </c>
      <c r="X358" s="22">
        <f t="shared" si="13"/>
        <v>3.9901780233271955E-2</v>
      </c>
      <c r="Y358" s="22">
        <f t="shared" si="14"/>
        <v>7.024793388429762E-2</v>
      </c>
      <c r="Z358" s="22">
        <f t="shared" si="15"/>
        <v>5.2950910093767289E-2</v>
      </c>
      <c r="AA358" s="22">
        <f t="shared" si="16"/>
        <v>9.8480880041906804E-2</v>
      </c>
    </row>
    <row r="359" spans="1:27" ht="15" x14ac:dyDescent="0.25">
      <c r="A359" s="4" t="s">
        <v>635</v>
      </c>
      <c r="B359" s="32" t="s">
        <v>537</v>
      </c>
      <c r="C359" s="82" t="s">
        <v>636</v>
      </c>
      <c r="D359" s="80"/>
      <c r="E359" s="80"/>
      <c r="F359" s="82">
        <v>9.8413504251808614</v>
      </c>
      <c r="G359" s="80">
        <v>88.84</v>
      </c>
      <c r="H359" s="80">
        <v>52.74</v>
      </c>
      <c r="I359" s="80">
        <v>45.47</v>
      </c>
      <c r="J359" s="80">
        <v>55.37</v>
      </c>
      <c r="K359" s="81">
        <v>278.18</v>
      </c>
      <c r="L359" s="80">
        <v>50.72</v>
      </c>
      <c r="M359" s="81">
        <v>89.36</v>
      </c>
      <c r="N359" s="80">
        <v>81.05</v>
      </c>
      <c r="O359" s="80">
        <v>25.47</v>
      </c>
      <c r="P359" s="80">
        <v>34.94</v>
      </c>
      <c r="Q359" s="80">
        <v>58.6</v>
      </c>
      <c r="R359" s="80">
        <v>-79.989999999999995</v>
      </c>
      <c r="S359" s="81">
        <v>93.52</v>
      </c>
      <c r="T359" s="81">
        <v>60.46</v>
      </c>
      <c r="U359" s="81">
        <v>102.19</v>
      </c>
      <c r="V359" s="81">
        <v>137.78</v>
      </c>
      <c r="W359" s="106">
        <v>132.29</v>
      </c>
      <c r="X359" s="22">
        <f t="shared" si="13"/>
        <v>0.23834874381245919</v>
      </c>
      <c r="Y359" s="22">
        <f t="shared" si="14"/>
        <v>0.32875782487367067</v>
      </c>
      <c r="Z359" s="22">
        <f t="shared" si="15"/>
        <v>1.2360653876716987</v>
      </c>
      <c r="AA359" s="22">
        <f t="shared" si="16"/>
        <v>9.8413504251808837E-2</v>
      </c>
    </row>
    <row r="360" spans="1:27" ht="15" x14ac:dyDescent="0.25">
      <c r="A360" s="4" t="s">
        <v>635</v>
      </c>
      <c r="B360" s="32" t="s">
        <v>538</v>
      </c>
      <c r="C360" s="82" t="s">
        <v>636</v>
      </c>
      <c r="D360" s="80"/>
      <c r="E360" s="80"/>
      <c r="F360" s="82">
        <v>9.6774193548387011</v>
      </c>
      <c r="G360" s="80">
        <v>2.27</v>
      </c>
      <c r="H360" s="80">
        <v>3.02</v>
      </c>
      <c r="I360" s="80">
        <v>2.48</v>
      </c>
      <c r="J360" s="80">
        <v>2.63</v>
      </c>
      <c r="K360" s="80">
        <v>1.07</v>
      </c>
      <c r="L360" s="80">
        <v>1.89</v>
      </c>
      <c r="M360" s="80">
        <v>-0.25</v>
      </c>
      <c r="N360" s="80">
        <v>0.77</v>
      </c>
      <c r="O360" s="80">
        <v>-6.8</v>
      </c>
      <c r="P360" s="80">
        <v>2.39</v>
      </c>
      <c r="Q360" s="80">
        <v>-0.48</v>
      </c>
      <c r="R360" s="80">
        <v>1.42</v>
      </c>
      <c r="S360" s="80">
        <v>1.08</v>
      </c>
      <c r="T360" s="80">
        <v>2.39</v>
      </c>
      <c r="U360" s="80">
        <v>-0.35</v>
      </c>
      <c r="V360" s="81">
        <v>3.08</v>
      </c>
      <c r="W360" s="106">
        <v>1.68</v>
      </c>
      <c r="X360" s="22">
        <f t="shared" si="13"/>
        <v>0</v>
      </c>
      <c r="Y360" s="22">
        <f t="shared" si="14"/>
        <v>2.9478458049886802E-2</v>
      </c>
      <c r="Z360" s="22">
        <f t="shared" si="15"/>
        <v>0.36563876651982352</v>
      </c>
      <c r="AA360" s="22">
        <f t="shared" si="16"/>
        <v>9.6774193548387011E-2</v>
      </c>
    </row>
    <row r="361" spans="1:27" ht="15" x14ac:dyDescent="0.25">
      <c r="A361" s="4" t="s">
        <v>635</v>
      </c>
      <c r="B361" s="32" t="s">
        <v>539</v>
      </c>
      <c r="C361" s="82" t="s">
        <v>636</v>
      </c>
      <c r="D361" s="80"/>
      <c r="E361" s="80"/>
      <c r="F361" s="82">
        <v>9.375</v>
      </c>
      <c r="G361" s="80">
        <v>3.25</v>
      </c>
      <c r="H361" s="80">
        <v>3.64</v>
      </c>
      <c r="I361" s="80">
        <v>4.37</v>
      </c>
      <c r="J361" s="80">
        <v>3.77</v>
      </c>
      <c r="K361" s="80">
        <v>3.97</v>
      </c>
      <c r="L361" s="80">
        <v>3.44</v>
      </c>
      <c r="M361" s="80">
        <v>3.17</v>
      </c>
      <c r="N361" s="80">
        <v>2.2200000000000002</v>
      </c>
      <c r="O361" s="80">
        <v>2.1800000000000002</v>
      </c>
      <c r="P361" s="80">
        <v>2.72</v>
      </c>
      <c r="Q361" s="80">
        <v>2.37</v>
      </c>
      <c r="R361" s="80">
        <v>2.84</v>
      </c>
      <c r="S361" s="80">
        <v>2.94</v>
      </c>
      <c r="T361" s="80">
        <v>2.3199999999999998</v>
      </c>
      <c r="U361" s="80">
        <v>2.98</v>
      </c>
      <c r="V361" s="81">
        <v>4.24</v>
      </c>
      <c r="W361" s="106">
        <v>4.1100000000000003</v>
      </c>
      <c r="X361" s="22">
        <f t="shared" si="13"/>
        <v>-3.6798528058877511E-2</v>
      </c>
      <c r="Y361" s="22">
        <f t="shared" si="14"/>
        <v>5.8261700095511015E-2</v>
      </c>
      <c r="Z361" s="22">
        <f t="shared" si="15"/>
        <v>0.12635379061371843</v>
      </c>
      <c r="AA361" s="22">
        <f t="shared" si="16"/>
        <v>9.3749999999999778E-2</v>
      </c>
    </row>
    <row r="362" spans="1:27" ht="15" x14ac:dyDescent="0.25">
      <c r="A362" s="4" t="s">
        <v>635</v>
      </c>
      <c r="B362" s="32" t="s">
        <v>540</v>
      </c>
      <c r="C362" s="82" t="s">
        <v>636</v>
      </c>
      <c r="D362" s="80"/>
      <c r="E362" s="80"/>
      <c r="F362" s="82">
        <v>9.1510474090408032</v>
      </c>
      <c r="G362" s="80">
        <v>7.4</v>
      </c>
      <c r="H362" s="80">
        <v>7.69</v>
      </c>
      <c r="I362" s="80">
        <v>7.66</v>
      </c>
      <c r="J362" s="80">
        <v>9.77</v>
      </c>
      <c r="K362" s="80">
        <v>10.55</v>
      </c>
      <c r="L362" s="80">
        <v>10.33</v>
      </c>
      <c r="M362" s="80">
        <v>8.93</v>
      </c>
      <c r="N362" s="80">
        <v>10.81</v>
      </c>
      <c r="O362" s="80">
        <v>10.14</v>
      </c>
      <c r="P362" s="80">
        <v>8.3800000000000008</v>
      </c>
      <c r="Q362" s="80">
        <v>9.2899999999999991</v>
      </c>
      <c r="R362" s="80">
        <v>10.68</v>
      </c>
      <c r="S362" s="80">
        <v>10.65</v>
      </c>
      <c r="T362" s="80">
        <v>10.039999999999999</v>
      </c>
      <c r="U362" s="80">
        <v>8.67</v>
      </c>
      <c r="V362" s="80">
        <v>6.92</v>
      </c>
      <c r="W362" s="106">
        <v>13.97</v>
      </c>
      <c r="X362" s="22">
        <f t="shared" si="13"/>
        <v>4.2564102564102368E-2</v>
      </c>
      <c r="Y362" s="22">
        <f t="shared" si="14"/>
        <v>-1.5248401377274901E-2</v>
      </c>
      <c r="Z362" s="22">
        <f t="shared" si="15"/>
        <v>-9.3906093906093835E-2</v>
      </c>
      <c r="AA362" s="22">
        <f t="shared" si="16"/>
        <v>9.1510474090408023E-2</v>
      </c>
    </row>
    <row r="363" spans="1:27" ht="15" x14ac:dyDescent="0.25">
      <c r="A363" s="4" t="s">
        <v>635</v>
      </c>
      <c r="B363" s="32" t="s">
        <v>541</v>
      </c>
      <c r="C363" s="82" t="s">
        <v>636</v>
      </c>
      <c r="D363" s="80"/>
      <c r="E363" s="80"/>
      <c r="F363" s="82">
        <v>8.996782312275009</v>
      </c>
      <c r="G363" s="80">
        <v>61.58</v>
      </c>
      <c r="H363" s="80">
        <v>71.09</v>
      </c>
      <c r="I363" s="80">
        <v>76.55</v>
      </c>
      <c r="J363" s="80">
        <v>77.069999999999993</v>
      </c>
      <c r="K363" s="80">
        <v>84.12</v>
      </c>
      <c r="L363" s="80">
        <v>70.760000000000005</v>
      </c>
      <c r="M363" s="80">
        <v>64.709999999999994</v>
      </c>
      <c r="N363" s="80">
        <v>61.89</v>
      </c>
      <c r="O363" s="80">
        <v>47.23</v>
      </c>
      <c r="P363" s="80">
        <v>60.64</v>
      </c>
      <c r="Q363" s="80">
        <v>66.599999999999994</v>
      </c>
      <c r="R363" s="80">
        <v>72.38</v>
      </c>
      <c r="S363" s="81">
        <v>79.37</v>
      </c>
      <c r="T363" s="80">
        <v>79.09</v>
      </c>
      <c r="U363" s="80">
        <v>76.61</v>
      </c>
      <c r="V363" s="80">
        <v>78.819999999999993</v>
      </c>
      <c r="W363" s="106">
        <v>107.61</v>
      </c>
      <c r="X363" s="22">
        <f t="shared" si="13"/>
        <v>6.6131402559231445E-2</v>
      </c>
      <c r="Y363" s="22">
        <f t="shared" si="14"/>
        <v>3.3653846153846034E-2</v>
      </c>
      <c r="Z363" s="22">
        <f t="shared" si="15"/>
        <v>2.094649536509996E-2</v>
      </c>
      <c r="AA363" s="22">
        <f t="shared" si="16"/>
        <v>8.996782312275009E-2</v>
      </c>
    </row>
    <row r="364" spans="1:27" ht="15" x14ac:dyDescent="0.25">
      <c r="A364" s="4" t="s">
        <v>635</v>
      </c>
      <c r="B364" s="32" t="s">
        <v>542</v>
      </c>
      <c r="C364" s="82" t="s">
        <v>636</v>
      </c>
      <c r="D364" s="80"/>
      <c r="E364" s="80"/>
      <c r="F364" s="82">
        <v>8.8081305820757692</v>
      </c>
      <c r="G364" s="80">
        <v>12.9</v>
      </c>
      <c r="H364" s="80">
        <v>11.5</v>
      </c>
      <c r="I364" s="80">
        <v>11.94</v>
      </c>
      <c r="J364" s="80">
        <v>12.17</v>
      </c>
      <c r="K364" s="80">
        <v>11.12</v>
      </c>
      <c r="L364" s="80">
        <v>10.62</v>
      </c>
      <c r="M364" s="80">
        <v>8.56</v>
      </c>
      <c r="N364" s="80">
        <v>7.02</v>
      </c>
      <c r="O364" s="80">
        <v>7.3</v>
      </c>
      <c r="P364" s="80">
        <v>7.26</v>
      </c>
      <c r="Q364" s="80">
        <v>7.57</v>
      </c>
      <c r="R364" s="80">
        <v>7.58</v>
      </c>
      <c r="S364" s="80">
        <v>6.67</v>
      </c>
      <c r="T364" s="80">
        <v>7.68</v>
      </c>
      <c r="U364" s="80">
        <v>8.4499999999999993</v>
      </c>
      <c r="V364" s="80">
        <v>9.67</v>
      </c>
      <c r="W364" s="106">
        <v>9.5299999999999994</v>
      </c>
      <c r="X364" s="22">
        <f t="shared" si="13"/>
        <v>1.4442916093535096E-2</v>
      </c>
      <c r="Y364" s="22">
        <f t="shared" si="14"/>
        <v>2.9830508474576245E-2</v>
      </c>
      <c r="Z364" s="22">
        <f t="shared" si="15"/>
        <v>6.8795260039499651E-2</v>
      </c>
      <c r="AA364" s="22">
        <f t="shared" si="16"/>
        <v>8.8081305820757683E-2</v>
      </c>
    </row>
    <row r="365" spans="1:27" ht="15" x14ac:dyDescent="0.25">
      <c r="A365" s="4" t="s">
        <v>635</v>
      </c>
      <c r="B365" s="32" t="s">
        <v>543</v>
      </c>
      <c r="C365" s="82" t="s">
        <v>636</v>
      </c>
      <c r="D365" s="80"/>
      <c r="E365" s="80"/>
      <c r="F365" s="82">
        <v>8.6421193907918479</v>
      </c>
      <c r="G365" s="80">
        <v>56.5</v>
      </c>
      <c r="H365" s="80">
        <v>59.69</v>
      </c>
      <c r="I365" s="80">
        <v>28.47</v>
      </c>
      <c r="J365" s="80">
        <v>49.2</v>
      </c>
      <c r="K365" s="80">
        <v>52.31</v>
      </c>
      <c r="L365" s="80">
        <v>31.13</v>
      </c>
      <c r="M365" s="80">
        <v>36.869999999999997</v>
      </c>
      <c r="N365" s="80">
        <v>34.630000000000003</v>
      </c>
      <c r="O365" s="80">
        <v>24.89</v>
      </c>
      <c r="P365" s="80">
        <v>2.66</v>
      </c>
      <c r="Q365" s="80">
        <v>-79.37</v>
      </c>
      <c r="R365" s="81">
        <v>26.68</v>
      </c>
      <c r="S365" s="81">
        <v>19.8</v>
      </c>
      <c r="T365" s="80">
        <v>2.4500000000000002</v>
      </c>
      <c r="U365" s="81">
        <v>-109.2</v>
      </c>
      <c r="V365" s="81">
        <v>-84.42</v>
      </c>
      <c r="W365" s="106">
        <v>4.99</v>
      </c>
      <c r="X365" s="22">
        <f t="shared" si="13"/>
        <v>6.9467416473698584E-3</v>
      </c>
      <c r="Y365" s="22">
        <f t="shared" si="14"/>
        <v>0.97996057818659632</v>
      </c>
      <c r="Z365" s="22">
        <f t="shared" si="15"/>
        <v>1.8433714949394395</v>
      </c>
      <c r="AA365" s="22">
        <f t="shared" si="16"/>
        <v>8.642119390791847E-2</v>
      </c>
    </row>
    <row r="366" spans="1:27" ht="15" x14ac:dyDescent="0.25">
      <c r="A366" s="4" t="s">
        <v>635</v>
      </c>
      <c r="B366" s="32" t="s">
        <v>544</v>
      </c>
      <c r="C366" s="82" t="s">
        <v>636</v>
      </c>
      <c r="D366" s="80"/>
      <c r="E366" s="80"/>
      <c r="F366" s="82">
        <v>8.4675254965109978</v>
      </c>
      <c r="G366" s="80">
        <v>21.63</v>
      </c>
      <c r="H366" s="80">
        <v>22.71</v>
      </c>
      <c r="I366" s="80">
        <v>23.46</v>
      </c>
      <c r="J366" s="80">
        <v>25.74</v>
      </c>
      <c r="K366" s="80">
        <v>27.51</v>
      </c>
      <c r="L366" s="80">
        <v>23.66</v>
      </c>
      <c r="M366" s="80">
        <v>21.82</v>
      </c>
      <c r="N366" s="80">
        <v>19.239999999999998</v>
      </c>
      <c r="O366" s="80">
        <v>12.9</v>
      </c>
      <c r="P366" s="80">
        <v>15.92</v>
      </c>
      <c r="Q366" s="80">
        <v>16.48</v>
      </c>
      <c r="R366" s="80">
        <v>16.899999999999999</v>
      </c>
      <c r="S366" s="80">
        <v>14.75</v>
      </c>
      <c r="T366" s="80">
        <v>18.72</v>
      </c>
      <c r="U366" s="80">
        <v>19.73</v>
      </c>
      <c r="V366" s="80">
        <v>21.32</v>
      </c>
      <c r="W366" s="106">
        <v>21.06</v>
      </c>
      <c r="X366" s="22">
        <f t="shared" si="13"/>
        <v>4.3715846994535568E-2</v>
      </c>
      <c r="Y366" s="22">
        <f t="shared" si="14"/>
        <v>4.8616305160807727E-2</v>
      </c>
      <c r="Z366" s="22">
        <f t="shared" si="15"/>
        <v>6.3052781740371211E-2</v>
      </c>
      <c r="AA366" s="22">
        <f t="shared" si="16"/>
        <v>8.467525496510997E-2</v>
      </c>
    </row>
    <row r="367" spans="1:27" ht="15" x14ac:dyDescent="0.25">
      <c r="A367" s="4" t="s">
        <v>635</v>
      </c>
      <c r="B367" s="32" t="s">
        <v>545</v>
      </c>
      <c r="C367" s="82" t="s">
        <v>636</v>
      </c>
      <c r="D367" s="80"/>
      <c r="E367" s="80"/>
      <c r="F367" s="82">
        <v>8.4544253632760977</v>
      </c>
      <c r="G367" s="80">
        <v>3059</v>
      </c>
      <c r="H367" s="80">
        <v>2945</v>
      </c>
      <c r="I367" s="80">
        <v>2564</v>
      </c>
      <c r="J367" s="80">
        <v>2187</v>
      </c>
      <c r="K367" s="80">
        <v>1544</v>
      </c>
      <c r="L367" s="80">
        <v>1163</v>
      </c>
      <c r="M367" s="80">
        <v>1728</v>
      </c>
      <c r="N367" s="80">
        <v>2222</v>
      </c>
      <c r="O367" s="80">
        <v>932</v>
      </c>
      <c r="P367" s="80">
        <v>1582</v>
      </c>
      <c r="Q367" s="80">
        <v>651</v>
      </c>
      <c r="R367" s="80">
        <v>2218</v>
      </c>
      <c r="S367" s="80">
        <v>1459</v>
      </c>
      <c r="T367" s="80">
        <v>1729</v>
      </c>
      <c r="U367" s="80">
        <v>0</v>
      </c>
      <c r="V367" s="81">
        <v>4382</v>
      </c>
      <c r="W367" s="106">
        <v>2099</v>
      </c>
      <c r="X367" s="22">
        <f t="shared" si="13"/>
        <v>2.4873096446700549E-2</v>
      </c>
      <c r="Y367" s="22">
        <f t="shared" si="14"/>
        <v>-0.10747894997523522</v>
      </c>
      <c r="Z367" s="22">
        <f t="shared" si="15"/>
        <v>0.40029596744358131</v>
      </c>
      <c r="AA367" s="22">
        <f t="shared" si="16"/>
        <v>8.4544253632760968E-2</v>
      </c>
    </row>
    <row r="368" spans="1:27" ht="15" x14ac:dyDescent="0.25">
      <c r="A368" s="4" t="s">
        <v>635</v>
      </c>
      <c r="B368" s="32" t="s">
        <v>546</v>
      </c>
      <c r="C368" s="82" t="s">
        <v>636</v>
      </c>
      <c r="D368" s="80"/>
      <c r="E368" s="80"/>
      <c r="F368" s="82">
        <v>8.1037735849056602</v>
      </c>
      <c r="G368" s="80">
        <v>2121</v>
      </c>
      <c r="H368" s="80">
        <v>1921</v>
      </c>
      <c r="I368" s="80">
        <v>2329</v>
      </c>
      <c r="J368" s="80">
        <v>2776</v>
      </c>
      <c r="K368" s="80">
        <v>2743</v>
      </c>
      <c r="L368" s="80">
        <v>2304</v>
      </c>
      <c r="M368" s="80">
        <v>1713</v>
      </c>
      <c r="N368" s="80">
        <v>1759</v>
      </c>
      <c r="O368" s="80">
        <v>1738</v>
      </c>
      <c r="P368" s="80">
        <v>1829</v>
      </c>
      <c r="Q368" s="80">
        <v>1792</v>
      </c>
      <c r="R368" s="80">
        <v>1862</v>
      </c>
      <c r="S368" s="80">
        <v>2321</v>
      </c>
      <c r="T368" s="80">
        <v>2455</v>
      </c>
      <c r="U368" s="81">
        <v>2803</v>
      </c>
      <c r="V368" s="81">
        <v>3021</v>
      </c>
      <c r="W368" s="106">
        <v>3180</v>
      </c>
      <c r="X368" s="22">
        <f t="shared" si="13"/>
        <v>8.0215274218349508E-2</v>
      </c>
      <c r="Y368" s="22">
        <f t="shared" si="14"/>
        <v>0.11992882562277574</v>
      </c>
      <c r="Z368" s="22">
        <f t="shared" si="15"/>
        <v>0.12276241923525055</v>
      </c>
      <c r="AA368" s="22">
        <f t="shared" si="16"/>
        <v>8.1037735849056602E-2</v>
      </c>
    </row>
    <row r="369" spans="1:27" ht="15" x14ac:dyDescent="0.25">
      <c r="A369" s="4" t="s">
        <v>635</v>
      </c>
      <c r="B369" s="32" t="s">
        <v>547</v>
      </c>
      <c r="C369" s="82" t="s">
        <v>636</v>
      </c>
      <c r="D369" s="80"/>
      <c r="E369" s="80"/>
      <c r="F369" s="82">
        <v>7.8276980083372028</v>
      </c>
      <c r="G369" s="80">
        <v>684</v>
      </c>
      <c r="H369" s="80">
        <v>536</v>
      </c>
      <c r="I369" s="80">
        <v>478</v>
      </c>
      <c r="J369" s="80">
        <v>813</v>
      </c>
      <c r="K369" s="80">
        <v>828</v>
      </c>
      <c r="L369" s="80">
        <v>664</v>
      </c>
      <c r="M369" s="80">
        <v>612</v>
      </c>
      <c r="N369" s="80">
        <v>549</v>
      </c>
      <c r="O369" s="80">
        <v>205</v>
      </c>
      <c r="P369" s="80">
        <v>430</v>
      </c>
      <c r="Q369" s="80">
        <v>480</v>
      </c>
      <c r="R369" s="80">
        <v>470</v>
      </c>
      <c r="S369" s="81">
        <v>508</v>
      </c>
      <c r="T369" s="80">
        <v>468</v>
      </c>
      <c r="U369" s="80">
        <v>554</v>
      </c>
      <c r="V369" s="80">
        <v>629</v>
      </c>
      <c r="W369" s="106">
        <v>677</v>
      </c>
      <c r="X369" s="22">
        <f t="shared" si="13"/>
        <v>2.0127118644067687E-2</v>
      </c>
      <c r="Y369" s="22">
        <f t="shared" si="14"/>
        <v>3.8421599169262688E-2</v>
      </c>
      <c r="Z369" s="22">
        <f t="shared" si="15"/>
        <v>7.9499999999999904E-2</v>
      </c>
      <c r="AA369" s="22">
        <f t="shared" si="16"/>
        <v>7.8276980083372028E-2</v>
      </c>
    </row>
    <row r="370" spans="1:27" ht="15" x14ac:dyDescent="0.25">
      <c r="A370" s="4" t="s">
        <v>635</v>
      </c>
      <c r="B370" s="32" t="s">
        <v>548</v>
      </c>
      <c r="C370" s="82" t="s">
        <v>636</v>
      </c>
      <c r="D370" s="80"/>
      <c r="E370" s="80"/>
      <c r="F370" s="82">
        <v>7.7796662546353534</v>
      </c>
      <c r="G370" s="80">
        <v>12.67</v>
      </c>
      <c r="H370" s="80">
        <v>42.66</v>
      </c>
      <c r="I370" s="80">
        <v>46.14</v>
      </c>
      <c r="J370" s="80">
        <v>48.15</v>
      </c>
      <c r="K370" s="81">
        <v>48.27</v>
      </c>
      <c r="L370" s="80">
        <v>19.350000000000001</v>
      </c>
      <c r="M370" s="80">
        <v>37.270000000000003</v>
      </c>
      <c r="N370" s="80">
        <v>37.659999999999997</v>
      </c>
      <c r="O370" s="80">
        <v>37.69</v>
      </c>
      <c r="P370" s="80">
        <v>31.78</v>
      </c>
      <c r="Q370" s="80">
        <v>36.880000000000003</v>
      </c>
      <c r="R370" s="80">
        <v>22.57</v>
      </c>
      <c r="S370" s="80">
        <v>6.88</v>
      </c>
      <c r="T370" s="81">
        <v>46.78</v>
      </c>
      <c r="U370" s="81">
        <v>49.82</v>
      </c>
      <c r="V370" s="80">
        <v>25.96</v>
      </c>
      <c r="W370" s="106">
        <v>16.95</v>
      </c>
      <c r="X370" s="22">
        <f t="shared" si="13"/>
        <v>0.15288961369890952</v>
      </c>
      <c r="Y370" s="22">
        <f t="shared" si="14"/>
        <v>0.11440190964547803</v>
      </c>
      <c r="Z370" s="22">
        <f t="shared" si="15"/>
        <v>2.689408964696538E-2</v>
      </c>
      <c r="AA370" s="22">
        <f t="shared" si="16"/>
        <v>7.7796662546353534E-2</v>
      </c>
    </row>
    <row r="371" spans="1:27" ht="15" x14ac:dyDescent="0.25">
      <c r="A371" s="4" t="s">
        <v>635</v>
      </c>
      <c r="B371" s="32" t="s">
        <v>549</v>
      </c>
      <c r="C371" s="82" t="s">
        <v>636</v>
      </c>
      <c r="D371" s="80"/>
      <c r="E371" s="80"/>
      <c r="F371" s="82">
        <v>7.5550891920251884</v>
      </c>
      <c r="G371" s="80">
        <v>8.42</v>
      </c>
      <c r="H371" s="80">
        <v>10.51</v>
      </c>
      <c r="I371" s="80">
        <v>13.12</v>
      </c>
      <c r="J371" s="80">
        <v>14.75</v>
      </c>
      <c r="K371" s="81">
        <v>16.53</v>
      </c>
      <c r="L371" s="80">
        <v>14.83</v>
      </c>
      <c r="M371" s="80">
        <v>11.18</v>
      </c>
      <c r="N371" s="80">
        <v>2.39</v>
      </c>
      <c r="O371" s="80">
        <v>7.83</v>
      </c>
      <c r="P371" s="80">
        <v>11.99</v>
      </c>
      <c r="Q371" s="80">
        <v>10.33</v>
      </c>
      <c r="R371" s="81">
        <v>10.75</v>
      </c>
      <c r="S371" s="81">
        <v>12.39</v>
      </c>
      <c r="T371" s="80">
        <v>13.56</v>
      </c>
      <c r="U371" s="80">
        <v>14.26</v>
      </c>
      <c r="V371" s="81">
        <v>16.97</v>
      </c>
      <c r="W371" s="106">
        <v>16.71</v>
      </c>
      <c r="X371" s="22">
        <f t="shared" si="13"/>
        <v>3.453585569731632E-2</v>
      </c>
      <c r="Y371" s="22">
        <f t="shared" si="14"/>
        <v>8.3563682755687818E-2</v>
      </c>
      <c r="Z371" s="22">
        <f t="shared" si="15"/>
        <v>0.12205651491365765</v>
      </c>
      <c r="AA371" s="22">
        <f t="shared" si="16"/>
        <v>7.5550891920251884E-2</v>
      </c>
    </row>
    <row r="372" spans="1:27" ht="15" x14ac:dyDescent="0.25">
      <c r="A372" s="4" t="s">
        <v>635</v>
      </c>
      <c r="B372" s="32" t="s">
        <v>550</v>
      </c>
      <c r="C372" s="82" t="s">
        <v>636</v>
      </c>
      <c r="D372" s="80"/>
      <c r="E372" s="80"/>
      <c r="F372" s="82">
        <v>7.4932483286846541</v>
      </c>
      <c r="G372" s="80">
        <v>80.47</v>
      </c>
      <c r="H372" s="80">
        <v>77.540000000000006</v>
      </c>
      <c r="I372" s="80">
        <v>85.99</v>
      </c>
      <c r="J372" s="80">
        <v>86.23</v>
      </c>
      <c r="K372" s="80">
        <v>97.26</v>
      </c>
      <c r="L372" s="80">
        <v>83.18</v>
      </c>
      <c r="M372" s="80">
        <v>95.67</v>
      </c>
      <c r="N372" s="80">
        <v>88.85</v>
      </c>
      <c r="O372" s="80">
        <v>81.02</v>
      </c>
      <c r="P372" s="80">
        <v>75.55</v>
      </c>
      <c r="Q372" s="80">
        <v>103.17</v>
      </c>
      <c r="R372" s="80">
        <v>79.66</v>
      </c>
      <c r="S372" s="80">
        <v>86.24</v>
      </c>
      <c r="T372" s="81">
        <v>115.06</v>
      </c>
      <c r="U372" s="80">
        <v>122.65</v>
      </c>
      <c r="V372" s="81">
        <v>127.79</v>
      </c>
      <c r="W372" s="106">
        <v>120.09</v>
      </c>
      <c r="X372" s="22">
        <f t="shared" si="13"/>
        <v>0.11464801810690028</v>
      </c>
      <c r="Y372" s="22">
        <f t="shared" si="14"/>
        <v>5.0711998542160241E-2</v>
      </c>
      <c r="Z372" s="22">
        <f t="shared" si="15"/>
        <v>0.11924877976264225</v>
      </c>
      <c r="AA372" s="22">
        <f t="shared" si="16"/>
        <v>7.4932483286846319E-2</v>
      </c>
    </row>
    <row r="373" spans="1:27" ht="15" x14ac:dyDescent="0.25">
      <c r="A373" s="4" t="s">
        <v>635</v>
      </c>
      <c r="B373" s="32" t="s">
        <v>551</v>
      </c>
      <c r="C373" s="82" t="s">
        <v>636</v>
      </c>
      <c r="D373" s="80"/>
      <c r="E373" s="80"/>
      <c r="F373" s="82">
        <v>7.3529411764705843</v>
      </c>
      <c r="G373" s="80">
        <v>2.2200000000000002</v>
      </c>
      <c r="H373" s="80">
        <v>1.27</v>
      </c>
      <c r="I373" s="80">
        <v>2.02</v>
      </c>
      <c r="J373" s="80">
        <v>2.14</v>
      </c>
      <c r="K373" s="80">
        <v>1.44</v>
      </c>
      <c r="L373" s="80">
        <v>1.95</v>
      </c>
      <c r="M373" s="80">
        <v>1.05</v>
      </c>
      <c r="N373" s="80">
        <v>1.9</v>
      </c>
      <c r="O373" s="80">
        <v>1.31</v>
      </c>
      <c r="P373" s="80">
        <v>1.2</v>
      </c>
      <c r="Q373" s="80">
        <v>1.33</v>
      </c>
      <c r="R373" s="80">
        <v>1.59</v>
      </c>
      <c r="S373" s="80">
        <v>1.75</v>
      </c>
      <c r="T373" s="80">
        <v>1.26</v>
      </c>
      <c r="U373" s="81">
        <v>2.2999999999999998</v>
      </c>
      <c r="V373" s="81">
        <v>2.85</v>
      </c>
      <c r="W373" s="106">
        <v>2.35</v>
      </c>
      <c r="X373" s="22">
        <f t="shared" si="13"/>
        <v>1.0221465076660996E-2</v>
      </c>
      <c r="Y373" s="22">
        <f t="shared" si="14"/>
        <v>0.16357504215851604</v>
      </c>
      <c r="Z373" s="22">
        <f t="shared" si="15"/>
        <v>0.18260869565217397</v>
      </c>
      <c r="AA373" s="22">
        <f t="shared" si="16"/>
        <v>7.3529411764705843E-2</v>
      </c>
    </row>
    <row r="374" spans="1:27" ht="15" x14ac:dyDescent="0.25">
      <c r="A374" s="4" t="s">
        <v>635</v>
      </c>
      <c r="B374" s="32" t="s">
        <v>552</v>
      </c>
      <c r="C374" s="82" t="s">
        <v>636</v>
      </c>
      <c r="D374" s="80"/>
      <c r="E374" s="80"/>
      <c r="F374" s="82">
        <v>7.3452544704263989</v>
      </c>
      <c r="G374" s="80">
        <v>98.56</v>
      </c>
      <c r="H374" s="80">
        <v>98.08</v>
      </c>
      <c r="I374" s="80">
        <v>113.16</v>
      </c>
      <c r="J374" s="80">
        <v>130.02000000000001</v>
      </c>
      <c r="K374" s="80">
        <v>131.28</v>
      </c>
      <c r="L374" s="80">
        <v>115.39</v>
      </c>
      <c r="M374" s="80">
        <v>102.67</v>
      </c>
      <c r="N374" s="80">
        <v>92.5</v>
      </c>
      <c r="O374" s="80">
        <v>93.02</v>
      </c>
      <c r="P374" s="80">
        <v>80.040000000000006</v>
      </c>
      <c r="Q374" s="80">
        <v>72.58</v>
      </c>
      <c r="R374" s="80">
        <v>78.150000000000006</v>
      </c>
      <c r="S374" s="80">
        <v>86.77</v>
      </c>
      <c r="T374" s="80">
        <v>86.69</v>
      </c>
      <c r="U374" s="80">
        <v>96.28</v>
      </c>
      <c r="V374" s="80">
        <v>93.76</v>
      </c>
      <c r="W374" s="106">
        <v>113.47</v>
      </c>
      <c r="X374" s="22">
        <f t="shared" si="13"/>
        <v>2.0942243496882229E-2</v>
      </c>
      <c r="Y374" s="22">
        <f t="shared" si="14"/>
        <v>7.3105277769209387E-2</v>
      </c>
      <c r="Z374" s="22">
        <f t="shared" si="15"/>
        <v>4.4870505044698028E-2</v>
      </c>
      <c r="AA374" s="22">
        <f t="shared" si="16"/>
        <v>7.3452544704264211E-2</v>
      </c>
    </row>
    <row r="375" spans="1:27" ht="15" x14ac:dyDescent="0.25">
      <c r="A375" s="4" t="s">
        <v>635</v>
      </c>
      <c r="B375" s="32" t="s">
        <v>553</v>
      </c>
      <c r="C375" s="82" t="s">
        <v>636</v>
      </c>
      <c r="D375" s="80"/>
      <c r="E375" s="80"/>
      <c r="F375" s="82">
        <v>7.1600688468158369</v>
      </c>
      <c r="G375" s="80">
        <v>3.08</v>
      </c>
      <c r="H375" s="80">
        <v>4.91</v>
      </c>
      <c r="I375" s="80">
        <v>4.97</v>
      </c>
      <c r="J375" s="80">
        <v>6.75</v>
      </c>
      <c r="K375" s="81">
        <v>7.2</v>
      </c>
      <c r="L375" s="81">
        <v>8.85</v>
      </c>
      <c r="M375" s="80">
        <v>7.5</v>
      </c>
      <c r="N375" s="80">
        <v>6.25</v>
      </c>
      <c r="O375" s="80">
        <v>8.9</v>
      </c>
      <c r="P375" s="80">
        <v>2.98</v>
      </c>
      <c r="Q375" s="80">
        <v>7.46</v>
      </c>
      <c r="R375" s="81">
        <v>10.119999999999999</v>
      </c>
      <c r="S375" s="80">
        <v>6.65</v>
      </c>
      <c r="T375" s="81">
        <v>6.59</v>
      </c>
      <c r="U375" s="80">
        <v>7.03</v>
      </c>
      <c r="V375" s="80">
        <v>8.7799999999999994</v>
      </c>
      <c r="W375" s="106">
        <v>8.73</v>
      </c>
      <c r="X375" s="22">
        <f t="shared" si="13"/>
        <v>0.13267181183388455</v>
      </c>
      <c r="Y375" s="22">
        <f t="shared" si="14"/>
        <v>-1.395197923426339E-2</v>
      </c>
      <c r="Z375" s="22">
        <f t="shared" si="15"/>
        <v>-4.4093451793353222E-2</v>
      </c>
      <c r="AA375" s="22">
        <f t="shared" si="16"/>
        <v>7.1600688468158369E-2</v>
      </c>
    </row>
    <row r="376" spans="1:27" ht="15" x14ac:dyDescent="0.25">
      <c r="A376" s="4" t="s">
        <v>635</v>
      </c>
      <c r="B376" s="32" t="s">
        <v>554</v>
      </c>
      <c r="C376" s="82" t="s">
        <v>636</v>
      </c>
      <c r="D376" s="80"/>
      <c r="E376" s="80"/>
      <c r="F376" s="82">
        <v>7.1323637432055387</v>
      </c>
      <c r="G376" s="80">
        <v>93.34</v>
      </c>
      <c r="H376" s="80">
        <v>101.76</v>
      </c>
      <c r="I376" s="80">
        <v>119.14</v>
      </c>
      <c r="J376" s="80">
        <v>128.5</v>
      </c>
      <c r="K376" s="80">
        <v>126.37</v>
      </c>
      <c r="L376" s="80">
        <v>122.76</v>
      </c>
      <c r="M376" s="80">
        <v>115.91</v>
      </c>
      <c r="N376" s="80">
        <v>120.94</v>
      </c>
      <c r="O376" s="80">
        <v>104.2</v>
      </c>
      <c r="P376" s="80">
        <v>108.22</v>
      </c>
      <c r="Q376" s="80">
        <v>115.39</v>
      </c>
      <c r="R376" s="80">
        <v>119.92</v>
      </c>
      <c r="S376" s="80">
        <v>121.06</v>
      </c>
      <c r="T376" s="80">
        <v>106.93</v>
      </c>
      <c r="U376" s="80">
        <v>152.09</v>
      </c>
      <c r="V376" s="80">
        <v>164.48</v>
      </c>
      <c r="W376" s="106">
        <v>159.9</v>
      </c>
      <c r="X376" s="22">
        <f t="shared" ref="X376:X439" si="17">SUM(Q376:T376)/SUM(P376:S376)-1</f>
        <v>-2.7766417701630131E-3</v>
      </c>
      <c r="Y376" s="22">
        <f t="shared" ref="Y376:Y439" si="18">SUM(R376:U376)/SUM(Q376:T376)-1</f>
        <v>7.9214331966328544E-2</v>
      </c>
      <c r="Z376" s="22">
        <f t="shared" ref="Z376:Z439" si="19">SUM(S376:V376)/SUM(R376:U376)-1</f>
        <v>8.9120000000000088E-2</v>
      </c>
      <c r="AA376" s="22">
        <f t="shared" ref="AA376:AA439" si="20">SUM(T376:W376)/SUM(S376:V376)-1</f>
        <v>7.1323637432055165E-2</v>
      </c>
    </row>
    <row r="377" spans="1:27" ht="15" x14ac:dyDescent="0.25">
      <c r="A377" s="4" t="s">
        <v>635</v>
      </c>
      <c r="B377" s="32" t="s">
        <v>555</v>
      </c>
      <c r="C377" s="82" t="s">
        <v>636</v>
      </c>
      <c r="D377" s="80"/>
      <c r="E377" s="80"/>
      <c r="F377" s="82">
        <v>7.0728768271598463</v>
      </c>
      <c r="G377" s="80">
        <v>36.270000000000003</v>
      </c>
      <c r="H377" s="80">
        <v>35.19</v>
      </c>
      <c r="I377" s="80">
        <v>38.130000000000003</v>
      </c>
      <c r="J377" s="80">
        <v>42.44</v>
      </c>
      <c r="K377" s="80">
        <v>41.02</v>
      </c>
      <c r="L377" s="80">
        <v>40.42</v>
      </c>
      <c r="M377" s="80">
        <v>42.07</v>
      </c>
      <c r="N377" s="80">
        <v>42.67</v>
      </c>
      <c r="O377" s="80">
        <v>36.520000000000003</v>
      </c>
      <c r="P377" s="80">
        <v>37.89</v>
      </c>
      <c r="Q377" s="80">
        <v>47.72</v>
      </c>
      <c r="R377" s="80">
        <v>45.38</v>
      </c>
      <c r="S377" s="80">
        <v>40.06</v>
      </c>
      <c r="T377" s="80">
        <v>47.7</v>
      </c>
      <c r="U377" s="80">
        <v>48.13</v>
      </c>
      <c r="V377" s="80">
        <v>54.98</v>
      </c>
      <c r="W377" s="106">
        <v>53.56</v>
      </c>
      <c r="X377" s="22">
        <f t="shared" si="17"/>
        <v>5.7351651563870121E-2</v>
      </c>
      <c r="Y377" s="22">
        <f t="shared" si="18"/>
        <v>2.266946809686976E-3</v>
      </c>
      <c r="Z377" s="22">
        <f t="shared" si="19"/>
        <v>5.2959673415347464E-2</v>
      </c>
      <c r="AA377" s="22">
        <f t="shared" si="20"/>
        <v>7.0728768271598463E-2</v>
      </c>
    </row>
    <row r="378" spans="1:27" ht="15" x14ac:dyDescent="0.25">
      <c r="A378" s="4" t="s">
        <v>635</v>
      </c>
      <c r="B378" s="32" t="s">
        <v>556</v>
      </c>
      <c r="C378" s="82" t="s">
        <v>636</v>
      </c>
      <c r="D378" s="80"/>
      <c r="E378" s="80"/>
      <c r="F378" s="82">
        <v>6.8839704397489987</v>
      </c>
      <c r="G378" s="80">
        <v>277.08</v>
      </c>
      <c r="H378" s="80">
        <v>297.91000000000003</v>
      </c>
      <c r="I378" s="80">
        <v>341.04</v>
      </c>
      <c r="J378" s="80">
        <v>384.39</v>
      </c>
      <c r="K378" s="80">
        <v>388.32</v>
      </c>
      <c r="L378" s="80">
        <v>421.39</v>
      </c>
      <c r="M378" s="80">
        <v>357.59</v>
      </c>
      <c r="N378" s="80">
        <v>353.55</v>
      </c>
      <c r="O378" s="80">
        <v>327.24</v>
      </c>
      <c r="P378" s="80">
        <v>372.25</v>
      </c>
      <c r="Q378" s="80">
        <v>364.47</v>
      </c>
      <c r="R378" s="80">
        <v>389.32</v>
      </c>
      <c r="S378" s="80">
        <v>355.82</v>
      </c>
      <c r="T378" s="80">
        <v>391.16</v>
      </c>
      <c r="U378" s="80">
        <v>402.23</v>
      </c>
      <c r="V378" s="80">
        <v>465.12</v>
      </c>
      <c r="W378" s="106">
        <v>466.95</v>
      </c>
      <c r="X378" s="22">
        <f t="shared" si="17"/>
        <v>1.2760989567165648E-2</v>
      </c>
      <c r="Y378" s="22">
        <f t="shared" si="18"/>
        <v>2.5160417652271727E-2</v>
      </c>
      <c r="Z378" s="22">
        <f t="shared" si="19"/>
        <v>4.9267807582562551E-2</v>
      </c>
      <c r="AA378" s="22">
        <f t="shared" si="20"/>
        <v>6.8839704397490209E-2</v>
      </c>
    </row>
    <row r="379" spans="1:27" ht="15" x14ac:dyDescent="0.25">
      <c r="A379" s="4" t="s">
        <v>635</v>
      </c>
      <c r="B379" s="32" t="s">
        <v>557</v>
      </c>
      <c r="C379" s="82" t="s">
        <v>636</v>
      </c>
      <c r="D379" s="80"/>
      <c r="E379" s="80"/>
      <c r="F379" s="82">
        <v>6.8494931115154589</v>
      </c>
      <c r="G379" s="80">
        <v>1738</v>
      </c>
      <c r="H379" s="80">
        <v>1269</v>
      </c>
      <c r="I379" s="80">
        <v>745</v>
      </c>
      <c r="J379" s="80">
        <v>616</v>
      </c>
      <c r="K379" s="80">
        <v>1075</v>
      </c>
      <c r="L379" s="80">
        <v>1016</v>
      </c>
      <c r="M379" s="80">
        <v>44</v>
      </c>
      <c r="N379" s="80">
        <v>570</v>
      </c>
      <c r="O379" s="81">
        <v>2117</v>
      </c>
      <c r="P379" s="81">
        <v>1468</v>
      </c>
      <c r="Q379" s="81">
        <v>754</v>
      </c>
      <c r="R379" s="81">
        <v>1658</v>
      </c>
      <c r="S379" s="80">
        <v>2692</v>
      </c>
      <c r="T379" s="80">
        <v>567</v>
      </c>
      <c r="U379" s="81">
        <v>1980</v>
      </c>
      <c r="V379" s="81">
        <v>2455</v>
      </c>
      <c r="W379" s="106">
        <v>3219</v>
      </c>
      <c r="X379" s="22">
        <f t="shared" si="17"/>
        <v>-0.13709677419354838</v>
      </c>
      <c r="Y379" s="22">
        <f t="shared" si="18"/>
        <v>0.21618762123082358</v>
      </c>
      <c r="Z379" s="22">
        <f t="shared" si="19"/>
        <v>0.11555748876323046</v>
      </c>
      <c r="AA379" s="22">
        <f t="shared" si="20"/>
        <v>6.8494931115154589E-2</v>
      </c>
    </row>
    <row r="380" spans="1:27" ht="15" x14ac:dyDescent="0.25">
      <c r="A380" s="4" t="s">
        <v>635</v>
      </c>
      <c r="B380" s="32" t="s">
        <v>558</v>
      </c>
      <c r="C380" s="82" t="s">
        <v>636</v>
      </c>
      <c r="D380" s="80"/>
      <c r="E380" s="80"/>
      <c r="F380" s="82">
        <v>6.7455621301775182</v>
      </c>
      <c r="G380" s="80">
        <v>709</v>
      </c>
      <c r="H380" s="80">
        <v>742</v>
      </c>
      <c r="I380" s="80">
        <v>766</v>
      </c>
      <c r="J380" s="80">
        <v>766</v>
      </c>
      <c r="K380" s="80">
        <v>617</v>
      </c>
      <c r="L380" s="80">
        <v>658</v>
      </c>
      <c r="M380" s="80">
        <v>689</v>
      </c>
      <c r="N380" s="80">
        <v>717</v>
      </c>
      <c r="O380" s="80">
        <v>722</v>
      </c>
      <c r="P380" s="80">
        <v>724</v>
      </c>
      <c r="Q380" s="80">
        <v>751</v>
      </c>
      <c r="R380" s="80">
        <v>737</v>
      </c>
      <c r="S380" s="80">
        <v>748</v>
      </c>
      <c r="T380" s="80">
        <v>802</v>
      </c>
      <c r="U380" s="80">
        <v>891</v>
      </c>
      <c r="V380" s="80">
        <v>939</v>
      </c>
      <c r="W380" s="106">
        <v>976</v>
      </c>
      <c r="X380" s="22">
        <f t="shared" si="17"/>
        <v>2.635135135135136E-2</v>
      </c>
      <c r="Y380" s="22">
        <f t="shared" si="18"/>
        <v>4.6082949308755783E-2</v>
      </c>
      <c r="Z380" s="22">
        <f t="shared" si="19"/>
        <v>6.3561988672120817E-2</v>
      </c>
      <c r="AA380" s="22">
        <f t="shared" si="20"/>
        <v>6.7455621301775182E-2</v>
      </c>
    </row>
    <row r="381" spans="1:27" ht="15" x14ac:dyDescent="0.25">
      <c r="A381" s="4" t="s">
        <v>635</v>
      </c>
      <c r="B381" s="32" t="s">
        <v>559</v>
      </c>
      <c r="C381" s="82" t="s">
        <v>636</v>
      </c>
      <c r="D381" s="80"/>
      <c r="E381" s="80"/>
      <c r="F381" s="82">
        <v>6.2386980108499079</v>
      </c>
      <c r="G381" s="80">
        <v>269</v>
      </c>
      <c r="H381" s="80">
        <v>255</v>
      </c>
      <c r="I381" s="80">
        <v>260</v>
      </c>
      <c r="J381" s="80">
        <v>278</v>
      </c>
      <c r="K381" s="80">
        <v>359</v>
      </c>
      <c r="L381" s="80">
        <v>282</v>
      </c>
      <c r="M381" s="80">
        <v>226</v>
      </c>
      <c r="N381" s="80">
        <v>228</v>
      </c>
      <c r="O381" s="80">
        <v>150</v>
      </c>
      <c r="P381" s="80">
        <v>203</v>
      </c>
      <c r="Q381" s="80">
        <v>262</v>
      </c>
      <c r="R381" s="80">
        <v>277</v>
      </c>
      <c r="S381" s="81">
        <v>270</v>
      </c>
      <c r="T381" s="80">
        <v>239</v>
      </c>
      <c r="U381" s="80">
        <v>312</v>
      </c>
      <c r="V381" s="80">
        <v>285</v>
      </c>
      <c r="W381" s="106">
        <v>339</v>
      </c>
      <c r="X381" s="22">
        <f t="shared" si="17"/>
        <v>3.5573122529644285E-2</v>
      </c>
      <c r="Y381" s="22">
        <f t="shared" si="18"/>
        <v>4.7709923664122078E-2</v>
      </c>
      <c r="Z381" s="22">
        <f t="shared" si="19"/>
        <v>7.2859744990891873E-3</v>
      </c>
      <c r="AA381" s="22">
        <f t="shared" si="20"/>
        <v>6.2386980108499079E-2</v>
      </c>
    </row>
    <row r="382" spans="1:27" ht="15" x14ac:dyDescent="0.25">
      <c r="A382" s="4" t="s">
        <v>635</v>
      </c>
      <c r="B382" s="32" t="s">
        <v>560</v>
      </c>
      <c r="C382" s="82" t="s">
        <v>636</v>
      </c>
      <c r="D382" s="80"/>
      <c r="E382" s="80"/>
      <c r="F382" s="82">
        <v>6.2380649267982147</v>
      </c>
      <c r="G382" s="80">
        <v>3.93</v>
      </c>
      <c r="H382" s="80">
        <v>3.41</v>
      </c>
      <c r="I382" s="80">
        <v>4.83</v>
      </c>
      <c r="J382" s="80">
        <v>6.3</v>
      </c>
      <c r="K382" s="81">
        <v>7.52</v>
      </c>
      <c r="L382" s="81">
        <v>8.65</v>
      </c>
      <c r="M382" s="80">
        <v>6.22</v>
      </c>
      <c r="N382" s="80">
        <v>5.41</v>
      </c>
      <c r="O382" s="80">
        <v>7.2</v>
      </c>
      <c r="P382" s="80">
        <v>5.86</v>
      </c>
      <c r="Q382" s="80">
        <v>6.05</v>
      </c>
      <c r="R382" s="80">
        <v>5.14</v>
      </c>
      <c r="S382" s="80">
        <v>3.28</v>
      </c>
      <c r="T382" s="80">
        <v>3.75</v>
      </c>
      <c r="U382" s="80">
        <v>3.02</v>
      </c>
      <c r="V382" s="80">
        <v>5.66</v>
      </c>
      <c r="W382" s="106">
        <v>4.26</v>
      </c>
      <c r="X382" s="22">
        <f t="shared" si="17"/>
        <v>-0.10378750614854904</v>
      </c>
      <c r="Y382" s="22">
        <f t="shared" si="18"/>
        <v>-0.16630076838638852</v>
      </c>
      <c r="Z382" s="22">
        <f t="shared" si="19"/>
        <v>3.4233048057932924E-2</v>
      </c>
      <c r="AA382" s="22">
        <f t="shared" si="20"/>
        <v>6.2380649267982147E-2</v>
      </c>
    </row>
    <row r="383" spans="1:27" ht="15" x14ac:dyDescent="0.25">
      <c r="A383" s="4" t="s">
        <v>635</v>
      </c>
      <c r="B383" s="32" t="s">
        <v>561</v>
      </c>
      <c r="C383" s="82" t="s">
        <v>636</v>
      </c>
      <c r="D383" s="80"/>
      <c r="E383" s="80"/>
      <c r="F383" s="82">
        <v>6.036720176872068</v>
      </c>
      <c r="G383" s="80">
        <v>14.6</v>
      </c>
      <c r="H383" s="80">
        <v>11.03</v>
      </c>
      <c r="I383" s="80">
        <v>17.239999999999998</v>
      </c>
      <c r="J383" s="80">
        <v>17.38</v>
      </c>
      <c r="K383" s="81">
        <v>22.94</v>
      </c>
      <c r="L383" s="81">
        <v>19.239999999999998</v>
      </c>
      <c r="M383" s="81">
        <v>25.04</v>
      </c>
      <c r="N383" s="81">
        <v>25.97</v>
      </c>
      <c r="O383" s="80">
        <v>20.34</v>
      </c>
      <c r="P383" s="80">
        <v>17.21</v>
      </c>
      <c r="Q383" s="80">
        <v>21.77</v>
      </c>
      <c r="R383" s="80">
        <v>22.77</v>
      </c>
      <c r="S383" s="80">
        <v>21.3</v>
      </c>
      <c r="T383" s="81">
        <v>25.82</v>
      </c>
      <c r="U383" s="80">
        <v>28.03</v>
      </c>
      <c r="V383" s="80">
        <v>28.88</v>
      </c>
      <c r="W383" s="106">
        <v>27.58</v>
      </c>
      <c r="X383" s="22">
        <f t="shared" si="17"/>
        <v>0.10367248645394334</v>
      </c>
      <c r="Y383" s="22">
        <f t="shared" si="18"/>
        <v>6.829587606371379E-2</v>
      </c>
      <c r="Z383" s="22">
        <f t="shared" si="19"/>
        <v>6.2397875816993409E-2</v>
      </c>
      <c r="AA383" s="22">
        <f t="shared" si="20"/>
        <v>6.036720176872068E-2</v>
      </c>
    </row>
    <row r="384" spans="1:27" ht="15" x14ac:dyDescent="0.25">
      <c r="A384" s="4" t="s">
        <v>635</v>
      </c>
      <c r="B384" s="32" t="s">
        <v>562</v>
      </c>
      <c r="C384" s="82" t="s">
        <v>636</v>
      </c>
      <c r="D384" s="80"/>
      <c r="E384" s="80"/>
      <c r="F384" s="82">
        <v>5.8194060358302213</v>
      </c>
      <c r="G384" s="80">
        <v>2954</v>
      </c>
      <c r="H384" s="80">
        <v>3011</v>
      </c>
      <c r="I384" s="80">
        <v>2482</v>
      </c>
      <c r="J384" s="80">
        <v>1872</v>
      </c>
      <c r="K384" s="80">
        <v>1748</v>
      </c>
      <c r="L384" s="80">
        <v>1629</v>
      </c>
      <c r="M384" s="80">
        <v>1677</v>
      </c>
      <c r="N384" s="80">
        <v>1769</v>
      </c>
      <c r="O384" s="80">
        <v>2145</v>
      </c>
      <c r="P384" s="80">
        <v>1518</v>
      </c>
      <c r="Q384" s="80">
        <v>1808</v>
      </c>
      <c r="R384" s="80">
        <v>1994</v>
      </c>
      <c r="S384" s="80">
        <v>2040</v>
      </c>
      <c r="T384" s="80">
        <v>1874</v>
      </c>
      <c r="U384" s="80">
        <v>2198</v>
      </c>
      <c r="V384" s="80">
        <v>2205</v>
      </c>
      <c r="W384" s="106">
        <v>2524</v>
      </c>
      <c r="X384" s="22">
        <f t="shared" si="17"/>
        <v>4.8369565217391219E-2</v>
      </c>
      <c r="Y384" s="22">
        <f t="shared" si="18"/>
        <v>5.0544323483670217E-2</v>
      </c>
      <c r="Z384" s="22">
        <f t="shared" si="19"/>
        <v>2.6030101159634889E-2</v>
      </c>
      <c r="AA384" s="22">
        <f t="shared" si="20"/>
        <v>5.8194060358302213E-2</v>
      </c>
    </row>
    <row r="385" spans="1:27" ht="15" x14ac:dyDescent="0.25">
      <c r="A385" s="4" t="s">
        <v>635</v>
      </c>
      <c r="B385" s="32" t="s">
        <v>563</v>
      </c>
      <c r="C385" s="82" t="s">
        <v>636</v>
      </c>
      <c r="D385" s="80"/>
      <c r="E385" s="80"/>
      <c r="F385" s="82">
        <v>5.8139534883721034</v>
      </c>
      <c r="G385" s="80">
        <v>377</v>
      </c>
      <c r="H385" s="80">
        <v>412</v>
      </c>
      <c r="I385" s="80">
        <v>445</v>
      </c>
      <c r="J385" s="80">
        <v>563</v>
      </c>
      <c r="K385" s="81">
        <v>678</v>
      </c>
      <c r="L385" s="81">
        <v>760</v>
      </c>
      <c r="M385" s="81">
        <v>707</v>
      </c>
      <c r="N385" s="81">
        <v>857</v>
      </c>
      <c r="O385" s="80">
        <v>825</v>
      </c>
      <c r="P385" s="80">
        <v>868</v>
      </c>
      <c r="Q385" s="80">
        <v>900</v>
      </c>
      <c r="R385" s="80">
        <v>984</v>
      </c>
      <c r="S385" s="80">
        <v>1058</v>
      </c>
      <c r="T385" s="80">
        <v>1035</v>
      </c>
      <c r="U385" s="80">
        <v>1157</v>
      </c>
      <c r="V385" s="80">
        <v>1308</v>
      </c>
      <c r="W385" s="106">
        <v>1323</v>
      </c>
      <c r="X385" s="22">
        <f t="shared" si="17"/>
        <v>4.3832020997375265E-2</v>
      </c>
      <c r="Y385" s="22">
        <f t="shared" si="18"/>
        <v>6.4621574050792052E-2</v>
      </c>
      <c r="Z385" s="22">
        <f t="shared" si="19"/>
        <v>7.6523382144544128E-2</v>
      </c>
      <c r="AA385" s="22">
        <f t="shared" si="20"/>
        <v>5.8139534883721034E-2</v>
      </c>
    </row>
    <row r="386" spans="1:27" ht="15" x14ac:dyDescent="0.25">
      <c r="A386" s="4" t="s">
        <v>635</v>
      </c>
      <c r="B386" s="32" t="s">
        <v>564</v>
      </c>
      <c r="C386" s="82" t="s">
        <v>636</v>
      </c>
      <c r="D386" s="80"/>
      <c r="E386" s="80"/>
      <c r="F386" s="82">
        <v>5.4101083603575129</v>
      </c>
      <c r="G386" s="80">
        <v>631.77</v>
      </c>
      <c r="H386" s="80">
        <v>1972</v>
      </c>
      <c r="I386" s="80">
        <v>1578</v>
      </c>
      <c r="J386" s="80">
        <v>1533</v>
      </c>
      <c r="K386" s="80">
        <v>549.9</v>
      </c>
      <c r="L386" s="80">
        <v>1714</v>
      </c>
      <c r="M386" s="80">
        <v>1827</v>
      </c>
      <c r="N386" s="80">
        <v>1916</v>
      </c>
      <c r="O386" s="81">
        <v>1496</v>
      </c>
      <c r="P386" s="81">
        <v>2633</v>
      </c>
      <c r="Q386" s="80">
        <v>2603</v>
      </c>
      <c r="R386" s="81">
        <v>2909</v>
      </c>
      <c r="S386" s="80">
        <v>2273</v>
      </c>
      <c r="T386" s="80">
        <v>3347</v>
      </c>
      <c r="U386" s="81">
        <v>3775</v>
      </c>
      <c r="V386" s="80">
        <v>3248</v>
      </c>
      <c r="W386" s="106">
        <v>2957</v>
      </c>
      <c r="X386" s="22">
        <f t="shared" si="17"/>
        <v>6.8535227490881256E-2</v>
      </c>
      <c r="Y386" s="22">
        <f t="shared" si="18"/>
        <v>0.10528206970894716</v>
      </c>
      <c r="Z386" s="22">
        <f t="shared" si="19"/>
        <v>2.7552015604681346E-2</v>
      </c>
      <c r="AA386" s="22">
        <f t="shared" si="20"/>
        <v>5.4101083603575129E-2</v>
      </c>
    </row>
    <row r="387" spans="1:27" ht="15" x14ac:dyDescent="0.25">
      <c r="A387" s="4" t="s">
        <v>635</v>
      </c>
      <c r="B387" s="32" t="s">
        <v>565</v>
      </c>
      <c r="C387" s="82" t="s">
        <v>636</v>
      </c>
      <c r="D387" s="80"/>
      <c r="E387" s="80"/>
      <c r="F387" s="82">
        <v>5.3390510582806749</v>
      </c>
      <c r="G387" s="80">
        <v>142.07</v>
      </c>
      <c r="H387" s="80">
        <v>-50.35</v>
      </c>
      <c r="I387" s="80">
        <v>237.12</v>
      </c>
      <c r="J387" s="80">
        <v>298.04000000000002</v>
      </c>
      <c r="K387" s="81">
        <v>313.16000000000003</v>
      </c>
      <c r="L387" s="81">
        <v>286.83</v>
      </c>
      <c r="M387" s="80">
        <v>297.62</v>
      </c>
      <c r="N387" s="80">
        <v>278.44</v>
      </c>
      <c r="O387" s="80">
        <v>221.62</v>
      </c>
      <c r="P387" s="80">
        <v>285.67</v>
      </c>
      <c r="Q387" s="80">
        <v>229.57</v>
      </c>
      <c r="R387" s="80">
        <v>244.67</v>
      </c>
      <c r="S387" s="80">
        <v>257.10000000000002</v>
      </c>
      <c r="T387" s="80">
        <v>283.64999999999998</v>
      </c>
      <c r="U387" s="80">
        <v>323.63</v>
      </c>
      <c r="V387" s="80">
        <v>331.9</v>
      </c>
      <c r="W387" s="106">
        <v>320.97000000000003</v>
      </c>
      <c r="X387" s="22">
        <f t="shared" si="17"/>
        <v>-1.9862144914996049E-3</v>
      </c>
      <c r="Y387" s="22">
        <f t="shared" si="18"/>
        <v>9.2670863752352117E-2</v>
      </c>
      <c r="Z387" s="22">
        <f t="shared" si="19"/>
        <v>7.8652901131599062E-2</v>
      </c>
      <c r="AA387" s="22">
        <f t="shared" si="20"/>
        <v>5.3390510582806749E-2</v>
      </c>
    </row>
    <row r="388" spans="1:27" ht="15" x14ac:dyDescent="0.25">
      <c r="A388" s="4" t="s">
        <v>635</v>
      </c>
      <c r="B388" s="32" t="s">
        <v>566</v>
      </c>
      <c r="C388" s="82" t="s">
        <v>636</v>
      </c>
      <c r="D388" s="80"/>
      <c r="E388" s="80"/>
      <c r="F388" s="82">
        <v>5.3242320819112621</v>
      </c>
      <c r="G388" s="80">
        <v>4.04</v>
      </c>
      <c r="H388" s="80">
        <v>4.09</v>
      </c>
      <c r="I388" s="80">
        <v>4.71</v>
      </c>
      <c r="J388" s="80">
        <v>7.21</v>
      </c>
      <c r="K388" s="80">
        <v>4.82</v>
      </c>
      <c r="L388" s="81">
        <v>8.9</v>
      </c>
      <c r="M388" s="80">
        <v>5.37</v>
      </c>
      <c r="N388" s="80">
        <v>4.62</v>
      </c>
      <c r="O388" s="80">
        <v>4.47</v>
      </c>
      <c r="P388" s="80">
        <v>4.0599999999999996</v>
      </c>
      <c r="Q388" s="80">
        <v>4.3899999999999997</v>
      </c>
      <c r="R388" s="80">
        <v>4.4000000000000004</v>
      </c>
      <c r="S388" s="80">
        <v>2.96</v>
      </c>
      <c r="T388" s="80">
        <v>4.25</v>
      </c>
      <c r="U388" s="80">
        <v>3.78</v>
      </c>
      <c r="V388" s="80">
        <v>3.66</v>
      </c>
      <c r="W388" s="106">
        <v>3.74</v>
      </c>
      <c r="X388" s="22">
        <f t="shared" si="17"/>
        <v>1.2017710309930596E-2</v>
      </c>
      <c r="Y388" s="22">
        <f t="shared" si="18"/>
        <v>-3.8125000000000075E-2</v>
      </c>
      <c r="Z388" s="22">
        <f t="shared" si="19"/>
        <v>-4.808317089018832E-2</v>
      </c>
      <c r="AA388" s="22">
        <f t="shared" si="20"/>
        <v>5.3242320819112621E-2</v>
      </c>
    </row>
    <row r="389" spans="1:27" ht="15" x14ac:dyDescent="0.25">
      <c r="A389" s="4" t="s">
        <v>635</v>
      </c>
      <c r="B389" s="32" t="s">
        <v>567</v>
      </c>
      <c r="C389" s="82" t="s">
        <v>636</v>
      </c>
      <c r="D389" s="80"/>
      <c r="E389" s="80"/>
      <c r="F389" s="82">
        <v>4.8845470692717496</v>
      </c>
      <c r="G389" s="80">
        <v>972</v>
      </c>
      <c r="H389" s="80">
        <v>1014</v>
      </c>
      <c r="I389" s="80">
        <v>995</v>
      </c>
      <c r="J389" s="80">
        <v>922</v>
      </c>
      <c r="K389" s="80">
        <v>1102</v>
      </c>
      <c r="L389" s="80">
        <v>1194</v>
      </c>
      <c r="M389" s="80">
        <v>1017</v>
      </c>
      <c r="N389" s="80">
        <v>935</v>
      </c>
      <c r="O389" s="80">
        <v>1117</v>
      </c>
      <c r="P389" s="80">
        <v>1223</v>
      </c>
      <c r="Q389" s="80">
        <v>1038</v>
      </c>
      <c r="R389" s="80">
        <v>1015</v>
      </c>
      <c r="S389" s="80">
        <v>1144</v>
      </c>
      <c r="T389" s="80">
        <v>1145</v>
      </c>
      <c r="U389" s="80">
        <v>1152</v>
      </c>
      <c r="V389" s="80">
        <v>1063</v>
      </c>
      <c r="W389" s="106">
        <v>1364</v>
      </c>
      <c r="X389" s="22">
        <f t="shared" si="17"/>
        <v>-1.764705882352946E-2</v>
      </c>
      <c r="Y389" s="22">
        <f t="shared" si="18"/>
        <v>2.6255181943804606E-2</v>
      </c>
      <c r="Z389" s="22">
        <f t="shared" si="19"/>
        <v>1.0771992818671361E-2</v>
      </c>
      <c r="AA389" s="22">
        <f t="shared" si="20"/>
        <v>4.8845470692717496E-2</v>
      </c>
    </row>
    <row r="390" spans="1:27" ht="15" x14ac:dyDescent="0.25">
      <c r="A390" s="4" t="s">
        <v>635</v>
      </c>
      <c r="B390" s="32" t="s">
        <v>568</v>
      </c>
      <c r="C390" s="82" t="s">
        <v>636</v>
      </c>
      <c r="D390" s="80"/>
      <c r="E390" s="80"/>
      <c r="F390" s="82">
        <v>4.8526534990849912</v>
      </c>
      <c r="G390" s="80">
        <v>38.630000000000003</v>
      </c>
      <c r="H390" s="80">
        <v>28.24</v>
      </c>
      <c r="I390" s="80">
        <v>43.11</v>
      </c>
      <c r="J390" s="80">
        <v>51.49</v>
      </c>
      <c r="K390" s="80">
        <v>51.07</v>
      </c>
      <c r="L390" s="81">
        <v>48.98</v>
      </c>
      <c r="M390" s="80">
        <v>33.450000000000003</v>
      </c>
      <c r="N390" s="80">
        <v>42.07</v>
      </c>
      <c r="O390" s="80">
        <v>36.4</v>
      </c>
      <c r="P390" s="80">
        <v>37.700000000000003</v>
      </c>
      <c r="Q390" s="80">
        <v>39.119999999999997</v>
      </c>
      <c r="R390" s="80">
        <v>39.4</v>
      </c>
      <c r="S390" s="80">
        <v>38.89</v>
      </c>
      <c r="T390" s="80">
        <v>35.299999999999997</v>
      </c>
      <c r="U390" s="80">
        <v>37.81</v>
      </c>
      <c r="V390" s="80">
        <v>46.47</v>
      </c>
      <c r="W390" s="106">
        <v>46.58</v>
      </c>
      <c r="X390" s="22">
        <f t="shared" si="17"/>
        <v>-1.5472890206950085E-2</v>
      </c>
      <c r="Y390" s="22">
        <f t="shared" si="18"/>
        <v>-8.5783511230437259E-3</v>
      </c>
      <c r="Z390" s="22">
        <f t="shared" si="19"/>
        <v>4.6697490092470373E-2</v>
      </c>
      <c r="AA390" s="22">
        <f t="shared" si="20"/>
        <v>4.8526534990849912E-2</v>
      </c>
    </row>
    <row r="391" spans="1:27" ht="15" x14ac:dyDescent="0.25">
      <c r="A391" s="4" t="s">
        <v>635</v>
      </c>
      <c r="B391" s="32" t="s">
        <v>569</v>
      </c>
      <c r="C391" s="82" t="s">
        <v>636</v>
      </c>
      <c r="D391" s="80"/>
      <c r="E391" s="80"/>
      <c r="F391" s="82">
        <v>4.7992164544564231</v>
      </c>
      <c r="G391" s="80">
        <v>828</v>
      </c>
      <c r="H391" s="80">
        <v>612</v>
      </c>
      <c r="I391" s="80">
        <v>724</v>
      </c>
      <c r="J391" s="80">
        <v>845</v>
      </c>
      <c r="K391" s="80">
        <v>914</v>
      </c>
      <c r="L391" s="80">
        <v>718</v>
      </c>
      <c r="M391" s="80">
        <v>775</v>
      </c>
      <c r="N391" s="80">
        <v>846</v>
      </c>
      <c r="O391" s="80">
        <v>650</v>
      </c>
      <c r="P391" s="80">
        <v>658</v>
      </c>
      <c r="Q391" s="80">
        <v>764</v>
      </c>
      <c r="R391" s="80">
        <v>728</v>
      </c>
      <c r="S391" s="80">
        <v>765</v>
      </c>
      <c r="T391" s="80">
        <v>653</v>
      </c>
      <c r="U391" s="80">
        <v>808</v>
      </c>
      <c r="V391" s="80">
        <v>837</v>
      </c>
      <c r="W391" s="106">
        <v>912</v>
      </c>
      <c r="X391" s="22">
        <f t="shared" si="17"/>
        <v>-1.7152658662092923E-3</v>
      </c>
      <c r="Y391" s="22">
        <f t="shared" si="18"/>
        <v>1.5120274914089293E-2</v>
      </c>
      <c r="Z391" s="22">
        <f t="shared" si="19"/>
        <v>3.6899119837508376E-2</v>
      </c>
      <c r="AA391" s="22">
        <f t="shared" si="20"/>
        <v>4.7992164544564231E-2</v>
      </c>
    </row>
    <row r="392" spans="1:27" ht="15" x14ac:dyDescent="0.25">
      <c r="A392" s="4" t="s">
        <v>635</v>
      </c>
      <c r="B392" s="32" t="s">
        <v>570</v>
      </c>
      <c r="C392" s="82" t="s">
        <v>636</v>
      </c>
      <c r="D392" s="80"/>
      <c r="E392" s="80"/>
      <c r="F392" s="82">
        <v>4.6744390673119307</v>
      </c>
      <c r="G392" s="80">
        <v>2137</v>
      </c>
      <c r="H392" s="80">
        <v>1955</v>
      </c>
      <c r="I392" s="80">
        <v>1948</v>
      </c>
      <c r="J392" s="80">
        <v>2297</v>
      </c>
      <c r="K392" s="80">
        <v>1101</v>
      </c>
      <c r="L392" s="80">
        <v>2159</v>
      </c>
      <c r="M392" s="80">
        <v>1751</v>
      </c>
      <c r="N392" s="80">
        <v>1955</v>
      </c>
      <c r="O392" s="80">
        <v>1000</v>
      </c>
      <c r="P392" s="80">
        <v>1673</v>
      </c>
      <c r="Q392" s="80">
        <v>2056</v>
      </c>
      <c r="R392" s="80">
        <v>2072</v>
      </c>
      <c r="S392" s="81">
        <v>2108</v>
      </c>
      <c r="T392" s="80">
        <v>2159</v>
      </c>
      <c r="U392" s="80">
        <v>2293</v>
      </c>
      <c r="V392" s="80">
        <v>2532</v>
      </c>
      <c r="W392" s="106">
        <v>2533</v>
      </c>
      <c r="X392" s="22">
        <f t="shared" si="17"/>
        <v>6.1448982172208844E-2</v>
      </c>
      <c r="Y392" s="22">
        <f t="shared" si="18"/>
        <v>2.8231089934484865E-2</v>
      </c>
      <c r="Z392" s="22">
        <f t="shared" si="19"/>
        <v>5.3290083410565403E-2</v>
      </c>
      <c r="AA392" s="22">
        <f t="shared" si="20"/>
        <v>4.6744390673119307E-2</v>
      </c>
    </row>
    <row r="393" spans="1:27" ht="15" x14ac:dyDescent="0.25">
      <c r="A393" s="4" t="s">
        <v>635</v>
      </c>
      <c r="B393" s="32" t="s">
        <v>570</v>
      </c>
      <c r="C393" s="82" t="s">
        <v>636</v>
      </c>
      <c r="D393" s="80"/>
      <c r="E393" s="80"/>
      <c r="F393" s="82">
        <v>4.6744390673119307</v>
      </c>
      <c r="G393" s="80">
        <v>2137</v>
      </c>
      <c r="H393" s="80">
        <v>1955</v>
      </c>
      <c r="I393" s="80">
        <v>1948</v>
      </c>
      <c r="J393" s="80">
        <v>2297</v>
      </c>
      <c r="K393" s="80">
        <v>1101</v>
      </c>
      <c r="L393" s="80">
        <v>2159</v>
      </c>
      <c r="M393" s="80">
        <v>1751</v>
      </c>
      <c r="N393" s="80">
        <v>1955</v>
      </c>
      <c r="O393" s="80">
        <v>1000</v>
      </c>
      <c r="P393" s="80">
        <v>1673</v>
      </c>
      <c r="Q393" s="80">
        <v>2056</v>
      </c>
      <c r="R393" s="80">
        <v>2072</v>
      </c>
      <c r="S393" s="81">
        <v>2108</v>
      </c>
      <c r="T393" s="80">
        <v>2159</v>
      </c>
      <c r="U393" s="80">
        <v>2293</v>
      </c>
      <c r="V393" s="80">
        <v>2532</v>
      </c>
      <c r="W393" s="106">
        <v>2533</v>
      </c>
      <c r="X393" s="22">
        <f t="shared" si="17"/>
        <v>6.1448982172208844E-2</v>
      </c>
      <c r="Y393" s="22">
        <f t="shared" si="18"/>
        <v>2.8231089934484865E-2</v>
      </c>
      <c r="Z393" s="22">
        <f t="shared" si="19"/>
        <v>5.3290083410565403E-2</v>
      </c>
      <c r="AA393" s="22">
        <f t="shared" si="20"/>
        <v>4.6744390673119307E-2</v>
      </c>
    </row>
    <row r="394" spans="1:27" ht="15" x14ac:dyDescent="0.25">
      <c r="A394" s="4" t="s">
        <v>635</v>
      </c>
      <c r="B394" s="32" t="s">
        <v>571</v>
      </c>
      <c r="C394" s="82" t="s">
        <v>636</v>
      </c>
      <c r="D394" s="80"/>
      <c r="E394" s="80"/>
      <c r="F394" s="82">
        <v>4.595658720435436</v>
      </c>
      <c r="G394" s="80">
        <v>137.05000000000001</v>
      </c>
      <c r="H394" s="80">
        <v>173.68</v>
      </c>
      <c r="I394" s="80">
        <v>131.66</v>
      </c>
      <c r="J394" s="80">
        <v>200.04</v>
      </c>
      <c r="K394" s="80">
        <v>195.17</v>
      </c>
      <c r="L394" s="80">
        <v>243.55</v>
      </c>
      <c r="M394" s="81">
        <v>211.43</v>
      </c>
      <c r="N394" s="80">
        <v>224.86</v>
      </c>
      <c r="O394" s="80">
        <v>165.24</v>
      </c>
      <c r="P394" s="80">
        <v>249.96</v>
      </c>
      <c r="Q394" s="80">
        <v>211.34</v>
      </c>
      <c r="R394" s="80">
        <v>232.71</v>
      </c>
      <c r="S394" s="81">
        <v>253.08</v>
      </c>
      <c r="T394" s="80">
        <v>253.06</v>
      </c>
      <c r="U394" s="80">
        <v>267.08999999999997</v>
      </c>
      <c r="V394" s="80">
        <v>296.04000000000002</v>
      </c>
      <c r="W394" s="106">
        <v>302.22000000000003</v>
      </c>
      <c r="X394" s="22">
        <f t="shared" si="17"/>
        <v>3.2731841746824752E-3</v>
      </c>
      <c r="Y394" s="22">
        <f t="shared" si="18"/>
        <v>5.8672476031109477E-2</v>
      </c>
      <c r="Z394" s="22">
        <f t="shared" si="19"/>
        <v>6.2956041115772132E-2</v>
      </c>
      <c r="AA394" s="22">
        <f t="shared" si="20"/>
        <v>4.595658720435436E-2</v>
      </c>
    </row>
    <row r="395" spans="1:27" ht="15" x14ac:dyDescent="0.25">
      <c r="A395" s="4" t="s">
        <v>635</v>
      </c>
      <c r="B395" s="32" t="s">
        <v>572</v>
      </c>
      <c r="C395" s="82" t="s">
        <v>636</v>
      </c>
      <c r="D395" s="80"/>
      <c r="E395" s="80"/>
      <c r="F395" s="82">
        <v>4.5803073805100736</v>
      </c>
      <c r="G395" s="80">
        <v>65.98</v>
      </c>
      <c r="H395" s="80">
        <v>66.31</v>
      </c>
      <c r="I395" s="80">
        <v>72.42</v>
      </c>
      <c r="J395" s="80">
        <v>71.44</v>
      </c>
      <c r="K395" s="80">
        <v>70.709999999999994</v>
      </c>
      <c r="L395" s="80">
        <v>64.260000000000005</v>
      </c>
      <c r="M395" s="80">
        <v>62.63</v>
      </c>
      <c r="N395" s="80">
        <v>60.4</v>
      </c>
      <c r="O395" s="80">
        <v>56.01</v>
      </c>
      <c r="P395" s="80">
        <v>64.88</v>
      </c>
      <c r="Q395" s="80">
        <v>63.64</v>
      </c>
      <c r="R395" s="80">
        <v>67.34</v>
      </c>
      <c r="S395" s="80">
        <v>75.989999999999995</v>
      </c>
      <c r="T395" s="80">
        <v>75.16</v>
      </c>
      <c r="U395" s="80">
        <v>81.739999999999995</v>
      </c>
      <c r="V395" s="80">
        <v>63.16</v>
      </c>
      <c r="W395" s="106">
        <v>89.55</v>
      </c>
      <c r="X395" s="22">
        <f t="shared" si="17"/>
        <v>3.7814971491631599E-2</v>
      </c>
      <c r="Y395" s="22">
        <f t="shared" si="18"/>
        <v>6.4154822245064302E-2</v>
      </c>
      <c r="Z395" s="22">
        <f t="shared" si="19"/>
        <v>-1.392265929454084E-2</v>
      </c>
      <c r="AA395" s="22">
        <f t="shared" si="20"/>
        <v>4.5803073805100514E-2</v>
      </c>
    </row>
    <row r="396" spans="1:27" ht="15" x14ac:dyDescent="0.25">
      <c r="A396" s="4" t="s">
        <v>635</v>
      </c>
      <c r="B396" s="32" t="s">
        <v>573</v>
      </c>
      <c r="C396" s="82" t="s">
        <v>636</v>
      </c>
      <c r="D396" s="80"/>
      <c r="E396" s="80"/>
      <c r="F396" s="82">
        <v>4.5103092783505216</v>
      </c>
      <c r="G396" s="80">
        <v>15.27</v>
      </c>
      <c r="H396" s="80">
        <v>11.71</v>
      </c>
      <c r="I396" s="80">
        <v>16.690000000000001</v>
      </c>
      <c r="J396" s="80">
        <v>12.05</v>
      </c>
      <c r="K396" s="80">
        <v>14.93</v>
      </c>
      <c r="L396" s="80">
        <v>2.99</v>
      </c>
      <c r="M396" s="80">
        <v>19.5</v>
      </c>
      <c r="N396" s="80">
        <v>16.64</v>
      </c>
      <c r="O396" s="80">
        <v>15.37</v>
      </c>
      <c r="P396" s="81">
        <v>14.14</v>
      </c>
      <c r="Q396" s="80">
        <v>16.96</v>
      </c>
      <c r="R396" s="80">
        <v>15.84</v>
      </c>
      <c r="S396" s="80">
        <v>19.2</v>
      </c>
      <c r="T396" s="80">
        <v>19.82</v>
      </c>
      <c r="U396" s="80">
        <v>19.14</v>
      </c>
      <c r="V396" s="80">
        <v>19.440000000000001</v>
      </c>
      <c r="W396" s="106">
        <v>22.7</v>
      </c>
      <c r="X396" s="22">
        <f t="shared" si="17"/>
        <v>8.5878439673420015E-2</v>
      </c>
      <c r="Y396" s="22">
        <f t="shared" si="18"/>
        <v>3.0353661932609466E-2</v>
      </c>
      <c r="Z396" s="22">
        <f t="shared" si="19"/>
        <v>4.8648648648648596E-2</v>
      </c>
      <c r="AA396" s="22">
        <f t="shared" si="20"/>
        <v>4.5103092783505438E-2</v>
      </c>
    </row>
    <row r="397" spans="1:27" ht="15" x14ac:dyDescent="0.25">
      <c r="A397" s="4" t="s">
        <v>635</v>
      </c>
      <c r="B397" s="32" t="s">
        <v>574</v>
      </c>
      <c r="C397" s="82" t="s">
        <v>636</v>
      </c>
      <c r="D397" s="80"/>
      <c r="E397" s="80"/>
      <c r="F397" s="82">
        <v>4.417413572343154</v>
      </c>
      <c r="G397" s="80">
        <v>7.52</v>
      </c>
      <c r="H397" s="80">
        <v>6.66</v>
      </c>
      <c r="I397" s="80">
        <v>5.51</v>
      </c>
      <c r="J397" s="80">
        <v>9.82</v>
      </c>
      <c r="K397" s="80">
        <v>10.45</v>
      </c>
      <c r="L397" s="81">
        <v>10.01</v>
      </c>
      <c r="M397" s="81">
        <v>10.07</v>
      </c>
      <c r="N397" s="80">
        <v>9.27</v>
      </c>
      <c r="O397" s="80">
        <v>8.8000000000000007</v>
      </c>
      <c r="P397" s="80">
        <v>8.15</v>
      </c>
      <c r="Q397" s="80">
        <v>7.6</v>
      </c>
      <c r="R397" s="80">
        <v>8.2899999999999991</v>
      </c>
      <c r="S397" s="80">
        <v>8.09</v>
      </c>
      <c r="T397" s="80">
        <v>7.69</v>
      </c>
      <c r="U397" s="80">
        <v>8.7200000000000006</v>
      </c>
      <c r="V397" s="80">
        <v>6.74</v>
      </c>
      <c r="W397" s="106">
        <v>9.4700000000000006</v>
      </c>
      <c r="X397" s="22">
        <f t="shared" si="17"/>
        <v>-1.4316837846249486E-2</v>
      </c>
      <c r="Y397" s="22">
        <f t="shared" si="18"/>
        <v>3.5364698452794441E-2</v>
      </c>
      <c r="Z397" s="22">
        <f t="shared" si="19"/>
        <v>-4.7270509301616248E-2</v>
      </c>
      <c r="AA397" s="22">
        <f t="shared" si="20"/>
        <v>4.4174135723431318E-2</v>
      </c>
    </row>
    <row r="398" spans="1:27" ht="15" x14ac:dyDescent="0.25">
      <c r="A398" s="4" t="s">
        <v>635</v>
      </c>
      <c r="B398" s="32" t="s">
        <v>575</v>
      </c>
      <c r="C398" s="82" t="s">
        <v>636</v>
      </c>
      <c r="D398" s="80"/>
      <c r="E398" s="80"/>
      <c r="F398" s="82">
        <v>4.3625105544610188</v>
      </c>
      <c r="G398" s="80">
        <v>-0.06</v>
      </c>
      <c r="H398" s="80">
        <v>-0.62</v>
      </c>
      <c r="I398" s="80">
        <v>4.2699999999999996</v>
      </c>
      <c r="J398" s="80">
        <v>1.9</v>
      </c>
      <c r="K398" s="81">
        <v>7.47</v>
      </c>
      <c r="L398" s="81">
        <v>7.85</v>
      </c>
      <c r="M398" s="81">
        <v>19.13</v>
      </c>
      <c r="N398" s="81">
        <v>6.71</v>
      </c>
      <c r="O398" s="81">
        <v>22.65</v>
      </c>
      <c r="P398" s="81">
        <v>25.61</v>
      </c>
      <c r="Q398" s="81">
        <v>27.86</v>
      </c>
      <c r="R398" s="81">
        <v>26.11</v>
      </c>
      <c r="S398" s="81">
        <v>34.69</v>
      </c>
      <c r="T398" s="80">
        <v>32.630000000000003</v>
      </c>
      <c r="U398" s="81">
        <v>40.36</v>
      </c>
      <c r="V398" s="80">
        <v>34.44</v>
      </c>
      <c r="W398" s="106">
        <v>40.89</v>
      </c>
      <c r="X398" s="22">
        <f t="shared" si="17"/>
        <v>6.1433447098976135E-2</v>
      </c>
      <c r="Y398" s="22">
        <f t="shared" si="18"/>
        <v>0.10305878473081065</v>
      </c>
      <c r="Z398" s="22">
        <f t="shared" si="19"/>
        <v>6.2261753494281979E-2</v>
      </c>
      <c r="AA398" s="22">
        <f t="shared" si="20"/>
        <v>4.3625105544610188E-2</v>
      </c>
    </row>
    <row r="399" spans="1:27" ht="15" x14ac:dyDescent="0.25">
      <c r="A399" s="4" t="s">
        <v>635</v>
      </c>
      <c r="B399" s="32" t="s">
        <v>576</v>
      </c>
      <c r="C399" s="82" t="s">
        <v>636</v>
      </c>
      <c r="D399" s="80"/>
      <c r="E399" s="80"/>
      <c r="F399" s="82">
        <v>4.1987466427932052</v>
      </c>
      <c r="G399" s="80">
        <v>246.5</v>
      </c>
      <c r="H399" s="80">
        <v>226.3</v>
      </c>
      <c r="I399" s="80">
        <v>232.4</v>
      </c>
      <c r="J399" s="80">
        <v>248.1</v>
      </c>
      <c r="K399" s="80">
        <v>276.60000000000002</v>
      </c>
      <c r="L399" s="80">
        <v>245.8</v>
      </c>
      <c r="M399" s="80">
        <v>259</v>
      </c>
      <c r="N399" s="80">
        <v>267.39999999999998</v>
      </c>
      <c r="O399" s="80">
        <v>268.8</v>
      </c>
      <c r="P399" s="80">
        <v>237</v>
      </c>
      <c r="Q399" s="80">
        <v>249.7</v>
      </c>
      <c r="R399" s="80">
        <v>273.5</v>
      </c>
      <c r="S399" s="80">
        <v>285.3</v>
      </c>
      <c r="T399" s="80">
        <v>265.3</v>
      </c>
      <c r="U399" s="80">
        <v>280.89999999999998</v>
      </c>
      <c r="V399" s="80">
        <v>285.5</v>
      </c>
      <c r="W399" s="106">
        <v>332.2</v>
      </c>
      <c r="X399" s="22">
        <f t="shared" si="17"/>
        <v>2.7068388330942161E-2</v>
      </c>
      <c r="Y399" s="22">
        <f t="shared" si="18"/>
        <v>2.9055690072639306E-2</v>
      </c>
      <c r="Z399" s="22">
        <f t="shared" si="19"/>
        <v>1.0859728506787292E-2</v>
      </c>
      <c r="AA399" s="22">
        <f t="shared" si="20"/>
        <v>4.1987466427932052E-2</v>
      </c>
    </row>
    <row r="400" spans="1:27" ht="15" x14ac:dyDescent="0.25">
      <c r="A400" s="4" t="s">
        <v>635</v>
      </c>
      <c r="B400" s="32" t="s">
        <v>577</v>
      </c>
      <c r="C400" s="82" t="s">
        <v>636</v>
      </c>
      <c r="D400" s="80"/>
      <c r="E400" s="80"/>
      <c r="F400" s="82">
        <v>4.0753508987934062</v>
      </c>
      <c r="G400" s="80">
        <v>9.3699999999999992</v>
      </c>
      <c r="H400" s="80">
        <v>9.18</v>
      </c>
      <c r="I400" s="80">
        <v>6.32</v>
      </c>
      <c r="J400" s="80">
        <v>13.05</v>
      </c>
      <c r="K400" s="80">
        <v>9.9499999999999993</v>
      </c>
      <c r="L400" s="80">
        <v>6.07</v>
      </c>
      <c r="M400" s="80">
        <v>6.93</v>
      </c>
      <c r="N400" s="80">
        <v>10.27</v>
      </c>
      <c r="O400" s="80">
        <v>8.34</v>
      </c>
      <c r="P400" s="81">
        <v>10.5</v>
      </c>
      <c r="Q400" s="81">
        <v>11.56</v>
      </c>
      <c r="R400" s="80">
        <v>11.64</v>
      </c>
      <c r="S400" s="81">
        <v>13.3</v>
      </c>
      <c r="T400" s="81">
        <v>17.579999999999998</v>
      </c>
      <c r="U400" s="80">
        <v>15.77</v>
      </c>
      <c r="V400" s="81">
        <v>34.57</v>
      </c>
      <c r="W400" s="106">
        <v>16.61</v>
      </c>
      <c r="X400" s="22">
        <f t="shared" si="17"/>
        <v>0.1506382978723404</v>
      </c>
      <c r="Y400" s="22">
        <f t="shared" si="18"/>
        <v>7.7847633136094663E-2</v>
      </c>
      <c r="Z400" s="22">
        <f t="shared" si="19"/>
        <v>0.39337793789672348</v>
      </c>
      <c r="AA400" s="22">
        <f t="shared" si="20"/>
        <v>4.075350898793384E-2</v>
      </c>
    </row>
    <row r="401" spans="1:27" ht="15" x14ac:dyDescent="0.25">
      <c r="A401" s="4" t="s">
        <v>635</v>
      </c>
      <c r="B401" s="32" t="s">
        <v>578</v>
      </c>
      <c r="C401" s="82" t="s">
        <v>636</v>
      </c>
      <c r="D401" s="80"/>
      <c r="E401" s="80"/>
      <c r="F401" s="82">
        <v>4.0109213967082216</v>
      </c>
      <c r="G401" s="80">
        <v>317.32</v>
      </c>
      <c r="H401" s="80">
        <v>269.14999999999998</v>
      </c>
      <c r="I401" s="80">
        <v>300.77999999999997</v>
      </c>
      <c r="J401" s="80">
        <v>247.2</v>
      </c>
      <c r="K401" s="80">
        <v>182.59</v>
      </c>
      <c r="L401" s="80">
        <v>126.6</v>
      </c>
      <c r="M401" s="80">
        <v>83.86</v>
      </c>
      <c r="N401" s="80">
        <v>79.19</v>
      </c>
      <c r="O401" s="80">
        <v>-12.07</v>
      </c>
      <c r="P401" s="80">
        <v>26.3</v>
      </c>
      <c r="Q401" s="80">
        <v>63.98</v>
      </c>
      <c r="R401" s="80">
        <v>73.34</v>
      </c>
      <c r="S401" s="81">
        <v>70.69</v>
      </c>
      <c r="T401" s="81">
        <v>51.41</v>
      </c>
      <c r="U401" s="80">
        <v>72.44</v>
      </c>
      <c r="V401" s="80">
        <v>65.5</v>
      </c>
      <c r="W401" s="106">
        <v>81.12</v>
      </c>
      <c r="X401" s="22">
        <f t="shared" si="17"/>
        <v>0.10716572062652019</v>
      </c>
      <c r="Y401" s="22">
        <f t="shared" si="18"/>
        <v>3.2611209621463466E-2</v>
      </c>
      <c r="Z401" s="22">
        <f t="shared" si="19"/>
        <v>-2.9266835896670229E-2</v>
      </c>
      <c r="AA401" s="22">
        <f t="shared" si="20"/>
        <v>4.0109213967082225E-2</v>
      </c>
    </row>
    <row r="402" spans="1:27" ht="15" x14ac:dyDescent="0.25">
      <c r="A402" s="4" t="s">
        <v>635</v>
      </c>
      <c r="B402" s="32" t="s">
        <v>579</v>
      </c>
      <c r="C402" s="82" t="s">
        <v>636</v>
      </c>
      <c r="D402" s="80"/>
      <c r="E402" s="80"/>
      <c r="F402" s="82">
        <v>3.941684665226775</v>
      </c>
      <c r="G402" s="80">
        <v>23.07</v>
      </c>
      <c r="H402" s="80">
        <v>28.61</v>
      </c>
      <c r="I402" s="80">
        <v>26.11</v>
      </c>
      <c r="J402" s="80">
        <v>30.51</v>
      </c>
      <c r="K402" s="80">
        <v>29.45</v>
      </c>
      <c r="L402" s="80">
        <v>32.24</v>
      </c>
      <c r="M402" s="80">
        <v>35.340000000000003</v>
      </c>
      <c r="N402" s="80">
        <v>38.130000000000003</v>
      </c>
      <c r="O402" s="80">
        <v>39.97</v>
      </c>
      <c r="P402" s="80">
        <v>40.56</v>
      </c>
      <c r="Q402" s="80">
        <v>40.119999999999997</v>
      </c>
      <c r="R402" s="80">
        <v>40.04</v>
      </c>
      <c r="S402" s="80">
        <v>40.36</v>
      </c>
      <c r="T402" s="80">
        <v>37.47</v>
      </c>
      <c r="U402" s="80">
        <v>38.93</v>
      </c>
      <c r="V402" s="80">
        <v>49.92</v>
      </c>
      <c r="W402" s="106">
        <v>46.93</v>
      </c>
      <c r="X402" s="22">
        <f t="shared" si="17"/>
        <v>-1.9183014651104835E-2</v>
      </c>
      <c r="Y402" s="22">
        <f t="shared" si="18"/>
        <v>-7.5321222862205772E-3</v>
      </c>
      <c r="Z402" s="22">
        <f t="shared" si="19"/>
        <v>6.3010204081632715E-2</v>
      </c>
      <c r="AA402" s="22">
        <f t="shared" si="20"/>
        <v>3.9416846652267745E-2</v>
      </c>
    </row>
    <row r="403" spans="1:27" ht="15" x14ac:dyDescent="0.25">
      <c r="A403" s="4" t="s">
        <v>635</v>
      </c>
      <c r="B403" s="32" t="s">
        <v>580</v>
      </c>
      <c r="C403" s="82" t="s">
        <v>636</v>
      </c>
      <c r="D403" s="80"/>
      <c r="E403" s="80"/>
      <c r="F403" s="82">
        <v>3.889753278506336</v>
      </c>
      <c r="G403" s="80">
        <v>21.82</v>
      </c>
      <c r="H403" s="80">
        <v>31.89</v>
      </c>
      <c r="I403" s="80">
        <v>31.93</v>
      </c>
      <c r="J403" s="80">
        <v>24.82</v>
      </c>
      <c r="K403" s="81">
        <v>37.1</v>
      </c>
      <c r="L403" s="80">
        <v>-13.09</v>
      </c>
      <c r="M403" s="80">
        <v>30.47</v>
      </c>
      <c r="N403" s="80">
        <v>31.83</v>
      </c>
      <c r="O403" s="80">
        <v>37.42</v>
      </c>
      <c r="P403" s="81">
        <v>34.33</v>
      </c>
      <c r="Q403" s="80">
        <v>36.75</v>
      </c>
      <c r="R403" s="80">
        <v>40.85</v>
      </c>
      <c r="S403" s="80">
        <v>43.2</v>
      </c>
      <c r="T403" s="80">
        <v>40.14</v>
      </c>
      <c r="U403" s="80">
        <v>44.77</v>
      </c>
      <c r="V403" s="80">
        <v>51.85</v>
      </c>
      <c r="W403" s="106">
        <v>50.2</v>
      </c>
      <c r="X403" s="22">
        <f t="shared" si="17"/>
        <v>3.7452459227744539E-2</v>
      </c>
      <c r="Y403" s="22">
        <f t="shared" si="18"/>
        <v>4.9832235615757448E-2</v>
      </c>
      <c r="Z403" s="22">
        <f t="shared" si="19"/>
        <v>6.5104166666666741E-2</v>
      </c>
      <c r="AA403" s="22">
        <f t="shared" si="20"/>
        <v>3.8897532785063138E-2</v>
      </c>
    </row>
    <row r="404" spans="1:27" ht="15" x14ac:dyDescent="0.25">
      <c r="A404" s="4" t="s">
        <v>635</v>
      </c>
      <c r="B404" s="32" t="s">
        <v>581</v>
      </c>
      <c r="C404" s="82" t="s">
        <v>636</v>
      </c>
      <c r="D404" s="80"/>
      <c r="E404" s="80"/>
      <c r="F404" s="82">
        <v>3.8134846509005</v>
      </c>
      <c r="G404" s="80">
        <v>450.4</v>
      </c>
      <c r="H404" s="80">
        <v>408.1</v>
      </c>
      <c r="I404" s="80">
        <v>397.6</v>
      </c>
      <c r="J404" s="80">
        <v>398.9</v>
      </c>
      <c r="K404" s="80">
        <v>400.6</v>
      </c>
      <c r="L404" s="80">
        <v>387.6</v>
      </c>
      <c r="M404" s="80">
        <v>463.2</v>
      </c>
      <c r="N404" s="80">
        <v>465.8</v>
      </c>
      <c r="O404" s="80">
        <v>450.2</v>
      </c>
      <c r="P404" s="80">
        <v>469.4</v>
      </c>
      <c r="Q404" s="80">
        <v>567.29999999999995</v>
      </c>
      <c r="R404" s="80">
        <v>577.29999999999995</v>
      </c>
      <c r="S404" s="81">
        <v>756.1</v>
      </c>
      <c r="T404" s="80">
        <v>578.1</v>
      </c>
      <c r="U404" s="80">
        <v>743.4</v>
      </c>
      <c r="V404" s="80">
        <v>759.7</v>
      </c>
      <c r="W404" s="106">
        <v>864.3</v>
      </c>
      <c r="X404" s="22">
        <f t="shared" si="17"/>
        <v>4.5863043753427979E-2</v>
      </c>
      <c r="Y404" s="22">
        <f t="shared" si="18"/>
        <v>7.1042439890269593E-2</v>
      </c>
      <c r="Z404" s="22">
        <f t="shared" si="19"/>
        <v>6.8703152661117262E-2</v>
      </c>
      <c r="AA404" s="22">
        <f t="shared" si="20"/>
        <v>3.8134846509005005E-2</v>
      </c>
    </row>
    <row r="405" spans="1:27" ht="15" x14ac:dyDescent="0.25">
      <c r="A405" s="4" t="s">
        <v>635</v>
      </c>
      <c r="B405" s="32" t="s">
        <v>582</v>
      </c>
      <c r="C405" s="82" t="s">
        <v>636</v>
      </c>
      <c r="D405" s="80"/>
      <c r="E405" s="80"/>
      <c r="F405" s="82">
        <v>3.2350872706348621</v>
      </c>
      <c r="G405" s="80">
        <v>29.62</v>
      </c>
      <c r="H405" s="80">
        <v>26.59</v>
      </c>
      <c r="I405" s="80">
        <v>28.45</v>
      </c>
      <c r="J405" s="80">
        <v>34.799999999999997</v>
      </c>
      <c r="K405" s="80">
        <v>37.49</v>
      </c>
      <c r="L405" s="80">
        <v>30.6</v>
      </c>
      <c r="M405" s="80">
        <v>40.619999999999997</v>
      </c>
      <c r="N405" s="80">
        <v>37.799999999999997</v>
      </c>
      <c r="O405" s="80">
        <v>34.090000000000003</v>
      </c>
      <c r="P405" s="80">
        <v>36.659999999999997</v>
      </c>
      <c r="Q405" s="80">
        <v>36.26</v>
      </c>
      <c r="R405" s="80">
        <v>37.119999999999997</v>
      </c>
      <c r="S405" s="80">
        <v>34.479999999999997</v>
      </c>
      <c r="T405" s="80">
        <v>36.92</v>
      </c>
      <c r="U405" s="80">
        <v>41.16</v>
      </c>
      <c r="V405" s="80">
        <v>43.85</v>
      </c>
      <c r="W405" s="106">
        <v>39.54</v>
      </c>
      <c r="X405" s="22">
        <f t="shared" si="17"/>
        <v>1.7990589537779655E-3</v>
      </c>
      <c r="Y405" s="22">
        <f t="shared" si="18"/>
        <v>3.3844453653819828E-2</v>
      </c>
      <c r="Z405" s="22">
        <f t="shared" si="19"/>
        <v>4.4962586851950759E-2</v>
      </c>
      <c r="AA405" s="22">
        <f t="shared" si="20"/>
        <v>3.2350872706348621E-2</v>
      </c>
    </row>
    <row r="406" spans="1:27" ht="15" x14ac:dyDescent="0.25">
      <c r="A406" s="4" t="s">
        <v>635</v>
      </c>
      <c r="B406" s="32" t="s">
        <v>583</v>
      </c>
      <c r="C406" s="82" t="s">
        <v>636</v>
      </c>
      <c r="D406" s="80"/>
      <c r="E406" s="80"/>
      <c r="F406" s="82">
        <v>3.200483091787421</v>
      </c>
      <c r="G406" s="80">
        <v>2.59</v>
      </c>
      <c r="H406" s="80">
        <v>7.32</v>
      </c>
      <c r="I406" s="80">
        <v>5.98</v>
      </c>
      <c r="J406" s="80">
        <v>8.24</v>
      </c>
      <c r="K406" s="81">
        <v>7.3</v>
      </c>
      <c r="L406" s="80">
        <v>5.16</v>
      </c>
      <c r="M406" s="80">
        <v>2.04</v>
      </c>
      <c r="N406" s="80">
        <v>4.22</v>
      </c>
      <c r="O406" s="80">
        <v>-4.3600000000000003</v>
      </c>
      <c r="P406" s="80">
        <v>3.58</v>
      </c>
      <c r="Q406" s="80">
        <v>1.42</v>
      </c>
      <c r="R406" s="80">
        <v>2.67</v>
      </c>
      <c r="S406" s="81">
        <v>3.91</v>
      </c>
      <c r="T406" s="81">
        <v>5.36</v>
      </c>
      <c r="U406" s="81">
        <v>3.32</v>
      </c>
      <c r="V406" s="80">
        <v>3.97</v>
      </c>
      <c r="W406" s="106">
        <v>4.4400000000000004</v>
      </c>
      <c r="X406" s="22">
        <f t="shared" si="17"/>
        <v>0.15371329879101903</v>
      </c>
      <c r="Y406" s="22">
        <f t="shared" si="18"/>
        <v>0.14221556886227571</v>
      </c>
      <c r="Z406" s="22">
        <f t="shared" si="19"/>
        <v>8.519003931847946E-2</v>
      </c>
      <c r="AA406" s="22">
        <f t="shared" si="20"/>
        <v>3.2004830917874427E-2</v>
      </c>
    </row>
    <row r="407" spans="1:27" ht="15" x14ac:dyDescent="0.25">
      <c r="A407" s="4" t="s">
        <v>635</v>
      </c>
      <c r="B407" s="32" t="s">
        <v>584</v>
      </c>
      <c r="C407" s="82" t="s">
        <v>636</v>
      </c>
      <c r="D407" s="80"/>
      <c r="E407" s="80"/>
      <c r="F407" s="82">
        <v>3.1916107680407761</v>
      </c>
      <c r="G407" s="80">
        <v>124.11</v>
      </c>
      <c r="H407" s="80">
        <v>125.36</v>
      </c>
      <c r="I407" s="80">
        <v>119.84</v>
      </c>
      <c r="J407" s="80">
        <v>132.80000000000001</v>
      </c>
      <c r="K407" s="80">
        <v>130.87</v>
      </c>
      <c r="L407" s="80">
        <v>155.03</v>
      </c>
      <c r="M407" s="80">
        <v>148.80000000000001</v>
      </c>
      <c r="N407" s="80">
        <v>137.35</v>
      </c>
      <c r="O407" s="80">
        <v>133.31</v>
      </c>
      <c r="P407" s="80">
        <v>181.3</v>
      </c>
      <c r="Q407" s="80">
        <v>197.75</v>
      </c>
      <c r="R407" s="80">
        <v>188.54</v>
      </c>
      <c r="S407" s="80">
        <v>181.3</v>
      </c>
      <c r="T407" s="80">
        <v>196.37</v>
      </c>
      <c r="U407" s="80">
        <v>198.68</v>
      </c>
      <c r="V407" s="80">
        <v>212.28</v>
      </c>
      <c r="W407" s="106">
        <v>206.47</v>
      </c>
      <c r="X407" s="22">
        <f t="shared" si="17"/>
        <v>2.0123115544338654E-2</v>
      </c>
      <c r="Y407" s="22">
        <f t="shared" si="18"/>
        <v>1.2173412220537472E-3</v>
      </c>
      <c r="Z407" s="22">
        <f t="shared" si="19"/>
        <v>3.1037142595667255E-2</v>
      </c>
      <c r="AA407" s="22">
        <f t="shared" si="20"/>
        <v>3.1916107680407979E-2</v>
      </c>
    </row>
    <row r="408" spans="1:27" ht="15" x14ac:dyDescent="0.25">
      <c r="A408" s="4" t="s">
        <v>635</v>
      </c>
      <c r="B408" s="32" t="s">
        <v>585</v>
      </c>
      <c r="C408" s="82" t="s">
        <v>636</v>
      </c>
      <c r="D408" s="80"/>
      <c r="E408" s="80"/>
      <c r="F408" s="82">
        <v>3.1012560086835168</v>
      </c>
      <c r="G408" s="80">
        <v>204.71</v>
      </c>
      <c r="H408" s="80">
        <v>162.75</v>
      </c>
      <c r="I408" s="80">
        <v>217.49</v>
      </c>
      <c r="J408" s="80">
        <v>218.13</v>
      </c>
      <c r="K408" s="80">
        <v>209.13</v>
      </c>
      <c r="L408" s="80">
        <v>232.21</v>
      </c>
      <c r="M408" s="80">
        <v>223.35</v>
      </c>
      <c r="N408" s="80">
        <v>247.19</v>
      </c>
      <c r="O408" s="80">
        <v>274.70999999999998</v>
      </c>
      <c r="P408" s="80">
        <v>294.7</v>
      </c>
      <c r="Q408" s="80">
        <v>299.3</v>
      </c>
      <c r="R408" s="80">
        <v>302.2</v>
      </c>
      <c r="S408" s="80">
        <v>325.18</v>
      </c>
      <c r="T408" s="80">
        <v>385.79</v>
      </c>
      <c r="U408" s="80">
        <v>351.79</v>
      </c>
      <c r="V408" s="80">
        <v>356.02</v>
      </c>
      <c r="W408" s="106">
        <v>369.18</v>
      </c>
      <c r="X408" s="22">
        <f t="shared" si="17"/>
        <v>7.4579573924577147E-2</v>
      </c>
      <c r="Y408" s="22">
        <f t="shared" si="18"/>
        <v>3.9993295084840064E-2</v>
      </c>
      <c r="Z408" s="22">
        <f t="shared" si="19"/>
        <v>3.9429726878443372E-2</v>
      </c>
      <c r="AA408" s="22">
        <f t="shared" si="20"/>
        <v>3.1012560086835173E-2</v>
      </c>
    </row>
    <row r="409" spans="1:27" ht="15" x14ac:dyDescent="0.25">
      <c r="A409" s="4" t="s">
        <v>635</v>
      </c>
      <c r="B409" s="32" t="s">
        <v>586</v>
      </c>
      <c r="C409" s="82" t="s">
        <v>636</v>
      </c>
      <c r="D409" s="80"/>
      <c r="E409" s="80"/>
      <c r="F409" s="82">
        <v>2.9095310678741049</v>
      </c>
      <c r="G409" s="80">
        <v>75.58</v>
      </c>
      <c r="H409" s="80">
        <v>58.1</v>
      </c>
      <c r="I409" s="80">
        <v>30.8</v>
      </c>
      <c r="J409" s="80">
        <v>22.84</v>
      </c>
      <c r="K409" s="80">
        <v>35</v>
      </c>
      <c r="L409" s="80">
        <v>64.540000000000006</v>
      </c>
      <c r="M409" s="81">
        <v>48.85</v>
      </c>
      <c r="N409" s="80">
        <v>33.74</v>
      </c>
      <c r="O409" s="80">
        <v>42.85</v>
      </c>
      <c r="P409" s="81">
        <v>87.09</v>
      </c>
      <c r="Q409" s="80">
        <v>51.18</v>
      </c>
      <c r="R409" s="80">
        <v>37.49</v>
      </c>
      <c r="S409" s="80">
        <v>36.17</v>
      </c>
      <c r="T409" s="80">
        <v>91.36</v>
      </c>
      <c r="U409" s="80">
        <v>47.16</v>
      </c>
      <c r="V409" s="80">
        <v>48.37</v>
      </c>
      <c r="W409" s="106">
        <v>42.66</v>
      </c>
      <c r="X409" s="22">
        <f t="shared" si="17"/>
        <v>2.0148162129004721E-2</v>
      </c>
      <c r="Y409" s="22">
        <f t="shared" si="18"/>
        <v>-1.8593894542090705E-2</v>
      </c>
      <c r="Z409" s="22">
        <f t="shared" si="19"/>
        <v>5.1277217456876301E-2</v>
      </c>
      <c r="AA409" s="22">
        <f t="shared" si="20"/>
        <v>2.9095310678741049E-2</v>
      </c>
    </row>
    <row r="410" spans="1:27" ht="15" x14ac:dyDescent="0.25">
      <c r="A410" s="4" t="s">
        <v>635</v>
      </c>
      <c r="B410" s="32" t="s">
        <v>587</v>
      </c>
      <c r="C410" s="82" t="s">
        <v>636</v>
      </c>
      <c r="D410" s="80"/>
      <c r="E410" s="80"/>
      <c r="F410" s="82">
        <v>2.8974146601195021</v>
      </c>
      <c r="G410" s="80">
        <v>-47.69</v>
      </c>
      <c r="H410" s="80">
        <v>148.59</v>
      </c>
      <c r="I410" s="80">
        <v>163.11000000000001</v>
      </c>
      <c r="J410" s="80">
        <v>160.11000000000001</v>
      </c>
      <c r="K410" s="81">
        <v>0</v>
      </c>
      <c r="L410" s="80">
        <v>94.08</v>
      </c>
      <c r="M410" s="80">
        <v>137.72999999999999</v>
      </c>
      <c r="N410" s="80">
        <v>111.51</v>
      </c>
      <c r="O410" s="80">
        <v>0</v>
      </c>
      <c r="P410" s="81">
        <v>152.49</v>
      </c>
      <c r="Q410" s="81">
        <v>178.28</v>
      </c>
      <c r="R410" s="81">
        <v>175.92</v>
      </c>
      <c r="S410" s="81">
        <v>169.51</v>
      </c>
      <c r="T410" s="80">
        <v>169.19</v>
      </c>
      <c r="U410" s="80">
        <v>172.46</v>
      </c>
      <c r="V410" s="80">
        <v>164.96</v>
      </c>
      <c r="W410" s="106">
        <v>189.1</v>
      </c>
      <c r="X410" s="22">
        <f t="shared" si="17"/>
        <v>2.4696835255841654E-2</v>
      </c>
      <c r="Y410" s="22">
        <f t="shared" si="18"/>
        <v>-8.3994804445087778E-3</v>
      </c>
      <c r="Z410" s="22">
        <f t="shared" si="19"/>
        <v>-1.59515631367525E-2</v>
      </c>
      <c r="AA410" s="22">
        <f t="shared" si="20"/>
        <v>2.8974146601195017E-2</v>
      </c>
    </row>
    <row r="411" spans="1:27" ht="15" x14ac:dyDescent="0.25">
      <c r="A411" s="4" t="s">
        <v>635</v>
      </c>
      <c r="B411" s="32" t="s">
        <v>587</v>
      </c>
      <c r="C411" s="82" t="s">
        <v>636</v>
      </c>
      <c r="D411" s="80"/>
      <c r="E411" s="80"/>
      <c r="F411" s="82">
        <v>2.8974146601195021</v>
      </c>
      <c r="G411" s="80">
        <v>-47.69</v>
      </c>
      <c r="H411" s="80">
        <v>148.59</v>
      </c>
      <c r="I411" s="80">
        <v>163.11000000000001</v>
      </c>
      <c r="J411" s="80">
        <v>160.11000000000001</v>
      </c>
      <c r="K411" s="81">
        <v>0</v>
      </c>
      <c r="L411" s="80">
        <v>94.08</v>
      </c>
      <c r="M411" s="80">
        <v>137.72999999999999</v>
      </c>
      <c r="N411" s="80">
        <v>111.51</v>
      </c>
      <c r="O411" s="80">
        <v>0</v>
      </c>
      <c r="P411" s="81">
        <v>152.49</v>
      </c>
      <c r="Q411" s="81">
        <v>178.28</v>
      </c>
      <c r="R411" s="81">
        <v>175.92</v>
      </c>
      <c r="S411" s="81">
        <v>169.51</v>
      </c>
      <c r="T411" s="80">
        <v>169.19</v>
      </c>
      <c r="U411" s="80">
        <v>172.46</v>
      </c>
      <c r="V411" s="80">
        <v>164.96</v>
      </c>
      <c r="W411" s="106">
        <v>189.1</v>
      </c>
      <c r="X411" s="22">
        <f t="shared" si="17"/>
        <v>2.4696835255841654E-2</v>
      </c>
      <c r="Y411" s="22">
        <f t="shared" si="18"/>
        <v>-8.3994804445087778E-3</v>
      </c>
      <c r="Z411" s="22">
        <f t="shared" si="19"/>
        <v>-1.59515631367525E-2</v>
      </c>
      <c r="AA411" s="22">
        <f t="shared" si="20"/>
        <v>2.8974146601195017E-2</v>
      </c>
    </row>
    <row r="412" spans="1:27" ht="15" x14ac:dyDescent="0.25">
      <c r="A412" s="4" t="s">
        <v>635</v>
      </c>
      <c r="B412" s="32" t="s">
        <v>588</v>
      </c>
      <c r="C412" s="82" t="s">
        <v>636</v>
      </c>
      <c r="D412" s="80"/>
      <c r="E412" s="80"/>
      <c r="F412" s="82">
        <v>2.8566529944739738</v>
      </c>
      <c r="G412" s="80">
        <v>166.39</v>
      </c>
      <c r="H412" s="80">
        <v>157.59</v>
      </c>
      <c r="I412" s="80">
        <v>181.13</v>
      </c>
      <c r="J412" s="80">
        <v>183.84</v>
      </c>
      <c r="K412" s="80">
        <v>174.93</v>
      </c>
      <c r="L412" s="80">
        <v>171.27</v>
      </c>
      <c r="M412" s="80">
        <v>245.9</v>
      </c>
      <c r="N412" s="80">
        <v>167.98</v>
      </c>
      <c r="O412" s="80">
        <v>128.86000000000001</v>
      </c>
      <c r="P412" s="80">
        <v>151.28</v>
      </c>
      <c r="Q412" s="80">
        <v>65</v>
      </c>
      <c r="R412" s="80">
        <v>181.15</v>
      </c>
      <c r="S412" s="81">
        <v>183.79</v>
      </c>
      <c r="T412" s="80">
        <v>170.41</v>
      </c>
      <c r="U412" s="81">
        <v>194.3</v>
      </c>
      <c r="V412" s="80">
        <v>209.73</v>
      </c>
      <c r="W412" s="106">
        <v>205.45</v>
      </c>
      <c r="X412" s="22">
        <f t="shared" si="17"/>
        <v>3.2913526719658748E-2</v>
      </c>
      <c r="Y412" s="22">
        <f t="shared" si="18"/>
        <v>0.21537436495377715</v>
      </c>
      <c r="Z412" s="22">
        <f t="shared" si="19"/>
        <v>3.9169464811896093E-2</v>
      </c>
      <c r="AA412" s="22">
        <f t="shared" si="20"/>
        <v>2.8566529944739738E-2</v>
      </c>
    </row>
    <row r="413" spans="1:27" ht="15" x14ac:dyDescent="0.25">
      <c r="A413" s="4" t="s">
        <v>635</v>
      </c>
      <c r="B413" s="32" t="s">
        <v>589</v>
      </c>
      <c r="C413" s="82" t="s">
        <v>636</v>
      </c>
      <c r="D413" s="80"/>
      <c r="E413" s="80"/>
      <c r="F413" s="82">
        <v>2.8009535160905759</v>
      </c>
      <c r="G413" s="80">
        <v>15.22</v>
      </c>
      <c r="H413" s="80">
        <v>14.32</v>
      </c>
      <c r="I413" s="80">
        <v>14.63</v>
      </c>
      <c r="J413" s="80">
        <v>19.97</v>
      </c>
      <c r="K413" s="81">
        <v>26.87</v>
      </c>
      <c r="L413" s="81">
        <v>26.14</v>
      </c>
      <c r="M413" s="81">
        <v>25.37</v>
      </c>
      <c r="N413" s="80">
        <v>25.99</v>
      </c>
      <c r="O413" s="80">
        <v>25.21</v>
      </c>
      <c r="P413" s="80">
        <v>26.99</v>
      </c>
      <c r="Q413" s="80">
        <v>23.52</v>
      </c>
      <c r="R413" s="80">
        <v>24.56</v>
      </c>
      <c r="S413" s="80">
        <v>23.23</v>
      </c>
      <c r="T413" s="80">
        <v>24.05</v>
      </c>
      <c r="U413" s="80">
        <v>25.96</v>
      </c>
      <c r="V413" s="80">
        <v>27.44</v>
      </c>
      <c r="W413" s="106">
        <v>26.05</v>
      </c>
      <c r="X413" s="22">
        <f t="shared" si="17"/>
        <v>-2.9908443540183072E-2</v>
      </c>
      <c r="Y413" s="22">
        <f t="shared" si="18"/>
        <v>2.558724832214776E-2</v>
      </c>
      <c r="Z413" s="22">
        <f t="shared" si="19"/>
        <v>2.9447852760736248E-2</v>
      </c>
      <c r="AA413" s="22">
        <f t="shared" si="20"/>
        <v>2.8009535160905763E-2</v>
      </c>
    </row>
    <row r="414" spans="1:27" ht="15" x14ac:dyDescent="0.25">
      <c r="A414" s="4" t="s">
        <v>635</v>
      </c>
      <c r="B414" s="32" t="s">
        <v>590</v>
      </c>
      <c r="C414" s="82" t="s">
        <v>636</v>
      </c>
      <c r="D414" s="80"/>
      <c r="E414" s="80"/>
      <c r="F414" s="82">
        <v>2.7551659361302332</v>
      </c>
      <c r="G414" s="80">
        <v>7.56</v>
      </c>
      <c r="H414" s="80">
        <v>7.27</v>
      </c>
      <c r="I414" s="80">
        <v>8.64</v>
      </c>
      <c r="J414" s="80">
        <v>10.49</v>
      </c>
      <c r="K414" s="81">
        <v>12.4</v>
      </c>
      <c r="L414" s="81">
        <v>16.57</v>
      </c>
      <c r="M414" s="80">
        <v>12.48</v>
      </c>
      <c r="N414" s="80">
        <v>13.29</v>
      </c>
      <c r="O414" s="80">
        <v>13.54</v>
      </c>
      <c r="P414" s="80">
        <v>13.68</v>
      </c>
      <c r="Q414" s="80">
        <v>14.37</v>
      </c>
      <c r="R414" s="80">
        <v>15.56</v>
      </c>
      <c r="S414" s="80">
        <v>15.67</v>
      </c>
      <c r="T414" s="80">
        <v>15.51</v>
      </c>
      <c r="U414" s="80">
        <v>15.24</v>
      </c>
      <c r="V414" s="80">
        <v>17.46</v>
      </c>
      <c r="W414" s="106">
        <v>17.43</v>
      </c>
      <c r="X414" s="22">
        <f t="shared" si="17"/>
        <v>3.0870445344129527E-2</v>
      </c>
      <c r="Y414" s="22">
        <f t="shared" si="18"/>
        <v>1.4236622484045336E-2</v>
      </c>
      <c r="Z414" s="22">
        <f t="shared" si="19"/>
        <v>3.0655050016134222E-2</v>
      </c>
      <c r="AA414" s="22">
        <f t="shared" si="20"/>
        <v>2.7551659361302328E-2</v>
      </c>
    </row>
    <row r="415" spans="1:27" ht="15" x14ac:dyDescent="0.25">
      <c r="A415" s="4" t="s">
        <v>635</v>
      </c>
      <c r="B415" s="32" t="s">
        <v>591</v>
      </c>
      <c r="C415" s="82" t="s">
        <v>636</v>
      </c>
      <c r="D415" s="80"/>
      <c r="E415" s="80"/>
      <c r="F415" s="82">
        <v>2.6356935447844791</v>
      </c>
      <c r="G415" s="80">
        <v>11.93</v>
      </c>
      <c r="H415" s="80">
        <v>11.34</v>
      </c>
      <c r="I415" s="80">
        <v>13.25</v>
      </c>
      <c r="J415" s="80">
        <v>14.4</v>
      </c>
      <c r="K415" s="80">
        <v>15.86</v>
      </c>
      <c r="L415" s="80">
        <v>16.59</v>
      </c>
      <c r="M415" s="80">
        <v>13.63</v>
      </c>
      <c r="N415" s="80">
        <v>14.31</v>
      </c>
      <c r="O415" s="80">
        <v>12.59</v>
      </c>
      <c r="P415" s="80">
        <v>12.66</v>
      </c>
      <c r="Q415" s="80">
        <v>12.79</v>
      </c>
      <c r="R415" s="80">
        <v>13.61</v>
      </c>
      <c r="S415" s="80">
        <v>13.55</v>
      </c>
      <c r="T415" s="80">
        <v>12.7</v>
      </c>
      <c r="U415" s="80">
        <v>7.48</v>
      </c>
      <c r="V415" s="80">
        <v>11.04</v>
      </c>
      <c r="W415" s="106">
        <v>14.73</v>
      </c>
      <c r="X415" s="22">
        <f t="shared" si="17"/>
        <v>7.6031172780854916E-4</v>
      </c>
      <c r="Y415" s="22">
        <f t="shared" si="18"/>
        <v>-0.10085470085470094</v>
      </c>
      <c r="Z415" s="22">
        <f t="shared" si="19"/>
        <v>-5.4288128432615101E-2</v>
      </c>
      <c r="AA415" s="22">
        <f t="shared" si="20"/>
        <v>2.6356935447844565E-2</v>
      </c>
    </row>
    <row r="416" spans="1:27" ht="15" x14ac:dyDescent="0.25">
      <c r="A416" s="4" t="s">
        <v>635</v>
      </c>
      <c r="B416" s="32" t="s">
        <v>592</v>
      </c>
      <c r="C416" s="82" t="s">
        <v>636</v>
      </c>
      <c r="D416" s="80"/>
      <c r="E416" s="80"/>
      <c r="F416" s="82">
        <v>2.4438532450658861</v>
      </c>
      <c r="G416" s="80">
        <v>300.89999999999998</v>
      </c>
      <c r="H416" s="80">
        <v>358</v>
      </c>
      <c r="I416" s="80">
        <v>383.4</v>
      </c>
      <c r="J416" s="80">
        <v>379.2</v>
      </c>
      <c r="K416" s="80">
        <v>332.9</v>
      </c>
      <c r="L416" s="80">
        <v>393.2</v>
      </c>
      <c r="M416" s="80">
        <v>394.9</v>
      </c>
      <c r="N416" s="80">
        <v>386.7</v>
      </c>
      <c r="O416" s="80">
        <v>353.8</v>
      </c>
      <c r="P416" s="80">
        <v>390.2</v>
      </c>
      <c r="Q416" s="80">
        <v>386.9</v>
      </c>
      <c r="R416" s="80">
        <v>388.1</v>
      </c>
      <c r="S416" s="80">
        <v>344.8</v>
      </c>
      <c r="T416" s="80">
        <v>393.9</v>
      </c>
      <c r="U416" s="80">
        <v>436.1</v>
      </c>
      <c r="V416" s="80">
        <v>441.5</v>
      </c>
      <c r="W416" s="106">
        <v>384.3</v>
      </c>
      <c r="X416" s="22">
        <f t="shared" si="17"/>
        <v>2.4503311258279314E-3</v>
      </c>
      <c r="Y416" s="22">
        <f t="shared" si="18"/>
        <v>3.2503138006210186E-2</v>
      </c>
      <c r="Z416" s="22">
        <f t="shared" si="19"/>
        <v>3.4167253183185142E-2</v>
      </c>
      <c r="AA416" s="22">
        <f t="shared" si="20"/>
        <v>2.4438532450658856E-2</v>
      </c>
    </row>
    <row r="417" spans="1:27" ht="15" x14ac:dyDescent="0.25">
      <c r="A417" s="4" t="s">
        <v>635</v>
      </c>
      <c r="B417" s="32" t="s">
        <v>593</v>
      </c>
      <c r="C417" s="82" t="s">
        <v>636</v>
      </c>
      <c r="D417" s="80"/>
      <c r="E417" s="80"/>
      <c r="F417" s="82">
        <v>2.295010530902752</v>
      </c>
      <c r="G417" s="80">
        <v>66.8</v>
      </c>
      <c r="H417" s="80">
        <v>63.37</v>
      </c>
      <c r="I417" s="80">
        <v>82.14</v>
      </c>
      <c r="J417" s="80">
        <v>89.9</v>
      </c>
      <c r="K417" s="80">
        <v>92.94</v>
      </c>
      <c r="L417" s="80">
        <v>82.55</v>
      </c>
      <c r="M417" s="80">
        <v>77.67</v>
      </c>
      <c r="N417" s="80">
        <v>80.62</v>
      </c>
      <c r="O417" s="80">
        <v>74.59</v>
      </c>
      <c r="P417" s="80">
        <v>66.8</v>
      </c>
      <c r="Q417" s="80">
        <v>68.78</v>
      </c>
      <c r="R417" s="80">
        <v>67.62</v>
      </c>
      <c r="S417" s="80">
        <v>68.040000000000006</v>
      </c>
      <c r="T417" s="80">
        <v>69.53</v>
      </c>
      <c r="U417" s="80">
        <v>68.8</v>
      </c>
      <c r="V417" s="80">
        <v>69.010000000000005</v>
      </c>
      <c r="W417" s="106">
        <v>74.36</v>
      </c>
      <c r="X417" s="22">
        <f t="shared" si="17"/>
        <v>1.0064887184781046E-2</v>
      </c>
      <c r="Y417" s="22">
        <f t="shared" si="18"/>
        <v>7.3000693506575232E-5</v>
      </c>
      <c r="Z417" s="22">
        <f t="shared" si="19"/>
        <v>5.0731778532062677E-3</v>
      </c>
      <c r="AA417" s="22">
        <f t="shared" si="20"/>
        <v>2.2950105309027524E-2</v>
      </c>
    </row>
    <row r="418" spans="1:27" ht="15" x14ac:dyDescent="0.25">
      <c r="A418" s="4" t="s">
        <v>635</v>
      </c>
      <c r="B418" s="32" t="s">
        <v>594</v>
      </c>
      <c r="C418" s="82" t="s">
        <v>636</v>
      </c>
      <c r="D418" s="80"/>
      <c r="E418" s="80"/>
      <c r="F418" s="82">
        <v>1.9518952273013479</v>
      </c>
      <c r="G418" s="80">
        <v>13.94</v>
      </c>
      <c r="H418" s="80">
        <v>10.23</v>
      </c>
      <c r="I418" s="80">
        <v>7.7</v>
      </c>
      <c r="J418" s="80">
        <v>11.84</v>
      </c>
      <c r="K418" s="80">
        <v>17.68</v>
      </c>
      <c r="L418" s="80">
        <v>8.17</v>
      </c>
      <c r="M418" s="81">
        <v>19.47</v>
      </c>
      <c r="N418" s="81">
        <v>18.649999999999999</v>
      </c>
      <c r="O418" s="81">
        <v>25.07</v>
      </c>
      <c r="P418" s="81">
        <v>19.010000000000002</v>
      </c>
      <c r="Q418" s="80">
        <v>15.81</v>
      </c>
      <c r="R418" s="80">
        <v>16.8</v>
      </c>
      <c r="S418" s="80">
        <v>18.29</v>
      </c>
      <c r="T418" s="80">
        <v>18.43</v>
      </c>
      <c r="U418" s="80">
        <v>21.83</v>
      </c>
      <c r="V418" s="80">
        <v>20.86</v>
      </c>
      <c r="W418" s="106">
        <v>19.84</v>
      </c>
      <c r="X418" s="22">
        <f t="shared" si="17"/>
        <v>-8.2963810613645439E-3</v>
      </c>
      <c r="Y418" s="22">
        <f t="shared" si="18"/>
        <v>8.6831097648925271E-2</v>
      </c>
      <c r="Z418" s="22">
        <f t="shared" si="19"/>
        <v>5.3881884538818925E-2</v>
      </c>
      <c r="AA418" s="22">
        <f t="shared" si="20"/>
        <v>1.9518952273013479E-2</v>
      </c>
    </row>
    <row r="419" spans="1:27" ht="15" x14ac:dyDescent="0.25">
      <c r="A419" s="4" t="s">
        <v>635</v>
      </c>
      <c r="B419" s="32" t="s">
        <v>595</v>
      </c>
      <c r="C419" s="82" t="s">
        <v>636</v>
      </c>
      <c r="D419" s="80"/>
      <c r="E419" s="80"/>
      <c r="F419" s="82">
        <v>1.7482517482517499</v>
      </c>
      <c r="G419" s="80">
        <v>19.36</v>
      </c>
      <c r="H419" s="80">
        <v>21.37</v>
      </c>
      <c r="I419" s="80">
        <v>22.92</v>
      </c>
      <c r="J419" s="80">
        <v>22.81</v>
      </c>
      <c r="K419" s="80">
        <v>27.1</v>
      </c>
      <c r="L419" s="80">
        <v>25.94</v>
      </c>
      <c r="M419" s="80">
        <v>22.81</v>
      </c>
      <c r="N419" s="80">
        <v>20.23</v>
      </c>
      <c r="O419" s="80">
        <v>16.36</v>
      </c>
      <c r="P419" s="80">
        <v>16.57</v>
      </c>
      <c r="Q419" s="80">
        <v>20.85</v>
      </c>
      <c r="R419" s="80">
        <v>20.11</v>
      </c>
      <c r="S419" s="80">
        <v>17.97</v>
      </c>
      <c r="T419" s="80">
        <v>21.45</v>
      </c>
      <c r="U419" s="80">
        <v>24.28</v>
      </c>
      <c r="V419" s="80">
        <v>22.1</v>
      </c>
      <c r="W419" s="106">
        <v>19.47</v>
      </c>
      <c r="X419" s="22">
        <f t="shared" si="17"/>
        <v>6.4635761589403984E-2</v>
      </c>
      <c r="Y419" s="22">
        <f t="shared" si="18"/>
        <v>4.2672306543916516E-2</v>
      </c>
      <c r="Z419" s="22">
        <f t="shared" si="19"/>
        <v>2.3744183271686037E-2</v>
      </c>
      <c r="AA419" s="22">
        <f t="shared" si="20"/>
        <v>1.7482517482517501E-2</v>
      </c>
    </row>
    <row r="420" spans="1:27" ht="15" x14ac:dyDescent="0.25">
      <c r="A420" s="4" t="s">
        <v>635</v>
      </c>
      <c r="B420" s="32" t="s">
        <v>596</v>
      </c>
      <c r="C420" s="82" t="s">
        <v>636</v>
      </c>
      <c r="D420" s="80"/>
      <c r="E420" s="80"/>
      <c r="F420" s="82">
        <v>1.7218139919126909</v>
      </c>
      <c r="G420" s="80">
        <v>509.6</v>
      </c>
      <c r="H420" s="80">
        <v>510.8</v>
      </c>
      <c r="I420" s="80">
        <v>540.6</v>
      </c>
      <c r="J420" s="80">
        <v>524.5</v>
      </c>
      <c r="K420" s="80">
        <v>190.4</v>
      </c>
      <c r="L420" s="80">
        <v>444</v>
      </c>
      <c r="M420" s="80">
        <v>440.7</v>
      </c>
      <c r="N420" s="80">
        <v>434.3</v>
      </c>
      <c r="O420" s="80">
        <v>145.80000000000001</v>
      </c>
      <c r="P420" s="80">
        <v>290.60000000000002</v>
      </c>
      <c r="Q420" s="81">
        <v>1174</v>
      </c>
      <c r="R420" s="80">
        <v>601.1</v>
      </c>
      <c r="S420" s="81">
        <v>594.20000000000005</v>
      </c>
      <c r="T420" s="80">
        <v>521.4</v>
      </c>
      <c r="U420" s="80">
        <v>564.79999999999995</v>
      </c>
      <c r="V420" s="80">
        <v>619.5</v>
      </c>
      <c r="W420" s="106">
        <v>633.79999999999995</v>
      </c>
      <c r="X420" s="22">
        <f t="shared" si="17"/>
        <v>8.6770179330050157E-2</v>
      </c>
      <c r="Y420" s="22">
        <f t="shared" si="18"/>
        <v>-0.21074480229702153</v>
      </c>
      <c r="Z420" s="22">
        <f t="shared" si="19"/>
        <v>8.0648696033309708E-3</v>
      </c>
      <c r="AA420" s="22">
        <f t="shared" si="20"/>
        <v>1.7218139919127129E-2</v>
      </c>
    </row>
    <row r="421" spans="1:27" ht="15" x14ac:dyDescent="0.25">
      <c r="A421" s="4" t="s">
        <v>635</v>
      </c>
      <c r="B421" s="32" t="s">
        <v>597</v>
      </c>
      <c r="C421" s="82" t="s">
        <v>636</v>
      </c>
      <c r="D421" s="80"/>
      <c r="E421" s="80"/>
      <c r="F421" s="82">
        <v>1.7197125256673611</v>
      </c>
      <c r="G421" s="80">
        <v>4.42</v>
      </c>
      <c r="H421" s="80">
        <v>5.17</v>
      </c>
      <c r="I421" s="80">
        <v>7.65</v>
      </c>
      <c r="J421" s="80">
        <v>10.029999999999999</v>
      </c>
      <c r="K421" s="81">
        <v>9.07</v>
      </c>
      <c r="L421" s="80">
        <v>7.73</v>
      </c>
      <c r="M421" s="80">
        <v>10.27</v>
      </c>
      <c r="N421" s="80">
        <v>11.03</v>
      </c>
      <c r="O421" s="80">
        <v>7.82</v>
      </c>
      <c r="P421" s="80">
        <v>7.66</v>
      </c>
      <c r="Q421" s="80">
        <v>10.55</v>
      </c>
      <c r="R421" s="80">
        <v>9.1300000000000008</v>
      </c>
      <c r="S421" s="80">
        <v>8.4600000000000009</v>
      </c>
      <c r="T421" s="80">
        <v>6.24</v>
      </c>
      <c r="U421" s="80">
        <v>13.29</v>
      </c>
      <c r="V421" s="80">
        <v>10.97</v>
      </c>
      <c r="W421" s="106">
        <v>9.1300000000000008</v>
      </c>
      <c r="X421" s="22">
        <f t="shared" si="17"/>
        <v>-3.9664804469273784E-2</v>
      </c>
      <c r="Y421" s="22">
        <f t="shared" si="18"/>
        <v>7.9697498545666212E-2</v>
      </c>
      <c r="Z421" s="22">
        <f t="shared" si="19"/>
        <v>4.9568965517241326E-2</v>
      </c>
      <c r="AA421" s="22">
        <f t="shared" si="20"/>
        <v>1.7197125256673607E-2</v>
      </c>
    </row>
    <row r="422" spans="1:27" ht="15" x14ac:dyDescent="0.25">
      <c r="A422" s="4" t="s">
        <v>635</v>
      </c>
      <c r="B422" s="32" t="s">
        <v>598</v>
      </c>
      <c r="C422" s="82" t="s">
        <v>636</v>
      </c>
      <c r="D422" s="80"/>
      <c r="E422" s="80"/>
      <c r="F422" s="82">
        <v>1.310980674455964</v>
      </c>
      <c r="G422" s="80">
        <v>149.12</v>
      </c>
      <c r="H422" s="80">
        <v>151.93</v>
      </c>
      <c r="I422" s="80">
        <v>152.16999999999999</v>
      </c>
      <c r="J422" s="80">
        <v>160.12</v>
      </c>
      <c r="K422" s="80">
        <v>168.15</v>
      </c>
      <c r="L422" s="80">
        <v>153.37</v>
      </c>
      <c r="M422" s="80">
        <v>166.45</v>
      </c>
      <c r="N422" s="80">
        <v>156.13999999999999</v>
      </c>
      <c r="O422" s="80">
        <v>143.77000000000001</v>
      </c>
      <c r="P422" s="80">
        <v>147.1</v>
      </c>
      <c r="Q422" s="80">
        <v>180.04</v>
      </c>
      <c r="R422" s="80">
        <v>178.51</v>
      </c>
      <c r="S422" s="80">
        <v>173.83</v>
      </c>
      <c r="T422" s="80">
        <v>167.6</v>
      </c>
      <c r="U422" s="80">
        <v>196.16</v>
      </c>
      <c r="V422" s="80">
        <v>184.77</v>
      </c>
      <c r="W422" s="106">
        <v>183.3</v>
      </c>
      <c r="X422" s="22">
        <f t="shared" si="17"/>
        <v>3.017013009948788E-2</v>
      </c>
      <c r="Y422" s="22">
        <f t="shared" si="18"/>
        <v>2.3029229406554386E-2</v>
      </c>
      <c r="Z422" s="22">
        <f t="shared" si="19"/>
        <v>8.7417958385700434E-3</v>
      </c>
      <c r="AA422" s="22">
        <f t="shared" si="20"/>
        <v>1.3109806744559416E-2</v>
      </c>
    </row>
    <row r="423" spans="1:27" ht="15" x14ac:dyDescent="0.25">
      <c r="A423" s="4" t="s">
        <v>635</v>
      </c>
      <c r="B423" s="32" t="s">
        <v>599</v>
      </c>
      <c r="C423" s="82" t="s">
        <v>636</v>
      </c>
      <c r="D423" s="80"/>
      <c r="E423" s="80"/>
      <c r="F423" s="82">
        <v>1.288412556647156</v>
      </c>
      <c r="G423" s="80">
        <v>164.85</v>
      </c>
      <c r="H423" s="80">
        <v>154.47999999999999</v>
      </c>
      <c r="I423" s="80">
        <v>154.05000000000001</v>
      </c>
      <c r="J423" s="80">
        <v>170.74</v>
      </c>
      <c r="K423" s="80">
        <v>179.92</v>
      </c>
      <c r="L423" s="80">
        <v>158.41999999999999</v>
      </c>
      <c r="M423" s="80">
        <v>147.37</v>
      </c>
      <c r="N423" s="80">
        <v>122.04</v>
      </c>
      <c r="O423" s="80">
        <v>62.31</v>
      </c>
      <c r="P423" s="80">
        <v>133.33000000000001</v>
      </c>
      <c r="Q423" s="80">
        <v>144.87</v>
      </c>
      <c r="R423" s="80">
        <v>145.26</v>
      </c>
      <c r="S423" s="81">
        <v>150.52000000000001</v>
      </c>
      <c r="T423" s="80">
        <v>149.18</v>
      </c>
      <c r="U423" s="80">
        <v>144.58000000000001</v>
      </c>
      <c r="V423" s="80">
        <v>160.34</v>
      </c>
      <c r="W423" s="106">
        <v>158.31</v>
      </c>
      <c r="X423" s="22">
        <f t="shared" si="17"/>
        <v>2.7614202585455772E-2</v>
      </c>
      <c r="Y423" s="22">
        <f t="shared" si="18"/>
        <v>-4.9166709051751134E-4</v>
      </c>
      <c r="Z423" s="22">
        <f t="shared" si="19"/>
        <v>2.5579265189809242E-2</v>
      </c>
      <c r="AA423" s="22">
        <f t="shared" si="20"/>
        <v>1.2884125566471338E-2</v>
      </c>
    </row>
    <row r="424" spans="1:27" ht="15" x14ac:dyDescent="0.25">
      <c r="A424" s="4" t="s">
        <v>635</v>
      </c>
      <c r="B424" s="32" t="s">
        <v>600</v>
      </c>
      <c r="C424" s="82" t="s">
        <v>636</v>
      </c>
      <c r="D424" s="80"/>
      <c r="E424" s="80"/>
      <c r="F424" s="82">
        <v>1.2716174974567671</v>
      </c>
      <c r="G424" s="80">
        <v>59.44</v>
      </c>
      <c r="H424" s="80">
        <v>53.85</v>
      </c>
      <c r="I424" s="80">
        <v>59.6</v>
      </c>
      <c r="J424" s="80">
        <v>60.91</v>
      </c>
      <c r="K424" s="80">
        <v>66.42</v>
      </c>
      <c r="L424" s="80">
        <v>68.489999999999995</v>
      </c>
      <c r="M424" s="80">
        <v>48.77</v>
      </c>
      <c r="N424" s="80">
        <v>56.51</v>
      </c>
      <c r="O424" s="80">
        <v>53.32</v>
      </c>
      <c r="P424" s="80">
        <v>46.39</v>
      </c>
      <c r="Q424" s="80">
        <v>49.25</v>
      </c>
      <c r="R424" s="80">
        <v>55.76</v>
      </c>
      <c r="S424" s="80">
        <v>58.09</v>
      </c>
      <c r="T424" s="80">
        <v>55.79</v>
      </c>
      <c r="U424" s="80">
        <v>56.01</v>
      </c>
      <c r="V424" s="80">
        <v>66.03</v>
      </c>
      <c r="W424" s="106">
        <v>61.09</v>
      </c>
      <c r="X424" s="22">
        <f t="shared" si="17"/>
        <v>4.4870876891498268E-2</v>
      </c>
      <c r="Y424" s="22">
        <f t="shared" si="18"/>
        <v>3.0883091964000187E-2</v>
      </c>
      <c r="Z424" s="22">
        <f t="shared" si="19"/>
        <v>4.5512962552625824E-2</v>
      </c>
      <c r="AA424" s="22">
        <f t="shared" si="20"/>
        <v>1.2716174974567673E-2</v>
      </c>
    </row>
    <row r="425" spans="1:27" ht="15" x14ac:dyDescent="0.25">
      <c r="A425" s="4" t="s">
        <v>635</v>
      </c>
      <c r="B425" s="32" t="s">
        <v>601</v>
      </c>
      <c r="C425" s="82" t="s">
        <v>636</v>
      </c>
      <c r="D425" s="80"/>
      <c r="E425" s="80"/>
      <c r="F425" s="82">
        <v>1.1313330054107511</v>
      </c>
      <c r="G425" s="80">
        <v>10.61</v>
      </c>
      <c r="H425" s="80">
        <v>8.49</v>
      </c>
      <c r="I425" s="80">
        <v>8.2799999999999994</v>
      </c>
      <c r="J425" s="80">
        <v>10.65</v>
      </c>
      <c r="K425" s="80">
        <v>9.56</v>
      </c>
      <c r="L425" s="80">
        <v>10.25</v>
      </c>
      <c r="M425" s="80">
        <v>11.47</v>
      </c>
      <c r="N425" s="80">
        <v>11.48</v>
      </c>
      <c r="O425" s="80">
        <v>12.08</v>
      </c>
      <c r="P425" s="80">
        <v>10.53</v>
      </c>
      <c r="Q425" s="80">
        <v>11.34</v>
      </c>
      <c r="R425" s="80">
        <v>9.8699999999999992</v>
      </c>
      <c r="S425" s="80">
        <v>9.85</v>
      </c>
      <c r="T425" s="80">
        <v>9.4600000000000009</v>
      </c>
      <c r="U425" s="80">
        <v>9.76</v>
      </c>
      <c r="V425" s="80">
        <v>11.59</v>
      </c>
      <c r="W425" s="106">
        <v>10.31</v>
      </c>
      <c r="X425" s="22">
        <f t="shared" si="17"/>
        <v>-2.5727338302476421E-2</v>
      </c>
      <c r="Y425" s="22">
        <f t="shared" si="18"/>
        <v>-3.8993089832181749E-2</v>
      </c>
      <c r="Z425" s="22">
        <f t="shared" si="19"/>
        <v>4.4170518746790011E-2</v>
      </c>
      <c r="AA425" s="22">
        <f t="shared" si="20"/>
        <v>1.1313330054107285E-2</v>
      </c>
    </row>
    <row r="426" spans="1:27" ht="15" x14ac:dyDescent="0.25">
      <c r="A426" s="4" t="s">
        <v>635</v>
      </c>
      <c r="B426" s="32" t="s">
        <v>602</v>
      </c>
      <c r="C426" s="82" t="s">
        <v>636</v>
      </c>
      <c r="D426" s="80"/>
      <c r="E426" s="80"/>
      <c r="F426" s="82">
        <v>1.110116976505293</v>
      </c>
      <c r="G426" s="80">
        <v>45.03</v>
      </c>
      <c r="H426" s="80">
        <v>43.71</v>
      </c>
      <c r="I426" s="80">
        <v>55.25</v>
      </c>
      <c r="J426" s="80">
        <v>68.34</v>
      </c>
      <c r="K426" s="81">
        <v>70.14</v>
      </c>
      <c r="L426" s="81">
        <v>74.349999999999994</v>
      </c>
      <c r="M426" s="80">
        <v>69.97</v>
      </c>
      <c r="N426" s="80">
        <v>65.23</v>
      </c>
      <c r="O426" s="80">
        <v>60.41</v>
      </c>
      <c r="P426" s="80">
        <v>64.209999999999994</v>
      </c>
      <c r="Q426" s="80">
        <v>65.17</v>
      </c>
      <c r="R426" s="80">
        <v>73.900000000000006</v>
      </c>
      <c r="S426" s="80">
        <v>72</v>
      </c>
      <c r="T426" s="80">
        <v>71.08</v>
      </c>
      <c r="U426" s="80">
        <v>79.72</v>
      </c>
      <c r="V426" s="80">
        <v>78.97</v>
      </c>
      <c r="W426" s="106">
        <v>75.349999999999994</v>
      </c>
      <c r="X426" s="22">
        <f t="shared" si="17"/>
        <v>2.4956408020924137E-2</v>
      </c>
      <c r="Y426" s="22">
        <f t="shared" si="18"/>
        <v>5.1568314726209818E-2</v>
      </c>
      <c r="Z426" s="22">
        <f t="shared" si="19"/>
        <v>1.7087967644084712E-2</v>
      </c>
      <c r="AA426" s="22">
        <f t="shared" si="20"/>
        <v>1.1101169765052932E-2</v>
      </c>
    </row>
    <row r="427" spans="1:27" ht="15" x14ac:dyDescent="0.25">
      <c r="A427" s="4" t="s">
        <v>635</v>
      </c>
      <c r="B427" s="32" t="s">
        <v>603</v>
      </c>
      <c r="C427" s="82" t="s">
        <v>636</v>
      </c>
      <c r="D427" s="80"/>
      <c r="E427" s="80"/>
      <c r="F427" s="82">
        <v>0.97411633732258363</v>
      </c>
      <c r="G427" s="80">
        <v>59.98</v>
      </c>
      <c r="H427" s="80">
        <v>81.78</v>
      </c>
      <c r="I427" s="80">
        <v>93.73</v>
      </c>
      <c r="J427" s="80">
        <v>97.33</v>
      </c>
      <c r="K427" s="81">
        <v>97.44</v>
      </c>
      <c r="L427" s="80">
        <v>73.64</v>
      </c>
      <c r="M427" s="80">
        <v>67.680000000000007</v>
      </c>
      <c r="N427" s="80">
        <v>64.180000000000007</v>
      </c>
      <c r="O427" s="80">
        <v>62.11</v>
      </c>
      <c r="P427" s="80">
        <v>36.380000000000003</v>
      </c>
      <c r="Q427" s="80">
        <v>54.21</v>
      </c>
      <c r="R427" s="80">
        <v>62.22</v>
      </c>
      <c r="S427" s="80">
        <v>73.489999999999995</v>
      </c>
      <c r="T427" s="81">
        <v>63.49</v>
      </c>
      <c r="U427" s="80">
        <v>65.17</v>
      </c>
      <c r="V427" s="80">
        <v>85.29</v>
      </c>
      <c r="W427" s="106">
        <v>76.290000000000006</v>
      </c>
      <c r="X427" s="22">
        <f t="shared" si="17"/>
        <v>0.11979673000441893</v>
      </c>
      <c r="Y427" s="22">
        <f t="shared" si="18"/>
        <v>4.3250069058048179E-2</v>
      </c>
      <c r="Z427" s="22">
        <f t="shared" si="19"/>
        <v>8.7264061731664011E-2</v>
      </c>
      <c r="AA427" s="22">
        <f t="shared" si="20"/>
        <v>9.7411633732258363E-3</v>
      </c>
    </row>
    <row r="428" spans="1:27" ht="15" x14ac:dyDescent="0.25">
      <c r="A428" s="4" t="s">
        <v>635</v>
      </c>
      <c r="B428" s="32" t="s">
        <v>604</v>
      </c>
      <c r="C428" s="82" t="s">
        <v>636</v>
      </c>
      <c r="D428" s="80"/>
      <c r="E428" s="80"/>
      <c r="F428" s="82">
        <v>0.80737165423430124</v>
      </c>
      <c r="G428" s="80">
        <v>30.6</v>
      </c>
      <c r="H428" s="80">
        <v>27.39</v>
      </c>
      <c r="I428" s="80">
        <v>29.17</v>
      </c>
      <c r="J428" s="80">
        <v>29.38</v>
      </c>
      <c r="K428" s="81">
        <v>43.9</v>
      </c>
      <c r="L428" s="80">
        <v>28.67</v>
      </c>
      <c r="M428" s="80">
        <v>28.82</v>
      </c>
      <c r="N428" s="80">
        <v>22.94</v>
      </c>
      <c r="O428" s="80">
        <v>7.54</v>
      </c>
      <c r="P428" s="80">
        <v>29.06</v>
      </c>
      <c r="Q428" s="80">
        <v>31.81</v>
      </c>
      <c r="R428" s="80">
        <v>24.97</v>
      </c>
      <c r="S428" s="80">
        <v>-2.33</v>
      </c>
      <c r="T428" s="80">
        <v>-137.80000000000001</v>
      </c>
      <c r="U428" s="81">
        <v>14.87</v>
      </c>
      <c r="V428" s="81">
        <v>11.31</v>
      </c>
      <c r="W428" s="106">
        <v>-3.25</v>
      </c>
      <c r="X428" s="22">
        <f t="shared" si="17"/>
        <v>-1.9980840617890072</v>
      </c>
      <c r="Y428" s="22">
        <f t="shared" si="18"/>
        <v>0.20323935212957411</v>
      </c>
      <c r="Z428" s="22">
        <f t="shared" si="19"/>
        <v>0.1362050054840962</v>
      </c>
      <c r="AA428" s="22">
        <f t="shared" si="20"/>
        <v>8.0737165423430124E-3</v>
      </c>
    </row>
    <row r="429" spans="1:27" ht="15" x14ac:dyDescent="0.25">
      <c r="A429" s="4" t="s">
        <v>635</v>
      </c>
      <c r="B429" s="32" t="s">
        <v>605</v>
      </c>
      <c r="C429" s="82" t="s">
        <v>636</v>
      </c>
      <c r="D429" s="80"/>
      <c r="E429" s="80"/>
      <c r="F429" s="82">
        <v>0.72370831806523039</v>
      </c>
      <c r="G429" s="80">
        <v>310.39999999999998</v>
      </c>
      <c r="H429" s="80">
        <v>229.6</v>
      </c>
      <c r="I429" s="80">
        <v>176.4</v>
      </c>
      <c r="J429" s="80">
        <v>241</v>
      </c>
      <c r="K429" s="80">
        <v>280</v>
      </c>
      <c r="L429" s="80">
        <v>229.4</v>
      </c>
      <c r="M429" s="80">
        <v>237.8</v>
      </c>
      <c r="N429" s="80">
        <v>253.8</v>
      </c>
      <c r="O429" s="80">
        <v>313.89999999999998</v>
      </c>
      <c r="P429" s="80">
        <v>239.7</v>
      </c>
      <c r="Q429" s="80">
        <v>238.2</v>
      </c>
      <c r="R429" s="80">
        <v>290.3</v>
      </c>
      <c r="S429" s="80">
        <v>310</v>
      </c>
      <c r="T429" s="80">
        <v>227.1</v>
      </c>
      <c r="U429" s="80">
        <v>259.7</v>
      </c>
      <c r="V429" s="80">
        <v>294.8</v>
      </c>
      <c r="W429" s="106">
        <v>317.89999999999998</v>
      </c>
      <c r="X429" s="22">
        <f t="shared" si="17"/>
        <v>-1.168614357262121E-2</v>
      </c>
      <c r="Y429" s="22">
        <f t="shared" si="18"/>
        <v>2.0176426426426364E-2</v>
      </c>
      <c r="Z429" s="22">
        <f t="shared" si="19"/>
        <v>4.1394535921257525E-3</v>
      </c>
      <c r="AA429" s="22">
        <f t="shared" si="20"/>
        <v>7.2370831806523039E-3</v>
      </c>
    </row>
    <row r="430" spans="1:27" ht="15" x14ac:dyDescent="0.25">
      <c r="A430" s="4" t="s">
        <v>635</v>
      </c>
      <c r="B430" s="32" t="s">
        <v>606</v>
      </c>
      <c r="C430" s="82" t="s">
        <v>636</v>
      </c>
      <c r="D430" s="80"/>
      <c r="E430" s="80"/>
      <c r="F430" s="82">
        <v>0.64121771438843123</v>
      </c>
      <c r="G430" s="80">
        <v>27.22</v>
      </c>
      <c r="H430" s="80">
        <v>36.06</v>
      </c>
      <c r="I430" s="80">
        <v>36.200000000000003</v>
      </c>
      <c r="J430" s="80">
        <v>46.43</v>
      </c>
      <c r="K430" s="81">
        <v>50.25</v>
      </c>
      <c r="L430" s="80">
        <v>49.36</v>
      </c>
      <c r="M430" s="80">
        <v>42.15</v>
      </c>
      <c r="N430" s="80">
        <v>41.27</v>
      </c>
      <c r="O430" s="80">
        <v>46.02</v>
      </c>
      <c r="P430" s="80">
        <v>39.159999999999997</v>
      </c>
      <c r="Q430" s="80">
        <v>42.87</v>
      </c>
      <c r="R430" s="80">
        <v>41.44</v>
      </c>
      <c r="S430" s="80">
        <v>41.35</v>
      </c>
      <c r="T430" s="80">
        <v>41.7</v>
      </c>
      <c r="U430" s="80">
        <v>39.979999999999997</v>
      </c>
      <c r="V430" s="80">
        <v>43.84</v>
      </c>
      <c r="W430" s="106">
        <v>42.42</v>
      </c>
      <c r="X430" s="22">
        <f t="shared" si="17"/>
        <v>1.5410751122436617E-2</v>
      </c>
      <c r="Y430" s="22">
        <f t="shared" si="18"/>
        <v>-1.7268164435946587E-2</v>
      </c>
      <c r="Z430" s="22">
        <f t="shared" si="19"/>
        <v>1.4592326868121841E-2</v>
      </c>
      <c r="AA430" s="22">
        <f t="shared" si="20"/>
        <v>6.4121771438843123E-3</v>
      </c>
    </row>
    <row r="431" spans="1:27" ht="15" x14ac:dyDescent="0.25">
      <c r="A431" s="4" t="s">
        <v>635</v>
      </c>
      <c r="B431" s="32" t="s">
        <v>607</v>
      </c>
      <c r="C431" s="82" t="s">
        <v>636</v>
      </c>
      <c r="D431" s="80"/>
      <c r="E431" s="80"/>
      <c r="F431" s="82">
        <v>0.21905805038335829</v>
      </c>
      <c r="G431" s="80">
        <v>289</v>
      </c>
      <c r="H431" s="80">
        <v>238</v>
      </c>
      <c r="I431" s="80">
        <v>337</v>
      </c>
      <c r="J431" s="80">
        <v>455</v>
      </c>
      <c r="K431" s="81">
        <v>446</v>
      </c>
      <c r="L431" s="81">
        <v>409</v>
      </c>
      <c r="M431" s="80">
        <v>356</v>
      </c>
      <c r="N431" s="80">
        <v>327</v>
      </c>
      <c r="O431" s="80">
        <v>52</v>
      </c>
      <c r="P431" s="80">
        <v>167</v>
      </c>
      <c r="Q431" s="80">
        <v>269</v>
      </c>
      <c r="R431" s="80">
        <v>235</v>
      </c>
      <c r="S431" s="81">
        <v>217</v>
      </c>
      <c r="T431" s="80">
        <v>225</v>
      </c>
      <c r="U431" s="80">
        <v>244</v>
      </c>
      <c r="V431" s="80">
        <v>227</v>
      </c>
      <c r="W431" s="106">
        <v>219</v>
      </c>
      <c r="X431" s="22">
        <f t="shared" si="17"/>
        <v>6.5315315315315425E-2</v>
      </c>
      <c r="Y431" s="22">
        <f t="shared" si="18"/>
        <v>-2.6427061310782207E-2</v>
      </c>
      <c r="Z431" s="22">
        <f t="shared" si="19"/>
        <v>-8.6862106406080386E-3</v>
      </c>
      <c r="AA431" s="22">
        <f t="shared" si="20"/>
        <v>2.1905805038335835E-3</v>
      </c>
    </row>
    <row r="432" spans="1:27" ht="15" x14ac:dyDescent="0.25">
      <c r="A432" s="4" t="s">
        <v>635</v>
      </c>
      <c r="B432" s="32" t="s">
        <v>608</v>
      </c>
      <c r="C432" s="82" t="s">
        <v>636</v>
      </c>
      <c r="D432" s="80"/>
      <c r="E432" s="80"/>
      <c r="F432" s="82">
        <v>0.1577535888941384</v>
      </c>
      <c r="G432" s="80">
        <v>1969</v>
      </c>
      <c r="H432" s="80">
        <v>1746</v>
      </c>
      <c r="I432" s="80">
        <v>1904</v>
      </c>
      <c r="J432" s="80">
        <v>2000</v>
      </c>
      <c r="K432" s="80">
        <v>2019</v>
      </c>
      <c r="L432" s="80">
        <v>1771</v>
      </c>
      <c r="M432" s="80">
        <v>1399</v>
      </c>
      <c r="N432" s="80">
        <v>1312</v>
      </c>
      <c r="O432" s="80">
        <v>0</v>
      </c>
      <c r="P432" s="80">
        <v>1365</v>
      </c>
      <c r="Q432" s="80">
        <v>-5230</v>
      </c>
      <c r="R432" s="80">
        <v>1710</v>
      </c>
      <c r="S432" s="80">
        <v>1554</v>
      </c>
      <c r="T432" s="80">
        <v>1535</v>
      </c>
      <c r="U432" s="80">
        <v>1513</v>
      </c>
      <c r="V432" s="80">
        <v>1737</v>
      </c>
      <c r="W432" s="106">
        <v>1564</v>
      </c>
      <c r="X432" s="22">
        <f t="shared" si="17"/>
        <v>-0.2828618968386023</v>
      </c>
      <c r="Y432" s="22">
        <f t="shared" si="18"/>
        <v>-15.645011600928074</v>
      </c>
      <c r="Z432" s="22">
        <f t="shared" si="19"/>
        <v>4.2775665399239493E-3</v>
      </c>
      <c r="AA432" s="22">
        <f t="shared" si="20"/>
        <v>1.5775358889413837E-3</v>
      </c>
    </row>
    <row r="433" spans="1:27" ht="15" x14ac:dyDescent="0.25">
      <c r="A433" s="4" t="s">
        <v>635</v>
      </c>
      <c r="B433" s="32" t="s">
        <v>609</v>
      </c>
      <c r="C433" s="82" t="s">
        <v>636</v>
      </c>
      <c r="D433" s="80"/>
      <c r="E433" s="80"/>
      <c r="F433" s="82">
        <v>6.3080628512457437E-2</v>
      </c>
      <c r="G433" s="80">
        <v>26.91</v>
      </c>
      <c r="H433" s="80">
        <v>30.86</v>
      </c>
      <c r="I433" s="80">
        <v>32.340000000000003</v>
      </c>
      <c r="J433" s="80">
        <v>32.32</v>
      </c>
      <c r="K433" s="80">
        <v>31.93</v>
      </c>
      <c r="L433" s="80">
        <v>41.42</v>
      </c>
      <c r="M433" s="80">
        <v>30.49</v>
      </c>
      <c r="N433" s="80">
        <v>31.86</v>
      </c>
      <c r="O433" s="80">
        <v>26.02</v>
      </c>
      <c r="P433" s="80">
        <v>39.04</v>
      </c>
      <c r="Q433" s="80">
        <v>31.38</v>
      </c>
      <c r="R433" s="80">
        <v>43.45</v>
      </c>
      <c r="S433" s="81">
        <v>43.33</v>
      </c>
      <c r="T433" s="80">
        <v>42.68</v>
      </c>
      <c r="U433" s="80">
        <v>42.12</v>
      </c>
      <c r="V433" s="80">
        <v>46.25</v>
      </c>
      <c r="W433" s="106">
        <v>43.44</v>
      </c>
      <c r="X433" s="22">
        <f t="shared" si="17"/>
        <v>2.315521628498729E-2</v>
      </c>
      <c r="Y433" s="22">
        <f t="shared" si="18"/>
        <v>6.6774434220343348E-2</v>
      </c>
      <c r="Z433" s="22">
        <f t="shared" si="19"/>
        <v>1.6318918288844797E-2</v>
      </c>
      <c r="AA433" s="22">
        <f t="shared" si="20"/>
        <v>6.3080628512457437E-4</v>
      </c>
    </row>
    <row r="434" spans="1:27" ht="15" x14ac:dyDescent="0.25">
      <c r="A434" s="4" t="s">
        <v>635</v>
      </c>
      <c r="B434" s="32" t="s">
        <v>610</v>
      </c>
      <c r="C434" s="82" t="s">
        <v>636</v>
      </c>
      <c r="D434" s="80"/>
      <c r="E434" s="80"/>
      <c r="F434" s="82">
        <v>0</v>
      </c>
      <c r="G434" s="80">
        <v>8.58</v>
      </c>
      <c r="H434" s="80">
        <v>12.7</v>
      </c>
      <c r="I434" s="80">
        <v>11.86</v>
      </c>
      <c r="J434" s="80">
        <v>9</v>
      </c>
      <c r="K434" s="80">
        <v>10.78</v>
      </c>
      <c r="L434" s="80">
        <v>4.6900000000000004</v>
      </c>
      <c r="M434" s="80">
        <v>8.06</v>
      </c>
      <c r="N434" s="80">
        <v>3.37</v>
      </c>
      <c r="O434" s="80">
        <v>4.32</v>
      </c>
      <c r="P434" s="80">
        <v>6.09</v>
      </c>
      <c r="Q434" s="80">
        <v>4.8899999999999997</v>
      </c>
      <c r="R434" s="81">
        <v>6.17</v>
      </c>
      <c r="S434" s="81">
        <v>7.27</v>
      </c>
      <c r="T434" s="80">
        <v>7.71</v>
      </c>
      <c r="U434" s="80">
        <v>5.43</v>
      </c>
      <c r="V434" s="80">
        <v>7.47</v>
      </c>
      <c r="W434" s="106">
        <v>7.27</v>
      </c>
      <c r="X434" s="22">
        <f t="shared" si="17"/>
        <v>6.6339066339066388E-2</v>
      </c>
      <c r="Y434" s="22">
        <f t="shared" si="18"/>
        <v>2.0737327188940169E-2</v>
      </c>
      <c r="Z434" s="22">
        <f t="shared" si="19"/>
        <v>4.8908954100827629E-2</v>
      </c>
      <c r="AA434" s="22">
        <f t="shared" si="20"/>
        <v>0</v>
      </c>
    </row>
    <row r="435" spans="1:27" ht="15" x14ac:dyDescent="0.25">
      <c r="A435" s="4" t="s">
        <v>635</v>
      </c>
      <c r="B435" s="32" t="s">
        <v>611</v>
      </c>
      <c r="C435" s="82" t="s">
        <v>636</v>
      </c>
      <c r="D435" s="80"/>
      <c r="E435" s="80"/>
      <c r="F435" s="82">
        <v>-0.23912003825921069</v>
      </c>
      <c r="G435" s="80">
        <v>51.9</v>
      </c>
      <c r="H435" s="80">
        <v>63.2</v>
      </c>
      <c r="I435" s="80">
        <v>49.8</v>
      </c>
      <c r="J435" s="80">
        <v>65.5</v>
      </c>
      <c r="K435" s="80">
        <v>24.6</v>
      </c>
      <c r="L435" s="80">
        <v>53.3</v>
      </c>
      <c r="M435" s="80">
        <v>58.6</v>
      </c>
      <c r="N435" s="81">
        <v>89.3</v>
      </c>
      <c r="O435" s="80">
        <v>44.9</v>
      </c>
      <c r="P435" s="80">
        <v>53.9</v>
      </c>
      <c r="Q435" s="80">
        <v>42.2</v>
      </c>
      <c r="R435" s="80">
        <v>99.9</v>
      </c>
      <c r="S435" s="80">
        <v>19</v>
      </c>
      <c r="T435" s="80">
        <v>40.799999999999997</v>
      </c>
      <c r="U435" s="80">
        <v>42.3</v>
      </c>
      <c r="V435" s="80">
        <v>107</v>
      </c>
      <c r="W435" s="106">
        <v>18.5</v>
      </c>
      <c r="X435" s="22">
        <f t="shared" si="17"/>
        <v>-6.0930232558139341E-2</v>
      </c>
      <c r="Y435" s="22">
        <f t="shared" si="18"/>
        <v>4.9529470034648249E-4</v>
      </c>
      <c r="Z435" s="22">
        <f t="shared" si="19"/>
        <v>3.514851485148518E-2</v>
      </c>
      <c r="AA435" s="22">
        <f t="shared" si="20"/>
        <v>-2.3912003825921069E-3</v>
      </c>
    </row>
    <row r="436" spans="1:27" ht="15" x14ac:dyDescent="0.25">
      <c r="A436" s="4" t="s">
        <v>635</v>
      </c>
      <c r="B436" s="32" t="s">
        <v>612</v>
      </c>
      <c r="C436" s="82" t="s">
        <v>636</v>
      </c>
      <c r="D436" s="80"/>
      <c r="E436" s="80"/>
      <c r="F436" s="82">
        <v>-0.25080943043458431</v>
      </c>
      <c r="G436" s="80">
        <v>5240</v>
      </c>
      <c r="H436" s="80">
        <v>4103</v>
      </c>
      <c r="I436" s="80">
        <v>4274</v>
      </c>
      <c r="J436" s="80">
        <v>4939</v>
      </c>
      <c r="K436" s="80">
        <v>4873</v>
      </c>
      <c r="L436" s="80">
        <v>4334</v>
      </c>
      <c r="M436" s="80">
        <v>4822</v>
      </c>
      <c r="N436" s="80">
        <v>5865</v>
      </c>
      <c r="O436" s="80">
        <v>5879</v>
      </c>
      <c r="P436" s="80">
        <v>4460</v>
      </c>
      <c r="Q436" s="80">
        <v>4947</v>
      </c>
      <c r="R436" s="80">
        <v>5940</v>
      </c>
      <c r="S436" s="80">
        <v>5895</v>
      </c>
      <c r="T436" s="80">
        <v>4607</v>
      </c>
      <c r="U436" s="80">
        <v>5253</v>
      </c>
      <c r="V436" s="80">
        <v>6174</v>
      </c>
      <c r="W436" s="106">
        <v>5840</v>
      </c>
      <c r="X436" s="22">
        <f t="shared" si="17"/>
        <v>6.920252330289145E-3</v>
      </c>
      <c r="Y436" s="22">
        <f t="shared" si="18"/>
        <v>1.4306419187432695E-2</v>
      </c>
      <c r="Z436" s="22">
        <f t="shared" si="19"/>
        <v>1.078589536759611E-2</v>
      </c>
      <c r="AA436" s="22">
        <f t="shared" si="20"/>
        <v>-2.5080943043458426E-3</v>
      </c>
    </row>
    <row r="437" spans="1:27" ht="15" x14ac:dyDescent="0.25">
      <c r="A437" s="4" t="s">
        <v>635</v>
      </c>
      <c r="B437" s="32" t="s">
        <v>613</v>
      </c>
      <c r="C437" s="82" t="s">
        <v>636</v>
      </c>
      <c r="D437" s="80"/>
      <c r="E437" s="80"/>
      <c r="F437" s="82">
        <v>-0.5609166414822897</v>
      </c>
      <c r="G437" s="80">
        <v>650.25</v>
      </c>
      <c r="H437" s="80">
        <v>487.72</v>
      </c>
      <c r="I437" s="80">
        <v>507.11</v>
      </c>
      <c r="J437" s="80">
        <v>924.2</v>
      </c>
      <c r="K437" s="80">
        <v>672.24</v>
      </c>
      <c r="L437" s="80">
        <v>650.78</v>
      </c>
      <c r="M437" s="81">
        <v>1273</v>
      </c>
      <c r="N437" s="80">
        <v>734.86</v>
      </c>
      <c r="O437" s="80">
        <v>733.28</v>
      </c>
      <c r="P437" s="80">
        <v>734.99</v>
      </c>
      <c r="Q437" s="80">
        <v>839.18</v>
      </c>
      <c r="R437" s="80">
        <v>869.27</v>
      </c>
      <c r="S437" s="80">
        <v>1008</v>
      </c>
      <c r="T437" s="80">
        <v>882.06</v>
      </c>
      <c r="U437" s="80">
        <v>962.88</v>
      </c>
      <c r="V437" s="80">
        <v>985.42</v>
      </c>
      <c r="W437" s="106">
        <v>986.47</v>
      </c>
      <c r="X437" s="22">
        <f t="shared" si="17"/>
        <v>4.2611199962913959E-2</v>
      </c>
      <c r="Y437" s="22">
        <f t="shared" si="18"/>
        <v>3.4375338681843504E-2</v>
      </c>
      <c r="Z437" s="22">
        <f t="shared" si="19"/>
        <v>3.1204580074740473E-2</v>
      </c>
      <c r="AA437" s="22">
        <f t="shared" si="20"/>
        <v>-5.609166414823008E-3</v>
      </c>
    </row>
    <row r="438" spans="1:27" ht="15" x14ac:dyDescent="0.25">
      <c r="A438" s="4" t="s">
        <v>635</v>
      </c>
      <c r="B438" s="32" t="s">
        <v>614</v>
      </c>
      <c r="C438" s="82" t="s">
        <v>636</v>
      </c>
      <c r="D438" s="80"/>
      <c r="E438" s="80"/>
      <c r="F438" s="82">
        <v>-0.70254126499941227</v>
      </c>
      <c r="G438" s="80">
        <v>193.96</v>
      </c>
      <c r="H438" s="80">
        <v>168.91</v>
      </c>
      <c r="I438" s="80">
        <v>175.79</v>
      </c>
      <c r="J438" s="80">
        <v>168.32</v>
      </c>
      <c r="K438" s="80">
        <v>208.51</v>
      </c>
      <c r="L438" s="80">
        <v>210.62</v>
      </c>
      <c r="M438" s="80">
        <v>217.68</v>
      </c>
      <c r="N438" s="80">
        <v>219.97</v>
      </c>
      <c r="O438" s="80">
        <v>218.73</v>
      </c>
      <c r="P438" s="80">
        <v>229.78</v>
      </c>
      <c r="Q438" s="80">
        <v>230.31</v>
      </c>
      <c r="R438" s="80">
        <v>236.16</v>
      </c>
      <c r="S438" s="80">
        <v>235.04</v>
      </c>
      <c r="T438" s="80">
        <v>223.86</v>
      </c>
      <c r="U438" s="80">
        <v>239.66</v>
      </c>
      <c r="V438" s="80">
        <v>242.31</v>
      </c>
      <c r="W438" s="106">
        <v>228.43</v>
      </c>
      <c r="X438" s="22">
        <f t="shared" si="17"/>
        <v>-6.3567739372267784E-3</v>
      </c>
      <c r="Y438" s="22">
        <f t="shared" si="18"/>
        <v>1.0104066481515295E-2</v>
      </c>
      <c r="Z438" s="22">
        <f t="shared" si="19"/>
        <v>6.5795104416295214E-3</v>
      </c>
      <c r="AA438" s="22">
        <f t="shared" si="20"/>
        <v>-7.0254126499940117E-3</v>
      </c>
    </row>
    <row r="439" spans="1:27" ht="15" x14ac:dyDescent="0.25">
      <c r="A439" s="4" t="s">
        <v>635</v>
      </c>
      <c r="B439" s="32" t="s">
        <v>615</v>
      </c>
      <c r="C439" s="82" t="s">
        <v>636</v>
      </c>
      <c r="D439" s="80"/>
      <c r="E439" s="80"/>
      <c r="F439" s="82">
        <v>-0.86327386335607326</v>
      </c>
      <c r="G439" s="80">
        <v>63.53</v>
      </c>
      <c r="H439" s="80">
        <v>88.79</v>
      </c>
      <c r="I439" s="80">
        <v>87.47</v>
      </c>
      <c r="J439" s="80">
        <v>117.08</v>
      </c>
      <c r="K439" s="80">
        <v>81.790000000000006</v>
      </c>
      <c r="L439" s="80">
        <v>71.84</v>
      </c>
      <c r="M439" s="80">
        <v>78.63</v>
      </c>
      <c r="N439" s="80">
        <v>62.43</v>
      </c>
      <c r="O439" s="80">
        <v>24.19</v>
      </c>
      <c r="P439" s="80">
        <v>67.209999999999994</v>
      </c>
      <c r="Q439" s="80">
        <v>72.959999999999994</v>
      </c>
      <c r="R439" s="80">
        <v>83.19</v>
      </c>
      <c r="S439" s="81">
        <v>92.99</v>
      </c>
      <c r="T439" s="80">
        <v>80.069999999999993</v>
      </c>
      <c r="U439" s="80">
        <v>93.9</v>
      </c>
      <c r="V439" s="80">
        <v>97.93</v>
      </c>
      <c r="W439" s="106">
        <v>89.84</v>
      </c>
      <c r="X439" s="22">
        <f t="shared" si="17"/>
        <v>4.0651177493282731E-2</v>
      </c>
      <c r="Y439" s="22">
        <f t="shared" si="18"/>
        <v>6.3606816317851811E-2</v>
      </c>
      <c r="Z439" s="22">
        <f t="shared" si="19"/>
        <v>4.2096244466657273E-2</v>
      </c>
      <c r="AA439" s="22">
        <f t="shared" si="20"/>
        <v>-8.6327386335608436E-3</v>
      </c>
    </row>
    <row r="440" spans="1:27" ht="15" x14ac:dyDescent="0.25">
      <c r="A440" s="4" t="s">
        <v>635</v>
      </c>
      <c r="B440" s="32" t="s">
        <v>616</v>
      </c>
      <c r="C440" s="82" t="s">
        <v>636</v>
      </c>
      <c r="D440" s="80"/>
      <c r="E440" s="80"/>
      <c r="F440" s="82">
        <v>-1.3939838591342619</v>
      </c>
      <c r="G440" s="80">
        <v>490</v>
      </c>
      <c r="H440" s="80">
        <v>567</v>
      </c>
      <c r="I440" s="80">
        <v>661</v>
      </c>
      <c r="J440" s="80">
        <v>743</v>
      </c>
      <c r="K440" s="81">
        <v>793</v>
      </c>
      <c r="L440" s="80">
        <v>750</v>
      </c>
      <c r="M440" s="80">
        <v>699</v>
      </c>
      <c r="N440" s="80">
        <v>688</v>
      </c>
      <c r="O440" s="80">
        <v>247</v>
      </c>
      <c r="P440" s="80">
        <v>510</v>
      </c>
      <c r="Q440" s="80">
        <v>586</v>
      </c>
      <c r="R440" s="80">
        <v>638</v>
      </c>
      <c r="S440" s="81">
        <v>669</v>
      </c>
      <c r="T440" s="80">
        <v>653</v>
      </c>
      <c r="U440" s="80">
        <v>638</v>
      </c>
      <c r="V440" s="80">
        <v>766</v>
      </c>
      <c r="W440" s="106">
        <v>631</v>
      </c>
      <c r="X440" s="22">
        <f t="shared" ref="X440:X458" si="21">SUM(Q440:T440)/SUM(P440:S440)-1</f>
        <v>5.9508947149396585E-2</v>
      </c>
      <c r="Y440" s="22">
        <f t="shared" ref="Y440:Y458" si="22">SUM(R440:U440)/SUM(Q440:T440)-1</f>
        <v>2.0424194815396701E-2</v>
      </c>
      <c r="Z440" s="22">
        <f t="shared" ref="Z440:Z458" si="23">SUM(S440:V440)/SUM(R440:U440)-1</f>
        <v>4.9268668206312594E-2</v>
      </c>
      <c r="AA440" s="22">
        <f t="shared" ref="AA440:AA458" si="24">SUM(T440:W440)/SUM(S440:V440)-1</f>
        <v>-1.3939838591342624E-2</v>
      </c>
    </row>
    <row r="441" spans="1:27" ht="15" x14ac:dyDescent="0.25">
      <c r="A441" s="4" t="s">
        <v>635</v>
      </c>
      <c r="B441" s="32" t="s">
        <v>617</v>
      </c>
      <c r="C441" s="82" t="s">
        <v>636</v>
      </c>
      <c r="D441" s="80"/>
      <c r="E441" s="80"/>
      <c r="F441" s="82">
        <v>-1.977401129943501</v>
      </c>
      <c r="G441" s="80">
        <v>5018</v>
      </c>
      <c r="H441" s="80">
        <v>3130</v>
      </c>
      <c r="I441" s="80">
        <v>-613</v>
      </c>
      <c r="J441" s="80">
        <v>489</v>
      </c>
      <c r="K441" s="80">
        <v>-431</v>
      </c>
      <c r="L441" s="80">
        <v>-1404</v>
      </c>
      <c r="M441" s="81">
        <v>-816</v>
      </c>
      <c r="N441" s="80">
        <v>1152</v>
      </c>
      <c r="O441" s="80">
        <v>1613</v>
      </c>
      <c r="P441" s="81">
        <v>-497</v>
      </c>
      <c r="Q441" s="80">
        <v>-1021</v>
      </c>
      <c r="R441" s="80">
        <v>-390</v>
      </c>
      <c r="S441" s="81">
        <v>724</v>
      </c>
      <c r="T441" s="80">
        <v>-31</v>
      </c>
      <c r="U441" s="80">
        <v>-489</v>
      </c>
      <c r="V441" s="80">
        <v>858</v>
      </c>
      <c r="W441" s="106">
        <v>703</v>
      </c>
      <c r="X441" s="22">
        <f t="shared" si="21"/>
        <v>-0.39358108108108103</v>
      </c>
      <c r="Y441" s="22">
        <f t="shared" si="22"/>
        <v>-0.74094707520891367</v>
      </c>
      <c r="Z441" s="22">
        <f t="shared" si="23"/>
        <v>-6.709677419354839</v>
      </c>
      <c r="AA441" s="22">
        <f t="shared" si="24"/>
        <v>-1.9774011299435013E-2</v>
      </c>
    </row>
    <row r="442" spans="1:27" ht="15" x14ac:dyDescent="0.25">
      <c r="A442" s="4" t="s">
        <v>635</v>
      </c>
      <c r="B442" s="32" t="s">
        <v>618</v>
      </c>
      <c r="C442" s="82" t="s">
        <v>636</v>
      </c>
      <c r="D442" s="80"/>
      <c r="E442" s="80"/>
      <c r="F442" s="82">
        <v>-2.2422648127270461</v>
      </c>
      <c r="G442" s="80">
        <v>48.61</v>
      </c>
      <c r="H442" s="80">
        <v>54.09</v>
      </c>
      <c r="I442" s="80">
        <v>59.36</v>
      </c>
      <c r="J442" s="80">
        <v>62.52</v>
      </c>
      <c r="K442" s="80">
        <v>68.14</v>
      </c>
      <c r="L442" s="80">
        <v>65.13</v>
      </c>
      <c r="M442" s="80">
        <v>65.790000000000006</v>
      </c>
      <c r="N442" s="80">
        <v>65.900000000000006</v>
      </c>
      <c r="O442" s="80">
        <v>68.430000000000007</v>
      </c>
      <c r="P442" s="80">
        <v>67.92</v>
      </c>
      <c r="Q442" s="80">
        <v>71.260000000000005</v>
      </c>
      <c r="R442" s="80">
        <v>61.78</v>
      </c>
      <c r="S442" s="80">
        <v>52.79</v>
      </c>
      <c r="T442" s="80">
        <v>59.45</v>
      </c>
      <c r="U442" s="80">
        <v>65.88</v>
      </c>
      <c r="V442" s="80">
        <v>61.37</v>
      </c>
      <c r="W442" s="106">
        <v>47.42</v>
      </c>
      <c r="X442" s="22">
        <f t="shared" si="21"/>
        <v>-3.337931034482744E-2</v>
      </c>
      <c r="Y442" s="22">
        <f t="shared" si="22"/>
        <v>-2.1934116112198532E-2</v>
      </c>
      <c r="Z442" s="22">
        <f t="shared" si="23"/>
        <v>-1.7090454355980222E-3</v>
      </c>
      <c r="AA442" s="22">
        <f t="shared" si="24"/>
        <v>-2.2422648127270461E-2</v>
      </c>
    </row>
    <row r="443" spans="1:27" ht="15" x14ac:dyDescent="0.25">
      <c r="A443" s="4" t="s">
        <v>635</v>
      </c>
      <c r="B443" s="32" t="s">
        <v>619</v>
      </c>
      <c r="C443" s="82" t="s">
        <v>636</v>
      </c>
      <c r="D443" s="80"/>
      <c r="E443" s="80"/>
      <c r="F443" s="82">
        <v>-2.2766770941953451</v>
      </c>
      <c r="G443" s="80">
        <v>836</v>
      </c>
      <c r="H443" s="80">
        <v>400</v>
      </c>
      <c r="I443" s="80">
        <v>1276</v>
      </c>
      <c r="J443" s="80">
        <v>1181</v>
      </c>
      <c r="K443" s="81">
        <v>1294</v>
      </c>
      <c r="L443" s="81">
        <v>1186</v>
      </c>
      <c r="M443" s="80">
        <v>1338</v>
      </c>
      <c r="N443" s="80">
        <v>1451</v>
      </c>
      <c r="O443" s="80">
        <v>1614</v>
      </c>
      <c r="P443" s="80">
        <v>1411</v>
      </c>
      <c r="Q443" s="80">
        <v>1610</v>
      </c>
      <c r="R443" s="80">
        <v>1659</v>
      </c>
      <c r="S443" s="80">
        <v>1689</v>
      </c>
      <c r="T443" s="80">
        <v>1338</v>
      </c>
      <c r="U443" s="80">
        <v>1345</v>
      </c>
      <c r="V443" s="80">
        <v>1382</v>
      </c>
      <c r="W443" s="106">
        <v>1558</v>
      </c>
      <c r="X443" s="22">
        <f t="shared" si="21"/>
        <v>-1.1461767938451883E-2</v>
      </c>
      <c r="Y443" s="22">
        <f t="shared" si="22"/>
        <v>-4.209021601016516E-2</v>
      </c>
      <c r="Z443" s="22">
        <f t="shared" si="23"/>
        <v>-4.5929364947769891E-2</v>
      </c>
      <c r="AA443" s="22">
        <f t="shared" si="24"/>
        <v>-2.2766770941953451E-2</v>
      </c>
    </row>
    <row r="444" spans="1:27" ht="15" x14ac:dyDescent="0.25">
      <c r="A444" s="4" t="s">
        <v>635</v>
      </c>
      <c r="B444" s="32" t="s">
        <v>620</v>
      </c>
      <c r="C444" s="82" t="s">
        <v>636</v>
      </c>
      <c r="D444" s="80"/>
      <c r="E444" s="80"/>
      <c r="F444" s="82">
        <v>-2.8952504879635632</v>
      </c>
      <c r="G444" s="80">
        <v>514</v>
      </c>
      <c r="H444" s="80">
        <v>511</v>
      </c>
      <c r="I444" s="80">
        <v>374</v>
      </c>
      <c r="J444" s="80">
        <v>846</v>
      </c>
      <c r="K444" s="81">
        <v>906</v>
      </c>
      <c r="L444" s="81">
        <v>977</v>
      </c>
      <c r="M444" s="81">
        <v>1011</v>
      </c>
      <c r="N444" s="80">
        <v>1037</v>
      </c>
      <c r="O444" s="80">
        <v>1058</v>
      </c>
      <c r="P444" s="80">
        <v>987</v>
      </c>
      <c r="Q444" s="80">
        <v>1032</v>
      </c>
      <c r="R444" s="80">
        <v>975</v>
      </c>
      <c r="S444" s="80">
        <v>932</v>
      </c>
      <c r="T444" s="80">
        <v>695</v>
      </c>
      <c r="U444" s="80">
        <v>727</v>
      </c>
      <c r="V444" s="80">
        <v>720</v>
      </c>
      <c r="W444" s="106">
        <v>843</v>
      </c>
      <c r="X444" s="22">
        <f t="shared" si="21"/>
        <v>-7.4375955170657204E-2</v>
      </c>
      <c r="Y444" s="22">
        <f t="shared" si="22"/>
        <v>-8.3929554210236623E-2</v>
      </c>
      <c r="Z444" s="22">
        <f t="shared" si="23"/>
        <v>-7.6599579453289324E-2</v>
      </c>
      <c r="AA444" s="22">
        <f t="shared" si="24"/>
        <v>-2.8952504879635632E-2</v>
      </c>
    </row>
    <row r="445" spans="1:27" ht="15" x14ac:dyDescent="0.25">
      <c r="A445" s="4" t="s">
        <v>635</v>
      </c>
      <c r="B445" s="32" t="s">
        <v>621</v>
      </c>
      <c r="C445" s="82" t="s">
        <v>636</v>
      </c>
      <c r="D445" s="80"/>
      <c r="E445" s="80"/>
      <c r="F445" s="82">
        <v>-2.9290429042904238</v>
      </c>
      <c r="G445" s="80">
        <v>1386</v>
      </c>
      <c r="H445" s="80">
        <v>1274</v>
      </c>
      <c r="I445" s="80">
        <v>1610</v>
      </c>
      <c r="J445" s="80">
        <v>1571</v>
      </c>
      <c r="K445" s="80">
        <v>1453</v>
      </c>
      <c r="L445" s="80">
        <v>1445</v>
      </c>
      <c r="M445" s="80">
        <v>1460</v>
      </c>
      <c r="N445" s="80">
        <v>1271</v>
      </c>
      <c r="O445" s="80">
        <v>1320</v>
      </c>
      <c r="P445" s="80">
        <v>1348</v>
      </c>
      <c r="Q445" s="80">
        <v>1460</v>
      </c>
      <c r="R445" s="80">
        <v>1364</v>
      </c>
      <c r="S445" s="80">
        <v>1252</v>
      </c>
      <c r="T445" s="80">
        <v>1048</v>
      </c>
      <c r="U445" s="80">
        <v>1290</v>
      </c>
      <c r="V445" s="80">
        <v>1258</v>
      </c>
      <c r="W445" s="106">
        <v>1110</v>
      </c>
      <c r="X445" s="22">
        <f t="shared" si="21"/>
        <v>-5.5309734513274367E-2</v>
      </c>
      <c r="Y445" s="22">
        <f t="shared" si="22"/>
        <v>-3.3177205308352886E-2</v>
      </c>
      <c r="Z445" s="22">
        <f t="shared" si="23"/>
        <v>-2.1396851029471087E-2</v>
      </c>
      <c r="AA445" s="22">
        <f t="shared" si="24"/>
        <v>-2.9290429042904242E-2</v>
      </c>
    </row>
    <row r="446" spans="1:27" ht="15" x14ac:dyDescent="0.25">
      <c r="A446" s="4" t="s">
        <v>635</v>
      </c>
      <c r="B446" s="32" t="s">
        <v>622</v>
      </c>
      <c r="C446" s="82" t="s">
        <v>636</v>
      </c>
      <c r="D446" s="80"/>
      <c r="E446" s="80"/>
      <c r="F446" s="82">
        <v>-2.936962750716321</v>
      </c>
      <c r="G446" s="80">
        <v>15.47</v>
      </c>
      <c r="H446" s="80">
        <v>22.07</v>
      </c>
      <c r="I446" s="80">
        <v>15.88</v>
      </c>
      <c r="J446" s="80">
        <v>21.25</v>
      </c>
      <c r="K446" s="80">
        <v>18.59</v>
      </c>
      <c r="L446" s="80">
        <v>15.88</v>
      </c>
      <c r="M446" s="80">
        <v>18.2</v>
      </c>
      <c r="N446" s="80">
        <v>21.65</v>
      </c>
      <c r="O446" s="80">
        <v>17.95</v>
      </c>
      <c r="P446" s="80">
        <v>19.82</v>
      </c>
      <c r="Q446" s="80">
        <v>23.17</v>
      </c>
      <c r="R446" s="80">
        <v>17.29</v>
      </c>
      <c r="S446" s="80">
        <v>22.77</v>
      </c>
      <c r="T446" s="80">
        <v>19.13</v>
      </c>
      <c r="U446" s="80">
        <v>20.68</v>
      </c>
      <c r="V446" s="80">
        <v>21.18</v>
      </c>
      <c r="W446" s="106">
        <v>20.309999999999999</v>
      </c>
      <c r="X446" s="22">
        <f t="shared" si="21"/>
        <v>-8.3082480433473993E-3</v>
      </c>
      <c r="Y446" s="22">
        <f t="shared" si="22"/>
        <v>-3.0233122875182095E-2</v>
      </c>
      <c r="Z446" s="22">
        <f t="shared" si="23"/>
        <v>4.8704144234380742E-2</v>
      </c>
      <c r="AA446" s="22">
        <f t="shared" si="24"/>
        <v>-2.936962750716321E-2</v>
      </c>
    </row>
    <row r="447" spans="1:27" ht="15" x14ac:dyDescent="0.25">
      <c r="A447" s="4" t="s">
        <v>635</v>
      </c>
      <c r="B447" s="32" t="s">
        <v>623</v>
      </c>
      <c r="C447" s="82" t="s">
        <v>636</v>
      </c>
      <c r="D447" s="80"/>
      <c r="E447" s="80"/>
      <c r="F447" s="82">
        <v>-3.1682052997034189</v>
      </c>
      <c r="G447" s="80">
        <v>182.56</v>
      </c>
      <c r="H447" s="80">
        <v>58.47</v>
      </c>
      <c r="I447" s="80">
        <v>207.2</v>
      </c>
      <c r="J447" s="80">
        <v>239.85</v>
      </c>
      <c r="K447" s="80">
        <v>201.74</v>
      </c>
      <c r="L447" s="81">
        <v>138.79</v>
      </c>
      <c r="M447" s="80">
        <v>261.87</v>
      </c>
      <c r="N447" s="80">
        <v>266.99</v>
      </c>
      <c r="O447" s="80">
        <v>247.56</v>
      </c>
      <c r="P447" s="81">
        <v>259.58</v>
      </c>
      <c r="Q447" s="80">
        <v>255</v>
      </c>
      <c r="R447" s="81">
        <v>434</v>
      </c>
      <c r="S447" s="80">
        <v>291</v>
      </c>
      <c r="T447" s="80">
        <v>269.29000000000002</v>
      </c>
      <c r="U447" s="80">
        <v>293</v>
      </c>
      <c r="V447" s="80">
        <v>283</v>
      </c>
      <c r="W447" s="106">
        <v>255</v>
      </c>
      <c r="X447" s="22">
        <f t="shared" si="21"/>
        <v>7.833298375256259E-3</v>
      </c>
      <c r="Y447" s="22">
        <f t="shared" si="22"/>
        <v>3.0417277013343513E-2</v>
      </c>
      <c r="Z447" s="22">
        <f t="shared" si="23"/>
        <v>-0.11730068593712373</v>
      </c>
      <c r="AA447" s="22">
        <f t="shared" si="24"/>
        <v>-3.1682052997034194E-2</v>
      </c>
    </row>
    <row r="448" spans="1:27" ht="15" x14ac:dyDescent="0.25">
      <c r="A448" s="4" t="s">
        <v>635</v>
      </c>
      <c r="B448" s="32" t="s">
        <v>624</v>
      </c>
      <c r="C448" s="82" t="s">
        <v>636</v>
      </c>
      <c r="D448" s="80"/>
      <c r="E448" s="80"/>
      <c r="F448" s="82">
        <v>-4.1241013999243297</v>
      </c>
      <c r="G448" s="80">
        <v>-737</v>
      </c>
      <c r="H448" s="80">
        <v>-1360</v>
      </c>
      <c r="I448" s="80">
        <v>1013</v>
      </c>
      <c r="J448" s="80">
        <v>1499</v>
      </c>
      <c r="K448" s="81">
        <v>1415</v>
      </c>
      <c r="L448" s="81">
        <v>4</v>
      </c>
      <c r="M448" s="81">
        <v>2409</v>
      </c>
      <c r="N448" s="80">
        <v>1800</v>
      </c>
      <c r="O448" s="80">
        <v>1078</v>
      </c>
      <c r="P448" s="80">
        <v>139</v>
      </c>
      <c r="Q448" s="80">
        <v>1993</v>
      </c>
      <c r="R448" s="80">
        <v>1588</v>
      </c>
      <c r="S448" s="81">
        <v>1597</v>
      </c>
      <c r="T448" s="80">
        <v>534</v>
      </c>
      <c r="U448" s="80">
        <v>1803</v>
      </c>
      <c r="V448" s="80">
        <v>1352</v>
      </c>
      <c r="W448" s="106">
        <v>1379</v>
      </c>
      <c r="X448" s="22">
        <f t="shared" si="21"/>
        <v>7.4290013165318802E-2</v>
      </c>
      <c r="Y448" s="22">
        <f t="shared" si="22"/>
        <v>-3.3263305322128844E-2</v>
      </c>
      <c r="Z448" s="22">
        <f t="shared" si="23"/>
        <v>-4.2738138355668198E-2</v>
      </c>
      <c r="AA448" s="22">
        <f t="shared" si="24"/>
        <v>-4.1241013999243292E-2</v>
      </c>
    </row>
    <row r="449" spans="1:27" ht="15" x14ac:dyDescent="0.25">
      <c r="A449" s="4" t="s">
        <v>635</v>
      </c>
      <c r="B449" s="32" t="s">
        <v>625</v>
      </c>
      <c r="C449" s="82" t="s">
        <v>636</v>
      </c>
      <c r="D449" s="80"/>
      <c r="E449" s="80"/>
      <c r="F449" s="82">
        <v>-4.8190842138968959</v>
      </c>
      <c r="G449" s="80">
        <v>80.510000000000005</v>
      </c>
      <c r="H449" s="80">
        <v>50.99</v>
      </c>
      <c r="I449" s="80">
        <v>60.99</v>
      </c>
      <c r="J449" s="80">
        <v>57.18</v>
      </c>
      <c r="K449" s="80">
        <v>46.77</v>
      </c>
      <c r="L449" s="80">
        <v>44.9</v>
      </c>
      <c r="M449" s="80">
        <v>40.840000000000003</v>
      </c>
      <c r="N449" s="80">
        <v>40.869999999999997</v>
      </c>
      <c r="O449" s="80">
        <v>37.869999999999997</v>
      </c>
      <c r="P449" s="80">
        <v>40.270000000000003</v>
      </c>
      <c r="Q449" s="80">
        <v>38.4</v>
      </c>
      <c r="R449" s="80">
        <v>44.87</v>
      </c>
      <c r="S449" s="80">
        <v>49.34</v>
      </c>
      <c r="T449" s="80">
        <v>45.81</v>
      </c>
      <c r="U449" s="80">
        <v>43.33</v>
      </c>
      <c r="V449" s="80">
        <v>48.9</v>
      </c>
      <c r="W449" s="106">
        <v>40.31</v>
      </c>
      <c r="X449" s="22">
        <f t="shared" si="21"/>
        <v>3.2045349375289245E-2</v>
      </c>
      <c r="Y449" s="22">
        <f t="shared" si="22"/>
        <v>2.7631431453872812E-2</v>
      </c>
      <c r="Z449" s="22">
        <f t="shared" si="23"/>
        <v>2.1979820016362117E-2</v>
      </c>
      <c r="AA449" s="22">
        <f t="shared" si="24"/>
        <v>-4.819084213896907E-2</v>
      </c>
    </row>
    <row r="450" spans="1:27" ht="15" x14ac:dyDescent="0.25">
      <c r="A450" s="4" t="s">
        <v>635</v>
      </c>
      <c r="B450" s="32" t="s">
        <v>626</v>
      </c>
      <c r="C450" s="82" t="s">
        <v>636</v>
      </c>
      <c r="D450" s="80"/>
      <c r="E450" s="80"/>
      <c r="F450" s="82">
        <v>-5.3503693351966479</v>
      </c>
      <c r="G450" s="80">
        <v>1691</v>
      </c>
      <c r="H450" s="80">
        <v>1708</v>
      </c>
      <c r="I450" s="80">
        <v>177</v>
      </c>
      <c r="J450" s="80">
        <v>1503</v>
      </c>
      <c r="K450" s="81">
        <v>3055</v>
      </c>
      <c r="L450" s="80">
        <v>942</v>
      </c>
      <c r="M450" s="81">
        <v>1169</v>
      </c>
      <c r="N450" s="80">
        <v>1152</v>
      </c>
      <c r="O450" s="80">
        <v>0</v>
      </c>
      <c r="P450" s="80">
        <v>1263</v>
      </c>
      <c r="Q450" s="80">
        <v>511</v>
      </c>
      <c r="R450" s="80">
        <v>1349</v>
      </c>
      <c r="S450" s="81">
        <v>1062</v>
      </c>
      <c r="T450" s="80">
        <v>1231</v>
      </c>
      <c r="U450" s="81">
        <v>1128</v>
      </c>
      <c r="V450" s="80">
        <v>1588</v>
      </c>
      <c r="W450" s="106">
        <v>794</v>
      </c>
      <c r="X450" s="22">
        <f t="shared" si="21"/>
        <v>-7.6463560334527614E-3</v>
      </c>
      <c r="Y450" s="22">
        <f t="shared" si="22"/>
        <v>0.14856730074644831</v>
      </c>
      <c r="Z450" s="22">
        <f t="shared" si="23"/>
        <v>5.0104821802934962E-2</v>
      </c>
      <c r="AA450" s="22">
        <f t="shared" si="24"/>
        <v>-5.3503693351966475E-2</v>
      </c>
    </row>
    <row r="451" spans="1:27" ht="15" x14ac:dyDescent="0.25">
      <c r="A451" s="4" t="s">
        <v>635</v>
      </c>
      <c r="B451" s="32" t="s">
        <v>627</v>
      </c>
      <c r="C451" s="82" t="s">
        <v>636</v>
      </c>
      <c r="D451" s="80"/>
      <c r="E451" s="80"/>
      <c r="F451" s="82">
        <v>-5.9317129629629646</v>
      </c>
      <c r="G451" s="80">
        <v>2313</v>
      </c>
      <c r="H451" s="80">
        <v>2809</v>
      </c>
      <c r="I451" s="80">
        <v>1734</v>
      </c>
      <c r="J451" s="80">
        <v>962</v>
      </c>
      <c r="K451" s="80">
        <v>1550</v>
      </c>
      <c r="L451" s="80">
        <v>1601</v>
      </c>
      <c r="M451" s="80">
        <v>1410</v>
      </c>
      <c r="N451" s="80">
        <v>1492</v>
      </c>
      <c r="O451" s="80">
        <v>1746</v>
      </c>
      <c r="P451" s="80">
        <v>1634</v>
      </c>
      <c r="Q451" s="81">
        <v>2114</v>
      </c>
      <c r="R451" s="80">
        <v>1972</v>
      </c>
      <c r="S451" s="80">
        <v>1221</v>
      </c>
      <c r="T451" s="80">
        <v>1303</v>
      </c>
      <c r="U451" s="80">
        <v>2432</v>
      </c>
      <c r="V451" s="80">
        <v>1956</v>
      </c>
      <c r="W451" s="106">
        <v>811</v>
      </c>
      <c r="X451" s="22">
        <f t="shared" si="21"/>
        <v>-4.7687653075925707E-2</v>
      </c>
      <c r="Y451" s="22">
        <f t="shared" si="22"/>
        <v>4.8108925869894126E-2</v>
      </c>
      <c r="Z451" s="22">
        <f t="shared" si="23"/>
        <v>-2.3094688221708681E-3</v>
      </c>
      <c r="AA451" s="22">
        <f t="shared" si="24"/>
        <v>-5.931712962962965E-2</v>
      </c>
    </row>
    <row r="452" spans="1:27" ht="15" x14ac:dyDescent="0.25">
      <c r="A452" s="4" t="s">
        <v>635</v>
      </c>
      <c r="B452" s="32" t="s">
        <v>628</v>
      </c>
      <c r="C452" s="82" t="s">
        <v>636</v>
      </c>
      <c r="D452" s="80"/>
      <c r="E452" s="80"/>
      <c r="F452" s="82">
        <v>-6.6309931506849384</v>
      </c>
      <c r="G452" s="80">
        <v>1495</v>
      </c>
      <c r="H452" s="80">
        <v>1898</v>
      </c>
      <c r="I452" s="80">
        <v>2190</v>
      </c>
      <c r="J452" s="80">
        <v>2101</v>
      </c>
      <c r="K452" s="80">
        <v>1268</v>
      </c>
      <c r="L452" s="80">
        <v>1243</v>
      </c>
      <c r="M452" s="80">
        <v>1763</v>
      </c>
      <c r="N452" s="80">
        <v>1980</v>
      </c>
      <c r="O452" s="80">
        <v>1202</v>
      </c>
      <c r="P452" s="80">
        <v>1490</v>
      </c>
      <c r="Q452" s="80">
        <v>1760</v>
      </c>
      <c r="R452" s="80">
        <v>1664</v>
      </c>
      <c r="S452" s="80">
        <v>1069</v>
      </c>
      <c r="T452" s="80">
        <v>1052</v>
      </c>
      <c r="U452" s="80">
        <v>1344</v>
      </c>
      <c r="V452" s="80">
        <v>1207</v>
      </c>
      <c r="W452" s="106">
        <v>759.2</v>
      </c>
      <c r="X452" s="22">
        <f t="shared" si="21"/>
        <v>-7.3207421026241004E-2</v>
      </c>
      <c r="Y452" s="22">
        <f t="shared" si="22"/>
        <v>-7.5022542831379657E-2</v>
      </c>
      <c r="Z452" s="22">
        <f t="shared" si="23"/>
        <v>-8.9101189315656026E-2</v>
      </c>
      <c r="AA452" s="22">
        <f t="shared" si="24"/>
        <v>-6.6309931506849384E-2</v>
      </c>
    </row>
    <row r="453" spans="1:27" ht="15" x14ac:dyDescent="0.25">
      <c r="A453" s="4" t="s">
        <v>635</v>
      </c>
      <c r="B453" s="32" t="s">
        <v>629</v>
      </c>
      <c r="C453" s="82" t="s">
        <v>636</v>
      </c>
      <c r="D453" s="80"/>
      <c r="E453" s="80"/>
      <c r="F453" s="82">
        <v>-7.043320472843229</v>
      </c>
      <c r="G453" s="80">
        <v>59.39</v>
      </c>
      <c r="H453" s="80">
        <v>79.319999999999993</v>
      </c>
      <c r="I453" s="80">
        <v>34.61</v>
      </c>
      <c r="J453" s="80">
        <v>97.56</v>
      </c>
      <c r="K453" s="81">
        <v>95.07</v>
      </c>
      <c r="L453" s="80">
        <v>56.23</v>
      </c>
      <c r="M453" s="81">
        <v>68.45</v>
      </c>
      <c r="N453" s="80">
        <v>56.49</v>
      </c>
      <c r="O453" s="80">
        <v>19.43</v>
      </c>
      <c r="P453" s="80">
        <v>45.01</v>
      </c>
      <c r="Q453" s="80">
        <v>46.75</v>
      </c>
      <c r="R453" s="80">
        <v>25.5</v>
      </c>
      <c r="S453" s="81">
        <v>54.05</v>
      </c>
      <c r="T453" s="80">
        <v>38.200000000000003</v>
      </c>
      <c r="U453" s="81">
        <v>63.64</v>
      </c>
      <c r="V453" s="80">
        <v>-723.52</v>
      </c>
      <c r="W453" s="106">
        <v>94.03</v>
      </c>
      <c r="X453" s="22">
        <f t="shared" si="21"/>
        <v>-3.9752495476037653E-2</v>
      </c>
      <c r="Y453" s="22">
        <f t="shared" si="22"/>
        <v>0.10267477203647402</v>
      </c>
      <c r="Z453" s="22">
        <f t="shared" si="23"/>
        <v>-4.1293345829428301</v>
      </c>
      <c r="AA453" s="22">
        <f t="shared" si="24"/>
        <v>-7.0433204728432286E-2</v>
      </c>
    </row>
    <row r="454" spans="1:27" ht="15" x14ac:dyDescent="0.25">
      <c r="A454" s="4" t="s">
        <v>635</v>
      </c>
      <c r="B454" s="32" t="s">
        <v>630</v>
      </c>
      <c r="C454" s="82" t="s">
        <v>636</v>
      </c>
      <c r="D454" s="80"/>
      <c r="E454" s="80"/>
      <c r="F454" s="82">
        <v>-7.3949579831932732</v>
      </c>
      <c r="G454" s="80">
        <v>64</v>
      </c>
      <c r="H454" s="80">
        <v>-220</v>
      </c>
      <c r="I454" s="80">
        <v>387</v>
      </c>
      <c r="J454" s="80">
        <v>480</v>
      </c>
      <c r="K454" s="80">
        <v>135</v>
      </c>
      <c r="L454" s="81">
        <v>-107</v>
      </c>
      <c r="M454" s="81">
        <v>520</v>
      </c>
      <c r="N454" s="80">
        <v>328</v>
      </c>
      <c r="O454" s="80">
        <v>77</v>
      </c>
      <c r="P454" s="80">
        <v>-145</v>
      </c>
      <c r="Q454" s="80">
        <v>464</v>
      </c>
      <c r="R454" s="81">
        <v>412</v>
      </c>
      <c r="S454" s="81">
        <v>158</v>
      </c>
      <c r="T454" s="80">
        <v>-110</v>
      </c>
      <c r="U454" s="80">
        <v>334</v>
      </c>
      <c r="V454" s="80">
        <v>213</v>
      </c>
      <c r="W454" s="106">
        <v>114</v>
      </c>
      <c r="X454" s="22">
        <f t="shared" si="21"/>
        <v>3.937007874015741E-2</v>
      </c>
      <c r="Y454" s="22">
        <f t="shared" si="22"/>
        <v>-0.14069264069264065</v>
      </c>
      <c r="Z454" s="22">
        <f t="shared" si="23"/>
        <v>-0.25062972292191432</v>
      </c>
      <c r="AA454" s="22">
        <f t="shared" si="24"/>
        <v>-7.3949579831932732E-2</v>
      </c>
    </row>
    <row r="455" spans="1:27" ht="15" x14ac:dyDescent="0.25">
      <c r="A455" s="4" t="s">
        <v>635</v>
      </c>
      <c r="B455" s="32" t="s">
        <v>631</v>
      </c>
      <c r="C455" s="82" t="s">
        <v>636</v>
      </c>
      <c r="D455" s="80"/>
      <c r="E455" s="80"/>
      <c r="F455" s="82">
        <v>-13.80597014925373</v>
      </c>
      <c r="G455" s="80">
        <v>-0.62</v>
      </c>
      <c r="H455" s="80">
        <v>-0.48</v>
      </c>
      <c r="I455" s="80">
        <v>-0.66</v>
      </c>
      <c r="J455" s="80">
        <v>-0.59</v>
      </c>
      <c r="K455" s="80">
        <v>-0.74</v>
      </c>
      <c r="L455" s="81">
        <v>-1.06</v>
      </c>
      <c r="M455" s="80">
        <v>-0.91</v>
      </c>
      <c r="N455" s="80">
        <v>-0.65</v>
      </c>
      <c r="O455" s="80">
        <v>-0.91</v>
      </c>
      <c r="P455" s="80">
        <v>-0.66</v>
      </c>
      <c r="Q455" s="80">
        <v>-0.83</v>
      </c>
      <c r="R455" s="81">
        <v>-1.24</v>
      </c>
      <c r="S455" s="80">
        <v>-0.55000000000000004</v>
      </c>
      <c r="T455" s="80">
        <v>-0.52</v>
      </c>
      <c r="U455" s="80">
        <v>-0.69</v>
      </c>
      <c r="V455" s="80">
        <v>-0.92</v>
      </c>
      <c r="W455" s="106">
        <v>-0.18</v>
      </c>
      <c r="X455" s="22">
        <f t="shared" si="21"/>
        <v>-4.2682926829268331E-2</v>
      </c>
      <c r="Y455" s="22">
        <f t="shared" si="22"/>
        <v>-4.4585987261146487E-2</v>
      </c>
      <c r="Z455" s="22">
        <f t="shared" si="23"/>
        <v>-0.10666666666666658</v>
      </c>
      <c r="AA455" s="22">
        <f t="shared" si="24"/>
        <v>-0.13805970149253732</v>
      </c>
    </row>
    <row r="456" spans="1:27" ht="15" x14ac:dyDescent="0.25">
      <c r="A456" s="4" t="s">
        <v>635</v>
      </c>
      <c r="B456" s="32" t="s">
        <v>632</v>
      </c>
      <c r="C456" s="82" t="s">
        <v>636</v>
      </c>
      <c r="D456" s="80"/>
      <c r="E456" s="80"/>
      <c r="F456" s="82">
        <v>-13.96407185628742</v>
      </c>
      <c r="G456" s="80">
        <v>7.4</v>
      </c>
      <c r="H456" s="80">
        <v>6.71</v>
      </c>
      <c r="I456" s="80">
        <v>7</v>
      </c>
      <c r="J456" s="80">
        <v>7.52</v>
      </c>
      <c r="K456" s="80">
        <v>5.85</v>
      </c>
      <c r="L456" s="80">
        <v>7.69</v>
      </c>
      <c r="M456" s="80">
        <v>5.53</v>
      </c>
      <c r="N456" s="80">
        <v>5.07</v>
      </c>
      <c r="O456" s="80">
        <v>3.51</v>
      </c>
      <c r="P456" s="80">
        <v>6.04</v>
      </c>
      <c r="Q456" s="81">
        <v>8.18</v>
      </c>
      <c r="R456" s="81">
        <v>9.16</v>
      </c>
      <c r="S456" s="81">
        <v>9.1</v>
      </c>
      <c r="T456" s="81">
        <v>10.1</v>
      </c>
      <c r="U456" s="80">
        <v>10.74</v>
      </c>
      <c r="V456" s="80">
        <v>11.81</v>
      </c>
      <c r="W456" s="106">
        <v>3.27</v>
      </c>
      <c r="X456" s="22">
        <f t="shared" si="21"/>
        <v>0.125</v>
      </c>
      <c r="Y456" s="22">
        <f t="shared" si="22"/>
        <v>7.0060207991242462E-2</v>
      </c>
      <c r="Z456" s="22">
        <f t="shared" si="23"/>
        <v>6.7774936061381075E-2</v>
      </c>
      <c r="AA456" s="22">
        <f t="shared" si="24"/>
        <v>-0.13964071856287419</v>
      </c>
    </row>
    <row r="457" spans="1:27" ht="15" x14ac:dyDescent="0.25">
      <c r="A457" s="4" t="s">
        <v>635</v>
      </c>
      <c r="B457" s="32" t="s">
        <v>633</v>
      </c>
      <c r="C457" s="82" t="s">
        <v>636</v>
      </c>
      <c r="D457" s="80"/>
      <c r="E457" s="80"/>
      <c r="F457" s="82">
        <v>-14.210178453403829</v>
      </c>
      <c r="G457" s="80">
        <v>734</v>
      </c>
      <c r="H457" s="80">
        <v>898</v>
      </c>
      <c r="I457" s="80">
        <v>736</v>
      </c>
      <c r="J457" s="80">
        <v>-24</v>
      </c>
      <c r="K457" s="80">
        <v>-104</v>
      </c>
      <c r="L457" s="80">
        <v>6</v>
      </c>
      <c r="M457" s="80">
        <v>-52</v>
      </c>
      <c r="N457" s="81">
        <v>-99</v>
      </c>
      <c r="O457" s="80">
        <v>54</v>
      </c>
      <c r="P457" s="81">
        <v>-32</v>
      </c>
      <c r="Q457" s="80">
        <v>140</v>
      </c>
      <c r="R457" s="81">
        <v>266</v>
      </c>
      <c r="S457" s="81">
        <v>591</v>
      </c>
      <c r="T457" s="81">
        <v>706</v>
      </c>
      <c r="U457" s="80">
        <v>133</v>
      </c>
      <c r="V457" s="80">
        <v>83</v>
      </c>
      <c r="W457" s="106">
        <v>376</v>
      </c>
      <c r="X457" s="22">
        <f t="shared" si="21"/>
        <v>0.76476683937823831</v>
      </c>
      <c r="Y457" s="22">
        <f t="shared" si="22"/>
        <v>-4.1103934233704953E-3</v>
      </c>
      <c r="Z457" s="22">
        <f t="shared" si="23"/>
        <v>-0.10790094339622647</v>
      </c>
      <c r="AA457" s="22">
        <f t="shared" si="24"/>
        <v>-0.14210178453403832</v>
      </c>
    </row>
    <row r="458" spans="1:27" ht="15" x14ac:dyDescent="0.25">
      <c r="A458" s="4" t="s">
        <v>635</v>
      </c>
      <c r="B458" s="32" t="s">
        <v>634</v>
      </c>
      <c r="C458" s="82" t="s">
        <v>636</v>
      </c>
      <c r="D458" s="80"/>
      <c r="E458" s="80"/>
      <c r="F458" s="82">
        <v>-19.584245076586431</v>
      </c>
      <c r="G458" s="80">
        <v>84.48</v>
      </c>
      <c r="H458" s="80">
        <v>18.13</v>
      </c>
      <c r="I458" s="80">
        <v>10.59</v>
      </c>
      <c r="J458" s="80">
        <v>22.43</v>
      </c>
      <c r="K458" s="80">
        <v>27.45</v>
      </c>
      <c r="L458" s="80">
        <v>25.24</v>
      </c>
      <c r="M458" s="80">
        <v>8.92</v>
      </c>
      <c r="N458" s="80">
        <v>28.08</v>
      </c>
      <c r="O458" s="80">
        <v>-20.91</v>
      </c>
      <c r="P458" s="80">
        <v>13.46</v>
      </c>
      <c r="Q458" s="80">
        <v>6.32</v>
      </c>
      <c r="R458" s="80">
        <v>-61.89</v>
      </c>
      <c r="S458" s="80">
        <v>18.02</v>
      </c>
      <c r="T458" s="80">
        <v>15.43</v>
      </c>
      <c r="U458" s="80">
        <v>29.8</v>
      </c>
      <c r="V458" s="81">
        <v>19.010000000000002</v>
      </c>
      <c r="W458" s="106">
        <v>1.91</v>
      </c>
      <c r="X458" s="22">
        <f t="shared" si="21"/>
        <v>-8.177667081776685E-2</v>
      </c>
      <c r="Y458" s="22">
        <f t="shared" si="22"/>
        <v>-1.0614828209764917</v>
      </c>
      <c r="Z458" s="22">
        <f t="shared" si="23"/>
        <v>59.485294117647243</v>
      </c>
      <c r="AA458" s="22">
        <f t="shared" si="24"/>
        <v>-0.19584245076586426</v>
      </c>
    </row>
  </sheetData>
  <autoFilter ref="B2:W247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46">
      <sortCondition descending="1" ref="C2:C247"/>
    </sortState>
  </autoFilter>
  <phoneticPr fontId="5" type="noConversion"/>
  <conditionalFormatting sqref="B248:D306 F248:W306">
    <cfRule type="expression" dxfId="6" priority="3">
      <formula>"ISODD(ROW(B4))"</formula>
    </cfRule>
  </conditionalFormatting>
  <conditionalFormatting sqref="X3:AA134">
    <cfRule type="cellIs" dxfId="5" priority="1" operator="greaterThan">
      <formula>0.1</formula>
    </cfRule>
  </conditionalFormatting>
  <conditionalFormatting sqref="X135:AA458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V14" sqref="V14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32" t="s">
        <v>417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52" t="s">
        <v>803</v>
      </c>
      <c r="C4" s="31">
        <v>6</v>
      </c>
      <c r="D4" s="31">
        <v>7</v>
      </c>
      <c r="E4" s="31">
        <v>8</v>
      </c>
      <c r="F4" s="31">
        <v>9</v>
      </c>
      <c r="G4" s="31">
        <v>10</v>
      </c>
      <c r="H4" s="31">
        <v>11</v>
      </c>
      <c r="I4" s="31">
        <v>12</v>
      </c>
      <c r="J4" s="31">
        <v>13</v>
      </c>
      <c r="K4" s="31">
        <v>14</v>
      </c>
      <c r="L4" s="31">
        <v>15</v>
      </c>
      <c r="M4" s="31">
        <v>16</v>
      </c>
      <c r="N4" s="31">
        <v>17</v>
      </c>
      <c r="O4" s="31">
        <v>18</v>
      </c>
      <c r="P4" s="31">
        <v>19</v>
      </c>
      <c r="Q4" s="31">
        <v>20</v>
      </c>
      <c r="R4" s="31">
        <v>21</v>
      </c>
      <c r="S4" s="31">
        <v>22</v>
      </c>
      <c r="Y4" s="29"/>
    </row>
    <row r="5" spans="2:25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Y5" s="29"/>
    </row>
    <row r="6" spans="2:25" x14ac:dyDescent="0.3">
      <c r="B6" s="51"/>
      <c r="C6" s="33" t="s">
        <v>392</v>
      </c>
      <c r="D6" s="33" t="s">
        <v>393</v>
      </c>
      <c r="E6" s="33" t="s">
        <v>394</v>
      </c>
      <c r="F6" s="33" t="s">
        <v>395</v>
      </c>
      <c r="G6" s="33" t="s">
        <v>396</v>
      </c>
      <c r="H6" s="33" t="s">
        <v>10</v>
      </c>
      <c r="I6" s="33" t="s">
        <v>397</v>
      </c>
      <c r="J6" s="33" t="s">
        <v>398</v>
      </c>
      <c r="K6" s="33" t="s">
        <v>399</v>
      </c>
      <c r="L6" s="33" t="s">
        <v>14</v>
      </c>
      <c r="M6" s="33" t="s">
        <v>15</v>
      </c>
      <c r="N6" s="33" t="s">
        <v>16</v>
      </c>
      <c r="O6" s="33" t="s">
        <v>17</v>
      </c>
      <c r="P6" s="33" t="s">
        <v>18</v>
      </c>
      <c r="Q6" s="33" t="s">
        <v>19</v>
      </c>
      <c r="R6" s="33" t="s">
        <v>20</v>
      </c>
      <c r="S6" s="34" t="s">
        <v>21</v>
      </c>
      <c r="T6" s="33" t="s">
        <v>408</v>
      </c>
      <c r="U6" s="33" t="s">
        <v>409</v>
      </c>
      <c r="V6" s="33" t="s">
        <v>410</v>
      </c>
      <c r="W6" s="33" t="s">
        <v>411</v>
      </c>
      <c r="Y6" s="29"/>
    </row>
    <row r="7" spans="2:25" x14ac:dyDescent="0.3">
      <c r="B7" s="50" t="s">
        <v>400</v>
      </c>
      <c r="C7" s="35">
        <f>VLOOKUP($B$4,Revenue!$B:$W,C4,FALSE)</f>
        <v>1746</v>
      </c>
      <c r="D7" s="35">
        <f>VLOOKUP($B$4,Revenue!$B:$W,D4,FALSE)</f>
        <v>1735</v>
      </c>
      <c r="E7" s="35">
        <f>VLOOKUP($B$4,Revenue!$B:$W,E4,FALSE)</f>
        <v>1332</v>
      </c>
      <c r="F7" s="35">
        <f>VLOOKUP($B$4,Revenue!$B:$W,F4,FALSE)</f>
        <v>1237</v>
      </c>
      <c r="G7" s="35">
        <f>VLOOKUP($B$4,Revenue!$B:$W,G4,FALSE)</f>
        <v>1452</v>
      </c>
      <c r="H7" s="35">
        <f>VLOOKUP($B$4,Revenue!$B:$W,H4,FALSE)</f>
        <v>0</v>
      </c>
      <c r="I7" s="35">
        <f>VLOOKUP($B$4,Revenue!$B:$W,I4,FALSE)</f>
        <v>0</v>
      </c>
      <c r="J7" s="35">
        <f>VLOOKUP($B$4,Revenue!$B:$W,J4,FALSE)</f>
        <v>1533</v>
      </c>
      <c r="K7" s="35">
        <f>VLOOKUP($B$4,Revenue!$B:$W,K4,FALSE)</f>
        <v>1665</v>
      </c>
      <c r="L7" s="35">
        <f>VLOOKUP($B$4,Revenue!$B:$W,L4,FALSE)</f>
        <v>1705</v>
      </c>
      <c r="M7" s="35">
        <f>VLOOKUP($B$4,Revenue!$B:$W,M4,FALSE)</f>
        <v>1760</v>
      </c>
      <c r="N7" s="35">
        <f>VLOOKUP($B$4,Revenue!$B:$W,N4,FALSE)</f>
        <v>1883</v>
      </c>
      <c r="O7" s="35">
        <f>VLOOKUP($B$4,Revenue!$B:$W,O4,FALSE)</f>
        <v>1876</v>
      </c>
      <c r="P7" s="35">
        <f>VLOOKUP($B$4,Revenue!$B:$W,P4,FALSE)</f>
        <v>1695</v>
      </c>
      <c r="Q7" s="35">
        <f>VLOOKUP($B$4,Revenue!$B:$W,Q4,FALSE)</f>
        <v>1901</v>
      </c>
      <c r="R7" s="35">
        <f>VLOOKUP($B$4,Revenue!$B:$W,R4,FALSE)</f>
        <v>2308</v>
      </c>
      <c r="S7" s="45">
        <f>VLOOKUP($B$4,Revenue!$B:$W,S4,FALSE)</f>
        <v>3025</v>
      </c>
      <c r="T7" s="35"/>
      <c r="U7" s="35"/>
      <c r="V7" s="35"/>
      <c r="W7" s="35"/>
      <c r="Y7" s="29"/>
    </row>
    <row r="8" spans="2:25" x14ac:dyDescent="0.3">
      <c r="B8" s="50" t="s">
        <v>401</v>
      </c>
      <c r="C8" s="35">
        <f>VLOOKUP($B$4,'Operating Income'!$B:$W,C4,FALSE)</f>
        <v>0</v>
      </c>
      <c r="D8" s="35">
        <f>VLOOKUP($B$4,'Operating Income'!$B:$W,D4,FALSE)</f>
        <v>0</v>
      </c>
      <c r="E8" s="35">
        <f>VLOOKUP($B$4,'Operating Income'!$B:$W,E4,FALSE)</f>
        <v>0</v>
      </c>
      <c r="F8" s="35">
        <f>VLOOKUP($B$4,'Operating Income'!$B:$W,F4,FALSE)</f>
        <v>0</v>
      </c>
      <c r="G8" s="35">
        <f>VLOOKUP($B$4,'Operating Income'!$B:$W,G4,FALSE)</f>
        <v>0</v>
      </c>
      <c r="H8" s="35">
        <f>VLOOKUP($B$4,'Operating Income'!$B:$W,H4,FALSE)</f>
        <v>0</v>
      </c>
      <c r="I8" s="35">
        <f>VLOOKUP($B$4,'Operating Income'!$B:$W,I4,FALSE)</f>
        <v>0</v>
      </c>
      <c r="J8" s="35">
        <f>VLOOKUP($B$4,'Operating Income'!$B:$W,J4,FALSE)</f>
        <v>-546</v>
      </c>
      <c r="K8" s="35">
        <f>VLOOKUP($B$4,'Operating Income'!$B:$W,K4,FALSE)</f>
        <v>-198</v>
      </c>
      <c r="L8" s="35">
        <f>VLOOKUP($B$4,'Operating Income'!$B:$W,L4,FALSE)</f>
        <v>79</v>
      </c>
      <c r="M8" s="35">
        <f>VLOOKUP($B$4,'Operating Income'!$B:$W,M4,FALSE)</f>
        <v>185</v>
      </c>
      <c r="N8" s="35">
        <f>VLOOKUP($B$4,'Operating Income'!$B:$W,N4,FALSE)</f>
        <v>313</v>
      </c>
      <c r="O8" s="35">
        <f>VLOOKUP($B$4,'Operating Income'!$B:$W,O4,FALSE)</f>
        <v>185</v>
      </c>
      <c r="P8" s="35">
        <f>VLOOKUP($B$4,'Operating Income'!$B:$W,P4,FALSE)</f>
        <v>-42</v>
      </c>
      <c r="Q8" s="35">
        <f>VLOOKUP($B$4,'Operating Income'!$B:$W,Q4,FALSE)</f>
        <v>51</v>
      </c>
      <c r="R8" s="35">
        <f>VLOOKUP($B$4,'Operating Income'!$B:$W,R4,FALSE)</f>
        <v>192</v>
      </c>
      <c r="S8" s="45">
        <f>VLOOKUP($B$4,'Operating Income'!$B:$W,S4,FALSE)</f>
        <v>1075</v>
      </c>
      <c r="T8" s="35"/>
      <c r="U8" s="35"/>
      <c r="V8" s="35"/>
      <c r="W8" s="35"/>
      <c r="Y8" s="29"/>
    </row>
    <row r="9" spans="2:25" x14ac:dyDescent="0.3">
      <c r="B9" s="50" t="s">
        <v>402</v>
      </c>
      <c r="C9" s="35">
        <f>AVERAGE(C8:C8)</f>
        <v>0</v>
      </c>
      <c r="D9" s="35">
        <f>AVERAGE(C8:D8)</f>
        <v>0</v>
      </c>
      <c r="E9" s="35">
        <f>AVERAGE(C8:E8)</f>
        <v>0</v>
      </c>
      <c r="F9" s="35">
        <f t="shared" ref="F9:R9" si="0">AVERAGE(C8:F8)</f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>AVERAGE(G8:J8)</f>
        <v>-136.5</v>
      </c>
      <c r="K9" s="35">
        <f t="shared" si="0"/>
        <v>-186</v>
      </c>
      <c r="L9" s="35">
        <f t="shared" si="0"/>
        <v>-166.25</v>
      </c>
      <c r="M9" s="35">
        <f t="shared" si="0"/>
        <v>-120</v>
      </c>
      <c r="N9" s="35">
        <f t="shared" si="0"/>
        <v>94.75</v>
      </c>
      <c r="O9" s="35">
        <f t="shared" si="0"/>
        <v>190.5</v>
      </c>
      <c r="P9" s="35">
        <f t="shared" si="0"/>
        <v>160.25</v>
      </c>
      <c r="Q9" s="35">
        <f t="shared" si="0"/>
        <v>126.75</v>
      </c>
      <c r="R9" s="35">
        <f t="shared" si="0"/>
        <v>96.5</v>
      </c>
      <c r="S9" s="45">
        <f>AVERAGE(P8:S8)</f>
        <v>319</v>
      </c>
      <c r="T9" s="35"/>
      <c r="U9" s="35"/>
      <c r="V9" s="35"/>
      <c r="W9" s="35"/>
      <c r="Y9" s="29"/>
    </row>
    <row r="10" spans="2:25" x14ac:dyDescent="0.3">
      <c r="B10" s="50" t="s">
        <v>403</v>
      </c>
      <c r="C10" s="35">
        <f>SUM(C8:C8)</f>
        <v>0</v>
      </c>
      <c r="D10" s="35">
        <f>SUM(C8:D8)</f>
        <v>0</v>
      </c>
      <c r="E10" s="35">
        <f>SUM(C8:E8)</f>
        <v>0</v>
      </c>
      <c r="F10" s="35">
        <f t="shared" ref="F10:S10" si="1">SUM(C8:F8)</f>
        <v>0</v>
      </c>
      <c r="G10" s="35">
        <f t="shared" si="1"/>
        <v>0</v>
      </c>
      <c r="H10" s="35">
        <f t="shared" si="1"/>
        <v>0</v>
      </c>
      <c r="I10" s="35">
        <f t="shared" si="1"/>
        <v>0</v>
      </c>
      <c r="J10" s="35">
        <f t="shared" si="1"/>
        <v>-546</v>
      </c>
      <c r="K10" s="35">
        <f t="shared" si="1"/>
        <v>-744</v>
      </c>
      <c r="L10" s="35">
        <f t="shared" si="1"/>
        <v>-665</v>
      </c>
      <c r="M10" s="35">
        <f t="shared" si="1"/>
        <v>-480</v>
      </c>
      <c r="N10" s="35">
        <f t="shared" si="1"/>
        <v>379</v>
      </c>
      <c r="O10" s="35">
        <f t="shared" si="1"/>
        <v>762</v>
      </c>
      <c r="P10" s="35">
        <f t="shared" si="1"/>
        <v>641</v>
      </c>
      <c r="Q10" s="35">
        <f t="shared" si="1"/>
        <v>507</v>
      </c>
      <c r="R10" s="35">
        <f t="shared" si="1"/>
        <v>386</v>
      </c>
      <c r="S10" s="45">
        <f t="shared" si="1"/>
        <v>1276</v>
      </c>
      <c r="T10" s="35"/>
      <c r="U10" s="35"/>
      <c r="V10" s="35"/>
      <c r="W10" s="35"/>
      <c r="Y10" s="29"/>
    </row>
    <row r="11" spans="2:25" x14ac:dyDescent="0.3">
      <c r="B11" s="50" t="s">
        <v>404</v>
      </c>
      <c r="C11" s="36"/>
      <c r="D11" s="36" t="e">
        <f t="shared" ref="D11:S11" si="2">D9/C9-1</f>
        <v>#DIV/0!</v>
      </c>
      <c r="E11" s="36" t="e">
        <f t="shared" si="2"/>
        <v>#DIV/0!</v>
      </c>
      <c r="F11" s="36" t="e">
        <f t="shared" si="2"/>
        <v>#DIV/0!</v>
      </c>
      <c r="G11" s="36" t="e">
        <f t="shared" si="2"/>
        <v>#DIV/0!</v>
      </c>
      <c r="H11" s="36" t="e">
        <f t="shared" si="2"/>
        <v>#DIV/0!</v>
      </c>
      <c r="I11" s="36" t="e">
        <f t="shared" si="2"/>
        <v>#DIV/0!</v>
      </c>
      <c r="J11" s="36" t="e">
        <f t="shared" si="2"/>
        <v>#DIV/0!</v>
      </c>
      <c r="K11" s="36">
        <f t="shared" si="2"/>
        <v>0.36263736263736268</v>
      </c>
      <c r="L11" s="36">
        <f t="shared" si="2"/>
        <v>-0.10618279569892475</v>
      </c>
      <c r="M11" s="36">
        <f t="shared" si="2"/>
        <v>-0.27819548872180455</v>
      </c>
      <c r="N11" s="36">
        <f t="shared" si="2"/>
        <v>-1.7895833333333333</v>
      </c>
      <c r="O11" s="36">
        <f t="shared" si="2"/>
        <v>1.0105540897097627</v>
      </c>
      <c r="P11" s="37">
        <f t="shared" si="2"/>
        <v>-0.15879265091863515</v>
      </c>
      <c r="Q11" s="37">
        <f t="shared" si="2"/>
        <v>-0.2090483619344774</v>
      </c>
      <c r="R11" s="37">
        <f t="shared" si="2"/>
        <v>-0.23865877712031558</v>
      </c>
      <c r="S11" s="38">
        <f t="shared" si="2"/>
        <v>2.3056994818652852</v>
      </c>
      <c r="T11" s="44"/>
      <c r="U11" s="44"/>
      <c r="V11" s="44"/>
      <c r="W11" s="44"/>
      <c r="Y11" s="19"/>
    </row>
    <row r="12" spans="2:25" x14ac:dyDescent="0.3">
      <c r="B12" s="50" t="s">
        <v>405</v>
      </c>
      <c r="C12" s="39">
        <f t="shared" ref="C12:F12" si="3">IFERROR(C8/C7,"-")</f>
        <v>0</v>
      </c>
      <c r="D12" s="39">
        <f t="shared" si="3"/>
        <v>0</v>
      </c>
      <c r="E12" s="39">
        <f t="shared" si="3"/>
        <v>0</v>
      </c>
      <c r="F12" s="39">
        <f t="shared" si="3"/>
        <v>0</v>
      </c>
      <c r="G12" s="39">
        <f>IFERROR(G8/G7,"-")</f>
        <v>0</v>
      </c>
      <c r="H12" s="39" t="str">
        <f t="shared" ref="H12:S12" si="4">IFERROR(H8/H7,"-")</f>
        <v>-</v>
      </c>
      <c r="I12" s="39" t="str">
        <f t="shared" si="4"/>
        <v>-</v>
      </c>
      <c r="J12" s="39">
        <f t="shared" si="4"/>
        <v>-0.35616438356164382</v>
      </c>
      <c r="K12" s="39">
        <f t="shared" si="4"/>
        <v>-0.11891891891891893</v>
      </c>
      <c r="L12" s="39">
        <f t="shared" si="4"/>
        <v>4.6334310850439882E-2</v>
      </c>
      <c r="M12" s="39">
        <f t="shared" si="4"/>
        <v>0.10511363636363637</v>
      </c>
      <c r="N12" s="39">
        <f t="shared" si="4"/>
        <v>0.16622411046202867</v>
      </c>
      <c r="O12" s="39">
        <f t="shared" si="4"/>
        <v>9.8614072494669511E-2</v>
      </c>
      <c r="P12" s="39">
        <f t="shared" si="4"/>
        <v>-2.4778761061946902E-2</v>
      </c>
      <c r="Q12" s="39">
        <f t="shared" si="4"/>
        <v>2.6827985270910047E-2</v>
      </c>
      <c r="R12" s="39">
        <f t="shared" si="4"/>
        <v>8.3188908145580595E-2</v>
      </c>
      <c r="S12" s="40">
        <f t="shared" si="4"/>
        <v>0.35537190082644626</v>
      </c>
      <c r="T12" s="41"/>
      <c r="U12" s="41"/>
      <c r="V12" s="41"/>
      <c r="W12" s="41"/>
      <c r="Y12" s="29"/>
    </row>
    <row r="13" spans="2:25" x14ac:dyDescent="0.3">
      <c r="B13" s="50" t="s">
        <v>406</v>
      </c>
      <c r="C13" s="41" t="e">
        <f>C8/#REF!-1</f>
        <v>#REF!</v>
      </c>
      <c r="D13" s="41" t="e">
        <f>D8/#REF!-1</f>
        <v>#REF!</v>
      </c>
      <c r="E13" s="41" t="e">
        <f>E8/#REF!-1</f>
        <v>#REF!</v>
      </c>
      <c r="F13" s="41" t="e">
        <f>F8/#REF!-1</f>
        <v>#REF!</v>
      </c>
      <c r="G13" s="41" t="e">
        <f t="shared" ref="G13:S14" si="5">G8/C8-1</f>
        <v>#DIV/0!</v>
      </c>
      <c r="H13" s="41" t="e">
        <f t="shared" si="5"/>
        <v>#DIV/0!</v>
      </c>
      <c r="I13" s="41" t="e">
        <f t="shared" si="5"/>
        <v>#DIV/0!</v>
      </c>
      <c r="J13" s="41" t="e">
        <f t="shared" si="5"/>
        <v>#DIV/0!</v>
      </c>
      <c r="K13" s="41" t="e">
        <f t="shared" si="5"/>
        <v>#DIV/0!</v>
      </c>
      <c r="L13" s="41" t="e">
        <f t="shared" si="5"/>
        <v>#DIV/0!</v>
      </c>
      <c r="M13" s="41" t="e">
        <f t="shared" si="5"/>
        <v>#DIV/0!</v>
      </c>
      <c r="N13" s="41">
        <f t="shared" si="5"/>
        <v>-1.5732600732600732</v>
      </c>
      <c r="O13" s="41">
        <f t="shared" si="5"/>
        <v>-1.9343434343434343</v>
      </c>
      <c r="P13" s="42">
        <f t="shared" si="5"/>
        <v>-1.5316455696202531</v>
      </c>
      <c r="Q13" s="42">
        <f t="shared" si="5"/>
        <v>-0.72432432432432425</v>
      </c>
      <c r="R13" s="42">
        <f t="shared" si="5"/>
        <v>-0.38658146964856233</v>
      </c>
      <c r="S13" s="43">
        <f t="shared" si="5"/>
        <v>4.8108108108108105</v>
      </c>
      <c r="T13" s="41"/>
      <c r="U13" s="41"/>
      <c r="V13" s="41"/>
      <c r="W13" s="41"/>
      <c r="Y13" s="29"/>
    </row>
    <row r="14" spans="2:25" x14ac:dyDescent="0.3">
      <c r="B14" s="50" t="s">
        <v>407</v>
      </c>
      <c r="G14" s="41">
        <f>G7/C7-1</f>
        <v>-0.16838487972508587</v>
      </c>
      <c r="H14" s="41" t="e">
        <f t="shared" si="5"/>
        <v>#DIV/0!</v>
      </c>
      <c r="I14" s="41" t="e">
        <f t="shared" si="5"/>
        <v>#DIV/0!</v>
      </c>
      <c r="J14" s="41" t="e">
        <f t="shared" si="5"/>
        <v>#DIV/0!</v>
      </c>
      <c r="K14" s="41" t="e">
        <f t="shared" si="5"/>
        <v>#DIV/0!</v>
      </c>
      <c r="L14" s="41" t="e">
        <f t="shared" si="5"/>
        <v>#DIV/0!</v>
      </c>
      <c r="M14" s="41" t="e">
        <f t="shared" si="5"/>
        <v>#DIV/0!</v>
      </c>
      <c r="N14" s="41">
        <f t="shared" si="5"/>
        <v>-1.6941391941391941</v>
      </c>
      <c r="O14" s="41">
        <f t="shared" si="5"/>
        <v>-2.024193548387097</v>
      </c>
      <c r="P14" s="42">
        <f t="shared" si="5"/>
        <v>-1.9639097744360903</v>
      </c>
      <c r="Q14" s="42">
        <f t="shared" si="5"/>
        <v>-2.0562499999999999</v>
      </c>
      <c r="R14" s="42">
        <f t="shared" si="5"/>
        <v>1.846965699208436E-2</v>
      </c>
      <c r="S14" s="43">
        <f t="shared" si="5"/>
        <v>0.67454068241469822</v>
      </c>
      <c r="Y14" s="29"/>
    </row>
    <row r="15" spans="2:25" x14ac:dyDescent="0.3">
      <c r="Y15" s="29"/>
    </row>
    <row r="16" spans="2:25" x14ac:dyDescent="0.3">
      <c r="Y16" s="29"/>
    </row>
  </sheetData>
  <phoneticPr fontId="5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2026-02-02T10:57:50Z</dcterms:modified>
</cp:coreProperties>
</file>