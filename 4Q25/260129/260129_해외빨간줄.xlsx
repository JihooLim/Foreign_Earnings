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85D35335-60A8-4383-8E86-76FADE1E54AE}" xr6:coauthVersionLast="47" xr6:coauthVersionMax="47" xr10:uidLastSave="{00000000-0000-0000-0000-000000000000}"/>
  <bookViews>
    <workbookView xWindow="28680" yWindow="465" windowWidth="29040" windowHeight="15720" activeTab="1" xr2:uid="{00000000-000D-0000-FFFF-FFFF00000000}"/>
  </bookViews>
  <sheets>
    <sheet name="해외 실적 기업 리스트" sheetId="4" r:id="rId1"/>
    <sheet name="Revenue" sheetId="1" r:id="rId2"/>
    <sheet name="Operating Income" sheetId="2" r:id="rId3"/>
    <sheet name="빨간줄" sheetId="3" r:id="rId4"/>
  </sheets>
  <definedNames>
    <definedName name="_xlnm._FilterDatabase" localSheetId="2" hidden="1">'Operating Income'!$B$2:$W$175</definedName>
    <definedName name="_xlnm._FilterDatabase" localSheetId="1" hidden="1">Revenue!$B$2:$W$175</definedName>
    <definedName name="_xlnm._FilterDatabase" localSheetId="0" hidden="1">'해외 실적 기업 리스트'!$B$4:$G$4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5" i="1" l="1"/>
  <c r="D174" i="1"/>
  <c r="D173" i="1"/>
  <c r="D172" i="1"/>
  <c r="D171" i="1"/>
  <c r="D170" i="1"/>
  <c r="D169" i="1"/>
  <c r="D168" i="1"/>
  <c r="D167" i="1"/>
  <c r="D166" i="1"/>
  <c r="D162" i="1"/>
  <c r="D161" i="1"/>
  <c r="D160" i="1"/>
  <c r="D159" i="1"/>
  <c r="D158" i="1"/>
  <c r="D157" i="1"/>
  <c r="D156" i="1"/>
  <c r="D155" i="1"/>
  <c r="D154" i="1"/>
  <c r="D153" i="1"/>
  <c r="D151" i="1"/>
  <c r="D150" i="1"/>
  <c r="D149" i="1"/>
  <c r="D148" i="1"/>
  <c r="D147" i="1"/>
  <c r="D146" i="1"/>
  <c r="D145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75" i="2"/>
  <c r="D174" i="2"/>
  <c r="D173" i="2"/>
  <c r="D172" i="2"/>
  <c r="D171" i="2"/>
  <c r="D170" i="2"/>
  <c r="D169" i="2"/>
  <c r="D168" i="2"/>
  <c r="D167" i="2"/>
  <c r="D166" i="2"/>
  <c r="D162" i="2"/>
  <c r="D161" i="2"/>
  <c r="D160" i="2"/>
  <c r="D159" i="2"/>
  <c r="D158" i="2"/>
  <c r="D157" i="2"/>
  <c r="D156" i="2"/>
  <c r="D155" i="2"/>
  <c r="D154" i="2"/>
  <c r="D153" i="2"/>
  <c r="D151" i="2"/>
  <c r="D150" i="2"/>
  <c r="D149" i="2"/>
  <c r="D148" i="2"/>
  <c r="D147" i="2"/>
  <c r="D146" i="2"/>
  <c r="D145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L8" i="3"/>
  <c r="H7" i="3"/>
  <c r="AA175" i="1"/>
  <c r="Z175" i="1"/>
  <c r="Y175" i="1"/>
  <c r="X175" i="1"/>
  <c r="AA174" i="1"/>
  <c r="Z174" i="1"/>
  <c r="Y174" i="1"/>
  <c r="X174" i="1"/>
  <c r="AA173" i="1"/>
  <c r="Z173" i="1"/>
  <c r="Y173" i="1"/>
  <c r="X173" i="1"/>
  <c r="AA172" i="1"/>
  <c r="Z172" i="1"/>
  <c r="Y172" i="1"/>
  <c r="X172" i="1"/>
  <c r="AA171" i="1"/>
  <c r="Z171" i="1"/>
  <c r="Y171" i="1"/>
  <c r="X171" i="1"/>
  <c r="AA170" i="1"/>
  <c r="Z170" i="1"/>
  <c r="Y170" i="1"/>
  <c r="X170" i="1"/>
  <c r="AA169" i="1"/>
  <c r="Z169" i="1"/>
  <c r="Y169" i="1"/>
  <c r="X169" i="1"/>
  <c r="AA168" i="1"/>
  <c r="Z168" i="1"/>
  <c r="Y168" i="1"/>
  <c r="X168" i="1"/>
  <c r="AA167" i="1"/>
  <c r="Z167" i="1"/>
  <c r="Y167" i="1"/>
  <c r="X167" i="1"/>
  <c r="AA166" i="1"/>
  <c r="Z166" i="1"/>
  <c r="Y166" i="1"/>
  <c r="X166" i="1"/>
  <c r="AA162" i="1"/>
  <c r="Z162" i="1"/>
  <c r="Y162" i="1"/>
  <c r="X162" i="1"/>
  <c r="AA161" i="1"/>
  <c r="Z161" i="1"/>
  <c r="Y161" i="1"/>
  <c r="X161" i="1"/>
  <c r="AA160" i="1"/>
  <c r="Z160" i="1"/>
  <c r="Y160" i="1"/>
  <c r="X160" i="1"/>
  <c r="AA159" i="1"/>
  <c r="Z159" i="1"/>
  <c r="Y159" i="1"/>
  <c r="X159" i="1"/>
  <c r="AA158" i="1"/>
  <c r="Z158" i="1"/>
  <c r="Y158" i="1"/>
  <c r="X158" i="1"/>
  <c r="AA157" i="1"/>
  <c r="Z157" i="1"/>
  <c r="Y157" i="1"/>
  <c r="X157" i="1"/>
  <c r="AA156" i="1"/>
  <c r="Z156" i="1"/>
  <c r="Y156" i="1"/>
  <c r="X156" i="1"/>
  <c r="AA155" i="1"/>
  <c r="Z155" i="1"/>
  <c r="Y155" i="1"/>
  <c r="X155" i="1"/>
  <c r="AA154" i="1"/>
  <c r="Z154" i="1"/>
  <c r="Y154" i="1"/>
  <c r="X154" i="1"/>
  <c r="AA153" i="1"/>
  <c r="Z153" i="1"/>
  <c r="Y153" i="1"/>
  <c r="X153" i="1"/>
  <c r="AA151" i="1"/>
  <c r="Z151" i="1"/>
  <c r="Y151" i="1"/>
  <c r="X151" i="1"/>
  <c r="AA150" i="1"/>
  <c r="Z150" i="1"/>
  <c r="Y150" i="1"/>
  <c r="X150" i="1"/>
  <c r="AA149" i="1"/>
  <c r="Z149" i="1"/>
  <c r="Y149" i="1"/>
  <c r="X149" i="1"/>
  <c r="AA148" i="1"/>
  <c r="Z148" i="1"/>
  <c r="Y148" i="1"/>
  <c r="X148" i="1"/>
  <c r="AA147" i="1"/>
  <c r="Z147" i="1"/>
  <c r="Y147" i="1"/>
  <c r="X147" i="1"/>
  <c r="AA146" i="1"/>
  <c r="Z146" i="1"/>
  <c r="Y146" i="1"/>
  <c r="X146" i="1"/>
  <c r="AA145" i="1"/>
  <c r="Z145" i="1"/>
  <c r="Y145" i="1"/>
  <c r="X145" i="1"/>
  <c r="AA143" i="1"/>
  <c r="Z143" i="1"/>
  <c r="Y143" i="1"/>
  <c r="X143" i="1"/>
  <c r="AA142" i="1"/>
  <c r="Z142" i="1"/>
  <c r="Y142" i="1"/>
  <c r="X142" i="1"/>
  <c r="AA141" i="1"/>
  <c r="Z141" i="1"/>
  <c r="Y141" i="1"/>
  <c r="X141" i="1"/>
  <c r="AA140" i="1"/>
  <c r="Z140" i="1"/>
  <c r="Y140" i="1"/>
  <c r="X140" i="1"/>
  <c r="AA139" i="1"/>
  <c r="Z139" i="1"/>
  <c r="Y139" i="1"/>
  <c r="X139" i="1"/>
  <c r="AA138" i="1"/>
  <c r="Z138" i="1"/>
  <c r="Y138" i="1"/>
  <c r="X138" i="1"/>
  <c r="AA137" i="1"/>
  <c r="Z137" i="1"/>
  <c r="Y137" i="1"/>
  <c r="X137" i="1"/>
  <c r="AA136" i="1"/>
  <c r="Z136" i="1"/>
  <c r="Y136" i="1"/>
  <c r="X136" i="1"/>
  <c r="AA135" i="1"/>
  <c r="Z135" i="1"/>
  <c r="Y135" i="1"/>
  <c r="X135" i="1"/>
  <c r="AA134" i="1"/>
  <c r="Z134" i="1"/>
  <c r="Y134" i="1"/>
  <c r="X134" i="1"/>
  <c r="AA133" i="1"/>
  <c r="Z133" i="1"/>
  <c r="Y133" i="1"/>
  <c r="X133" i="1"/>
  <c r="AA132" i="1"/>
  <c r="Z132" i="1"/>
  <c r="Y132" i="1"/>
  <c r="X132" i="1"/>
  <c r="AA131" i="1"/>
  <c r="Z131" i="1"/>
  <c r="Y131" i="1"/>
  <c r="X131" i="1"/>
  <c r="AA130" i="1"/>
  <c r="Z130" i="1"/>
  <c r="Y130" i="1"/>
  <c r="X130" i="1"/>
  <c r="AA129" i="1"/>
  <c r="Z129" i="1"/>
  <c r="Y129" i="1"/>
  <c r="X129" i="1"/>
  <c r="AA128" i="1"/>
  <c r="Z128" i="1"/>
  <c r="Y128" i="1"/>
  <c r="X128" i="1"/>
  <c r="AA127" i="1"/>
  <c r="Z127" i="1"/>
  <c r="Y127" i="1"/>
  <c r="X127" i="1"/>
  <c r="AA126" i="1"/>
  <c r="Z126" i="1"/>
  <c r="Y126" i="1"/>
  <c r="X126" i="1"/>
  <c r="AA124" i="1"/>
  <c r="Z124" i="1"/>
  <c r="Y124" i="1"/>
  <c r="X124" i="1"/>
  <c r="AA123" i="1"/>
  <c r="Z123" i="1"/>
  <c r="Y123" i="1"/>
  <c r="X123" i="1"/>
  <c r="AA122" i="1"/>
  <c r="Z122" i="1"/>
  <c r="Y122" i="1"/>
  <c r="X122" i="1"/>
  <c r="AA121" i="1"/>
  <c r="Z121" i="1"/>
  <c r="Y121" i="1"/>
  <c r="X121" i="1"/>
  <c r="AA120" i="1"/>
  <c r="Z120" i="1"/>
  <c r="Y120" i="1"/>
  <c r="X120" i="1"/>
  <c r="AA118" i="1"/>
  <c r="Z118" i="1"/>
  <c r="Y118" i="1"/>
  <c r="X118" i="1"/>
  <c r="AA117" i="1"/>
  <c r="Z117" i="1"/>
  <c r="Y117" i="1"/>
  <c r="X117" i="1"/>
  <c r="AA116" i="1"/>
  <c r="Z116" i="1"/>
  <c r="Y116" i="1"/>
  <c r="X116" i="1"/>
  <c r="AA115" i="1"/>
  <c r="Z115" i="1"/>
  <c r="Y115" i="1"/>
  <c r="X115" i="1"/>
  <c r="AA113" i="1"/>
  <c r="Z113" i="1"/>
  <c r="Y113" i="1"/>
  <c r="X113" i="1"/>
  <c r="AA112" i="1"/>
  <c r="Z112" i="1"/>
  <c r="Y112" i="1"/>
  <c r="X112" i="1"/>
  <c r="AA111" i="1"/>
  <c r="Z111" i="1"/>
  <c r="Y111" i="1"/>
  <c r="X111" i="1"/>
  <c r="AA110" i="1"/>
  <c r="Z110" i="1"/>
  <c r="Y110" i="1"/>
  <c r="X110" i="1"/>
  <c r="AA109" i="1"/>
  <c r="Z109" i="1"/>
  <c r="Y109" i="1"/>
  <c r="X109" i="1"/>
  <c r="AA108" i="1"/>
  <c r="Z108" i="1"/>
  <c r="Y108" i="1"/>
  <c r="X108" i="1"/>
  <c r="AA107" i="1"/>
  <c r="Z107" i="1"/>
  <c r="Y107" i="1"/>
  <c r="X107" i="1"/>
  <c r="AA106" i="1"/>
  <c r="Z106" i="1"/>
  <c r="Y106" i="1"/>
  <c r="X106" i="1"/>
  <c r="AA105" i="1"/>
  <c r="Z105" i="1"/>
  <c r="Y105" i="1"/>
  <c r="X105" i="1"/>
  <c r="AA104" i="1"/>
  <c r="Z104" i="1"/>
  <c r="Y104" i="1"/>
  <c r="X104" i="1"/>
  <c r="AA103" i="1"/>
  <c r="Z103" i="1"/>
  <c r="Y103" i="1"/>
  <c r="X103" i="1"/>
  <c r="AA102" i="1"/>
  <c r="Z102" i="1"/>
  <c r="Y102" i="1"/>
  <c r="X102" i="1"/>
  <c r="AA101" i="1"/>
  <c r="Z101" i="1"/>
  <c r="Y101" i="1"/>
  <c r="X101" i="1"/>
  <c r="AA100" i="1"/>
  <c r="Z100" i="1"/>
  <c r="Y100" i="1"/>
  <c r="X100" i="1"/>
  <c r="AA99" i="1"/>
  <c r="Z99" i="1"/>
  <c r="Y99" i="1"/>
  <c r="X99" i="1"/>
  <c r="AA98" i="1"/>
  <c r="Z98" i="1"/>
  <c r="Y98" i="1"/>
  <c r="X98" i="1"/>
  <c r="AA97" i="1"/>
  <c r="Z97" i="1"/>
  <c r="Y97" i="1"/>
  <c r="X97" i="1"/>
  <c r="AA96" i="1"/>
  <c r="Z96" i="1"/>
  <c r="Y96" i="1"/>
  <c r="X96" i="1"/>
  <c r="AA95" i="1"/>
  <c r="Z95" i="1"/>
  <c r="Y95" i="1"/>
  <c r="X95" i="1"/>
  <c r="AA94" i="1"/>
  <c r="Z94" i="1"/>
  <c r="Y94" i="1"/>
  <c r="X94" i="1"/>
  <c r="AA93" i="1"/>
  <c r="Z93" i="1"/>
  <c r="Y93" i="1"/>
  <c r="X93" i="1"/>
  <c r="AA92" i="1"/>
  <c r="Z92" i="1"/>
  <c r="Y92" i="1"/>
  <c r="X92" i="1"/>
  <c r="AA91" i="1"/>
  <c r="Z91" i="1"/>
  <c r="Y91" i="1"/>
  <c r="X91" i="1"/>
  <c r="AA90" i="1"/>
  <c r="Z90" i="1"/>
  <c r="Y90" i="1"/>
  <c r="X90" i="1"/>
  <c r="AA89" i="1"/>
  <c r="Z89" i="1"/>
  <c r="Y89" i="1"/>
  <c r="X89" i="1"/>
  <c r="AA87" i="1"/>
  <c r="Z87" i="1"/>
  <c r="Y87" i="1"/>
  <c r="X87" i="1"/>
  <c r="AA85" i="1"/>
  <c r="Z85" i="1"/>
  <c r="Y85" i="1"/>
  <c r="X85" i="1"/>
  <c r="AA81" i="1"/>
  <c r="Z81" i="1"/>
  <c r="Y81" i="1"/>
  <c r="X81" i="1"/>
  <c r="AA80" i="1"/>
  <c r="Z80" i="1"/>
  <c r="Y80" i="1"/>
  <c r="X80" i="1"/>
  <c r="AA79" i="1"/>
  <c r="Z79" i="1"/>
  <c r="Y79" i="1"/>
  <c r="X79" i="1"/>
  <c r="AA76" i="1"/>
  <c r="Z76" i="1"/>
  <c r="Y76" i="1"/>
  <c r="X76" i="1"/>
  <c r="AA73" i="1"/>
  <c r="Z73" i="1"/>
  <c r="Y73" i="1"/>
  <c r="X73" i="1"/>
  <c r="AA69" i="1"/>
  <c r="Z69" i="1"/>
  <c r="Y69" i="1"/>
  <c r="X69" i="1"/>
  <c r="AA68" i="1"/>
  <c r="Z68" i="1"/>
  <c r="Y68" i="1"/>
  <c r="X68" i="1"/>
  <c r="AA66" i="1"/>
  <c r="Z66" i="1"/>
  <c r="Y66" i="1"/>
  <c r="X66" i="1"/>
  <c r="AA61" i="1"/>
  <c r="Z61" i="1"/>
  <c r="Y61" i="1"/>
  <c r="X61" i="1"/>
  <c r="AA60" i="1"/>
  <c r="Z60" i="1"/>
  <c r="Y60" i="1"/>
  <c r="X60" i="1"/>
  <c r="AA58" i="1"/>
  <c r="Z58" i="1"/>
  <c r="Y58" i="1"/>
  <c r="X58" i="1"/>
  <c r="AA57" i="1"/>
  <c r="Z57" i="1"/>
  <c r="Y57" i="1"/>
  <c r="X57" i="1"/>
  <c r="AA56" i="1"/>
  <c r="Z56" i="1"/>
  <c r="Y56" i="1"/>
  <c r="X56" i="1"/>
  <c r="AA54" i="1"/>
  <c r="Z54" i="1"/>
  <c r="Y54" i="1"/>
  <c r="X54" i="1"/>
  <c r="AA48" i="1"/>
  <c r="Z48" i="1"/>
  <c r="Y48" i="1"/>
  <c r="X48" i="1"/>
  <c r="AA47" i="1"/>
  <c r="Z47" i="1"/>
  <c r="Y47" i="1"/>
  <c r="X47" i="1"/>
  <c r="AA45" i="1"/>
  <c r="Z45" i="1"/>
  <c r="Y45" i="1"/>
  <c r="X45" i="1"/>
  <c r="AA44" i="1"/>
  <c r="Z44" i="1"/>
  <c r="Y44" i="1"/>
  <c r="X44" i="1"/>
  <c r="AA43" i="1"/>
  <c r="Z43" i="1"/>
  <c r="Y43" i="1"/>
  <c r="X43" i="1"/>
  <c r="AA42" i="1"/>
  <c r="Z42" i="1"/>
  <c r="Y42" i="1"/>
  <c r="X42" i="1"/>
  <c r="AA41" i="1"/>
  <c r="Z41" i="1"/>
  <c r="Y41" i="1"/>
  <c r="X41" i="1"/>
  <c r="AA40" i="1"/>
  <c r="Z40" i="1"/>
  <c r="Y40" i="1"/>
  <c r="X40" i="1"/>
  <c r="AA39" i="1"/>
  <c r="Z39" i="1"/>
  <c r="Y39" i="1"/>
  <c r="X39" i="1"/>
  <c r="AA37" i="1"/>
  <c r="Z37" i="1"/>
  <c r="Y37" i="1"/>
  <c r="X37" i="1"/>
  <c r="AA35" i="1"/>
  <c r="Z35" i="1"/>
  <c r="Y35" i="1"/>
  <c r="X35" i="1"/>
  <c r="AA34" i="1"/>
  <c r="Z34" i="1"/>
  <c r="Y34" i="1"/>
  <c r="X34" i="1"/>
  <c r="AA33" i="1"/>
  <c r="Z33" i="1"/>
  <c r="Y33" i="1"/>
  <c r="X33" i="1"/>
  <c r="AA32" i="1"/>
  <c r="Z32" i="1"/>
  <c r="Y32" i="1"/>
  <c r="X32" i="1"/>
  <c r="AA31" i="1"/>
  <c r="Z31" i="1"/>
  <c r="Y31" i="1"/>
  <c r="X31" i="1"/>
  <c r="AA30" i="1"/>
  <c r="Z30" i="1"/>
  <c r="Y30" i="1"/>
  <c r="X30" i="1"/>
  <c r="AA29" i="1"/>
  <c r="Z29" i="1"/>
  <c r="Y29" i="1"/>
  <c r="X29" i="1"/>
  <c r="AA28" i="1"/>
  <c r="Z28" i="1"/>
  <c r="Y28" i="1"/>
  <c r="X28" i="1"/>
  <c r="AA27" i="1"/>
  <c r="Z27" i="1"/>
  <c r="Y27" i="1"/>
  <c r="X27" i="1"/>
  <c r="AA26" i="1"/>
  <c r="Z26" i="1"/>
  <c r="Y26" i="1"/>
  <c r="X26" i="1"/>
  <c r="AA25" i="1"/>
  <c r="Z25" i="1"/>
  <c r="Y25" i="1"/>
  <c r="X25" i="1"/>
  <c r="AA24" i="1"/>
  <c r="Z24" i="1"/>
  <c r="Y24" i="1"/>
  <c r="X24" i="1"/>
  <c r="AA23" i="1"/>
  <c r="Z23" i="1"/>
  <c r="Y23" i="1"/>
  <c r="X23" i="1"/>
  <c r="AA22" i="1"/>
  <c r="Z22" i="1"/>
  <c r="Y22" i="1"/>
  <c r="X22" i="1"/>
  <c r="AA18" i="1"/>
  <c r="Z18" i="1"/>
  <c r="Y18" i="1"/>
  <c r="X18" i="1"/>
  <c r="AA17" i="1"/>
  <c r="Z17" i="1"/>
  <c r="Y17" i="1"/>
  <c r="X17" i="1"/>
  <c r="AA16" i="1"/>
  <c r="Z16" i="1"/>
  <c r="Y16" i="1"/>
  <c r="X16" i="1"/>
  <c r="AA14" i="1"/>
  <c r="Z14" i="1"/>
  <c r="Y14" i="1"/>
  <c r="X14" i="1"/>
  <c r="AA12" i="1"/>
  <c r="Z12" i="1"/>
  <c r="Y12" i="1"/>
  <c r="X12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AA5" i="1"/>
  <c r="Z5" i="1"/>
  <c r="Y5" i="1"/>
  <c r="X5" i="1"/>
  <c r="AA4" i="1"/>
  <c r="Z4" i="1"/>
  <c r="Y4" i="1"/>
  <c r="X4" i="1"/>
  <c r="Y3" i="1"/>
  <c r="Z3" i="1"/>
  <c r="AA3" i="1"/>
  <c r="X3" i="1"/>
  <c r="D128" i="2"/>
  <c r="D127" i="2"/>
  <c r="D126" i="2"/>
  <c r="AA175" i="2"/>
  <c r="Z175" i="2"/>
  <c r="Y175" i="2"/>
  <c r="X175" i="2"/>
  <c r="AA174" i="2"/>
  <c r="Z174" i="2"/>
  <c r="Y174" i="2"/>
  <c r="X174" i="2"/>
  <c r="AA173" i="2"/>
  <c r="Z173" i="2"/>
  <c r="Y173" i="2"/>
  <c r="X173" i="2"/>
  <c r="AA172" i="2"/>
  <c r="Z172" i="2"/>
  <c r="Y172" i="2"/>
  <c r="X172" i="2"/>
  <c r="AA171" i="2"/>
  <c r="Z171" i="2"/>
  <c r="Y171" i="2"/>
  <c r="X171" i="2"/>
  <c r="AA170" i="2"/>
  <c r="Z170" i="2"/>
  <c r="Y170" i="2"/>
  <c r="X170" i="2"/>
  <c r="AA169" i="2"/>
  <c r="Z169" i="2"/>
  <c r="Y169" i="2"/>
  <c r="X169" i="2"/>
  <c r="AA168" i="2"/>
  <c r="Z168" i="2"/>
  <c r="Y168" i="2"/>
  <c r="X168" i="2"/>
  <c r="AA167" i="2"/>
  <c r="Z167" i="2"/>
  <c r="Y167" i="2"/>
  <c r="X167" i="2"/>
  <c r="AA166" i="2"/>
  <c r="Z166" i="2"/>
  <c r="Y166" i="2"/>
  <c r="X166" i="2"/>
  <c r="AA162" i="2"/>
  <c r="Z162" i="2"/>
  <c r="Y162" i="2"/>
  <c r="X162" i="2"/>
  <c r="AA161" i="2"/>
  <c r="Z161" i="2"/>
  <c r="Y161" i="2"/>
  <c r="X161" i="2"/>
  <c r="AA160" i="2"/>
  <c r="Z160" i="2"/>
  <c r="Y160" i="2"/>
  <c r="X160" i="2"/>
  <c r="AA159" i="2"/>
  <c r="Z159" i="2"/>
  <c r="Y159" i="2"/>
  <c r="X159" i="2"/>
  <c r="AA158" i="2"/>
  <c r="Z158" i="2"/>
  <c r="Y158" i="2"/>
  <c r="X158" i="2"/>
  <c r="AA157" i="2"/>
  <c r="Z157" i="2"/>
  <c r="Y157" i="2"/>
  <c r="X157" i="2"/>
  <c r="AA156" i="2"/>
  <c r="Z156" i="2"/>
  <c r="Y156" i="2"/>
  <c r="X156" i="2"/>
  <c r="AA155" i="2"/>
  <c r="Z155" i="2"/>
  <c r="Y155" i="2"/>
  <c r="X155" i="2"/>
  <c r="AA154" i="2"/>
  <c r="Z154" i="2"/>
  <c r="Y154" i="2"/>
  <c r="X154" i="2"/>
  <c r="AA153" i="2"/>
  <c r="Z153" i="2"/>
  <c r="Y153" i="2"/>
  <c r="X153" i="2"/>
  <c r="AA151" i="2"/>
  <c r="Z151" i="2"/>
  <c r="Y151" i="2"/>
  <c r="X151" i="2"/>
  <c r="AA150" i="2"/>
  <c r="Z150" i="2"/>
  <c r="Y150" i="2"/>
  <c r="X150" i="2"/>
  <c r="AA149" i="2"/>
  <c r="Z149" i="2"/>
  <c r="Y149" i="2"/>
  <c r="X149" i="2"/>
  <c r="AA148" i="2"/>
  <c r="Z148" i="2"/>
  <c r="Y148" i="2"/>
  <c r="X148" i="2"/>
  <c r="AA147" i="2"/>
  <c r="Z147" i="2"/>
  <c r="Y147" i="2"/>
  <c r="X147" i="2"/>
  <c r="AA146" i="2"/>
  <c r="Z146" i="2"/>
  <c r="Y146" i="2"/>
  <c r="X146" i="2"/>
  <c r="AA145" i="2"/>
  <c r="Z145" i="2"/>
  <c r="Y145" i="2"/>
  <c r="X145" i="2"/>
  <c r="AA143" i="2"/>
  <c r="Z143" i="2"/>
  <c r="Y143" i="2"/>
  <c r="X143" i="2"/>
  <c r="AA142" i="2"/>
  <c r="Z142" i="2"/>
  <c r="Y142" i="2"/>
  <c r="X142" i="2"/>
  <c r="AA141" i="2"/>
  <c r="Z141" i="2"/>
  <c r="Y141" i="2"/>
  <c r="X141" i="2"/>
  <c r="AA140" i="2"/>
  <c r="Z140" i="2"/>
  <c r="Y140" i="2"/>
  <c r="X140" i="2"/>
  <c r="AA139" i="2"/>
  <c r="Z139" i="2"/>
  <c r="Y139" i="2"/>
  <c r="X139" i="2"/>
  <c r="AA138" i="2"/>
  <c r="Z138" i="2"/>
  <c r="Y138" i="2"/>
  <c r="X138" i="2"/>
  <c r="AA137" i="2"/>
  <c r="Z137" i="2"/>
  <c r="Y137" i="2"/>
  <c r="X137" i="2"/>
  <c r="AA136" i="2"/>
  <c r="Z136" i="2"/>
  <c r="Y136" i="2"/>
  <c r="X136" i="2"/>
  <c r="AA135" i="2"/>
  <c r="Z135" i="2"/>
  <c r="Y135" i="2"/>
  <c r="X135" i="2"/>
  <c r="AA134" i="2"/>
  <c r="Z134" i="2"/>
  <c r="Y134" i="2"/>
  <c r="X134" i="2"/>
  <c r="AA133" i="2"/>
  <c r="Z133" i="2"/>
  <c r="Y133" i="2"/>
  <c r="X133" i="2"/>
  <c r="AA132" i="2"/>
  <c r="Z132" i="2"/>
  <c r="Y132" i="2"/>
  <c r="X132" i="2"/>
  <c r="AA131" i="2"/>
  <c r="Z131" i="2"/>
  <c r="Y131" i="2"/>
  <c r="X131" i="2"/>
  <c r="AA130" i="2"/>
  <c r="Z130" i="2"/>
  <c r="Y130" i="2"/>
  <c r="X130" i="2"/>
  <c r="AA129" i="2"/>
  <c r="Z129" i="2"/>
  <c r="Y129" i="2"/>
  <c r="X129" i="2"/>
  <c r="AA128" i="2"/>
  <c r="Z128" i="2"/>
  <c r="Y128" i="2"/>
  <c r="X128" i="2"/>
  <c r="AA127" i="2"/>
  <c r="Z127" i="2"/>
  <c r="Y127" i="2"/>
  <c r="X127" i="2"/>
  <c r="AA126" i="2"/>
  <c r="Z126" i="2"/>
  <c r="Y126" i="2"/>
  <c r="X126" i="2"/>
  <c r="AA124" i="2"/>
  <c r="Z124" i="2"/>
  <c r="Y124" i="2"/>
  <c r="X124" i="2"/>
  <c r="AA123" i="2"/>
  <c r="Z123" i="2"/>
  <c r="Y123" i="2"/>
  <c r="X123" i="2"/>
  <c r="AA122" i="2"/>
  <c r="Z122" i="2"/>
  <c r="Y122" i="2"/>
  <c r="X122" i="2"/>
  <c r="AA121" i="2"/>
  <c r="Z121" i="2"/>
  <c r="Y121" i="2"/>
  <c r="X121" i="2"/>
  <c r="AA120" i="2"/>
  <c r="Z120" i="2"/>
  <c r="Y120" i="2"/>
  <c r="X120" i="2"/>
  <c r="AA118" i="2"/>
  <c r="Z118" i="2"/>
  <c r="Y118" i="2"/>
  <c r="X118" i="2"/>
  <c r="AA117" i="2"/>
  <c r="Z117" i="2"/>
  <c r="Y117" i="2"/>
  <c r="X117" i="2"/>
  <c r="AA116" i="2"/>
  <c r="Z116" i="2"/>
  <c r="Y116" i="2"/>
  <c r="X116" i="2"/>
  <c r="AA115" i="2"/>
  <c r="Z115" i="2"/>
  <c r="Y115" i="2"/>
  <c r="X115" i="2"/>
  <c r="AA113" i="2"/>
  <c r="Z113" i="2"/>
  <c r="Y113" i="2"/>
  <c r="X113" i="2"/>
  <c r="AA112" i="2"/>
  <c r="Z112" i="2"/>
  <c r="Y112" i="2"/>
  <c r="X112" i="2"/>
  <c r="AA111" i="2"/>
  <c r="Z111" i="2"/>
  <c r="Y111" i="2"/>
  <c r="X111" i="2"/>
  <c r="AA110" i="2"/>
  <c r="Z110" i="2"/>
  <c r="Y110" i="2"/>
  <c r="X110" i="2"/>
  <c r="AA109" i="2"/>
  <c r="Z109" i="2"/>
  <c r="Y109" i="2"/>
  <c r="X109" i="2"/>
  <c r="AA108" i="2"/>
  <c r="Z108" i="2"/>
  <c r="Y108" i="2"/>
  <c r="X108" i="2"/>
  <c r="AA107" i="2"/>
  <c r="Z107" i="2"/>
  <c r="Y107" i="2"/>
  <c r="X107" i="2"/>
  <c r="AA106" i="2"/>
  <c r="Z106" i="2"/>
  <c r="Y106" i="2"/>
  <c r="X106" i="2"/>
  <c r="AA105" i="2"/>
  <c r="Z105" i="2"/>
  <c r="Y105" i="2"/>
  <c r="X105" i="2"/>
  <c r="AA104" i="2"/>
  <c r="Z104" i="2"/>
  <c r="Y104" i="2"/>
  <c r="X104" i="2"/>
  <c r="AA103" i="2"/>
  <c r="Z103" i="2"/>
  <c r="Y103" i="2"/>
  <c r="X103" i="2"/>
  <c r="AA102" i="2"/>
  <c r="Z102" i="2"/>
  <c r="Y102" i="2"/>
  <c r="X102" i="2"/>
  <c r="AA101" i="2"/>
  <c r="Z101" i="2"/>
  <c r="Y101" i="2"/>
  <c r="X101" i="2"/>
  <c r="AA100" i="2"/>
  <c r="Z100" i="2"/>
  <c r="Y100" i="2"/>
  <c r="X100" i="2"/>
  <c r="AA99" i="2"/>
  <c r="Z99" i="2"/>
  <c r="Y99" i="2"/>
  <c r="X99" i="2"/>
  <c r="AA98" i="2"/>
  <c r="Z98" i="2"/>
  <c r="Y98" i="2"/>
  <c r="X98" i="2"/>
  <c r="AA97" i="2"/>
  <c r="Z97" i="2"/>
  <c r="Y97" i="2"/>
  <c r="X97" i="2"/>
  <c r="AA96" i="2"/>
  <c r="Z96" i="2"/>
  <c r="Y96" i="2"/>
  <c r="X96" i="2"/>
  <c r="AA95" i="2"/>
  <c r="Z95" i="2"/>
  <c r="Y95" i="2"/>
  <c r="X95" i="2"/>
  <c r="AA94" i="2"/>
  <c r="Z94" i="2"/>
  <c r="Y94" i="2"/>
  <c r="X94" i="2"/>
  <c r="AA93" i="2"/>
  <c r="Z93" i="2"/>
  <c r="Y93" i="2"/>
  <c r="X93" i="2"/>
  <c r="AA92" i="2"/>
  <c r="Z92" i="2"/>
  <c r="Y92" i="2"/>
  <c r="X92" i="2"/>
  <c r="AA91" i="2"/>
  <c r="Z91" i="2"/>
  <c r="Y91" i="2"/>
  <c r="X91" i="2"/>
  <c r="AA90" i="2"/>
  <c r="Z90" i="2"/>
  <c r="Y90" i="2"/>
  <c r="X90" i="2"/>
  <c r="AA89" i="2"/>
  <c r="Z89" i="2"/>
  <c r="Y89" i="2"/>
  <c r="X89" i="2"/>
  <c r="AA87" i="2"/>
  <c r="Z87" i="2"/>
  <c r="Y87" i="2"/>
  <c r="X87" i="2"/>
  <c r="AA85" i="2"/>
  <c r="Z85" i="2"/>
  <c r="Y85" i="2"/>
  <c r="X85" i="2"/>
  <c r="AA81" i="2"/>
  <c r="Z81" i="2"/>
  <c r="Y81" i="2"/>
  <c r="X81" i="2"/>
  <c r="AA80" i="2"/>
  <c r="Z80" i="2"/>
  <c r="Y80" i="2"/>
  <c r="X80" i="2"/>
  <c r="AA79" i="2"/>
  <c r="Z79" i="2"/>
  <c r="Y79" i="2"/>
  <c r="X79" i="2"/>
  <c r="AA76" i="2"/>
  <c r="Z76" i="2"/>
  <c r="Y76" i="2"/>
  <c r="X76" i="2"/>
  <c r="AA73" i="2"/>
  <c r="Z73" i="2"/>
  <c r="Y73" i="2"/>
  <c r="X73" i="2"/>
  <c r="AA69" i="2"/>
  <c r="Z69" i="2"/>
  <c r="Y69" i="2"/>
  <c r="X69" i="2"/>
  <c r="AA68" i="2"/>
  <c r="Z68" i="2"/>
  <c r="Y68" i="2"/>
  <c r="X68" i="2"/>
  <c r="AA66" i="2"/>
  <c r="Z66" i="2"/>
  <c r="Y66" i="2"/>
  <c r="X66" i="2"/>
  <c r="AA61" i="2"/>
  <c r="Z61" i="2"/>
  <c r="Y61" i="2"/>
  <c r="X61" i="2"/>
  <c r="AA60" i="2"/>
  <c r="Z60" i="2"/>
  <c r="Y60" i="2"/>
  <c r="X60" i="2"/>
  <c r="AA58" i="2"/>
  <c r="Z58" i="2"/>
  <c r="Y58" i="2"/>
  <c r="X58" i="2"/>
  <c r="AA57" i="2"/>
  <c r="Z57" i="2"/>
  <c r="Y57" i="2"/>
  <c r="X57" i="2"/>
  <c r="AA56" i="2"/>
  <c r="Z56" i="2"/>
  <c r="Y56" i="2"/>
  <c r="X56" i="2"/>
  <c r="AA54" i="2"/>
  <c r="Z54" i="2"/>
  <c r="Y54" i="2"/>
  <c r="X54" i="2"/>
  <c r="AA48" i="2"/>
  <c r="Z48" i="2"/>
  <c r="Y48" i="2"/>
  <c r="X48" i="2"/>
  <c r="AA47" i="2"/>
  <c r="Z47" i="2"/>
  <c r="Y47" i="2"/>
  <c r="X47" i="2"/>
  <c r="AA45" i="2"/>
  <c r="Z45" i="2"/>
  <c r="Y45" i="2"/>
  <c r="X45" i="2"/>
  <c r="AA44" i="2"/>
  <c r="Z44" i="2"/>
  <c r="Y44" i="2"/>
  <c r="X44" i="2"/>
  <c r="AA43" i="2"/>
  <c r="Z43" i="2"/>
  <c r="Y43" i="2"/>
  <c r="X43" i="2"/>
  <c r="AA42" i="2"/>
  <c r="Z42" i="2"/>
  <c r="Y42" i="2"/>
  <c r="X42" i="2"/>
  <c r="AA41" i="2"/>
  <c r="Z41" i="2"/>
  <c r="Y41" i="2"/>
  <c r="X41" i="2"/>
  <c r="AA40" i="2"/>
  <c r="Z40" i="2"/>
  <c r="Y40" i="2"/>
  <c r="X40" i="2"/>
  <c r="AA39" i="2"/>
  <c r="Z39" i="2"/>
  <c r="Y39" i="2"/>
  <c r="X39" i="2"/>
  <c r="AA37" i="2"/>
  <c r="Z37" i="2"/>
  <c r="Y37" i="2"/>
  <c r="X37" i="2"/>
  <c r="AA35" i="2"/>
  <c r="Z35" i="2"/>
  <c r="Y35" i="2"/>
  <c r="X35" i="2"/>
  <c r="AA34" i="2"/>
  <c r="Z34" i="2"/>
  <c r="Y34" i="2"/>
  <c r="X34" i="2"/>
  <c r="AA33" i="2"/>
  <c r="Z33" i="2"/>
  <c r="Y33" i="2"/>
  <c r="X33" i="2"/>
  <c r="AA32" i="2"/>
  <c r="Z32" i="2"/>
  <c r="Y32" i="2"/>
  <c r="X32" i="2"/>
  <c r="AA31" i="2"/>
  <c r="Z31" i="2"/>
  <c r="Y31" i="2"/>
  <c r="X31" i="2"/>
  <c r="AA30" i="2"/>
  <c r="Z30" i="2"/>
  <c r="Y30" i="2"/>
  <c r="X30" i="2"/>
  <c r="AA29" i="2"/>
  <c r="Z29" i="2"/>
  <c r="Y29" i="2"/>
  <c r="X29" i="2"/>
  <c r="AA28" i="2"/>
  <c r="Z28" i="2"/>
  <c r="Y28" i="2"/>
  <c r="X28" i="2"/>
  <c r="AA27" i="2"/>
  <c r="Z27" i="2"/>
  <c r="Y27" i="2"/>
  <c r="X27" i="2"/>
  <c r="AA26" i="2"/>
  <c r="Z26" i="2"/>
  <c r="Y26" i="2"/>
  <c r="X26" i="2"/>
  <c r="AA25" i="2"/>
  <c r="Z25" i="2"/>
  <c r="Y25" i="2"/>
  <c r="X25" i="2"/>
  <c r="AA24" i="2"/>
  <c r="Z24" i="2"/>
  <c r="Y24" i="2"/>
  <c r="X24" i="2"/>
  <c r="AA23" i="2"/>
  <c r="Z23" i="2"/>
  <c r="Y23" i="2"/>
  <c r="X23" i="2"/>
  <c r="AA22" i="2"/>
  <c r="Z22" i="2"/>
  <c r="Y22" i="2"/>
  <c r="X22" i="2"/>
  <c r="AA18" i="2"/>
  <c r="Z18" i="2"/>
  <c r="Y18" i="2"/>
  <c r="X18" i="2"/>
  <c r="AA17" i="2"/>
  <c r="Z17" i="2"/>
  <c r="Y17" i="2"/>
  <c r="X17" i="2"/>
  <c r="AA16" i="2"/>
  <c r="Z16" i="2"/>
  <c r="Y16" i="2"/>
  <c r="X16" i="2"/>
  <c r="AA14" i="2"/>
  <c r="Z14" i="2"/>
  <c r="Y14" i="2"/>
  <c r="X14" i="2"/>
  <c r="AA12" i="2"/>
  <c r="Z12" i="2"/>
  <c r="Y12" i="2"/>
  <c r="X12" i="2"/>
  <c r="AA10" i="2"/>
  <c r="Z10" i="2"/>
  <c r="Y10" i="2"/>
  <c r="X10" i="2"/>
  <c r="AA9" i="2"/>
  <c r="Z9" i="2"/>
  <c r="Y9" i="2"/>
  <c r="X9" i="2"/>
  <c r="AA8" i="2"/>
  <c r="Z8" i="2"/>
  <c r="Y8" i="2"/>
  <c r="X8" i="2"/>
  <c r="AA7" i="2"/>
  <c r="Z7" i="2"/>
  <c r="Y7" i="2"/>
  <c r="X7" i="2"/>
  <c r="AA6" i="2"/>
  <c r="Z6" i="2"/>
  <c r="Y6" i="2"/>
  <c r="X6" i="2"/>
  <c r="AA5" i="2"/>
  <c r="Z5" i="2"/>
  <c r="Y5" i="2"/>
  <c r="X5" i="2"/>
  <c r="AA4" i="2"/>
  <c r="Z4" i="2"/>
  <c r="Y4" i="2"/>
  <c r="X4" i="2"/>
  <c r="AA3" i="2"/>
  <c r="Z3" i="2"/>
  <c r="Y3" i="2"/>
  <c r="X3" i="2"/>
  <c r="S8" i="3"/>
  <c r="R8" i="3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C9" i="3" s="1"/>
  <c r="S7" i="3"/>
  <c r="R7" i="3"/>
  <c r="Q7" i="3"/>
  <c r="P7" i="3"/>
  <c r="O7" i="3"/>
  <c r="N7" i="3"/>
  <c r="M7" i="3"/>
  <c r="L7" i="3"/>
  <c r="L14" i="3" s="1"/>
  <c r="K7" i="3"/>
  <c r="J7" i="3"/>
  <c r="I7" i="3"/>
  <c r="G7" i="3"/>
  <c r="F7" i="3"/>
  <c r="E7" i="3"/>
  <c r="D7" i="3"/>
  <c r="C7" i="3"/>
  <c r="I14" i="3" l="1"/>
  <c r="N14" i="3"/>
  <c r="I13" i="3"/>
  <c r="O14" i="3"/>
  <c r="J13" i="3"/>
  <c r="P14" i="3"/>
  <c r="K13" i="3"/>
  <c r="M13" i="3"/>
  <c r="Q14" i="3"/>
  <c r="L13" i="3"/>
  <c r="H14" i="3"/>
  <c r="R14" i="3"/>
  <c r="S14" i="3"/>
  <c r="J14" i="3"/>
  <c r="K14" i="3"/>
  <c r="M14" i="3"/>
  <c r="H13" i="3"/>
  <c r="S12" i="3"/>
  <c r="R12" i="3"/>
  <c r="Q13" i="3"/>
  <c r="R13" i="3"/>
  <c r="N9" i="3"/>
  <c r="G10" i="3"/>
  <c r="H10" i="3"/>
  <c r="F12" i="3"/>
  <c r="M9" i="3"/>
  <c r="O9" i="3"/>
  <c r="S10" i="3"/>
  <c r="L9" i="3"/>
  <c r="O13" i="3"/>
  <c r="Q10" i="3"/>
  <c r="I10" i="3"/>
  <c r="J10" i="3"/>
  <c r="H12" i="3"/>
  <c r="I12" i="3"/>
  <c r="S13" i="3"/>
  <c r="H9" i="3"/>
  <c r="I9" i="3"/>
  <c r="J9" i="3"/>
  <c r="K9" i="3"/>
  <c r="M12" i="3"/>
  <c r="G14" i="3"/>
  <c r="O10" i="3"/>
  <c r="P13" i="3"/>
  <c r="D9" i="3"/>
  <c r="D11" i="3" s="1"/>
  <c r="P9" i="3"/>
  <c r="K10" i="3"/>
  <c r="N12" i="3"/>
  <c r="D10" i="3"/>
  <c r="G12" i="3"/>
  <c r="C13" i="3"/>
  <c r="E9" i="3"/>
  <c r="Q9" i="3"/>
  <c r="L10" i="3"/>
  <c r="C12" i="3"/>
  <c r="O12" i="3"/>
  <c r="P10" i="3"/>
  <c r="N13" i="3"/>
  <c r="E10" i="3"/>
  <c r="R10" i="3"/>
  <c r="F9" i="3"/>
  <c r="R9" i="3"/>
  <c r="M10" i="3"/>
  <c r="D12" i="3"/>
  <c r="P12" i="3"/>
  <c r="D13" i="3"/>
  <c r="G9" i="3"/>
  <c r="S9" i="3"/>
  <c r="N10" i="3"/>
  <c r="E12" i="3"/>
  <c r="Q12" i="3"/>
  <c r="C10" i="3"/>
  <c r="J12" i="3"/>
  <c r="E13" i="3"/>
  <c r="F10" i="3"/>
  <c r="K12" i="3"/>
  <c r="F13" i="3"/>
  <c r="L12" i="3"/>
  <c r="G13" i="3"/>
  <c r="J11" i="3" l="1"/>
  <c r="I11" i="3"/>
  <c r="H11" i="3"/>
  <c r="M11" i="3"/>
  <c r="O11" i="3"/>
  <c r="N11" i="3"/>
  <c r="K11" i="3"/>
  <c r="L11" i="3"/>
  <c r="E11" i="3"/>
  <c r="F11" i="3"/>
  <c r="R11" i="3"/>
  <c r="Q11" i="3"/>
  <c r="G11" i="3"/>
  <c r="S11" i="3"/>
  <c r="P11" i="3"/>
</calcChain>
</file>

<file path=xl/sharedStrings.xml><?xml version="1.0" encoding="utf-8"?>
<sst xmlns="http://schemas.openxmlformats.org/spreadsheetml/2006/main" count="1821" uniqueCount="548">
  <si>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</si>
  <si>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</si>
  <si>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</si>
  <si>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</si>
  <si>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</si>
  <si>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</si>
  <si>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</si>
  <si>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</si>
  <si>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</si>
  <si>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</si>
  <si>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</si>
  <si>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</si>
  <si>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</si>
  <si>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</si>
  <si>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</si>
  <si>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</si>
  <si>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</si>
  <si>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</si>
  <si>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</si>
  <si>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</si>
  <si>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</si>
  <si>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</si>
  <si>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AAPL</t>
  </si>
  <si>
    <t>United States</t>
  </si>
  <si>
    <t>Consumer Electronics</t>
  </si>
  <si>
    <t>Dec '25 Dec 27, 2025</t>
  </si>
  <si>
    <t>Japan</t>
  </si>
  <si>
    <t>N/A</t>
  </si>
  <si>
    <t>Dec '25 Dec 31, 2025</t>
  </si>
  <si>
    <t>CARBORUNIV</t>
  </si>
  <si>
    <t>India</t>
  </si>
  <si>
    <t>MAN</t>
  </si>
  <si>
    <t>Staffing &amp; Employment Services</t>
  </si>
  <si>
    <t>6135</t>
  </si>
  <si>
    <t>Sep '25 Sep 30, 2025</t>
  </si>
  <si>
    <t>6995</t>
  </si>
  <si>
    <t>GRNG</t>
  </si>
  <si>
    <t>Sweden</t>
  </si>
  <si>
    <t>2782</t>
  </si>
  <si>
    <t>MTX</t>
  </si>
  <si>
    <t>Specialty Chemicals</t>
  </si>
  <si>
    <t>MXL</t>
  </si>
  <si>
    <t>Semiconductors</t>
  </si>
  <si>
    <t>SRCE</t>
  </si>
  <si>
    <t>Banks - Regional</t>
  </si>
  <si>
    <t>APTUS</t>
  </si>
  <si>
    <t>EPR</t>
  </si>
  <si>
    <t>REIT - Specialty</t>
  </si>
  <si>
    <t>GMDCLTD</t>
  </si>
  <si>
    <t>JSWHL</t>
  </si>
  <si>
    <t>HTH</t>
  </si>
  <si>
    <t>Financial Conglomerates</t>
  </si>
  <si>
    <t>OLN</t>
  </si>
  <si>
    <t>Chemicals</t>
  </si>
  <si>
    <t>KEX</t>
  </si>
  <si>
    <t>Marine Shipping</t>
  </si>
  <si>
    <t>CONCOR</t>
  </si>
  <si>
    <t>CVCO</t>
  </si>
  <si>
    <t>Residential Construction</t>
  </si>
  <si>
    <t>OSIS</t>
  </si>
  <si>
    <t>Electronic Components</t>
  </si>
  <si>
    <t>BC</t>
  </si>
  <si>
    <t>Recreational Vehicles</t>
  </si>
  <si>
    <t>SKYW</t>
  </si>
  <si>
    <t>Airlines</t>
  </si>
  <si>
    <t>TFSL</t>
  </si>
  <si>
    <t>FHI</t>
  </si>
  <si>
    <t>Asset Management</t>
  </si>
  <si>
    <t>SBCF</t>
  </si>
  <si>
    <t>TBBK</t>
  </si>
  <si>
    <t>INOXWIND</t>
  </si>
  <si>
    <t>BFH</t>
  </si>
  <si>
    <t>Credit Services</t>
  </si>
  <si>
    <t>HMN</t>
  </si>
  <si>
    <t>Insurance - Property &amp; Casualty</t>
  </si>
  <si>
    <t>SXI</t>
  </si>
  <si>
    <t>Specialty Industrial Machinery</t>
  </si>
  <si>
    <t>DXC</t>
  </si>
  <si>
    <t>Information Technology Services</t>
  </si>
  <si>
    <t>RHI</t>
  </si>
  <si>
    <t>VIRT</t>
  </si>
  <si>
    <t>Capital Markets</t>
  </si>
  <si>
    <t>IEX</t>
  </si>
  <si>
    <t>FISI</t>
  </si>
  <si>
    <t>IVR</t>
  </si>
  <si>
    <t>REIT - Mortgage</t>
  </si>
  <si>
    <t>LGBBROSLTD</t>
  </si>
  <si>
    <t>8014</t>
  </si>
  <si>
    <t>TEXRAIL</t>
  </si>
  <si>
    <t>SXC</t>
  </si>
  <si>
    <t>Coking Coal</t>
  </si>
  <si>
    <t>SFL</t>
  </si>
  <si>
    <t>MHRIL</t>
  </si>
  <si>
    <t>BZH</t>
  </si>
  <si>
    <t>CVLG</t>
  </si>
  <si>
    <t>Trucking</t>
  </si>
  <si>
    <t>PRAJIND</t>
  </si>
  <si>
    <t>HZO</t>
  </si>
  <si>
    <t>Specialty Retail</t>
  </si>
  <si>
    <t>4549</t>
  </si>
  <si>
    <t>AROW</t>
  </si>
  <si>
    <t>RRBI</t>
  </si>
  <si>
    <t>9997</t>
  </si>
  <si>
    <t>CNX</t>
  </si>
  <si>
    <t>Oil &amp; Gas E&amp;P</t>
  </si>
  <si>
    <t>8871</t>
  </si>
  <si>
    <t>EQUITASBNK</t>
  </si>
  <si>
    <t>GODREJAGRO</t>
  </si>
  <si>
    <t>ORC</t>
  </si>
  <si>
    <t>1950</t>
  </si>
  <si>
    <t>5482</t>
  </si>
  <si>
    <t>MEDPLUS</t>
  </si>
  <si>
    <t>PMT</t>
  </si>
  <si>
    <t>KTKBANK</t>
  </si>
  <si>
    <t>8388</t>
  </si>
  <si>
    <t>SBSI</t>
  </si>
  <si>
    <t>AOS</t>
  </si>
  <si>
    <t>JBSS</t>
  </si>
  <si>
    <t>Packaged Foods</t>
  </si>
  <si>
    <t>Dec '25 Dec 25, 2025</t>
  </si>
  <si>
    <t>MOFG</t>
  </si>
  <si>
    <t>3191</t>
  </si>
  <si>
    <t>Sep '25 Sep 20, 2025</t>
  </si>
  <si>
    <t>GMRP&amp;UI</t>
  </si>
  <si>
    <t>CRTO</t>
  </si>
  <si>
    <t>Advertising Agencies</t>
  </si>
  <si>
    <t>FMBH</t>
  </si>
  <si>
    <t>6946</t>
  </si>
  <si>
    <t>SNDR</t>
  </si>
  <si>
    <t>LAZ</t>
  </si>
  <si>
    <t>RCL</t>
  </si>
  <si>
    <t>Travel Services</t>
  </si>
  <si>
    <t>LHX</t>
  </si>
  <si>
    <t>Aerospace &amp; Defense</t>
  </si>
  <si>
    <t>Jan '26 Jan 2, 2026</t>
  </si>
  <si>
    <t>AJG</t>
  </si>
  <si>
    <t>Insurance Brokers</t>
  </si>
  <si>
    <t>NSC</t>
  </si>
  <si>
    <t>Railroads</t>
  </si>
  <si>
    <t>VLO</t>
  </si>
  <si>
    <t>Oil &amp; Gas Refining &amp; Marketing</t>
  </si>
  <si>
    <t>NDAQ</t>
  </si>
  <si>
    <t>Financial Data &amp; Stock Exchanges</t>
  </si>
  <si>
    <t>AMP</t>
  </si>
  <si>
    <t>RMD</t>
  </si>
  <si>
    <t>Medical Instruments &amp; Supplies</t>
  </si>
  <si>
    <t>HIG</t>
  </si>
  <si>
    <t>Insurance - Diversified</t>
  </si>
  <si>
    <t>ADANIPOWER</t>
  </si>
  <si>
    <t>LPLA</t>
  </si>
  <si>
    <t>DOV</t>
  </si>
  <si>
    <t>TSCO</t>
  </si>
  <si>
    <t>WDC</t>
  </si>
  <si>
    <t>Computer Hardware</t>
  </si>
  <si>
    <t>TT</t>
  </si>
  <si>
    <t>Building Products &amp; Equipment</t>
  </si>
  <si>
    <t>SHW</t>
  </si>
  <si>
    <t>MRSH</t>
  </si>
  <si>
    <t>V</t>
  </si>
  <si>
    <t>MA</t>
  </si>
  <si>
    <t>ROG</t>
  </si>
  <si>
    <t>CAT</t>
  </si>
  <si>
    <t>Farm &amp; Heavy Construction Machinery</t>
  </si>
  <si>
    <t>SAP</t>
  </si>
  <si>
    <t>Software - Application</t>
  </si>
  <si>
    <t>TMO</t>
  </si>
  <si>
    <t>Diagnostics &amp; Research</t>
  </si>
  <si>
    <t>KLAC</t>
  </si>
  <si>
    <t>Semiconductor Equipment &amp; Materials</t>
  </si>
  <si>
    <t>6501</t>
  </si>
  <si>
    <t>HON</t>
  </si>
  <si>
    <t>Conglomerates</t>
  </si>
  <si>
    <t>SYK</t>
  </si>
  <si>
    <t>Medical Devices</t>
  </si>
  <si>
    <t>BX</t>
  </si>
  <si>
    <t>PH</t>
  </si>
  <si>
    <t>SAN</t>
  </si>
  <si>
    <t>Banks - Diversified</t>
  </si>
  <si>
    <t>CMCSA</t>
  </si>
  <si>
    <t>Telecom Services</t>
  </si>
  <si>
    <t>MO</t>
  </si>
  <si>
    <t>Tobacco</t>
  </si>
  <si>
    <t>Dec '25 Dec 20, 2025</t>
  </si>
  <si>
    <t>LMT</t>
  </si>
  <si>
    <t>PHM</t>
  </si>
  <si>
    <t>IP</t>
  </si>
  <si>
    <t>Packaging &amp; Containers</t>
  </si>
  <si>
    <t>PFSI</t>
  </si>
  <si>
    <t>Mortgage Finance</t>
  </si>
  <si>
    <t>EMN</t>
  </si>
  <si>
    <t>EXP</t>
  </si>
  <si>
    <t>Building Materials</t>
  </si>
  <si>
    <t>AXFO</t>
  </si>
  <si>
    <t>VLY</t>
  </si>
  <si>
    <t>TAL</t>
  </si>
  <si>
    <t>Education &amp; Training Services</t>
  </si>
  <si>
    <t>Nov '25 Nov 30, 2025</t>
  </si>
  <si>
    <t>DLB</t>
  </si>
  <si>
    <t>Specialty Business Services</t>
  </si>
  <si>
    <t>Dec '25 Dec 26, 2025</t>
  </si>
  <si>
    <t>BIPC</t>
  </si>
  <si>
    <t>Utilities - Regulated Gas</t>
  </si>
  <si>
    <t>ALGM</t>
  </si>
  <si>
    <t>CACC</t>
  </si>
  <si>
    <t>CSW</t>
  </si>
  <si>
    <t>ABCB</t>
  </si>
  <si>
    <t>VOLTAS</t>
  </si>
  <si>
    <t>GPI</t>
  </si>
  <si>
    <t>Auto &amp; Truck Dealerships</t>
  </si>
  <si>
    <t>AX</t>
  </si>
  <si>
    <t>5929</t>
  </si>
  <si>
    <t>SIGI</t>
  </si>
  <si>
    <t>COROMANDEL</t>
  </si>
  <si>
    <t>CFR</t>
  </si>
  <si>
    <t>SNDK</t>
  </si>
  <si>
    <t>WY</t>
  </si>
  <si>
    <t>DOW</t>
  </si>
  <si>
    <t>DECK</t>
  </si>
  <si>
    <t>Footwear &amp; Accessories</t>
  </si>
  <si>
    <t>HOLX</t>
  </si>
  <si>
    <t>CANBK</t>
  </si>
  <si>
    <t>DIXON</t>
  </si>
  <si>
    <t>3443</t>
  </si>
  <si>
    <t>RECLTD</t>
  </si>
  <si>
    <t>INDT</t>
  </si>
  <si>
    <t>APPF</t>
  </si>
  <si>
    <t>OSK</t>
  </si>
  <si>
    <t>PAYTM</t>
  </si>
  <si>
    <t>PRESTIGE</t>
  </si>
  <si>
    <t>FFWM</t>
  </si>
  <si>
    <t>(단위: mil $)</t>
    <phoneticPr fontId="3" type="noConversion"/>
  </si>
  <si>
    <t>4Q21</t>
    <phoneticPr fontId="8" type="noConversion"/>
  </si>
  <si>
    <t>1Q22</t>
    <phoneticPr fontId="8" type="noConversion"/>
  </si>
  <si>
    <t>2Q22</t>
    <phoneticPr fontId="8" type="noConversion"/>
  </si>
  <si>
    <t>3Q22</t>
    <phoneticPr fontId="8" type="noConversion"/>
  </si>
  <si>
    <t>4Q22</t>
    <phoneticPr fontId="8" type="noConversion"/>
  </si>
  <si>
    <t>2Q23</t>
    <phoneticPr fontId="8" type="noConversion"/>
  </si>
  <si>
    <t>3Q23</t>
    <phoneticPr fontId="8" type="noConversion"/>
  </si>
  <si>
    <t>4Q23</t>
    <phoneticPr fontId="8" type="noConversion"/>
  </si>
  <si>
    <t>1Q26</t>
    <phoneticPr fontId="8" type="noConversion"/>
  </si>
  <si>
    <t>2Q26</t>
    <phoneticPr fontId="8" type="noConversion"/>
  </si>
  <si>
    <t>3Q26</t>
    <phoneticPr fontId="8" type="noConversion"/>
  </si>
  <si>
    <t>4Q26</t>
    <phoneticPr fontId="8" type="noConversion"/>
  </si>
  <si>
    <t>Revenue</t>
    <phoneticPr fontId="8" type="noConversion"/>
  </si>
  <si>
    <t>OP</t>
    <phoneticPr fontId="8" type="noConversion"/>
  </si>
  <si>
    <t>Trailing 4Q OP avg.</t>
    <phoneticPr fontId="8" type="noConversion"/>
  </si>
  <si>
    <t>Trailing 4Q OP sum.</t>
    <phoneticPr fontId="8" type="noConversion"/>
  </si>
  <si>
    <t>Trailing OP Delta</t>
    <phoneticPr fontId="8" type="noConversion"/>
  </si>
  <si>
    <t>opm</t>
  </si>
  <si>
    <t>op yoy</t>
    <phoneticPr fontId="8" type="noConversion"/>
  </si>
  <si>
    <t>rv yoy</t>
    <phoneticPr fontId="3" type="noConversion"/>
  </si>
  <si>
    <t>PRESTIGE</t>
    <phoneticPr fontId="3" type="noConversion"/>
  </si>
  <si>
    <t>CANBK</t>
    <phoneticPr fontId="3" type="noConversion"/>
  </si>
  <si>
    <t>Company</t>
  </si>
  <si>
    <t>Date</t>
  </si>
  <si>
    <t>Time</t>
  </si>
  <si>
    <t>Quarter Ending</t>
  </si>
  <si>
    <t xml:space="preserve">  Market Cap (bil$) </t>
  </si>
  <si>
    <t>Apple Inc.</t>
  </si>
  <si>
    <t>After Hours</t>
  </si>
  <si>
    <t>Visa Inc.</t>
  </si>
  <si>
    <t>Mastercard Incorporated</t>
  </si>
  <si>
    <t>Pre Market</t>
  </si>
  <si>
    <t>Roche Holding AG</t>
  </si>
  <si>
    <t>Caterpillar Inc.</t>
  </si>
  <si>
    <t>SAP SE</t>
  </si>
  <si>
    <t>Thermo Fisher Scientific Inc.</t>
  </si>
  <si>
    <t>KLA Corporation</t>
  </si>
  <si>
    <t>Hitachi, Ltd.</t>
  </si>
  <si>
    <t>Honeywell International Inc.</t>
  </si>
  <si>
    <t>ABBN</t>
  </si>
  <si>
    <t>ABB Ltd</t>
  </si>
  <si>
    <t>Lockheed Martin Corporation</t>
  </si>
  <si>
    <t>Stryker Corporation</t>
  </si>
  <si>
    <t>Blackstone Inc.</t>
  </si>
  <si>
    <t>Parker-Hannifin Corporation</t>
  </si>
  <si>
    <t>Sanofi</t>
  </si>
  <si>
    <t>Comcast Corporation</t>
  </si>
  <si>
    <t>Altria Group, Inc.</t>
  </si>
  <si>
    <t>Keyence Corporation</t>
  </si>
  <si>
    <t>Chugai Pharmaceutical Co., Ltd.</t>
  </si>
  <si>
    <t>Marsh &amp; McLennan Companies, Inc.</t>
  </si>
  <si>
    <t>The Sherwin-Williams Company</t>
  </si>
  <si>
    <t>Trane Technologies plc</t>
  </si>
  <si>
    <t>INGA</t>
  </si>
  <si>
    <t>ING Groep N.V.</t>
  </si>
  <si>
    <t>A005380</t>
  </si>
  <si>
    <t>Hyundai Motor Company</t>
  </si>
  <si>
    <t>Western Digital Corporation</t>
  </si>
  <si>
    <t>Royal Caribbean Cruises Ltd.</t>
  </si>
  <si>
    <t>DBK</t>
  </si>
  <si>
    <t>Deutsche Bank Aktiengesellschaft</t>
  </si>
  <si>
    <t>NDA FI</t>
  </si>
  <si>
    <t>Nordea Bank Abp</t>
  </si>
  <si>
    <t>L3Harris Technologies, Inc.</t>
  </si>
  <si>
    <t>Arthur J. Gallagher &amp; Co.</t>
  </si>
  <si>
    <t>Norfolk Southern Corporation</t>
  </si>
  <si>
    <t>Valero Energy Corporation</t>
  </si>
  <si>
    <t>Nasdaq, Inc.</t>
  </si>
  <si>
    <t>Takeda Pharmaceutical Company Limited</t>
  </si>
  <si>
    <t>NEC Corporation</t>
  </si>
  <si>
    <t>Fujitsu Limited</t>
  </si>
  <si>
    <t>Ameriprise Financial, Inc.</t>
  </si>
  <si>
    <t>ITC</t>
  </si>
  <si>
    <t>ITC Limited</t>
  </si>
  <si>
    <t>SEB A</t>
  </si>
  <si>
    <t>Skandinaviska Enskilda Banken AB (publ)</t>
  </si>
  <si>
    <t>SWED A</t>
  </si>
  <si>
    <t>Swedbank AB (publ)</t>
  </si>
  <si>
    <t>ResMed Inc.</t>
  </si>
  <si>
    <t>NOKIA</t>
  </si>
  <si>
    <t>Nokia Oyj</t>
  </si>
  <si>
    <t>GIVN</t>
  </si>
  <si>
    <t>Givaudan SA</t>
  </si>
  <si>
    <t>The Hartford Insurance Group, Inc.</t>
  </si>
  <si>
    <t>HM B</t>
  </si>
  <si>
    <t>H &amp; M Hennes &amp; Mauritz AB (publ)</t>
  </si>
  <si>
    <t>Adani Power Limited</t>
  </si>
  <si>
    <t>LPL Financial Holdings Inc.</t>
  </si>
  <si>
    <t>Oriental Land Co., Ltd.</t>
  </si>
  <si>
    <t>Dover Corporation</t>
  </si>
  <si>
    <t>Tractor Supply Company</t>
  </si>
  <si>
    <t>Canon Inc.</t>
  </si>
  <si>
    <t>PulteGroup, Inc.</t>
  </si>
  <si>
    <t>STMPA</t>
  </si>
  <si>
    <t>STMicroelectronics N.V.</t>
  </si>
  <si>
    <t>International Paper Company</t>
  </si>
  <si>
    <t>Nomura Research Institute, Ltd.</t>
  </si>
  <si>
    <t>Konami Group Corporation</t>
  </si>
  <si>
    <t>RCI.B</t>
  </si>
  <si>
    <t>Rogers Communications Inc.</t>
  </si>
  <si>
    <t>Sandisk Corporation</t>
  </si>
  <si>
    <t>Weyerhaeuser Company</t>
  </si>
  <si>
    <t>Dow Inc.</t>
  </si>
  <si>
    <t>Deckers Outdoor Corporation</t>
  </si>
  <si>
    <t>Hologic, Inc.</t>
  </si>
  <si>
    <t>TELIA</t>
  </si>
  <si>
    <t>Telia Company AB (publ)</t>
  </si>
  <si>
    <t>A051910</t>
  </si>
  <si>
    <t>LG Chem, Ltd.</t>
  </si>
  <si>
    <t>A005490</t>
  </si>
  <si>
    <t>POSCO Holdings Inc.</t>
  </si>
  <si>
    <t>GJF</t>
  </si>
  <si>
    <t>Gjensidige Forsikring ASA</t>
  </si>
  <si>
    <t>GARAN</t>
  </si>
  <si>
    <t>Turkiye Garanti Bankasi A.S.</t>
  </si>
  <si>
    <t>ERF</t>
  </si>
  <si>
    <t>Eurofins Scientific SE</t>
  </si>
  <si>
    <t>Canara Bank</t>
  </si>
  <si>
    <t>DWS</t>
  </si>
  <si>
    <t>DWS Group GmbH &amp; Co. KGaA</t>
  </si>
  <si>
    <t>CRS</t>
  </si>
  <si>
    <t>Carpenter Technology Corporation</t>
  </si>
  <si>
    <t>Dixon Technologies (India) Limited</t>
  </si>
  <si>
    <t>REC Limited</t>
  </si>
  <si>
    <t>Shinkin Central Bank</t>
  </si>
  <si>
    <t>Fuji Electric Co., Ltd.</t>
  </si>
  <si>
    <t>Tokyo Electric Power Company Holdings, Incorporated</t>
  </si>
  <si>
    <t>Indutrade AB (publ)</t>
  </si>
  <si>
    <t>AppFolio, Inc.</t>
  </si>
  <si>
    <t>Kinden Corporation</t>
  </si>
  <si>
    <t>TREL B</t>
  </si>
  <si>
    <t>Trelleborg AB (publ)</t>
  </si>
  <si>
    <t>Makita Corporation</t>
  </si>
  <si>
    <t>Oshkosh Corporation</t>
  </si>
  <si>
    <t>One97 Communications Limited</t>
  </si>
  <si>
    <t>Prestige Estates Projects Limited</t>
  </si>
  <si>
    <t>Cullen/Frost Bankers, Inc.</t>
  </si>
  <si>
    <t>Global Unichip Corp.</t>
  </si>
  <si>
    <t>Coromandel International Limited</t>
  </si>
  <si>
    <t>TAL Education Group</t>
  </si>
  <si>
    <t>PennyMac Financial Services, Inc.</t>
  </si>
  <si>
    <t>Sekisui Chemical Co., Ltd.</t>
  </si>
  <si>
    <t>Eastman Chemical Company</t>
  </si>
  <si>
    <t>Eagle Materials Inc.</t>
  </si>
  <si>
    <t>Axfood AB (publ)</t>
  </si>
  <si>
    <t>Valley National Bancorp</t>
  </si>
  <si>
    <t>Hitachi Construction Machinery Co., Ltd.</t>
  </si>
  <si>
    <t>Colgate-Palmolive (India) Limited</t>
  </si>
  <si>
    <t>NGK Insulators, Ltd.</t>
  </si>
  <si>
    <t>Dolby Laboratories, Inc.</t>
  </si>
  <si>
    <t>Sanwa Holdings Corporation</t>
  </si>
  <si>
    <t>Shinko Electric Industries Co., Ltd.</t>
  </si>
  <si>
    <t>Brookfield Infrastructure Corporation</t>
  </si>
  <si>
    <t>Allegro MicroSystems, Inc.</t>
  </si>
  <si>
    <t>MRP</t>
  </si>
  <si>
    <t>Millrose Properties, Inc.</t>
  </si>
  <si>
    <t>Credit Acceptance Corporation</t>
  </si>
  <si>
    <t>CSW Industrials, Inc.</t>
  </si>
  <si>
    <t>Ameris Bancorp</t>
  </si>
  <si>
    <t>Voltas Limited</t>
  </si>
  <si>
    <t>Group 1 Automotive, Inc.</t>
  </si>
  <si>
    <t>Axos Financial, Inc.</t>
  </si>
  <si>
    <t>Lazard, Inc.</t>
  </si>
  <si>
    <t>Selective Insurance Group, Inc.</t>
  </si>
  <si>
    <t>Schneider National, Inc.</t>
  </si>
  <si>
    <t>CNX Resources Corporation</t>
  </si>
  <si>
    <t>Kirby Corporation</t>
  </si>
  <si>
    <t>ANTM</t>
  </si>
  <si>
    <t>PT Aneka Tambang Tbk</t>
  </si>
  <si>
    <t>Container Corporation of India Limited</t>
  </si>
  <si>
    <t>Cavco Industries, Inc.</t>
  </si>
  <si>
    <t>OSI Systems, Inc.</t>
  </si>
  <si>
    <t>Blue Star Limited</t>
  </si>
  <si>
    <t>Brunswick Corporation</t>
  </si>
  <si>
    <t>SkyWest, Inc.</t>
  </si>
  <si>
    <t>AJBU</t>
  </si>
  <si>
    <t>Keppel DC REIT</t>
  </si>
  <si>
    <t>TFS Financial Corporation</t>
  </si>
  <si>
    <t>Federated Hermes, Inc.</t>
  </si>
  <si>
    <t>CMPC</t>
  </si>
  <si>
    <t>Empresas CMPC S.A.</t>
  </si>
  <si>
    <t>KPITTECH</t>
  </si>
  <si>
    <t>KPIT Technologies Limited</t>
  </si>
  <si>
    <t>ASTERDM</t>
  </si>
  <si>
    <t>Aster DM Healthcare Limited</t>
  </si>
  <si>
    <t>Seacoast Banking Corporation of Florida</t>
  </si>
  <si>
    <t>BEKN</t>
  </si>
  <si>
    <t>Berner Kantonalbank AG</t>
  </si>
  <si>
    <t>HPOL B</t>
  </si>
  <si>
    <t>HEXPOL AB (publ)</t>
  </si>
  <si>
    <t>Virtu Financial, Inc.</t>
  </si>
  <si>
    <t>The Bancorp, Inc.</t>
  </si>
  <si>
    <t>BAIN</t>
  </si>
  <si>
    <t>Société Anonyme des Bains de Mer et du Cercle des Étrangers à Monaco</t>
  </si>
  <si>
    <t>Inox Wind Limited</t>
  </si>
  <si>
    <t>PARAUCO</t>
  </si>
  <si>
    <t>Parque Arauco S.A.</t>
  </si>
  <si>
    <t>Bread Financial Holdings, Inc.</t>
  </si>
  <si>
    <t>CapitaLand Ascott Trust</t>
  </si>
  <si>
    <t>Standex International Corporation</t>
  </si>
  <si>
    <t>IRB</t>
  </si>
  <si>
    <t>IRB Infrastructure Developers Limited</t>
  </si>
  <si>
    <t>Manappuram Finance Limited</t>
  </si>
  <si>
    <t>DXC Technology Company</t>
  </si>
  <si>
    <t>Robert Half Inc.</t>
  </si>
  <si>
    <t>Stanley Electric Co., Ltd.</t>
  </si>
  <si>
    <t>Olin Corporation</t>
  </si>
  <si>
    <t>QAMC</t>
  </si>
  <si>
    <t>Qatar Aluminium Manufacturing Company Q.P.S.C.</t>
  </si>
  <si>
    <t>Hilltop Holdings Inc.</t>
  </si>
  <si>
    <t>JSW Holdings Limited</t>
  </si>
  <si>
    <t>Gujarat Mineral Development Corporation Limited</t>
  </si>
  <si>
    <t>Nankai Electric Railway Co., Ltd.</t>
  </si>
  <si>
    <t>The Shiga Bank, Ltd.</t>
  </si>
  <si>
    <t>Anritsu Corporation</t>
  </si>
  <si>
    <t>Juroku Financial Group,Inc.</t>
  </si>
  <si>
    <t>EPRO B</t>
  </si>
  <si>
    <t>Electrolux Professional AB (publ)</t>
  </si>
  <si>
    <t>Daido Steel Co., Ltd.</t>
  </si>
  <si>
    <t>NISP</t>
  </si>
  <si>
    <t>PT Bank OCBC NISP Tbk</t>
  </si>
  <si>
    <t>Okinawa Cellular Telephone Company</t>
  </si>
  <si>
    <t>Carborundum Universal Limited</t>
  </si>
  <si>
    <t>ManpowerGroup Inc.</t>
  </si>
  <si>
    <t>Makino Milling Machine Co., Ltd.</t>
  </si>
  <si>
    <t>Casio Computer Co.,Ltd.</t>
  </si>
  <si>
    <t>Tokai Rika Co., Ltd.</t>
  </si>
  <si>
    <t>Gränges AB (publ)</t>
  </si>
  <si>
    <t>Seria Co., Ltd.</t>
  </si>
  <si>
    <t>A012750</t>
  </si>
  <si>
    <t>S-1 Corporation</t>
  </si>
  <si>
    <t>WIZZ</t>
  </si>
  <si>
    <t>Wizz Air Holdings Plc</t>
  </si>
  <si>
    <t>BURSA</t>
  </si>
  <si>
    <t>Bursa Malaysia Berhad</t>
  </si>
  <si>
    <t>Minerals Technologies Inc.</t>
  </si>
  <si>
    <t>HEM</t>
  </si>
  <si>
    <t>Hemnet Group AB (publ)</t>
  </si>
  <si>
    <t>MaxLinear, Inc.</t>
  </si>
  <si>
    <t>1st Source Corporation</t>
  </si>
  <si>
    <t>Aptus Value Housing Finance India Limited</t>
  </si>
  <si>
    <t>Triveni Turbine Limited</t>
  </si>
  <si>
    <t>Europris ASA</t>
  </si>
  <si>
    <t>Hino Motors, Ltd.</t>
  </si>
  <si>
    <t>Simplex Holdings, Inc.</t>
  </si>
  <si>
    <t>FP Corporation</t>
  </si>
  <si>
    <t>Indian Energy Exchange Limited</t>
  </si>
  <si>
    <t>Hokuriku Electric Power Company</t>
  </si>
  <si>
    <t>Godrej Agrovet Limited</t>
  </si>
  <si>
    <t>Orchid Island Capital, Inc.</t>
  </si>
  <si>
    <t>Nippon Densetsu Kogyo Co., Ltd.</t>
  </si>
  <si>
    <t>Financial Partners Group Co.,Ltd.</t>
  </si>
  <si>
    <t>Jyothy Labs Limited</t>
  </si>
  <si>
    <t>Aichi Steel Corporation</t>
  </si>
  <si>
    <t>MedPlus Health Services Limited</t>
  </si>
  <si>
    <t>PennyMac Mortgage Investment Trust</t>
  </si>
  <si>
    <t>BLUEJET</t>
  </si>
  <si>
    <t>Blue Jet Healthcare Limited</t>
  </si>
  <si>
    <t>The Awa Bank, Ltd.</t>
  </si>
  <si>
    <t>First Mid Bancshares, Inc.</t>
  </si>
  <si>
    <t>CCN</t>
  </si>
  <si>
    <t>Caisse Régionale de Crédit Agricole Mutuel de Normandie-Seine Société coopérative</t>
  </si>
  <si>
    <t>Southside Bancshares, Inc.</t>
  </si>
  <si>
    <t>A. O. Smith Corporation</t>
  </si>
  <si>
    <t>John B. Sanfilippo &amp; Son, Inc.</t>
  </si>
  <si>
    <t>MidWestOne Financial Group, Inc.</t>
  </si>
  <si>
    <t>MTRS</t>
  </si>
  <si>
    <t>Munters AB</t>
  </si>
  <si>
    <t>Joyful Honda Co.,Ltd.</t>
  </si>
  <si>
    <t>A003570</t>
  </si>
  <si>
    <t>Snt Dynamics Co.,Ltd.</t>
  </si>
  <si>
    <t>Mahindra Lifespace Developers Limited</t>
  </si>
  <si>
    <t>GMR Power And Urban Infra Limited</t>
  </si>
  <si>
    <t>Hogy Medical Co.,Ltd.</t>
  </si>
  <si>
    <t>Caisse Régionale de Crédit Agricole Mutuel de la Touraine et du Poitou Société Coopérative</t>
  </si>
  <si>
    <t>Equitas Small Finance Bank Limited</t>
  </si>
  <si>
    <t>The Karnataka Bank Limited</t>
  </si>
  <si>
    <t>GOLDCREST Co.,Ltd.</t>
  </si>
  <si>
    <t>Mahindra Holidays &amp; Resorts India Limited</t>
  </si>
  <si>
    <t>PARB</t>
  </si>
  <si>
    <t>Pareto Bank ASA</t>
  </si>
  <si>
    <t>RVRC</t>
  </si>
  <si>
    <t>RVRC Holding AB (publ)</t>
  </si>
  <si>
    <t>Financial Institutions, Inc.</t>
  </si>
  <si>
    <t>Invesco Mortgage Capital Inc.</t>
  </si>
  <si>
    <t>L.G. Balakrishnan &amp; Bros Limited</t>
  </si>
  <si>
    <t>Chori Co., Ltd.</t>
  </si>
  <si>
    <t>CMO</t>
  </si>
  <si>
    <t>Caisse Régionale de Crédit Agricole du Morbihan</t>
  </si>
  <si>
    <t>Texmaco Rail &amp; Engineering Limited</t>
  </si>
  <si>
    <t>GHCL</t>
  </si>
  <si>
    <t>GHCL Limited</t>
  </si>
  <si>
    <t>SunCoke Energy, Inc.</t>
  </si>
  <si>
    <t>AXISCADES Technologies Limited</t>
  </si>
  <si>
    <t>Sheela Foam Limited</t>
  </si>
  <si>
    <t>Prestige International Inc.</t>
  </si>
  <si>
    <t>Beazer Homes USA, Inc.</t>
  </si>
  <si>
    <t>RNK</t>
  </si>
  <si>
    <t>The Rank Group Plc</t>
  </si>
  <si>
    <t>Belluna Co., Ltd.</t>
  </si>
  <si>
    <t>ITM</t>
  </si>
  <si>
    <t>ITM Power Plc</t>
  </si>
  <si>
    <t>Covenant Logistics Group, Inc.</t>
  </si>
  <si>
    <t>Aichi Corporation</t>
  </si>
  <si>
    <t>Praj Industries Limited</t>
  </si>
  <si>
    <t>MarineMax, Inc.</t>
  </si>
  <si>
    <t>INTRUM</t>
  </si>
  <si>
    <t>Intrum AB (publ)</t>
  </si>
  <si>
    <t>Konishi Co., Ltd.</t>
  </si>
  <si>
    <t>Eiken Chemical Co., Ltd.</t>
  </si>
  <si>
    <t>Arrow Financial Corporation</t>
  </si>
  <si>
    <t>Red River Bancshares, Inc.</t>
  </si>
  <si>
    <t>Electrosteel Castings Limited</t>
  </si>
  <si>
    <t>Nippon Avionics Co., Ltd.</t>
  </si>
  <si>
    <t>First Foundation Inc.</t>
  </si>
  <si>
    <t>260129 실적 기업 정보</t>
    <phoneticPr fontId="3" type="noConversion"/>
  </si>
  <si>
    <t>PAYTM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</si>
</sst>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0.0%"/>
    <numFmt numFmtId="178" formatCode="0.0&quot;%&quot;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b/>
      <sz val="12"/>
      <color theme="0"/>
      <name val="Pretendard"/>
      <family val="3"/>
      <charset val="129"/>
    </font>
    <font>
      <i/>
      <sz val="10"/>
      <name val="Pretendar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quotePrefix="1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3" borderId="0" xfId="0" applyFont="1" applyFill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4" fillId="0" borderId="2" xfId="0" applyNumberFormat="1" applyFont="1" applyBorder="1" applyAlignment="1">
      <alignment vertical="center"/>
    </xf>
    <xf numFmtId="177" fontId="4" fillId="0" borderId="0" xfId="1" applyNumberFormat="1" applyFont="1" applyFill="1">
      <alignment vertical="center"/>
    </xf>
    <xf numFmtId="177" fontId="4" fillId="0" borderId="0" xfId="1" applyNumberFormat="1" applyFont="1" applyFill="1" applyBorder="1">
      <alignment vertical="center"/>
    </xf>
    <xf numFmtId="177" fontId="4" fillId="0" borderId="2" xfId="1" applyNumberFormat="1" applyFont="1" applyFill="1" applyBorder="1">
      <alignment vertical="center"/>
    </xf>
    <xf numFmtId="9" fontId="4" fillId="0" borderId="0" xfId="1" applyFont="1" applyFill="1">
      <alignment vertical="center"/>
    </xf>
    <xf numFmtId="9" fontId="4" fillId="0" borderId="0" xfId="1" applyFont="1" applyAlignment="1">
      <alignment horizontal="right" vertical="center"/>
    </xf>
    <xf numFmtId="9" fontId="4" fillId="0" borderId="2" xfId="1" applyFont="1" applyBorder="1" applyAlignment="1">
      <alignment horizontal="right" vertical="center"/>
    </xf>
    <xf numFmtId="9" fontId="4" fillId="0" borderId="0" xfId="1" applyFont="1">
      <alignment vertical="center"/>
    </xf>
    <xf numFmtId="9" fontId="4" fillId="0" borderId="0" xfId="1" applyFont="1" applyBorder="1">
      <alignment vertical="center"/>
    </xf>
    <xf numFmtId="9" fontId="4" fillId="0" borderId="2" xfId="1" applyFont="1" applyBorder="1">
      <alignment vertical="center"/>
    </xf>
    <xf numFmtId="0" fontId="9" fillId="0" borderId="1" xfId="0" applyFont="1" applyBorder="1" applyAlignment="1">
      <alignment horizontal="center" vertical="top"/>
    </xf>
    <xf numFmtId="0" fontId="10" fillId="0" borderId="0" xfId="0" applyFont="1"/>
    <xf numFmtId="0" fontId="10" fillId="2" borderId="0" xfId="0" applyFont="1" applyFill="1"/>
    <xf numFmtId="178" fontId="10" fillId="0" borderId="0" xfId="0" applyNumberFormat="1" applyFont="1"/>
    <xf numFmtId="0" fontId="2" fillId="0" borderId="1" xfId="0" applyFont="1" applyBorder="1" applyAlignment="1">
      <alignment horizontal="center"/>
    </xf>
    <xf numFmtId="177" fontId="11" fillId="0" borderId="0" xfId="0" applyNumberFormat="1" applyFont="1"/>
    <xf numFmtId="0" fontId="2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top"/>
    </xf>
    <xf numFmtId="0" fontId="12" fillId="0" borderId="0" xfId="0" applyFont="1"/>
    <xf numFmtId="178" fontId="12" fillId="4" borderId="0" xfId="0" applyNumberFormat="1" applyFont="1" applyFill="1"/>
    <xf numFmtId="176" fontId="10" fillId="0" borderId="0" xfId="0" applyNumberFormat="1" applyFont="1"/>
    <xf numFmtId="176" fontId="10" fillId="2" borderId="0" xfId="0" applyNumberFormat="1" applyFont="1" applyFill="1"/>
    <xf numFmtId="176" fontId="10" fillId="2" borderId="3" xfId="0" applyNumberFormat="1" applyFont="1" applyFill="1" applyBorder="1"/>
    <xf numFmtId="176" fontId="10" fillId="0" borderId="3" xfId="0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5" fontId="4" fillId="0" borderId="0" xfId="0" applyNumberFormat="1" applyFont="1" applyAlignment="1">
      <alignment vertical="center"/>
    </xf>
    <xf numFmtId="16" fontId="4" fillId="0" borderId="0" xfId="0" applyNumberFormat="1" applyFont="1" applyAlignment="1">
      <alignment vertical="center"/>
    </xf>
    <xf numFmtId="3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5" fontId="4" fillId="0" borderId="12" xfId="0" applyNumberFormat="1" applyFont="1" applyBorder="1" applyAlignment="1">
      <alignment vertical="center"/>
    </xf>
    <xf numFmtId="16" fontId="4" fillId="0" borderId="12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4" fillId="0" borderId="0" xfId="0" applyFont="1"/>
    <xf numFmtId="177" fontId="10" fillId="0" borderId="0" xfId="0" applyNumberFormat="1" applyFont="1"/>
    <xf numFmtId="0" fontId="13" fillId="5" borderId="0" xfId="0" applyFont="1" applyFill="1" applyAlignment="1">
      <alignment horizontal="center" vertical="center"/>
    </xf>
    <xf numFmtId="9" fontId="4" fillId="0" borderId="3" xfId="1" applyFont="1" applyBorder="1">
      <alignment vertical="center"/>
    </xf>
  </cellXfs>
  <cellStyles count="2">
    <cellStyle name="백분율" xfId="1" builtinId="5"/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E97F7F"/>
      <color rgb="FFE2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C824-BFE0-45B6-9388-8580611AA1E7}">
  <dimension ref="B2:G239"/>
  <sheetViews>
    <sheetView topLeftCell="A33" workbookViewId="0">
      <selection activeCell="B51" sqref="B51"/>
    </sheetView>
  </sheetViews>
  <sheetFormatPr defaultRowHeight="15" x14ac:dyDescent="0.25"/>
  <cols>
    <col min="1" max="1" width="9" style="2"/>
    <col min="2" max="2" width="13.875" style="35" customWidth="1"/>
    <col min="3" max="3" width="63.375" style="5" customWidth="1"/>
    <col min="4" max="4" width="10.75" style="5" bestFit="1" customWidth="1"/>
    <col min="5" max="5" width="11.5" style="5" bestFit="1" customWidth="1"/>
    <col min="6" max="6" width="15" style="5" customWidth="1"/>
    <col min="7" max="7" width="18.625" style="5" bestFit="1" customWidth="1"/>
    <col min="8" max="16384" width="9" style="2"/>
  </cols>
  <sheetData>
    <row r="2" spans="2:7" x14ac:dyDescent="0.25">
      <c r="B2" s="51" t="s">
        <v>546</v>
      </c>
      <c r="C2" s="51"/>
    </row>
    <row r="3" spans="2:7" ht="15.75" thickBot="1" x14ac:dyDescent="0.3">
      <c r="B3" s="51"/>
      <c r="C3" s="51"/>
    </row>
    <row r="4" spans="2:7" x14ac:dyDescent="0.25">
      <c r="B4" s="36" t="s">
        <v>0</v>
      </c>
      <c r="C4" s="37" t="s">
        <v>253</v>
      </c>
      <c r="D4" s="37" t="s">
        <v>254</v>
      </c>
      <c r="E4" s="37" t="s">
        <v>255</v>
      </c>
      <c r="F4" s="37" t="s">
        <v>256</v>
      </c>
      <c r="G4" s="38" t="s">
        <v>257</v>
      </c>
    </row>
    <row r="5" spans="2:7" x14ac:dyDescent="0.25">
      <c r="B5" s="39" t="s">
        <v>22</v>
      </c>
      <c r="C5" s="5" t="s">
        <v>258</v>
      </c>
      <c r="D5" s="40">
        <v>46051</v>
      </c>
      <c r="E5" s="5" t="s">
        <v>259</v>
      </c>
      <c r="F5" s="41">
        <v>46381</v>
      </c>
      <c r="G5" s="42">
        <v>3755761</v>
      </c>
    </row>
    <row r="6" spans="2:7" x14ac:dyDescent="0.25">
      <c r="B6" s="39" t="s">
        <v>158</v>
      </c>
      <c r="C6" s="5" t="s">
        <v>260</v>
      </c>
      <c r="D6" s="40">
        <v>46051</v>
      </c>
      <c r="E6" s="5" t="s">
        <v>259</v>
      </c>
      <c r="F6" s="41">
        <v>46381</v>
      </c>
      <c r="G6" s="42">
        <v>627788</v>
      </c>
    </row>
    <row r="7" spans="2:7" x14ac:dyDescent="0.25">
      <c r="B7" s="39" t="s">
        <v>159</v>
      </c>
      <c r="C7" s="5" t="s">
        <v>261</v>
      </c>
      <c r="D7" s="40">
        <v>46051</v>
      </c>
      <c r="E7" s="5" t="s">
        <v>262</v>
      </c>
      <c r="F7" s="41">
        <v>46381</v>
      </c>
      <c r="G7" s="42">
        <v>484460</v>
      </c>
    </row>
    <row r="8" spans="2:7" x14ac:dyDescent="0.25">
      <c r="B8" s="39" t="s">
        <v>160</v>
      </c>
      <c r="C8" s="5" t="s">
        <v>263</v>
      </c>
      <c r="D8" s="40">
        <v>46051</v>
      </c>
      <c r="F8" s="41">
        <v>46381</v>
      </c>
      <c r="G8" s="42">
        <v>370914</v>
      </c>
    </row>
    <row r="9" spans="2:7" x14ac:dyDescent="0.25">
      <c r="B9" s="39" t="s">
        <v>161</v>
      </c>
      <c r="C9" s="5" t="s">
        <v>264</v>
      </c>
      <c r="D9" s="40">
        <v>46051</v>
      </c>
      <c r="F9" s="41">
        <v>46381</v>
      </c>
      <c r="G9" s="42">
        <v>302731</v>
      </c>
    </row>
    <row r="10" spans="2:7" x14ac:dyDescent="0.25">
      <c r="B10" s="39" t="s">
        <v>163</v>
      </c>
      <c r="C10" s="5" t="s">
        <v>265</v>
      </c>
      <c r="D10" s="40">
        <v>46051</v>
      </c>
      <c r="E10" s="5" t="s">
        <v>262</v>
      </c>
      <c r="F10" s="41">
        <v>46381</v>
      </c>
      <c r="G10" s="42">
        <v>272488</v>
      </c>
    </row>
    <row r="11" spans="2:7" x14ac:dyDescent="0.25">
      <c r="B11" s="39" t="s">
        <v>165</v>
      </c>
      <c r="C11" s="5" t="s">
        <v>266</v>
      </c>
      <c r="D11" s="40">
        <v>46051</v>
      </c>
      <c r="F11" s="41">
        <v>46381</v>
      </c>
      <c r="G11" s="42">
        <v>235186</v>
      </c>
    </row>
    <row r="12" spans="2:7" x14ac:dyDescent="0.25">
      <c r="B12" s="39" t="s">
        <v>167</v>
      </c>
      <c r="C12" s="5" t="s">
        <v>267</v>
      </c>
      <c r="D12" s="40">
        <v>46051</v>
      </c>
      <c r="F12" s="41">
        <v>46381</v>
      </c>
      <c r="G12" s="42">
        <v>198768</v>
      </c>
    </row>
    <row r="13" spans="2:7" x14ac:dyDescent="0.25">
      <c r="B13" s="39">
        <v>6501</v>
      </c>
      <c r="C13" s="5" t="s">
        <v>268</v>
      </c>
      <c r="D13" s="40">
        <v>46051</v>
      </c>
      <c r="F13" s="41">
        <v>46381</v>
      </c>
      <c r="G13" s="42">
        <v>153613</v>
      </c>
    </row>
    <row r="14" spans="2:7" x14ac:dyDescent="0.25">
      <c r="B14" s="39" t="s">
        <v>170</v>
      </c>
      <c r="C14" s="5" t="s">
        <v>269</v>
      </c>
      <c r="D14" s="40">
        <v>46051</v>
      </c>
      <c r="E14" s="5" t="s">
        <v>262</v>
      </c>
      <c r="F14" s="41">
        <v>46381</v>
      </c>
      <c r="G14" s="42">
        <v>140602</v>
      </c>
    </row>
    <row r="15" spans="2:7" x14ac:dyDescent="0.25">
      <c r="B15" s="39" t="s">
        <v>270</v>
      </c>
      <c r="C15" s="5" t="s">
        <v>271</v>
      </c>
      <c r="D15" s="40">
        <v>46051</v>
      </c>
      <c r="F15" s="41">
        <v>46381</v>
      </c>
      <c r="G15" s="42">
        <v>139029</v>
      </c>
    </row>
    <row r="16" spans="2:7" x14ac:dyDescent="0.25">
      <c r="B16" s="39" t="s">
        <v>183</v>
      </c>
      <c r="C16" s="5" t="s">
        <v>272</v>
      </c>
      <c r="D16" s="40">
        <v>46051</v>
      </c>
      <c r="E16" s="5" t="s">
        <v>262</v>
      </c>
      <c r="F16" s="41">
        <v>46381</v>
      </c>
      <c r="G16" s="42">
        <v>136714</v>
      </c>
    </row>
    <row r="17" spans="2:7" x14ac:dyDescent="0.25">
      <c r="B17" s="39" t="s">
        <v>172</v>
      </c>
      <c r="C17" s="5" t="s">
        <v>273</v>
      </c>
      <c r="D17" s="40">
        <v>46051</v>
      </c>
      <c r="E17" s="5" t="s">
        <v>259</v>
      </c>
      <c r="F17" s="41">
        <v>46381</v>
      </c>
      <c r="G17" s="42">
        <v>135776</v>
      </c>
    </row>
    <row r="18" spans="2:7" x14ac:dyDescent="0.25">
      <c r="B18" s="39" t="s">
        <v>174</v>
      </c>
      <c r="C18" s="5" t="s">
        <v>274</v>
      </c>
      <c r="D18" s="40">
        <v>46051</v>
      </c>
      <c r="E18" s="5" t="s">
        <v>262</v>
      </c>
      <c r="F18" s="41">
        <v>46381</v>
      </c>
      <c r="G18" s="42">
        <v>117785</v>
      </c>
    </row>
    <row r="19" spans="2:7" x14ac:dyDescent="0.25">
      <c r="B19" s="39" t="s">
        <v>175</v>
      </c>
      <c r="C19" s="5" t="s">
        <v>275</v>
      </c>
      <c r="D19" s="40">
        <v>46051</v>
      </c>
      <c r="E19" s="5" t="s">
        <v>262</v>
      </c>
      <c r="F19" s="41">
        <v>46381</v>
      </c>
      <c r="G19" s="42">
        <v>117100</v>
      </c>
    </row>
    <row r="20" spans="2:7" x14ac:dyDescent="0.25">
      <c r="B20" s="39" t="s">
        <v>176</v>
      </c>
      <c r="C20" s="5" t="s">
        <v>276</v>
      </c>
      <c r="D20" s="40">
        <v>46051</v>
      </c>
      <c r="E20" s="5" t="s">
        <v>262</v>
      </c>
      <c r="F20" s="41">
        <v>46381</v>
      </c>
      <c r="G20" s="42">
        <v>113339</v>
      </c>
    </row>
    <row r="21" spans="2:7" x14ac:dyDescent="0.25">
      <c r="B21" s="39" t="s">
        <v>178</v>
      </c>
      <c r="C21" s="5" t="s">
        <v>277</v>
      </c>
      <c r="D21" s="40">
        <v>46051</v>
      </c>
      <c r="E21" s="5" t="s">
        <v>262</v>
      </c>
      <c r="F21" s="41">
        <v>46381</v>
      </c>
      <c r="G21" s="42">
        <v>106766</v>
      </c>
    </row>
    <row r="22" spans="2:7" x14ac:dyDescent="0.25">
      <c r="B22" s="39" t="s">
        <v>180</v>
      </c>
      <c r="C22" s="5" t="s">
        <v>278</v>
      </c>
      <c r="D22" s="40">
        <v>46051</v>
      </c>
      <c r="F22" s="41">
        <v>46381</v>
      </c>
      <c r="G22" s="42">
        <v>103927</v>
      </c>
    </row>
    <row r="23" spans="2:7" x14ac:dyDescent="0.25">
      <c r="B23" s="39">
        <v>6861</v>
      </c>
      <c r="C23" s="5" t="s">
        <v>279</v>
      </c>
      <c r="D23" s="40">
        <v>46051</v>
      </c>
      <c r="F23" s="41">
        <v>46381</v>
      </c>
      <c r="G23" s="42">
        <v>92593</v>
      </c>
    </row>
    <row r="24" spans="2:7" x14ac:dyDescent="0.25">
      <c r="B24" s="39">
        <v>4519</v>
      </c>
      <c r="C24" s="5" t="s">
        <v>280</v>
      </c>
      <c r="D24" s="40">
        <v>46051</v>
      </c>
      <c r="F24" s="41">
        <v>46381</v>
      </c>
      <c r="G24" s="42">
        <v>92445</v>
      </c>
    </row>
    <row r="25" spans="2:7" x14ac:dyDescent="0.25">
      <c r="B25" s="39" t="s">
        <v>157</v>
      </c>
      <c r="C25" s="5" t="s">
        <v>281</v>
      </c>
      <c r="D25" s="40">
        <v>46051</v>
      </c>
      <c r="F25" s="41">
        <v>46381</v>
      </c>
      <c r="G25" s="42">
        <v>89732</v>
      </c>
    </row>
    <row r="26" spans="2:7" x14ac:dyDescent="0.25">
      <c r="B26" s="39" t="s">
        <v>156</v>
      </c>
      <c r="C26" s="5" t="s">
        <v>282</v>
      </c>
      <c r="D26" s="40">
        <v>46051</v>
      </c>
      <c r="F26" s="41">
        <v>46381</v>
      </c>
      <c r="G26" s="42">
        <v>85899</v>
      </c>
    </row>
    <row r="27" spans="2:7" x14ac:dyDescent="0.25">
      <c r="B27" s="39" t="s">
        <v>154</v>
      </c>
      <c r="C27" s="5" t="s">
        <v>283</v>
      </c>
      <c r="D27" s="40">
        <v>46051</v>
      </c>
      <c r="E27" s="5" t="s">
        <v>262</v>
      </c>
      <c r="F27" s="41">
        <v>46381</v>
      </c>
      <c r="G27" s="42">
        <v>85640</v>
      </c>
    </row>
    <row r="28" spans="2:7" x14ac:dyDescent="0.25">
      <c r="B28" s="39" t="s">
        <v>284</v>
      </c>
      <c r="C28" s="5" t="s">
        <v>285</v>
      </c>
      <c r="D28" s="40">
        <v>46051</v>
      </c>
      <c r="F28" s="41">
        <v>46381</v>
      </c>
      <c r="G28" s="42">
        <v>82691</v>
      </c>
    </row>
    <row r="29" spans="2:7" x14ac:dyDescent="0.25">
      <c r="B29" s="39" t="s">
        <v>286</v>
      </c>
      <c r="C29" s="5" t="s">
        <v>287</v>
      </c>
      <c r="D29" s="40">
        <v>46051</v>
      </c>
      <c r="F29" s="41">
        <v>46381</v>
      </c>
      <c r="G29" s="42">
        <v>81607</v>
      </c>
    </row>
    <row r="30" spans="2:7" x14ac:dyDescent="0.25">
      <c r="B30" s="39" t="s">
        <v>152</v>
      </c>
      <c r="C30" s="5" t="s">
        <v>288</v>
      </c>
      <c r="D30" s="40">
        <v>46051</v>
      </c>
      <c r="E30" s="5" t="s">
        <v>259</v>
      </c>
      <c r="F30" s="41">
        <v>46381</v>
      </c>
      <c r="G30" s="42">
        <v>80822</v>
      </c>
    </row>
    <row r="31" spans="2:7" x14ac:dyDescent="0.25">
      <c r="B31" s="39" t="s">
        <v>130</v>
      </c>
      <c r="C31" s="5" t="s">
        <v>289</v>
      </c>
      <c r="D31" s="40">
        <v>46051</v>
      </c>
      <c r="E31" s="5" t="s">
        <v>262</v>
      </c>
      <c r="F31" s="41">
        <v>46381</v>
      </c>
      <c r="G31" s="42">
        <v>78026</v>
      </c>
    </row>
    <row r="32" spans="2:7" x14ac:dyDescent="0.25">
      <c r="B32" s="39" t="s">
        <v>290</v>
      </c>
      <c r="C32" s="5" t="s">
        <v>291</v>
      </c>
      <c r="D32" s="40">
        <v>46051</v>
      </c>
      <c r="F32" s="41">
        <v>46381</v>
      </c>
      <c r="G32" s="42">
        <v>74123</v>
      </c>
    </row>
    <row r="33" spans="2:7" x14ac:dyDescent="0.25">
      <c r="B33" s="39" t="s">
        <v>292</v>
      </c>
      <c r="C33" s="5" t="s">
        <v>293</v>
      </c>
      <c r="D33" s="40">
        <v>46051</v>
      </c>
      <c r="F33" s="41">
        <v>46381</v>
      </c>
      <c r="G33" s="42">
        <v>67136</v>
      </c>
    </row>
    <row r="34" spans="2:7" x14ac:dyDescent="0.25">
      <c r="B34" s="39" t="s">
        <v>132</v>
      </c>
      <c r="C34" s="5" t="s">
        <v>294</v>
      </c>
      <c r="D34" s="40">
        <v>46051</v>
      </c>
      <c r="E34" s="5" t="s">
        <v>262</v>
      </c>
      <c r="F34" s="41">
        <v>46381</v>
      </c>
      <c r="G34" s="42">
        <v>66353</v>
      </c>
    </row>
    <row r="35" spans="2:7" x14ac:dyDescent="0.25">
      <c r="B35" s="39" t="s">
        <v>135</v>
      </c>
      <c r="C35" s="5" t="s">
        <v>295</v>
      </c>
      <c r="D35" s="40">
        <v>46051</v>
      </c>
      <c r="E35" s="5" t="s">
        <v>259</v>
      </c>
      <c r="F35" s="41">
        <v>46381</v>
      </c>
      <c r="G35" s="42">
        <v>65026</v>
      </c>
    </row>
    <row r="36" spans="2:7" x14ac:dyDescent="0.25">
      <c r="B36" s="39" t="s">
        <v>137</v>
      </c>
      <c r="C36" s="5" t="s">
        <v>296</v>
      </c>
      <c r="D36" s="40">
        <v>46051</v>
      </c>
      <c r="E36" s="5" t="s">
        <v>262</v>
      </c>
      <c r="F36" s="41">
        <v>46381</v>
      </c>
      <c r="G36" s="42">
        <v>64491</v>
      </c>
    </row>
    <row r="37" spans="2:7" x14ac:dyDescent="0.25">
      <c r="B37" s="39" t="s">
        <v>139</v>
      </c>
      <c r="C37" s="5" t="s">
        <v>297</v>
      </c>
      <c r="D37" s="40">
        <v>46051</v>
      </c>
      <c r="E37" s="5" t="s">
        <v>262</v>
      </c>
      <c r="F37" s="41">
        <v>46381</v>
      </c>
      <c r="G37" s="42">
        <v>57064</v>
      </c>
    </row>
    <row r="38" spans="2:7" x14ac:dyDescent="0.25">
      <c r="B38" s="39" t="s">
        <v>141</v>
      </c>
      <c r="C38" s="5" t="s">
        <v>298</v>
      </c>
      <c r="D38" s="40">
        <v>46051</v>
      </c>
      <c r="E38" s="5" t="s">
        <v>262</v>
      </c>
      <c r="F38" s="41">
        <v>46381</v>
      </c>
      <c r="G38" s="42">
        <v>55986</v>
      </c>
    </row>
    <row r="39" spans="2:7" x14ac:dyDescent="0.25">
      <c r="B39" s="39">
        <v>4502</v>
      </c>
      <c r="C39" s="5" t="s">
        <v>299</v>
      </c>
      <c r="D39" s="40">
        <v>46051</v>
      </c>
      <c r="E39" s="5" t="s">
        <v>262</v>
      </c>
      <c r="F39" s="41">
        <v>46381</v>
      </c>
      <c r="G39" s="42">
        <v>51863</v>
      </c>
    </row>
    <row r="40" spans="2:7" x14ac:dyDescent="0.25">
      <c r="B40" s="39">
        <v>6701</v>
      </c>
      <c r="C40" s="5" t="s">
        <v>300</v>
      </c>
      <c r="D40" s="40">
        <v>46051</v>
      </c>
      <c r="F40" s="41">
        <v>46381</v>
      </c>
      <c r="G40" s="42">
        <v>49922</v>
      </c>
    </row>
    <row r="41" spans="2:7" x14ac:dyDescent="0.25">
      <c r="B41" s="39">
        <v>6702</v>
      </c>
      <c r="C41" s="5" t="s">
        <v>301</v>
      </c>
      <c r="D41" s="40">
        <v>46051</v>
      </c>
      <c r="F41" s="41">
        <v>46381</v>
      </c>
      <c r="G41" s="42">
        <v>49365</v>
      </c>
    </row>
    <row r="42" spans="2:7" x14ac:dyDescent="0.25">
      <c r="B42" s="39" t="s">
        <v>143</v>
      </c>
      <c r="C42" s="5" t="s">
        <v>302</v>
      </c>
      <c r="D42" s="40">
        <v>46051</v>
      </c>
      <c r="F42" s="41">
        <v>46381</v>
      </c>
      <c r="G42" s="42">
        <v>46137</v>
      </c>
    </row>
    <row r="43" spans="2:7" x14ac:dyDescent="0.25">
      <c r="B43" s="39" t="s">
        <v>303</v>
      </c>
      <c r="C43" s="5" t="s">
        <v>304</v>
      </c>
      <c r="D43" s="40">
        <v>46051</v>
      </c>
      <c r="F43" s="41">
        <v>46381</v>
      </c>
      <c r="G43" s="42">
        <v>44222</v>
      </c>
    </row>
    <row r="44" spans="2:7" x14ac:dyDescent="0.25">
      <c r="B44" s="39" t="s">
        <v>305</v>
      </c>
      <c r="C44" s="5" t="s">
        <v>306</v>
      </c>
      <c r="D44" s="40">
        <v>46051</v>
      </c>
      <c r="F44" s="41">
        <v>46381</v>
      </c>
      <c r="G44" s="42">
        <v>43115</v>
      </c>
    </row>
    <row r="45" spans="2:7" x14ac:dyDescent="0.25">
      <c r="B45" s="39" t="s">
        <v>307</v>
      </c>
      <c r="C45" s="5" t="s">
        <v>308</v>
      </c>
      <c r="D45" s="40">
        <v>46051</v>
      </c>
      <c r="F45" s="41">
        <v>46381</v>
      </c>
      <c r="G45" s="42">
        <v>42398</v>
      </c>
    </row>
    <row r="46" spans="2:7" x14ac:dyDescent="0.25">
      <c r="B46" s="39" t="s">
        <v>144</v>
      </c>
      <c r="C46" s="5" t="s">
        <v>309</v>
      </c>
      <c r="D46" s="40">
        <v>46051</v>
      </c>
      <c r="E46" s="5" t="s">
        <v>259</v>
      </c>
      <c r="F46" s="41">
        <v>46381</v>
      </c>
      <c r="G46" s="42">
        <v>37520</v>
      </c>
    </row>
    <row r="47" spans="2:7" x14ac:dyDescent="0.25">
      <c r="B47" s="39" t="s">
        <v>310</v>
      </c>
      <c r="C47" s="5" t="s">
        <v>311</v>
      </c>
      <c r="D47" s="40">
        <v>46051</v>
      </c>
      <c r="F47" s="41">
        <v>46381</v>
      </c>
      <c r="G47" s="42">
        <v>37047</v>
      </c>
    </row>
    <row r="48" spans="2:7" x14ac:dyDescent="0.25">
      <c r="B48" s="39" t="s">
        <v>312</v>
      </c>
      <c r="C48" s="5" t="s">
        <v>313</v>
      </c>
      <c r="D48" s="40">
        <v>46051</v>
      </c>
      <c r="F48" s="41">
        <v>46381</v>
      </c>
      <c r="G48" s="42">
        <v>36590</v>
      </c>
    </row>
    <row r="49" spans="2:7" x14ac:dyDescent="0.25">
      <c r="B49" s="39" t="s">
        <v>146</v>
      </c>
      <c r="C49" s="5" t="s">
        <v>314</v>
      </c>
      <c r="D49" s="40">
        <v>46051</v>
      </c>
      <c r="E49" s="5" t="s">
        <v>259</v>
      </c>
      <c r="F49" s="41">
        <v>46381</v>
      </c>
      <c r="G49" s="42">
        <v>36110</v>
      </c>
    </row>
    <row r="50" spans="2:7" x14ac:dyDescent="0.25">
      <c r="B50" s="39" t="s">
        <v>315</v>
      </c>
      <c r="C50" s="5" t="s">
        <v>316</v>
      </c>
      <c r="D50" s="40">
        <v>46051</v>
      </c>
      <c r="F50" s="41">
        <v>46351</v>
      </c>
      <c r="G50" s="42">
        <v>30760</v>
      </c>
    </row>
    <row r="51" spans="2:7" x14ac:dyDescent="0.25">
      <c r="B51" s="39" t="s">
        <v>148</v>
      </c>
      <c r="C51" s="5" t="s">
        <v>317</v>
      </c>
      <c r="D51" s="40">
        <v>46051</v>
      </c>
      <c r="F51" s="41">
        <v>46381</v>
      </c>
      <c r="G51" s="42">
        <v>30313</v>
      </c>
    </row>
    <row r="52" spans="2:7" x14ac:dyDescent="0.25">
      <c r="B52" s="39" t="s">
        <v>149</v>
      </c>
      <c r="C52" s="5" t="s">
        <v>318</v>
      </c>
      <c r="D52" s="40">
        <v>46051</v>
      </c>
      <c r="E52" s="5" t="s">
        <v>259</v>
      </c>
      <c r="F52" s="41">
        <v>46381</v>
      </c>
      <c r="G52" s="42">
        <v>30303</v>
      </c>
    </row>
    <row r="53" spans="2:7" x14ac:dyDescent="0.25">
      <c r="B53" s="39">
        <v>4661</v>
      </c>
      <c r="C53" s="5" t="s">
        <v>319</v>
      </c>
      <c r="D53" s="40">
        <v>46051</v>
      </c>
      <c r="F53" s="41">
        <v>46381</v>
      </c>
      <c r="G53" s="42">
        <v>29263</v>
      </c>
    </row>
    <row r="54" spans="2:7" x14ac:dyDescent="0.25">
      <c r="B54" s="39" t="s">
        <v>150</v>
      </c>
      <c r="C54" s="5" t="s">
        <v>320</v>
      </c>
      <c r="D54" s="40">
        <v>46051</v>
      </c>
      <c r="E54" s="5" t="s">
        <v>262</v>
      </c>
      <c r="F54" s="41">
        <v>46381</v>
      </c>
      <c r="G54" s="42">
        <v>28337</v>
      </c>
    </row>
    <row r="55" spans="2:7" x14ac:dyDescent="0.25">
      <c r="B55" s="39" t="s">
        <v>151</v>
      </c>
      <c r="C55" s="5" t="s">
        <v>321</v>
      </c>
      <c r="D55" s="40">
        <v>46051</v>
      </c>
      <c r="E55" s="5" t="s">
        <v>262</v>
      </c>
      <c r="F55" s="41">
        <v>46381</v>
      </c>
      <c r="G55" s="42">
        <v>26954</v>
      </c>
    </row>
    <row r="56" spans="2:7" x14ac:dyDescent="0.25">
      <c r="B56" s="39">
        <v>7751</v>
      </c>
      <c r="C56" s="5" t="s">
        <v>322</v>
      </c>
      <c r="D56" s="40">
        <v>46051</v>
      </c>
      <c r="F56" s="41">
        <v>46381</v>
      </c>
      <c r="G56" s="42">
        <v>26307</v>
      </c>
    </row>
    <row r="57" spans="2:7" x14ac:dyDescent="0.25">
      <c r="B57" s="39" t="s">
        <v>184</v>
      </c>
      <c r="C57" s="5" t="s">
        <v>323</v>
      </c>
      <c r="D57" s="40">
        <v>46051</v>
      </c>
      <c r="E57" s="5" t="s">
        <v>262</v>
      </c>
      <c r="F57" s="41">
        <v>46381</v>
      </c>
      <c r="G57" s="42">
        <v>25384</v>
      </c>
    </row>
    <row r="58" spans="2:7" x14ac:dyDescent="0.25">
      <c r="B58" s="39" t="s">
        <v>324</v>
      </c>
      <c r="C58" s="5" t="s">
        <v>325</v>
      </c>
      <c r="D58" s="40">
        <v>46051</v>
      </c>
      <c r="E58" s="5" t="s">
        <v>262</v>
      </c>
      <c r="F58" s="41">
        <v>46381</v>
      </c>
      <c r="G58" s="42">
        <v>25062</v>
      </c>
    </row>
    <row r="59" spans="2:7" x14ac:dyDescent="0.25">
      <c r="B59" s="39" t="s">
        <v>185</v>
      </c>
      <c r="C59" s="5" t="s">
        <v>326</v>
      </c>
      <c r="D59" s="40">
        <v>46051</v>
      </c>
      <c r="E59" s="5" t="s">
        <v>262</v>
      </c>
      <c r="F59" s="41">
        <v>46381</v>
      </c>
      <c r="G59" s="42">
        <v>22890</v>
      </c>
    </row>
    <row r="60" spans="2:7" x14ac:dyDescent="0.25">
      <c r="B60" s="39">
        <v>4307</v>
      </c>
      <c r="C60" s="5" t="s">
        <v>327</v>
      </c>
      <c r="D60" s="40">
        <v>46051</v>
      </c>
      <c r="F60" s="41">
        <v>46381</v>
      </c>
      <c r="G60" s="42">
        <v>21750</v>
      </c>
    </row>
    <row r="61" spans="2:7" x14ac:dyDescent="0.25">
      <c r="B61" s="39">
        <v>9766</v>
      </c>
      <c r="C61" s="5" t="s">
        <v>328</v>
      </c>
      <c r="D61" s="40">
        <v>46051</v>
      </c>
      <c r="F61" s="41">
        <v>46381</v>
      </c>
      <c r="G61" s="42">
        <v>20158</v>
      </c>
    </row>
    <row r="62" spans="2:7" x14ac:dyDescent="0.25">
      <c r="B62" s="39" t="s">
        <v>329</v>
      </c>
      <c r="C62" s="5" t="s">
        <v>330</v>
      </c>
      <c r="D62" s="40">
        <v>46051</v>
      </c>
      <c r="F62" s="41">
        <v>46381</v>
      </c>
      <c r="G62" s="42">
        <v>18892</v>
      </c>
    </row>
    <row r="63" spans="2:7" x14ac:dyDescent="0.25">
      <c r="B63" s="39" t="s">
        <v>214</v>
      </c>
      <c r="C63" s="5" t="s">
        <v>331</v>
      </c>
      <c r="D63" s="40">
        <v>46051</v>
      </c>
      <c r="E63" s="5" t="s">
        <v>259</v>
      </c>
      <c r="F63" s="41">
        <v>46381</v>
      </c>
      <c r="G63" s="42">
        <v>18723</v>
      </c>
    </row>
    <row r="64" spans="2:7" x14ac:dyDescent="0.25">
      <c r="B64" s="39" t="s">
        <v>215</v>
      </c>
      <c r="C64" s="5" t="s">
        <v>332</v>
      </c>
      <c r="D64" s="40">
        <v>46051</v>
      </c>
      <c r="E64" s="5" t="s">
        <v>259</v>
      </c>
      <c r="F64" s="41">
        <v>46381</v>
      </c>
      <c r="G64" s="42">
        <v>18124</v>
      </c>
    </row>
    <row r="65" spans="2:7" x14ac:dyDescent="0.25">
      <c r="B65" s="39" t="s">
        <v>216</v>
      </c>
      <c r="C65" s="5" t="s">
        <v>333</v>
      </c>
      <c r="D65" s="40">
        <v>46051</v>
      </c>
      <c r="E65" s="5" t="s">
        <v>262</v>
      </c>
      <c r="F65" s="41">
        <v>46381</v>
      </c>
      <c r="G65" s="42">
        <v>16885</v>
      </c>
    </row>
    <row r="66" spans="2:7" x14ac:dyDescent="0.25">
      <c r="B66" s="39" t="s">
        <v>217</v>
      </c>
      <c r="C66" s="5" t="s">
        <v>334</v>
      </c>
      <c r="D66" s="40">
        <v>46051</v>
      </c>
      <c r="E66" s="5" t="s">
        <v>259</v>
      </c>
      <c r="F66" s="41">
        <v>46381</v>
      </c>
      <c r="G66" s="42">
        <v>15287</v>
      </c>
    </row>
    <row r="67" spans="2:7" x14ac:dyDescent="0.25">
      <c r="B67" s="39" t="s">
        <v>219</v>
      </c>
      <c r="C67" s="5" t="s">
        <v>335</v>
      </c>
      <c r="D67" s="40">
        <v>46051</v>
      </c>
      <c r="E67" s="5" t="s">
        <v>259</v>
      </c>
      <c r="F67" s="41">
        <v>46381</v>
      </c>
      <c r="G67" s="42">
        <v>15173</v>
      </c>
    </row>
    <row r="68" spans="2:7" x14ac:dyDescent="0.25">
      <c r="B68" s="39" t="s">
        <v>336</v>
      </c>
      <c r="C68" s="5" t="s">
        <v>337</v>
      </c>
      <c r="D68" s="40">
        <v>46051</v>
      </c>
      <c r="F68" s="41">
        <v>46381</v>
      </c>
      <c r="G68" s="42">
        <v>14882</v>
      </c>
    </row>
    <row r="69" spans="2:7" x14ac:dyDescent="0.25">
      <c r="B69" s="39" t="s">
        <v>338</v>
      </c>
      <c r="C69" s="5" t="s">
        <v>339</v>
      </c>
      <c r="D69" s="40">
        <v>46051</v>
      </c>
      <c r="F69" s="41">
        <v>46381</v>
      </c>
      <c r="G69" s="42">
        <v>14717</v>
      </c>
    </row>
    <row r="70" spans="2:7" x14ac:dyDescent="0.25">
      <c r="B70" s="39" t="s">
        <v>340</v>
      </c>
      <c r="C70" s="5" t="s">
        <v>341</v>
      </c>
      <c r="D70" s="40">
        <v>46051</v>
      </c>
      <c r="F70" s="41">
        <v>46381</v>
      </c>
      <c r="G70" s="42">
        <v>14691</v>
      </c>
    </row>
    <row r="71" spans="2:7" x14ac:dyDescent="0.25">
      <c r="B71" s="39" t="s">
        <v>342</v>
      </c>
      <c r="C71" s="5" t="s">
        <v>343</v>
      </c>
      <c r="D71" s="40">
        <v>46051</v>
      </c>
      <c r="F71" s="41">
        <v>46381</v>
      </c>
      <c r="G71" s="42">
        <v>14499</v>
      </c>
    </row>
    <row r="72" spans="2:7" x14ac:dyDescent="0.25">
      <c r="B72" s="39" t="s">
        <v>344</v>
      </c>
      <c r="C72" s="5" t="s">
        <v>345</v>
      </c>
      <c r="D72" s="40">
        <v>46051</v>
      </c>
      <c r="F72" s="41">
        <v>46381</v>
      </c>
      <c r="G72" s="42">
        <v>13673</v>
      </c>
    </row>
    <row r="73" spans="2:7" x14ac:dyDescent="0.25">
      <c r="B73" s="39" t="s">
        <v>346</v>
      </c>
      <c r="C73" s="5" t="s">
        <v>347</v>
      </c>
      <c r="D73" s="40">
        <v>46051</v>
      </c>
      <c r="F73" s="41">
        <v>46381</v>
      </c>
      <c r="G73" s="42">
        <v>13111</v>
      </c>
    </row>
    <row r="74" spans="2:7" x14ac:dyDescent="0.25">
      <c r="B74" s="39" t="s">
        <v>220</v>
      </c>
      <c r="C74" s="5" t="s">
        <v>348</v>
      </c>
      <c r="D74" s="40">
        <v>46051</v>
      </c>
      <c r="F74" s="41">
        <v>46381</v>
      </c>
      <c r="G74" s="42">
        <v>12863</v>
      </c>
    </row>
    <row r="75" spans="2:7" x14ac:dyDescent="0.25">
      <c r="B75" s="39" t="s">
        <v>349</v>
      </c>
      <c r="C75" s="5" t="s">
        <v>350</v>
      </c>
      <c r="D75" s="40">
        <v>46051</v>
      </c>
      <c r="F75" s="41">
        <v>46381</v>
      </c>
      <c r="G75" s="42">
        <v>12578</v>
      </c>
    </row>
    <row r="76" spans="2:7" x14ac:dyDescent="0.25">
      <c r="B76" s="39" t="s">
        <v>351</v>
      </c>
      <c r="C76" s="5" t="s">
        <v>352</v>
      </c>
      <c r="D76" s="40">
        <v>46051</v>
      </c>
      <c r="E76" s="5" t="s">
        <v>262</v>
      </c>
      <c r="F76" s="41">
        <v>46381</v>
      </c>
      <c r="G76" s="42">
        <v>12339</v>
      </c>
    </row>
    <row r="77" spans="2:7" x14ac:dyDescent="0.25">
      <c r="B77" s="39" t="s">
        <v>221</v>
      </c>
      <c r="C77" s="5" t="s">
        <v>353</v>
      </c>
      <c r="D77" s="40">
        <v>46051</v>
      </c>
      <c r="F77" s="41">
        <v>46381</v>
      </c>
      <c r="G77" s="42">
        <v>11309</v>
      </c>
    </row>
    <row r="78" spans="2:7" x14ac:dyDescent="0.25">
      <c r="B78" s="39" t="s">
        <v>223</v>
      </c>
      <c r="C78" s="5" t="s">
        <v>354</v>
      </c>
      <c r="D78" s="40">
        <v>46051</v>
      </c>
      <c r="F78" s="41">
        <v>46381</v>
      </c>
      <c r="G78" s="42">
        <v>11281</v>
      </c>
    </row>
    <row r="79" spans="2:7" x14ac:dyDescent="0.25">
      <c r="B79" s="39">
        <v>8421</v>
      </c>
      <c r="C79" s="5" t="s">
        <v>355</v>
      </c>
      <c r="D79" s="40">
        <v>46051</v>
      </c>
      <c r="F79" s="41">
        <v>46381</v>
      </c>
      <c r="G79" s="42">
        <v>11183</v>
      </c>
    </row>
    <row r="80" spans="2:7" x14ac:dyDescent="0.25">
      <c r="B80" s="39">
        <v>6504</v>
      </c>
      <c r="C80" s="5" t="s">
        <v>356</v>
      </c>
      <c r="D80" s="40">
        <v>46051</v>
      </c>
      <c r="F80" s="41">
        <v>46381</v>
      </c>
      <c r="G80" s="42">
        <v>10234</v>
      </c>
    </row>
    <row r="81" spans="2:7" x14ac:dyDescent="0.25">
      <c r="B81" s="39">
        <v>9501</v>
      </c>
      <c r="C81" s="5" t="s">
        <v>357</v>
      </c>
      <c r="D81" s="40">
        <v>46051</v>
      </c>
      <c r="F81" s="41">
        <v>46381</v>
      </c>
      <c r="G81" s="42">
        <v>9110</v>
      </c>
    </row>
    <row r="82" spans="2:7" x14ac:dyDescent="0.25">
      <c r="B82" s="39" t="s">
        <v>224</v>
      </c>
      <c r="C82" s="5" t="s">
        <v>358</v>
      </c>
      <c r="D82" s="40">
        <v>46051</v>
      </c>
      <c r="F82" s="41">
        <v>46381</v>
      </c>
      <c r="G82" s="42">
        <v>9065</v>
      </c>
    </row>
    <row r="83" spans="2:7" x14ac:dyDescent="0.25">
      <c r="B83" s="39" t="s">
        <v>225</v>
      </c>
      <c r="C83" s="5" t="s">
        <v>359</v>
      </c>
      <c r="D83" s="40">
        <v>46051</v>
      </c>
      <c r="E83" s="5" t="s">
        <v>259</v>
      </c>
      <c r="F83" s="41">
        <v>46381</v>
      </c>
      <c r="G83" s="42">
        <v>8958</v>
      </c>
    </row>
    <row r="84" spans="2:7" x14ac:dyDescent="0.25">
      <c r="B84" s="39">
        <v>1944</v>
      </c>
      <c r="C84" s="5" t="s">
        <v>360</v>
      </c>
      <c r="D84" s="40">
        <v>46051</v>
      </c>
      <c r="F84" s="41">
        <v>46381</v>
      </c>
      <c r="G84" s="42">
        <v>8847</v>
      </c>
    </row>
    <row r="85" spans="2:7" x14ac:dyDescent="0.25">
      <c r="B85" s="39" t="s">
        <v>361</v>
      </c>
      <c r="C85" s="5" t="s">
        <v>362</v>
      </c>
      <c r="D85" s="40">
        <v>46051</v>
      </c>
      <c r="F85" s="41">
        <v>46381</v>
      </c>
      <c r="G85" s="42">
        <v>8669</v>
      </c>
    </row>
    <row r="86" spans="2:7" x14ac:dyDescent="0.25">
      <c r="B86" s="39">
        <v>6586</v>
      </c>
      <c r="C86" s="5" t="s">
        <v>363</v>
      </c>
      <c r="D86" s="40">
        <v>46051</v>
      </c>
      <c r="F86" s="41">
        <v>46381</v>
      </c>
      <c r="G86" s="42">
        <v>8552</v>
      </c>
    </row>
    <row r="87" spans="2:7" x14ac:dyDescent="0.25">
      <c r="B87" s="39" t="s">
        <v>226</v>
      </c>
      <c r="C87" s="5" t="s">
        <v>364</v>
      </c>
      <c r="D87" s="40">
        <v>46051</v>
      </c>
      <c r="E87" s="5" t="s">
        <v>262</v>
      </c>
      <c r="F87" s="41">
        <v>46381</v>
      </c>
      <c r="G87" s="42">
        <v>8410</v>
      </c>
    </row>
    <row r="88" spans="2:7" x14ac:dyDescent="0.25">
      <c r="B88" s="39" t="s">
        <v>227</v>
      </c>
      <c r="C88" s="5" t="s">
        <v>365</v>
      </c>
      <c r="D88" s="40">
        <v>46051</v>
      </c>
      <c r="F88" s="41">
        <v>46381</v>
      </c>
      <c r="G88" s="42">
        <v>8402</v>
      </c>
    </row>
    <row r="89" spans="2:7" x14ac:dyDescent="0.25">
      <c r="B89" s="39" t="s">
        <v>228</v>
      </c>
      <c r="C89" s="5" t="s">
        <v>366</v>
      </c>
      <c r="D89" s="40">
        <v>46051</v>
      </c>
      <c r="F89" s="41">
        <v>46381</v>
      </c>
      <c r="G89" s="42">
        <v>8273</v>
      </c>
    </row>
    <row r="90" spans="2:7" x14ac:dyDescent="0.25">
      <c r="B90" s="39" t="s">
        <v>213</v>
      </c>
      <c r="C90" s="5" t="s">
        <v>367</v>
      </c>
      <c r="D90" s="40">
        <v>46051</v>
      </c>
      <c r="E90" s="5" t="s">
        <v>262</v>
      </c>
      <c r="F90" s="41">
        <v>46381</v>
      </c>
      <c r="G90" s="42">
        <v>8144</v>
      </c>
    </row>
    <row r="91" spans="2:7" x14ac:dyDescent="0.25">
      <c r="B91" s="39">
        <v>3443</v>
      </c>
      <c r="C91" s="5" t="s">
        <v>368</v>
      </c>
      <c r="D91" s="40">
        <v>46051</v>
      </c>
      <c r="F91" s="41">
        <v>46381</v>
      </c>
      <c r="G91" s="42">
        <v>8123</v>
      </c>
    </row>
    <row r="92" spans="2:7" x14ac:dyDescent="0.25">
      <c r="B92" s="39" t="s">
        <v>212</v>
      </c>
      <c r="C92" s="5" t="s">
        <v>369</v>
      </c>
      <c r="D92" s="40">
        <v>46051</v>
      </c>
      <c r="F92" s="41">
        <v>46381</v>
      </c>
      <c r="G92" s="42">
        <v>7275</v>
      </c>
    </row>
    <row r="93" spans="2:7" x14ac:dyDescent="0.25">
      <c r="B93" s="39" t="s">
        <v>194</v>
      </c>
      <c r="C93" s="5" t="s">
        <v>370</v>
      </c>
      <c r="D93" s="40">
        <v>46051</v>
      </c>
      <c r="E93" s="5" t="s">
        <v>262</v>
      </c>
      <c r="F93" s="41">
        <v>46351</v>
      </c>
      <c r="G93" s="42">
        <v>6985</v>
      </c>
    </row>
    <row r="94" spans="2:7" x14ac:dyDescent="0.25">
      <c r="B94" s="39" t="s">
        <v>187</v>
      </c>
      <c r="C94" s="5" t="s">
        <v>371</v>
      </c>
      <c r="D94" s="40">
        <v>46051</v>
      </c>
      <c r="E94" s="5" t="s">
        <v>259</v>
      </c>
      <c r="F94" s="41">
        <v>46381</v>
      </c>
      <c r="G94" s="42">
        <v>6977</v>
      </c>
    </row>
    <row r="95" spans="2:7" x14ac:dyDescent="0.25">
      <c r="B95" s="39">
        <v>4204</v>
      </c>
      <c r="C95" s="5" t="s">
        <v>372</v>
      </c>
      <c r="D95" s="40">
        <v>46051</v>
      </c>
      <c r="F95" s="41">
        <v>46381</v>
      </c>
      <c r="G95" s="42">
        <v>6963</v>
      </c>
    </row>
    <row r="96" spans="2:7" x14ac:dyDescent="0.25">
      <c r="B96" s="39" t="s">
        <v>189</v>
      </c>
      <c r="C96" s="5" t="s">
        <v>373</v>
      </c>
      <c r="D96" s="40">
        <v>46051</v>
      </c>
      <c r="E96" s="5" t="s">
        <v>259</v>
      </c>
      <c r="F96" s="41">
        <v>46381</v>
      </c>
      <c r="G96" s="42">
        <v>6948</v>
      </c>
    </row>
    <row r="97" spans="2:7" x14ac:dyDescent="0.25">
      <c r="B97" s="39" t="s">
        <v>190</v>
      </c>
      <c r="C97" s="5" t="s">
        <v>374</v>
      </c>
      <c r="D97" s="40">
        <v>46051</v>
      </c>
      <c r="F97" s="41">
        <v>46381</v>
      </c>
      <c r="G97" s="42">
        <v>6932</v>
      </c>
    </row>
    <row r="98" spans="2:7" x14ac:dyDescent="0.25">
      <c r="B98" s="39" t="s">
        <v>192</v>
      </c>
      <c r="C98" s="5" t="s">
        <v>375</v>
      </c>
      <c r="D98" s="40">
        <v>46051</v>
      </c>
      <c r="F98" s="41">
        <v>46381</v>
      </c>
      <c r="G98" s="42">
        <v>6777</v>
      </c>
    </row>
    <row r="99" spans="2:7" x14ac:dyDescent="0.25">
      <c r="B99" s="39" t="s">
        <v>193</v>
      </c>
      <c r="C99" s="5" t="s">
        <v>376</v>
      </c>
      <c r="D99" s="40">
        <v>46051</v>
      </c>
      <c r="E99" s="5" t="s">
        <v>262</v>
      </c>
      <c r="F99" s="41">
        <v>46381</v>
      </c>
      <c r="G99" s="42">
        <v>6636</v>
      </c>
    </row>
    <row r="100" spans="2:7" x14ac:dyDescent="0.25">
      <c r="B100" s="39">
        <v>6305</v>
      </c>
      <c r="C100" s="5" t="s">
        <v>377</v>
      </c>
      <c r="D100" s="40">
        <v>46051</v>
      </c>
      <c r="F100" s="41">
        <v>46381</v>
      </c>
      <c r="G100" s="42">
        <v>6372</v>
      </c>
    </row>
    <row r="101" spans="2:7" x14ac:dyDescent="0.25">
      <c r="B101" s="39">
        <v>500830</v>
      </c>
      <c r="C101" s="5" t="s">
        <v>378</v>
      </c>
      <c r="D101" s="40">
        <v>46051</v>
      </c>
      <c r="F101" s="41">
        <v>46381</v>
      </c>
      <c r="G101" s="42">
        <v>6320</v>
      </c>
    </row>
    <row r="102" spans="2:7" x14ac:dyDescent="0.25">
      <c r="B102" s="39">
        <v>5333</v>
      </c>
      <c r="C102" s="5" t="s">
        <v>379</v>
      </c>
      <c r="D102" s="40">
        <v>46051</v>
      </c>
      <c r="F102" s="41">
        <v>46381</v>
      </c>
      <c r="G102" s="42">
        <v>6277</v>
      </c>
    </row>
    <row r="103" spans="2:7" x14ac:dyDescent="0.25">
      <c r="B103" s="39" t="s">
        <v>197</v>
      </c>
      <c r="C103" s="5" t="s">
        <v>380</v>
      </c>
      <c r="D103" s="40">
        <v>46051</v>
      </c>
      <c r="F103" s="41">
        <v>46381</v>
      </c>
      <c r="G103" s="42">
        <v>6081</v>
      </c>
    </row>
    <row r="104" spans="2:7" x14ac:dyDescent="0.25">
      <c r="B104" s="39">
        <v>5929</v>
      </c>
      <c r="C104" s="5" t="s">
        <v>381</v>
      </c>
      <c r="D104" s="40">
        <v>46051</v>
      </c>
      <c r="F104" s="41">
        <v>46381</v>
      </c>
      <c r="G104" s="42">
        <v>5567</v>
      </c>
    </row>
    <row r="105" spans="2:7" x14ac:dyDescent="0.25">
      <c r="B105" s="39">
        <v>6967</v>
      </c>
      <c r="C105" s="5" t="s">
        <v>382</v>
      </c>
      <c r="D105" s="40">
        <v>46051</v>
      </c>
      <c r="F105" s="41">
        <v>46381</v>
      </c>
      <c r="G105" s="42">
        <v>5541</v>
      </c>
    </row>
    <row r="106" spans="2:7" x14ac:dyDescent="0.25">
      <c r="B106" s="39" t="s">
        <v>200</v>
      </c>
      <c r="C106" s="5" t="s">
        <v>383</v>
      </c>
      <c r="D106" s="40">
        <v>46051</v>
      </c>
      <c r="E106" s="5" t="s">
        <v>262</v>
      </c>
      <c r="F106" s="41">
        <v>46381</v>
      </c>
      <c r="G106" s="42">
        <v>5422</v>
      </c>
    </row>
    <row r="107" spans="2:7" x14ac:dyDescent="0.25">
      <c r="B107" s="39" t="s">
        <v>202</v>
      </c>
      <c r="C107" s="5" t="s">
        <v>384</v>
      </c>
      <c r="D107" s="40">
        <v>46051</v>
      </c>
      <c r="E107" s="5" t="s">
        <v>262</v>
      </c>
      <c r="F107" s="41">
        <v>46381</v>
      </c>
      <c r="G107" s="42">
        <v>5418</v>
      </c>
    </row>
    <row r="108" spans="2:7" x14ac:dyDescent="0.25">
      <c r="B108" s="39" t="s">
        <v>385</v>
      </c>
      <c r="C108" s="5" t="s">
        <v>386</v>
      </c>
      <c r="D108" s="40">
        <v>46051</v>
      </c>
      <c r="F108" s="41">
        <v>46381</v>
      </c>
      <c r="G108" s="42">
        <v>5277</v>
      </c>
    </row>
    <row r="109" spans="2:7" x14ac:dyDescent="0.25">
      <c r="B109" s="39" t="s">
        <v>203</v>
      </c>
      <c r="C109" s="5" t="s">
        <v>387</v>
      </c>
      <c r="D109" s="40">
        <v>46051</v>
      </c>
      <c r="E109" s="5" t="s">
        <v>259</v>
      </c>
      <c r="F109" s="41">
        <v>46381</v>
      </c>
      <c r="G109" s="42">
        <v>5242</v>
      </c>
    </row>
    <row r="110" spans="2:7" x14ac:dyDescent="0.25">
      <c r="B110" s="39" t="s">
        <v>204</v>
      </c>
      <c r="C110" s="5" t="s">
        <v>388</v>
      </c>
      <c r="D110" s="40">
        <v>46051</v>
      </c>
      <c r="E110" s="5" t="s">
        <v>262</v>
      </c>
      <c r="F110" s="41">
        <v>46381</v>
      </c>
      <c r="G110" s="42">
        <v>5189</v>
      </c>
    </row>
    <row r="111" spans="2:7" x14ac:dyDescent="0.25">
      <c r="B111" s="39" t="s">
        <v>205</v>
      </c>
      <c r="C111" s="5" t="s">
        <v>389</v>
      </c>
      <c r="D111" s="40">
        <v>46051</v>
      </c>
      <c r="E111" s="5" t="s">
        <v>259</v>
      </c>
      <c r="F111" s="41">
        <v>46381</v>
      </c>
      <c r="G111" s="42">
        <v>5029</v>
      </c>
    </row>
    <row r="112" spans="2:7" x14ac:dyDescent="0.25">
      <c r="B112" s="39" t="s">
        <v>206</v>
      </c>
      <c r="C112" s="5" t="s">
        <v>390</v>
      </c>
      <c r="D112" s="40">
        <v>46051</v>
      </c>
      <c r="F112" s="41">
        <v>46381</v>
      </c>
      <c r="G112" s="42">
        <v>4935</v>
      </c>
    </row>
    <row r="113" spans="2:7" x14ac:dyDescent="0.25">
      <c r="B113" s="39" t="s">
        <v>207</v>
      </c>
      <c r="C113" s="5" t="s">
        <v>391</v>
      </c>
      <c r="D113" s="40">
        <v>46051</v>
      </c>
      <c r="E113" s="5" t="s">
        <v>262</v>
      </c>
      <c r="F113" s="41">
        <v>46381</v>
      </c>
      <c r="G113" s="42">
        <v>4846</v>
      </c>
    </row>
    <row r="114" spans="2:7" x14ac:dyDescent="0.25">
      <c r="B114" s="39" t="s">
        <v>209</v>
      </c>
      <c r="C114" s="5" t="s">
        <v>392</v>
      </c>
      <c r="D114" s="40">
        <v>46051</v>
      </c>
      <c r="E114" s="5" t="s">
        <v>259</v>
      </c>
      <c r="F114" s="41">
        <v>46381</v>
      </c>
      <c r="G114" s="42">
        <v>4811</v>
      </c>
    </row>
    <row r="115" spans="2:7" x14ac:dyDescent="0.25">
      <c r="B115" s="39" t="s">
        <v>129</v>
      </c>
      <c r="C115" s="5" t="s">
        <v>393</v>
      </c>
      <c r="D115" s="40">
        <v>46051</v>
      </c>
      <c r="E115" s="5" t="s">
        <v>262</v>
      </c>
      <c r="F115" s="41">
        <v>46381</v>
      </c>
      <c r="G115" s="42">
        <v>4788</v>
      </c>
    </row>
    <row r="116" spans="2:7" x14ac:dyDescent="0.25">
      <c r="B116" s="39" t="s">
        <v>211</v>
      </c>
      <c r="C116" s="5" t="s">
        <v>394</v>
      </c>
      <c r="D116" s="40">
        <v>46051</v>
      </c>
      <c r="E116" s="5" t="s">
        <v>259</v>
      </c>
      <c r="F116" s="41">
        <v>46381</v>
      </c>
      <c r="G116" s="42">
        <v>4780</v>
      </c>
    </row>
    <row r="117" spans="2:7" x14ac:dyDescent="0.25">
      <c r="B117" s="39" t="s">
        <v>128</v>
      </c>
      <c r="C117" s="5" t="s">
        <v>395</v>
      </c>
      <c r="D117" s="40">
        <v>46051</v>
      </c>
      <c r="E117" s="5" t="s">
        <v>259</v>
      </c>
      <c r="F117" s="41">
        <v>46381</v>
      </c>
      <c r="G117" s="42">
        <v>4721</v>
      </c>
    </row>
    <row r="118" spans="2:7" x14ac:dyDescent="0.25">
      <c r="B118" s="39" t="s">
        <v>103</v>
      </c>
      <c r="C118" s="5" t="s">
        <v>396</v>
      </c>
      <c r="D118" s="40">
        <v>46051</v>
      </c>
      <c r="E118" s="5" t="s">
        <v>262</v>
      </c>
      <c r="F118" s="41">
        <v>46381</v>
      </c>
      <c r="G118" s="42">
        <v>4650</v>
      </c>
    </row>
    <row r="119" spans="2:7" x14ac:dyDescent="0.25">
      <c r="B119" s="39" t="s">
        <v>54</v>
      </c>
      <c r="C119" s="5" t="s">
        <v>397</v>
      </c>
      <c r="D119" s="40">
        <v>46051</v>
      </c>
      <c r="E119" s="5" t="s">
        <v>262</v>
      </c>
      <c r="F119" s="41">
        <v>46381</v>
      </c>
      <c r="G119" s="42">
        <v>4630</v>
      </c>
    </row>
    <row r="120" spans="2:7" x14ac:dyDescent="0.25">
      <c r="B120" s="39" t="s">
        <v>398</v>
      </c>
      <c r="C120" s="5" t="s">
        <v>399</v>
      </c>
      <c r="D120" s="40">
        <v>46051</v>
      </c>
      <c r="F120" s="41">
        <v>46381</v>
      </c>
      <c r="G120" s="42">
        <v>4628</v>
      </c>
    </row>
    <row r="121" spans="2:7" x14ac:dyDescent="0.25">
      <c r="B121" s="39" t="s">
        <v>56</v>
      </c>
      <c r="C121" s="5" t="s">
        <v>400</v>
      </c>
      <c r="D121" s="40">
        <v>46051</v>
      </c>
      <c r="F121" s="41">
        <v>46381</v>
      </c>
      <c r="G121" s="42">
        <v>4577</v>
      </c>
    </row>
    <row r="122" spans="2:7" x14ac:dyDescent="0.25">
      <c r="B122" s="39" t="s">
        <v>57</v>
      </c>
      <c r="C122" s="5" t="s">
        <v>401</v>
      </c>
      <c r="D122" s="40">
        <v>46051</v>
      </c>
      <c r="E122" s="5" t="s">
        <v>259</v>
      </c>
      <c r="F122" s="41">
        <v>46381</v>
      </c>
      <c r="G122" s="42">
        <v>4516</v>
      </c>
    </row>
    <row r="123" spans="2:7" x14ac:dyDescent="0.25">
      <c r="B123" s="39" t="s">
        <v>59</v>
      </c>
      <c r="C123" s="5" t="s">
        <v>402</v>
      </c>
      <c r="D123" s="40">
        <v>46051</v>
      </c>
      <c r="E123" s="5" t="s">
        <v>259</v>
      </c>
      <c r="F123" s="41">
        <v>46381</v>
      </c>
      <c r="G123" s="42">
        <v>4455</v>
      </c>
    </row>
    <row r="124" spans="2:7" x14ac:dyDescent="0.25">
      <c r="B124" s="39">
        <v>500067</v>
      </c>
      <c r="C124" s="5" t="s">
        <v>403</v>
      </c>
      <c r="D124" s="40">
        <v>46051</v>
      </c>
      <c r="F124" s="41">
        <v>46381</v>
      </c>
      <c r="G124" s="42">
        <v>4398</v>
      </c>
    </row>
    <row r="125" spans="2:7" x14ac:dyDescent="0.25">
      <c r="B125" s="39" t="s">
        <v>61</v>
      </c>
      <c r="C125" s="5" t="s">
        <v>404</v>
      </c>
      <c r="D125" s="40">
        <v>46051</v>
      </c>
      <c r="E125" s="5" t="s">
        <v>262</v>
      </c>
      <c r="F125" s="41">
        <v>46381</v>
      </c>
      <c r="G125" s="42">
        <v>4334</v>
      </c>
    </row>
    <row r="126" spans="2:7" x14ac:dyDescent="0.25">
      <c r="B126" s="39" t="s">
        <v>63</v>
      </c>
      <c r="C126" s="5" t="s">
        <v>405</v>
      </c>
      <c r="D126" s="40">
        <v>46051</v>
      </c>
      <c r="E126" s="5" t="s">
        <v>259</v>
      </c>
      <c r="F126" s="41">
        <v>46381</v>
      </c>
      <c r="G126" s="42">
        <v>4274</v>
      </c>
    </row>
    <row r="127" spans="2:7" x14ac:dyDescent="0.25">
      <c r="B127" s="39" t="s">
        <v>406</v>
      </c>
      <c r="C127" s="5" t="s">
        <v>407</v>
      </c>
      <c r="D127" s="40">
        <v>46051</v>
      </c>
      <c r="F127" s="41">
        <v>46381</v>
      </c>
      <c r="G127" s="42">
        <v>4195</v>
      </c>
    </row>
    <row r="128" spans="2:7" x14ac:dyDescent="0.25">
      <c r="B128" s="39" t="s">
        <v>65</v>
      </c>
      <c r="C128" s="5" t="s">
        <v>408</v>
      </c>
      <c r="D128" s="40">
        <v>46051</v>
      </c>
      <c r="F128" s="41">
        <v>46381</v>
      </c>
      <c r="G128" s="42">
        <v>3876</v>
      </c>
    </row>
    <row r="129" spans="2:7" x14ac:dyDescent="0.25">
      <c r="B129" s="39" t="s">
        <v>66</v>
      </c>
      <c r="C129" s="5" t="s">
        <v>409</v>
      </c>
      <c r="D129" s="40">
        <v>46051</v>
      </c>
      <c r="E129" s="5" t="s">
        <v>259</v>
      </c>
      <c r="F129" s="41">
        <v>46381</v>
      </c>
      <c r="G129" s="42">
        <v>3809</v>
      </c>
    </row>
    <row r="130" spans="2:7" x14ac:dyDescent="0.25">
      <c r="B130" s="39" t="s">
        <v>410</v>
      </c>
      <c r="C130" s="5" t="s">
        <v>411</v>
      </c>
      <c r="D130" s="40">
        <v>46051</v>
      </c>
      <c r="F130" s="41">
        <v>46381</v>
      </c>
      <c r="G130" s="42">
        <v>3734</v>
      </c>
    </row>
    <row r="131" spans="2:7" x14ac:dyDescent="0.25">
      <c r="B131" s="39" t="s">
        <v>412</v>
      </c>
      <c r="C131" s="5" t="s">
        <v>413</v>
      </c>
      <c r="D131" s="40">
        <v>46051</v>
      </c>
      <c r="F131" s="41">
        <v>46381</v>
      </c>
      <c r="G131" s="42">
        <v>3628</v>
      </c>
    </row>
    <row r="132" spans="2:7" x14ac:dyDescent="0.25">
      <c r="B132" s="39" t="s">
        <v>414</v>
      </c>
      <c r="C132" s="5" t="s">
        <v>415</v>
      </c>
      <c r="D132" s="40">
        <v>46051</v>
      </c>
      <c r="F132" s="41">
        <v>46381</v>
      </c>
      <c r="G132" s="42">
        <v>3621</v>
      </c>
    </row>
    <row r="133" spans="2:7" x14ac:dyDescent="0.25">
      <c r="B133" s="39" t="s">
        <v>68</v>
      </c>
      <c r="C133" s="5" t="s">
        <v>416</v>
      </c>
      <c r="D133" s="40">
        <v>46051</v>
      </c>
      <c r="E133" s="5" t="s">
        <v>259</v>
      </c>
      <c r="F133" s="41">
        <v>46381</v>
      </c>
      <c r="G133" s="42">
        <v>3161</v>
      </c>
    </row>
    <row r="134" spans="2:7" x14ac:dyDescent="0.25">
      <c r="B134" s="39" t="s">
        <v>417</v>
      </c>
      <c r="C134" s="5" t="s">
        <v>418</v>
      </c>
      <c r="D134" s="40">
        <v>46051</v>
      </c>
      <c r="F134" s="41">
        <v>46381</v>
      </c>
      <c r="G134" s="42">
        <v>3156</v>
      </c>
    </row>
    <row r="135" spans="2:7" x14ac:dyDescent="0.25">
      <c r="B135" s="39" t="s">
        <v>419</v>
      </c>
      <c r="C135" s="5" t="s">
        <v>420</v>
      </c>
      <c r="D135" s="40">
        <v>46051</v>
      </c>
      <c r="F135" s="41">
        <v>46381</v>
      </c>
      <c r="G135" s="42">
        <v>3058</v>
      </c>
    </row>
    <row r="136" spans="2:7" x14ac:dyDescent="0.25">
      <c r="B136" s="39" t="s">
        <v>80</v>
      </c>
      <c r="C136" s="5" t="s">
        <v>421</v>
      </c>
      <c r="D136" s="40">
        <v>46051</v>
      </c>
      <c r="E136" s="5" t="s">
        <v>262</v>
      </c>
      <c r="F136" s="41">
        <v>46381</v>
      </c>
      <c r="G136" s="42">
        <v>3057</v>
      </c>
    </row>
    <row r="137" spans="2:7" x14ac:dyDescent="0.25">
      <c r="B137" s="39" t="s">
        <v>69</v>
      </c>
      <c r="C137" s="5" t="s">
        <v>422</v>
      </c>
      <c r="D137" s="40">
        <v>46051</v>
      </c>
      <c r="E137" s="5" t="s">
        <v>259</v>
      </c>
      <c r="F137" s="41">
        <v>46381</v>
      </c>
      <c r="G137" s="42">
        <v>3040</v>
      </c>
    </row>
    <row r="138" spans="2:7" x14ac:dyDescent="0.25">
      <c r="B138" s="39" t="s">
        <v>423</v>
      </c>
      <c r="C138" s="5" t="s">
        <v>424</v>
      </c>
      <c r="D138" s="40">
        <v>46051</v>
      </c>
      <c r="F138" s="41">
        <v>46290</v>
      </c>
      <c r="G138" s="42">
        <v>2970</v>
      </c>
    </row>
    <row r="139" spans="2:7" x14ac:dyDescent="0.25">
      <c r="B139" s="39" t="s">
        <v>70</v>
      </c>
      <c r="C139" s="5" t="s">
        <v>425</v>
      </c>
      <c r="D139" s="40">
        <v>46051</v>
      </c>
      <c r="F139" s="41">
        <v>46381</v>
      </c>
      <c r="G139" s="42">
        <v>2937</v>
      </c>
    </row>
    <row r="140" spans="2:7" x14ac:dyDescent="0.25">
      <c r="B140" s="39" t="s">
        <v>426</v>
      </c>
      <c r="C140" s="5" t="s">
        <v>427</v>
      </c>
      <c r="D140" s="40">
        <v>46051</v>
      </c>
      <c r="F140" s="41">
        <v>46381</v>
      </c>
      <c r="G140" s="42">
        <v>2921</v>
      </c>
    </row>
    <row r="141" spans="2:7" x14ac:dyDescent="0.25">
      <c r="B141" s="39" t="s">
        <v>71</v>
      </c>
      <c r="C141" s="5" t="s">
        <v>428</v>
      </c>
      <c r="D141" s="40">
        <v>46051</v>
      </c>
      <c r="E141" s="5" t="s">
        <v>262</v>
      </c>
      <c r="F141" s="41">
        <v>46381</v>
      </c>
      <c r="G141" s="42">
        <v>2921</v>
      </c>
    </row>
    <row r="142" spans="2:7" x14ac:dyDescent="0.25">
      <c r="B142" s="39" t="s">
        <v>73</v>
      </c>
      <c r="C142" s="5" t="s">
        <v>429</v>
      </c>
      <c r="D142" s="40">
        <v>46051</v>
      </c>
      <c r="F142" s="41">
        <v>46381</v>
      </c>
      <c r="G142" s="42">
        <v>2864</v>
      </c>
    </row>
    <row r="143" spans="2:7" x14ac:dyDescent="0.25">
      <c r="B143" s="39" t="s">
        <v>75</v>
      </c>
      <c r="C143" s="5" t="s">
        <v>430</v>
      </c>
      <c r="D143" s="40">
        <v>46051</v>
      </c>
      <c r="E143" s="5" t="s">
        <v>259</v>
      </c>
      <c r="F143" s="41">
        <v>46381</v>
      </c>
      <c r="G143" s="42">
        <v>2821</v>
      </c>
    </row>
    <row r="144" spans="2:7" x14ac:dyDescent="0.25">
      <c r="B144" s="39" t="s">
        <v>431</v>
      </c>
      <c r="C144" s="5" t="s">
        <v>432</v>
      </c>
      <c r="D144" s="40">
        <v>46051</v>
      </c>
      <c r="F144" s="41">
        <v>46381</v>
      </c>
      <c r="G144" s="42">
        <v>2772</v>
      </c>
    </row>
    <row r="145" spans="2:7" x14ac:dyDescent="0.25">
      <c r="B145" s="39">
        <v>531213</v>
      </c>
      <c r="C145" s="5" t="s">
        <v>433</v>
      </c>
      <c r="D145" s="40">
        <v>46051</v>
      </c>
      <c r="F145" s="41">
        <v>46381</v>
      </c>
      <c r="G145" s="42">
        <v>2709</v>
      </c>
    </row>
    <row r="146" spans="2:7" x14ac:dyDescent="0.25">
      <c r="B146" s="39" t="s">
        <v>77</v>
      </c>
      <c r="C146" s="5" t="s">
        <v>434</v>
      </c>
      <c r="D146" s="40">
        <v>46051</v>
      </c>
      <c r="E146" s="5" t="s">
        <v>259</v>
      </c>
      <c r="F146" s="41">
        <v>46381</v>
      </c>
      <c r="G146" s="42">
        <v>2642</v>
      </c>
    </row>
    <row r="147" spans="2:7" x14ac:dyDescent="0.25">
      <c r="B147" s="39" t="s">
        <v>79</v>
      </c>
      <c r="C147" s="5" t="s">
        <v>435</v>
      </c>
      <c r="D147" s="40">
        <v>46051</v>
      </c>
      <c r="E147" s="5" t="s">
        <v>259</v>
      </c>
      <c r="F147" s="41">
        <v>46381</v>
      </c>
      <c r="G147" s="42">
        <v>2548</v>
      </c>
    </row>
    <row r="148" spans="2:7" x14ac:dyDescent="0.25">
      <c r="B148" s="39">
        <v>6923</v>
      </c>
      <c r="C148" s="5" t="s">
        <v>436</v>
      </c>
      <c r="D148" s="40">
        <v>46051</v>
      </c>
      <c r="F148" s="41">
        <v>46381</v>
      </c>
      <c r="G148" s="42">
        <v>2544</v>
      </c>
    </row>
    <row r="149" spans="2:7" x14ac:dyDescent="0.25">
      <c r="B149" s="39" t="s">
        <v>52</v>
      </c>
      <c r="C149" s="5" t="s">
        <v>437</v>
      </c>
      <c r="D149" s="40">
        <v>46051</v>
      </c>
      <c r="E149" s="5" t="s">
        <v>259</v>
      </c>
      <c r="F149" s="41">
        <v>46381</v>
      </c>
      <c r="G149" s="42">
        <v>2531</v>
      </c>
    </row>
    <row r="150" spans="2:7" x14ac:dyDescent="0.25">
      <c r="B150" s="39" t="s">
        <v>438</v>
      </c>
      <c r="C150" s="5" t="s">
        <v>439</v>
      </c>
      <c r="D150" s="40">
        <v>46051</v>
      </c>
      <c r="F150" s="41">
        <v>46381</v>
      </c>
      <c r="G150" s="42">
        <v>2302</v>
      </c>
    </row>
    <row r="151" spans="2:7" x14ac:dyDescent="0.25">
      <c r="B151" s="39" t="s">
        <v>50</v>
      </c>
      <c r="C151" s="5" t="s">
        <v>440</v>
      </c>
      <c r="D151" s="40">
        <v>46051</v>
      </c>
      <c r="E151" s="5" t="s">
        <v>259</v>
      </c>
      <c r="F151" s="41">
        <v>46381</v>
      </c>
      <c r="G151" s="42">
        <v>2189</v>
      </c>
    </row>
    <row r="152" spans="2:7" x14ac:dyDescent="0.25">
      <c r="B152" s="39" t="s">
        <v>49</v>
      </c>
      <c r="C152" s="5" t="s">
        <v>441</v>
      </c>
      <c r="D152" s="40">
        <v>46051</v>
      </c>
      <c r="F152" s="41">
        <v>46381</v>
      </c>
      <c r="G152" s="42">
        <v>2169</v>
      </c>
    </row>
    <row r="153" spans="2:7" x14ac:dyDescent="0.25">
      <c r="B153" s="39" t="s">
        <v>48</v>
      </c>
      <c r="C153" s="5" t="s">
        <v>442</v>
      </c>
      <c r="D153" s="40">
        <v>46051</v>
      </c>
      <c r="F153" s="41">
        <v>46381</v>
      </c>
      <c r="G153" s="42">
        <v>2153</v>
      </c>
    </row>
    <row r="154" spans="2:7" x14ac:dyDescent="0.25">
      <c r="B154" s="39">
        <v>9044</v>
      </c>
      <c r="C154" s="5" t="s">
        <v>443</v>
      </c>
      <c r="D154" s="40">
        <v>46051</v>
      </c>
      <c r="F154" s="41">
        <v>46381</v>
      </c>
      <c r="G154" s="42">
        <v>2003</v>
      </c>
    </row>
    <row r="155" spans="2:7" x14ac:dyDescent="0.25">
      <c r="B155" s="39">
        <v>8366</v>
      </c>
      <c r="C155" s="5" t="s">
        <v>444</v>
      </c>
      <c r="D155" s="40">
        <v>46051</v>
      </c>
      <c r="F155" s="41">
        <v>46381</v>
      </c>
      <c r="G155" s="42">
        <v>1994</v>
      </c>
    </row>
    <row r="156" spans="2:7" x14ac:dyDescent="0.25">
      <c r="B156" s="39">
        <v>6754</v>
      </c>
      <c r="C156" s="5" t="s">
        <v>445</v>
      </c>
      <c r="D156" s="40">
        <v>46051</v>
      </c>
      <c r="F156" s="41">
        <v>46381</v>
      </c>
      <c r="G156" s="42">
        <v>1939</v>
      </c>
    </row>
    <row r="157" spans="2:7" x14ac:dyDescent="0.25">
      <c r="B157" s="39">
        <v>7380</v>
      </c>
      <c r="C157" s="5" t="s">
        <v>446</v>
      </c>
      <c r="D157" s="40">
        <v>46051</v>
      </c>
      <c r="F157" s="41">
        <v>46381</v>
      </c>
      <c r="G157" s="42">
        <v>1935</v>
      </c>
    </row>
    <row r="158" spans="2:7" x14ac:dyDescent="0.25">
      <c r="B158" s="39" t="s">
        <v>447</v>
      </c>
      <c r="C158" s="5" t="s">
        <v>448</v>
      </c>
      <c r="D158" s="40">
        <v>46051</v>
      </c>
      <c r="F158" s="41">
        <v>46381</v>
      </c>
      <c r="G158" s="42">
        <v>1930</v>
      </c>
    </row>
    <row r="159" spans="2:7" x14ac:dyDescent="0.25">
      <c r="B159" s="39">
        <v>5471</v>
      </c>
      <c r="C159" s="5" t="s">
        <v>449</v>
      </c>
      <c r="D159" s="40">
        <v>46051</v>
      </c>
      <c r="F159" s="41">
        <v>46381</v>
      </c>
      <c r="G159" s="42">
        <v>1877</v>
      </c>
    </row>
    <row r="160" spans="2:7" x14ac:dyDescent="0.25">
      <c r="B160" s="39" t="s">
        <v>450</v>
      </c>
      <c r="C160" s="5" t="s">
        <v>451</v>
      </c>
      <c r="D160" s="40">
        <v>46051</v>
      </c>
      <c r="F160" s="41">
        <v>46381</v>
      </c>
      <c r="G160" s="42">
        <v>1873</v>
      </c>
    </row>
    <row r="161" spans="2:7" x14ac:dyDescent="0.25">
      <c r="B161" s="39">
        <v>9436</v>
      </c>
      <c r="C161" s="5" t="s">
        <v>452</v>
      </c>
      <c r="D161" s="40">
        <v>46051</v>
      </c>
      <c r="F161" s="41">
        <v>46381</v>
      </c>
      <c r="G161" s="42">
        <v>1872</v>
      </c>
    </row>
    <row r="162" spans="2:7" x14ac:dyDescent="0.25">
      <c r="B162" s="39" t="s">
        <v>29</v>
      </c>
      <c r="C162" s="5" t="s">
        <v>453</v>
      </c>
      <c r="D162" s="40">
        <v>46051</v>
      </c>
      <c r="F162" s="41">
        <v>46381</v>
      </c>
      <c r="G162" s="42">
        <v>1817</v>
      </c>
    </row>
    <row r="163" spans="2:7" x14ac:dyDescent="0.25">
      <c r="B163" s="39" t="s">
        <v>31</v>
      </c>
      <c r="C163" s="5" t="s">
        <v>454</v>
      </c>
      <c r="D163" s="40">
        <v>46051</v>
      </c>
      <c r="F163" s="41">
        <v>46381</v>
      </c>
      <c r="G163" s="42">
        <v>1815</v>
      </c>
    </row>
    <row r="164" spans="2:7" x14ac:dyDescent="0.25">
      <c r="B164" s="39">
        <v>6135</v>
      </c>
      <c r="C164" s="5" t="s">
        <v>455</v>
      </c>
      <c r="D164" s="40">
        <v>46051</v>
      </c>
      <c r="F164" s="41">
        <v>46381</v>
      </c>
      <c r="G164" s="42">
        <v>1814</v>
      </c>
    </row>
    <row r="165" spans="2:7" x14ac:dyDescent="0.25">
      <c r="B165" s="39">
        <v>6952</v>
      </c>
      <c r="C165" s="5" t="s">
        <v>456</v>
      </c>
      <c r="D165" s="40">
        <v>46051</v>
      </c>
      <c r="F165" s="41">
        <v>46381</v>
      </c>
      <c r="G165" s="42">
        <v>1809</v>
      </c>
    </row>
    <row r="166" spans="2:7" x14ac:dyDescent="0.25">
      <c r="B166" s="39">
        <v>6995</v>
      </c>
      <c r="C166" s="5" t="s">
        <v>457</v>
      </c>
      <c r="D166" s="40">
        <v>46051</v>
      </c>
      <c r="F166" s="41">
        <v>46381</v>
      </c>
      <c r="G166" s="42">
        <v>1802</v>
      </c>
    </row>
    <row r="167" spans="2:7" x14ac:dyDescent="0.25">
      <c r="B167" s="39" t="s">
        <v>36</v>
      </c>
      <c r="C167" s="5" t="s">
        <v>458</v>
      </c>
      <c r="D167" s="40">
        <v>46051</v>
      </c>
      <c r="F167" s="41">
        <v>46381</v>
      </c>
      <c r="G167" s="42">
        <v>1785</v>
      </c>
    </row>
    <row r="168" spans="2:7" x14ac:dyDescent="0.25">
      <c r="B168" s="39">
        <v>2782</v>
      </c>
      <c r="C168" s="5" t="s">
        <v>459</v>
      </c>
      <c r="D168" s="40">
        <v>46051</v>
      </c>
      <c r="F168" s="41">
        <v>46381</v>
      </c>
      <c r="G168" s="42">
        <v>1766</v>
      </c>
    </row>
    <row r="169" spans="2:7" x14ac:dyDescent="0.25">
      <c r="B169" s="39" t="s">
        <v>460</v>
      </c>
      <c r="C169" s="5" t="s">
        <v>461</v>
      </c>
      <c r="D169" s="40">
        <v>46051</v>
      </c>
      <c r="F169" s="41">
        <v>46381</v>
      </c>
      <c r="G169" s="42">
        <v>1765</v>
      </c>
    </row>
    <row r="170" spans="2:7" x14ac:dyDescent="0.25">
      <c r="B170" s="39" t="s">
        <v>462</v>
      </c>
      <c r="C170" s="5" t="s">
        <v>463</v>
      </c>
      <c r="D170" s="40">
        <v>46051</v>
      </c>
      <c r="F170" s="41">
        <v>46381</v>
      </c>
      <c r="G170" s="42">
        <v>1764</v>
      </c>
    </row>
    <row r="171" spans="2:7" x14ac:dyDescent="0.25">
      <c r="B171" s="39" t="s">
        <v>464</v>
      </c>
      <c r="C171" s="5" t="s">
        <v>465</v>
      </c>
      <c r="D171" s="40">
        <v>46051</v>
      </c>
      <c r="F171" s="41">
        <v>46381</v>
      </c>
      <c r="G171" s="42">
        <v>1739</v>
      </c>
    </row>
    <row r="172" spans="2:7" x14ac:dyDescent="0.25">
      <c r="B172" s="39" t="s">
        <v>39</v>
      </c>
      <c r="C172" s="5" t="s">
        <v>466</v>
      </c>
      <c r="D172" s="40">
        <v>46051</v>
      </c>
      <c r="E172" s="5" t="s">
        <v>259</v>
      </c>
      <c r="F172" s="41">
        <v>46381</v>
      </c>
      <c r="G172" s="42">
        <v>1731</v>
      </c>
    </row>
    <row r="173" spans="2:7" x14ac:dyDescent="0.25">
      <c r="B173" s="39" t="s">
        <v>467</v>
      </c>
      <c r="C173" s="5" t="s">
        <v>468</v>
      </c>
      <c r="D173" s="40">
        <v>46051</v>
      </c>
      <c r="F173" s="41">
        <v>46381</v>
      </c>
      <c r="G173" s="42">
        <v>1726</v>
      </c>
    </row>
    <row r="174" spans="2:7" x14ac:dyDescent="0.25">
      <c r="B174" s="39" t="s">
        <v>41</v>
      </c>
      <c r="C174" s="5" t="s">
        <v>469</v>
      </c>
      <c r="D174" s="40">
        <v>46051</v>
      </c>
      <c r="F174" s="41">
        <v>46381</v>
      </c>
      <c r="G174" s="42">
        <v>1630</v>
      </c>
    </row>
    <row r="175" spans="2:7" x14ac:dyDescent="0.25">
      <c r="B175" s="39" t="s">
        <v>43</v>
      </c>
      <c r="C175" s="5" t="s">
        <v>470</v>
      </c>
      <c r="D175" s="40">
        <v>46051</v>
      </c>
      <c r="F175" s="41">
        <v>46381</v>
      </c>
      <c r="G175" s="42">
        <v>1612</v>
      </c>
    </row>
    <row r="176" spans="2:7" x14ac:dyDescent="0.25">
      <c r="B176" s="39" t="s">
        <v>45</v>
      </c>
      <c r="C176" s="5" t="s">
        <v>471</v>
      </c>
      <c r="D176" s="40">
        <v>46051</v>
      </c>
      <c r="F176" s="41">
        <v>46381</v>
      </c>
      <c r="G176" s="42">
        <v>1610</v>
      </c>
    </row>
    <row r="177" spans="2:7" x14ac:dyDescent="0.25">
      <c r="B177" s="39">
        <v>533655</v>
      </c>
      <c r="C177" s="5" t="s">
        <v>472</v>
      </c>
      <c r="D177" s="40">
        <v>46051</v>
      </c>
      <c r="F177" s="41">
        <v>46381</v>
      </c>
      <c r="G177" s="42">
        <v>1607</v>
      </c>
    </row>
    <row r="178" spans="2:7" x14ac:dyDescent="0.25">
      <c r="B178" s="39" t="s">
        <v>46</v>
      </c>
      <c r="C178" s="5" t="s">
        <v>473</v>
      </c>
      <c r="D178" s="40">
        <v>46051</v>
      </c>
      <c r="F178" s="41">
        <v>46381</v>
      </c>
      <c r="G178" s="42">
        <v>1524</v>
      </c>
    </row>
    <row r="179" spans="2:7" x14ac:dyDescent="0.25">
      <c r="B179" s="39">
        <v>7205</v>
      </c>
      <c r="C179" s="5" t="s">
        <v>474</v>
      </c>
      <c r="D179" s="40">
        <v>46051</v>
      </c>
      <c r="F179" s="41">
        <v>46381</v>
      </c>
      <c r="G179" s="42">
        <v>1418</v>
      </c>
    </row>
    <row r="180" spans="2:7" x14ac:dyDescent="0.25">
      <c r="B180" s="39">
        <v>4373</v>
      </c>
      <c r="C180" s="5" t="s">
        <v>475</v>
      </c>
      <c r="D180" s="40">
        <v>46051</v>
      </c>
      <c r="F180" s="41">
        <v>46381</v>
      </c>
      <c r="G180" s="42">
        <v>1390</v>
      </c>
    </row>
    <row r="181" spans="2:7" x14ac:dyDescent="0.25">
      <c r="B181" s="39">
        <v>7947</v>
      </c>
      <c r="C181" s="5" t="s">
        <v>476</v>
      </c>
      <c r="D181" s="40">
        <v>46051</v>
      </c>
      <c r="F181" s="41">
        <v>46381</v>
      </c>
      <c r="G181" s="42">
        <v>1348</v>
      </c>
    </row>
    <row r="182" spans="2:7" x14ac:dyDescent="0.25">
      <c r="B182" s="39" t="s">
        <v>82</v>
      </c>
      <c r="C182" s="5" t="s">
        <v>477</v>
      </c>
      <c r="D182" s="40">
        <v>46051</v>
      </c>
      <c r="F182" s="41">
        <v>46381</v>
      </c>
      <c r="G182" s="42">
        <v>1328</v>
      </c>
    </row>
    <row r="183" spans="2:7" x14ac:dyDescent="0.25">
      <c r="B183" s="39">
        <v>9505</v>
      </c>
      <c r="C183" s="5" t="s">
        <v>478</v>
      </c>
      <c r="D183" s="40">
        <v>46051</v>
      </c>
      <c r="F183" s="41">
        <v>46381</v>
      </c>
      <c r="G183" s="42">
        <v>1283</v>
      </c>
    </row>
    <row r="184" spans="2:7" x14ac:dyDescent="0.25">
      <c r="B184" s="39" t="s">
        <v>107</v>
      </c>
      <c r="C184" s="5" t="s">
        <v>479</v>
      </c>
      <c r="D184" s="40">
        <v>46051</v>
      </c>
      <c r="F184" s="41">
        <v>46381</v>
      </c>
      <c r="G184" s="42">
        <v>1266</v>
      </c>
    </row>
    <row r="185" spans="2:7" x14ac:dyDescent="0.25">
      <c r="B185" s="39" t="s">
        <v>108</v>
      </c>
      <c r="C185" s="5" t="s">
        <v>480</v>
      </c>
      <c r="D185" s="40">
        <v>46051</v>
      </c>
      <c r="E185" s="5" t="s">
        <v>259</v>
      </c>
      <c r="F185" s="41">
        <v>46381</v>
      </c>
      <c r="G185" s="42">
        <v>1196</v>
      </c>
    </row>
    <row r="186" spans="2:7" x14ac:dyDescent="0.25">
      <c r="B186" s="39">
        <v>1950</v>
      </c>
      <c r="C186" s="5" t="s">
        <v>481</v>
      </c>
      <c r="D186" s="40">
        <v>46051</v>
      </c>
      <c r="F186" s="41">
        <v>46381</v>
      </c>
      <c r="G186" s="42">
        <v>1177</v>
      </c>
    </row>
    <row r="187" spans="2:7" x14ac:dyDescent="0.25">
      <c r="B187" s="39">
        <v>7148</v>
      </c>
      <c r="C187" s="5" t="s">
        <v>482</v>
      </c>
      <c r="D187" s="40">
        <v>46051</v>
      </c>
      <c r="F187" s="41">
        <v>46381</v>
      </c>
      <c r="G187" s="42">
        <v>1168</v>
      </c>
    </row>
    <row r="188" spans="2:7" x14ac:dyDescent="0.25">
      <c r="B188" s="39">
        <v>532926</v>
      </c>
      <c r="C188" s="5" t="s">
        <v>483</v>
      </c>
      <c r="D188" s="40">
        <v>46051</v>
      </c>
      <c r="F188" s="41">
        <v>46381</v>
      </c>
      <c r="G188" s="42">
        <v>1158</v>
      </c>
    </row>
    <row r="189" spans="2:7" x14ac:dyDescent="0.25">
      <c r="B189" s="39">
        <v>5482</v>
      </c>
      <c r="C189" s="5" t="s">
        <v>484</v>
      </c>
      <c r="D189" s="40">
        <v>46051</v>
      </c>
      <c r="F189" s="41">
        <v>46381</v>
      </c>
      <c r="G189" s="42">
        <v>1152</v>
      </c>
    </row>
    <row r="190" spans="2:7" x14ac:dyDescent="0.25">
      <c r="B190" s="39" t="s">
        <v>111</v>
      </c>
      <c r="C190" s="5" t="s">
        <v>485</v>
      </c>
      <c r="D190" s="40">
        <v>46051</v>
      </c>
      <c r="F190" s="41">
        <v>46381</v>
      </c>
      <c r="G190" s="42">
        <v>1109</v>
      </c>
    </row>
    <row r="191" spans="2:7" x14ac:dyDescent="0.25">
      <c r="B191" s="39" t="s">
        <v>112</v>
      </c>
      <c r="C191" s="5" t="s">
        <v>486</v>
      </c>
      <c r="D191" s="40">
        <v>46051</v>
      </c>
      <c r="E191" s="5" t="s">
        <v>259</v>
      </c>
      <c r="F191" s="41">
        <v>46381</v>
      </c>
      <c r="G191" s="42">
        <v>1084</v>
      </c>
    </row>
    <row r="192" spans="2:7" x14ac:dyDescent="0.25">
      <c r="B192" s="39" t="s">
        <v>487</v>
      </c>
      <c r="C192" s="5" t="s">
        <v>488</v>
      </c>
      <c r="D192" s="40">
        <v>46051</v>
      </c>
      <c r="F192" s="41">
        <v>46381</v>
      </c>
      <c r="G192" s="42">
        <v>1078</v>
      </c>
    </row>
    <row r="193" spans="2:7" x14ac:dyDescent="0.25">
      <c r="B193" s="39">
        <v>8388</v>
      </c>
      <c r="C193" s="5" t="s">
        <v>489</v>
      </c>
      <c r="D193" s="40">
        <v>46051</v>
      </c>
      <c r="F193" s="41">
        <v>46381</v>
      </c>
      <c r="G193" s="42">
        <v>1054</v>
      </c>
    </row>
    <row r="194" spans="2:7" x14ac:dyDescent="0.25">
      <c r="B194" s="39" t="s">
        <v>126</v>
      </c>
      <c r="C194" s="5" t="s">
        <v>490</v>
      </c>
      <c r="D194" s="40">
        <v>46051</v>
      </c>
      <c r="F194" s="41">
        <v>46381</v>
      </c>
      <c r="G194" s="42">
        <v>1005</v>
      </c>
    </row>
    <row r="195" spans="2:7" x14ac:dyDescent="0.25">
      <c r="B195" s="39" t="s">
        <v>491</v>
      </c>
      <c r="C195" s="5" t="s">
        <v>492</v>
      </c>
      <c r="D195" s="40">
        <v>46051</v>
      </c>
      <c r="F195" s="41">
        <v>46381</v>
      </c>
      <c r="G195" s="42">
        <v>1005</v>
      </c>
    </row>
    <row r="196" spans="2:7" x14ac:dyDescent="0.25">
      <c r="B196" s="39" t="s">
        <v>115</v>
      </c>
      <c r="C196" s="5" t="s">
        <v>493</v>
      </c>
      <c r="D196" s="40">
        <v>46051</v>
      </c>
      <c r="E196" s="5" t="s">
        <v>262</v>
      </c>
      <c r="F196" s="41">
        <v>46381</v>
      </c>
      <c r="G196" s="43">
        <v>969</v>
      </c>
    </row>
    <row r="197" spans="2:7" x14ac:dyDescent="0.25">
      <c r="B197" s="39" t="s">
        <v>116</v>
      </c>
      <c r="C197" s="5" t="s">
        <v>494</v>
      </c>
      <c r="D197" s="40">
        <v>46051</v>
      </c>
      <c r="F197" s="41">
        <v>46381</v>
      </c>
      <c r="G197" s="43">
        <v>892</v>
      </c>
    </row>
    <row r="198" spans="2:7" x14ac:dyDescent="0.25">
      <c r="B198" s="39" t="s">
        <v>117</v>
      </c>
      <c r="C198" s="5" t="s">
        <v>495</v>
      </c>
      <c r="D198" s="40">
        <v>46051</v>
      </c>
      <c r="E198" s="5" t="s">
        <v>259</v>
      </c>
      <c r="F198" s="41">
        <v>46381</v>
      </c>
      <c r="G198" s="43">
        <v>859</v>
      </c>
    </row>
    <row r="199" spans="2:7" x14ac:dyDescent="0.25">
      <c r="B199" s="39" t="s">
        <v>120</v>
      </c>
      <c r="C199" s="5" t="s">
        <v>496</v>
      </c>
      <c r="D199" s="40">
        <v>46051</v>
      </c>
      <c r="F199" s="41">
        <v>46381</v>
      </c>
      <c r="G199" s="43">
        <v>849</v>
      </c>
    </row>
    <row r="200" spans="2:7" x14ac:dyDescent="0.25">
      <c r="B200" s="39" t="s">
        <v>497</v>
      </c>
      <c r="C200" s="5" t="s">
        <v>498</v>
      </c>
      <c r="D200" s="40">
        <v>46051</v>
      </c>
      <c r="F200" s="41">
        <v>46381</v>
      </c>
      <c r="G200" s="43">
        <v>826</v>
      </c>
    </row>
    <row r="201" spans="2:7" x14ac:dyDescent="0.25">
      <c r="B201" s="39">
        <v>3191</v>
      </c>
      <c r="C201" s="5" t="s">
        <v>499</v>
      </c>
      <c r="D201" s="40">
        <v>46051</v>
      </c>
      <c r="F201" s="41">
        <v>46381</v>
      </c>
      <c r="G201" s="43">
        <v>818</v>
      </c>
    </row>
    <row r="202" spans="2:7" x14ac:dyDescent="0.25">
      <c r="B202" s="39" t="s">
        <v>500</v>
      </c>
      <c r="C202" s="5" t="s">
        <v>501</v>
      </c>
      <c r="D202" s="40">
        <v>46051</v>
      </c>
      <c r="F202" s="41">
        <v>46381</v>
      </c>
      <c r="G202" s="43">
        <v>817</v>
      </c>
    </row>
    <row r="203" spans="2:7" x14ac:dyDescent="0.25">
      <c r="B203" s="39">
        <v>532313</v>
      </c>
      <c r="C203" s="5" t="s">
        <v>502</v>
      </c>
      <c r="D203" s="40">
        <v>46051</v>
      </c>
      <c r="F203" s="41">
        <v>46381</v>
      </c>
      <c r="G203" s="43">
        <v>804</v>
      </c>
    </row>
    <row r="204" spans="2:7" x14ac:dyDescent="0.25">
      <c r="B204" s="39" t="s">
        <v>123</v>
      </c>
      <c r="C204" s="5" t="s">
        <v>503</v>
      </c>
      <c r="D204" s="40">
        <v>46051</v>
      </c>
      <c r="F204" s="41">
        <v>46381</v>
      </c>
      <c r="G204" s="43">
        <v>793</v>
      </c>
    </row>
    <row r="205" spans="2:7" x14ac:dyDescent="0.25">
      <c r="B205" s="39">
        <v>3593</v>
      </c>
      <c r="C205" s="5" t="s">
        <v>504</v>
      </c>
      <c r="D205" s="40">
        <v>46051</v>
      </c>
      <c r="F205" s="41">
        <v>46381</v>
      </c>
      <c r="G205" s="43">
        <v>791</v>
      </c>
    </row>
    <row r="206" spans="2:7" x14ac:dyDescent="0.25">
      <c r="B206" s="39" t="s">
        <v>124</v>
      </c>
      <c r="C206" s="5" t="s">
        <v>505</v>
      </c>
      <c r="D206" s="40">
        <v>46051</v>
      </c>
      <c r="F206" s="41">
        <v>46381</v>
      </c>
      <c r="G206" s="43">
        <v>755</v>
      </c>
    </row>
    <row r="207" spans="2:7" x14ac:dyDescent="0.25">
      <c r="B207" s="39" t="s">
        <v>106</v>
      </c>
      <c r="C207" s="5" t="s">
        <v>506</v>
      </c>
      <c r="D207" s="40">
        <v>46051</v>
      </c>
      <c r="F207" s="41">
        <v>46381</v>
      </c>
      <c r="G207" s="43">
        <v>745</v>
      </c>
    </row>
    <row r="208" spans="2:7" x14ac:dyDescent="0.25">
      <c r="B208" s="39" t="s">
        <v>113</v>
      </c>
      <c r="C208" s="5" t="s">
        <v>507</v>
      </c>
      <c r="D208" s="40">
        <v>46051</v>
      </c>
      <c r="F208" s="41">
        <v>46381</v>
      </c>
      <c r="G208" s="43">
        <v>739</v>
      </c>
    </row>
    <row r="209" spans="2:7" x14ac:dyDescent="0.25">
      <c r="B209" s="39">
        <v>8871</v>
      </c>
      <c r="C209" s="5" t="s">
        <v>508</v>
      </c>
      <c r="D209" s="40">
        <v>46051</v>
      </c>
      <c r="F209" s="41">
        <v>46381</v>
      </c>
      <c r="G209" s="43">
        <v>706</v>
      </c>
    </row>
    <row r="210" spans="2:7" x14ac:dyDescent="0.25">
      <c r="B210" s="39" t="s">
        <v>92</v>
      </c>
      <c r="C210" s="5" t="s">
        <v>509</v>
      </c>
      <c r="D210" s="40">
        <v>46051</v>
      </c>
      <c r="F210" s="41">
        <v>46381</v>
      </c>
      <c r="G210" s="43">
        <v>687</v>
      </c>
    </row>
    <row r="211" spans="2:7" x14ac:dyDescent="0.25">
      <c r="B211" s="39" t="s">
        <v>510</v>
      </c>
      <c r="C211" s="5" t="s">
        <v>511</v>
      </c>
      <c r="D211" s="40">
        <v>46051</v>
      </c>
      <c r="F211" s="41">
        <v>46381</v>
      </c>
      <c r="G211" s="43">
        <v>682</v>
      </c>
    </row>
    <row r="212" spans="2:7" x14ac:dyDescent="0.25">
      <c r="B212" s="39" t="s">
        <v>512</v>
      </c>
      <c r="C212" s="5" t="s">
        <v>513</v>
      </c>
      <c r="D212" s="40">
        <v>46051</v>
      </c>
      <c r="F212" s="41">
        <v>46381</v>
      </c>
      <c r="G212" s="43">
        <v>651</v>
      </c>
    </row>
    <row r="213" spans="2:7" x14ac:dyDescent="0.25">
      <c r="B213" s="39" t="s">
        <v>83</v>
      </c>
      <c r="C213" s="5" t="s">
        <v>514</v>
      </c>
      <c r="D213" s="40">
        <v>46051</v>
      </c>
      <c r="E213" s="5" t="s">
        <v>259</v>
      </c>
      <c r="F213" s="41">
        <v>46381</v>
      </c>
      <c r="G213" s="43">
        <v>639</v>
      </c>
    </row>
    <row r="214" spans="2:7" x14ac:dyDescent="0.25">
      <c r="B214" s="39" t="s">
        <v>84</v>
      </c>
      <c r="C214" s="5" t="s">
        <v>515</v>
      </c>
      <c r="D214" s="40">
        <v>46051</v>
      </c>
      <c r="F214" s="41">
        <v>46381</v>
      </c>
      <c r="G214" s="43">
        <v>638</v>
      </c>
    </row>
    <row r="215" spans="2:7" x14ac:dyDescent="0.25">
      <c r="B215" s="39" t="s">
        <v>86</v>
      </c>
      <c r="C215" s="5" t="s">
        <v>516</v>
      </c>
      <c r="D215" s="40">
        <v>46051</v>
      </c>
      <c r="F215" s="41">
        <v>46381</v>
      </c>
      <c r="G215" s="43">
        <v>637</v>
      </c>
    </row>
    <row r="216" spans="2:7" x14ac:dyDescent="0.25">
      <c r="B216" s="39">
        <v>8014</v>
      </c>
      <c r="C216" s="5" t="s">
        <v>517</v>
      </c>
      <c r="D216" s="40">
        <v>46051</v>
      </c>
      <c r="F216" s="41">
        <v>46381</v>
      </c>
      <c r="G216" s="43">
        <v>636</v>
      </c>
    </row>
    <row r="217" spans="2:7" x14ac:dyDescent="0.25">
      <c r="B217" s="39" t="s">
        <v>518</v>
      </c>
      <c r="C217" s="5" t="s">
        <v>519</v>
      </c>
      <c r="D217" s="40">
        <v>46051</v>
      </c>
      <c r="F217" s="41">
        <v>46381</v>
      </c>
      <c r="G217" s="43">
        <v>630</v>
      </c>
    </row>
    <row r="218" spans="2:7" x14ac:dyDescent="0.25">
      <c r="B218" s="39" t="s">
        <v>88</v>
      </c>
      <c r="C218" s="5" t="s">
        <v>520</v>
      </c>
      <c r="D218" s="40">
        <v>46051</v>
      </c>
      <c r="F218" s="41">
        <v>46381</v>
      </c>
      <c r="G218" s="43">
        <v>617</v>
      </c>
    </row>
    <row r="219" spans="2:7" x14ac:dyDescent="0.25">
      <c r="B219" s="39" t="s">
        <v>521</v>
      </c>
      <c r="C219" s="5" t="s">
        <v>522</v>
      </c>
      <c r="D219" s="40">
        <v>46051</v>
      </c>
      <c r="F219" s="41">
        <v>46381</v>
      </c>
      <c r="G219" s="43">
        <v>616</v>
      </c>
    </row>
    <row r="220" spans="2:7" x14ac:dyDescent="0.25">
      <c r="B220" s="39" t="s">
        <v>89</v>
      </c>
      <c r="C220" s="5" t="s">
        <v>523</v>
      </c>
      <c r="D220" s="40">
        <v>46051</v>
      </c>
      <c r="F220" s="41">
        <v>46381</v>
      </c>
      <c r="G220" s="43">
        <v>616</v>
      </c>
    </row>
    <row r="221" spans="2:7" x14ac:dyDescent="0.25">
      <c r="B221" s="39">
        <v>532395</v>
      </c>
      <c r="C221" s="5" t="s">
        <v>524</v>
      </c>
      <c r="D221" s="40">
        <v>46051</v>
      </c>
      <c r="F221" s="41">
        <v>46381</v>
      </c>
      <c r="G221" s="43">
        <v>615</v>
      </c>
    </row>
    <row r="222" spans="2:7" x14ac:dyDescent="0.25">
      <c r="B222" s="39" t="s">
        <v>91</v>
      </c>
      <c r="C222" s="5" t="s">
        <v>525</v>
      </c>
      <c r="D222" s="40">
        <v>46051</v>
      </c>
      <c r="F222" s="41">
        <v>46381</v>
      </c>
      <c r="G222" s="43">
        <v>614</v>
      </c>
    </row>
    <row r="223" spans="2:7" x14ac:dyDescent="0.25">
      <c r="B223" s="39">
        <v>4290</v>
      </c>
      <c r="C223" s="5" t="s">
        <v>526</v>
      </c>
      <c r="D223" s="40">
        <v>46051</v>
      </c>
      <c r="F223" s="41">
        <v>46381</v>
      </c>
      <c r="G223" s="43">
        <v>603</v>
      </c>
    </row>
    <row r="224" spans="2:7" x14ac:dyDescent="0.25">
      <c r="B224" s="39" t="s">
        <v>93</v>
      </c>
      <c r="C224" s="5" t="s">
        <v>527</v>
      </c>
      <c r="D224" s="40">
        <v>46051</v>
      </c>
      <c r="E224" s="5" t="s">
        <v>259</v>
      </c>
      <c r="F224" s="41">
        <v>46381</v>
      </c>
      <c r="G224" s="43">
        <v>602</v>
      </c>
    </row>
    <row r="225" spans="2:7" x14ac:dyDescent="0.25">
      <c r="B225" s="39" t="s">
        <v>528</v>
      </c>
      <c r="C225" s="5" t="s">
        <v>529</v>
      </c>
      <c r="D225" s="40">
        <v>46051</v>
      </c>
      <c r="F225" s="41">
        <v>46381</v>
      </c>
      <c r="G225" s="43">
        <v>596</v>
      </c>
    </row>
    <row r="226" spans="2:7" x14ac:dyDescent="0.25">
      <c r="B226" s="39">
        <v>9997</v>
      </c>
      <c r="C226" s="5" t="s">
        <v>530</v>
      </c>
      <c r="D226" s="40">
        <v>46051</v>
      </c>
      <c r="F226" s="41">
        <v>46381</v>
      </c>
      <c r="G226" s="43">
        <v>595</v>
      </c>
    </row>
    <row r="227" spans="2:7" x14ac:dyDescent="0.25">
      <c r="B227" s="39" t="s">
        <v>531</v>
      </c>
      <c r="C227" s="5" t="s">
        <v>532</v>
      </c>
      <c r="D227" s="40">
        <v>46051</v>
      </c>
      <c r="F227" s="41">
        <v>46320</v>
      </c>
      <c r="G227" s="43">
        <v>591</v>
      </c>
    </row>
    <row r="228" spans="2:7" x14ac:dyDescent="0.25">
      <c r="B228" s="39" t="s">
        <v>94</v>
      </c>
      <c r="C228" s="5" t="s">
        <v>533</v>
      </c>
      <c r="D228" s="40">
        <v>46051</v>
      </c>
      <c r="E228" s="5" t="s">
        <v>259</v>
      </c>
      <c r="F228" s="41">
        <v>46381</v>
      </c>
      <c r="G228" s="43">
        <v>584</v>
      </c>
    </row>
    <row r="229" spans="2:7" x14ac:dyDescent="0.25">
      <c r="B229" s="39">
        <v>6345</v>
      </c>
      <c r="C229" s="5" t="s">
        <v>534</v>
      </c>
      <c r="D229" s="40">
        <v>46051</v>
      </c>
      <c r="F229" s="41">
        <v>46381</v>
      </c>
      <c r="G229" s="43">
        <v>579</v>
      </c>
    </row>
    <row r="230" spans="2:7" x14ac:dyDescent="0.25">
      <c r="B230" s="39" t="s">
        <v>96</v>
      </c>
      <c r="C230" s="5" t="s">
        <v>535</v>
      </c>
      <c r="D230" s="40">
        <v>46051</v>
      </c>
      <c r="F230" s="41">
        <v>46381</v>
      </c>
      <c r="G230" s="43">
        <v>569</v>
      </c>
    </row>
    <row r="231" spans="2:7" x14ac:dyDescent="0.25">
      <c r="B231" s="39" t="s">
        <v>97</v>
      </c>
      <c r="C231" s="5" t="s">
        <v>536</v>
      </c>
      <c r="D231" s="40">
        <v>46051</v>
      </c>
      <c r="E231" s="5" t="s">
        <v>262</v>
      </c>
      <c r="F231" s="41">
        <v>46381</v>
      </c>
      <c r="G231" s="43">
        <v>538</v>
      </c>
    </row>
    <row r="232" spans="2:7" x14ac:dyDescent="0.25">
      <c r="B232" s="39" t="s">
        <v>537</v>
      </c>
      <c r="C232" s="5" t="s">
        <v>538</v>
      </c>
      <c r="D232" s="40">
        <v>46051</v>
      </c>
      <c r="F232" s="41">
        <v>46381</v>
      </c>
      <c r="G232" s="43">
        <v>537</v>
      </c>
    </row>
    <row r="233" spans="2:7" x14ac:dyDescent="0.25">
      <c r="B233" s="39">
        <v>4956</v>
      </c>
      <c r="C233" s="5" t="s">
        <v>539</v>
      </c>
      <c r="D233" s="40">
        <v>46051</v>
      </c>
      <c r="F233" s="41">
        <v>46381</v>
      </c>
      <c r="G233" s="43">
        <v>536</v>
      </c>
    </row>
    <row r="234" spans="2:7" x14ac:dyDescent="0.25">
      <c r="B234" s="39">
        <v>4549</v>
      </c>
      <c r="C234" s="5" t="s">
        <v>540</v>
      </c>
      <c r="D234" s="40">
        <v>46051</v>
      </c>
      <c r="F234" s="41">
        <v>46381</v>
      </c>
      <c r="G234" s="43">
        <v>531</v>
      </c>
    </row>
    <row r="235" spans="2:7" x14ac:dyDescent="0.25">
      <c r="B235" s="39" t="s">
        <v>100</v>
      </c>
      <c r="C235" s="5" t="s">
        <v>541</v>
      </c>
      <c r="D235" s="40">
        <v>46051</v>
      </c>
      <c r="F235" s="41">
        <v>46381</v>
      </c>
      <c r="G235" s="43">
        <v>529</v>
      </c>
    </row>
    <row r="236" spans="2:7" x14ac:dyDescent="0.25">
      <c r="B236" s="39" t="s">
        <v>101</v>
      </c>
      <c r="C236" s="5" t="s">
        <v>542</v>
      </c>
      <c r="D236" s="40">
        <v>46051</v>
      </c>
      <c r="F236" s="41">
        <v>46381</v>
      </c>
      <c r="G236" s="43">
        <v>522</v>
      </c>
    </row>
    <row r="237" spans="2:7" x14ac:dyDescent="0.25">
      <c r="B237" s="39">
        <v>500128</v>
      </c>
      <c r="C237" s="5" t="s">
        <v>543</v>
      </c>
      <c r="D237" s="40">
        <v>46051</v>
      </c>
      <c r="F237" s="41">
        <v>46381</v>
      </c>
      <c r="G237" s="43">
        <v>521</v>
      </c>
    </row>
    <row r="238" spans="2:7" x14ac:dyDescent="0.25">
      <c r="B238" s="39">
        <v>6946</v>
      </c>
      <c r="C238" s="5" t="s">
        <v>544</v>
      </c>
      <c r="D238" s="40">
        <v>46051</v>
      </c>
      <c r="F238" s="41">
        <v>46381</v>
      </c>
      <c r="G238" s="43">
        <v>514</v>
      </c>
    </row>
    <row r="239" spans="2:7" ht="15.75" thickBot="1" x14ac:dyDescent="0.3">
      <c r="B239" s="44" t="s">
        <v>229</v>
      </c>
      <c r="C239" s="45" t="s">
        <v>545</v>
      </c>
      <c r="D239" s="46">
        <v>46051</v>
      </c>
      <c r="E239" s="45" t="s">
        <v>262</v>
      </c>
      <c r="F239" s="47">
        <v>46381</v>
      </c>
      <c r="G239" s="48">
        <v>501</v>
      </c>
    </row>
  </sheetData>
  <autoFilter ref="B4:G4" xr:uid="{7C6CC824-BFE0-45B6-9388-8580611AA1E7}"/>
  <mergeCells count="1">
    <mergeCell ref="B2:C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AA175"/>
  <sheetViews>
    <sheetView tabSelected="1" topLeftCell="A134" zoomScaleNormal="100" workbookViewId="0">
      <selection activeCell="D126" sqref="D126:D175"/>
    </sheetView>
  </sheetViews>
  <sheetFormatPr defaultRowHeight="15" x14ac:dyDescent="0.25"/>
  <cols>
    <col min="1" max="1" width="9" style="2"/>
    <col min="2" max="2" width="12.5" style="2" bestFit="1" customWidth="1"/>
    <col min="3" max="3" width="12.75" style="2" bestFit="1" customWidth="1"/>
    <col min="4" max="4" width="31.25" style="2" bestFit="1" customWidth="1"/>
    <col min="5" max="5" width="0" style="2" hidden="1" customWidth="1"/>
    <col min="6" max="6" width="17" style="2" customWidth="1"/>
    <col min="7" max="7" width="9.375" style="2" hidden="1" customWidth="1"/>
    <col min="8" max="8" width="9.5" style="2" hidden="1" customWidth="1"/>
    <col min="9" max="9" width="9.375" style="2" hidden="1" customWidth="1"/>
    <col min="10" max="10" width="9.625" style="2" hidden="1" customWidth="1"/>
    <col min="11" max="11" width="9.5" style="2" hidden="1" customWidth="1"/>
    <col min="12" max="12" width="9.5" style="2" customWidth="1"/>
    <col min="13" max="13" width="9.625" style="2" customWidth="1"/>
    <col min="14" max="14" width="9.75" style="2" customWidth="1"/>
    <col min="15" max="15" width="9.375" style="2" customWidth="1"/>
    <col min="16" max="16" width="9.75" style="2" bestFit="1" customWidth="1"/>
    <col min="17" max="17" width="9.625" style="2" bestFit="1" customWidth="1"/>
    <col min="18" max="18" width="9.5" style="2" bestFit="1" customWidth="1"/>
    <col min="19" max="19" width="9.375" style="2" bestFit="1" customWidth="1"/>
    <col min="20" max="20" width="9.75" style="2" bestFit="1" customWidth="1"/>
    <col min="21" max="21" width="9.5" style="2" bestFit="1" customWidth="1"/>
    <col min="22" max="23" width="9.375" style="2" bestFit="1" customWidth="1"/>
    <col min="24" max="16384" width="9" style="2"/>
  </cols>
  <sheetData>
    <row r="1" spans="2:27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</row>
    <row r="2" spans="2:27" x14ac:dyDescent="0.25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  <c r="P2" s="21" t="s">
        <v>14</v>
      </c>
      <c r="Q2" s="21" t="s">
        <v>15</v>
      </c>
      <c r="R2" s="21" t="s">
        <v>16</v>
      </c>
      <c r="S2" s="21" t="s">
        <v>17</v>
      </c>
      <c r="T2" s="21" t="s">
        <v>18</v>
      </c>
      <c r="U2" s="21" t="s">
        <v>19</v>
      </c>
      <c r="V2" s="21" t="s">
        <v>20</v>
      </c>
      <c r="W2" s="28" t="s">
        <v>21</v>
      </c>
      <c r="X2" s="27" t="s">
        <v>18</v>
      </c>
      <c r="Y2" s="25" t="s">
        <v>19</v>
      </c>
      <c r="Z2" s="25" t="s">
        <v>20</v>
      </c>
      <c r="AA2" s="25" t="s">
        <v>21</v>
      </c>
    </row>
    <row r="3" spans="2:27" x14ac:dyDescent="0.25">
      <c r="B3" s="22" t="s">
        <v>83</v>
      </c>
      <c r="C3" s="22" t="s">
        <v>23</v>
      </c>
      <c r="D3" s="22" t="s">
        <v>44</v>
      </c>
      <c r="E3" s="22" t="s">
        <v>28</v>
      </c>
      <c r="F3" s="30">
        <v>99.862943292787378</v>
      </c>
      <c r="G3" s="31">
        <v>53.73</v>
      </c>
      <c r="H3" s="31">
        <v>48.56</v>
      </c>
      <c r="I3" s="31">
        <v>52.39</v>
      </c>
      <c r="J3" s="31">
        <v>51.41</v>
      </c>
      <c r="K3" s="31">
        <v>47.97</v>
      </c>
      <c r="L3" s="31">
        <v>48.53</v>
      </c>
      <c r="M3" s="31">
        <v>50.57</v>
      </c>
      <c r="N3" s="31">
        <v>51.2</v>
      </c>
      <c r="O3" s="31">
        <v>49.98</v>
      </c>
      <c r="P3" s="31">
        <v>56.44</v>
      </c>
      <c r="Q3" s="31">
        <v>63.17</v>
      </c>
      <c r="R3" s="31">
        <v>47.02</v>
      </c>
      <c r="S3" s="31">
        <v>-55.86</v>
      </c>
      <c r="T3" s="31">
        <v>54.31</v>
      </c>
      <c r="U3" s="31">
        <v>57.18</v>
      </c>
      <c r="V3" s="32">
        <v>61.11</v>
      </c>
      <c r="W3" s="33">
        <v>60.72</v>
      </c>
      <c r="X3" s="50">
        <f>SUM(Q3:T3)/SUM(P3:S3)-1</f>
        <v>-1.9229033131714313E-2</v>
      </c>
      <c r="Y3" s="50">
        <f t="shared" ref="Y3:AA3" si="0">SUM(R3:U3)/SUM(Q3:T3)-1</f>
        <v>-5.5136229749631727E-2</v>
      </c>
      <c r="Z3" s="50">
        <f t="shared" si="0"/>
        <v>0.13726254262055537</v>
      </c>
      <c r="AA3" s="50">
        <f t="shared" si="0"/>
        <v>0.99862943292787398</v>
      </c>
    </row>
    <row r="4" spans="2:27" x14ac:dyDescent="0.25">
      <c r="B4" s="22" t="s">
        <v>84</v>
      </c>
      <c r="C4" s="22" t="s">
        <v>23</v>
      </c>
      <c r="D4" s="22" t="s">
        <v>85</v>
      </c>
      <c r="E4" s="22" t="s">
        <v>28</v>
      </c>
      <c r="F4" s="30">
        <v>65.753803596127256</v>
      </c>
      <c r="G4" s="31">
        <v>-57.46</v>
      </c>
      <c r="H4" s="31">
        <v>-221.12</v>
      </c>
      <c r="I4" s="31">
        <v>-102.4</v>
      </c>
      <c r="J4" s="31">
        <v>-95.57</v>
      </c>
      <c r="K4" s="31">
        <v>41.5</v>
      </c>
      <c r="L4" s="31">
        <v>26.53</v>
      </c>
      <c r="M4" s="31">
        <v>9.3800000000000008</v>
      </c>
      <c r="N4" s="31">
        <v>-63.78</v>
      </c>
      <c r="O4" s="31">
        <v>32.06</v>
      </c>
      <c r="P4" s="32">
        <v>33.82</v>
      </c>
      <c r="Q4" s="31">
        <v>-8.32</v>
      </c>
      <c r="R4" s="31">
        <v>45.33</v>
      </c>
      <c r="S4" s="31">
        <v>8.52</v>
      </c>
      <c r="T4" s="31">
        <v>24.3</v>
      </c>
      <c r="U4" s="31">
        <v>-18.46</v>
      </c>
      <c r="V4" s="32">
        <v>57.94</v>
      </c>
      <c r="W4" s="33">
        <v>56.06</v>
      </c>
      <c r="X4" s="50">
        <f t="shared" ref="X4:X10" si="1">SUM(Q4:T4)/SUM(P4:S4)-1</f>
        <v>-0.11997479521109011</v>
      </c>
      <c r="Y4" s="50">
        <f t="shared" ref="Y4:Y10" si="2">SUM(R4:U4)/SUM(Q4:T4)-1</f>
        <v>-0.14520979521695554</v>
      </c>
      <c r="Z4" s="50">
        <f t="shared" ref="Z4:Z10" si="3">SUM(S4:V4)/SUM(R4:U4)-1</f>
        <v>0.2112581671971856</v>
      </c>
      <c r="AA4" s="50">
        <f t="shared" ref="AA4:AA10" si="4">SUM(T4:W4)/SUM(S4:V4)-1</f>
        <v>0.65753803596127258</v>
      </c>
    </row>
    <row r="5" spans="2:27" x14ac:dyDescent="0.25">
      <c r="B5" s="22" t="s">
        <v>152</v>
      </c>
      <c r="C5" s="22" t="s">
        <v>23</v>
      </c>
      <c r="D5" s="22" t="s">
        <v>153</v>
      </c>
      <c r="E5" s="22" t="s">
        <v>134</v>
      </c>
      <c r="F5" s="30">
        <v>39.095503433976937</v>
      </c>
      <c r="G5" s="31">
        <v>4833</v>
      </c>
      <c r="H5" s="31">
        <v>4381</v>
      </c>
      <c r="I5" s="31">
        <v>4528</v>
      </c>
      <c r="J5" s="31">
        <v>3736</v>
      </c>
      <c r="K5" s="31">
        <v>3107</v>
      </c>
      <c r="L5" s="31">
        <v>2803</v>
      </c>
      <c r="M5" s="31">
        <v>2672</v>
      </c>
      <c r="N5" s="31">
        <v>2750</v>
      </c>
      <c r="O5" s="31">
        <v>0</v>
      </c>
      <c r="P5" s="31">
        <v>1752</v>
      </c>
      <c r="Q5" s="31">
        <v>0</v>
      </c>
      <c r="R5" s="31">
        <v>2212</v>
      </c>
      <c r="S5" s="31">
        <v>0</v>
      </c>
      <c r="T5" s="32">
        <v>2294</v>
      </c>
      <c r="U5" s="32">
        <v>2605</v>
      </c>
      <c r="V5" s="31">
        <v>2818</v>
      </c>
      <c r="W5" s="33">
        <v>3017</v>
      </c>
      <c r="X5" s="50">
        <f t="shared" si="1"/>
        <v>0.13673057517658926</v>
      </c>
      <c r="Y5" s="50">
        <f t="shared" si="2"/>
        <v>0.57811806480248551</v>
      </c>
      <c r="Z5" s="50">
        <f t="shared" si="3"/>
        <v>8.5220081563774475E-2</v>
      </c>
      <c r="AA5" s="50">
        <f t="shared" si="4"/>
        <v>0.39095503433976941</v>
      </c>
    </row>
    <row r="6" spans="2:27" x14ac:dyDescent="0.25">
      <c r="B6" s="22" t="s">
        <v>187</v>
      </c>
      <c r="C6" s="22" t="s">
        <v>23</v>
      </c>
      <c r="D6" s="22" t="s">
        <v>188</v>
      </c>
      <c r="E6" s="22" t="s">
        <v>28</v>
      </c>
      <c r="F6" s="30">
        <v>24.722392288207811</v>
      </c>
      <c r="G6" s="31">
        <v>848.95</v>
      </c>
      <c r="H6" s="31">
        <v>444.05</v>
      </c>
      <c r="I6" s="31">
        <v>398.6</v>
      </c>
      <c r="J6" s="31">
        <v>380.35</v>
      </c>
      <c r="K6" s="31">
        <v>405.49</v>
      </c>
      <c r="L6" s="31">
        <v>539.16999999999996</v>
      </c>
      <c r="M6" s="31">
        <v>499.51</v>
      </c>
      <c r="N6" s="32">
        <v>602.23</v>
      </c>
      <c r="O6" s="31">
        <v>364.77</v>
      </c>
      <c r="P6" s="31">
        <v>333.84</v>
      </c>
      <c r="Q6" s="31">
        <v>507.25</v>
      </c>
      <c r="R6" s="32">
        <v>1040</v>
      </c>
      <c r="S6" s="31">
        <v>-79.81</v>
      </c>
      <c r="T6" s="32">
        <v>862.08</v>
      </c>
      <c r="U6" s="31">
        <v>690.76</v>
      </c>
      <c r="V6" s="31">
        <v>1026</v>
      </c>
      <c r="W6" s="33">
        <v>538.01</v>
      </c>
      <c r="X6" s="50">
        <f t="shared" si="1"/>
        <v>0.29325812755373959</v>
      </c>
      <c r="Y6" s="50">
        <f t="shared" si="2"/>
        <v>7.8775885160891512E-2</v>
      </c>
      <c r="Z6" s="50">
        <f t="shared" si="3"/>
        <v>-5.5709641349287464E-3</v>
      </c>
      <c r="AA6" s="50">
        <f t="shared" si="4"/>
        <v>0.24722392288207851</v>
      </c>
    </row>
    <row r="7" spans="2:27" x14ac:dyDescent="0.25">
      <c r="B7" s="22" t="s">
        <v>214</v>
      </c>
      <c r="C7" s="22" t="s">
        <v>23</v>
      </c>
      <c r="D7" s="22" t="s">
        <v>153</v>
      </c>
      <c r="E7" s="22" t="s">
        <v>134</v>
      </c>
      <c r="F7" s="30">
        <v>14.76863753213367</v>
      </c>
      <c r="G7" s="31">
        <v>1746</v>
      </c>
      <c r="H7" s="31">
        <v>1735</v>
      </c>
      <c r="I7" s="31">
        <v>1332</v>
      </c>
      <c r="J7" s="31">
        <v>1237</v>
      </c>
      <c r="K7" s="31">
        <v>1452</v>
      </c>
      <c r="L7" s="31"/>
      <c r="M7" s="31"/>
      <c r="N7" s="31">
        <v>1533</v>
      </c>
      <c r="O7" s="31">
        <v>1665</v>
      </c>
      <c r="P7" s="31">
        <v>1705</v>
      </c>
      <c r="Q7" s="31">
        <v>1760</v>
      </c>
      <c r="R7" s="31">
        <v>1883</v>
      </c>
      <c r="S7" s="31">
        <v>1876</v>
      </c>
      <c r="T7" s="31">
        <v>1695</v>
      </c>
      <c r="U7" s="31">
        <v>1901</v>
      </c>
      <c r="V7" s="31">
        <v>2308</v>
      </c>
      <c r="W7" s="33">
        <v>3025</v>
      </c>
      <c r="X7" s="50">
        <f t="shared" si="1"/>
        <v>-1.3842746400886119E-3</v>
      </c>
      <c r="Y7" s="50">
        <f t="shared" si="2"/>
        <v>1.9545328527862393E-2</v>
      </c>
      <c r="Z7" s="50">
        <f t="shared" si="3"/>
        <v>5.778382053025144E-2</v>
      </c>
      <c r="AA7" s="50">
        <f t="shared" si="4"/>
        <v>0.14768637532133666</v>
      </c>
    </row>
    <row r="8" spans="2:27" x14ac:dyDescent="0.25">
      <c r="B8" s="22" t="s">
        <v>103</v>
      </c>
      <c r="C8" s="22" t="s">
        <v>23</v>
      </c>
      <c r="D8" s="22" t="s">
        <v>104</v>
      </c>
      <c r="E8" s="22" t="s">
        <v>28</v>
      </c>
      <c r="F8" s="30">
        <v>14.67146668047965</v>
      </c>
      <c r="G8" s="31">
        <v>908.93</v>
      </c>
      <c r="H8" s="31">
        <v>812.5</v>
      </c>
      <c r="I8" s="31">
        <v>1072</v>
      </c>
      <c r="J8" s="31">
        <v>1179</v>
      </c>
      <c r="K8" s="31">
        <v>860.84</v>
      </c>
      <c r="L8" s="31">
        <v>513.70000000000005</v>
      </c>
      <c r="M8" s="31">
        <v>295.89</v>
      </c>
      <c r="N8" s="31">
        <v>302.45999999999998</v>
      </c>
      <c r="O8" s="31">
        <v>350.62</v>
      </c>
      <c r="P8" s="31">
        <v>376.78</v>
      </c>
      <c r="Q8" s="31">
        <v>307.12</v>
      </c>
      <c r="R8" s="31">
        <v>334.72</v>
      </c>
      <c r="S8" s="31">
        <v>327.24</v>
      </c>
      <c r="T8" s="32">
        <v>610.54999999999995</v>
      </c>
      <c r="U8" s="32">
        <v>541.91</v>
      </c>
      <c r="V8" s="31">
        <v>450.85</v>
      </c>
      <c r="W8" s="33">
        <v>610.48</v>
      </c>
      <c r="X8" s="50">
        <f t="shared" si="1"/>
        <v>0.17369562956028117</v>
      </c>
      <c r="Y8" s="50">
        <f t="shared" si="2"/>
        <v>0.14863607300443782</v>
      </c>
      <c r="Z8" s="50">
        <f t="shared" si="3"/>
        <v>6.400392411900202E-2</v>
      </c>
      <c r="AA8" s="50">
        <f t="shared" si="4"/>
        <v>0.14671466680479672</v>
      </c>
    </row>
    <row r="9" spans="2:27" x14ac:dyDescent="0.25">
      <c r="B9" s="22" t="s">
        <v>112</v>
      </c>
      <c r="C9" s="22" t="s">
        <v>23</v>
      </c>
      <c r="D9" s="22" t="s">
        <v>85</v>
      </c>
      <c r="E9" s="22" t="s">
        <v>28</v>
      </c>
      <c r="F9" s="30">
        <v>13.97301030708744</v>
      </c>
      <c r="G9" s="31">
        <v>221.21</v>
      </c>
      <c r="H9" s="31">
        <v>-221.88</v>
      </c>
      <c r="I9" s="31">
        <v>-112.28</v>
      </c>
      <c r="J9" s="31">
        <v>84.09</v>
      </c>
      <c r="K9" s="32">
        <v>104.41</v>
      </c>
      <c r="L9" s="31">
        <v>227.81</v>
      </c>
      <c r="M9" s="32">
        <v>178.45</v>
      </c>
      <c r="N9" s="31">
        <v>2.5</v>
      </c>
      <c r="O9" s="32">
        <v>317.11</v>
      </c>
      <c r="P9" s="31">
        <v>102.41</v>
      </c>
      <c r="Q9" s="31">
        <v>121.75</v>
      </c>
      <c r="R9" s="32">
        <v>265.77999999999997</v>
      </c>
      <c r="S9" s="31">
        <v>14.66</v>
      </c>
      <c r="T9" s="32">
        <v>189.06</v>
      </c>
      <c r="U9" s="31">
        <v>145.33000000000001</v>
      </c>
      <c r="V9" s="31">
        <v>215.61</v>
      </c>
      <c r="W9" s="33">
        <v>93.56</v>
      </c>
      <c r="X9" s="50">
        <f t="shared" si="1"/>
        <v>0.17172017439556098</v>
      </c>
      <c r="Y9" s="50">
        <f t="shared" si="2"/>
        <v>3.9881606765327815E-2</v>
      </c>
      <c r="Z9" s="50">
        <f t="shared" si="3"/>
        <v>-8.159979181237087E-2</v>
      </c>
      <c r="AA9" s="50">
        <f t="shared" si="4"/>
        <v>0.13973010307087419</v>
      </c>
    </row>
    <row r="10" spans="2:27" x14ac:dyDescent="0.25">
      <c r="B10" s="22" t="s">
        <v>174</v>
      </c>
      <c r="C10" s="22" t="s">
        <v>23</v>
      </c>
      <c r="D10" s="22" t="s">
        <v>67</v>
      </c>
      <c r="E10" s="22" t="s">
        <v>28</v>
      </c>
      <c r="F10" s="30">
        <v>11.10937377843797</v>
      </c>
      <c r="G10" s="31">
        <v>5655</v>
      </c>
      <c r="H10" s="31">
        <v>4987</v>
      </c>
      <c r="I10" s="31">
        <v>404.08</v>
      </c>
      <c r="J10" s="31">
        <v>778.23</v>
      </c>
      <c r="K10" s="31">
        <v>1847</v>
      </c>
      <c r="L10" s="31">
        <v>1292</v>
      </c>
      <c r="M10" s="32">
        <v>2738</v>
      </c>
      <c r="N10" s="32">
        <v>2367</v>
      </c>
      <c r="O10" s="31">
        <v>1287</v>
      </c>
      <c r="P10" s="32">
        <v>3535</v>
      </c>
      <c r="Q10" s="31">
        <v>2668</v>
      </c>
      <c r="R10" s="32">
        <v>3648</v>
      </c>
      <c r="S10" s="32">
        <v>2811</v>
      </c>
      <c r="T10" s="31">
        <v>3245</v>
      </c>
      <c r="U10" s="31">
        <v>3801</v>
      </c>
      <c r="V10" s="31">
        <v>2934</v>
      </c>
      <c r="W10" s="33">
        <v>4232</v>
      </c>
      <c r="X10" s="50">
        <f t="shared" si="1"/>
        <v>-2.2903174853893593E-2</v>
      </c>
      <c r="Y10" s="50">
        <f t="shared" si="2"/>
        <v>9.1577756223730988E-2</v>
      </c>
      <c r="Z10" s="50">
        <f t="shared" si="3"/>
        <v>-5.2869307663828247E-2</v>
      </c>
      <c r="AA10" s="50">
        <f t="shared" si="4"/>
        <v>0.1110937377843797</v>
      </c>
    </row>
    <row r="11" spans="2:27" hidden="1" x14ac:dyDescent="0.25">
      <c r="B11" s="22" t="s">
        <v>33</v>
      </c>
      <c r="C11" s="22" t="s">
        <v>26</v>
      </c>
      <c r="D11" s="22" t="s">
        <v>27</v>
      </c>
      <c r="E11" s="22" t="s">
        <v>34</v>
      </c>
      <c r="F11" s="22">
        <v>3.2198363793139779</v>
      </c>
      <c r="G11" s="22">
        <v>38401</v>
      </c>
      <c r="H11" s="22">
        <v>47532</v>
      </c>
      <c r="I11" s="22">
        <v>63719</v>
      </c>
      <c r="J11" s="22">
        <v>46481</v>
      </c>
      <c r="K11" s="22">
        <v>56558</v>
      </c>
      <c r="L11" s="22">
        <v>62459</v>
      </c>
      <c r="M11" s="22">
        <v>62487</v>
      </c>
      <c r="N11" s="22">
        <v>53850</v>
      </c>
      <c r="O11" s="22">
        <v>54665</v>
      </c>
      <c r="P11" s="22">
        <v>54477</v>
      </c>
      <c r="Q11" s="22">
        <v>62368</v>
      </c>
      <c r="R11" s="22">
        <v>51868</v>
      </c>
      <c r="S11" s="22">
        <v>56369</v>
      </c>
      <c r="T11" s="22">
        <v>60557</v>
      </c>
      <c r="U11" s="22">
        <v>65422</v>
      </c>
      <c r="V11" s="22">
        <v>55397</v>
      </c>
      <c r="W11" s="22">
        <v>64024</v>
      </c>
    </row>
    <row r="12" spans="2:27" x14ac:dyDescent="0.25">
      <c r="B12" s="22" t="s">
        <v>41</v>
      </c>
      <c r="C12" s="22" t="s">
        <v>23</v>
      </c>
      <c r="D12" s="22" t="s">
        <v>42</v>
      </c>
      <c r="E12" s="22" t="s">
        <v>28</v>
      </c>
      <c r="F12" s="30">
        <v>10.45657462739447</v>
      </c>
      <c r="G12" s="31">
        <v>247.89</v>
      </c>
      <c r="H12" s="31">
        <v>263.93</v>
      </c>
      <c r="I12" s="31">
        <v>280.01</v>
      </c>
      <c r="J12" s="31">
        <v>285.73</v>
      </c>
      <c r="K12" s="31">
        <v>290.58999999999997</v>
      </c>
      <c r="L12" s="31">
        <v>248.44</v>
      </c>
      <c r="M12" s="31">
        <v>183.94</v>
      </c>
      <c r="N12" s="31">
        <v>135.53</v>
      </c>
      <c r="O12" s="31">
        <v>125.35</v>
      </c>
      <c r="P12" s="31">
        <v>95.27</v>
      </c>
      <c r="Q12" s="31">
        <v>91.99</v>
      </c>
      <c r="R12" s="31">
        <v>81.099999999999994</v>
      </c>
      <c r="S12" s="31">
        <v>92.17</v>
      </c>
      <c r="T12" s="31">
        <v>95.93</v>
      </c>
      <c r="U12" s="31">
        <v>108.81</v>
      </c>
      <c r="V12" s="32">
        <v>126.46</v>
      </c>
      <c r="W12" s="33">
        <v>136.44</v>
      </c>
      <c r="X12" s="50">
        <f>SUM(Q12:T12)/SUM(P12:S12)-1</f>
        <v>1.8306382270545374E-3</v>
      </c>
      <c r="Y12" s="50">
        <f t="shared" ref="Y12" si="5">SUM(R12:U12)/SUM(Q12:T12)-1</f>
        <v>4.6568288158586935E-2</v>
      </c>
      <c r="Z12" s="50">
        <f t="shared" ref="Z12" si="6">SUM(S12:V12)/SUM(R12:U12)-1</f>
        <v>0.11999682548080748</v>
      </c>
      <c r="AA12" s="50">
        <f t="shared" ref="AA12" si="7">SUM(T12:W12)/SUM(S12:V12)-1</f>
        <v>0.10456574627394466</v>
      </c>
    </row>
    <row r="13" spans="2:27" hidden="1" x14ac:dyDescent="0.25">
      <c r="B13" s="22" t="s">
        <v>35</v>
      </c>
      <c r="C13" s="22" t="s">
        <v>26</v>
      </c>
      <c r="D13" s="22" t="s">
        <v>27</v>
      </c>
      <c r="E13" s="22" t="s">
        <v>34</v>
      </c>
      <c r="F13" s="22">
        <v>1.6376555667675821</v>
      </c>
      <c r="G13" s="22">
        <v>107972</v>
      </c>
      <c r="H13" s="22">
        <v>126906</v>
      </c>
      <c r="I13" s="22">
        <v>129273</v>
      </c>
      <c r="J13" s="22">
        <v>124844</v>
      </c>
      <c r="K13" s="22">
        <v>142083</v>
      </c>
      <c r="L13" s="22">
        <v>141654</v>
      </c>
      <c r="M13" s="22">
        <v>144543</v>
      </c>
      <c r="N13" s="22">
        <v>148652</v>
      </c>
      <c r="O13" s="22">
        <v>158816</v>
      </c>
      <c r="P13" s="22">
        <v>167461</v>
      </c>
      <c r="Q13" s="22">
        <v>148629</v>
      </c>
      <c r="R13" s="22">
        <v>151966</v>
      </c>
      <c r="S13" s="22">
        <v>152006</v>
      </c>
      <c r="T13" s="22">
        <v>155520</v>
      </c>
      <c r="U13" s="22">
        <v>158168</v>
      </c>
      <c r="V13" s="22">
        <v>152690</v>
      </c>
      <c r="W13" s="22">
        <v>162133</v>
      </c>
    </row>
    <row r="14" spans="2:27" x14ac:dyDescent="0.25">
      <c r="B14" s="22" t="s">
        <v>149</v>
      </c>
      <c r="C14" s="22" t="s">
        <v>23</v>
      </c>
      <c r="D14" s="22" t="s">
        <v>81</v>
      </c>
      <c r="E14" s="22" t="s">
        <v>28</v>
      </c>
      <c r="F14" s="24">
        <v>9.3846864077029579</v>
      </c>
      <c r="G14" s="31">
        <v>2067</v>
      </c>
      <c r="H14" s="31">
        <v>2038</v>
      </c>
      <c r="I14" s="31">
        <v>2010</v>
      </c>
      <c r="J14" s="31">
        <v>2130</v>
      </c>
      <c r="K14" s="31">
        <v>2296</v>
      </c>
      <c r="L14" s="31">
        <v>2379</v>
      </c>
      <c r="M14" s="31">
        <v>2424</v>
      </c>
      <c r="N14" s="31">
        <v>2474</v>
      </c>
      <c r="O14" s="31">
        <v>2589</v>
      </c>
      <c r="P14" s="31">
        <v>2773</v>
      </c>
      <c r="Q14" s="31">
        <v>2867</v>
      </c>
      <c r="R14" s="31">
        <v>3041</v>
      </c>
      <c r="S14" s="31">
        <v>3404</v>
      </c>
      <c r="T14" s="31">
        <v>3584</v>
      </c>
      <c r="U14" s="31">
        <v>3729</v>
      </c>
      <c r="V14" s="32">
        <v>4446</v>
      </c>
      <c r="W14" s="34">
        <v>4827</v>
      </c>
      <c r="X14" s="50">
        <f>SUM(Q14:T14)/SUM(P14:S14)-1</f>
        <v>6.7107985105502754E-2</v>
      </c>
      <c r="Y14" s="50">
        <f t="shared" ref="Y14" si="8">SUM(R14:U14)/SUM(Q14:T14)-1</f>
        <v>6.6842431761786614E-2</v>
      </c>
      <c r="Z14" s="50">
        <f t="shared" ref="Z14" si="9">SUM(S14:V14)/SUM(R14:U14)-1</f>
        <v>0.10212240151184759</v>
      </c>
      <c r="AA14" s="50">
        <f t="shared" ref="AA14" si="10">SUM(T14:W14)/SUM(S14:V14)-1</f>
        <v>9.3846864077029579E-2</v>
      </c>
    </row>
    <row r="15" spans="2:27" hidden="1" x14ac:dyDescent="0.25">
      <c r="B15" s="22" t="s">
        <v>38</v>
      </c>
      <c r="C15" s="22" t="s">
        <v>26</v>
      </c>
      <c r="D15" s="22" t="s">
        <v>27</v>
      </c>
      <c r="E15" s="22" t="s">
        <v>34</v>
      </c>
      <c r="F15" s="22">
        <v>-24.57246762834361</v>
      </c>
      <c r="G15" s="22">
        <v>50333</v>
      </c>
      <c r="H15" s="22">
        <v>52506</v>
      </c>
      <c r="I15" s="22">
        <v>51951</v>
      </c>
      <c r="J15" s="22">
        <v>56241</v>
      </c>
      <c r="K15" s="22">
        <v>51661</v>
      </c>
      <c r="L15" s="22">
        <v>53848</v>
      </c>
      <c r="M15" s="22">
        <v>53280</v>
      </c>
      <c r="N15" s="23">
        <v>166469</v>
      </c>
      <c r="O15" s="23">
        <v>166469</v>
      </c>
      <c r="P15" s="22">
        <v>56733</v>
      </c>
      <c r="Q15" s="22">
        <v>58115</v>
      </c>
      <c r="R15" s="22">
        <v>57784</v>
      </c>
      <c r="S15" s="22">
        <v>178047</v>
      </c>
      <c r="T15" s="23">
        <v>178047</v>
      </c>
      <c r="U15" s="22">
        <v>60214</v>
      </c>
      <c r="V15" s="22">
        <v>60498</v>
      </c>
      <c r="W15" s="22">
        <v>60884</v>
      </c>
    </row>
    <row r="16" spans="2:27" x14ac:dyDescent="0.25">
      <c r="B16" s="22" t="s">
        <v>135</v>
      </c>
      <c r="C16" s="22" t="s">
        <v>23</v>
      </c>
      <c r="D16" s="22" t="s">
        <v>136</v>
      </c>
      <c r="E16" s="22" t="s">
        <v>28</v>
      </c>
      <c r="F16" s="24">
        <v>9.0577910250041462</v>
      </c>
      <c r="G16" s="31">
        <v>1904</v>
      </c>
      <c r="H16" s="31">
        <v>2385</v>
      </c>
      <c r="I16" s="31">
        <v>1982</v>
      </c>
      <c r="J16" s="31">
        <v>1976</v>
      </c>
      <c r="K16" s="31">
        <v>1927</v>
      </c>
      <c r="L16" s="31">
        <v>2607</v>
      </c>
      <c r="M16" s="31">
        <v>2326</v>
      </c>
      <c r="N16" s="31">
        <v>2352</v>
      </c>
      <c r="O16" s="31">
        <v>2274</v>
      </c>
      <c r="P16" s="31">
        <v>3125</v>
      </c>
      <c r="Q16" s="31">
        <v>2637</v>
      </c>
      <c r="R16" s="31">
        <v>2631</v>
      </c>
      <c r="S16" s="31">
        <v>2534</v>
      </c>
      <c r="T16" s="31">
        <v>3441</v>
      </c>
      <c r="U16" s="31">
        <v>2945</v>
      </c>
      <c r="V16" s="31">
        <v>3158</v>
      </c>
      <c r="W16" s="34">
        <v>3628</v>
      </c>
      <c r="X16" s="50">
        <f t="shared" ref="X16:X18" si="11">SUM(Q16:T16)/SUM(P16:S16)-1</f>
        <v>2.8919190994783461E-2</v>
      </c>
      <c r="Y16" s="50">
        <f t="shared" ref="Y16:Y18" si="12">SUM(R16:U16)/SUM(Q16:T16)-1</f>
        <v>2.7394823445699545E-2</v>
      </c>
      <c r="Z16" s="50">
        <f t="shared" ref="Z16:Z18" si="13">SUM(S16:V16)/SUM(R16:U16)-1</f>
        <v>4.5623755519002662E-2</v>
      </c>
      <c r="AA16" s="50">
        <f t="shared" ref="AA16:AA18" si="14">SUM(T16:W16)/SUM(S16:V16)-1</f>
        <v>9.0577910250041471E-2</v>
      </c>
    </row>
    <row r="17" spans="2:27" x14ac:dyDescent="0.25">
      <c r="B17" s="22" t="s">
        <v>185</v>
      </c>
      <c r="C17" s="22" t="s">
        <v>23</v>
      </c>
      <c r="D17" s="22" t="s">
        <v>186</v>
      </c>
      <c r="E17" s="22" t="s">
        <v>28</v>
      </c>
      <c r="F17" s="24">
        <v>8.537388493085075</v>
      </c>
      <c r="G17" s="31">
        <v>5086</v>
      </c>
      <c r="H17" s="31">
        <v>5237</v>
      </c>
      <c r="I17" s="31">
        <v>5389</v>
      </c>
      <c r="J17" s="31">
        <v>5402</v>
      </c>
      <c r="K17" s="31">
        <v>5133</v>
      </c>
      <c r="L17" s="31">
        <v>5020</v>
      </c>
      <c r="M17" s="31">
        <v>4682</v>
      </c>
      <c r="N17" s="31">
        <v>4613</v>
      </c>
      <c r="O17" s="31">
        <v>4601</v>
      </c>
      <c r="P17" s="31">
        <v>4619</v>
      </c>
      <c r="Q17" s="31">
        <v>0</v>
      </c>
      <c r="R17" s="31">
        <v>3979</v>
      </c>
      <c r="S17" s="31">
        <v>4580</v>
      </c>
      <c r="T17" s="31">
        <v>5901</v>
      </c>
      <c r="U17" s="31">
        <v>0</v>
      </c>
      <c r="V17" s="32">
        <v>6222</v>
      </c>
      <c r="W17" s="34">
        <v>6006</v>
      </c>
      <c r="X17" s="50">
        <f t="shared" si="11"/>
        <v>9.7283351039611388E-2</v>
      </c>
      <c r="Y17" s="50">
        <f t="shared" si="12"/>
        <v>0</v>
      </c>
      <c r="Z17" s="50">
        <f t="shared" si="13"/>
        <v>0.15511756569847845</v>
      </c>
      <c r="AA17" s="50">
        <f t="shared" si="14"/>
        <v>8.5373884930850741E-2</v>
      </c>
    </row>
    <row r="18" spans="2:27" x14ac:dyDescent="0.25">
      <c r="B18" s="22" t="s">
        <v>193</v>
      </c>
      <c r="C18" s="22" t="s">
        <v>23</v>
      </c>
      <c r="D18" s="22" t="s">
        <v>44</v>
      </c>
      <c r="E18" s="22" t="s">
        <v>28</v>
      </c>
      <c r="F18" s="24">
        <v>8.2156332333835902</v>
      </c>
      <c r="G18" s="31">
        <v>339.71</v>
      </c>
      <c r="H18" s="31">
        <v>350.49</v>
      </c>
      <c r="I18" s="31">
        <v>429.5</v>
      </c>
      <c r="J18" s="31">
        <v>505.06</v>
      </c>
      <c r="K18" s="32">
        <v>508.16</v>
      </c>
      <c r="L18" s="31">
        <v>468.93</v>
      </c>
      <c r="M18" s="31">
        <v>471.47</v>
      </c>
      <c r="N18" s="31">
        <v>457.77</v>
      </c>
      <c r="O18" s="31">
        <v>424.84</v>
      </c>
      <c r="P18" s="31">
        <v>404.2</v>
      </c>
      <c r="Q18" s="31">
        <v>365.04</v>
      </c>
      <c r="R18" s="31">
        <v>382.96</v>
      </c>
      <c r="S18" s="31">
        <v>365.9</v>
      </c>
      <c r="T18" s="31">
        <v>406.42</v>
      </c>
      <c r="U18" s="31">
        <v>448.08</v>
      </c>
      <c r="V18" s="31">
        <v>483.79</v>
      </c>
      <c r="W18" s="34">
        <v>505.91</v>
      </c>
      <c r="X18" s="50">
        <f t="shared" si="11"/>
        <v>1.4623542586129634E-3</v>
      </c>
      <c r="Y18" s="50">
        <f t="shared" si="12"/>
        <v>5.4620079983161318E-2</v>
      </c>
      <c r="Z18" s="50">
        <f t="shared" si="13"/>
        <v>6.2886687955293841E-2</v>
      </c>
      <c r="AA18" s="50">
        <f t="shared" si="14"/>
        <v>8.2156332333836124E-2</v>
      </c>
    </row>
    <row r="19" spans="2:27" hidden="1" x14ac:dyDescent="0.25">
      <c r="B19" s="22" t="s">
        <v>45</v>
      </c>
      <c r="C19" s="22" t="s">
        <v>30</v>
      </c>
      <c r="D19" s="22" t="s">
        <v>27</v>
      </c>
      <c r="E19" s="22" t="s">
        <v>34</v>
      </c>
      <c r="F19" s="22">
        <v>5.5457813814732582</v>
      </c>
      <c r="G19" s="22">
        <v>1405</v>
      </c>
      <c r="H19" s="22">
        <v>1677</v>
      </c>
      <c r="I19" s="22">
        <v>1500</v>
      </c>
      <c r="J19" s="22">
        <v>1850</v>
      </c>
      <c r="K19" s="22">
        <v>2011</v>
      </c>
      <c r="L19" s="22">
        <v>2099</v>
      </c>
      <c r="M19" s="22">
        <v>2172</v>
      </c>
      <c r="N19" s="22">
        <v>2276</v>
      </c>
      <c r="O19" s="23">
        <v>3336</v>
      </c>
      <c r="P19" s="22">
        <v>2562</v>
      </c>
      <c r="Q19" s="22">
        <v>2729</v>
      </c>
      <c r="R19" s="22">
        <v>2811</v>
      </c>
      <c r="S19" s="22">
        <v>2981</v>
      </c>
      <c r="T19" s="22">
        <v>3089</v>
      </c>
      <c r="U19" s="22">
        <v>3412</v>
      </c>
      <c r="V19" s="22">
        <v>3591</v>
      </c>
      <c r="W19" s="22">
        <v>3706</v>
      </c>
    </row>
    <row r="20" spans="2:27" hidden="1" x14ac:dyDescent="0.25">
      <c r="B20" s="22" t="s">
        <v>46</v>
      </c>
      <c r="C20" s="22" t="s">
        <v>23</v>
      </c>
      <c r="D20" s="22" t="s">
        <v>47</v>
      </c>
      <c r="E20" s="22" t="s">
        <v>34</v>
      </c>
      <c r="F20" s="22">
        <v>0.81803671189146776</v>
      </c>
      <c r="G20" s="22">
        <v>139.19</v>
      </c>
      <c r="H20" s="22">
        <v>151.66</v>
      </c>
      <c r="I20" s="22">
        <v>156.77000000000001</v>
      </c>
      <c r="J20" s="22">
        <v>161.84</v>
      </c>
      <c r="K20" s="22">
        <v>161.85</v>
      </c>
      <c r="L20" s="22">
        <v>174.9</v>
      </c>
      <c r="M20" s="22">
        <v>169.41</v>
      </c>
      <c r="N20" s="22">
        <v>172.08</v>
      </c>
      <c r="O20" s="22">
        <v>189.72</v>
      </c>
      <c r="P20" s="22">
        <v>167.04</v>
      </c>
      <c r="Q20" s="22">
        <v>163.61000000000001</v>
      </c>
      <c r="R20" s="22">
        <v>171.9</v>
      </c>
      <c r="S20" s="22">
        <v>179.4</v>
      </c>
      <c r="T20" s="22">
        <v>173.57</v>
      </c>
      <c r="U20" s="22">
        <v>172.39</v>
      </c>
      <c r="V20" s="22">
        <v>176.32</v>
      </c>
      <c r="W20" s="22">
        <v>185.14</v>
      </c>
    </row>
    <row r="21" spans="2:27" hidden="1" x14ac:dyDescent="0.25">
      <c r="B21" s="22" t="s">
        <v>48</v>
      </c>
      <c r="C21" s="22" t="s">
        <v>30</v>
      </c>
      <c r="D21" s="22" t="s">
        <v>27</v>
      </c>
      <c r="E21" s="22" t="s">
        <v>34</v>
      </c>
      <c r="F21" s="22">
        <v>-2.27399165507649</v>
      </c>
      <c r="G21" s="22">
        <v>4519</v>
      </c>
      <c r="H21" s="22">
        <v>7246</v>
      </c>
      <c r="I21" s="22">
        <v>10573</v>
      </c>
      <c r="J21" s="22">
        <v>11554</v>
      </c>
      <c r="K21" s="22">
        <v>5389</v>
      </c>
      <c r="L21" s="22">
        <v>8554</v>
      </c>
      <c r="M21" s="22">
        <v>9482</v>
      </c>
      <c r="N21" s="22">
        <v>7656</v>
      </c>
      <c r="O21" s="22">
        <v>3827</v>
      </c>
      <c r="P21" s="22">
        <v>5643</v>
      </c>
      <c r="Q21" s="22">
        <v>8019</v>
      </c>
      <c r="R21" s="22">
        <v>8181</v>
      </c>
      <c r="S21" s="22">
        <v>5930</v>
      </c>
      <c r="T21" s="22">
        <v>6534</v>
      </c>
      <c r="U21" s="22">
        <v>8970</v>
      </c>
      <c r="V21" s="22">
        <v>7326</v>
      </c>
      <c r="W21" s="22">
        <v>5276</v>
      </c>
    </row>
    <row r="22" spans="2:27" x14ac:dyDescent="0.25">
      <c r="B22" s="22" t="s">
        <v>68</v>
      </c>
      <c r="C22" s="22" t="s">
        <v>23</v>
      </c>
      <c r="D22" s="22" t="s">
        <v>44</v>
      </c>
      <c r="E22" s="22" t="s">
        <v>28</v>
      </c>
      <c r="F22" s="24">
        <v>8.0549815829664908</v>
      </c>
      <c r="G22" s="31">
        <v>94.94</v>
      </c>
      <c r="H22" s="31">
        <v>85.34</v>
      </c>
      <c r="I22" s="31">
        <v>97.79</v>
      </c>
      <c r="J22" s="31">
        <v>99.71</v>
      </c>
      <c r="K22" s="31">
        <v>123.23</v>
      </c>
      <c r="L22" s="31">
        <v>119.88</v>
      </c>
      <c r="M22" s="32">
        <v>149.30000000000001</v>
      </c>
      <c r="N22" s="31">
        <v>134.41</v>
      </c>
      <c r="O22" s="31">
        <v>124.17</v>
      </c>
      <c r="P22" s="31">
        <v>124.21</v>
      </c>
      <c r="Q22" s="31">
        <v>121.69</v>
      </c>
      <c r="R22" s="31">
        <v>124.07</v>
      </c>
      <c r="S22" s="31">
        <v>129.16999999999999</v>
      </c>
      <c r="T22" s="31">
        <v>134.44999999999999</v>
      </c>
      <c r="U22" s="31">
        <v>144.01</v>
      </c>
      <c r="V22" s="31">
        <v>148.91999999999999</v>
      </c>
      <c r="W22" s="34">
        <v>174</v>
      </c>
      <c r="X22" s="50">
        <f t="shared" ref="X22:X35" si="15">SUM(Q22:T22)/SUM(P22:S22)-1</f>
        <v>2.0515286292422941E-2</v>
      </c>
      <c r="Y22" s="50">
        <f t="shared" ref="Y22:Y35" si="16">SUM(R22:U22)/SUM(Q22:T22)-1</f>
        <v>4.3817974792885517E-2</v>
      </c>
      <c r="Z22" s="50">
        <f t="shared" ref="Z22:Z35" si="17">SUM(S22:V22)/SUM(R22:U22)-1</f>
        <v>4.6736881700206956E-2</v>
      </c>
      <c r="AA22" s="50">
        <f t="shared" ref="AA22:AA35" si="18">SUM(T22:W22)/SUM(S22:V22)-1</f>
        <v>8.0549815829664917E-2</v>
      </c>
    </row>
    <row r="23" spans="2:27" x14ac:dyDescent="0.25">
      <c r="B23" s="22" t="s">
        <v>229</v>
      </c>
      <c r="C23" s="22" t="s">
        <v>23</v>
      </c>
      <c r="D23" s="22" t="s">
        <v>44</v>
      </c>
      <c r="E23" s="22" t="s">
        <v>28</v>
      </c>
      <c r="F23" s="24">
        <v>6.7978196854833639</v>
      </c>
      <c r="G23" s="31">
        <v>71.91</v>
      </c>
      <c r="H23" s="31">
        <v>90.71</v>
      </c>
      <c r="I23" s="31">
        <v>95.03</v>
      </c>
      <c r="J23" s="31">
        <v>99.88</v>
      </c>
      <c r="K23" s="31">
        <v>80.77</v>
      </c>
      <c r="L23" s="31">
        <v>70.040000000000006</v>
      </c>
      <c r="M23" s="31">
        <v>60.18</v>
      </c>
      <c r="N23" s="31">
        <v>65.790000000000006</v>
      </c>
      <c r="O23" s="31">
        <v>56.14</v>
      </c>
      <c r="P23" s="31">
        <v>50.49</v>
      </c>
      <c r="Q23" s="31">
        <v>58.29</v>
      </c>
      <c r="R23" s="31">
        <v>-56.74</v>
      </c>
      <c r="S23" s="31">
        <v>44.03</v>
      </c>
      <c r="T23" s="32">
        <v>67.98</v>
      </c>
      <c r="U23" s="31">
        <v>49.05</v>
      </c>
      <c r="V23" s="32">
        <v>-1.45</v>
      </c>
      <c r="W23" s="34">
        <v>54.88</v>
      </c>
      <c r="X23" s="50">
        <f t="shared" si="15"/>
        <v>0.18205475174352048</v>
      </c>
      <c r="Y23" s="50">
        <f t="shared" si="16"/>
        <v>-8.1366678407890136E-2</v>
      </c>
      <c r="Z23" s="50">
        <f t="shared" si="17"/>
        <v>0.53000383435582843</v>
      </c>
      <c r="AA23" s="50">
        <f t="shared" si="18"/>
        <v>6.7978196854833639E-2</v>
      </c>
    </row>
    <row r="24" spans="2:27" x14ac:dyDescent="0.25">
      <c r="B24" s="22" t="s">
        <v>202</v>
      </c>
      <c r="C24" s="22" t="s">
        <v>23</v>
      </c>
      <c r="D24" s="22" t="s">
        <v>42</v>
      </c>
      <c r="E24" s="22" t="s">
        <v>199</v>
      </c>
      <c r="F24" s="24">
        <v>6.5120054795215543</v>
      </c>
      <c r="G24" s="31">
        <v>186.63</v>
      </c>
      <c r="H24" s="31">
        <v>200.29</v>
      </c>
      <c r="I24" s="31">
        <v>217.75</v>
      </c>
      <c r="J24" s="31">
        <v>237.67</v>
      </c>
      <c r="K24" s="31">
        <v>248.79</v>
      </c>
      <c r="L24" s="31">
        <v>269.45</v>
      </c>
      <c r="M24" s="31">
        <v>278.29000000000002</v>
      </c>
      <c r="N24" s="31">
        <v>275.51</v>
      </c>
      <c r="O24" s="31">
        <v>254.98</v>
      </c>
      <c r="P24" s="31">
        <v>240.58</v>
      </c>
      <c r="Q24" s="31">
        <v>166.92</v>
      </c>
      <c r="R24" s="31">
        <v>187.39</v>
      </c>
      <c r="S24" s="31">
        <v>177.87</v>
      </c>
      <c r="T24" s="31">
        <v>192.82</v>
      </c>
      <c r="U24" s="31">
        <v>203.41</v>
      </c>
      <c r="V24" s="31">
        <v>214.29</v>
      </c>
      <c r="W24" s="34">
        <v>229.21</v>
      </c>
      <c r="X24" s="50">
        <f t="shared" si="15"/>
        <v>-6.1804441223665796E-2</v>
      </c>
      <c r="Y24" s="50">
        <f t="shared" si="16"/>
        <v>5.0331034482758552E-2</v>
      </c>
      <c r="Z24" s="50">
        <f t="shared" si="17"/>
        <v>3.5325480308342927E-2</v>
      </c>
      <c r="AA24" s="50">
        <f t="shared" si="18"/>
        <v>6.5120054795215543E-2</v>
      </c>
    </row>
    <row r="25" spans="2:27" x14ac:dyDescent="0.25">
      <c r="B25" s="22" t="s">
        <v>194</v>
      </c>
      <c r="C25" s="22" t="s">
        <v>23</v>
      </c>
      <c r="D25" s="22" t="s">
        <v>195</v>
      </c>
      <c r="E25" s="22" t="s">
        <v>196</v>
      </c>
      <c r="F25" s="24">
        <v>6.1710339836565042</v>
      </c>
      <c r="G25" s="31">
        <v>1021</v>
      </c>
      <c r="H25" s="31">
        <v>541.15</v>
      </c>
      <c r="I25" s="31">
        <v>224.05</v>
      </c>
      <c r="J25" s="31">
        <v>294.06</v>
      </c>
      <c r="K25" s="31">
        <v>232.68</v>
      </c>
      <c r="L25" s="31">
        <v>268.99</v>
      </c>
      <c r="M25" s="31">
        <v>275.44</v>
      </c>
      <c r="N25" s="32">
        <v>411.93</v>
      </c>
      <c r="O25" s="32">
        <v>373.51</v>
      </c>
      <c r="P25" s="32">
        <v>429.56</v>
      </c>
      <c r="Q25" s="31">
        <v>414.19</v>
      </c>
      <c r="R25" s="32">
        <v>619.36</v>
      </c>
      <c r="S25" s="32">
        <v>606.45000000000005</v>
      </c>
      <c r="T25" s="31">
        <v>610.24</v>
      </c>
      <c r="U25" s="31">
        <v>575</v>
      </c>
      <c r="V25" s="32">
        <v>861.35</v>
      </c>
      <c r="W25" s="34">
        <v>770.17</v>
      </c>
      <c r="X25" s="50">
        <f t="shared" si="15"/>
        <v>8.7303581437599975E-2</v>
      </c>
      <c r="Y25" s="50">
        <f t="shared" si="16"/>
        <v>7.1463488339021719E-2</v>
      </c>
      <c r="Z25" s="50">
        <f t="shared" si="17"/>
        <v>0.10036705999460804</v>
      </c>
      <c r="AA25" s="50">
        <f t="shared" si="18"/>
        <v>6.1710339836565042E-2</v>
      </c>
    </row>
    <row r="26" spans="2:27" x14ac:dyDescent="0.25">
      <c r="B26" s="22" t="s">
        <v>209</v>
      </c>
      <c r="C26" s="22" t="s">
        <v>23</v>
      </c>
      <c r="D26" s="22" t="s">
        <v>44</v>
      </c>
      <c r="E26" s="22" t="s">
        <v>28</v>
      </c>
      <c r="F26" s="24">
        <v>5.3584792695704264</v>
      </c>
      <c r="G26" s="31">
        <v>172.36</v>
      </c>
      <c r="H26" s="31">
        <v>173.81</v>
      </c>
      <c r="I26" s="31">
        <v>186.51</v>
      </c>
      <c r="J26" s="31">
        <v>198.93</v>
      </c>
      <c r="K26" s="31">
        <v>225.24</v>
      </c>
      <c r="L26" s="31">
        <v>225.73</v>
      </c>
      <c r="M26" s="31">
        <v>229.46</v>
      </c>
      <c r="N26" s="31">
        <v>238.66</v>
      </c>
      <c r="O26" s="31">
        <v>246.84</v>
      </c>
      <c r="P26" s="31">
        <v>288.77</v>
      </c>
      <c r="Q26" s="31">
        <v>284.92</v>
      </c>
      <c r="R26" s="31">
        <v>306.66000000000003</v>
      </c>
      <c r="S26" s="31">
        <v>295.64999999999998</v>
      </c>
      <c r="T26" s="31">
        <v>294.33999999999997</v>
      </c>
      <c r="U26" s="31">
        <v>306.45</v>
      </c>
      <c r="V26" s="31">
        <v>306.14</v>
      </c>
      <c r="W26" s="34">
        <v>360.09</v>
      </c>
      <c r="X26" s="50">
        <f t="shared" si="15"/>
        <v>4.7363945578231537E-3</v>
      </c>
      <c r="Y26" s="50">
        <f t="shared" si="16"/>
        <v>1.822151882664591E-2</v>
      </c>
      <c r="Z26" s="50">
        <f t="shared" si="17"/>
        <v>-4.3221677333549202E-4</v>
      </c>
      <c r="AA26" s="50">
        <f t="shared" si="18"/>
        <v>5.3584792695704264E-2</v>
      </c>
    </row>
    <row r="27" spans="2:27" x14ac:dyDescent="0.25">
      <c r="B27" s="22" t="s">
        <v>225</v>
      </c>
      <c r="C27" s="22" t="s">
        <v>23</v>
      </c>
      <c r="D27" s="22" t="s">
        <v>164</v>
      </c>
      <c r="E27" s="22" t="s">
        <v>28</v>
      </c>
      <c r="F27" s="24">
        <v>4.9134383034128204</v>
      </c>
      <c r="G27" s="31">
        <v>95.6</v>
      </c>
      <c r="H27" s="31">
        <v>105.3</v>
      </c>
      <c r="I27" s="31">
        <v>117.45</v>
      </c>
      <c r="J27" s="31">
        <v>125.08</v>
      </c>
      <c r="K27" s="31">
        <v>124.06</v>
      </c>
      <c r="L27" s="31">
        <v>136.1</v>
      </c>
      <c r="M27" s="31">
        <v>147.08000000000001</v>
      </c>
      <c r="N27" s="31">
        <v>165.44</v>
      </c>
      <c r="O27" s="31">
        <v>171.83</v>
      </c>
      <c r="P27" s="31">
        <v>187.43</v>
      </c>
      <c r="Q27" s="31">
        <v>197.38</v>
      </c>
      <c r="R27" s="31">
        <v>205.73</v>
      </c>
      <c r="S27" s="31">
        <v>203.66</v>
      </c>
      <c r="T27" s="31">
        <v>217.7</v>
      </c>
      <c r="U27" s="31">
        <v>235.58</v>
      </c>
      <c r="V27" s="31">
        <v>249.35</v>
      </c>
      <c r="W27" s="34">
        <v>248.19</v>
      </c>
      <c r="X27" s="50">
        <f t="shared" si="15"/>
        <v>3.8113825232938936E-2</v>
      </c>
      <c r="Y27" s="50">
        <f t="shared" si="16"/>
        <v>4.6332795614151934E-2</v>
      </c>
      <c r="Z27" s="50">
        <f t="shared" si="17"/>
        <v>5.0563946816279737E-2</v>
      </c>
      <c r="AA27" s="50">
        <f t="shared" si="18"/>
        <v>4.9134383034127982E-2</v>
      </c>
    </row>
    <row r="28" spans="2:27" x14ac:dyDescent="0.25">
      <c r="B28" s="22" t="s">
        <v>22</v>
      </c>
      <c r="C28" s="22" t="s">
        <v>23</v>
      </c>
      <c r="D28" s="22" t="s">
        <v>24</v>
      </c>
      <c r="E28" s="22" t="s">
        <v>25</v>
      </c>
      <c r="F28" s="24">
        <v>4.6751137180081734</v>
      </c>
      <c r="G28" s="31">
        <v>123945</v>
      </c>
      <c r="H28" s="31">
        <v>97278</v>
      </c>
      <c r="I28" s="31">
        <v>82959</v>
      </c>
      <c r="J28" s="31">
        <v>90146</v>
      </c>
      <c r="K28" s="31">
        <v>117154</v>
      </c>
      <c r="L28" s="31">
        <v>94836</v>
      </c>
      <c r="M28" s="31">
        <v>81797</v>
      </c>
      <c r="N28" s="31">
        <v>89498</v>
      </c>
      <c r="O28" s="31">
        <v>119575</v>
      </c>
      <c r="P28" s="31">
        <v>90753</v>
      </c>
      <c r="Q28" s="31">
        <v>85777</v>
      </c>
      <c r="R28" s="31">
        <v>94930</v>
      </c>
      <c r="S28" s="31">
        <v>124300</v>
      </c>
      <c r="T28" s="31">
        <v>95359</v>
      </c>
      <c r="U28" s="31">
        <v>94036</v>
      </c>
      <c r="V28" s="31">
        <v>102466</v>
      </c>
      <c r="W28" s="34">
        <v>143756</v>
      </c>
      <c r="X28" s="50">
        <f t="shared" si="15"/>
        <v>1.1638366686880897E-2</v>
      </c>
      <c r="Y28" s="50">
        <f t="shared" si="16"/>
        <v>2.06286248083003E-2</v>
      </c>
      <c r="Z28" s="50">
        <f t="shared" si="17"/>
        <v>1.8442337106148621E-2</v>
      </c>
      <c r="AA28" s="50">
        <f t="shared" si="18"/>
        <v>4.6751137180081725E-2</v>
      </c>
    </row>
    <row r="29" spans="2:27" x14ac:dyDescent="0.25">
      <c r="B29" s="22" t="s">
        <v>80</v>
      </c>
      <c r="C29" s="22" t="s">
        <v>23</v>
      </c>
      <c r="D29" s="22" t="s">
        <v>81</v>
      </c>
      <c r="E29" s="22" t="s">
        <v>28</v>
      </c>
      <c r="F29" s="24">
        <v>4.5555101889313656</v>
      </c>
      <c r="G29" s="31">
        <v>618.89</v>
      </c>
      <c r="H29" s="31">
        <v>609.80999999999995</v>
      </c>
      <c r="I29" s="31">
        <v>529.5</v>
      </c>
      <c r="J29" s="31">
        <v>472.57</v>
      </c>
      <c r="K29" s="31">
        <v>395.94</v>
      </c>
      <c r="L29" s="31">
        <v>496.02</v>
      </c>
      <c r="M29" s="31">
        <v>365.64</v>
      </c>
      <c r="N29" s="31">
        <v>469.41</v>
      </c>
      <c r="O29" s="31">
        <v>352.44</v>
      </c>
      <c r="P29" s="31">
        <v>490.19</v>
      </c>
      <c r="Q29" s="31">
        <v>520.17999999999995</v>
      </c>
      <c r="R29" s="31">
        <v>547.11</v>
      </c>
      <c r="S29" s="32">
        <v>660.31</v>
      </c>
      <c r="T29" s="31">
        <v>675.97</v>
      </c>
      <c r="U29" s="31">
        <v>734.14</v>
      </c>
      <c r="V29" s="31">
        <v>623.67999999999995</v>
      </c>
      <c r="W29" s="34">
        <v>783.04</v>
      </c>
      <c r="X29" s="50">
        <f t="shared" si="15"/>
        <v>8.3768075426437827E-2</v>
      </c>
      <c r="Y29" s="50">
        <f t="shared" si="16"/>
        <v>8.9017586340319088E-2</v>
      </c>
      <c r="Z29" s="50">
        <f t="shared" si="17"/>
        <v>2.9252768831684817E-2</v>
      </c>
      <c r="AA29" s="50">
        <f t="shared" si="18"/>
        <v>4.5555101889313665E-2</v>
      </c>
    </row>
    <row r="30" spans="2:27" x14ac:dyDescent="0.25">
      <c r="B30" s="22" t="s">
        <v>161</v>
      </c>
      <c r="C30" s="22" t="s">
        <v>23</v>
      </c>
      <c r="D30" s="22" t="s">
        <v>162</v>
      </c>
      <c r="E30" s="22" t="s">
        <v>28</v>
      </c>
      <c r="F30" s="24">
        <v>4.5120687788962499</v>
      </c>
      <c r="G30" s="31">
        <v>13798</v>
      </c>
      <c r="H30" s="31">
        <v>13589</v>
      </c>
      <c r="I30" s="31">
        <v>14247</v>
      </c>
      <c r="J30" s="31">
        <v>14994</v>
      </c>
      <c r="K30" s="31">
        <v>16597</v>
      </c>
      <c r="L30" s="31">
        <v>15862</v>
      </c>
      <c r="M30" s="31">
        <v>17318</v>
      </c>
      <c r="N30" s="31">
        <v>16810</v>
      </c>
      <c r="O30" s="31">
        <v>17070</v>
      </c>
      <c r="P30" s="31">
        <v>15799</v>
      </c>
      <c r="Q30" s="31">
        <v>16689</v>
      </c>
      <c r="R30" s="31">
        <v>16106</v>
      </c>
      <c r="S30" s="31">
        <v>16215</v>
      </c>
      <c r="T30" s="31">
        <v>14249</v>
      </c>
      <c r="U30" s="31">
        <v>16569</v>
      </c>
      <c r="V30" s="31">
        <v>17638</v>
      </c>
      <c r="W30" s="34">
        <v>19133</v>
      </c>
      <c r="X30" s="50">
        <f t="shared" si="15"/>
        <v>-2.3916431359842005E-2</v>
      </c>
      <c r="Y30" s="50">
        <f t="shared" si="16"/>
        <v>-1.8969632779525236E-3</v>
      </c>
      <c r="Z30" s="50">
        <f t="shared" si="17"/>
        <v>2.4263925624415927E-2</v>
      </c>
      <c r="AA30" s="50">
        <f t="shared" si="18"/>
        <v>4.5120687788962499E-2</v>
      </c>
    </row>
    <row r="31" spans="2:27" x14ac:dyDescent="0.25">
      <c r="B31" s="22" t="s">
        <v>159</v>
      </c>
      <c r="C31" s="22" t="s">
        <v>23</v>
      </c>
      <c r="D31" s="22" t="s">
        <v>72</v>
      </c>
      <c r="E31" s="22" t="s">
        <v>28</v>
      </c>
      <c r="F31" s="24">
        <v>4.1844061765266671</v>
      </c>
      <c r="G31" s="31">
        <v>5216</v>
      </c>
      <c r="H31" s="31">
        <v>5167</v>
      </c>
      <c r="I31" s="31">
        <v>5497</v>
      </c>
      <c r="J31" s="31">
        <v>5756</v>
      </c>
      <c r="K31" s="31">
        <v>5817</v>
      </c>
      <c r="L31" s="31">
        <v>5748</v>
      </c>
      <c r="M31" s="31">
        <v>6269</v>
      </c>
      <c r="N31" s="31">
        <v>6533</v>
      </c>
      <c r="O31" s="31">
        <v>6548</v>
      </c>
      <c r="P31" s="31">
        <v>6348</v>
      </c>
      <c r="Q31" s="31">
        <v>6961</v>
      </c>
      <c r="R31" s="31">
        <v>7369</v>
      </c>
      <c r="S31" s="31">
        <v>7489</v>
      </c>
      <c r="T31" s="31">
        <v>7250</v>
      </c>
      <c r="U31" s="31">
        <v>8133</v>
      </c>
      <c r="V31" s="31">
        <v>8602</v>
      </c>
      <c r="W31" s="34">
        <v>8806</v>
      </c>
      <c r="X31" s="50">
        <f t="shared" si="15"/>
        <v>3.2023289665211063E-2</v>
      </c>
      <c r="Y31" s="50">
        <f t="shared" si="16"/>
        <v>4.0317864391619995E-2</v>
      </c>
      <c r="Z31" s="50">
        <f t="shared" si="17"/>
        <v>4.0772461228133938E-2</v>
      </c>
      <c r="AA31" s="50">
        <f t="shared" si="18"/>
        <v>4.1844061765266671E-2</v>
      </c>
    </row>
    <row r="32" spans="2:27" x14ac:dyDescent="0.25">
      <c r="B32" s="22" t="s">
        <v>204</v>
      </c>
      <c r="C32" s="22" t="s">
        <v>23</v>
      </c>
      <c r="D32" s="22" t="s">
        <v>76</v>
      </c>
      <c r="E32" s="22" t="s">
        <v>28</v>
      </c>
      <c r="F32" s="24">
        <v>4.0775290215588678</v>
      </c>
      <c r="G32" s="31">
        <v>136.29</v>
      </c>
      <c r="H32" s="31">
        <v>173.3</v>
      </c>
      <c r="I32" s="31">
        <v>199.93</v>
      </c>
      <c r="J32" s="31">
        <v>191.19</v>
      </c>
      <c r="K32" s="31">
        <v>171.09</v>
      </c>
      <c r="L32" s="31">
        <v>195.69</v>
      </c>
      <c r="M32" s="31">
        <v>203.36</v>
      </c>
      <c r="N32" s="31">
        <v>203.65</v>
      </c>
      <c r="O32" s="31">
        <v>174.97</v>
      </c>
      <c r="P32" s="31">
        <v>210.86</v>
      </c>
      <c r="Q32" s="31">
        <v>226.18</v>
      </c>
      <c r="R32" s="31">
        <v>227.93</v>
      </c>
      <c r="S32" s="31">
        <v>193.65</v>
      </c>
      <c r="T32" s="31">
        <v>230.55</v>
      </c>
      <c r="U32" s="31">
        <v>263.64999999999998</v>
      </c>
      <c r="V32" s="31">
        <v>276.95</v>
      </c>
      <c r="W32" s="34">
        <v>232.99</v>
      </c>
      <c r="X32" s="50">
        <f t="shared" si="15"/>
        <v>2.2932146933451358E-2</v>
      </c>
      <c r="Y32" s="50">
        <f t="shared" si="16"/>
        <v>4.2661474877890626E-2</v>
      </c>
      <c r="Z32" s="50">
        <f t="shared" si="17"/>
        <v>5.3528139946275255E-2</v>
      </c>
      <c r="AA32" s="50">
        <f t="shared" si="18"/>
        <v>4.0775290215588678E-2</v>
      </c>
    </row>
    <row r="33" spans="2:27" x14ac:dyDescent="0.25">
      <c r="B33" s="22" t="s">
        <v>75</v>
      </c>
      <c r="C33" s="22" t="s">
        <v>23</v>
      </c>
      <c r="D33" s="22" t="s">
        <v>76</v>
      </c>
      <c r="E33" s="22" t="s">
        <v>28</v>
      </c>
      <c r="F33" s="24">
        <v>3.7643207855973859</v>
      </c>
      <c r="G33" s="31">
        <v>185.71</v>
      </c>
      <c r="H33" s="31">
        <v>189.28</v>
      </c>
      <c r="I33" s="31">
        <v>184.74</v>
      </c>
      <c r="J33" s="31">
        <v>180.6</v>
      </c>
      <c r="K33" s="31">
        <v>187.79</v>
      </c>
      <c r="L33" s="31">
        <v>184.33</v>
      </c>
      <c r="M33" s="31">
        <v>188.33</v>
      </c>
      <c r="N33" s="31">
        <v>184.77</v>
      </c>
      <c r="O33" s="31">
        <v>178.4</v>
      </c>
      <c r="P33" s="31">
        <v>177.27</v>
      </c>
      <c r="Q33" s="31">
        <v>180.19</v>
      </c>
      <c r="R33" s="31">
        <v>170.46</v>
      </c>
      <c r="S33" s="31">
        <v>189.81</v>
      </c>
      <c r="T33" s="31">
        <v>207.78</v>
      </c>
      <c r="U33" s="31">
        <v>222.05</v>
      </c>
      <c r="V33" s="31">
        <v>217.43</v>
      </c>
      <c r="W33" s="34">
        <v>221.32</v>
      </c>
      <c r="X33" s="50">
        <f t="shared" si="15"/>
        <v>4.250902149833502E-2</v>
      </c>
      <c r="Y33" s="50">
        <f t="shared" si="16"/>
        <v>5.5944616700523753E-2</v>
      </c>
      <c r="Z33" s="50">
        <f t="shared" si="17"/>
        <v>5.9448171117580273E-2</v>
      </c>
      <c r="AA33" s="50">
        <f t="shared" si="18"/>
        <v>3.7643207855973415E-2</v>
      </c>
    </row>
    <row r="34" spans="2:27" x14ac:dyDescent="0.25">
      <c r="B34" s="22" t="s">
        <v>71</v>
      </c>
      <c r="C34" s="22" t="s">
        <v>23</v>
      </c>
      <c r="D34" s="22" t="s">
        <v>72</v>
      </c>
      <c r="E34" s="22" t="s">
        <v>28</v>
      </c>
      <c r="F34" s="24">
        <v>3.7465125548027172</v>
      </c>
      <c r="G34" s="31">
        <v>0</v>
      </c>
      <c r="H34" s="31">
        <v>728</v>
      </c>
      <c r="I34" s="31">
        <v>489</v>
      </c>
      <c r="J34" s="31">
        <v>675</v>
      </c>
      <c r="K34" s="32">
        <v>341</v>
      </c>
      <c r="L34" s="32">
        <v>1182</v>
      </c>
      <c r="M34" s="31">
        <v>616</v>
      </c>
      <c r="N34" s="31">
        <v>727</v>
      </c>
      <c r="O34" s="31">
        <v>534</v>
      </c>
      <c r="P34" s="31">
        <v>670</v>
      </c>
      <c r="Q34" s="31">
        <v>649</v>
      </c>
      <c r="R34" s="31">
        <v>614</v>
      </c>
      <c r="S34" s="31">
        <v>508</v>
      </c>
      <c r="T34" s="31">
        <v>674</v>
      </c>
      <c r="U34" s="31">
        <v>655</v>
      </c>
      <c r="V34" s="31">
        <v>672</v>
      </c>
      <c r="W34" s="34">
        <v>602</v>
      </c>
      <c r="X34" s="50">
        <f t="shared" si="15"/>
        <v>1.6386726751331793E-3</v>
      </c>
      <c r="Y34" s="50">
        <f t="shared" si="16"/>
        <v>2.4539877300613355E-3</v>
      </c>
      <c r="Z34" s="50">
        <f t="shared" si="17"/>
        <v>2.3663810689514397E-2</v>
      </c>
      <c r="AA34" s="50">
        <f t="shared" si="18"/>
        <v>3.7465125548027167E-2</v>
      </c>
    </row>
    <row r="35" spans="2:27" x14ac:dyDescent="0.25">
      <c r="B35" s="22" t="s">
        <v>43</v>
      </c>
      <c r="C35" s="22" t="s">
        <v>23</v>
      </c>
      <c r="D35" s="22" t="s">
        <v>44</v>
      </c>
      <c r="E35" s="22" t="s">
        <v>28</v>
      </c>
      <c r="F35" s="24">
        <v>3.6874753840094638</v>
      </c>
      <c r="G35" s="31">
        <v>85.01</v>
      </c>
      <c r="H35" s="31">
        <v>80.53</v>
      </c>
      <c r="I35" s="31">
        <v>83.79</v>
      </c>
      <c r="J35" s="31">
        <v>87.77</v>
      </c>
      <c r="K35" s="31">
        <v>89.39</v>
      </c>
      <c r="L35" s="31">
        <v>89.84</v>
      </c>
      <c r="M35" s="31">
        <v>91.24</v>
      </c>
      <c r="N35" s="31">
        <v>92.83</v>
      </c>
      <c r="O35" s="31">
        <v>89.5</v>
      </c>
      <c r="P35" s="31">
        <v>86.59</v>
      </c>
      <c r="Q35" s="31">
        <v>97.59</v>
      </c>
      <c r="R35" s="31">
        <v>96.21</v>
      </c>
      <c r="S35" s="31">
        <v>95.14</v>
      </c>
      <c r="T35" s="31">
        <v>100.78</v>
      </c>
      <c r="U35" s="31">
        <v>100.56</v>
      </c>
      <c r="V35" s="31">
        <v>109.76</v>
      </c>
      <c r="W35" s="34">
        <v>110.12</v>
      </c>
      <c r="X35" s="50">
        <f t="shared" si="15"/>
        <v>3.7786594945810048E-2</v>
      </c>
      <c r="Y35" s="50">
        <f t="shared" si="16"/>
        <v>7.6208559991788327E-3</v>
      </c>
      <c r="Z35" s="50">
        <f t="shared" si="17"/>
        <v>3.4505589650869695E-2</v>
      </c>
      <c r="AA35" s="50">
        <f t="shared" si="18"/>
        <v>3.6874753840094643E-2</v>
      </c>
    </row>
    <row r="36" spans="2:27" hidden="1" x14ac:dyDescent="0.25">
      <c r="B36" s="22" t="s">
        <v>70</v>
      </c>
      <c r="C36" s="22" t="s">
        <v>30</v>
      </c>
      <c r="D36" s="22" t="s">
        <v>27</v>
      </c>
      <c r="E36" s="22" t="s">
        <v>34</v>
      </c>
      <c r="F36" s="22">
        <v>10.33488223041179</v>
      </c>
      <c r="G36" s="22">
        <v>1658</v>
      </c>
      <c r="H36" s="22">
        <v>1520</v>
      </c>
      <c r="I36" s="22">
        <v>1374</v>
      </c>
      <c r="J36" s="22">
        <v>2106</v>
      </c>
      <c r="K36" s="22">
        <v>1072</v>
      </c>
      <c r="L36" s="23">
        <v>2262</v>
      </c>
      <c r="M36" s="22">
        <v>0</v>
      </c>
      <c r="N36" s="23">
        <v>3487</v>
      </c>
      <c r="O36" s="23">
        <v>3706</v>
      </c>
      <c r="P36" s="23">
        <v>5035</v>
      </c>
      <c r="Q36" s="23">
        <v>5308</v>
      </c>
      <c r="R36" s="23">
        <v>6388</v>
      </c>
      <c r="S36" s="23">
        <v>7322</v>
      </c>
      <c r="T36" s="23">
        <v>9113</v>
      </c>
      <c r="U36" s="23">
        <v>12748</v>
      </c>
      <c r="V36" s="22">
        <v>8263</v>
      </c>
      <c r="W36" s="23">
        <v>11192</v>
      </c>
    </row>
    <row r="37" spans="2:27" x14ac:dyDescent="0.25">
      <c r="B37" s="22" t="s">
        <v>180</v>
      </c>
      <c r="C37" s="22" t="s">
        <v>23</v>
      </c>
      <c r="D37" s="22" t="s">
        <v>181</v>
      </c>
      <c r="E37" s="22" t="s">
        <v>28</v>
      </c>
      <c r="F37" s="24">
        <v>3.6695427948031378</v>
      </c>
      <c r="G37" s="31">
        <v>5086</v>
      </c>
      <c r="H37" s="31">
        <v>4819</v>
      </c>
      <c r="I37" s="31">
        <v>5374</v>
      </c>
      <c r="J37" s="31">
        <v>5412</v>
      </c>
      <c r="K37" s="31">
        <v>5083</v>
      </c>
      <c r="L37" s="31">
        <v>4763</v>
      </c>
      <c r="M37" s="31">
        <v>5438</v>
      </c>
      <c r="N37" s="31">
        <v>5277</v>
      </c>
      <c r="O37" s="31">
        <v>5024</v>
      </c>
      <c r="P37" s="31">
        <v>4717</v>
      </c>
      <c r="Q37" s="31">
        <v>5277</v>
      </c>
      <c r="R37" s="31">
        <v>5344</v>
      </c>
      <c r="S37" s="31">
        <v>5106</v>
      </c>
      <c r="T37" s="31">
        <v>4519</v>
      </c>
      <c r="U37" s="31">
        <v>5290</v>
      </c>
      <c r="V37" s="31">
        <v>5251</v>
      </c>
      <c r="W37" s="34">
        <v>5846</v>
      </c>
      <c r="X37" s="50">
        <f>SUM(Q37:T37)/SUM(P37:S37)-1</f>
        <v>-9.6849931520250898E-3</v>
      </c>
      <c r="Y37" s="50">
        <f t="shared" ref="Y37" si="19">SUM(R37:U37)/SUM(Q37:T37)-1</f>
        <v>6.4210214363336071E-4</v>
      </c>
      <c r="Z37" s="50">
        <f t="shared" ref="Z37" si="20">SUM(S37:V37)/SUM(R37:U37)-1</f>
        <v>-4.5905523471050369E-3</v>
      </c>
      <c r="AA37" s="50">
        <f t="shared" ref="AA37" si="21">SUM(T37:W37)/SUM(S37:V37)-1</f>
        <v>3.6695427948031378E-2</v>
      </c>
    </row>
    <row r="38" spans="2:27" hidden="1" x14ac:dyDescent="0.25">
      <c r="B38" s="22" t="s">
        <v>73</v>
      </c>
      <c r="C38" s="22" t="s">
        <v>23</v>
      </c>
      <c r="D38" s="22" t="s">
        <v>74</v>
      </c>
      <c r="E38" s="22" t="s">
        <v>34</v>
      </c>
      <c r="F38" s="22">
        <v>1.600776133883097</v>
      </c>
      <c r="G38" s="22">
        <v>329.6</v>
      </c>
      <c r="H38" s="22">
        <v>331.4</v>
      </c>
      <c r="I38" s="22">
        <v>346.7</v>
      </c>
      <c r="J38" s="22">
        <v>345.9</v>
      </c>
      <c r="K38" s="22">
        <v>342.6</v>
      </c>
      <c r="L38" s="22">
        <v>346.4</v>
      </c>
      <c r="M38" s="22">
        <v>353.9</v>
      </c>
      <c r="N38" s="22">
        <v>356.4</v>
      </c>
      <c r="O38" s="22">
        <v>378.7</v>
      </c>
      <c r="P38" s="22">
        <v>402.9</v>
      </c>
      <c r="Q38" s="22">
        <v>386</v>
      </c>
      <c r="R38" s="22">
        <v>388.1</v>
      </c>
      <c r="S38" s="22">
        <v>412.1</v>
      </c>
      <c r="T38" s="22">
        <v>409</v>
      </c>
      <c r="U38" s="22">
        <v>416.4</v>
      </c>
      <c r="V38" s="22">
        <v>411.7</v>
      </c>
      <c r="W38" s="22">
        <v>438.5</v>
      </c>
    </row>
    <row r="39" spans="2:27" x14ac:dyDescent="0.25">
      <c r="B39" s="22" t="s">
        <v>158</v>
      </c>
      <c r="C39" s="22" t="s">
        <v>23</v>
      </c>
      <c r="D39" s="22" t="s">
        <v>72</v>
      </c>
      <c r="E39" s="22" t="s">
        <v>28</v>
      </c>
      <c r="F39" s="24">
        <v>3.4775</v>
      </c>
      <c r="G39" s="31">
        <v>7059</v>
      </c>
      <c r="H39" s="31">
        <v>7189</v>
      </c>
      <c r="I39" s="31">
        <v>7275</v>
      </c>
      <c r="J39" s="31">
        <v>7787</v>
      </c>
      <c r="K39" s="31">
        <v>7936</v>
      </c>
      <c r="L39" s="31">
        <v>7985</v>
      </c>
      <c r="M39" s="31">
        <v>8123</v>
      </c>
      <c r="N39" s="31">
        <v>8609</v>
      </c>
      <c r="O39" s="31">
        <v>8634</v>
      </c>
      <c r="P39" s="31">
        <v>8775</v>
      </c>
      <c r="Q39" s="31">
        <v>8900</v>
      </c>
      <c r="R39" s="31">
        <v>9617</v>
      </c>
      <c r="S39" s="31">
        <v>9510</v>
      </c>
      <c r="T39" s="31">
        <v>9594</v>
      </c>
      <c r="U39" s="31">
        <v>10172</v>
      </c>
      <c r="V39" s="31">
        <v>10724</v>
      </c>
      <c r="W39" s="34">
        <v>10901</v>
      </c>
      <c r="X39" s="50">
        <f t="shared" ref="X39:X45" si="22">SUM(Q39:T39)/SUM(P39:S39)-1</f>
        <v>2.225422531384158E-2</v>
      </c>
      <c r="Y39" s="50">
        <f t="shared" ref="Y39:Y45" si="23">SUM(R39:U39)/SUM(Q39:T39)-1</f>
        <v>3.3810903484755794E-2</v>
      </c>
      <c r="Z39" s="50">
        <f t="shared" ref="Z39:Z45" si="24">SUM(S39:V39)/SUM(R39:U39)-1</f>
        <v>2.8462705371146368E-2</v>
      </c>
      <c r="AA39" s="50">
        <f t="shared" ref="AA39:AA45" si="25">SUM(T39:W39)/SUM(S39:V39)-1</f>
        <v>3.4775E-2</v>
      </c>
    </row>
    <row r="40" spans="2:27" x14ac:dyDescent="0.25">
      <c r="B40" s="22" t="s">
        <v>61</v>
      </c>
      <c r="C40" s="22" t="s">
        <v>23</v>
      </c>
      <c r="D40" s="22" t="s">
        <v>62</v>
      </c>
      <c r="E40" s="22" t="s">
        <v>28</v>
      </c>
      <c r="F40" s="24">
        <v>3.4529320987654271</v>
      </c>
      <c r="G40" s="31">
        <v>1431</v>
      </c>
      <c r="H40" s="31">
        <v>1696</v>
      </c>
      <c r="I40" s="31">
        <v>1836</v>
      </c>
      <c r="J40" s="31">
        <v>1698</v>
      </c>
      <c r="K40" s="31">
        <v>1583</v>
      </c>
      <c r="L40" s="31">
        <v>1744</v>
      </c>
      <c r="M40" s="31">
        <v>1702</v>
      </c>
      <c r="N40" s="31">
        <v>1594</v>
      </c>
      <c r="O40" s="31">
        <v>1362</v>
      </c>
      <c r="P40" s="31">
        <v>1365</v>
      </c>
      <c r="Q40" s="31">
        <v>1444</v>
      </c>
      <c r="R40" s="31">
        <v>1273</v>
      </c>
      <c r="S40" s="31">
        <v>1155</v>
      </c>
      <c r="T40" s="31">
        <v>1222</v>
      </c>
      <c r="U40" s="31">
        <v>1447</v>
      </c>
      <c r="V40" s="31">
        <v>1360</v>
      </c>
      <c r="W40" s="34">
        <v>1334</v>
      </c>
      <c r="X40" s="50">
        <f t="shared" si="22"/>
        <v>-2.7305709375596732E-2</v>
      </c>
      <c r="Y40" s="50">
        <f t="shared" si="23"/>
        <v>5.8892815076561078E-4</v>
      </c>
      <c r="Z40" s="50">
        <f t="shared" si="24"/>
        <v>1.7068864037669274E-2</v>
      </c>
      <c r="AA40" s="50">
        <f t="shared" si="25"/>
        <v>3.4529320987654266E-2</v>
      </c>
    </row>
    <row r="41" spans="2:27" x14ac:dyDescent="0.25">
      <c r="B41" s="22" t="s">
        <v>66</v>
      </c>
      <c r="C41" s="22" t="s">
        <v>23</v>
      </c>
      <c r="D41" s="22" t="s">
        <v>67</v>
      </c>
      <c r="E41" s="22" t="s">
        <v>28</v>
      </c>
      <c r="F41" s="24">
        <v>3.3371401024958169</v>
      </c>
      <c r="G41" s="31">
        <v>321.64999999999998</v>
      </c>
      <c r="H41" s="31">
        <v>324.76</v>
      </c>
      <c r="I41" s="31">
        <v>366.01</v>
      </c>
      <c r="J41" s="31">
        <v>381.14</v>
      </c>
      <c r="K41" s="31">
        <v>373.9</v>
      </c>
      <c r="L41" s="31">
        <v>382.19</v>
      </c>
      <c r="M41" s="31">
        <v>433.23</v>
      </c>
      <c r="N41" s="31">
        <v>402.66</v>
      </c>
      <c r="O41" s="31">
        <v>391.5</v>
      </c>
      <c r="P41" s="31">
        <v>396.37</v>
      </c>
      <c r="Q41" s="31">
        <v>402.58</v>
      </c>
      <c r="R41" s="31">
        <v>408.46</v>
      </c>
      <c r="S41" s="31">
        <v>424.68</v>
      </c>
      <c r="T41" s="31">
        <v>423.54</v>
      </c>
      <c r="U41" s="31">
        <v>424.84</v>
      </c>
      <c r="V41" s="31">
        <v>469.45</v>
      </c>
      <c r="W41" s="34">
        <v>482.83</v>
      </c>
      <c r="X41" s="50">
        <f t="shared" si="22"/>
        <v>1.6647366260438945E-2</v>
      </c>
      <c r="Y41" s="50">
        <f t="shared" si="23"/>
        <v>1.3415619010884283E-2</v>
      </c>
      <c r="Z41" s="50">
        <f t="shared" si="24"/>
        <v>3.6270755031162283E-2</v>
      </c>
      <c r="AA41" s="50">
        <f t="shared" si="25"/>
        <v>3.3371401024958169E-2</v>
      </c>
    </row>
    <row r="42" spans="2:27" x14ac:dyDescent="0.25">
      <c r="B42" s="22" t="s">
        <v>129</v>
      </c>
      <c r="C42" s="22" t="s">
        <v>23</v>
      </c>
      <c r="D42" s="22" t="s">
        <v>81</v>
      </c>
      <c r="E42" s="22" t="s">
        <v>28</v>
      </c>
      <c r="F42" s="24">
        <v>3.1599079837977269</v>
      </c>
      <c r="G42" s="31">
        <v>1001</v>
      </c>
      <c r="H42" s="31">
        <v>692.99</v>
      </c>
      <c r="I42" s="31">
        <v>635.84</v>
      </c>
      <c r="J42" s="31">
        <v>724.09</v>
      </c>
      <c r="K42" s="31">
        <v>720.25</v>
      </c>
      <c r="L42" s="31">
        <v>542.34</v>
      </c>
      <c r="M42" s="31">
        <v>643.91</v>
      </c>
      <c r="N42" s="31">
        <v>524.9</v>
      </c>
      <c r="O42" s="31">
        <v>809.91</v>
      </c>
      <c r="P42" s="31">
        <v>763.42</v>
      </c>
      <c r="Q42" s="31">
        <v>683.46</v>
      </c>
      <c r="R42" s="31">
        <v>790.73</v>
      </c>
      <c r="S42" s="31">
        <v>811.39</v>
      </c>
      <c r="T42" s="31">
        <v>653.45000000000005</v>
      </c>
      <c r="U42" s="31">
        <v>805.61</v>
      </c>
      <c r="V42" s="31">
        <v>746.41</v>
      </c>
      <c r="W42" s="34">
        <v>906.72</v>
      </c>
      <c r="X42" s="50">
        <f t="shared" si="22"/>
        <v>-3.6067563135454339E-2</v>
      </c>
      <c r="Y42" s="50">
        <f t="shared" si="23"/>
        <v>4.1561331459699424E-2</v>
      </c>
      <c r="Z42" s="50">
        <f t="shared" si="24"/>
        <v>-1.447807708138682E-2</v>
      </c>
      <c r="AA42" s="50">
        <f t="shared" si="25"/>
        <v>3.1599079837977051E-2</v>
      </c>
    </row>
    <row r="43" spans="2:27" x14ac:dyDescent="0.25">
      <c r="B43" s="22" t="s">
        <v>172</v>
      </c>
      <c r="C43" s="22" t="s">
        <v>23</v>
      </c>
      <c r="D43" s="22" t="s">
        <v>173</v>
      </c>
      <c r="E43" s="22" t="s">
        <v>28</v>
      </c>
      <c r="F43" s="24">
        <v>3.0146425495262812</v>
      </c>
      <c r="G43" s="31">
        <v>4701</v>
      </c>
      <c r="H43" s="31">
        <v>4275</v>
      </c>
      <c r="I43" s="31">
        <v>4493</v>
      </c>
      <c r="J43" s="31">
        <v>4479</v>
      </c>
      <c r="K43" s="31">
        <v>5202</v>
      </c>
      <c r="L43" s="31">
        <v>4778</v>
      </c>
      <c r="M43" s="31">
        <v>4996</v>
      </c>
      <c r="N43" s="31">
        <v>4909</v>
      </c>
      <c r="O43" s="31">
        <v>5815</v>
      </c>
      <c r="P43" s="31">
        <v>5243</v>
      </c>
      <c r="Q43" s="31">
        <v>5422</v>
      </c>
      <c r="R43" s="31">
        <v>5494</v>
      </c>
      <c r="S43" s="31">
        <v>6436</v>
      </c>
      <c r="T43" s="31">
        <v>5866</v>
      </c>
      <c r="U43" s="31">
        <v>6022</v>
      </c>
      <c r="V43" s="31">
        <v>6057</v>
      </c>
      <c r="W43" s="34">
        <v>7171</v>
      </c>
      <c r="X43" s="50">
        <f t="shared" si="22"/>
        <v>2.7572471785793251E-2</v>
      </c>
      <c r="Y43" s="50">
        <f t="shared" si="23"/>
        <v>2.584201912309414E-2</v>
      </c>
      <c r="Z43" s="50">
        <f t="shared" si="24"/>
        <v>2.363758501973301E-2</v>
      </c>
      <c r="AA43" s="50">
        <f t="shared" si="25"/>
        <v>3.0146425495262807E-2</v>
      </c>
    </row>
    <row r="44" spans="2:27" x14ac:dyDescent="0.25">
      <c r="B44" s="22" t="s">
        <v>130</v>
      </c>
      <c r="C44" s="22" t="s">
        <v>23</v>
      </c>
      <c r="D44" s="22" t="s">
        <v>131</v>
      </c>
      <c r="E44" s="22" t="s">
        <v>28</v>
      </c>
      <c r="F44" s="24">
        <v>2.8559958708493478</v>
      </c>
      <c r="G44" s="31">
        <v>982.25</v>
      </c>
      <c r="H44" s="31">
        <v>1059</v>
      </c>
      <c r="I44" s="31">
        <v>2184</v>
      </c>
      <c r="J44" s="31">
        <v>2993</v>
      </c>
      <c r="K44" s="32">
        <v>2603</v>
      </c>
      <c r="L44" s="32">
        <v>2886</v>
      </c>
      <c r="M44" s="32">
        <v>3523</v>
      </c>
      <c r="N44" s="31">
        <v>4160</v>
      </c>
      <c r="O44" s="31">
        <v>3331</v>
      </c>
      <c r="P44" s="31">
        <v>3728</v>
      </c>
      <c r="Q44" s="31">
        <v>4110</v>
      </c>
      <c r="R44" s="31">
        <v>4886</v>
      </c>
      <c r="S44" s="31">
        <v>3761</v>
      </c>
      <c r="T44" s="31">
        <v>3999</v>
      </c>
      <c r="U44" s="31">
        <v>4538</v>
      </c>
      <c r="V44" s="31">
        <v>5139</v>
      </c>
      <c r="W44" s="34">
        <v>4259</v>
      </c>
      <c r="X44" s="50">
        <f t="shared" si="22"/>
        <v>1.6439187139824174E-2</v>
      </c>
      <c r="Y44" s="50">
        <f t="shared" si="23"/>
        <v>2.554308904273106E-2</v>
      </c>
      <c r="Z44" s="50">
        <f t="shared" si="24"/>
        <v>1.4722998137802534E-2</v>
      </c>
      <c r="AA44" s="50">
        <f t="shared" si="25"/>
        <v>2.8559958708493483E-2</v>
      </c>
    </row>
    <row r="45" spans="2:27" x14ac:dyDescent="0.25">
      <c r="B45" s="22" t="s">
        <v>57</v>
      </c>
      <c r="C45" s="22" t="s">
        <v>23</v>
      </c>
      <c r="D45" s="22" t="s">
        <v>58</v>
      </c>
      <c r="E45" s="22" t="s">
        <v>25</v>
      </c>
      <c r="F45" s="24">
        <v>2.7498029191292068</v>
      </c>
      <c r="G45" s="31">
        <v>431.71</v>
      </c>
      <c r="H45" s="31">
        <v>505.48</v>
      </c>
      <c r="I45" s="31">
        <v>588.34</v>
      </c>
      <c r="J45" s="31">
        <v>577.39</v>
      </c>
      <c r="K45" s="31">
        <v>500.6</v>
      </c>
      <c r="L45" s="31">
        <v>476.38</v>
      </c>
      <c r="M45" s="31">
        <v>475.88</v>
      </c>
      <c r="N45" s="31">
        <v>452.03</v>
      </c>
      <c r="O45" s="31">
        <v>446.77</v>
      </c>
      <c r="P45" s="31">
        <v>420.12</v>
      </c>
      <c r="Q45" s="31">
        <v>477.6</v>
      </c>
      <c r="R45" s="31">
        <v>507.46</v>
      </c>
      <c r="S45" s="31">
        <v>522.04</v>
      </c>
      <c r="T45" s="31">
        <v>508.36</v>
      </c>
      <c r="U45" s="31">
        <v>556.86</v>
      </c>
      <c r="V45" s="31">
        <v>556.53</v>
      </c>
      <c r="W45" s="34">
        <v>580.99</v>
      </c>
      <c r="X45" s="50">
        <f t="shared" si="22"/>
        <v>4.5786158300557211E-2</v>
      </c>
      <c r="Y45" s="50">
        <f t="shared" si="23"/>
        <v>3.9326009943139617E-2</v>
      </c>
      <c r="Z45" s="50">
        <f t="shared" si="24"/>
        <v>2.3425565230675183E-2</v>
      </c>
      <c r="AA45" s="50">
        <f t="shared" si="25"/>
        <v>2.7498029191292073E-2</v>
      </c>
    </row>
    <row r="46" spans="2:27" hidden="1" x14ac:dyDescent="0.25">
      <c r="B46" s="22" t="s">
        <v>82</v>
      </c>
      <c r="C46" s="22" t="s">
        <v>23</v>
      </c>
      <c r="D46" s="22" t="s">
        <v>76</v>
      </c>
      <c r="E46" s="22" t="s">
        <v>34</v>
      </c>
      <c r="F46" s="22">
        <v>2.409602490421459</v>
      </c>
      <c r="G46" s="22">
        <v>712</v>
      </c>
      <c r="H46" s="22">
        <v>714.8</v>
      </c>
      <c r="I46" s="22">
        <v>751.1</v>
      </c>
      <c r="J46" s="22">
        <v>796.1</v>
      </c>
      <c r="K46" s="22">
        <v>824</v>
      </c>
      <c r="L46" s="22">
        <v>810.7</v>
      </c>
      <c r="M46" s="22">
        <v>845.4</v>
      </c>
      <c r="N46" s="22">
        <v>846.2</v>
      </c>
      <c r="O46" s="22">
        <v>793.4</v>
      </c>
      <c r="P46" s="22">
        <v>788.9</v>
      </c>
      <c r="Q46" s="22">
        <v>800.5</v>
      </c>
      <c r="R46" s="22">
        <v>807.2</v>
      </c>
      <c r="S46" s="22">
        <v>798.2</v>
      </c>
      <c r="T46" s="22">
        <v>862.9</v>
      </c>
      <c r="U46" s="22">
        <v>814.3</v>
      </c>
      <c r="V46" s="22">
        <v>865.4</v>
      </c>
      <c r="W46" s="22">
        <v>878.7</v>
      </c>
    </row>
    <row r="47" spans="2:27" x14ac:dyDescent="0.25">
      <c r="B47" s="22" t="s">
        <v>144</v>
      </c>
      <c r="C47" s="22" t="s">
        <v>23</v>
      </c>
      <c r="D47" s="22" t="s">
        <v>145</v>
      </c>
      <c r="E47" s="22" t="s">
        <v>28</v>
      </c>
      <c r="F47" s="24">
        <v>2.68162799543552</v>
      </c>
      <c r="G47" s="31">
        <v>894.87</v>
      </c>
      <c r="H47" s="31">
        <v>864.5</v>
      </c>
      <c r="I47" s="31">
        <v>914.74</v>
      </c>
      <c r="J47" s="31">
        <v>950.29</v>
      </c>
      <c r="K47" s="31">
        <v>1034</v>
      </c>
      <c r="L47" s="31">
        <v>1117</v>
      </c>
      <c r="M47" s="31">
        <v>1122</v>
      </c>
      <c r="N47" s="31">
        <v>1102</v>
      </c>
      <c r="O47" s="31">
        <v>1163</v>
      </c>
      <c r="P47" s="31">
        <v>1197</v>
      </c>
      <c r="Q47" s="31">
        <v>1223</v>
      </c>
      <c r="R47" s="31">
        <v>1225</v>
      </c>
      <c r="S47" s="31">
        <v>1282</v>
      </c>
      <c r="T47" s="31">
        <v>1292</v>
      </c>
      <c r="U47" s="31">
        <v>1348</v>
      </c>
      <c r="V47" s="31">
        <v>1336</v>
      </c>
      <c r="W47" s="34">
        <v>1423</v>
      </c>
      <c r="X47" s="50">
        <f t="shared" ref="X47:X48" si="26">SUM(Q47:T47)/SUM(P47:S47)-1</f>
        <v>1.928151004668166E-2</v>
      </c>
      <c r="Y47" s="50">
        <f t="shared" ref="Y47:Y48" si="27">SUM(R47:U47)/SUM(Q47:T47)-1</f>
        <v>2.4890481879729087E-2</v>
      </c>
      <c r="Z47" s="50">
        <f t="shared" ref="Z47:Z48" si="28">SUM(S47:V47)/SUM(R47:U47)-1</f>
        <v>2.156596075383721E-2</v>
      </c>
      <c r="AA47" s="50">
        <f t="shared" ref="AA47:AA48" si="29">SUM(T47:W47)/SUM(S47:V47)-1</f>
        <v>2.6816279954355204E-2</v>
      </c>
    </row>
    <row r="48" spans="2:27" x14ac:dyDescent="0.25">
      <c r="B48" s="22" t="s">
        <v>65</v>
      </c>
      <c r="C48" s="22" t="s">
        <v>23</v>
      </c>
      <c r="D48" s="22" t="s">
        <v>44</v>
      </c>
      <c r="E48" s="22" t="s">
        <v>28</v>
      </c>
      <c r="F48" s="24">
        <v>2.633476502492393</v>
      </c>
      <c r="G48" s="31">
        <v>68</v>
      </c>
      <c r="H48" s="31">
        <v>69.33</v>
      </c>
      <c r="I48" s="31">
        <v>72.98</v>
      </c>
      <c r="J48" s="31">
        <v>79.89</v>
      </c>
      <c r="K48" s="31">
        <v>81.31</v>
      </c>
      <c r="L48" s="31">
        <v>75.599999999999994</v>
      </c>
      <c r="M48" s="31">
        <v>74.62</v>
      </c>
      <c r="N48" s="31">
        <v>74.959999999999994</v>
      </c>
      <c r="O48" s="31">
        <v>76.41</v>
      </c>
      <c r="P48" s="31">
        <v>78.099999999999994</v>
      </c>
      <c r="Q48" s="31">
        <v>76.02</v>
      </c>
      <c r="R48" s="31">
        <v>74.14</v>
      </c>
      <c r="S48" s="31">
        <v>76.33</v>
      </c>
      <c r="T48" s="31">
        <v>77.62</v>
      </c>
      <c r="U48" s="31">
        <v>80.540000000000006</v>
      </c>
      <c r="V48" s="31">
        <v>84.48</v>
      </c>
      <c r="W48" s="34">
        <v>84.73</v>
      </c>
      <c r="X48" s="50">
        <f t="shared" si="26"/>
        <v>-1.5758888998324005E-3</v>
      </c>
      <c r="Y48" s="50">
        <f t="shared" si="27"/>
        <v>1.4863042977869778E-2</v>
      </c>
      <c r="Z48" s="50">
        <f t="shared" si="28"/>
        <v>3.3502899912516648E-2</v>
      </c>
      <c r="AA48" s="50">
        <f t="shared" si="29"/>
        <v>2.6334765024924156E-2</v>
      </c>
    </row>
    <row r="49" spans="2:27" hidden="1" x14ac:dyDescent="0.25">
      <c r="B49" s="22" t="s">
        <v>86</v>
      </c>
      <c r="C49" s="22" t="s">
        <v>30</v>
      </c>
      <c r="D49" s="22" t="s">
        <v>27</v>
      </c>
      <c r="E49" s="22" t="s">
        <v>34</v>
      </c>
      <c r="F49" s="22">
        <v>4.7334834834834796</v>
      </c>
      <c r="G49" s="22">
        <v>5767</v>
      </c>
      <c r="H49" s="22">
        <v>5739</v>
      </c>
      <c r="I49" s="22">
        <v>5589</v>
      </c>
      <c r="J49" s="22">
        <v>5209</v>
      </c>
      <c r="K49" s="22">
        <v>5780</v>
      </c>
      <c r="L49" s="22">
        <v>5810</v>
      </c>
      <c r="M49" s="22">
        <v>5230</v>
      </c>
      <c r="N49" s="22">
        <v>5386</v>
      </c>
      <c r="O49" s="22">
        <v>6001</v>
      </c>
      <c r="P49" s="22">
        <v>6004</v>
      </c>
      <c r="Q49" s="22">
        <v>6070</v>
      </c>
      <c r="R49" s="22">
        <v>5713</v>
      </c>
      <c r="S49" s="22">
        <v>6609</v>
      </c>
      <c r="T49" s="22">
        <v>6769</v>
      </c>
      <c r="U49" s="22">
        <v>6692</v>
      </c>
      <c r="V49" s="22">
        <v>6570</v>
      </c>
      <c r="W49" s="22">
        <v>7870</v>
      </c>
    </row>
    <row r="50" spans="2:27" hidden="1" x14ac:dyDescent="0.25">
      <c r="B50" s="22" t="s">
        <v>87</v>
      </c>
      <c r="C50" s="22" t="s">
        <v>26</v>
      </c>
      <c r="D50" s="22" t="s">
        <v>27</v>
      </c>
      <c r="E50" s="22" t="s">
        <v>34</v>
      </c>
      <c r="F50" s="22">
        <v>-1.337910625218441</v>
      </c>
      <c r="G50" s="22">
        <v>69355</v>
      </c>
      <c r="H50" s="22">
        <v>75809</v>
      </c>
      <c r="I50" s="22">
        <v>78261</v>
      </c>
      <c r="J50" s="22">
        <v>81906</v>
      </c>
      <c r="K50" s="22">
        <v>86566</v>
      </c>
      <c r="L50" s="22">
        <v>86907</v>
      </c>
      <c r="M50" s="22">
        <v>74010</v>
      </c>
      <c r="N50" s="22">
        <v>75780</v>
      </c>
      <c r="O50" s="22">
        <v>77126</v>
      </c>
      <c r="P50" s="22">
        <v>80451</v>
      </c>
      <c r="Q50" s="22">
        <v>74342</v>
      </c>
      <c r="R50" s="22">
        <v>76974</v>
      </c>
      <c r="S50" s="22">
        <v>77481</v>
      </c>
      <c r="T50" s="22">
        <v>75802</v>
      </c>
      <c r="U50" s="22">
        <v>81289</v>
      </c>
      <c r="V50" s="22">
        <v>71577</v>
      </c>
      <c r="W50" s="22">
        <v>73385</v>
      </c>
    </row>
    <row r="51" spans="2:27" hidden="1" x14ac:dyDescent="0.25">
      <c r="B51" s="22" t="s">
        <v>88</v>
      </c>
      <c r="C51" s="22" t="s">
        <v>30</v>
      </c>
      <c r="D51" s="22" t="s">
        <v>27</v>
      </c>
      <c r="E51" s="22" t="s">
        <v>34</v>
      </c>
      <c r="F51" s="22">
        <v>-1.7812943801988279</v>
      </c>
      <c r="G51" s="22">
        <v>3737</v>
      </c>
      <c r="H51" s="22">
        <v>4705</v>
      </c>
      <c r="I51" s="22">
        <v>4467</v>
      </c>
      <c r="J51" s="22">
        <v>2987</v>
      </c>
      <c r="K51" s="22">
        <v>4844</v>
      </c>
      <c r="L51" s="22">
        <v>6249</v>
      </c>
      <c r="M51" s="23">
        <v>8353</v>
      </c>
      <c r="N51" s="23">
        <v>6568</v>
      </c>
      <c r="O51" s="23">
        <v>8050</v>
      </c>
      <c r="P51" s="22">
        <v>8964</v>
      </c>
      <c r="Q51" s="22">
        <v>11446</v>
      </c>
      <c r="R51" s="22">
        <v>8917</v>
      </c>
      <c r="S51" s="23">
        <v>13459</v>
      </c>
      <c r="T51" s="23">
        <v>13261</v>
      </c>
      <c r="U51" s="22">
        <v>13464</v>
      </c>
      <c r="V51" s="22">
        <v>9106</v>
      </c>
      <c r="W51" s="22">
        <v>12581</v>
      </c>
    </row>
    <row r="52" spans="2:27" hidden="1" x14ac:dyDescent="0.25">
      <c r="B52" s="22" t="s">
        <v>89</v>
      </c>
      <c r="C52" s="22" t="s">
        <v>23</v>
      </c>
      <c r="D52" s="22" t="s">
        <v>90</v>
      </c>
      <c r="E52" s="22" t="s">
        <v>34</v>
      </c>
      <c r="F52" s="22">
        <v>-0.16791246885494721</v>
      </c>
      <c r="G52" s="22">
        <v>366.5</v>
      </c>
      <c r="H52" s="22">
        <v>365.3</v>
      </c>
      <c r="I52" s="22">
        <v>439.8</v>
      </c>
      <c r="J52" s="22">
        <v>501.9</v>
      </c>
      <c r="K52" s="22">
        <v>516.79999999999995</v>
      </c>
      <c r="L52" s="22">
        <v>514</v>
      </c>
      <c r="M52" s="22">
        <v>487.8</v>
      </c>
      <c r="N52" s="22">
        <v>534.4</v>
      </c>
      <c r="O52" s="22">
        <v>520.4</v>
      </c>
      <c r="P52" s="22">
        <v>520.6</v>
      </c>
      <c r="Q52" s="22">
        <v>488.4</v>
      </c>
      <c r="R52" s="22">
        <v>470.9</v>
      </c>
      <c r="S52" s="22">
        <v>490.1</v>
      </c>
      <c r="T52" s="22">
        <v>486</v>
      </c>
      <c r="U52" s="22">
        <v>436</v>
      </c>
      <c r="V52" s="22">
        <v>434.1</v>
      </c>
      <c r="W52" s="22">
        <v>487</v>
      </c>
    </row>
    <row r="53" spans="2:27" hidden="1" x14ac:dyDescent="0.25">
      <c r="B53" s="22" t="s">
        <v>91</v>
      </c>
      <c r="C53" s="22" t="s">
        <v>23</v>
      </c>
      <c r="D53" s="22" t="s">
        <v>55</v>
      </c>
      <c r="E53" s="22" t="s">
        <v>34</v>
      </c>
      <c r="F53" s="22">
        <v>-9.1503037980622643</v>
      </c>
      <c r="G53" s="22">
        <v>134.1</v>
      </c>
      <c r="H53" s="22">
        <v>150.91</v>
      </c>
      <c r="I53" s="22">
        <v>151.28</v>
      </c>
      <c r="J53" s="22">
        <v>151.66999999999999</v>
      </c>
      <c r="K53" s="22">
        <v>165.35</v>
      </c>
      <c r="L53" s="22">
        <v>196.26</v>
      </c>
      <c r="M53" s="22">
        <v>171.15</v>
      </c>
      <c r="N53" s="22">
        <v>162.5</v>
      </c>
      <c r="O53" s="22">
        <v>203.22</v>
      </c>
      <c r="P53" s="22">
        <v>207.47</v>
      </c>
      <c r="Q53" s="22">
        <v>226.77</v>
      </c>
      <c r="R53" s="22">
        <v>188.59</v>
      </c>
      <c r="S53" s="22">
        <v>253.25</v>
      </c>
      <c r="T53" s="22">
        <v>225.46</v>
      </c>
      <c r="U53" s="22">
        <v>185.3</v>
      </c>
      <c r="V53" s="22">
        <v>188.53</v>
      </c>
      <c r="W53" s="22">
        <v>175.24</v>
      </c>
    </row>
    <row r="54" spans="2:27" x14ac:dyDescent="0.25">
      <c r="B54" s="22" t="s">
        <v>59</v>
      </c>
      <c r="C54" s="22" t="s">
        <v>23</v>
      </c>
      <c r="D54" s="22" t="s">
        <v>60</v>
      </c>
      <c r="E54" s="22" t="s">
        <v>28</v>
      </c>
      <c r="F54" s="24">
        <v>2.5225512892153019</v>
      </c>
      <c r="G54" s="31">
        <v>276.68</v>
      </c>
      <c r="H54" s="31">
        <v>290.48</v>
      </c>
      <c r="I54" s="31">
        <v>336.82</v>
      </c>
      <c r="J54" s="31">
        <v>268.07</v>
      </c>
      <c r="K54" s="31">
        <v>295.60000000000002</v>
      </c>
      <c r="L54" s="31">
        <v>302.89</v>
      </c>
      <c r="M54" s="31">
        <v>411.87</v>
      </c>
      <c r="N54" s="31">
        <v>279.20999999999998</v>
      </c>
      <c r="O54" s="31">
        <v>373.24</v>
      </c>
      <c r="P54" s="31">
        <v>405.41</v>
      </c>
      <c r="Q54" s="31">
        <v>480.91</v>
      </c>
      <c r="R54" s="31">
        <v>344.01</v>
      </c>
      <c r="S54" s="31">
        <v>419.82</v>
      </c>
      <c r="T54" s="31">
        <v>444.35</v>
      </c>
      <c r="U54" s="31">
        <v>504.99</v>
      </c>
      <c r="V54" s="31">
        <v>384.62</v>
      </c>
      <c r="W54" s="34">
        <v>464.06</v>
      </c>
      <c r="X54" s="50">
        <f>SUM(Q54:T54)/SUM(P54:S54)-1</f>
        <v>2.3597854740478263E-2</v>
      </c>
      <c r="Y54" s="50">
        <f t="shared" ref="Y54" si="30">SUM(R54:U54)/SUM(Q54:T54)-1</f>
        <v>1.4256197123895031E-2</v>
      </c>
      <c r="Z54" s="50">
        <f t="shared" ref="Z54" si="31">SUM(S54:V54)/SUM(R54:U54)-1</f>
        <v>2.3704594406859902E-2</v>
      </c>
      <c r="AA54" s="50">
        <f t="shared" ref="AA54" si="32">SUM(T54:W54)/SUM(S54:V54)-1</f>
        <v>2.5225512892152802E-2</v>
      </c>
    </row>
    <row r="55" spans="2:27" hidden="1" x14ac:dyDescent="0.25">
      <c r="B55" s="22" t="s">
        <v>92</v>
      </c>
      <c r="C55" s="22" t="s">
        <v>30</v>
      </c>
      <c r="D55" s="22" t="s">
        <v>27</v>
      </c>
      <c r="E55" s="22" t="s">
        <v>34</v>
      </c>
      <c r="F55" s="22">
        <v>1.6470505071925821</v>
      </c>
      <c r="G55" s="22">
        <v>5464</v>
      </c>
      <c r="H55" s="22">
        <v>5534</v>
      </c>
      <c r="I55" s="22">
        <v>5426</v>
      </c>
      <c r="J55" s="22">
        <v>6049</v>
      </c>
      <c r="K55" s="22">
        <v>5984</v>
      </c>
      <c r="L55" s="22">
        <v>6022</v>
      </c>
      <c r="M55" s="22">
        <v>7116</v>
      </c>
      <c r="N55" s="22">
        <v>6143</v>
      </c>
      <c r="O55" s="22">
        <v>6553</v>
      </c>
      <c r="P55" s="22">
        <v>6348</v>
      </c>
      <c r="Q55" s="22">
        <v>8002</v>
      </c>
      <c r="R55" s="22">
        <v>6529</v>
      </c>
      <c r="S55" s="22">
        <v>6707</v>
      </c>
      <c r="T55" s="22">
        <v>6784</v>
      </c>
      <c r="U55" s="22">
        <v>7788</v>
      </c>
      <c r="V55" s="22">
        <v>7014</v>
      </c>
      <c r="W55" s="22">
        <v>7173</v>
      </c>
    </row>
    <row r="56" spans="2:27" x14ac:dyDescent="0.25">
      <c r="B56" s="22" t="s">
        <v>217</v>
      </c>
      <c r="C56" s="22" t="s">
        <v>23</v>
      </c>
      <c r="D56" s="22" t="s">
        <v>218</v>
      </c>
      <c r="E56" s="22" t="s">
        <v>28</v>
      </c>
      <c r="F56" s="24">
        <v>2.497835844516394</v>
      </c>
      <c r="G56" s="31">
        <v>1188</v>
      </c>
      <c r="H56" s="31">
        <v>736.01</v>
      </c>
      <c r="I56" s="31">
        <v>614.46</v>
      </c>
      <c r="J56" s="31">
        <v>875.61</v>
      </c>
      <c r="K56" s="31">
        <v>1346</v>
      </c>
      <c r="L56" s="31">
        <v>791.57</v>
      </c>
      <c r="M56" s="31">
        <v>675.79</v>
      </c>
      <c r="N56" s="31">
        <v>1092</v>
      </c>
      <c r="O56" s="31">
        <v>1560</v>
      </c>
      <c r="P56" s="31">
        <v>959.76</v>
      </c>
      <c r="Q56" s="31">
        <v>825.35</v>
      </c>
      <c r="R56" s="31">
        <v>1311</v>
      </c>
      <c r="S56" s="31">
        <v>1827</v>
      </c>
      <c r="T56" s="31">
        <v>1022</v>
      </c>
      <c r="U56" s="31">
        <v>964.54</v>
      </c>
      <c r="V56" s="31">
        <v>1431</v>
      </c>
      <c r="W56" s="34">
        <v>1958</v>
      </c>
      <c r="X56" s="50">
        <f t="shared" ref="X56:X58" si="33">SUM(Q56:T56)/SUM(P56:S56)-1</f>
        <v>1.2642415058773837E-2</v>
      </c>
      <c r="Y56" s="50">
        <f t="shared" ref="Y56:Y58" si="34">SUM(R56:U56)/SUM(Q56:T56)-1</f>
        <v>2.7919805028734146E-2</v>
      </c>
      <c r="Z56" s="50">
        <f t="shared" ref="Z56:Z58" si="35">SUM(S56:V56)/SUM(R56:U56)-1</f>
        <v>2.3416735941177214E-2</v>
      </c>
      <c r="AA56" s="50">
        <f t="shared" ref="AA56:AA58" si="36">SUM(T56:W56)/SUM(S56:V56)-1</f>
        <v>2.497835844516394E-2</v>
      </c>
    </row>
    <row r="57" spans="2:27" x14ac:dyDescent="0.25">
      <c r="B57" s="22" t="s">
        <v>183</v>
      </c>
      <c r="C57" s="22" t="s">
        <v>23</v>
      </c>
      <c r="D57" s="22" t="s">
        <v>133</v>
      </c>
      <c r="E57" s="22" t="s">
        <v>28</v>
      </c>
      <c r="F57" s="24">
        <v>2.3163233309247522</v>
      </c>
      <c r="G57" s="31">
        <v>17729</v>
      </c>
      <c r="H57" s="31">
        <v>14964</v>
      </c>
      <c r="I57" s="31">
        <v>15446</v>
      </c>
      <c r="J57" s="31">
        <v>16583</v>
      </c>
      <c r="K57" s="31">
        <v>18991</v>
      </c>
      <c r="L57" s="31">
        <v>15126</v>
      </c>
      <c r="M57" s="31">
        <v>16693</v>
      </c>
      <c r="N57" s="31">
        <v>16878</v>
      </c>
      <c r="O57" s="31">
        <v>18874</v>
      </c>
      <c r="P57" s="31">
        <v>17195</v>
      </c>
      <c r="Q57" s="31">
        <v>18122</v>
      </c>
      <c r="R57" s="31">
        <v>17104</v>
      </c>
      <c r="S57" s="31">
        <v>18622</v>
      </c>
      <c r="T57" s="31">
        <v>17963</v>
      </c>
      <c r="U57" s="31">
        <v>18155</v>
      </c>
      <c r="V57" s="31">
        <v>18609</v>
      </c>
      <c r="W57" s="34">
        <v>20321</v>
      </c>
      <c r="X57" s="50">
        <f t="shared" si="33"/>
        <v>1.0810354292470681E-2</v>
      </c>
      <c r="Y57" s="50">
        <f t="shared" si="34"/>
        <v>4.5953962484857058E-4</v>
      </c>
      <c r="Z57" s="50">
        <f t="shared" si="35"/>
        <v>2.0948165469628632E-2</v>
      </c>
      <c r="AA57" s="50">
        <f t="shared" si="36"/>
        <v>2.3163233309247522E-2</v>
      </c>
    </row>
    <row r="58" spans="2:27" x14ac:dyDescent="0.25">
      <c r="B58" s="22" t="s">
        <v>213</v>
      </c>
      <c r="C58" s="22" t="s">
        <v>23</v>
      </c>
      <c r="D58" s="22" t="s">
        <v>44</v>
      </c>
      <c r="E58" s="22" t="s">
        <v>28</v>
      </c>
      <c r="F58" s="24">
        <v>2.3099767461407068</v>
      </c>
      <c r="G58" s="31">
        <v>349.76</v>
      </c>
      <c r="H58" s="31">
        <v>350.46</v>
      </c>
      <c r="I58" s="31">
        <v>386.14</v>
      </c>
      <c r="J58" s="31">
        <v>455.37</v>
      </c>
      <c r="K58" s="31">
        <v>501.14</v>
      </c>
      <c r="L58" s="31">
        <v>495.98</v>
      </c>
      <c r="M58" s="31">
        <v>478.89</v>
      </c>
      <c r="N58" s="31">
        <v>480.24</v>
      </c>
      <c r="O58" s="31">
        <v>485.92</v>
      </c>
      <c r="P58" s="31">
        <v>487.78</v>
      </c>
      <c r="Q58" s="31">
        <v>492.12</v>
      </c>
      <c r="R58" s="31">
        <v>498.65</v>
      </c>
      <c r="S58" s="31">
        <v>520.17999999999995</v>
      </c>
      <c r="T58" s="31">
        <v>527.16</v>
      </c>
      <c r="U58" s="31">
        <v>533.75</v>
      </c>
      <c r="V58" s="31">
        <v>560.49</v>
      </c>
      <c r="W58" s="34">
        <v>569.65</v>
      </c>
      <c r="X58" s="50">
        <f t="shared" si="33"/>
        <v>1.9702511094544795E-2</v>
      </c>
      <c r="Y58" s="50">
        <f t="shared" si="34"/>
        <v>2.0425786635657639E-2</v>
      </c>
      <c r="Z58" s="50">
        <f t="shared" si="35"/>
        <v>2.973448604152451E-2</v>
      </c>
      <c r="AA58" s="50">
        <f t="shared" si="36"/>
        <v>2.309976746140685E-2</v>
      </c>
    </row>
    <row r="59" spans="2:27" hidden="1" x14ac:dyDescent="0.25">
      <c r="B59" s="22" t="s">
        <v>96</v>
      </c>
      <c r="C59" s="22" t="s">
        <v>30</v>
      </c>
      <c r="D59" s="22" t="s">
        <v>27</v>
      </c>
      <c r="E59" s="22" t="s">
        <v>34</v>
      </c>
      <c r="F59" s="22">
        <v>0.80148938184343432</v>
      </c>
      <c r="G59" s="22">
        <v>5324</v>
      </c>
      <c r="H59" s="22">
        <v>5856</v>
      </c>
      <c r="I59" s="22">
        <v>8390</v>
      </c>
      <c r="J59" s="22">
        <v>7299</v>
      </c>
      <c r="K59" s="23">
        <v>8766</v>
      </c>
      <c r="L59" s="23">
        <v>9100</v>
      </c>
      <c r="M59" s="22">
        <v>10116</v>
      </c>
      <c r="N59" s="22">
        <v>7367</v>
      </c>
      <c r="O59" s="22">
        <v>8824</v>
      </c>
      <c r="P59" s="22">
        <v>8286</v>
      </c>
      <c r="Q59" s="22">
        <v>10186</v>
      </c>
      <c r="R59" s="22">
        <v>6991</v>
      </c>
      <c r="S59" s="22">
        <v>8162</v>
      </c>
      <c r="T59" s="22">
        <v>8530</v>
      </c>
      <c r="U59" s="22">
        <v>8597</v>
      </c>
      <c r="V59" s="22">
        <v>6402</v>
      </c>
      <c r="W59" s="22">
        <v>8416</v>
      </c>
    </row>
    <row r="60" spans="2:27" x14ac:dyDescent="0.25">
      <c r="B60" s="22" t="s">
        <v>175</v>
      </c>
      <c r="C60" s="22" t="s">
        <v>23</v>
      </c>
      <c r="D60" s="22" t="s">
        <v>76</v>
      </c>
      <c r="E60" s="22" t="s">
        <v>28</v>
      </c>
      <c r="F60" s="24">
        <v>2.1517723414877792</v>
      </c>
      <c r="G60" s="31">
        <v>3825</v>
      </c>
      <c r="H60" s="31">
        <v>4086</v>
      </c>
      <c r="I60" s="31">
        <v>4188</v>
      </c>
      <c r="J60" s="31">
        <v>4233</v>
      </c>
      <c r="K60" s="31">
        <v>4675</v>
      </c>
      <c r="L60" s="31">
        <v>5062</v>
      </c>
      <c r="M60" s="31">
        <v>5096</v>
      </c>
      <c r="N60" s="31">
        <v>4847</v>
      </c>
      <c r="O60" s="31">
        <v>4821</v>
      </c>
      <c r="P60" s="31">
        <v>5074</v>
      </c>
      <c r="Q60" s="31">
        <v>5187</v>
      </c>
      <c r="R60" s="31">
        <v>4904</v>
      </c>
      <c r="S60" s="31">
        <v>4743</v>
      </c>
      <c r="T60" s="31">
        <v>4960</v>
      </c>
      <c r="U60" s="31">
        <v>5243</v>
      </c>
      <c r="V60" s="31">
        <v>5084</v>
      </c>
      <c r="W60" s="34">
        <v>5174</v>
      </c>
      <c r="X60" s="50">
        <f t="shared" ref="X60:X61" si="37">SUM(Q60:T60)/SUM(P60:S60)-1</f>
        <v>-5.72634116937909E-3</v>
      </c>
      <c r="Y60" s="50">
        <f t="shared" ref="Y60:Y61" si="38">SUM(R60:U60)/SUM(Q60:T60)-1</f>
        <v>2.829140143477904E-3</v>
      </c>
      <c r="Z60" s="50">
        <f t="shared" ref="Z60:Z61" si="39">SUM(S60:V60)/SUM(R60:U60)-1</f>
        <v>9.0680100755666793E-3</v>
      </c>
      <c r="AA60" s="50">
        <f t="shared" ref="AA60:AA61" si="40">SUM(T60:W60)/SUM(S60:V60)-1</f>
        <v>2.1517723414877787E-2</v>
      </c>
    </row>
    <row r="61" spans="2:27" x14ac:dyDescent="0.25">
      <c r="B61" s="22" t="s">
        <v>143</v>
      </c>
      <c r="C61" s="22" t="s">
        <v>23</v>
      </c>
      <c r="D61" s="22" t="s">
        <v>67</v>
      </c>
      <c r="E61" s="22" t="s">
        <v>28</v>
      </c>
      <c r="F61" s="24">
        <v>2.1498406525144449</v>
      </c>
      <c r="G61" s="31">
        <v>3762</v>
      </c>
      <c r="H61" s="31">
        <v>3627</v>
      </c>
      <c r="I61" s="31">
        <v>3489</v>
      </c>
      <c r="J61" s="31">
        <v>3499</v>
      </c>
      <c r="K61" s="31">
        <v>3719</v>
      </c>
      <c r="L61" s="31">
        <v>3845</v>
      </c>
      <c r="M61" s="31">
        <v>4007</v>
      </c>
      <c r="N61" s="31">
        <v>4076</v>
      </c>
      <c r="O61" s="31">
        <v>4168</v>
      </c>
      <c r="P61" s="31">
        <v>4325</v>
      </c>
      <c r="Q61" s="31">
        <v>4392</v>
      </c>
      <c r="R61" s="31">
        <v>4560</v>
      </c>
      <c r="S61" s="31">
        <v>4649</v>
      </c>
      <c r="T61" s="31">
        <v>4481</v>
      </c>
      <c r="U61" s="31">
        <v>4490</v>
      </c>
      <c r="V61" s="31">
        <v>4893</v>
      </c>
      <c r="W61" s="34">
        <v>5047</v>
      </c>
      <c r="X61" s="50">
        <f t="shared" si="37"/>
        <v>8.7024433783331467E-3</v>
      </c>
      <c r="Y61" s="50">
        <f t="shared" si="38"/>
        <v>5.4197544519412055E-3</v>
      </c>
      <c r="Z61" s="50">
        <f t="shared" si="39"/>
        <v>1.8316831683168333E-2</v>
      </c>
      <c r="AA61" s="50">
        <f t="shared" si="40"/>
        <v>2.1498406525144453E-2</v>
      </c>
    </row>
    <row r="62" spans="2:27" hidden="1" x14ac:dyDescent="0.25">
      <c r="B62" s="22" t="s">
        <v>99</v>
      </c>
      <c r="C62" s="22" t="s">
        <v>26</v>
      </c>
      <c r="D62" s="22" t="s">
        <v>27</v>
      </c>
      <c r="E62" s="22" t="s">
        <v>34</v>
      </c>
      <c r="F62" s="22">
        <v>5.5802217531608633E-2</v>
      </c>
      <c r="G62" s="22">
        <v>10827</v>
      </c>
      <c r="H62" s="22">
        <v>10490</v>
      </c>
      <c r="I62" s="22">
        <v>11165</v>
      </c>
      <c r="J62" s="22">
        <v>11097</v>
      </c>
      <c r="K62" s="22">
        <v>11768</v>
      </c>
      <c r="L62" s="22">
        <v>10995</v>
      </c>
      <c r="M62" s="22">
        <v>9411</v>
      </c>
      <c r="N62" s="22">
        <v>9864</v>
      </c>
      <c r="O62" s="22">
        <v>10400</v>
      </c>
      <c r="P62" s="22">
        <v>10229</v>
      </c>
      <c r="Q62" s="22">
        <v>9559</v>
      </c>
      <c r="R62" s="22">
        <v>9519</v>
      </c>
      <c r="S62" s="22">
        <v>10210</v>
      </c>
      <c r="T62" s="22">
        <v>10911</v>
      </c>
      <c r="U62" s="22">
        <v>9899</v>
      </c>
      <c r="V62" s="22">
        <v>10197</v>
      </c>
      <c r="W62" s="22">
        <v>10233</v>
      </c>
    </row>
    <row r="63" spans="2:27" hidden="1" x14ac:dyDescent="0.25">
      <c r="B63" s="22" t="s">
        <v>100</v>
      </c>
      <c r="C63" s="22" t="s">
        <v>23</v>
      </c>
      <c r="D63" s="22" t="s">
        <v>44</v>
      </c>
      <c r="E63" s="22" t="s">
        <v>34</v>
      </c>
      <c r="F63" s="22">
        <v>4.5503097628711631</v>
      </c>
      <c r="G63" s="22">
        <v>36.229999999999997</v>
      </c>
      <c r="H63" s="22">
        <v>34.229999999999997</v>
      </c>
      <c r="I63" s="22">
        <v>35.22</v>
      </c>
      <c r="J63" s="22">
        <v>35.880000000000003</v>
      </c>
      <c r="K63" s="22">
        <v>37.01</v>
      </c>
      <c r="L63" s="22">
        <v>36.340000000000003</v>
      </c>
      <c r="M63" s="22">
        <v>33.22</v>
      </c>
      <c r="N63" s="22">
        <v>31.73</v>
      </c>
      <c r="O63" s="22">
        <v>33.049999999999997</v>
      </c>
      <c r="P63" s="22">
        <v>32.57</v>
      </c>
      <c r="Q63" s="22">
        <v>33.700000000000003</v>
      </c>
      <c r="R63" s="22">
        <v>34.229999999999997</v>
      </c>
      <c r="S63" s="22">
        <v>35.64</v>
      </c>
      <c r="T63" s="22">
        <v>31.06</v>
      </c>
      <c r="U63" s="22">
        <v>34.18</v>
      </c>
      <c r="V63" s="22">
        <v>39.549999999999997</v>
      </c>
      <c r="W63" s="22">
        <v>42.03</v>
      </c>
    </row>
    <row r="64" spans="2:27" hidden="1" x14ac:dyDescent="0.25">
      <c r="B64" s="22" t="s">
        <v>101</v>
      </c>
      <c r="C64" s="22" t="s">
        <v>23</v>
      </c>
      <c r="D64" s="22" t="s">
        <v>44</v>
      </c>
      <c r="E64" s="22" t="s">
        <v>34</v>
      </c>
      <c r="F64" s="22">
        <v>3.190567019247426</v>
      </c>
      <c r="G64" s="22">
        <v>23.6</v>
      </c>
      <c r="H64" s="22">
        <v>24.3</v>
      </c>
      <c r="I64" s="22">
        <v>22.98</v>
      </c>
      <c r="J64" s="22">
        <v>25.76</v>
      </c>
      <c r="K64" s="22">
        <v>27.36</v>
      </c>
      <c r="L64" s="22">
        <v>27.54</v>
      </c>
      <c r="M64" s="22">
        <v>27.25</v>
      </c>
      <c r="N64" s="22">
        <v>27.22</v>
      </c>
      <c r="O64" s="22">
        <v>26.12</v>
      </c>
      <c r="P64" s="22">
        <v>26.23</v>
      </c>
      <c r="Q64" s="22">
        <v>25.85</v>
      </c>
      <c r="R64" s="22">
        <v>26.59</v>
      </c>
      <c r="S64" s="22">
        <v>27.58</v>
      </c>
      <c r="T64" s="22">
        <v>28.24</v>
      </c>
      <c r="U64" s="22">
        <v>29.43</v>
      </c>
      <c r="V64" s="22">
        <v>30.09</v>
      </c>
      <c r="W64" s="22">
        <v>31.26</v>
      </c>
    </row>
    <row r="65" spans="2:27" hidden="1" x14ac:dyDescent="0.25">
      <c r="B65" s="22" t="s">
        <v>102</v>
      </c>
      <c r="C65" s="22" t="s">
        <v>26</v>
      </c>
      <c r="D65" s="22" t="s">
        <v>27</v>
      </c>
      <c r="E65" s="22" t="s">
        <v>34</v>
      </c>
      <c r="F65" s="22">
        <v>0.66899968618352457</v>
      </c>
      <c r="G65" s="22">
        <v>46882</v>
      </c>
      <c r="H65" s="22">
        <v>62819</v>
      </c>
      <c r="I65" s="22">
        <v>51501</v>
      </c>
      <c r="J65" s="22">
        <v>53439</v>
      </c>
      <c r="K65" s="22">
        <v>45340</v>
      </c>
      <c r="L65" s="22">
        <v>61675</v>
      </c>
      <c r="M65" s="22">
        <v>51922</v>
      </c>
      <c r="N65" s="22">
        <v>51842</v>
      </c>
      <c r="O65" s="22">
        <v>44263</v>
      </c>
      <c r="P65" s="22">
        <v>60173</v>
      </c>
      <c r="Q65" s="22">
        <v>52020</v>
      </c>
      <c r="R65" s="22">
        <v>51368</v>
      </c>
      <c r="S65" s="22">
        <v>45759</v>
      </c>
      <c r="T65" s="22">
        <v>61520</v>
      </c>
      <c r="U65" s="22">
        <v>52209</v>
      </c>
      <c r="V65" s="22">
        <v>50826</v>
      </c>
      <c r="W65" s="22">
        <v>47166</v>
      </c>
    </row>
    <row r="66" spans="2:27" x14ac:dyDescent="0.25">
      <c r="B66" s="22" t="s">
        <v>150</v>
      </c>
      <c r="C66" s="22" t="s">
        <v>23</v>
      </c>
      <c r="D66" s="22" t="s">
        <v>76</v>
      </c>
      <c r="E66" s="22" t="s">
        <v>28</v>
      </c>
      <c r="F66" s="24">
        <v>2.1327612317011631</v>
      </c>
      <c r="G66" s="31">
        <v>1989</v>
      </c>
      <c r="H66" s="31">
        <v>2052</v>
      </c>
      <c r="I66" s="31">
        <v>2159</v>
      </c>
      <c r="J66" s="31">
        <v>2158</v>
      </c>
      <c r="K66" s="31">
        <v>2139</v>
      </c>
      <c r="L66" s="31">
        <v>2079</v>
      </c>
      <c r="M66" s="31">
        <v>0</v>
      </c>
      <c r="N66" s="31">
        <v>1958</v>
      </c>
      <c r="O66" s="31">
        <v>1905</v>
      </c>
      <c r="P66" s="31">
        <v>1884</v>
      </c>
      <c r="Q66" s="32">
        <v>1949</v>
      </c>
      <c r="R66" s="31">
        <v>1984</v>
      </c>
      <c r="S66" s="31">
        <v>1930</v>
      </c>
      <c r="T66" s="31">
        <v>1866</v>
      </c>
      <c r="U66" s="31">
        <v>2050</v>
      </c>
      <c r="V66" s="31">
        <v>2078</v>
      </c>
      <c r="W66" s="34">
        <v>2099</v>
      </c>
      <c r="X66" s="50">
        <f>SUM(Q66:T66)/SUM(P66:S66)-1</f>
        <v>-2.3234800567961678E-3</v>
      </c>
      <c r="Y66" s="50">
        <f t="shared" ref="Y66" si="41">SUM(R66:U66)/SUM(Q66:T66)-1</f>
        <v>1.3067667227325552E-2</v>
      </c>
      <c r="Z66" s="50">
        <f t="shared" ref="Z66" si="42">SUM(S66:V66)/SUM(R66:U66)-1</f>
        <v>1.2005108556832678E-2</v>
      </c>
      <c r="AA66" s="50">
        <f t="shared" ref="AA66" si="43">SUM(T66:W66)/SUM(S66:V66)-1</f>
        <v>2.1327612317011635E-2</v>
      </c>
    </row>
    <row r="67" spans="2:27" hidden="1" x14ac:dyDescent="0.25">
      <c r="B67" s="22" t="s">
        <v>105</v>
      </c>
      <c r="C67" s="22" t="s">
        <v>26</v>
      </c>
      <c r="D67" s="22" t="s">
        <v>27</v>
      </c>
      <c r="E67" s="22" t="s">
        <v>34</v>
      </c>
      <c r="F67" s="22">
        <v>-5.1904776200054066</v>
      </c>
      <c r="G67" s="22">
        <v>3412</v>
      </c>
      <c r="H67" s="22">
        <v>20943</v>
      </c>
      <c r="I67" s="22">
        <v>4153</v>
      </c>
      <c r="J67" s="22">
        <v>15029</v>
      </c>
      <c r="K67" s="22">
        <v>4969</v>
      </c>
      <c r="L67" s="22">
        <v>3449</v>
      </c>
      <c r="M67" s="22">
        <v>4006</v>
      </c>
      <c r="N67" s="22">
        <v>2533</v>
      </c>
      <c r="O67" s="22">
        <v>3754</v>
      </c>
      <c r="P67" s="23">
        <v>6496</v>
      </c>
      <c r="Q67" s="23">
        <v>12062</v>
      </c>
      <c r="R67" s="23">
        <v>6741</v>
      </c>
      <c r="S67" s="23">
        <v>6967</v>
      </c>
      <c r="T67" s="23">
        <v>10544</v>
      </c>
      <c r="U67" s="22">
        <v>5042</v>
      </c>
      <c r="V67" s="23">
        <v>10758</v>
      </c>
      <c r="W67" s="22">
        <v>5238</v>
      </c>
    </row>
    <row r="68" spans="2:27" x14ac:dyDescent="0.25">
      <c r="B68" s="22" t="s">
        <v>211</v>
      </c>
      <c r="C68" s="22" t="s">
        <v>23</v>
      </c>
      <c r="D68" s="22" t="s">
        <v>74</v>
      </c>
      <c r="E68" s="22" t="s">
        <v>28</v>
      </c>
      <c r="F68" s="24">
        <v>2.084927314460594</v>
      </c>
      <c r="G68" s="31">
        <v>869.7</v>
      </c>
      <c r="H68" s="31">
        <v>846.06</v>
      </c>
      <c r="I68" s="31">
        <v>864.82</v>
      </c>
      <c r="J68" s="31">
        <v>895.02</v>
      </c>
      <c r="K68" s="31">
        <v>952.16</v>
      </c>
      <c r="L68" s="31">
        <v>999.82</v>
      </c>
      <c r="M68" s="31">
        <v>1041</v>
      </c>
      <c r="N68" s="31">
        <v>1081</v>
      </c>
      <c r="O68" s="31">
        <v>1111</v>
      </c>
      <c r="P68" s="31">
        <v>1165</v>
      </c>
      <c r="Q68" s="31">
        <v>1196</v>
      </c>
      <c r="R68" s="31">
        <v>1244</v>
      </c>
      <c r="S68" s="31">
        <v>1256</v>
      </c>
      <c r="T68" s="31">
        <v>1285</v>
      </c>
      <c r="U68" s="31">
        <v>1327</v>
      </c>
      <c r="V68" s="31">
        <v>1360</v>
      </c>
      <c r="W68" s="34">
        <v>1365</v>
      </c>
      <c r="X68" s="50">
        <f t="shared" ref="X68:X69" si="44">SUM(Q68:T68)/SUM(P68:S68)-1</f>
        <v>2.4686278543509577E-2</v>
      </c>
      <c r="Y68" s="50">
        <f t="shared" ref="Y68:Y69" si="45">SUM(R68:U68)/SUM(Q68:T68)-1</f>
        <v>2.6299939771130321E-2</v>
      </c>
      <c r="Z68" s="50">
        <f t="shared" ref="Z68:Z69" si="46">SUM(S68:V68)/SUM(R68:U68)-1</f>
        <v>2.2691705790297334E-2</v>
      </c>
      <c r="AA68" s="50">
        <f t="shared" ref="AA68:AA69" si="47">SUM(T68:W68)/SUM(S68:V68)-1</f>
        <v>2.084927314460594E-2</v>
      </c>
    </row>
    <row r="69" spans="2:27" x14ac:dyDescent="0.25">
      <c r="B69" s="22" t="s">
        <v>63</v>
      </c>
      <c r="C69" s="22" t="s">
        <v>23</v>
      </c>
      <c r="D69" s="22" t="s">
        <v>64</v>
      </c>
      <c r="E69" s="22" t="s">
        <v>28</v>
      </c>
      <c r="F69" s="24">
        <v>2.0010759554132118</v>
      </c>
      <c r="G69" s="31">
        <v>777.16</v>
      </c>
      <c r="H69" s="31">
        <v>735.15</v>
      </c>
      <c r="I69" s="31">
        <v>799.09</v>
      </c>
      <c r="J69" s="31">
        <v>789.44</v>
      </c>
      <c r="K69" s="31">
        <v>681.25</v>
      </c>
      <c r="L69" s="31">
        <v>691.83</v>
      </c>
      <c r="M69" s="31">
        <v>725.64</v>
      </c>
      <c r="N69" s="31">
        <v>766.17</v>
      </c>
      <c r="O69" s="31">
        <v>751.79</v>
      </c>
      <c r="P69" s="31">
        <v>803.61</v>
      </c>
      <c r="Q69" s="31">
        <v>867.12</v>
      </c>
      <c r="R69" s="31">
        <v>912.79</v>
      </c>
      <c r="S69" s="31">
        <v>944.4</v>
      </c>
      <c r="T69" s="31">
        <v>948.46</v>
      </c>
      <c r="U69" s="31">
        <v>1035</v>
      </c>
      <c r="V69" s="31">
        <v>1050</v>
      </c>
      <c r="W69" s="34">
        <v>1024</v>
      </c>
      <c r="X69" s="50">
        <f t="shared" si="44"/>
        <v>4.1058187260482049E-2</v>
      </c>
      <c r="Y69" s="50">
        <f t="shared" si="45"/>
        <v>4.570936922268487E-2</v>
      </c>
      <c r="Z69" s="50">
        <f t="shared" si="46"/>
        <v>3.5725723510343199E-2</v>
      </c>
      <c r="AA69" s="50">
        <f t="shared" si="47"/>
        <v>2.0010759554132118E-2</v>
      </c>
    </row>
    <row r="70" spans="2:27" hidden="1" x14ac:dyDescent="0.25">
      <c r="B70" s="22" t="s">
        <v>107</v>
      </c>
      <c r="C70" s="22" t="s">
        <v>30</v>
      </c>
      <c r="D70" s="22" t="s">
        <v>27</v>
      </c>
      <c r="E70" s="22" t="s">
        <v>34</v>
      </c>
      <c r="F70" s="22">
        <v>1.255733825940752</v>
      </c>
      <c r="G70" s="22">
        <v>21573</v>
      </c>
      <c r="H70" s="22">
        <v>20884</v>
      </c>
      <c r="I70" s="22">
        <v>20612</v>
      </c>
      <c r="J70" s="22">
        <v>24991</v>
      </c>
      <c r="K70" s="22">
        <v>24422</v>
      </c>
      <c r="L70" s="22">
        <v>23228</v>
      </c>
      <c r="M70" s="22">
        <v>21020</v>
      </c>
      <c r="N70" s="22">
        <v>24993</v>
      </c>
      <c r="O70" s="22">
        <v>25667</v>
      </c>
      <c r="P70" s="22">
        <v>23419</v>
      </c>
      <c r="Q70" s="22">
        <v>21391</v>
      </c>
      <c r="R70" s="22">
        <v>23434</v>
      </c>
      <c r="S70" s="22">
        <v>24427</v>
      </c>
      <c r="T70" s="22">
        <v>24446</v>
      </c>
      <c r="U70" s="22">
        <v>21452</v>
      </c>
      <c r="V70" s="22">
        <v>26033</v>
      </c>
      <c r="W70" s="22">
        <v>25637</v>
      </c>
    </row>
    <row r="71" spans="2:27" hidden="1" x14ac:dyDescent="0.25">
      <c r="B71" s="22" t="s">
        <v>108</v>
      </c>
      <c r="C71" s="22" t="s">
        <v>23</v>
      </c>
      <c r="D71" s="22" t="s">
        <v>85</v>
      </c>
      <c r="E71" s="22" t="s">
        <v>34</v>
      </c>
      <c r="F71" s="22">
        <v>230.5441055234954</v>
      </c>
      <c r="G71" s="22">
        <v>29.71</v>
      </c>
      <c r="H71" s="22">
        <v>-40.200000000000003</v>
      </c>
      <c r="I71" s="22">
        <v>-144.35</v>
      </c>
      <c r="J71" s="22">
        <v>-55.59</v>
      </c>
      <c r="K71" s="23">
        <v>-80.180000000000007</v>
      </c>
      <c r="L71" s="22">
        <v>39.11</v>
      </c>
      <c r="M71" s="22">
        <v>8.5299999999999994</v>
      </c>
      <c r="N71" s="22">
        <v>15.07</v>
      </c>
      <c r="O71" s="22">
        <v>-75.489999999999995</v>
      </c>
      <c r="P71" s="23">
        <v>31.19</v>
      </c>
      <c r="Q71" s="22">
        <v>23.51</v>
      </c>
      <c r="R71" s="23">
        <v>-0.6</v>
      </c>
      <c r="S71" s="22">
        <v>21.59</v>
      </c>
      <c r="T71" s="22">
        <v>9.9</v>
      </c>
      <c r="U71" s="22">
        <v>21.35</v>
      </c>
      <c r="V71" s="22">
        <v>-28.58</v>
      </c>
      <c r="W71" s="23">
        <v>77.52</v>
      </c>
    </row>
    <row r="72" spans="2:27" hidden="1" x14ac:dyDescent="0.25">
      <c r="B72" s="22" t="s">
        <v>109</v>
      </c>
      <c r="C72" s="22" t="s">
        <v>26</v>
      </c>
      <c r="D72" s="22" t="s">
        <v>27</v>
      </c>
      <c r="E72" s="22" t="s">
        <v>34</v>
      </c>
      <c r="F72" s="22">
        <v>2.6015083237992842</v>
      </c>
      <c r="G72" s="22">
        <v>35902</v>
      </c>
      <c r="H72" s="22">
        <v>41580</v>
      </c>
      <c r="I72" s="22">
        <v>68306</v>
      </c>
      <c r="J72" s="22">
        <v>25506</v>
      </c>
      <c r="K72" s="22">
        <v>35383</v>
      </c>
      <c r="L72" s="22">
        <v>40833</v>
      </c>
      <c r="M72" s="22">
        <v>70378</v>
      </c>
      <c r="N72" s="22">
        <v>28577</v>
      </c>
      <c r="O72" s="22">
        <v>42462</v>
      </c>
      <c r="P72" s="22">
        <v>46472</v>
      </c>
      <c r="Q72" s="22">
        <v>76520</v>
      </c>
      <c r="R72" s="22">
        <v>33011</v>
      </c>
      <c r="S72" s="22">
        <v>42614</v>
      </c>
      <c r="T72" s="22">
        <v>49388</v>
      </c>
      <c r="U72" s="22">
        <v>91909</v>
      </c>
      <c r="V72" s="22">
        <v>30234</v>
      </c>
      <c r="W72" s="22">
        <v>48185</v>
      </c>
    </row>
    <row r="73" spans="2:27" x14ac:dyDescent="0.25">
      <c r="B73" s="22" t="s">
        <v>157</v>
      </c>
      <c r="C73" s="22" t="s">
        <v>23</v>
      </c>
      <c r="D73" s="22" t="s">
        <v>136</v>
      </c>
      <c r="E73" s="22" t="s">
        <v>28</v>
      </c>
      <c r="F73" s="24">
        <v>1.995992893055609</v>
      </c>
      <c r="G73" s="31">
        <v>5137</v>
      </c>
      <c r="H73" s="31">
        <v>5549</v>
      </c>
      <c r="I73" s="31">
        <v>5379</v>
      </c>
      <c r="J73" s="31">
        <v>4770</v>
      </c>
      <c r="K73" s="31">
        <v>5022</v>
      </c>
      <c r="L73" s="31">
        <v>5924</v>
      </c>
      <c r="M73" s="31">
        <v>5876</v>
      </c>
      <c r="N73" s="31">
        <v>5382</v>
      </c>
      <c r="O73" s="31">
        <v>5554</v>
      </c>
      <c r="P73" s="31">
        <v>6473</v>
      </c>
      <c r="Q73" s="31">
        <v>6221</v>
      </c>
      <c r="R73" s="31">
        <v>5697</v>
      </c>
      <c r="S73" s="31">
        <v>6067</v>
      </c>
      <c r="T73" s="31">
        <v>7061</v>
      </c>
      <c r="U73" s="31">
        <v>6974</v>
      </c>
      <c r="V73" s="31">
        <v>6351</v>
      </c>
      <c r="W73" s="34">
        <v>6595</v>
      </c>
      <c r="X73" s="50">
        <f>SUM(Q73:T73)/SUM(P73:S73)-1</f>
        <v>2.4041213508872339E-2</v>
      </c>
      <c r="Y73" s="50">
        <f t="shared" ref="Y73" si="48">SUM(R73:U73)/SUM(Q73:T73)-1</f>
        <v>3.0064680986984005E-2</v>
      </c>
      <c r="Z73" s="50">
        <f t="shared" ref="Z73" si="49">SUM(S73:V73)/SUM(R73:U73)-1</f>
        <v>2.5349819760455805E-2</v>
      </c>
      <c r="AA73" s="50">
        <f t="shared" ref="AA73" si="50">SUM(T73:W73)/SUM(S73:V73)-1</f>
        <v>1.9959928930556092E-2</v>
      </c>
    </row>
    <row r="74" spans="2:27" hidden="1" x14ac:dyDescent="0.25">
      <c r="B74" s="22" t="s">
        <v>110</v>
      </c>
      <c r="C74" s="22" t="s">
        <v>26</v>
      </c>
      <c r="D74" s="22" t="s">
        <v>27</v>
      </c>
      <c r="E74" s="22" t="s">
        <v>34</v>
      </c>
      <c r="F74" s="22">
        <v>0.55944980822641988</v>
      </c>
      <c r="G74" s="22">
        <v>61439</v>
      </c>
      <c r="H74" s="22">
        <v>67560</v>
      </c>
      <c r="I74" s="22">
        <v>69552</v>
      </c>
      <c r="J74" s="22">
        <v>66857</v>
      </c>
      <c r="K74" s="22">
        <v>72952</v>
      </c>
      <c r="L74" s="22">
        <v>69876</v>
      </c>
      <c r="M74" s="22">
        <v>75455</v>
      </c>
      <c r="N74" s="22">
        <v>73813</v>
      </c>
      <c r="O74" s="22">
        <v>75500</v>
      </c>
      <c r="P74" s="22">
        <v>77654</v>
      </c>
      <c r="Q74" s="22">
        <v>69548</v>
      </c>
      <c r="R74" s="22">
        <v>71933</v>
      </c>
      <c r="S74" s="22">
        <v>73030</v>
      </c>
      <c r="T74" s="22">
        <v>76909</v>
      </c>
      <c r="U74" s="22">
        <v>77415</v>
      </c>
      <c r="V74" s="22">
        <v>75086</v>
      </c>
      <c r="W74" s="22">
        <v>74722</v>
      </c>
    </row>
    <row r="75" spans="2:27" hidden="1" x14ac:dyDescent="0.25">
      <c r="B75" s="22" t="s">
        <v>111</v>
      </c>
      <c r="C75" s="22" t="s">
        <v>30</v>
      </c>
      <c r="D75" s="22" t="s">
        <v>27</v>
      </c>
      <c r="E75" s="22" t="s">
        <v>34</v>
      </c>
      <c r="F75" s="22">
        <v>1.6656434779799061</v>
      </c>
      <c r="G75" s="22">
        <v>9247</v>
      </c>
      <c r="H75" s="22">
        <v>9335</v>
      </c>
      <c r="I75" s="22">
        <v>9659</v>
      </c>
      <c r="J75" s="22">
        <v>9937</v>
      </c>
      <c r="K75" s="22">
        <v>11206</v>
      </c>
      <c r="L75" s="22">
        <v>11903</v>
      </c>
      <c r="M75" s="22">
        <v>12530</v>
      </c>
      <c r="N75" s="22">
        <v>12843</v>
      </c>
      <c r="O75" s="22">
        <v>14086</v>
      </c>
      <c r="P75" s="22">
        <v>14415</v>
      </c>
      <c r="Q75" s="22">
        <v>14905</v>
      </c>
      <c r="R75" s="22">
        <v>14888</v>
      </c>
      <c r="S75" s="22">
        <v>15762</v>
      </c>
      <c r="T75" s="22">
        <v>15614</v>
      </c>
      <c r="U75" s="22">
        <v>15096</v>
      </c>
      <c r="V75" s="22">
        <v>15426</v>
      </c>
      <c r="W75" s="22">
        <v>16793</v>
      </c>
    </row>
    <row r="76" spans="2:27" x14ac:dyDescent="0.25">
      <c r="B76" s="22" t="s">
        <v>165</v>
      </c>
      <c r="C76" s="22" t="s">
        <v>23</v>
      </c>
      <c r="D76" s="22" t="s">
        <v>166</v>
      </c>
      <c r="E76" s="22" t="s">
        <v>28</v>
      </c>
      <c r="F76" s="24">
        <v>1.874885677702576</v>
      </c>
      <c r="G76" s="31">
        <v>10702</v>
      </c>
      <c r="H76" s="31">
        <v>11818</v>
      </c>
      <c r="I76" s="31">
        <v>10970</v>
      </c>
      <c r="J76" s="31">
        <v>10677</v>
      </c>
      <c r="K76" s="31">
        <v>11450</v>
      </c>
      <c r="L76" s="31">
        <v>10710</v>
      </c>
      <c r="M76" s="31">
        <v>10687</v>
      </c>
      <c r="N76" s="31">
        <v>10574</v>
      </c>
      <c r="O76" s="31">
        <v>10886</v>
      </c>
      <c r="P76" s="31">
        <v>10345</v>
      </c>
      <c r="Q76" s="31">
        <v>10541</v>
      </c>
      <c r="R76" s="31">
        <v>10598</v>
      </c>
      <c r="S76" s="31">
        <v>11395</v>
      </c>
      <c r="T76" s="31">
        <v>10364</v>
      </c>
      <c r="U76" s="31">
        <v>10855</v>
      </c>
      <c r="V76" s="31">
        <v>11122</v>
      </c>
      <c r="W76" s="34">
        <v>12215</v>
      </c>
      <c r="X76" s="50">
        <f>SUM(Q76:T76)/SUM(P76:S76)-1</f>
        <v>4.4310734858554746E-4</v>
      </c>
      <c r="Y76" s="50">
        <f t="shared" ref="Y76" si="51">SUM(R76:U76)/SUM(Q76:T76)-1</f>
        <v>7.3196885635693487E-3</v>
      </c>
      <c r="Z76" s="50">
        <f t="shared" ref="Z76" si="52">SUM(S76:V76)/SUM(R76:U76)-1</f>
        <v>1.2126261223734058E-2</v>
      </c>
      <c r="AA76" s="50">
        <f t="shared" ref="AA76" si="53">SUM(T76:W76)/SUM(S76:V76)-1</f>
        <v>1.8748856777025757E-2</v>
      </c>
    </row>
    <row r="77" spans="2:27" hidden="1" x14ac:dyDescent="0.25">
      <c r="B77" s="22" t="s">
        <v>113</v>
      </c>
      <c r="C77" s="22" t="s">
        <v>30</v>
      </c>
      <c r="D77" s="22" t="s">
        <v>27</v>
      </c>
      <c r="E77" s="22" t="s">
        <v>34</v>
      </c>
      <c r="F77" s="22">
        <v>-0.48653222394584578</v>
      </c>
      <c r="G77" s="22">
        <v>5647</v>
      </c>
      <c r="H77" s="22">
        <v>6806</v>
      </c>
      <c r="I77" s="22">
        <v>8176</v>
      </c>
      <c r="J77" s="22">
        <v>4575</v>
      </c>
      <c r="K77" s="23">
        <v>10766</v>
      </c>
      <c r="L77" s="22">
        <v>8744</v>
      </c>
      <c r="M77" s="22">
        <v>10020</v>
      </c>
      <c r="N77" s="23">
        <v>9870</v>
      </c>
      <c r="O77" s="22">
        <v>9522</v>
      </c>
      <c r="P77" s="22">
        <v>10093</v>
      </c>
      <c r="Q77" s="22">
        <v>10688</v>
      </c>
      <c r="R77" s="22">
        <v>11421</v>
      </c>
      <c r="S77" s="22">
        <v>10722</v>
      </c>
      <c r="T77" s="22">
        <v>10080</v>
      </c>
      <c r="U77" s="22">
        <v>11712</v>
      </c>
      <c r="V77" s="22">
        <v>10032</v>
      </c>
      <c r="W77" s="22">
        <v>10515</v>
      </c>
    </row>
    <row r="78" spans="2:27" hidden="1" x14ac:dyDescent="0.25">
      <c r="B78" s="22" t="s">
        <v>114</v>
      </c>
      <c r="C78" s="22" t="s">
        <v>26</v>
      </c>
      <c r="D78" s="22" t="s">
        <v>27</v>
      </c>
      <c r="E78" s="22" t="s">
        <v>34</v>
      </c>
      <c r="F78" s="22">
        <v>6.8245222974583353</v>
      </c>
      <c r="G78" s="22">
        <v>13716</v>
      </c>
      <c r="H78" s="22">
        <v>16114</v>
      </c>
      <c r="I78" s="22">
        <v>16398</v>
      </c>
      <c r="J78" s="22">
        <v>18816</v>
      </c>
      <c r="K78" s="22">
        <v>18049</v>
      </c>
      <c r="L78" s="23">
        <v>26480</v>
      </c>
      <c r="M78" s="22">
        <v>15872</v>
      </c>
      <c r="N78" s="22">
        <v>15521</v>
      </c>
      <c r="O78" s="22">
        <v>15706</v>
      </c>
      <c r="P78" s="22">
        <v>17162</v>
      </c>
      <c r="Q78" s="22">
        <v>15543</v>
      </c>
      <c r="R78" s="22">
        <v>17950</v>
      </c>
      <c r="S78" s="22">
        <v>16573</v>
      </c>
      <c r="T78" s="22">
        <v>18265</v>
      </c>
      <c r="U78" s="22">
        <v>15297</v>
      </c>
      <c r="V78" s="22">
        <v>21196</v>
      </c>
      <c r="W78" s="22">
        <v>21441</v>
      </c>
    </row>
    <row r="79" spans="2:27" x14ac:dyDescent="0.25">
      <c r="B79" s="22" t="s">
        <v>31</v>
      </c>
      <c r="C79" s="22" t="s">
        <v>23</v>
      </c>
      <c r="D79" s="22" t="s">
        <v>32</v>
      </c>
      <c r="E79" s="22" t="s">
        <v>28</v>
      </c>
      <c r="F79" s="24">
        <v>1.77407470384856</v>
      </c>
      <c r="G79" s="31">
        <v>5382</v>
      </c>
      <c r="H79" s="31">
        <v>5143</v>
      </c>
      <c r="I79" s="31">
        <v>5074</v>
      </c>
      <c r="J79" s="31">
        <v>4801</v>
      </c>
      <c r="K79" s="31">
        <v>4809</v>
      </c>
      <c r="L79" s="31">
        <v>4752</v>
      </c>
      <c r="M79" s="31">
        <v>4856</v>
      </c>
      <c r="N79" s="31">
        <v>4676</v>
      </c>
      <c r="O79" s="31">
        <v>4631</v>
      </c>
      <c r="P79" s="31">
        <v>4403</v>
      </c>
      <c r="Q79" s="31">
        <v>4521</v>
      </c>
      <c r="R79" s="31">
        <v>4530</v>
      </c>
      <c r="S79" s="31">
        <v>4400</v>
      </c>
      <c r="T79" s="31">
        <v>4090</v>
      </c>
      <c r="U79" s="31">
        <v>4519</v>
      </c>
      <c r="V79" s="31">
        <v>4634</v>
      </c>
      <c r="W79" s="34">
        <v>4713</v>
      </c>
      <c r="X79" s="50">
        <f t="shared" ref="X79:X81" si="54">SUM(Q79:T79)/SUM(P79:S79)-1</f>
        <v>-1.7531085471042873E-2</v>
      </c>
      <c r="Y79" s="50">
        <f t="shared" ref="Y79:Y81" si="55">SUM(R79:U79)/SUM(Q79:T79)-1</f>
        <v>-1.140185850293518E-4</v>
      </c>
      <c r="Z79" s="50">
        <f t="shared" ref="Z79:Z81" si="56">SUM(S79:V79)/SUM(R79:U79)-1</f>
        <v>5.9296425109756079E-3</v>
      </c>
      <c r="AA79" s="50">
        <f t="shared" ref="AA79:AA81" si="57">SUM(T79:W79)/SUM(S79:V79)-1</f>
        <v>1.7740747038485605E-2</v>
      </c>
    </row>
    <row r="80" spans="2:27" x14ac:dyDescent="0.25">
      <c r="B80" s="22" t="s">
        <v>167</v>
      </c>
      <c r="C80" s="22" t="s">
        <v>23</v>
      </c>
      <c r="D80" s="22" t="s">
        <v>168</v>
      </c>
      <c r="E80" s="22" t="s">
        <v>28</v>
      </c>
      <c r="F80" s="24">
        <v>1.756487025948106</v>
      </c>
      <c r="G80" s="31">
        <v>2353</v>
      </c>
      <c r="H80" s="31">
        <v>2289</v>
      </c>
      <c r="I80" s="31">
        <v>2487</v>
      </c>
      <c r="J80" s="31">
        <v>2724</v>
      </c>
      <c r="K80" s="31">
        <v>2984</v>
      </c>
      <c r="L80" s="31">
        <v>2433</v>
      </c>
      <c r="M80" s="31">
        <v>2355</v>
      </c>
      <c r="N80" s="31">
        <v>2397</v>
      </c>
      <c r="O80" s="31">
        <v>2487</v>
      </c>
      <c r="P80" s="31">
        <v>2360</v>
      </c>
      <c r="Q80" s="31">
        <v>2569</v>
      </c>
      <c r="R80" s="31">
        <v>2842</v>
      </c>
      <c r="S80" s="31">
        <v>3077</v>
      </c>
      <c r="T80" s="31">
        <v>3063</v>
      </c>
      <c r="U80" s="31">
        <v>3175</v>
      </c>
      <c r="V80" s="31">
        <v>3210</v>
      </c>
      <c r="W80" s="34">
        <v>3297</v>
      </c>
      <c r="X80" s="50">
        <f t="shared" si="54"/>
        <v>6.4804572271386363E-2</v>
      </c>
      <c r="Y80" s="50">
        <f t="shared" si="55"/>
        <v>5.2462990217297278E-2</v>
      </c>
      <c r="Z80" s="50">
        <f t="shared" si="56"/>
        <v>3.0270625976803522E-2</v>
      </c>
      <c r="AA80" s="50">
        <f t="shared" si="57"/>
        <v>1.7564870259481058E-2</v>
      </c>
    </row>
    <row r="81" spans="2:27" x14ac:dyDescent="0.25">
      <c r="B81" s="22" t="s">
        <v>146</v>
      </c>
      <c r="C81" s="22" t="s">
        <v>23</v>
      </c>
      <c r="D81" s="22" t="s">
        <v>147</v>
      </c>
      <c r="E81" s="22" t="s">
        <v>28</v>
      </c>
      <c r="F81" s="24">
        <v>1.6155030984704719</v>
      </c>
      <c r="G81" s="31">
        <v>5809</v>
      </c>
      <c r="H81" s="31">
        <v>5382</v>
      </c>
      <c r="I81" s="31">
        <v>5366</v>
      </c>
      <c r="J81" s="31">
        <v>5578</v>
      </c>
      <c r="K81" s="31">
        <v>6030</v>
      </c>
      <c r="L81" s="31">
        <v>5916</v>
      </c>
      <c r="M81" s="31">
        <v>6053</v>
      </c>
      <c r="N81" s="31">
        <v>6171</v>
      </c>
      <c r="O81" s="31">
        <v>6413</v>
      </c>
      <c r="P81" s="31">
        <v>6423</v>
      </c>
      <c r="Q81" s="31">
        <v>6491</v>
      </c>
      <c r="R81" s="31">
        <v>6757</v>
      </c>
      <c r="S81" s="31">
        <v>6889</v>
      </c>
      <c r="T81" s="31">
        <v>6809</v>
      </c>
      <c r="U81" s="31">
        <v>6987</v>
      </c>
      <c r="V81" s="31">
        <v>7232</v>
      </c>
      <c r="W81" s="34">
        <v>7340</v>
      </c>
      <c r="X81" s="50">
        <f t="shared" si="54"/>
        <v>1.4533132530120563E-2</v>
      </c>
      <c r="Y81" s="50">
        <f t="shared" si="55"/>
        <v>1.8407184739850146E-2</v>
      </c>
      <c r="Z81" s="50">
        <f t="shared" si="56"/>
        <v>1.7309234020844055E-2</v>
      </c>
      <c r="AA81" s="50">
        <f t="shared" si="57"/>
        <v>1.6155030984704721E-2</v>
      </c>
    </row>
    <row r="82" spans="2:27" hidden="1" x14ac:dyDescent="0.25">
      <c r="B82" s="22" t="s">
        <v>120</v>
      </c>
      <c r="C82" s="22" t="s">
        <v>23</v>
      </c>
      <c r="D82" s="22" t="s">
        <v>44</v>
      </c>
      <c r="E82" s="22" t="s">
        <v>34</v>
      </c>
      <c r="F82" s="22">
        <v>224.75479432001171</v>
      </c>
      <c r="G82" s="22">
        <v>50.6</v>
      </c>
      <c r="H82" s="22">
        <v>49.43</v>
      </c>
      <c r="I82" s="22">
        <v>48.98</v>
      </c>
      <c r="J82" s="22">
        <v>50.05</v>
      </c>
      <c r="K82" s="22">
        <v>57.68</v>
      </c>
      <c r="L82" s="22">
        <v>52.68</v>
      </c>
      <c r="M82" s="22">
        <v>35.1</v>
      </c>
      <c r="N82" s="22">
        <v>44.11</v>
      </c>
      <c r="O82" s="22">
        <v>42.89</v>
      </c>
      <c r="P82" s="22">
        <v>34.65</v>
      </c>
      <c r="Q82" s="22">
        <v>39.79</v>
      </c>
      <c r="R82" s="22">
        <v>56.63</v>
      </c>
      <c r="S82" s="22">
        <v>-94.4</v>
      </c>
      <c r="T82" s="23">
        <v>58.48</v>
      </c>
      <c r="U82" s="23">
        <v>55.89</v>
      </c>
      <c r="V82" s="22">
        <v>48.34</v>
      </c>
      <c r="W82" s="23">
        <v>59.13</v>
      </c>
    </row>
    <row r="83" spans="2:27" hidden="1" x14ac:dyDescent="0.25">
      <c r="B83" s="22" t="s">
        <v>121</v>
      </c>
      <c r="C83" s="22" t="s">
        <v>26</v>
      </c>
      <c r="D83" s="22" t="s">
        <v>27</v>
      </c>
      <c r="E83" s="22" t="s">
        <v>122</v>
      </c>
      <c r="F83" s="22">
        <v>-2.449700560876567</v>
      </c>
      <c r="G83" s="22">
        <v>38576</v>
      </c>
      <c r="H83" s="22">
        <v>41529</v>
      </c>
      <c r="I83" s="22">
        <v>37961</v>
      </c>
      <c r="J83" s="22">
        <v>39125</v>
      </c>
      <c r="K83" s="22">
        <v>36584</v>
      </c>
      <c r="L83" s="22">
        <v>39786</v>
      </c>
      <c r="M83" s="22">
        <v>37979</v>
      </c>
      <c r="N83" s="22">
        <v>39355</v>
      </c>
      <c r="O83" s="22">
        <v>36657</v>
      </c>
      <c r="P83" s="22">
        <v>39138</v>
      </c>
      <c r="Q83" s="22">
        <v>38921</v>
      </c>
      <c r="R83" s="22">
        <v>39596</v>
      </c>
      <c r="S83" s="22">
        <v>37329</v>
      </c>
      <c r="T83" s="22">
        <v>35220</v>
      </c>
      <c r="U83" s="22">
        <v>34252</v>
      </c>
      <c r="V83" s="22">
        <v>35298</v>
      </c>
      <c r="W83" s="22">
        <v>33848</v>
      </c>
    </row>
    <row r="84" spans="2:27" hidden="1" x14ac:dyDescent="0.25">
      <c r="B84" s="22" t="s">
        <v>123</v>
      </c>
      <c r="C84" s="22" t="s">
        <v>30</v>
      </c>
      <c r="D84" s="22" t="s">
        <v>27</v>
      </c>
      <c r="E84" s="22" t="s">
        <v>34</v>
      </c>
      <c r="F84" s="22">
        <v>6.5582597458539782</v>
      </c>
      <c r="G84" s="22">
        <v>10510</v>
      </c>
      <c r="H84" s="22">
        <v>9641</v>
      </c>
      <c r="I84" s="22">
        <v>12111</v>
      </c>
      <c r="J84" s="22">
        <v>10687</v>
      </c>
      <c r="K84" s="23">
        <v>15807</v>
      </c>
      <c r="L84" s="23">
        <v>14474</v>
      </c>
      <c r="M84" s="22">
        <v>14189</v>
      </c>
      <c r="N84" s="22">
        <v>11242</v>
      </c>
      <c r="O84" s="22">
        <v>6275</v>
      </c>
      <c r="P84" s="22">
        <v>11028</v>
      </c>
      <c r="Q84" s="22">
        <v>16341</v>
      </c>
      <c r="R84" s="23">
        <v>16119</v>
      </c>
      <c r="S84" s="23">
        <v>13841</v>
      </c>
      <c r="T84" s="22">
        <v>16115</v>
      </c>
      <c r="U84" s="22">
        <v>17365</v>
      </c>
      <c r="V84" s="22">
        <v>17681</v>
      </c>
      <c r="W84" s="22">
        <v>18104</v>
      </c>
    </row>
    <row r="85" spans="2:27" x14ac:dyDescent="0.25">
      <c r="B85" s="22" t="s">
        <v>97</v>
      </c>
      <c r="C85" s="22" t="s">
        <v>23</v>
      </c>
      <c r="D85" s="22" t="s">
        <v>98</v>
      </c>
      <c r="E85" s="22" t="s">
        <v>28</v>
      </c>
      <c r="F85" s="24">
        <v>1.5900991213749549</v>
      </c>
      <c r="G85" s="31">
        <v>472.69</v>
      </c>
      <c r="H85" s="31">
        <v>610.11</v>
      </c>
      <c r="I85" s="31">
        <v>688.54</v>
      </c>
      <c r="J85" s="31">
        <v>536.76</v>
      </c>
      <c r="K85" s="31">
        <v>507.93</v>
      </c>
      <c r="L85" s="31">
        <v>570.34</v>
      </c>
      <c r="M85" s="31">
        <v>721.84</v>
      </c>
      <c r="N85" s="31">
        <v>594.6</v>
      </c>
      <c r="O85" s="31">
        <v>527.27</v>
      </c>
      <c r="P85" s="31">
        <v>582.89</v>
      </c>
      <c r="Q85" s="31">
        <v>757.72</v>
      </c>
      <c r="R85" s="31">
        <v>563.12</v>
      </c>
      <c r="S85" s="31">
        <v>468.46</v>
      </c>
      <c r="T85" s="31">
        <v>631.52</v>
      </c>
      <c r="U85" s="31">
        <v>657.16</v>
      </c>
      <c r="V85" s="31">
        <v>552.15</v>
      </c>
      <c r="W85" s="34">
        <v>505.18</v>
      </c>
      <c r="X85" s="50">
        <f>SUM(Q85:T85)/SUM(P85:S85)-1</f>
        <v>2.0500044262896422E-2</v>
      </c>
      <c r="Y85" s="50">
        <f t="shared" ref="Y85" si="58">SUM(R85:U85)/SUM(Q85:T85)-1</f>
        <v>-4.1539643591840925E-2</v>
      </c>
      <c r="Z85" s="50">
        <f t="shared" ref="Z85" si="59">SUM(S85:V85)/SUM(R85:U85)-1</f>
        <v>-4.7279184229352955E-3</v>
      </c>
      <c r="AA85" s="50">
        <f t="shared" ref="AA85" si="60">SUM(T85:W85)/SUM(S85:V85)-1</f>
        <v>1.5900991213749549E-2</v>
      </c>
    </row>
    <row r="86" spans="2:27" hidden="1" x14ac:dyDescent="0.25">
      <c r="B86" s="22" t="s">
        <v>124</v>
      </c>
      <c r="C86" s="22" t="s">
        <v>23</v>
      </c>
      <c r="D86" s="22" t="s">
        <v>125</v>
      </c>
      <c r="E86" s="22" t="s">
        <v>34</v>
      </c>
      <c r="F86" s="22">
        <v>0.55343442804067777</v>
      </c>
      <c r="G86" s="22">
        <v>508.58</v>
      </c>
      <c r="H86" s="22">
        <v>653.27</v>
      </c>
      <c r="I86" s="22">
        <v>510.57</v>
      </c>
      <c r="J86" s="22">
        <v>495.09</v>
      </c>
      <c r="K86" s="22">
        <v>446.92</v>
      </c>
      <c r="L86" s="22">
        <v>564.42999999999995</v>
      </c>
      <c r="M86" s="22">
        <v>445.02</v>
      </c>
      <c r="N86" s="22">
        <v>468.93</v>
      </c>
      <c r="O86" s="22">
        <v>469.19</v>
      </c>
      <c r="P86" s="22">
        <v>566.29999999999995</v>
      </c>
      <c r="Q86" s="22">
        <v>450.06</v>
      </c>
      <c r="R86" s="22">
        <v>471.31</v>
      </c>
      <c r="S86" s="22">
        <v>458.89</v>
      </c>
      <c r="T86" s="22">
        <v>553.04</v>
      </c>
      <c r="U86" s="22">
        <v>451.43</v>
      </c>
      <c r="V86" s="22">
        <v>482.67</v>
      </c>
      <c r="W86" s="22">
        <v>469.66</v>
      </c>
    </row>
    <row r="87" spans="2:27" x14ac:dyDescent="0.25">
      <c r="B87" s="22" t="s">
        <v>94</v>
      </c>
      <c r="C87" s="22" t="s">
        <v>23</v>
      </c>
      <c r="D87" s="22" t="s">
        <v>95</v>
      </c>
      <c r="E87" s="22" t="s">
        <v>28</v>
      </c>
      <c r="F87" s="24">
        <v>1.573580593669033</v>
      </c>
      <c r="G87" s="31">
        <v>294.23</v>
      </c>
      <c r="H87" s="31">
        <v>291.58999999999997</v>
      </c>
      <c r="I87" s="31">
        <v>317.38</v>
      </c>
      <c r="J87" s="31">
        <v>311.83999999999997</v>
      </c>
      <c r="K87" s="31">
        <v>296.06</v>
      </c>
      <c r="L87" s="31">
        <v>266.85000000000002</v>
      </c>
      <c r="M87" s="31">
        <v>274.02</v>
      </c>
      <c r="N87" s="31">
        <v>288.72000000000003</v>
      </c>
      <c r="O87" s="31">
        <v>273.99</v>
      </c>
      <c r="P87" s="31">
        <v>278.76</v>
      </c>
      <c r="Q87" s="31">
        <v>287.5</v>
      </c>
      <c r="R87" s="31">
        <v>287.89</v>
      </c>
      <c r="S87" s="31">
        <v>277.33</v>
      </c>
      <c r="T87" s="31">
        <v>269.36</v>
      </c>
      <c r="U87" s="31">
        <v>302.85000000000002</v>
      </c>
      <c r="V87" s="31">
        <v>296.89</v>
      </c>
      <c r="W87" s="34">
        <v>295.37</v>
      </c>
      <c r="X87" s="50">
        <f>SUM(Q87:T87)/SUM(P87:S87)-1</f>
        <v>-8.3077031852087924E-3</v>
      </c>
      <c r="Y87" s="50">
        <f t="shared" ref="Y87" si="61">SUM(R87:U87)/SUM(Q87:T87)-1</f>
        <v>1.3679951518608346E-2</v>
      </c>
      <c r="Z87" s="50">
        <f t="shared" ref="Z87" si="62">SUM(S87:V87)/SUM(R87:U87)-1</f>
        <v>7.9125748397703699E-3</v>
      </c>
      <c r="AA87" s="50">
        <f t="shared" ref="AA87" si="63">SUM(T87:W87)/SUM(S87:V87)-1</f>
        <v>1.5735805936690328E-2</v>
      </c>
    </row>
    <row r="88" spans="2:27" hidden="1" x14ac:dyDescent="0.25">
      <c r="B88" s="22" t="s">
        <v>127</v>
      </c>
      <c r="C88" s="22" t="s">
        <v>26</v>
      </c>
      <c r="D88" s="22" t="s">
        <v>27</v>
      </c>
      <c r="E88" s="22" t="s">
        <v>34</v>
      </c>
      <c r="F88" s="22">
        <v>12.56169324221716</v>
      </c>
      <c r="G88" s="22">
        <v>5274</v>
      </c>
      <c r="H88" s="22">
        <v>4532</v>
      </c>
      <c r="I88" s="22">
        <v>5050</v>
      </c>
      <c r="J88" s="22">
        <v>3263</v>
      </c>
      <c r="K88" s="22">
        <v>4599</v>
      </c>
      <c r="L88" s="22">
        <v>4762</v>
      </c>
      <c r="M88" s="22">
        <v>5130</v>
      </c>
      <c r="N88" s="22">
        <v>3605</v>
      </c>
      <c r="O88" s="22">
        <v>5064</v>
      </c>
      <c r="P88" s="22">
        <v>4584</v>
      </c>
      <c r="Q88" s="22">
        <v>4802</v>
      </c>
      <c r="R88" s="22">
        <v>4087</v>
      </c>
      <c r="S88" s="22">
        <v>5019</v>
      </c>
      <c r="T88" s="22">
        <v>4564</v>
      </c>
      <c r="U88" s="22">
        <v>6452</v>
      </c>
      <c r="V88" s="22">
        <v>5037</v>
      </c>
      <c r="W88" s="23">
        <v>7666</v>
      </c>
    </row>
    <row r="89" spans="2:27" x14ac:dyDescent="0.25">
      <c r="B89" s="22" t="s">
        <v>54</v>
      </c>
      <c r="C89" s="22" t="s">
        <v>23</v>
      </c>
      <c r="D89" s="22" t="s">
        <v>55</v>
      </c>
      <c r="E89" s="22" t="s">
        <v>28</v>
      </c>
      <c r="F89" s="24">
        <v>1.492186085802216</v>
      </c>
      <c r="G89" s="31">
        <v>591.27</v>
      </c>
      <c r="H89" s="31">
        <v>610.78</v>
      </c>
      <c r="I89" s="31">
        <v>697.96</v>
      </c>
      <c r="J89" s="31">
        <v>745.84</v>
      </c>
      <c r="K89" s="31">
        <v>730.17</v>
      </c>
      <c r="L89" s="31">
        <v>750.44</v>
      </c>
      <c r="M89" s="31">
        <v>777.25</v>
      </c>
      <c r="N89" s="31">
        <v>764.77</v>
      </c>
      <c r="O89" s="31">
        <v>799.18</v>
      </c>
      <c r="P89" s="31">
        <v>808.02</v>
      </c>
      <c r="Q89" s="31">
        <v>824.39</v>
      </c>
      <c r="R89" s="31">
        <v>831.15</v>
      </c>
      <c r="S89" s="31">
        <v>802.32</v>
      </c>
      <c r="T89" s="31">
        <v>785.66</v>
      </c>
      <c r="U89" s="31">
        <v>855.46</v>
      </c>
      <c r="V89" s="31">
        <v>871.16</v>
      </c>
      <c r="W89" s="34">
        <v>851.78</v>
      </c>
      <c r="X89" s="50">
        <f t="shared" ref="X89:X113" si="64">SUM(Q89:T89)/SUM(P89:S89)-1</f>
        <v>-6.8465467194140928E-3</v>
      </c>
      <c r="Y89" s="50">
        <f t="shared" ref="Y89:Y113" si="65">SUM(R89:U89)/SUM(Q89:T89)-1</f>
        <v>9.5790992501973982E-3</v>
      </c>
      <c r="Z89" s="50">
        <f t="shared" ref="Z89:Z113" si="66">SUM(S89:V89)/SUM(R89:U89)-1</f>
        <v>1.2218323515310159E-2</v>
      </c>
      <c r="AA89" s="50">
        <f t="shared" ref="AA89:AA113" si="67">SUM(T89:W89)/SUM(S89:V89)-1</f>
        <v>1.492186085802194E-2</v>
      </c>
    </row>
    <row r="90" spans="2:27" x14ac:dyDescent="0.25">
      <c r="B90" s="22" t="s">
        <v>154</v>
      </c>
      <c r="C90" s="22" t="s">
        <v>23</v>
      </c>
      <c r="D90" s="22" t="s">
        <v>155</v>
      </c>
      <c r="E90" s="22" t="s">
        <v>28</v>
      </c>
      <c r="F90" s="24">
        <v>1.2872886186585659</v>
      </c>
      <c r="G90" s="31">
        <v>3569</v>
      </c>
      <c r="H90" s="31">
        <v>3356</v>
      </c>
      <c r="I90" s="31">
        <v>4190</v>
      </c>
      <c r="J90" s="31">
        <v>4372</v>
      </c>
      <c r="K90" s="31">
        <v>4074</v>
      </c>
      <c r="L90" s="31">
        <v>3666</v>
      </c>
      <c r="M90" s="31">
        <v>4705</v>
      </c>
      <c r="N90" s="31">
        <v>4883</v>
      </c>
      <c r="O90" s="31">
        <v>4424</v>
      </c>
      <c r="P90" s="31">
        <v>4216</v>
      </c>
      <c r="Q90" s="31">
        <v>5307</v>
      </c>
      <c r="R90" s="31">
        <v>5441</v>
      </c>
      <c r="S90" s="31">
        <v>4874</v>
      </c>
      <c r="T90" s="31">
        <v>4689</v>
      </c>
      <c r="U90" s="31">
        <v>5746</v>
      </c>
      <c r="V90" s="31">
        <v>5743</v>
      </c>
      <c r="W90" s="34">
        <v>5145</v>
      </c>
      <c r="X90" s="50">
        <f t="shared" si="64"/>
        <v>2.3843129347716596E-2</v>
      </c>
      <c r="Y90" s="50">
        <f t="shared" si="65"/>
        <v>2.1613903795972611E-2</v>
      </c>
      <c r="Z90" s="50">
        <f t="shared" si="66"/>
        <v>1.4554216867469938E-2</v>
      </c>
      <c r="AA90" s="50">
        <f t="shared" si="67"/>
        <v>1.2872886186585664E-2</v>
      </c>
    </row>
    <row r="91" spans="2:27" x14ac:dyDescent="0.25">
      <c r="B91" s="22" t="s">
        <v>156</v>
      </c>
      <c r="C91" s="22" t="s">
        <v>23</v>
      </c>
      <c r="D91" s="22" t="s">
        <v>40</v>
      </c>
      <c r="E91" s="22" t="s">
        <v>28</v>
      </c>
      <c r="F91" s="24">
        <v>1.2845849802371581</v>
      </c>
      <c r="G91" s="31">
        <v>4762</v>
      </c>
      <c r="H91" s="31">
        <v>4999</v>
      </c>
      <c r="I91" s="31">
        <v>5872</v>
      </c>
      <c r="J91" s="31">
        <v>6047</v>
      </c>
      <c r="K91" s="31">
        <v>5231</v>
      </c>
      <c r="L91" s="31">
        <v>5442</v>
      </c>
      <c r="M91" s="31">
        <v>6241</v>
      </c>
      <c r="N91" s="31">
        <v>6117</v>
      </c>
      <c r="O91" s="31">
        <v>5252</v>
      </c>
      <c r="P91" s="31">
        <v>5367</v>
      </c>
      <c r="Q91" s="31">
        <v>6272</v>
      </c>
      <c r="R91" s="31">
        <v>6163</v>
      </c>
      <c r="S91" s="31">
        <v>5297</v>
      </c>
      <c r="T91" s="31">
        <v>5306</v>
      </c>
      <c r="U91" s="31">
        <v>6315</v>
      </c>
      <c r="V91" s="31">
        <v>6358</v>
      </c>
      <c r="W91" s="34">
        <v>5596</v>
      </c>
      <c r="X91" s="50">
        <f t="shared" si="64"/>
        <v>-2.6408069613402807E-3</v>
      </c>
      <c r="Y91" s="50">
        <f t="shared" si="65"/>
        <v>1.8664814654050232E-3</v>
      </c>
      <c r="Z91" s="50">
        <f t="shared" si="66"/>
        <v>8.4485074303539687E-3</v>
      </c>
      <c r="AA91" s="50">
        <f t="shared" si="67"/>
        <v>1.2845849802371578E-2</v>
      </c>
    </row>
    <row r="92" spans="2:27" x14ac:dyDescent="0.25">
      <c r="B92" s="22" t="s">
        <v>126</v>
      </c>
      <c r="C92" s="22" t="s">
        <v>23</v>
      </c>
      <c r="D92" s="22" t="s">
        <v>44</v>
      </c>
      <c r="E92" s="22" t="s">
        <v>28</v>
      </c>
      <c r="F92" s="24">
        <v>1.2533572068039289</v>
      </c>
      <c r="G92" s="31">
        <v>57.65</v>
      </c>
      <c r="H92" s="31">
        <v>61.66</v>
      </c>
      <c r="I92" s="31">
        <v>64.48</v>
      </c>
      <c r="J92" s="31">
        <v>64.91</v>
      </c>
      <c r="K92" s="31">
        <v>63.07</v>
      </c>
      <c r="L92" s="31">
        <v>66.489999999999995</v>
      </c>
      <c r="M92" s="31">
        <v>61.4</v>
      </c>
      <c r="N92" s="31">
        <v>67.59</v>
      </c>
      <c r="O92" s="31">
        <v>78.680000000000007</v>
      </c>
      <c r="P92" s="31">
        <v>80.31</v>
      </c>
      <c r="Q92" s="31">
        <v>78.099999999999994</v>
      </c>
      <c r="R92" s="31">
        <v>79.3</v>
      </c>
      <c r="S92" s="31">
        <v>81.67</v>
      </c>
      <c r="T92" s="31">
        <v>82.62</v>
      </c>
      <c r="U92" s="31">
        <v>84.89</v>
      </c>
      <c r="V92" s="31">
        <v>85.92</v>
      </c>
      <c r="W92" s="34">
        <v>85.87</v>
      </c>
      <c r="X92" s="50">
        <f t="shared" si="64"/>
        <v>7.2327634792410667E-3</v>
      </c>
      <c r="Y92" s="50">
        <f t="shared" si="65"/>
        <v>2.1107277192328189E-2</v>
      </c>
      <c r="Z92" s="50">
        <f t="shared" si="66"/>
        <v>2.0153433999025916E-2</v>
      </c>
      <c r="AA92" s="50">
        <f t="shared" si="67"/>
        <v>1.2533572068039289E-2</v>
      </c>
    </row>
    <row r="93" spans="2:27" x14ac:dyDescent="0.25">
      <c r="B93" s="22" t="s">
        <v>117</v>
      </c>
      <c r="C93" s="22" t="s">
        <v>23</v>
      </c>
      <c r="D93" s="22" t="s">
        <v>118</v>
      </c>
      <c r="E93" s="22" t="s">
        <v>119</v>
      </c>
      <c r="F93" s="24">
        <v>1.2135535609963279</v>
      </c>
      <c r="G93" s="31">
        <v>253.21</v>
      </c>
      <c r="H93" s="31">
        <v>218.58</v>
      </c>
      <c r="I93" s="31">
        <v>257.75</v>
      </c>
      <c r="J93" s="31">
        <v>252.6</v>
      </c>
      <c r="K93" s="31">
        <v>274.33</v>
      </c>
      <c r="L93" s="31">
        <v>238.54</v>
      </c>
      <c r="M93" s="31">
        <v>234.22</v>
      </c>
      <c r="N93" s="31">
        <v>234.11</v>
      </c>
      <c r="O93" s="31">
        <v>291.22000000000003</v>
      </c>
      <c r="P93" s="31">
        <v>271.88</v>
      </c>
      <c r="Q93" s="31">
        <v>269.57</v>
      </c>
      <c r="R93" s="31">
        <v>276.2</v>
      </c>
      <c r="S93" s="31">
        <v>301.07</v>
      </c>
      <c r="T93" s="31">
        <v>260.91000000000003</v>
      </c>
      <c r="U93" s="31">
        <v>269.08</v>
      </c>
      <c r="V93" s="31">
        <v>298.68</v>
      </c>
      <c r="W93" s="34">
        <v>314.77999999999997</v>
      </c>
      <c r="X93" s="50">
        <f t="shared" si="64"/>
        <v>-9.8058495423340997E-3</v>
      </c>
      <c r="Y93" s="50">
        <f t="shared" si="65"/>
        <v>-4.4233807266980119E-4</v>
      </c>
      <c r="Z93" s="50">
        <f t="shared" si="66"/>
        <v>2.030236800751406E-2</v>
      </c>
      <c r="AA93" s="50">
        <f t="shared" si="67"/>
        <v>1.2135535609963277E-2</v>
      </c>
    </row>
    <row r="94" spans="2:27" x14ac:dyDescent="0.25">
      <c r="B94" s="22" t="s">
        <v>50</v>
      </c>
      <c r="C94" s="22" t="s">
        <v>23</v>
      </c>
      <c r="D94" s="22" t="s">
        <v>51</v>
      </c>
      <c r="E94" s="22" t="s">
        <v>28</v>
      </c>
      <c r="F94" s="24">
        <v>1.201356190597203</v>
      </c>
      <c r="G94" s="31">
        <v>407.71</v>
      </c>
      <c r="H94" s="31">
        <v>316.3</v>
      </c>
      <c r="I94" s="31">
        <v>345.99</v>
      </c>
      <c r="J94" s="31">
        <v>331.24</v>
      </c>
      <c r="K94" s="31">
        <v>289.58999999999997</v>
      </c>
      <c r="L94" s="31">
        <v>281.87</v>
      </c>
      <c r="M94" s="31">
        <v>294.08</v>
      </c>
      <c r="N94" s="31">
        <v>312.54000000000002</v>
      </c>
      <c r="O94" s="31">
        <v>288.94</v>
      </c>
      <c r="P94" s="31">
        <v>288.11</v>
      </c>
      <c r="Q94" s="31">
        <v>286.02</v>
      </c>
      <c r="R94" s="31">
        <v>306.76</v>
      </c>
      <c r="S94" s="31">
        <v>306.93</v>
      </c>
      <c r="T94" s="31">
        <v>309.12</v>
      </c>
      <c r="U94" s="31">
        <v>310.64999999999998</v>
      </c>
      <c r="V94" s="31">
        <v>332.71</v>
      </c>
      <c r="W94" s="34">
        <v>322.06</v>
      </c>
      <c r="X94" s="50">
        <f t="shared" si="64"/>
        <v>1.7687865164755623E-2</v>
      </c>
      <c r="Y94" s="50">
        <f t="shared" si="65"/>
        <v>2.0375073418098522E-2</v>
      </c>
      <c r="Z94" s="50">
        <f t="shared" si="66"/>
        <v>2.1038379842070132E-2</v>
      </c>
      <c r="AA94" s="50">
        <f t="shared" si="67"/>
        <v>1.2013561905972026E-2</v>
      </c>
    </row>
    <row r="95" spans="2:27" x14ac:dyDescent="0.25">
      <c r="B95" s="22" t="s">
        <v>128</v>
      </c>
      <c r="C95" s="22" t="s">
        <v>23</v>
      </c>
      <c r="D95" s="22" t="s">
        <v>95</v>
      </c>
      <c r="E95" s="22" t="s">
        <v>28</v>
      </c>
      <c r="F95" s="24">
        <v>1.0865692910580591</v>
      </c>
      <c r="G95" s="31">
        <v>1575</v>
      </c>
      <c r="H95" s="31">
        <v>1621</v>
      </c>
      <c r="I95" s="31">
        <v>1747</v>
      </c>
      <c r="J95" s="31">
        <v>1675</v>
      </c>
      <c r="K95" s="31">
        <v>1562</v>
      </c>
      <c r="L95" s="31">
        <v>1429</v>
      </c>
      <c r="M95" s="31">
        <v>1347</v>
      </c>
      <c r="N95" s="31">
        <v>1352</v>
      </c>
      <c r="O95" s="31">
        <v>1372</v>
      </c>
      <c r="P95" s="31">
        <v>1319</v>
      </c>
      <c r="Q95" s="31">
        <v>1317</v>
      </c>
      <c r="R95" s="31">
        <v>1316</v>
      </c>
      <c r="S95" s="31">
        <v>1339</v>
      </c>
      <c r="T95" s="31">
        <v>1402</v>
      </c>
      <c r="U95" s="31">
        <v>1421</v>
      </c>
      <c r="V95" s="31">
        <v>1452</v>
      </c>
      <c r="W95" s="34">
        <v>1400</v>
      </c>
      <c r="X95" s="50">
        <f t="shared" si="64"/>
        <v>1.5687015687015693E-2</v>
      </c>
      <c r="Y95" s="50">
        <f t="shared" si="65"/>
        <v>1.9352437662820909E-2</v>
      </c>
      <c r="Z95" s="50">
        <f t="shared" si="66"/>
        <v>2.4826579043446539E-2</v>
      </c>
      <c r="AA95" s="50">
        <f t="shared" si="67"/>
        <v>1.0865692910580593E-2</v>
      </c>
    </row>
    <row r="96" spans="2:27" x14ac:dyDescent="0.25">
      <c r="B96" s="22" t="s">
        <v>139</v>
      </c>
      <c r="C96" s="22" t="s">
        <v>23</v>
      </c>
      <c r="D96" s="22" t="s">
        <v>140</v>
      </c>
      <c r="E96" s="22" t="s">
        <v>28</v>
      </c>
      <c r="F96" s="24">
        <v>0.97895378068346695</v>
      </c>
      <c r="G96" s="31">
        <v>34410</v>
      </c>
      <c r="H96" s="31">
        <v>37119</v>
      </c>
      <c r="I96" s="31">
        <v>50387</v>
      </c>
      <c r="J96" s="31">
        <v>43241</v>
      </c>
      <c r="K96" s="31">
        <v>40442</v>
      </c>
      <c r="L96" s="31">
        <v>35017</v>
      </c>
      <c r="M96" s="31">
        <v>33060</v>
      </c>
      <c r="N96" s="31">
        <v>36936</v>
      </c>
      <c r="O96" s="31">
        <v>33988</v>
      </c>
      <c r="P96" s="31">
        <v>30372</v>
      </c>
      <c r="Q96" s="31">
        <v>33034</v>
      </c>
      <c r="R96" s="31">
        <v>31337</v>
      </c>
      <c r="S96" s="31">
        <v>29231</v>
      </c>
      <c r="T96" s="31">
        <v>28754</v>
      </c>
      <c r="U96" s="31">
        <v>28227</v>
      </c>
      <c r="V96" s="31">
        <v>30341</v>
      </c>
      <c r="W96" s="34">
        <v>30372</v>
      </c>
      <c r="X96" s="50">
        <f t="shared" si="64"/>
        <v>-1.3051123622695116E-2</v>
      </c>
      <c r="Y96" s="50">
        <f t="shared" si="65"/>
        <v>-3.9286998594265876E-2</v>
      </c>
      <c r="Z96" s="50">
        <f t="shared" si="66"/>
        <v>-8.4730622974249492E-3</v>
      </c>
      <c r="AA96" s="50">
        <f t="shared" si="67"/>
        <v>9.7895378068346695E-3</v>
      </c>
    </row>
    <row r="97" spans="2:27" x14ac:dyDescent="0.25">
      <c r="B97" s="22" t="s">
        <v>226</v>
      </c>
      <c r="C97" s="22" t="s">
        <v>23</v>
      </c>
      <c r="D97" s="22" t="s">
        <v>162</v>
      </c>
      <c r="E97" s="22" t="s">
        <v>28</v>
      </c>
      <c r="F97" s="24">
        <v>0.88075880758806679</v>
      </c>
      <c r="G97" s="31">
        <v>1792</v>
      </c>
      <c r="H97" s="31">
        <v>1946</v>
      </c>
      <c r="I97" s="31">
        <v>2066</v>
      </c>
      <c r="J97" s="31">
        <v>2067</v>
      </c>
      <c r="K97" s="31">
        <v>2204</v>
      </c>
      <c r="L97" s="31">
        <v>2268</v>
      </c>
      <c r="M97" s="31">
        <v>2413</v>
      </c>
      <c r="N97" s="31">
        <v>2510</v>
      </c>
      <c r="O97" s="31">
        <v>2467</v>
      </c>
      <c r="P97" s="31">
        <v>2544</v>
      </c>
      <c r="Q97" s="31">
        <v>2847</v>
      </c>
      <c r="R97" s="31">
        <v>2741</v>
      </c>
      <c r="S97" s="31">
        <v>2598</v>
      </c>
      <c r="T97" s="31">
        <v>2313</v>
      </c>
      <c r="U97" s="31">
        <v>2732</v>
      </c>
      <c r="V97" s="31">
        <v>2689</v>
      </c>
      <c r="W97" s="34">
        <v>2689</v>
      </c>
      <c r="X97" s="50">
        <f t="shared" si="64"/>
        <v>-2.1528424976700822E-2</v>
      </c>
      <c r="Y97" s="50">
        <f t="shared" si="65"/>
        <v>-1.095342413563194E-2</v>
      </c>
      <c r="Z97" s="50">
        <f t="shared" si="66"/>
        <v>-5.00770416024654E-3</v>
      </c>
      <c r="AA97" s="50">
        <f t="shared" si="67"/>
        <v>8.8075880758806679E-3</v>
      </c>
    </row>
    <row r="98" spans="2:27" x14ac:dyDescent="0.25">
      <c r="B98" s="22" t="s">
        <v>163</v>
      </c>
      <c r="C98" s="22" t="s">
        <v>23</v>
      </c>
      <c r="D98" s="22" t="s">
        <v>164</v>
      </c>
      <c r="E98" s="22" t="s">
        <v>28</v>
      </c>
      <c r="F98" s="24">
        <v>0.83849399901354538</v>
      </c>
      <c r="G98" s="31">
        <v>7981</v>
      </c>
      <c r="H98" s="31">
        <v>6773</v>
      </c>
      <c r="I98" s="31">
        <v>7205</v>
      </c>
      <c r="J98" s="31">
        <v>7478</v>
      </c>
      <c r="K98" s="31">
        <v>8064</v>
      </c>
      <c r="L98" s="31">
        <v>7442</v>
      </c>
      <c r="M98" s="31">
        <v>7552</v>
      </c>
      <c r="N98" s="31">
        <v>7744</v>
      </c>
      <c r="O98" s="31">
        <v>8468</v>
      </c>
      <c r="P98" s="31">
        <v>8041</v>
      </c>
      <c r="Q98" s="31">
        <v>8288</v>
      </c>
      <c r="R98" s="31">
        <v>8470</v>
      </c>
      <c r="S98" s="31">
        <v>9378</v>
      </c>
      <c r="T98" s="31">
        <v>9013</v>
      </c>
      <c r="U98" s="31">
        <v>9027</v>
      </c>
      <c r="V98" s="31">
        <v>9076</v>
      </c>
      <c r="W98" s="34">
        <v>9684</v>
      </c>
      <c r="X98" s="50">
        <f t="shared" si="64"/>
        <v>2.8440179067794169E-2</v>
      </c>
      <c r="Y98" s="50">
        <f t="shared" si="65"/>
        <v>2.1024780221343464E-2</v>
      </c>
      <c r="Z98" s="50">
        <f t="shared" si="66"/>
        <v>1.688586714222029E-2</v>
      </c>
      <c r="AA98" s="50">
        <f t="shared" si="67"/>
        <v>8.3849399901354538E-3</v>
      </c>
    </row>
    <row r="99" spans="2:27" x14ac:dyDescent="0.25">
      <c r="B99" s="22" t="s">
        <v>151</v>
      </c>
      <c r="C99" s="22" t="s">
        <v>23</v>
      </c>
      <c r="D99" s="22" t="s">
        <v>98</v>
      </c>
      <c r="E99" s="22" t="s">
        <v>25</v>
      </c>
      <c r="F99" s="24">
        <v>0.80519480519480879</v>
      </c>
      <c r="G99" s="31">
        <v>3319</v>
      </c>
      <c r="H99" s="31">
        <v>3024</v>
      </c>
      <c r="I99" s="31">
        <v>3903</v>
      </c>
      <c r="J99" s="31">
        <v>3271</v>
      </c>
      <c r="K99" s="31">
        <v>4006</v>
      </c>
      <c r="L99" s="31">
        <v>3299</v>
      </c>
      <c r="M99" s="31">
        <v>4185</v>
      </c>
      <c r="N99" s="31">
        <v>3412</v>
      </c>
      <c r="O99" s="31">
        <v>3660</v>
      </c>
      <c r="P99" s="31">
        <v>3395</v>
      </c>
      <c r="Q99" s="31">
        <v>4247</v>
      </c>
      <c r="R99" s="31">
        <v>3468</v>
      </c>
      <c r="S99" s="31">
        <v>3774</v>
      </c>
      <c r="T99" s="31">
        <v>3467</v>
      </c>
      <c r="U99" s="31">
        <v>4440</v>
      </c>
      <c r="V99" s="31">
        <v>3719</v>
      </c>
      <c r="W99" s="34">
        <v>3898</v>
      </c>
      <c r="X99" s="50">
        <f t="shared" si="64"/>
        <v>4.8374092985756789E-3</v>
      </c>
      <c r="Y99" s="50">
        <f t="shared" si="65"/>
        <v>1.2904519925113656E-2</v>
      </c>
      <c r="Z99" s="50">
        <f t="shared" si="66"/>
        <v>1.6568750412568445E-2</v>
      </c>
      <c r="AA99" s="50">
        <f t="shared" si="67"/>
        <v>8.0519480519480879E-3</v>
      </c>
    </row>
    <row r="100" spans="2:27" x14ac:dyDescent="0.25">
      <c r="B100" s="22" t="s">
        <v>205</v>
      </c>
      <c r="C100" s="22" t="s">
        <v>23</v>
      </c>
      <c r="D100" s="22" t="s">
        <v>44</v>
      </c>
      <c r="E100" s="22" t="s">
        <v>28</v>
      </c>
      <c r="F100" s="24">
        <v>0.65557816508892142</v>
      </c>
      <c r="G100" s="31">
        <v>240.8</v>
      </c>
      <c r="H100" s="31">
        <v>243.57</v>
      </c>
      <c r="I100" s="31">
        <v>249.44</v>
      </c>
      <c r="J100" s="31">
        <v>259.32</v>
      </c>
      <c r="K100" s="31">
        <v>239.64</v>
      </c>
      <c r="L100" s="31">
        <v>217.97</v>
      </c>
      <c r="M100" s="31">
        <v>231.37</v>
      </c>
      <c r="N100" s="31">
        <v>246.47</v>
      </c>
      <c r="O100" s="31">
        <v>241.3</v>
      </c>
      <c r="P100" s="31">
        <v>246.16</v>
      </c>
      <c r="Q100" s="31">
        <v>281.86</v>
      </c>
      <c r="R100" s="31">
        <v>277.66000000000003</v>
      </c>
      <c r="S100" s="31">
        <v>276.77</v>
      </c>
      <c r="T100" s="31">
        <v>263.97000000000003</v>
      </c>
      <c r="U100" s="31">
        <v>297.95</v>
      </c>
      <c r="V100" s="31">
        <v>291.61</v>
      </c>
      <c r="W100" s="34">
        <v>284.18</v>
      </c>
      <c r="X100" s="50">
        <f t="shared" si="64"/>
        <v>1.6453415862164533E-2</v>
      </c>
      <c r="Y100" s="50">
        <f t="shared" si="65"/>
        <v>1.4623816188900962E-2</v>
      </c>
      <c r="Z100" s="50">
        <f t="shared" si="66"/>
        <v>1.2496080978187774E-2</v>
      </c>
      <c r="AA100" s="50">
        <f t="shared" si="67"/>
        <v>6.5557816508889921E-3</v>
      </c>
    </row>
    <row r="101" spans="2:27" x14ac:dyDescent="0.25">
      <c r="B101" s="22" t="s">
        <v>219</v>
      </c>
      <c r="C101" s="22" t="s">
        <v>23</v>
      </c>
      <c r="D101" s="22" t="s">
        <v>145</v>
      </c>
      <c r="E101" s="22" t="s">
        <v>25</v>
      </c>
      <c r="F101" s="24">
        <v>0.6339917093391767</v>
      </c>
      <c r="G101" s="31">
        <v>1471</v>
      </c>
      <c r="H101" s="31">
        <v>1436</v>
      </c>
      <c r="I101" s="31">
        <v>1003</v>
      </c>
      <c r="J101" s="31">
        <v>953.2</v>
      </c>
      <c r="K101" s="31">
        <v>1074</v>
      </c>
      <c r="L101" s="31">
        <v>1027</v>
      </c>
      <c r="M101" s="31">
        <v>984.4</v>
      </c>
      <c r="N101" s="31">
        <v>945.3</v>
      </c>
      <c r="O101" s="31">
        <v>1013</v>
      </c>
      <c r="P101" s="31">
        <v>1018</v>
      </c>
      <c r="Q101" s="31">
        <v>1011</v>
      </c>
      <c r="R101" s="31">
        <v>988</v>
      </c>
      <c r="S101" s="31">
        <v>1022</v>
      </c>
      <c r="T101" s="31">
        <v>1005</v>
      </c>
      <c r="U101" s="31">
        <v>1024</v>
      </c>
      <c r="V101" s="31">
        <v>1050</v>
      </c>
      <c r="W101" s="34">
        <v>1048</v>
      </c>
      <c r="X101" s="50">
        <f t="shared" si="64"/>
        <v>-3.2186184699183329E-3</v>
      </c>
      <c r="Y101" s="50">
        <f t="shared" si="65"/>
        <v>3.2290114257327307E-3</v>
      </c>
      <c r="Z101" s="50">
        <f t="shared" si="66"/>
        <v>1.5350334241148733E-2</v>
      </c>
      <c r="AA101" s="50">
        <f t="shared" si="67"/>
        <v>6.339917093391767E-3</v>
      </c>
    </row>
    <row r="102" spans="2:27" x14ac:dyDescent="0.25">
      <c r="B102" s="22" t="s">
        <v>141</v>
      </c>
      <c r="C102" s="22" t="s">
        <v>23</v>
      </c>
      <c r="D102" s="22" t="s">
        <v>142</v>
      </c>
      <c r="E102" s="22" t="s">
        <v>28</v>
      </c>
      <c r="F102" s="24">
        <v>0.61214495592556428</v>
      </c>
      <c r="G102" s="31">
        <v>1467</v>
      </c>
      <c r="H102" s="31">
        <v>1535</v>
      </c>
      <c r="I102" s="31">
        <v>1552</v>
      </c>
      <c r="J102" s="31">
        <v>1557</v>
      </c>
      <c r="K102" s="31">
        <v>1582</v>
      </c>
      <c r="L102" s="31">
        <v>1533</v>
      </c>
      <c r="M102" s="31">
        <v>1433</v>
      </c>
      <c r="N102" s="31">
        <v>1451</v>
      </c>
      <c r="O102" s="31">
        <v>1647</v>
      </c>
      <c r="P102" s="31">
        <v>1677</v>
      </c>
      <c r="Q102" s="31">
        <v>1792</v>
      </c>
      <c r="R102" s="31">
        <v>1902</v>
      </c>
      <c r="S102" s="31">
        <v>2030</v>
      </c>
      <c r="T102" s="31">
        <v>2090</v>
      </c>
      <c r="U102" s="31">
        <v>2090</v>
      </c>
      <c r="V102" s="31">
        <v>1958</v>
      </c>
      <c r="W102" s="34">
        <v>2080</v>
      </c>
      <c r="X102" s="50">
        <f t="shared" si="64"/>
        <v>5.5803269828401669E-2</v>
      </c>
      <c r="Y102" s="50">
        <f t="shared" si="65"/>
        <v>3.8136677757870441E-2</v>
      </c>
      <c r="Z102" s="50">
        <f t="shared" si="66"/>
        <v>6.9033530571991353E-3</v>
      </c>
      <c r="AA102" s="50">
        <f t="shared" si="67"/>
        <v>6.1214495592556428E-3</v>
      </c>
    </row>
    <row r="103" spans="2:27" x14ac:dyDescent="0.25">
      <c r="B103" s="22" t="s">
        <v>132</v>
      </c>
      <c r="C103" s="22" t="s">
        <v>23</v>
      </c>
      <c r="D103" s="22" t="s">
        <v>133</v>
      </c>
      <c r="E103" s="22" t="s">
        <v>134</v>
      </c>
      <c r="F103" s="24">
        <v>0.57497700091997395</v>
      </c>
      <c r="G103" s="31">
        <v>4350</v>
      </c>
      <c r="H103" s="31">
        <v>4103</v>
      </c>
      <c r="I103" s="31">
        <v>4135</v>
      </c>
      <c r="J103" s="31">
        <v>4246</v>
      </c>
      <c r="K103" s="31">
        <v>4578</v>
      </c>
      <c r="L103" s="31">
        <v>4471</v>
      </c>
      <c r="M103" s="31">
        <v>4693</v>
      </c>
      <c r="N103" s="31">
        <v>4915</v>
      </c>
      <c r="O103" s="31">
        <v>5340</v>
      </c>
      <c r="P103" s="31">
        <v>5211</v>
      </c>
      <c r="Q103" s="31">
        <v>5299</v>
      </c>
      <c r="R103" s="31">
        <v>5292</v>
      </c>
      <c r="S103" s="31">
        <v>5523</v>
      </c>
      <c r="T103" s="31">
        <v>5132</v>
      </c>
      <c r="U103" s="31">
        <v>5426</v>
      </c>
      <c r="V103" s="31">
        <v>5659</v>
      </c>
      <c r="W103" s="34">
        <v>5648</v>
      </c>
      <c r="X103" s="50">
        <f t="shared" si="64"/>
        <v>-3.7045720984759667E-3</v>
      </c>
      <c r="Y103" s="50">
        <f t="shared" si="65"/>
        <v>5.9775957827354897E-3</v>
      </c>
      <c r="Z103" s="50">
        <f t="shared" si="66"/>
        <v>1.7171197305011043E-2</v>
      </c>
      <c r="AA103" s="50">
        <f t="shared" si="67"/>
        <v>5.7497700091997395E-3</v>
      </c>
    </row>
    <row r="104" spans="2:27" x14ac:dyDescent="0.25">
      <c r="B104" s="22" t="s">
        <v>69</v>
      </c>
      <c r="C104" s="22" t="s">
        <v>23</v>
      </c>
      <c r="D104" s="22" t="s">
        <v>44</v>
      </c>
      <c r="E104" s="22" t="s">
        <v>28</v>
      </c>
      <c r="F104" s="24">
        <v>0.57152687514336886</v>
      </c>
      <c r="G104" s="31">
        <v>78.760000000000005</v>
      </c>
      <c r="H104" s="31">
        <v>76.459999999999994</v>
      </c>
      <c r="I104" s="31">
        <v>83.97</v>
      </c>
      <c r="J104" s="31">
        <v>87.26</v>
      </c>
      <c r="K104" s="31">
        <v>0</v>
      </c>
      <c r="L104" s="32">
        <v>112.9</v>
      </c>
      <c r="M104" s="32">
        <v>116.1</v>
      </c>
      <c r="N104" s="31">
        <v>113.91</v>
      </c>
      <c r="O104" s="32">
        <v>104.83</v>
      </c>
      <c r="P104" s="31">
        <v>121.63</v>
      </c>
      <c r="Q104" s="31">
        <v>123.27</v>
      </c>
      <c r="R104" s="31">
        <v>122.29</v>
      </c>
      <c r="S104" s="31">
        <v>128.19999999999999</v>
      </c>
      <c r="T104" s="31">
        <v>128.53</v>
      </c>
      <c r="U104" s="31">
        <v>136.87</v>
      </c>
      <c r="V104" s="31">
        <v>129.56</v>
      </c>
      <c r="W104" s="34">
        <v>131.19</v>
      </c>
      <c r="X104" s="50">
        <f t="shared" si="64"/>
        <v>1.392842003270145E-2</v>
      </c>
      <c r="Y104" s="50">
        <f t="shared" si="65"/>
        <v>2.7075991956837742E-2</v>
      </c>
      <c r="Z104" s="50">
        <f t="shared" si="66"/>
        <v>1.4092151427630206E-2</v>
      </c>
      <c r="AA104" s="50">
        <f t="shared" si="67"/>
        <v>5.7152687514334666E-3</v>
      </c>
    </row>
    <row r="105" spans="2:27" x14ac:dyDescent="0.25">
      <c r="B105" s="22" t="s">
        <v>203</v>
      </c>
      <c r="C105" s="22" t="s">
        <v>23</v>
      </c>
      <c r="D105" s="22" t="s">
        <v>72</v>
      </c>
      <c r="E105" s="22" t="s">
        <v>28</v>
      </c>
      <c r="F105" s="24">
        <v>0.42988076891881111</v>
      </c>
      <c r="G105" s="31">
        <v>398.7</v>
      </c>
      <c r="H105" s="31">
        <v>395.9</v>
      </c>
      <c r="I105" s="31">
        <v>271</v>
      </c>
      <c r="J105" s="31">
        <v>238.2</v>
      </c>
      <c r="K105" s="31">
        <v>279.3</v>
      </c>
      <c r="L105" s="31">
        <v>262</v>
      </c>
      <c r="M105" s="31">
        <v>164.6</v>
      </c>
      <c r="N105" s="31">
        <v>223.5</v>
      </c>
      <c r="O105" s="31">
        <v>249.1</v>
      </c>
      <c r="P105" s="31">
        <v>229.5</v>
      </c>
      <c r="Q105" s="31">
        <v>113.1</v>
      </c>
      <c r="R105" s="31">
        <v>254.4</v>
      </c>
      <c r="S105" s="31">
        <v>331.2</v>
      </c>
      <c r="T105" s="31">
        <v>294.5</v>
      </c>
      <c r="U105" s="32">
        <v>293.10000000000002</v>
      </c>
      <c r="V105" s="31">
        <v>314.10000000000002</v>
      </c>
      <c r="W105" s="34">
        <v>336.5</v>
      </c>
      <c r="X105" s="50">
        <f t="shared" si="64"/>
        <v>7.0028011204481766E-2</v>
      </c>
      <c r="Y105" s="50">
        <f t="shared" si="65"/>
        <v>0.18123238018525978</v>
      </c>
      <c r="Z105" s="50">
        <f t="shared" si="66"/>
        <v>5.0886464370951234E-2</v>
      </c>
      <c r="AA105" s="50">
        <f t="shared" si="67"/>
        <v>4.2988076891881111E-3</v>
      </c>
    </row>
    <row r="106" spans="2:27" x14ac:dyDescent="0.25">
      <c r="B106" s="22" t="s">
        <v>178</v>
      </c>
      <c r="C106" s="22" t="s">
        <v>23</v>
      </c>
      <c r="D106" s="22" t="s">
        <v>179</v>
      </c>
      <c r="E106" s="22" t="s">
        <v>28</v>
      </c>
      <c r="F106" s="24">
        <v>0.32113662903854312</v>
      </c>
      <c r="G106" s="31">
        <v>30336</v>
      </c>
      <c r="H106" s="31">
        <v>31010</v>
      </c>
      <c r="I106" s="31">
        <v>30016</v>
      </c>
      <c r="J106" s="31">
        <v>29849</v>
      </c>
      <c r="K106" s="31">
        <v>30553</v>
      </c>
      <c r="L106" s="31">
        <v>29691</v>
      </c>
      <c r="M106" s="31">
        <v>30513</v>
      </c>
      <c r="N106" s="31">
        <v>30115</v>
      </c>
      <c r="O106" s="31">
        <v>31253</v>
      </c>
      <c r="P106" s="31">
        <v>30058</v>
      </c>
      <c r="Q106" s="31">
        <v>29688</v>
      </c>
      <c r="R106" s="31">
        <v>32070</v>
      </c>
      <c r="S106" s="31">
        <v>31914</v>
      </c>
      <c r="T106" s="31">
        <v>29887</v>
      </c>
      <c r="U106" s="31">
        <v>30313</v>
      </c>
      <c r="V106" s="31">
        <v>31198</v>
      </c>
      <c r="W106" s="34">
        <v>32310</v>
      </c>
      <c r="X106" s="50">
        <f t="shared" si="64"/>
        <v>-1.382041542067447E-3</v>
      </c>
      <c r="Y106" s="50">
        <f t="shared" si="65"/>
        <v>5.0583122233103239E-3</v>
      </c>
      <c r="Z106" s="50">
        <f t="shared" si="66"/>
        <v>-7.0218385621335644E-3</v>
      </c>
      <c r="AA106" s="50">
        <f t="shared" si="67"/>
        <v>3.2113662903854312E-3</v>
      </c>
    </row>
    <row r="107" spans="2:27" x14ac:dyDescent="0.25">
      <c r="B107" s="22" t="s">
        <v>207</v>
      </c>
      <c r="C107" s="22" t="s">
        <v>23</v>
      </c>
      <c r="D107" s="22" t="s">
        <v>208</v>
      </c>
      <c r="E107" s="22" t="s">
        <v>28</v>
      </c>
      <c r="F107" s="24">
        <v>0.15085633152898131</v>
      </c>
      <c r="G107" s="31">
        <v>0</v>
      </c>
      <c r="H107" s="31">
        <v>3844</v>
      </c>
      <c r="I107" s="31">
        <v>4145</v>
      </c>
      <c r="J107" s="31">
        <v>4163</v>
      </c>
      <c r="K107" s="32">
        <v>4069</v>
      </c>
      <c r="L107" s="31">
        <v>4130</v>
      </c>
      <c r="M107" s="31">
        <v>4559</v>
      </c>
      <c r="N107" s="31">
        <v>4705</v>
      </c>
      <c r="O107" s="31">
        <v>4480</v>
      </c>
      <c r="P107" s="31">
        <v>4471</v>
      </c>
      <c r="Q107" s="31">
        <v>4696</v>
      </c>
      <c r="R107" s="31">
        <v>5221</v>
      </c>
      <c r="S107" s="31">
        <v>5546</v>
      </c>
      <c r="T107" s="31">
        <v>5505</v>
      </c>
      <c r="U107" s="31">
        <v>5704</v>
      </c>
      <c r="V107" s="31">
        <v>5783</v>
      </c>
      <c r="W107" s="34">
        <v>5580</v>
      </c>
      <c r="X107" s="50">
        <f t="shared" si="64"/>
        <v>5.1871174877094361E-2</v>
      </c>
      <c r="Y107" s="50">
        <f t="shared" si="65"/>
        <v>4.8073254483021799E-2</v>
      </c>
      <c r="Z107" s="50">
        <f t="shared" si="66"/>
        <v>2.557335274845296E-2</v>
      </c>
      <c r="AA107" s="50">
        <f t="shared" si="67"/>
        <v>1.5085633152898126E-3</v>
      </c>
    </row>
    <row r="108" spans="2:27" x14ac:dyDescent="0.25">
      <c r="B108" s="22" t="s">
        <v>39</v>
      </c>
      <c r="C108" s="22" t="s">
        <v>23</v>
      </c>
      <c r="D108" s="22" t="s">
        <v>40</v>
      </c>
      <c r="E108" s="22" t="s">
        <v>28</v>
      </c>
      <c r="F108" s="24">
        <v>6.7593665507925671E-2</v>
      </c>
      <c r="G108" s="31">
        <v>476.9</v>
      </c>
      <c r="H108" s="31">
        <v>519.1</v>
      </c>
      <c r="I108" s="31">
        <v>557</v>
      </c>
      <c r="J108" s="31">
        <v>541.9</v>
      </c>
      <c r="K108" s="31">
        <v>507.6</v>
      </c>
      <c r="L108" s="31">
        <v>546.1</v>
      </c>
      <c r="M108" s="31">
        <v>551.5</v>
      </c>
      <c r="N108" s="31">
        <v>547.79999999999995</v>
      </c>
      <c r="O108" s="31">
        <v>524.5</v>
      </c>
      <c r="P108" s="31">
        <v>534.5</v>
      </c>
      <c r="Q108" s="31">
        <v>541.20000000000005</v>
      </c>
      <c r="R108" s="31">
        <v>524.70000000000005</v>
      </c>
      <c r="S108" s="31">
        <v>518.1</v>
      </c>
      <c r="T108" s="31">
        <v>491.8</v>
      </c>
      <c r="U108" s="31">
        <v>528.9</v>
      </c>
      <c r="V108" s="31">
        <v>532.4</v>
      </c>
      <c r="W108" s="34">
        <v>519.5</v>
      </c>
      <c r="X108" s="50">
        <f t="shared" si="64"/>
        <v>-2.0155770592400146E-2</v>
      </c>
      <c r="Y108" s="50">
        <f t="shared" si="65"/>
        <v>-5.9254263416514963E-3</v>
      </c>
      <c r="Z108" s="50">
        <f t="shared" si="66"/>
        <v>3.7315241095228213E-3</v>
      </c>
      <c r="AA108" s="50">
        <f t="shared" si="67"/>
        <v>6.7593665507903467E-4</v>
      </c>
    </row>
    <row r="109" spans="2:27" x14ac:dyDescent="0.25">
      <c r="B109" s="22" t="s">
        <v>116</v>
      </c>
      <c r="C109" s="22" t="s">
        <v>23</v>
      </c>
      <c r="D109" s="22" t="s">
        <v>76</v>
      </c>
      <c r="E109" s="22" t="s">
        <v>28</v>
      </c>
      <c r="F109" s="24">
        <v>2.6111024074237932E-3</v>
      </c>
      <c r="G109" s="31">
        <v>995.5</v>
      </c>
      <c r="H109" s="31">
        <v>977.7</v>
      </c>
      <c r="I109" s="31">
        <v>965.9</v>
      </c>
      <c r="J109" s="31">
        <v>874.2</v>
      </c>
      <c r="K109" s="31">
        <v>936.1</v>
      </c>
      <c r="L109" s="31">
        <v>966.4</v>
      </c>
      <c r="M109" s="31">
        <v>960.8</v>
      </c>
      <c r="N109" s="31">
        <v>937.5</v>
      </c>
      <c r="O109" s="31">
        <v>988.1</v>
      </c>
      <c r="P109" s="31">
        <v>978.8</v>
      </c>
      <c r="Q109" s="31">
        <v>1024</v>
      </c>
      <c r="R109" s="31">
        <v>902.6</v>
      </c>
      <c r="S109" s="31">
        <v>912.4</v>
      </c>
      <c r="T109" s="31">
        <v>963.9</v>
      </c>
      <c r="U109" s="31">
        <v>1011</v>
      </c>
      <c r="V109" s="31">
        <v>942.5</v>
      </c>
      <c r="W109" s="34">
        <v>912.5</v>
      </c>
      <c r="X109" s="50">
        <f t="shared" si="64"/>
        <v>-3.9027712295038874E-3</v>
      </c>
      <c r="Y109" s="50">
        <f t="shared" si="65"/>
        <v>-3.418443819190653E-3</v>
      </c>
      <c r="Z109" s="50">
        <f t="shared" si="66"/>
        <v>1.0527982268661473E-2</v>
      </c>
      <c r="AA109" s="50">
        <f t="shared" si="67"/>
        <v>2.6111024074237932E-5</v>
      </c>
    </row>
    <row r="110" spans="2:27" x14ac:dyDescent="0.25">
      <c r="B110" s="22" t="s">
        <v>52</v>
      </c>
      <c r="C110" s="22" t="s">
        <v>23</v>
      </c>
      <c r="D110" s="22" t="s">
        <v>53</v>
      </c>
      <c r="E110" s="22" t="s">
        <v>28</v>
      </c>
      <c r="F110" s="24">
        <v>-8.8417329796641742E-2</v>
      </c>
      <c r="G110" s="31">
        <v>2430</v>
      </c>
      <c r="H110" s="31">
        <v>2461</v>
      </c>
      <c r="I110" s="31">
        <v>2616</v>
      </c>
      <c r="J110" s="31">
        <v>2322</v>
      </c>
      <c r="K110" s="31">
        <v>1977</v>
      </c>
      <c r="L110" s="31">
        <v>1844</v>
      </c>
      <c r="M110" s="31">
        <v>1703</v>
      </c>
      <c r="N110" s="31">
        <v>1671</v>
      </c>
      <c r="O110" s="31">
        <v>1615</v>
      </c>
      <c r="P110" s="31">
        <v>1635</v>
      </c>
      <c r="Q110" s="31">
        <v>1644</v>
      </c>
      <c r="R110" s="31">
        <v>1590</v>
      </c>
      <c r="S110" s="31">
        <v>1671</v>
      </c>
      <c r="T110" s="31">
        <v>1644</v>
      </c>
      <c r="U110" s="31">
        <v>1758</v>
      </c>
      <c r="V110" s="31">
        <v>1713</v>
      </c>
      <c r="W110" s="34">
        <v>1665</v>
      </c>
      <c r="X110" s="50">
        <f t="shared" si="64"/>
        <v>1.3761467889907841E-3</v>
      </c>
      <c r="Y110" s="50">
        <f t="shared" si="65"/>
        <v>1.7407237746220883E-2</v>
      </c>
      <c r="Z110" s="50">
        <f t="shared" si="66"/>
        <v>1.8460153084196351E-2</v>
      </c>
      <c r="AA110" s="50">
        <f t="shared" si="67"/>
        <v>-8.8417329796641742E-4</v>
      </c>
    </row>
    <row r="111" spans="2:27" x14ac:dyDescent="0.25">
      <c r="B111" s="22" t="s">
        <v>190</v>
      </c>
      <c r="C111" s="22" t="s">
        <v>23</v>
      </c>
      <c r="D111" s="22" t="s">
        <v>191</v>
      </c>
      <c r="E111" s="22" t="s">
        <v>28</v>
      </c>
      <c r="F111" s="24">
        <v>-8.9929229606255934E-2</v>
      </c>
      <c r="G111" s="31">
        <v>462.94</v>
      </c>
      <c r="H111" s="31">
        <v>413.12</v>
      </c>
      <c r="I111" s="31">
        <v>561.39</v>
      </c>
      <c r="J111" s="31">
        <v>605.07000000000005</v>
      </c>
      <c r="K111" s="31">
        <v>511.49</v>
      </c>
      <c r="L111" s="31">
        <v>470.13</v>
      </c>
      <c r="M111" s="31">
        <v>601.52</v>
      </c>
      <c r="N111" s="31">
        <v>622.24</v>
      </c>
      <c r="O111" s="31">
        <v>558.83000000000004</v>
      </c>
      <c r="P111" s="31">
        <v>476.71</v>
      </c>
      <c r="Q111" s="31">
        <v>608.69000000000005</v>
      </c>
      <c r="R111" s="31">
        <v>623.62</v>
      </c>
      <c r="S111" s="31">
        <v>558.03</v>
      </c>
      <c r="T111" s="31">
        <v>470.18</v>
      </c>
      <c r="U111" s="31">
        <v>634.69000000000005</v>
      </c>
      <c r="V111" s="31">
        <v>638.91</v>
      </c>
      <c r="W111" s="34">
        <v>555.96</v>
      </c>
      <c r="X111" s="50">
        <f t="shared" si="64"/>
        <v>-2.8803952272777877E-3</v>
      </c>
      <c r="Y111" s="50">
        <f t="shared" si="65"/>
        <v>1.1501778351883818E-2</v>
      </c>
      <c r="Z111" s="50">
        <f t="shared" si="66"/>
        <v>6.6870178262159463E-3</v>
      </c>
      <c r="AA111" s="50">
        <f t="shared" si="67"/>
        <v>-8.9929229606255934E-4</v>
      </c>
    </row>
    <row r="112" spans="2:27" x14ac:dyDescent="0.25">
      <c r="B112" s="22" t="s">
        <v>77</v>
      </c>
      <c r="C112" s="22" t="s">
        <v>23</v>
      </c>
      <c r="D112" s="22" t="s">
        <v>78</v>
      </c>
      <c r="E112" s="22" t="s">
        <v>28</v>
      </c>
      <c r="F112" s="24">
        <v>-0.24382570394840819</v>
      </c>
      <c r="G112" s="31">
        <v>4089</v>
      </c>
      <c r="H112" s="31">
        <v>4008</v>
      </c>
      <c r="I112" s="31">
        <v>3707</v>
      </c>
      <c r="J112" s="31">
        <v>3566</v>
      </c>
      <c r="K112" s="31">
        <v>3566</v>
      </c>
      <c r="L112" s="31">
        <v>3591</v>
      </c>
      <c r="M112" s="31">
        <v>3446</v>
      </c>
      <c r="N112" s="31">
        <v>3436</v>
      </c>
      <c r="O112" s="31">
        <v>3399</v>
      </c>
      <c r="P112" s="31">
        <v>3386</v>
      </c>
      <c r="Q112" s="31">
        <v>3236</v>
      </c>
      <c r="R112" s="31">
        <v>3241</v>
      </c>
      <c r="S112" s="31">
        <v>3225</v>
      </c>
      <c r="T112" s="31">
        <v>3169</v>
      </c>
      <c r="U112" s="31">
        <v>3159</v>
      </c>
      <c r="V112" s="31">
        <v>3161</v>
      </c>
      <c r="W112" s="34">
        <v>3194</v>
      </c>
      <c r="X112" s="50">
        <f t="shared" si="64"/>
        <v>-1.6580073349633295E-2</v>
      </c>
      <c r="Y112" s="50">
        <f t="shared" si="65"/>
        <v>-5.9824411467640504E-3</v>
      </c>
      <c r="Z112" s="50">
        <f t="shared" si="66"/>
        <v>-6.2529310614350964E-3</v>
      </c>
      <c r="AA112" s="50">
        <f t="shared" si="67"/>
        <v>-2.4382570394840819E-3</v>
      </c>
    </row>
    <row r="113" spans="2:27" x14ac:dyDescent="0.25">
      <c r="B113" s="22" t="s">
        <v>137</v>
      </c>
      <c r="C113" s="22" t="s">
        <v>23</v>
      </c>
      <c r="D113" s="22" t="s">
        <v>138</v>
      </c>
      <c r="E113" s="22" t="s">
        <v>28</v>
      </c>
      <c r="F113" s="24">
        <v>-0.40883074407195302</v>
      </c>
      <c r="G113" s="31">
        <v>2852</v>
      </c>
      <c r="H113" s="31">
        <v>2915</v>
      </c>
      <c r="I113" s="31">
        <v>3250</v>
      </c>
      <c r="J113" s="31">
        <v>3343</v>
      </c>
      <c r="K113" s="31">
        <v>3237</v>
      </c>
      <c r="L113" s="31">
        <v>3132</v>
      </c>
      <c r="M113" s="31">
        <v>2980</v>
      </c>
      <c r="N113" s="31">
        <v>2971</v>
      </c>
      <c r="O113" s="31">
        <v>3073</v>
      </c>
      <c r="P113" s="31">
        <v>3004</v>
      </c>
      <c r="Q113" s="31">
        <v>3044</v>
      </c>
      <c r="R113" s="31">
        <v>3051</v>
      </c>
      <c r="S113" s="31">
        <v>3024</v>
      </c>
      <c r="T113" s="31">
        <v>2993</v>
      </c>
      <c r="U113" s="31">
        <v>3110</v>
      </c>
      <c r="V113" s="31">
        <v>3103</v>
      </c>
      <c r="W113" s="34">
        <v>2974</v>
      </c>
      <c r="X113" s="50">
        <f t="shared" si="64"/>
        <v>-9.0736616349085253E-4</v>
      </c>
      <c r="Y113" s="50">
        <f t="shared" si="65"/>
        <v>5.4491413474240247E-3</v>
      </c>
      <c r="Z113" s="50">
        <f t="shared" si="66"/>
        <v>4.2699950730826775E-3</v>
      </c>
      <c r="AA113" s="50">
        <f t="shared" si="67"/>
        <v>-4.0883074407195297E-3</v>
      </c>
    </row>
    <row r="114" spans="2:27" hidden="1" x14ac:dyDescent="0.25">
      <c r="B114" s="22" t="s">
        <v>160</v>
      </c>
      <c r="C114" s="22" t="s">
        <v>23</v>
      </c>
      <c r="D114" s="22" t="s">
        <v>60</v>
      </c>
      <c r="E114" s="22" t="s">
        <v>34</v>
      </c>
      <c r="F114" s="22">
        <v>0.71626036692638007</v>
      </c>
      <c r="G114" s="22">
        <v>238.26</v>
      </c>
      <c r="H114" s="22">
        <v>230.45</v>
      </c>
      <c r="I114" s="22">
        <v>248.27</v>
      </c>
      <c r="J114" s="22">
        <v>251.97</v>
      </c>
      <c r="K114" s="22">
        <v>247.23</v>
      </c>
      <c r="L114" s="22">
        <v>223.73</v>
      </c>
      <c r="M114" s="22">
        <v>243.8</v>
      </c>
      <c r="N114" s="22">
        <v>230.9</v>
      </c>
      <c r="O114" s="22">
        <v>229.1</v>
      </c>
      <c r="P114" s="22">
        <v>204.6</v>
      </c>
      <c r="Q114" s="22">
        <v>213.4</v>
      </c>
      <c r="R114" s="22">
        <v>214.2</v>
      </c>
      <c r="S114" s="22">
        <v>210.3</v>
      </c>
      <c r="T114" s="22">
        <v>192.2</v>
      </c>
      <c r="U114" s="22">
        <v>190.5</v>
      </c>
      <c r="V114" s="22">
        <v>202.8</v>
      </c>
      <c r="W114" s="22">
        <v>216</v>
      </c>
    </row>
    <row r="115" spans="2:27" x14ac:dyDescent="0.25">
      <c r="B115" s="22" t="s">
        <v>197</v>
      </c>
      <c r="C115" s="22" t="s">
        <v>23</v>
      </c>
      <c r="D115" s="22" t="s">
        <v>198</v>
      </c>
      <c r="E115" s="22" t="s">
        <v>199</v>
      </c>
      <c r="F115" s="24">
        <v>-0.76271374886038856</v>
      </c>
      <c r="G115" s="31">
        <v>351.63</v>
      </c>
      <c r="H115" s="31">
        <v>334.37</v>
      </c>
      <c r="I115" s="31">
        <v>289.58999999999997</v>
      </c>
      <c r="J115" s="31">
        <v>278.2</v>
      </c>
      <c r="K115" s="31">
        <v>334.92</v>
      </c>
      <c r="L115" s="31">
        <v>375.89</v>
      </c>
      <c r="M115" s="31">
        <v>298.37</v>
      </c>
      <c r="N115" s="31">
        <v>290.56</v>
      </c>
      <c r="O115" s="31">
        <v>315.57</v>
      </c>
      <c r="P115" s="31">
        <v>364.52</v>
      </c>
      <c r="Q115" s="31">
        <v>288.82</v>
      </c>
      <c r="R115" s="31">
        <v>304.81</v>
      </c>
      <c r="S115" s="31">
        <v>357</v>
      </c>
      <c r="T115" s="31">
        <v>369.56</v>
      </c>
      <c r="U115" s="31">
        <v>315.55</v>
      </c>
      <c r="V115" s="31">
        <v>307.02</v>
      </c>
      <c r="W115" s="34">
        <v>346.71</v>
      </c>
      <c r="X115" s="50">
        <f t="shared" ref="X115:X118" si="68">SUM(Q115:T115)/SUM(P115:S115)-1</f>
        <v>3.8322624795652516E-3</v>
      </c>
      <c r="Y115" s="50">
        <f t="shared" ref="Y115:Y118" si="69">SUM(R115:U115)/SUM(Q115:T115)-1</f>
        <v>2.0247085646762697E-2</v>
      </c>
      <c r="Z115" s="50">
        <f t="shared" ref="Z115:Z118" si="70">SUM(S115:V115)/SUM(R115:U115)-1</f>
        <v>1.6407804472426957E-3</v>
      </c>
      <c r="AA115" s="50">
        <f t="shared" ref="AA115:AA118" si="71">SUM(T115:W115)/SUM(S115:V115)-1</f>
        <v>-7.6271374886037746E-3</v>
      </c>
    </row>
    <row r="116" spans="2:27" x14ac:dyDescent="0.25">
      <c r="B116" s="22" t="s">
        <v>170</v>
      </c>
      <c r="C116" s="22" t="s">
        <v>23</v>
      </c>
      <c r="D116" s="22" t="s">
        <v>171</v>
      </c>
      <c r="E116" s="22" t="s">
        <v>28</v>
      </c>
      <c r="F116" s="24">
        <v>-0.81140890090976026</v>
      </c>
      <c r="G116" s="31">
        <v>8657</v>
      </c>
      <c r="H116" s="31">
        <v>8376</v>
      </c>
      <c r="I116" s="31">
        <v>8953</v>
      </c>
      <c r="J116" s="31">
        <v>8951</v>
      </c>
      <c r="K116" s="31">
        <v>9186</v>
      </c>
      <c r="L116" s="31">
        <v>8864</v>
      </c>
      <c r="M116" s="31">
        <v>9146</v>
      </c>
      <c r="N116" s="31">
        <v>9212</v>
      </c>
      <c r="O116" s="31">
        <v>9440</v>
      </c>
      <c r="P116" s="31">
        <v>9105</v>
      </c>
      <c r="Q116" s="31">
        <v>9577</v>
      </c>
      <c r="R116" s="31">
        <v>9728</v>
      </c>
      <c r="S116" s="31">
        <v>10088</v>
      </c>
      <c r="T116" s="31">
        <v>9822</v>
      </c>
      <c r="U116" s="31">
        <v>10352</v>
      </c>
      <c r="V116" s="31">
        <v>10408</v>
      </c>
      <c r="W116" s="34">
        <v>9758</v>
      </c>
      <c r="X116" s="50">
        <f t="shared" si="68"/>
        <v>1.8624344121772607E-2</v>
      </c>
      <c r="Y116" s="50">
        <f t="shared" si="69"/>
        <v>1.9762845849802479E-2</v>
      </c>
      <c r="Z116" s="50">
        <f t="shared" si="70"/>
        <v>1.7004251062765707E-2</v>
      </c>
      <c r="AA116" s="50">
        <f t="shared" si="71"/>
        <v>-8.1140890090976026E-3</v>
      </c>
    </row>
    <row r="117" spans="2:27" x14ac:dyDescent="0.25">
      <c r="B117" s="22" t="s">
        <v>115</v>
      </c>
      <c r="C117" s="22" t="s">
        <v>23</v>
      </c>
      <c r="D117" s="22" t="s">
        <v>44</v>
      </c>
      <c r="E117" s="22" t="s">
        <v>28</v>
      </c>
      <c r="F117" s="24">
        <v>-0.99428813200761468</v>
      </c>
      <c r="G117" s="31">
        <v>64.83</v>
      </c>
      <c r="H117" s="31">
        <v>59.34</v>
      </c>
      <c r="I117" s="31">
        <v>60.81</v>
      </c>
      <c r="J117" s="31">
        <v>64.290000000000006</v>
      </c>
      <c r="K117" s="31">
        <v>65.52</v>
      </c>
      <c r="L117" s="31">
        <v>65.430000000000007</v>
      </c>
      <c r="M117" s="31">
        <v>64.45</v>
      </c>
      <c r="N117" s="31">
        <v>57.12</v>
      </c>
      <c r="O117" s="31">
        <v>54.71</v>
      </c>
      <c r="P117" s="31">
        <v>63.01</v>
      </c>
      <c r="Q117" s="31">
        <v>65.650000000000006</v>
      </c>
      <c r="R117" s="31">
        <v>61.25</v>
      </c>
      <c r="S117" s="31">
        <v>64.599999999999994</v>
      </c>
      <c r="T117" s="31">
        <v>63.32</v>
      </c>
      <c r="U117" s="31">
        <v>65.790000000000006</v>
      </c>
      <c r="V117" s="31">
        <v>42.64</v>
      </c>
      <c r="W117" s="34">
        <v>62.25</v>
      </c>
      <c r="X117" s="50">
        <f t="shared" si="68"/>
        <v>1.2180267965895553E-3</v>
      </c>
      <c r="Y117" s="50">
        <f t="shared" si="69"/>
        <v>5.4940742484888005E-4</v>
      </c>
      <c r="Z117" s="50">
        <f t="shared" si="70"/>
        <v>-7.2991841857546369E-2</v>
      </c>
      <c r="AA117" s="50">
        <f t="shared" si="71"/>
        <v>-9.9428813200760358E-3</v>
      </c>
    </row>
    <row r="118" spans="2:27" x14ac:dyDescent="0.25">
      <c r="B118" s="22" t="s">
        <v>79</v>
      </c>
      <c r="C118" s="22" t="s">
        <v>23</v>
      </c>
      <c r="D118" s="22" t="s">
        <v>32</v>
      </c>
      <c r="E118" s="22" t="s">
        <v>28</v>
      </c>
      <c r="F118" s="24">
        <v>-1.4657383657017189</v>
      </c>
      <c r="G118" s="31">
        <v>1770</v>
      </c>
      <c r="H118" s="31">
        <v>1815</v>
      </c>
      <c r="I118" s="31">
        <v>1863</v>
      </c>
      <c r="J118" s="31">
        <v>1833</v>
      </c>
      <c r="K118" s="31">
        <v>1727</v>
      </c>
      <c r="L118" s="31">
        <v>1716</v>
      </c>
      <c r="M118" s="31">
        <v>1639</v>
      </c>
      <c r="N118" s="31">
        <v>1564</v>
      </c>
      <c r="O118" s="31">
        <v>1473</v>
      </c>
      <c r="P118" s="31">
        <v>1476</v>
      </c>
      <c r="Q118" s="31">
        <v>1473</v>
      </c>
      <c r="R118" s="31">
        <v>1465</v>
      </c>
      <c r="S118" s="31">
        <v>1382</v>
      </c>
      <c r="T118" s="31">
        <v>1352</v>
      </c>
      <c r="U118" s="31">
        <v>1370</v>
      </c>
      <c r="V118" s="31">
        <v>1354</v>
      </c>
      <c r="W118" s="34">
        <v>1302</v>
      </c>
      <c r="X118" s="50">
        <f t="shared" si="68"/>
        <v>-2.1394064872325758E-2</v>
      </c>
      <c r="Y118" s="50">
        <f t="shared" si="69"/>
        <v>-1.8159379407616361E-2</v>
      </c>
      <c r="Z118" s="50">
        <f t="shared" si="70"/>
        <v>-1.9931765128389345E-2</v>
      </c>
      <c r="AA118" s="50">
        <f t="shared" si="71"/>
        <v>-1.4657383657017187E-2</v>
      </c>
    </row>
    <row r="119" spans="2:27" hidden="1" x14ac:dyDescent="0.25">
      <c r="B119" s="22" t="s">
        <v>169</v>
      </c>
      <c r="C119" s="22" t="s">
        <v>26</v>
      </c>
      <c r="D119" s="22" t="s">
        <v>27</v>
      </c>
      <c r="E119" s="22" t="s">
        <v>34</v>
      </c>
      <c r="F119" s="22">
        <v>1.951924861900634</v>
      </c>
      <c r="G119" s="22">
        <v>2465228</v>
      </c>
      <c r="H119" s="22">
        <v>2514000</v>
      </c>
      <c r="I119" s="22">
        <v>2917937</v>
      </c>
      <c r="J119" s="22">
        <v>2569816</v>
      </c>
      <c r="K119" s="22">
        <v>2846963</v>
      </c>
      <c r="L119" s="22">
        <v>2692017</v>
      </c>
      <c r="M119" s="22">
        <v>2772354</v>
      </c>
      <c r="N119" s="22">
        <v>2322488</v>
      </c>
      <c r="O119" s="22">
        <v>2637581</v>
      </c>
      <c r="P119" s="22">
        <v>2258085</v>
      </c>
      <c r="Q119" s="22">
        <v>2510562</v>
      </c>
      <c r="R119" s="22">
        <v>2211423</v>
      </c>
      <c r="S119" s="22">
        <v>2334559</v>
      </c>
      <c r="T119" s="22">
        <v>2465240</v>
      </c>
      <c r="U119" s="22">
        <v>2772148</v>
      </c>
      <c r="V119" s="22">
        <v>2393703</v>
      </c>
      <c r="W119" s="22">
        <v>2529081</v>
      </c>
    </row>
    <row r="120" spans="2:27" x14ac:dyDescent="0.25">
      <c r="B120" s="22" t="s">
        <v>184</v>
      </c>
      <c r="C120" s="22" t="s">
        <v>23</v>
      </c>
      <c r="D120" s="22" t="s">
        <v>58</v>
      </c>
      <c r="E120" s="22" t="s">
        <v>28</v>
      </c>
      <c r="F120" s="24">
        <v>-1.7646391284611871</v>
      </c>
      <c r="G120" s="31">
        <v>4359</v>
      </c>
      <c r="H120" s="31">
        <v>3150</v>
      </c>
      <c r="I120" s="31">
        <v>3880</v>
      </c>
      <c r="J120" s="31">
        <v>3895</v>
      </c>
      <c r="K120" s="31">
        <v>5079</v>
      </c>
      <c r="L120" s="31">
        <v>3576</v>
      </c>
      <c r="M120" s="31">
        <v>4189</v>
      </c>
      <c r="N120" s="31">
        <v>4004</v>
      </c>
      <c r="O120" s="31">
        <v>4294</v>
      </c>
      <c r="P120" s="31">
        <v>3949</v>
      </c>
      <c r="Q120" s="31">
        <v>4600</v>
      </c>
      <c r="R120" s="31">
        <v>4476</v>
      </c>
      <c r="S120" s="31">
        <v>4922</v>
      </c>
      <c r="T120" s="31">
        <v>3893</v>
      </c>
      <c r="U120" s="31">
        <v>4404</v>
      </c>
      <c r="V120" s="31">
        <v>4405</v>
      </c>
      <c r="W120" s="34">
        <v>4611</v>
      </c>
      <c r="X120" s="50">
        <f t="shared" ref="X120:X124" si="72">SUM(Q120:T120)/SUM(P120:S120)-1</f>
        <v>-3.1202986571572389E-3</v>
      </c>
      <c r="Y120" s="50">
        <f t="shared" ref="Y120:Y124" si="73">SUM(R120:U120)/SUM(Q120:T120)-1</f>
        <v>-1.0955228886032065E-2</v>
      </c>
      <c r="Z120" s="50">
        <f t="shared" ref="Z120:Z124" si="74">SUM(S120:V120)/SUM(R120:U120)-1</f>
        <v>-4.0124328906471218E-3</v>
      </c>
      <c r="AA120" s="50">
        <f t="shared" ref="AA120:AA124" si="75">SUM(T120:W120)/SUM(S120:V120)-1</f>
        <v>-1.7646391284611873E-2</v>
      </c>
    </row>
    <row r="121" spans="2:27" x14ac:dyDescent="0.25">
      <c r="B121" s="22" t="s">
        <v>216</v>
      </c>
      <c r="C121" s="22" t="s">
        <v>23</v>
      </c>
      <c r="D121" s="22" t="s">
        <v>53</v>
      </c>
      <c r="E121" s="22" t="s">
        <v>28</v>
      </c>
      <c r="F121" s="24">
        <v>-2.3097792877569518</v>
      </c>
      <c r="G121" s="31">
        <v>14364</v>
      </c>
      <c r="H121" s="31">
        <v>15264</v>
      </c>
      <c r="I121" s="31">
        <v>15664</v>
      </c>
      <c r="J121" s="31">
        <v>14115</v>
      </c>
      <c r="K121" s="31">
        <v>11859</v>
      </c>
      <c r="L121" s="31">
        <v>11851</v>
      </c>
      <c r="M121" s="31">
        <v>11420</v>
      </c>
      <c r="N121" s="31">
        <v>10730</v>
      </c>
      <c r="O121" s="31">
        <v>10621</v>
      </c>
      <c r="P121" s="31">
        <v>10765</v>
      </c>
      <c r="Q121" s="31">
        <v>10915</v>
      </c>
      <c r="R121" s="31">
        <v>10879</v>
      </c>
      <c r="S121" s="31">
        <v>10405</v>
      </c>
      <c r="T121" s="31">
        <v>10431</v>
      </c>
      <c r="U121" s="31">
        <v>10104</v>
      </c>
      <c r="V121" s="31">
        <v>9973</v>
      </c>
      <c r="W121" s="34">
        <v>9460</v>
      </c>
      <c r="X121" s="50">
        <f t="shared" si="72"/>
        <v>-7.7739502839586638E-3</v>
      </c>
      <c r="Y121" s="50">
        <f t="shared" si="73"/>
        <v>-1.902416138869345E-2</v>
      </c>
      <c r="Z121" s="50">
        <f t="shared" si="74"/>
        <v>-2.1664793514909464E-2</v>
      </c>
      <c r="AA121" s="50">
        <f t="shared" si="75"/>
        <v>-2.3097792877569523E-2</v>
      </c>
    </row>
    <row r="122" spans="2:27" x14ac:dyDescent="0.25">
      <c r="B122" s="22" t="s">
        <v>215</v>
      </c>
      <c r="C122" s="22" t="s">
        <v>23</v>
      </c>
      <c r="D122" s="22" t="s">
        <v>47</v>
      </c>
      <c r="E122" s="22" t="s">
        <v>28</v>
      </c>
      <c r="F122" s="24">
        <v>-2.361425339366519</v>
      </c>
      <c r="G122" s="31">
        <v>2206</v>
      </c>
      <c r="H122" s="31">
        <v>3112</v>
      </c>
      <c r="I122" s="31">
        <v>2973</v>
      </c>
      <c r="J122" s="31">
        <v>2276</v>
      </c>
      <c r="K122" s="31">
        <v>1823</v>
      </c>
      <c r="L122" s="31">
        <v>1881</v>
      </c>
      <c r="M122" s="31">
        <v>1997</v>
      </c>
      <c r="N122" s="31">
        <v>2022</v>
      </c>
      <c r="O122" s="31">
        <v>1774</v>
      </c>
      <c r="P122" s="31">
        <v>1796</v>
      </c>
      <c r="Q122" s="31">
        <v>1939</v>
      </c>
      <c r="R122" s="31">
        <v>1681</v>
      </c>
      <c r="S122" s="31">
        <v>1708</v>
      </c>
      <c r="T122" s="31">
        <v>1763</v>
      </c>
      <c r="U122" s="31">
        <v>1884</v>
      </c>
      <c r="V122" s="31">
        <v>1717</v>
      </c>
      <c r="W122" s="34">
        <v>1541</v>
      </c>
      <c r="X122" s="50">
        <f t="shared" si="72"/>
        <v>-4.6322290847837788E-3</v>
      </c>
      <c r="Y122" s="50">
        <f t="shared" si="73"/>
        <v>-7.7563108165279449E-3</v>
      </c>
      <c r="Z122" s="50">
        <f t="shared" si="74"/>
        <v>5.1165434906197405E-3</v>
      </c>
      <c r="AA122" s="50">
        <f t="shared" si="75"/>
        <v>-2.3614253393665185E-2</v>
      </c>
    </row>
    <row r="123" spans="2:27" x14ac:dyDescent="0.25">
      <c r="B123" s="22" t="s">
        <v>189</v>
      </c>
      <c r="C123" s="22" t="s">
        <v>23</v>
      </c>
      <c r="D123" s="22" t="s">
        <v>40</v>
      </c>
      <c r="E123" s="22" t="s">
        <v>28</v>
      </c>
      <c r="F123" s="24">
        <v>-3.0141843971631221</v>
      </c>
      <c r="G123" s="31">
        <v>2694</v>
      </c>
      <c r="H123" s="31">
        <v>2714</v>
      </c>
      <c r="I123" s="31">
        <v>2784</v>
      </c>
      <c r="J123" s="31">
        <v>2709</v>
      </c>
      <c r="K123" s="31">
        <v>2373</v>
      </c>
      <c r="L123" s="31">
        <v>2412</v>
      </c>
      <c r="M123" s="31">
        <v>2324</v>
      </c>
      <c r="N123" s="31">
        <v>2267</v>
      </c>
      <c r="O123" s="31">
        <v>2207</v>
      </c>
      <c r="P123" s="31">
        <v>2310</v>
      </c>
      <c r="Q123" s="31">
        <v>2363</v>
      </c>
      <c r="R123" s="31">
        <v>2464</v>
      </c>
      <c r="S123" s="31">
        <v>2245</v>
      </c>
      <c r="T123" s="31">
        <v>2290</v>
      </c>
      <c r="U123" s="31">
        <v>2287</v>
      </c>
      <c r="V123" s="31">
        <v>2202</v>
      </c>
      <c r="W123" s="34">
        <v>1973</v>
      </c>
      <c r="X123" s="50">
        <f t="shared" si="72"/>
        <v>-2.1317416329140748E-3</v>
      </c>
      <c r="Y123" s="50">
        <f t="shared" si="73"/>
        <v>-8.1179235206152445E-3</v>
      </c>
      <c r="Z123" s="50">
        <f t="shared" si="74"/>
        <v>-2.8214516476416152E-2</v>
      </c>
      <c r="AA123" s="50">
        <f t="shared" si="75"/>
        <v>-3.0141843971631221E-2</v>
      </c>
    </row>
    <row r="124" spans="2:27" x14ac:dyDescent="0.25">
      <c r="B124" s="22" t="s">
        <v>93</v>
      </c>
      <c r="C124" s="22" t="s">
        <v>23</v>
      </c>
      <c r="D124" s="22" t="s">
        <v>58</v>
      </c>
      <c r="E124" s="22" t="s">
        <v>28</v>
      </c>
      <c r="F124" s="24">
        <v>-4.4468619811432131</v>
      </c>
      <c r="G124" s="31">
        <v>454.15</v>
      </c>
      <c r="H124" s="31">
        <v>508.51</v>
      </c>
      <c r="I124" s="31">
        <v>526.66999999999996</v>
      </c>
      <c r="J124" s="31">
        <v>827.67</v>
      </c>
      <c r="K124" s="31">
        <v>444.93</v>
      </c>
      <c r="L124" s="31">
        <v>543.91</v>
      </c>
      <c r="M124" s="31">
        <v>572.54</v>
      </c>
      <c r="N124" s="31">
        <v>645.41</v>
      </c>
      <c r="O124" s="31">
        <v>386.82</v>
      </c>
      <c r="P124" s="31">
        <v>541.54</v>
      </c>
      <c r="Q124" s="31">
        <v>595.67999999999995</v>
      </c>
      <c r="R124" s="31">
        <v>806.16</v>
      </c>
      <c r="S124" s="31">
        <v>468.95</v>
      </c>
      <c r="T124" s="31">
        <v>565.34</v>
      </c>
      <c r="U124" s="31">
        <v>545.37</v>
      </c>
      <c r="V124" s="31">
        <v>791.9</v>
      </c>
      <c r="W124" s="34">
        <v>363.49</v>
      </c>
      <c r="X124" s="50">
        <f t="shared" si="72"/>
        <v>9.8659801934233293E-3</v>
      </c>
      <c r="Y124" s="50">
        <f t="shared" si="73"/>
        <v>-2.065160726233839E-2</v>
      </c>
      <c r="Z124" s="50">
        <f t="shared" si="74"/>
        <v>-5.9769806607370413E-3</v>
      </c>
      <c r="AA124" s="50">
        <f t="shared" si="75"/>
        <v>-4.4468619811431909E-2</v>
      </c>
    </row>
    <row r="125" spans="2:27" hidden="1" x14ac:dyDescent="0.25">
      <c r="B125" s="22" t="s">
        <v>176</v>
      </c>
      <c r="C125" s="22" t="s">
        <v>23</v>
      </c>
      <c r="D125" s="22" t="s">
        <v>177</v>
      </c>
      <c r="E125" s="22" t="s">
        <v>34</v>
      </c>
      <c r="F125" s="22">
        <v>1.3826737050832041</v>
      </c>
      <c r="G125" s="22">
        <v>9723</v>
      </c>
      <c r="H125" s="22">
        <v>10373</v>
      </c>
      <c r="I125" s="22">
        <v>10196</v>
      </c>
      <c r="J125" s="22">
        <v>10150</v>
      </c>
      <c r="K125" s="22">
        <v>10401</v>
      </c>
      <c r="L125" s="22">
        <v>10526</v>
      </c>
      <c r="M125" s="22">
        <v>10641</v>
      </c>
      <c r="N125" s="22">
        <v>11350</v>
      </c>
      <c r="O125" s="22">
        <v>11625</v>
      </c>
      <c r="P125" s="22">
        <v>12160</v>
      </c>
      <c r="Q125" s="22">
        <v>12564</v>
      </c>
      <c r="R125" s="22">
        <v>0</v>
      </c>
      <c r="S125" s="22">
        <v>10667</v>
      </c>
      <c r="T125" s="22">
        <v>14151</v>
      </c>
      <c r="U125" s="22">
        <v>12501</v>
      </c>
      <c r="V125" s="22">
        <v>0</v>
      </c>
      <c r="W125" s="22">
        <v>11183</v>
      </c>
    </row>
    <row r="126" spans="2:27" x14ac:dyDescent="0.25">
      <c r="B126" s="22" t="s">
        <v>36</v>
      </c>
      <c r="C126" s="22" t="s">
        <v>37</v>
      </c>
      <c r="D126" s="49" t="str">
        <f>VLOOKUP(B126,'해외 실적 기업 리스트'!$B$5:$G$239,2,FALSE)</f>
        <v>Gränges AB (publ)</v>
      </c>
      <c r="E126" s="22" t="s">
        <v>28</v>
      </c>
      <c r="F126" s="24">
        <v>3.7988581466842359</v>
      </c>
      <c r="G126" s="31">
        <v>4858</v>
      </c>
      <c r="H126" s="31">
        <v>6080</v>
      </c>
      <c r="I126" s="31">
        <v>6875</v>
      </c>
      <c r="J126" s="31">
        <v>6172</v>
      </c>
      <c r="K126" s="31">
        <v>5366</v>
      </c>
      <c r="L126" s="31">
        <v>5968</v>
      </c>
      <c r="M126" s="31">
        <v>6008</v>
      </c>
      <c r="N126" s="31">
        <v>5575</v>
      </c>
      <c r="O126" s="31">
        <v>4968</v>
      </c>
      <c r="P126" s="31">
        <v>5428</v>
      </c>
      <c r="Q126" s="31">
        <v>6145</v>
      </c>
      <c r="R126" s="31">
        <v>5750</v>
      </c>
      <c r="S126" s="31">
        <v>6184</v>
      </c>
      <c r="T126" s="31">
        <v>7233</v>
      </c>
      <c r="U126" s="31">
        <v>6974</v>
      </c>
      <c r="V126" s="31">
        <v>6933</v>
      </c>
      <c r="W126" s="34">
        <v>7222</v>
      </c>
      <c r="X126" s="50">
        <f t="shared" ref="X126:X143" si="76">SUM(Q126:T126)/SUM(P126:S126)-1</f>
        <v>7.6785638320500338E-2</v>
      </c>
      <c r="Y126" s="50">
        <f t="shared" ref="Y126:Y143" si="77">SUM(R126:U126)/SUM(Q126:T126)-1</f>
        <v>3.2751264222503185E-2</v>
      </c>
      <c r="Z126" s="50">
        <f t="shared" ref="Z126:Z143" si="78">SUM(S126:V126)/SUM(R126:U126)-1</f>
        <v>4.525458092651391E-2</v>
      </c>
      <c r="AA126" s="50">
        <f t="shared" ref="AA126:AA143" si="79">SUM(T126:W126)/SUM(S126:V126)-1</f>
        <v>3.7988581466842364E-2</v>
      </c>
    </row>
    <row r="127" spans="2:27" x14ac:dyDescent="0.25">
      <c r="B127" s="22" t="s">
        <v>192</v>
      </c>
      <c r="C127" s="22" t="s">
        <v>37</v>
      </c>
      <c r="D127" s="49" t="str">
        <f>VLOOKUP(B127,'해외 실적 기업 리스트'!$B$5:$G$239,2,FALSE)</f>
        <v>Axfood AB (publ)</v>
      </c>
      <c r="E127" s="22" t="s">
        <v>28</v>
      </c>
      <c r="F127" s="24">
        <v>1.101144237420759</v>
      </c>
      <c r="G127" s="31">
        <v>17062</v>
      </c>
      <c r="H127" s="31">
        <v>16593</v>
      </c>
      <c r="I127" s="31">
        <v>18468</v>
      </c>
      <c r="J127" s="31">
        <v>18674</v>
      </c>
      <c r="K127" s="31">
        <v>19739</v>
      </c>
      <c r="L127" s="31">
        <v>19252</v>
      </c>
      <c r="M127" s="31">
        <v>20797</v>
      </c>
      <c r="N127" s="31">
        <v>20293</v>
      </c>
      <c r="O127" s="31">
        <v>20769</v>
      </c>
      <c r="P127" s="31">
        <v>20252</v>
      </c>
      <c r="Q127" s="31">
        <v>21044</v>
      </c>
      <c r="R127" s="31">
        <v>20902</v>
      </c>
      <c r="S127" s="31">
        <v>21860</v>
      </c>
      <c r="T127" s="31">
        <v>21040</v>
      </c>
      <c r="U127" s="31">
        <v>22995</v>
      </c>
      <c r="V127" s="31">
        <v>22286</v>
      </c>
      <c r="W127" s="34">
        <v>22831</v>
      </c>
      <c r="X127" s="50">
        <f t="shared" si="76"/>
        <v>9.3744795260415348E-3</v>
      </c>
      <c r="Y127" s="50">
        <f t="shared" si="77"/>
        <v>2.2994601984772434E-2</v>
      </c>
      <c r="Z127" s="50">
        <f t="shared" si="78"/>
        <v>1.5945251563994178E-2</v>
      </c>
      <c r="AA127" s="50">
        <f t="shared" si="79"/>
        <v>1.1011442374207592E-2</v>
      </c>
    </row>
    <row r="128" spans="2:27" x14ac:dyDescent="0.25">
      <c r="B128" s="22" t="s">
        <v>224</v>
      </c>
      <c r="C128" s="22" t="s">
        <v>37</v>
      </c>
      <c r="D128" s="49" t="str">
        <f>VLOOKUP(B128,'해외 실적 기업 리스트'!$B$5:$G$239,2,FALSE)</f>
        <v>Indutrade AB (publ)</v>
      </c>
      <c r="E128" s="22" t="s">
        <v>28</v>
      </c>
      <c r="F128" s="24">
        <v>-0.34014657225022171</v>
      </c>
      <c r="G128" s="31">
        <v>5726</v>
      </c>
      <c r="H128" s="31">
        <v>6398</v>
      </c>
      <c r="I128" s="31">
        <v>6683</v>
      </c>
      <c r="J128" s="31">
        <v>6707</v>
      </c>
      <c r="K128" s="31">
        <v>7228</v>
      </c>
      <c r="L128" s="31">
        <v>8063</v>
      </c>
      <c r="M128" s="31">
        <v>8100</v>
      </c>
      <c r="N128" s="31">
        <v>7851</v>
      </c>
      <c r="O128" s="31">
        <v>7821</v>
      </c>
      <c r="P128" s="31">
        <v>7744</v>
      </c>
      <c r="Q128" s="31">
        <v>8491</v>
      </c>
      <c r="R128" s="31">
        <v>7973</v>
      </c>
      <c r="S128" s="31">
        <v>8336</v>
      </c>
      <c r="T128" s="31">
        <v>8036</v>
      </c>
      <c r="U128" s="31">
        <v>8121</v>
      </c>
      <c r="V128" s="31">
        <v>7846</v>
      </c>
      <c r="W128" s="34">
        <v>8226</v>
      </c>
      <c r="X128" s="50">
        <f t="shared" si="76"/>
        <v>8.9724680432645698E-3</v>
      </c>
      <c r="Y128" s="50">
        <f t="shared" si="77"/>
        <v>-1.1268120355707123E-2</v>
      </c>
      <c r="Z128" s="50">
        <f t="shared" si="78"/>
        <v>-3.9117846362348718E-3</v>
      </c>
      <c r="AA128" s="50">
        <f t="shared" si="79"/>
        <v>-3.4014657225022171E-3</v>
      </c>
    </row>
    <row r="129" spans="2:27" x14ac:dyDescent="0.25">
      <c r="B129" s="22">
        <v>8421</v>
      </c>
      <c r="C129" s="22" t="s">
        <v>26</v>
      </c>
      <c r="D129" s="49" t="str">
        <f>VLOOKUP(B129,'해외 실적 기업 리스트'!$B$5:$G$239,2,FALSE)</f>
        <v>Shinkin Central Bank</v>
      </c>
      <c r="E129" s="22" t="s">
        <v>28</v>
      </c>
      <c r="F129" s="24">
        <v>6.8295976680226023</v>
      </c>
      <c r="G129" s="31">
        <v>34923</v>
      </c>
      <c r="H129" s="31">
        <v>38607</v>
      </c>
      <c r="I129" s="31">
        <v>70037</v>
      </c>
      <c r="J129" s="31">
        <v>42358</v>
      </c>
      <c r="K129" s="32">
        <v>74298</v>
      </c>
      <c r="L129" s="32">
        <v>80940</v>
      </c>
      <c r="M129" s="31">
        <v>61334</v>
      </c>
      <c r="N129" s="31">
        <v>52580</v>
      </c>
      <c r="O129" s="31">
        <v>71705</v>
      </c>
      <c r="P129" s="31">
        <v>64359</v>
      </c>
      <c r="Q129" s="31">
        <v>42965</v>
      </c>
      <c r="R129" s="31">
        <v>34312</v>
      </c>
      <c r="S129" s="31">
        <v>41711</v>
      </c>
      <c r="T129" s="31">
        <v>44628</v>
      </c>
      <c r="U129" s="31">
        <v>47771</v>
      </c>
      <c r="V129" s="31">
        <v>48053</v>
      </c>
      <c r="W129" s="34">
        <v>54152</v>
      </c>
      <c r="X129" s="50">
        <f t="shared" si="76"/>
        <v>-0.10761561410876641</v>
      </c>
      <c r="Y129" s="50">
        <f t="shared" si="77"/>
        <v>2.9373655388226005E-2</v>
      </c>
      <c r="Z129" s="50">
        <f t="shared" si="78"/>
        <v>8.1586728574651657E-2</v>
      </c>
      <c r="AA129" s="50">
        <f t="shared" si="79"/>
        <v>6.8295976680226023E-2</v>
      </c>
    </row>
    <row r="130" spans="2:27" x14ac:dyDescent="0.25">
      <c r="B130" s="22">
        <v>6952</v>
      </c>
      <c r="C130" s="22" t="s">
        <v>26</v>
      </c>
      <c r="D130" s="49" t="str">
        <f>VLOOKUP(B130,'해외 실적 기업 리스트'!$B$5:$G$239,2,FALSE)</f>
        <v>Casio Computer Co.,Ltd.</v>
      </c>
      <c r="E130" s="22" t="s">
        <v>28</v>
      </c>
      <c r="F130" s="24">
        <v>6.4196130676102303</v>
      </c>
      <c r="G130" s="31">
        <v>68299</v>
      </c>
      <c r="H130" s="31">
        <v>58111</v>
      </c>
      <c r="I130" s="31">
        <v>61269</v>
      </c>
      <c r="J130" s="31">
        <v>72041</v>
      </c>
      <c r="K130" s="31">
        <v>67883</v>
      </c>
      <c r="L130" s="31">
        <v>62638</v>
      </c>
      <c r="M130" s="31">
        <v>62681</v>
      </c>
      <c r="N130" s="31">
        <v>70862</v>
      </c>
      <c r="O130" s="31">
        <v>67742</v>
      </c>
      <c r="P130" s="31">
        <v>67543</v>
      </c>
      <c r="Q130" s="31">
        <v>65217</v>
      </c>
      <c r="R130" s="31">
        <v>71730</v>
      </c>
      <c r="S130" s="31">
        <v>58826</v>
      </c>
      <c r="T130" s="31">
        <v>65984</v>
      </c>
      <c r="U130" s="31">
        <v>62191</v>
      </c>
      <c r="V130" s="31">
        <v>70460</v>
      </c>
      <c r="W130" s="34">
        <v>75354</v>
      </c>
      <c r="X130" s="50">
        <f t="shared" si="76"/>
        <v>-5.9206428777590636E-3</v>
      </c>
      <c r="Y130" s="50">
        <f t="shared" si="77"/>
        <v>-1.1560340315636242E-2</v>
      </c>
      <c r="Z130" s="50">
        <f t="shared" si="78"/>
        <v>-4.9085729966644731E-3</v>
      </c>
      <c r="AA130" s="50">
        <f t="shared" si="79"/>
        <v>6.4196130676102303E-2</v>
      </c>
    </row>
    <row r="131" spans="2:27" x14ac:dyDescent="0.25">
      <c r="B131" s="22">
        <v>4373</v>
      </c>
      <c r="C131" s="22" t="s">
        <v>26</v>
      </c>
      <c r="D131" s="49" t="str">
        <f>VLOOKUP(B131,'해외 실적 기업 리스트'!$B$5:$G$239,2,FALSE)</f>
        <v>Simplex Holdings, Inc.</v>
      </c>
      <c r="E131" s="22" t="s">
        <v>28</v>
      </c>
      <c r="F131" s="24">
        <v>4.6681295598192118</v>
      </c>
      <c r="G131" s="31">
        <v>7648</v>
      </c>
      <c r="H131" s="31">
        <v>7317</v>
      </c>
      <c r="I131" s="31">
        <v>8048</v>
      </c>
      <c r="J131" s="31">
        <v>8819</v>
      </c>
      <c r="K131" s="31">
        <v>8941</v>
      </c>
      <c r="L131" s="31">
        <v>9138</v>
      </c>
      <c r="M131" s="31">
        <v>9404</v>
      </c>
      <c r="N131" s="31">
        <v>10139</v>
      </c>
      <c r="O131" s="31">
        <v>10408</v>
      </c>
      <c r="P131" s="31">
        <v>10757</v>
      </c>
      <c r="Q131" s="31">
        <v>10954</v>
      </c>
      <c r="R131" s="31">
        <v>10922</v>
      </c>
      <c r="S131" s="31">
        <v>12242</v>
      </c>
      <c r="T131" s="31">
        <v>13276</v>
      </c>
      <c r="U131" s="31">
        <v>13464</v>
      </c>
      <c r="V131" s="31">
        <v>14337</v>
      </c>
      <c r="W131" s="34">
        <v>14731</v>
      </c>
      <c r="X131" s="50">
        <f t="shared" si="76"/>
        <v>5.6133704735376044E-2</v>
      </c>
      <c r="Y131" s="50">
        <f t="shared" si="77"/>
        <v>5.2960290332109583E-2</v>
      </c>
      <c r="Z131" s="50">
        <f t="shared" si="78"/>
        <v>6.8431388265469684E-2</v>
      </c>
      <c r="AA131" s="50">
        <f t="shared" si="79"/>
        <v>4.6681295598192118E-2</v>
      </c>
    </row>
    <row r="132" spans="2:27" x14ac:dyDescent="0.25">
      <c r="B132" s="22">
        <v>4519</v>
      </c>
      <c r="C132" s="22" t="s">
        <v>26</v>
      </c>
      <c r="D132" s="49" t="str">
        <f>VLOOKUP(B132,'해외 실적 기업 리스트'!$B$5:$G$239,2,FALSE)</f>
        <v>Chugai Pharmaceutical Co., Ltd.</v>
      </c>
      <c r="E132" s="22" t="s">
        <v>28</v>
      </c>
      <c r="F132" s="24">
        <v>3.6440275782063658</v>
      </c>
      <c r="G132" s="31">
        <v>322266</v>
      </c>
      <c r="H132" s="31">
        <v>360554</v>
      </c>
      <c r="I132" s="31">
        <v>235612</v>
      </c>
      <c r="J132" s="31">
        <v>225284</v>
      </c>
      <c r="K132" s="32">
        <v>438496</v>
      </c>
      <c r="L132" s="31">
        <v>312240</v>
      </c>
      <c r="M132" s="31">
        <v>267417</v>
      </c>
      <c r="N132" s="31">
        <v>257897</v>
      </c>
      <c r="O132" s="31">
        <v>273812</v>
      </c>
      <c r="P132" s="31">
        <v>236949</v>
      </c>
      <c r="Q132" s="31">
        <v>315911</v>
      </c>
      <c r="R132" s="31">
        <v>315678</v>
      </c>
      <c r="S132" s="31">
        <v>302073</v>
      </c>
      <c r="T132" s="31">
        <v>288459</v>
      </c>
      <c r="U132" s="31">
        <v>290004</v>
      </c>
      <c r="V132" s="31">
        <v>333176</v>
      </c>
      <c r="W132" s="34">
        <v>346301</v>
      </c>
      <c r="X132" s="50">
        <f t="shared" si="76"/>
        <v>4.4002661857782011E-2</v>
      </c>
      <c r="Y132" s="50">
        <f t="shared" si="77"/>
        <v>-2.119839197591733E-2</v>
      </c>
      <c r="Z132" s="50">
        <f t="shared" si="78"/>
        <v>1.4627817430660439E-2</v>
      </c>
      <c r="AA132" s="50">
        <f t="shared" si="79"/>
        <v>3.6440275782063658E-2</v>
      </c>
    </row>
    <row r="133" spans="2:27" x14ac:dyDescent="0.25">
      <c r="B133" s="22">
        <v>6861</v>
      </c>
      <c r="C133" s="22" t="s">
        <v>26</v>
      </c>
      <c r="D133" s="49" t="str">
        <f>VLOOKUP(B133,'해외 실적 기업 리스트'!$B$5:$G$239,2,FALSE)</f>
        <v>Keyence Corporation</v>
      </c>
      <c r="E133" s="22" t="s">
        <v>182</v>
      </c>
      <c r="F133" s="24">
        <v>2.7243214451347471</v>
      </c>
      <c r="G133" s="31">
        <v>199978</v>
      </c>
      <c r="H133" s="31">
        <v>199978</v>
      </c>
      <c r="I133" s="31">
        <v>192007</v>
      </c>
      <c r="J133" s="31">
        <v>251993</v>
      </c>
      <c r="K133" s="31">
        <v>236618</v>
      </c>
      <c r="L133" s="31">
        <v>241804</v>
      </c>
      <c r="M133" s="31">
        <v>222274</v>
      </c>
      <c r="N133" s="31">
        <v>243806</v>
      </c>
      <c r="O133" s="31">
        <v>241109</v>
      </c>
      <c r="P133" s="31">
        <v>260099</v>
      </c>
      <c r="Q133" s="31">
        <v>247223</v>
      </c>
      <c r="R133" s="31">
        <v>268327</v>
      </c>
      <c r="S133" s="31">
        <v>259640</v>
      </c>
      <c r="T133" s="31">
        <v>283955</v>
      </c>
      <c r="U133" s="31">
        <v>261076</v>
      </c>
      <c r="V133" s="31">
        <v>284224</v>
      </c>
      <c r="W133" s="34">
        <v>289305</v>
      </c>
      <c r="X133" s="50">
        <f t="shared" si="76"/>
        <v>2.3042841177680851E-2</v>
      </c>
      <c r="Y133" s="50">
        <f t="shared" si="77"/>
        <v>1.3079417832308149E-2</v>
      </c>
      <c r="Z133" s="50">
        <f t="shared" si="78"/>
        <v>1.4815498258151427E-2</v>
      </c>
      <c r="AA133" s="50">
        <f t="shared" si="79"/>
        <v>2.7243214451347475E-2</v>
      </c>
    </row>
    <row r="134" spans="2:27" x14ac:dyDescent="0.25">
      <c r="B134" s="22">
        <v>7380</v>
      </c>
      <c r="C134" s="22" t="s">
        <v>26</v>
      </c>
      <c r="D134" s="49" t="str">
        <f>VLOOKUP(B134,'해외 실적 기업 리스트'!$B$5:$G$239,2,FALSE)</f>
        <v>Juroku Financial Group,Inc.</v>
      </c>
      <c r="E134" s="22" t="s">
        <v>28</v>
      </c>
      <c r="F134" s="24">
        <v>2.1199224022836689</v>
      </c>
      <c r="G134" s="31">
        <v>26846</v>
      </c>
      <c r="H134" s="31">
        <v>33713</v>
      </c>
      <c r="I134" s="31">
        <v>29047</v>
      </c>
      <c r="J134" s="31">
        <v>28538</v>
      </c>
      <c r="K134" s="31">
        <v>25509</v>
      </c>
      <c r="L134" s="31">
        <v>25228</v>
      </c>
      <c r="M134" s="31">
        <v>29318</v>
      </c>
      <c r="N134" s="31">
        <v>30091</v>
      </c>
      <c r="O134" s="31">
        <v>32864</v>
      </c>
      <c r="P134" s="31">
        <v>29151</v>
      </c>
      <c r="Q134" s="31">
        <v>29002</v>
      </c>
      <c r="R134" s="31">
        <v>28920</v>
      </c>
      <c r="S134" s="31">
        <v>29702</v>
      </c>
      <c r="T134" s="31">
        <v>37379</v>
      </c>
      <c r="U134" s="31">
        <v>32161</v>
      </c>
      <c r="V134" s="31">
        <v>36329</v>
      </c>
      <c r="W134" s="34">
        <v>32576</v>
      </c>
      <c r="X134" s="50">
        <f t="shared" si="76"/>
        <v>7.0460286876471878E-2</v>
      </c>
      <c r="Y134" s="50">
        <f t="shared" si="77"/>
        <v>2.5271393486556271E-2</v>
      </c>
      <c r="Z134" s="50">
        <f t="shared" si="78"/>
        <v>5.7809647165306455E-2</v>
      </c>
      <c r="AA134" s="50">
        <f t="shared" si="79"/>
        <v>2.1199224022836693E-2</v>
      </c>
    </row>
    <row r="135" spans="2:27" x14ac:dyDescent="0.25">
      <c r="B135" s="22">
        <v>4290</v>
      </c>
      <c r="C135" s="22" t="s">
        <v>26</v>
      </c>
      <c r="D135" s="49" t="str">
        <f>VLOOKUP(B135,'해외 실적 기업 리스트'!$B$5:$G$239,2,FALSE)</f>
        <v>Prestige International Inc.</v>
      </c>
      <c r="E135" s="22" t="s">
        <v>28</v>
      </c>
      <c r="F135" s="24">
        <v>2.0638762268185169</v>
      </c>
      <c r="G135" s="31">
        <v>11967</v>
      </c>
      <c r="H135" s="31">
        <v>12484</v>
      </c>
      <c r="I135" s="31">
        <v>12611</v>
      </c>
      <c r="J135" s="31">
        <v>13568</v>
      </c>
      <c r="K135" s="31">
        <v>14273</v>
      </c>
      <c r="L135" s="31">
        <v>14110</v>
      </c>
      <c r="M135" s="31">
        <v>13917</v>
      </c>
      <c r="N135" s="31">
        <v>14846</v>
      </c>
      <c r="O135" s="31">
        <v>14981</v>
      </c>
      <c r="P135" s="31">
        <v>14994</v>
      </c>
      <c r="Q135" s="31">
        <v>15048</v>
      </c>
      <c r="R135" s="31">
        <v>15722</v>
      </c>
      <c r="S135" s="31">
        <v>16831</v>
      </c>
      <c r="T135" s="31">
        <v>16118</v>
      </c>
      <c r="U135" s="31">
        <v>16724</v>
      </c>
      <c r="V135" s="31">
        <v>17676</v>
      </c>
      <c r="W135" s="34">
        <v>18221</v>
      </c>
      <c r="X135" s="50">
        <f t="shared" si="76"/>
        <v>1.7956705807173012E-2</v>
      </c>
      <c r="Y135" s="50">
        <f t="shared" si="77"/>
        <v>2.6302986550322593E-2</v>
      </c>
      <c r="Z135" s="50">
        <f t="shared" si="78"/>
        <v>2.9879960241608661E-2</v>
      </c>
      <c r="AA135" s="50">
        <f t="shared" si="79"/>
        <v>2.0638762268185173E-2</v>
      </c>
    </row>
    <row r="136" spans="2:27" x14ac:dyDescent="0.25">
      <c r="B136" s="22">
        <v>9044</v>
      </c>
      <c r="C136" s="22" t="s">
        <v>26</v>
      </c>
      <c r="D136" s="49" t="str">
        <f>VLOOKUP(B136,'해외 실적 기업 리스트'!$B$5:$G$239,2,FALSE)</f>
        <v>Nankai Electric Railway Co., Ltd.</v>
      </c>
      <c r="E136" s="22" t="s">
        <v>28</v>
      </c>
      <c r="F136" s="24">
        <v>2.025223339551951</v>
      </c>
      <c r="G136" s="31">
        <v>56743</v>
      </c>
      <c r="H136" s="31">
        <v>53436</v>
      </c>
      <c r="I136" s="31">
        <v>51842</v>
      </c>
      <c r="J136" s="31">
        <v>56398</v>
      </c>
      <c r="K136" s="31">
        <v>55548</v>
      </c>
      <c r="L136" s="31">
        <v>57492</v>
      </c>
      <c r="M136" s="31">
        <v>54845</v>
      </c>
      <c r="N136" s="31">
        <v>62827</v>
      </c>
      <c r="O136" s="31">
        <v>66417</v>
      </c>
      <c r="P136" s="31">
        <v>57505</v>
      </c>
      <c r="Q136" s="31">
        <v>59722</v>
      </c>
      <c r="R136" s="31">
        <v>63857</v>
      </c>
      <c r="S136" s="31">
        <v>63535</v>
      </c>
      <c r="T136" s="31">
        <v>73673</v>
      </c>
      <c r="U136" s="31">
        <v>62713</v>
      </c>
      <c r="V136" s="31">
        <v>63803</v>
      </c>
      <c r="W136" s="34">
        <v>68876</v>
      </c>
      <c r="X136" s="50">
        <f t="shared" si="76"/>
        <v>6.6094620614097765E-2</v>
      </c>
      <c r="Y136" s="50">
        <f t="shared" si="77"/>
        <v>1.1469129979638559E-2</v>
      </c>
      <c r="Z136" s="50">
        <f t="shared" si="78"/>
        <v>-2.0471760343920842E-4</v>
      </c>
      <c r="AA136" s="50">
        <f t="shared" si="79"/>
        <v>2.0252233395519514E-2</v>
      </c>
    </row>
    <row r="137" spans="2:27" x14ac:dyDescent="0.25">
      <c r="B137" s="22">
        <v>4307</v>
      </c>
      <c r="C137" s="22" t="s">
        <v>26</v>
      </c>
      <c r="D137" s="49" t="str">
        <f>VLOOKUP(B137,'해외 실적 기업 리스트'!$B$5:$G$239,2,FALSE)</f>
        <v>Nomura Research Institute, Ltd.</v>
      </c>
      <c r="E137" s="22" t="s">
        <v>28</v>
      </c>
      <c r="F137" s="24">
        <v>1.7578652400968009</v>
      </c>
      <c r="G137" s="31">
        <v>155973</v>
      </c>
      <c r="H137" s="31">
        <v>163687</v>
      </c>
      <c r="I137" s="31">
        <v>167537</v>
      </c>
      <c r="J137" s="31">
        <v>171516</v>
      </c>
      <c r="K137" s="31">
        <v>177005</v>
      </c>
      <c r="L137" s="31">
        <v>176106</v>
      </c>
      <c r="M137" s="31">
        <v>176709</v>
      </c>
      <c r="N137" s="31">
        <v>185355</v>
      </c>
      <c r="O137" s="31">
        <v>187954</v>
      </c>
      <c r="P137" s="31">
        <v>186537</v>
      </c>
      <c r="Q137" s="31">
        <v>188110</v>
      </c>
      <c r="R137" s="31">
        <v>188668</v>
      </c>
      <c r="S137" s="31">
        <v>191467</v>
      </c>
      <c r="T137" s="31">
        <v>196568</v>
      </c>
      <c r="U137" s="31">
        <v>195770</v>
      </c>
      <c r="V137" s="31">
        <v>201295</v>
      </c>
      <c r="W137" s="34">
        <v>205268</v>
      </c>
      <c r="X137" s="50">
        <f t="shared" si="76"/>
        <v>1.3289930072524214E-2</v>
      </c>
      <c r="Y137" s="50">
        <f t="shared" si="77"/>
        <v>1.0015520133679789E-2</v>
      </c>
      <c r="Z137" s="50">
        <f t="shared" si="78"/>
        <v>1.6346202391539943E-2</v>
      </c>
      <c r="AA137" s="50">
        <f t="shared" si="79"/>
        <v>1.7578652400968009E-2</v>
      </c>
    </row>
    <row r="138" spans="2:27" x14ac:dyDescent="0.25">
      <c r="B138" s="22">
        <v>6754</v>
      </c>
      <c r="C138" s="22" t="s">
        <v>26</v>
      </c>
      <c r="D138" s="49" t="str">
        <f>VLOOKUP(B138,'해외 실적 기업 리스트'!$B$5:$G$239,2,FALSE)</f>
        <v>Anritsu Corporation</v>
      </c>
      <c r="E138" s="22" t="s">
        <v>28</v>
      </c>
      <c r="F138" s="24">
        <v>1.65764212530195</v>
      </c>
      <c r="G138" s="31">
        <v>24632</v>
      </c>
      <c r="H138" s="31">
        <v>29523</v>
      </c>
      <c r="I138" s="31">
        <v>26180</v>
      </c>
      <c r="J138" s="31">
        <v>27783</v>
      </c>
      <c r="K138" s="31">
        <v>27719</v>
      </c>
      <c r="L138" s="31">
        <v>29236</v>
      </c>
      <c r="M138" s="31">
        <v>22742</v>
      </c>
      <c r="N138" s="31">
        <v>28153</v>
      </c>
      <c r="O138" s="31">
        <v>26886</v>
      </c>
      <c r="P138" s="31">
        <v>32171</v>
      </c>
      <c r="Q138" s="31">
        <v>25229</v>
      </c>
      <c r="R138" s="31">
        <v>28080</v>
      </c>
      <c r="S138" s="31">
        <v>27531</v>
      </c>
      <c r="T138" s="31">
        <v>32139</v>
      </c>
      <c r="U138" s="31">
        <v>23620</v>
      </c>
      <c r="V138" s="31">
        <v>28073</v>
      </c>
      <c r="W138" s="34">
        <v>29377</v>
      </c>
      <c r="X138" s="50">
        <f t="shared" si="76"/>
        <v>-2.8315827662794835E-4</v>
      </c>
      <c r="Y138" s="50">
        <f t="shared" si="77"/>
        <v>-1.4241584719284162E-2</v>
      </c>
      <c r="Z138" s="50">
        <f t="shared" si="78"/>
        <v>-6.2853551225594551E-5</v>
      </c>
      <c r="AA138" s="50">
        <f t="shared" si="79"/>
        <v>1.6576421253019502E-2</v>
      </c>
    </row>
    <row r="139" spans="2:27" x14ac:dyDescent="0.25">
      <c r="B139" s="22">
        <v>1944</v>
      </c>
      <c r="C139" s="22" t="s">
        <v>26</v>
      </c>
      <c r="D139" s="49" t="str">
        <f>VLOOKUP(B139,'해외 실적 기업 리스트'!$B$5:$G$239,2,FALSE)</f>
        <v>Kinden Corporation</v>
      </c>
      <c r="E139" s="22" t="s">
        <v>28</v>
      </c>
      <c r="F139" s="24">
        <v>1.5573946040340789</v>
      </c>
      <c r="G139" s="31">
        <v>131054</v>
      </c>
      <c r="H139" s="31">
        <v>191596</v>
      </c>
      <c r="I139" s="31">
        <v>115451</v>
      </c>
      <c r="J139" s="31">
        <v>142657</v>
      </c>
      <c r="K139" s="31">
        <v>144565</v>
      </c>
      <c r="L139" s="31">
        <v>206459</v>
      </c>
      <c r="M139" s="31">
        <v>112798</v>
      </c>
      <c r="N139" s="31">
        <v>157872</v>
      </c>
      <c r="O139" s="31">
        <v>156442</v>
      </c>
      <c r="P139" s="31">
        <v>227404</v>
      </c>
      <c r="Q139" s="31">
        <v>133244</v>
      </c>
      <c r="R139" s="31">
        <v>164796</v>
      </c>
      <c r="S139" s="31">
        <v>166545</v>
      </c>
      <c r="T139" s="31">
        <v>240473</v>
      </c>
      <c r="U139" s="31">
        <v>141412</v>
      </c>
      <c r="V139" s="31">
        <v>179966</v>
      </c>
      <c r="W139" s="34">
        <v>177889</v>
      </c>
      <c r="X139" s="50">
        <f t="shared" si="76"/>
        <v>1.8886138363471083E-2</v>
      </c>
      <c r="Y139" s="50">
        <f t="shared" si="77"/>
        <v>1.1584862521948569E-2</v>
      </c>
      <c r="Z139" s="50">
        <f t="shared" si="78"/>
        <v>2.126955551255838E-2</v>
      </c>
      <c r="AA139" s="50">
        <f t="shared" si="79"/>
        <v>1.5573946040340791E-2</v>
      </c>
    </row>
    <row r="140" spans="2:27" x14ac:dyDescent="0.25">
      <c r="B140" s="22">
        <v>6504</v>
      </c>
      <c r="C140" s="22" t="s">
        <v>26</v>
      </c>
      <c r="D140" s="49" t="str">
        <f>VLOOKUP(B140,'해외 실적 기업 리스트'!$B$5:$G$239,2,FALSE)</f>
        <v>Fuji Electric Co., Ltd.</v>
      </c>
      <c r="E140" s="22" t="s">
        <v>28</v>
      </c>
      <c r="F140" s="24">
        <v>1.2152002668514019</v>
      </c>
      <c r="G140" s="31">
        <v>222296</v>
      </c>
      <c r="H140" s="31">
        <v>290245</v>
      </c>
      <c r="I140" s="31">
        <v>203940</v>
      </c>
      <c r="J140" s="31">
        <v>243198</v>
      </c>
      <c r="K140" s="31">
        <v>243638</v>
      </c>
      <c r="L140" s="31">
        <v>318671</v>
      </c>
      <c r="M140" s="31">
        <v>234148</v>
      </c>
      <c r="N140" s="31">
        <v>257544</v>
      </c>
      <c r="O140" s="31">
        <v>267969</v>
      </c>
      <c r="P140" s="31">
        <v>343553</v>
      </c>
      <c r="Q140" s="31">
        <v>236387</v>
      </c>
      <c r="R140" s="31">
        <v>260990</v>
      </c>
      <c r="S140" s="31">
        <v>293687</v>
      </c>
      <c r="T140" s="31">
        <v>332343</v>
      </c>
      <c r="U140" s="31">
        <v>247916</v>
      </c>
      <c r="V140" s="31">
        <v>295244</v>
      </c>
      <c r="W140" s="34">
        <v>307895</v>
      </c>
      <c r="X140" s="50">
        <f t="shared" si="76"/>
        <v>-9.879985933579305E-3</v>
      </c>
      <c r="Y140" s="50">
        <f t="shared" si="77"/>
        <v>1.0262531744950953E-2</v>
      </c>
      <c r="Z140" s="50">
        <f t="shared" si="78"/>
        <v>3.0181437543614686E-2</v>
      </c>
      <c r="AA140" s="50">
        <f t="shared" si="79"/>
        <v>1.2152002668514017E-2</v>
      </c>
    </row>
    <row r="141" spans="2:27" x14ac:dyDescent="0.25">
      <c r="B141" s="22">
        <v>9436</v>
      </c>
      <c r="C141" s="22" t="s">
        <v>26</v>
      </c>
      <c r="D141" s="49" t="str">
        <f>VLOOKUP(B141,'해외 실적 기업 리스트'!$B$5:$G$239,2,FALSE)</f>
        <v>Okinawa Cellular Telephone Company</v>
      </c>
      <c r="E141" s="22" t="s">
        <v>28</v>
      </c>
      <c r="F141" s="24">
        <v>1.208437947298036</v>
      </c>
      <c r="G141" s="31">
        <v>18972</v>
      </c>
      <c r="H141" s="31">
        <v>18503</v>
      </c>
      <c r="I141" s="31">
        <v>18532</v>
      </c>
      <c r="J141" s="31">
        <v>19631</v>
      </c>
      <c r="K141" s="31">
        <v>19687</v>
      </c>
      <c r="L141" s="31">
        <v>19448</v>
      </c>
      <c r="M141" s="31">
        <v>18500</v>
      </c>
      <c r="N141" s="31">
        <v>19542</v>
      </c>
      <c r="O141" s="31">
        <v>20394</v>
      </c>
      <c r="P141" s="31">
        <v>19554</v>
      </c>
      <c r="Q141" s="31">
        <v>19812</v>
      </c>
      <c r="R141" s="31">
        <v>21335</v>
      </c>
      <c r="S141" s="31">
        <v>21262</v>
      </c>
      <c r="T141" s="31">
        <v>21905</v>
      </c>
      <c r="U141" s="31">
        <v>20612</v>
      </c>
      <c r="V141" s="31">
        <v>21455</v>
      </c>
      <c r="W141" s="34">
        <v>22292</v>
      </c>
      <c r="X141" s="50">
        <f t="shared" si="76"/>
        <v>2.8683674340861165E-2</v>
      </c>
      <c r="Y141" s="50">
        <f t="shared" si="77"/>
        <v>9.4883412007495949E-3</v>
      </c>
      <c r="Z141" s="50">
        <f t="shared" si="78"/>
        <v>1.4098738162935387E-3</v>
      </c>
      <c r="AA141" s="50">
        <f t="shared" si="79"/>
        <v>1.2084379472980356E-2</v>
      </c>
    </row>
    <row r="142" spans="2:27" x14ac:dyDescent="0.25">
      <c r="B142" s="22">
        <v>6586</v>
      </c>
      <c r="C142" s="22" t="s">
        <v>26</v>
      </c>
      <c r="D142" s="49" t="str">
        <f>VLOOKUP(B142,'해외 실적 기업 리스트'!$B$5:$G$239,2,FALSE)</f>
        <v>Makita Corporation</v>
      </c>
      <c r="E142" s="22" t="s">
        <v>28</v>
      </c>
      <c r="F142" s="24">
        <v>1.106550996634037</v>
      </c>
      <c r="G142" s="31">
        <v>182601</v>
      </c>
      <c r="H142" s="31">
        <v>192429</v>
      </c>
      <c r="I142" s="31">
        <v>195348</v>
      </c>
      <c r="J142" s="31">
        <v>195970</v>
      </c>
      <c r="K142" s="31">
        <v>188965</v>
      </c>
      <c r="L142" s="31">
        <v>184419</v>
      </c>
      <c r="M142" s="31">
        <v>184455</v>
      </c>
      <c r="N142" s="31">
        <v>185212</v>
      </c>
      <c r="O142" s="31">
        <v>180947</v>
      </c>
      <c r="P142" s="31">
        <v>190777</v>
      </c>
      <c r="Q142" s="31">
        <v>193932</v>
      </c>
      <c r="R142" s="31">
        <v>192511</v>
      </c>
      <c r="S142" s="31">
        <v>182112</v>
      </c>
      <c r="T142" s="31">
        <v>184575</v>
      </c>
      <c r="U142" s="31">
        <v>186614</v>
      </c>
      <c r="V142" s="31">
        <v>191807</v>
      </c>
      <c r="W142" s="34">
        <v>190357</v>
      </c>
      <c r="X142" s="50">
        <f t="shared" si="76"/>
        <v>-8.1677052988679E-3</v>
      </c>
      <c r="Y142" s="50">
        <f t="shared" si="77"/>
        <v>-9.7167819632733021E-3</v>
      </c>
      <c r="Z142" s="50">
        <f t="shared" si="78"/>
        <v>-9.4393761430489054E-4</v>
      </c>
      <c r="AA142" s="50">
        <f t="shared" si="79"/>
        <v>1.106550996634037E-2</v>
      </c>
    </row>
    <row r="143" spans="2:27" x14ac:dyDescent="0.25">
      <c r="B143" s="22">
        <v>4502</v>
      </c>
      <c r="C143" s="22" t="s">
        <v>26</v>
      </c>
      <c r="D143" s="49" t="str">
        <f>VLOOKUP(B143,'해외 실적 기업 리스트'!$B$5:$G$239,2,FALSE)</f>
        <v>Takeda Pharmaceutical Company Limited</v>
      </c>
      <c r="E143" s="22" t="s">
        <v>28</v>
      </c>
      <c r="F143" s="24">
        <v>1.07706490643884</v>
      </c>
      <c r="G143" s="31">
        <v>901294</v>
      </c>
      <c r="H143" s="31">
        <v>873289</v>
      </c>
      <c r="I143" s="31">
        <v>972465</v>
      </c>
      <c r="J143" s="31">
        <v>1002307</v>
      </c>
      <c r="K143" s="31">
        <v>1096551</v>
      </c>
      <c r="L143" s="31">
        <v>956156</v>
      </c>
      <c r="M143" s="31">
        <v>1058618</v>
      </c>
      <c r="N143" s="31">
        <v>1043089</v>
      </c>
      <c r="O143" s="31">
        <v>1111186</v>
      </c>
      <c r="P143" s="31">
        <v>1050869</v>
      </c>
      <c r="Q143" s="31">
        <v>1207990</v>
      </c>
      <c r="R143" s="31">
        <v>1176038</v>
      </c>
      <c r="S143" s="31">
        <v>1144124</v>
      </c>
      <c r="T143" s="31">
        <v>1053399</v>
      </c>
      <c r="U143" s="31">
        <v>1106685</v>
      </c>
      <c r="V143" s="31">
        <v>1112796</v>
      </c>
      <c r="W143" s="34">
        <v>1191698</v>
      </c>
      <c r="X143" s="50">
        <f t="shared" si="76"/>
        <v>5.5251985085891242E-4</v>
      </c>
      <c r="Y143" s="50">
        <f t="shared" si="77"/>
        <v>-2.2111507653194251E-2</v>
      </c>
      <c r="Z143" s="50">
        <f t="shared" si="78"/>
        <v>-1.4115742751625637E-2</v>
      </c>
      <c r="AA143" s="50">
        <f t="shared" si="79"/>
        <v>1.0770649064388405E-2</v>
      </c>
    </row>
    <row r="144" spans="2:27" hidden="1" x14ac:dyDescent="0.25">
      <c r="B144" s="22" t="s">
        <v>200</v>
      </c>
      <c r="C144" s="22" t="s">
        <v>23</v>
      </c>
      <c r="D144" s="22" t="s">
        <v>201</v>
      </c>
      <c r="E144" s="22" t="s">
        <v>34</v>
      </c>
      <c r="F144" s="22">
        <v>0.13694878115584341</v>
      </c>
      <c r="G144" s="22">
        <v>414</v>
      </c>
      <c r="H144" s="22">
        <v>414</v>
      </c>
      <c r="I144" s="22">
        <v>461</v>
      </c>
      <c r="J144" s="22">
        <v>479</v>
      </c>
      <c r="K144" s="22">
        <v>454</v>
      </c>
      <c r="L144" s="22">
        <v>492</v>
      </c>
      <c r="M144" s="22">
        <v>497</v>
      </c>
      <c r="N144" s="22">
        <v>538</v>
      </c>
      <c r="O144" s="22">
        <v>551</v>
      </c>
      <c r="P144" s="23">
        <v>917</v>
      </c>
      <c r="Q144" s="23">
        <v>902</v>
      </c>
      <c r="R144" s="23">
        <v>908</v>
      </c>
      <c r="S144" s="23">
        <v>912</v>
      </c>
      <c r="T144" s="22">
        <v>944</v>
      </c>
      <c r="U144" s="22">
        <v>929</v>
      </c>
      <c r="V144" s="22">
        <v>866</v>
      </c>
      <c r="W144" s="22">
        <v>917</v>
      </c>
    </row>
    <row r="145" spans="2:27" x14ac:dyDescent="0.25">
      <c r="B145" s="22">
        <v>7751</v>
      </c>
      <c r="C145" s="22" t="s">
        <v>26</v>
      </c>
      <c r="D145" s="49" t="str">
        <f>VLOOKUP(B145,'해외 실적 기업 리스트'!$B$5:$G$239,2,FALSE)</f>
        <v>Canon Inc.</v>
      </c>
      <c r="E145" s="22" t="s">
        <v>28</v>
      </c>
      <c r="F145" s="24">
        <v>1.0515664354397549</v>
      </c>
      <c r="G145" s="31">
        <v>955449</v>
      </c>
      <c r="H145" s="31">
        <v>879350</v>
      </c>
      <c r="I145" s="31">
        <v>998799</v>
      </c>
      <c r="J145" s="31">
        <v>996090</v>
      </c>
      <c r="K145" s="31">
        <v>1157175</v>
      </c>
      <c r="L145" s="31">
        <v>971125</v>
      </c>
      <c r="M145" s="31">
        <v>1020882</v>
      </c>
      <c r="N145" s="31">
        <v>1025247</v>
      </c>
      <c r="O145" s="31">
        <v>1163718</v>
      </c>
      <c r="P145" s="31">
        <v>988519</v>
      </c>
      <c r="Q145" s="31">
        <v>1167786</v>
      </c>
      <c r="R145" s="31">
        <v>1079806</v>
      </c>
      <c r="S145" s="31">
        <v>1273710</v>
      </c>
      <c r="T145" s="31">
        <v>1058396</v>
      </c>
      <c r="U145" s="31">
        <v>1140171</v>
      </c>
      <c r="V145" s="31">
        <v>1104324</v>
      </c>
      <c r="W145" s="34">
        <v>1321836</v>
      </c>
      <c r="X145" s="50">
        <f t="shared" ref="X145:X151" si="80">SUM(Q145:T145)/SUM(P145:S145)-1</f>
        <v>1.5494406540747407E-2</v>
      </c>
      <c r="Y145" s="50">
        <f t="shared" ref="Y145:Y151" si="81">SUM(R145:U145)/SUM(Q145:T145)-1</f>
        <v>-6.029873585550849E-3</v>
      </c>
      <c r="Z145" s="50">
        <f t="shared" ref="Z145:Z151" si="82">SUM(S145:V145)/SUM(R145:U145)-1</f>
        <v>5.3861056575637001E-3</v>
      </c>
      <c r="AA145" s="50">
        <f t="shared" ref="AA145:AA151" si="83">SUM(T145:W145)/SUM(S145:V145)-1</f>
        <v>1.0515664354397547E-2</v>
      </c>
    </row>
    <row r="146" spans="2:27" x14ac:dyDescent="0.25">
      <c r="B146" s="22">
        <v>4661</v>
      </c>
      <c r="C146" s="22" t="s">
        <v>26</v>
      </c>
      <c r="D146" s="49" t="str">
        <f>VLOOKUP(B146,'해외 실적 기업 리스트'!$B$5:$G$239,2,FALSE)</f>
        <v>Oriental Land Co., Ltd.</v>
      </c>
      <c r="E146" s="22" t="s">
        <v>28</v>
      </c>
      <c r="F146" s="24">
        <v>0.87799443216056705</v>
      </c>
      <c r="G146" s="31">
        <v>92745</v>
      </c>
      <c r="H146" s="31">
        <v>85415</v>
      </c>
      <c r="I146" s="31">
        <v>98166</v>
      </c>
      <c r="J146" s="31">
        <v>105877</v>
      </c>
      <c r="K146" s="32">
        <v>146982</v>
      </c>
      <c r="L146" s="32">
        <v>132098</v>
      </c>
      <c r="M146" s="31">
        <v>140604</v>
      </c>
      <c r="N146" s="31">
        <v>143726</v>
      </c>
      <c r="O146" s="31">
        <v>181946</v>
      </c>
      <c r="P146" s="31">
        <v>152217</v>
      </c>
      <c r="Q146" s="31">
        <v>148421</v>
      </c>
      <c r="R146" s="31">
        <v>148846</v>
      </c>
      <c r="S146" s="31">
        <v>207906</v>
      </c>
      <c r="T146" s="31">
        <v>174201</v>
      </c>
      <c r="U146" s="31">
        <v>163750</v>
      </c>
      <c r="V146" s="31">
        <v>152439</v>
      </c>
      <c r="W146" s="34">
        <v>214037</v>
      </c>
      <c r="X146" s="50">
        <f t="shared" si="80"/>
        <v>3.3441336193127391E-2</v>
      </c>
      <c r="Y146" s="50">
        <f t="shared" si="81"/>
        <v>2.2563418676605274E-2</v>
      </c>
      <c r="Z146" s="50">
        <f t="shared" si="82"/>
        <v>5.1719943630588183E-3</v>
      </c>
      <c r="AA146" s="50">
        <f t="shared" si="83"/>
        <v>8.7799443216056705E-3</v>
      </c>
    </row>
    <row r="147" spans="2:27" x14ac:dyDescent="0.25">
      <c r="B147" s="22">
        <v>5333</v>
      </c>
      <c r="C147" s="22" t="s">
        <v>26</v>
      </c>
      <c r="D147" s="49" t="str">
        <f>VLOOKUP(B147,'해외 실적 기업 리스트'!$B$5:$G$239,2,FALSE)</f>
        <v>NGK Insulators, Ltd.</v>
      </c>
      <c r="E147" s="22" t="s">
        <v>28</v>
      </c>
      <c r="F147" s="24">
        <v>0.71134522255604793</v>
      </c>
      <c r="G147" s="31">
        <v>121723</v>
      </c>
      <c r="H147" s="31">
        <v>138557</v>
      </c>
      <c r="I147" s="31">
        <v>131000</v>
      </c>
      <c r="J147" s="31">
        <v>143688</v>
      </c>
      <c r="K147" s="31">
        <v>140393</v>
      </c>
      <c r="L147" s="31">
        <v>144159</v>
      </c>
      <c r="M147" s="31">
        <v>141331</v>
      </c>
      <c r="N147" s="31">
        <v>141553</v>
      </c>
      <c r="O147" s="31">
        <v>139643</v>
      </c>
      <c r="P147" s="31">
        <v>156386</v>
      </c>
      <c r="Q147" s="31">
        <v>152521</v>
      </c>
      <c r="R147" s="31">
        <v>145831</v>
      </c>
      <c r="S147" s="31">
        <v>157099</v>
      </c>
      <c r="T147" s="31">
        <v>164062</v>
      </c>
      <c r="U147" s="31">
        <v>166458</v>
      </c>
      <c r="V147" s="31">
        <v>159746</v>
      </c>
      <c r="W147" s="34">
        <v>161704</v>
      </c>
      <c r="X147" s="50">
        <f t="shared" si="80"/>
        <v>1.2545825113551512E-2</v>
      </c>
      <c r="Y147" s="50">
        <f t="shared" si="81"/>
        <v>2.2496703055464584E-2</v>
      </c>
      <c r="Z147" s="50">
        <f t="shared" si="82"/>
        <v>2.1967006077827866E-2</v>
      </c>
      <c r="AA147" s="50">
        <f t="shared" si="83"/>
        <v>7.1134522255604793E-3</v>
      </c>
    </row>
    <row r="148" spans="2:27" x14ac:dyDescent="0.25">
      <c r="B148" s="22">
        <v>6345</v>
      </c>
      <c r="C148" s="22" t="s">
        <v>26</v>
      </c>
      <c r="D148" s="49" t="str">
        <f>VLOOKUP(B148,'해외 실적 기업 리스트'!$B$5:$G$239,2,FALSE)</f>
        <v>Aichi Corporation</v>
      </c>
      <c r="E148" s="22" t="s">
        <v>28</v>
      </c>
      <c r="F148" s="24">
        <v>0.63159405727408746</v>
      </c>
      <c r="G148" s="31">
        <v>13252</v>
      </c>
      <c r="H148" s="31">
        <v>17979</v>
      </c>
      <c r="I148" s="31">
        <v>10681</v>
      </c>
      <c r="J148" s="31">
        <v>16411</v>
      </c>
      <c r="K148" s="31">
        <v>12789</v>
      </c>
      <c r="L148" s="31">
        <v>20797</v>
      </c>
      <c r="M148" s="31">
        <v>10606</v>
      </c>
      <c r="N148" s="31">
        <v>15789</v>
      </c>
      <c r="O148" s="31">
        <v>12333</v>
      </c>
      <c r="P148" s="31">
        <v>14401</v>
      </c>
      <c r="Q148" s="31">
        <v>12746</v>
      </c>
      <c r="R148" s="31">
        <v>15333</v>
      </c>
      <c r="S148" s="31">
        <v>13296</v>
      </c>
      <c r="T148" s="31">
        <v>17931</v>
      </c>
      <c r="U148" s="31">
        <v>9210</v>
      </c>
      <c r="V148" s="31">
        <v>15295</v>
      </c>
      <c r="W148" s="34">
        <v>13648</v>
      </c>
      <c r="X148" s="50">
        <f t="shared" si="80"/>
        <v>6.3288869764773326E-2</v>
      </c>
      <c r="Y148" s="50">
        <f t="shared" si="81"/>
        <v>-5.9622972380534822E-2</v>
      </c>
      <c r="Z148" s="50">
        <f t="shared" si="82"/>
        <v>-6.8136991213918474E-4</v>
      </c>
      <c r="AA148" s="50">
        <f t="shared" si="83"/>
        <v>6.3159405727408746E-3</v>
      </c>
    </row>
    <row r="149" spans="2:27" x14ac:dyDescent="0.25">
      <c r="B149" s="22">
        <v>6701</v>
      </c>
      <c r="C149" s="22" t="s">
        <v>26</v>
      </c>
      <c r="D149" s="49" t="str">
        <f>VLOOKUP(B149,'해외 실적 기업 리스트'!$B$5:$G$239,2,FALSE)</f>
        <v>NEC Corporation</v>
      </c>
      <c r="E149" s="22" t="s">
        <v>28</v>
      </c>
      <c r="F149" s="24">
        <v>0.49635908278660162</v>
      </c>
      <c r="G149" s="31">
        <v>713551</v>
      </c>
      <c r="H149" s="31">
        <v>917739</v>
      </c>
      <c r="I149" s="31">
        <v>659669</v>
      </c>
      <c r="J149" s="31">
        <v>795702</v>
      </c>
      <c r="K149" s="31">
        <v>813888</v>
      </c>
      <c r="L149" s="31">
        <v>1043759</v>
      </c>
      <c r="M149" s="31">
        <v>706542</v>
      </c>
      <c r="N149" s="31">
        <v>842259</v>
      </c>
      <c r="O149" s="31">
        <v>844475</v>
      </c>
      <c r="P149" s="31">
        <v>1083986</v>
      </c>
      <c r="Q149" s="31">
        <v>690296</v>
      </c>
      <c r="R149" s="31">
        <v>796380</v>
      </c>
      <c r="S149" s="31">
        <v>835133</v>
      </c>
      <c r="T149" s="31">
        <v>1101622</v>
      </c>
      <c r="U149" s="31">
        <v>715658</v>
      </c>
      <c r="V149" s="31">
        <v>854121</v>
      </c>
      <c r="W149" s="34">
        <v>852538</v>
      </c>
      <c r="X149" s="50">
        <f t="shared" si="80"/>
        <v>5.1782329823140127E-3</v>
      </c>
      <c r="Y149" s="50">
        <f t="shared" si="81"/>
        <v>7.4083572883461013E-3</v>
      </c>
      <c r="Z149" s="50">
        <f t="shared" si="82"/>
        <v>1.6742379145399555E-2</v>
      </c>
      <c r="AA149" s="50">
        <f t="shared" si="83"/>
        <v>4.9635908278660157E-3</v>
      </c>
    </row>
    <row r="150" spans="2:27" x14ac:dyDescent="0.25">
      <c r="B150" s="22">
        <v>9766</v>
      </c>
      <c r="C150" s="22" t="s">
        <v>26</v>
      </c>
      <c r="D150" s="49" t="str">
        <f>VLOOKUP(B150,'해외 실적 기업 리스트'!$B$5:$G$239,2,FALSE)</f>
        <v>Konami Group Corporation</v>
      </c>
      <c r="E150" s="22" t="s">
        <v>28</v>
      </c>
      <c r="F150" s="24">
        <v>0.31058251524254121</v>
      </c>
      <c r="G150" s="31">
        <v>75562</v>
      </c>
      <c r="H150" s="31">
        <v>84474</v>
      </c>
      <c r="I150" s="31">
        <v>71905</v>
      </c>
      <c r="J150" s="31">
        <v>76454</v>
      </c>
      <c r="K150" s="31">
        <v>78519</v>
      </c>
      <c r="L150" s="31">
        <v>87443</v>
      </c>
      <c r="M150" s="31">
        <v>72633</v>
      </c>
      <c r="N150" s="31">
        <v>81218</v>
      </c>
      <c r="O150" s="31">
        <v>99245</v>
      </c>
      <c r="P150" s="31">
        <v>107218</v>
      </c>
      <c r="Q150" s="31">
        <v>90039</v>
      </c>
      <c r="R150" s="31">
        <v>94045</v>
      </c>
      <c r="S150" s="31">
        <v>126745</v>
      </c>
      <c r="T150" s="31">
        <v>110773</v>
      </c>
      <c r="U150" s="31">
        <v>96964</v>
      </c>
      <c r="V150" s="31">
        <v>127875</v>
      </c>
      <c r="W150" s="34">
        <v>128181</v>
      </c>
      <c r="X150" s="50">
        <f t="shared" si="80"/>
        <v>8.5038285168892447E-3</v>
      </c>
      <c r="Y150" s="50">
        <f t="shared" si="81"/>
        <v>1.6425443902068793E-2</v>
      </c>
      <c r="Z150" s="50">
        <f t="shared" si="82"/>
        <v>7.8944850616180506E-2</v>
      </c>
      <c r="AA150" s="50">
        <f t="shared" si="83"/>
        <v>3.1058251524254121E-3</v>
      </c>
    </row>
    <row r="151" spans="2:27" x14ac:dyDescent="0.25">
      <c r="B151" s="22">
        <v>4204</v>
      </c>
      <c r="C151" s="22" t="s">
        <v>26</v>
      </c>
      <c r="D151" s="49" t="str">
        <f>VLOOKUP(B151,'해외 실적 기업 리스트'!$B$5:$G$239,2,FALSE)</f>
        <v>Sekisui Chemical Co., Ltd.</v>
      </c>
      <c r="E151" s="22" t="s">
        <v>28</v>
      </c>
      <c r="F151" s="24">
        <v>0.29441754152497168</v>
      </c>
      <c r="G151" s="31">
        <v>290709</v>
      </c>
      <c r="H151" s="31">
        <v>319294</v>
      </c>
      <c r="I151" s="31">
        <v>282271</v>
      </c>
      <c r="J151" s="31">
        <v>325494</v>
      </c>
      <c r="K151" s="31">
        <v>304466</v>
      </c>
      <c r="L151" s="31">
        <v>330290</v>
      </c>
      <c r="M151" s="31">
        <v>285393</v>
      </c>
      <c r="N151" s="31">
        <v>325901</v>
      </c>
      <c r="O151" s="31">
        <v>312637</v>
      </c>
      <c r="P151" s="31">
        <v>332607</v>
      </c>
      <c r="Q151" s="31">
        <v>298828</v>
      </c>
      <c r="R151" s="31">
        <v>330226</v>
      </c>
      <c r="S151" s="31">
        <v>326287</v>
      </c>
      <c r="T151" s="31">
        <v>342412</v>
      </c>
      <c r="U151" s="31">
        <v>305147</v>
      </c>
      <c r="V151" s="31">
        <v>324650</v>
      </c>
      <c r="W151" s="34">
        <v>330110</v>
      </c>
      <c r="X151" s="50">
        <f t="shared" si="80"/>
        <v>7.6128849922512121E-3</v>
      </c>
      <c r="Y151" s="50">
        <f t="shared" si="81"/>
        <v>4.869185430509404E-3</v>
      </c>
      <c r="Z151" s="50">
        <f t="shared" si="82"/>
        <v>-4.2758375304431384E-3</v>
      </c>
      <c r="AA151" s="50">
        <f t="shared" si="83"/>
        <v>2.9441754152497168E-3</v>
      </c>
    </row>
    <row r="152" spans="2:27" hidden="1" x14ac:dyDescent="0.25">
      <c r="B152" s="22" t="s">
        <v>210</v>
      </c>
      <c r="C152" s="22" t="s">
        <v>26</v>
      </c>
      <c r="D152" s="22" t="s">
        <v>27</v>
      </c>
      <c r="E152" s="22" t="s">
        <v>34</v>
      </c>
      <c r="F152" s="22">
        <v>-0.45325221707678282</v>
      </c>
      <c r="G152" s="22">
        <v>117314</v>
      </c>
      <c r="H152" s="22">
        <v>110673</v>
      </c>
      <c r="I152" s="22">
        <v>141783</v>
      </c>
      <c r="J152" s="22">
        <v>118957</v>
      </c>
      <c r="K152" s="22">
        <v>149222</v>
      </c>
      <c r="L152" s="22">
        <v>148747</v>
      </c>
      <c r="M152" s="22">
        <v>171233</v>
      </c>
      <c r="N152" s="22">
        <v>132173</v>
      </c>
      <c r="O152" s="22">
        <v>153484</v>
      </c>
      <c r="P152" s="22">
        <v>149815</v>
      </c>
      <c r="Q152" s="22">
        <v>175635</v>
      </c>
      <c r="R152" s="22">
        <v>142375</v>
      </c>
      <c r="S152" s="22">
        <v>171452</v>
      </c>
      <c r="T152" s="22">
        <v>161284</v>
      </c>
      <c r="U152" s="22">
        <v>187269</v>
      </c>
      <c r="V152" s="22">
        <v>140775</v>
      </c>
      <c r="W152" s="22">
        <v>168457</v>
      </c>
    </row>
    <row r="153" spans="2:27" x14ac:dyDescent="0.25">
      <c r="B153" s="22">
        <v>7947</v>
      </c>
      <c r="C153" s="22" t="s">
        <v>26</v>
      </c>
      <c r="D153" s="49" t="str">
        <f>VLOOKUP(B153,'해외 실적 기업 리스트'!$B$5:$G$239,2,FALSE)</f>
        <v>FP Corporation</v>
      </c>
      <c r="E153" s="22" t="s">
        <v>28</v>
      </c>
      <c r="F153" s="24">
        <v>0.11032656663725331</v>
      </c>
      <c r="G153" s="31">
        <v>53512</v>
      </c>
      <c r="H153" s="31">
        <v>44821</v>
      </c>
      <c r="I153" s="31">
        <v>49437</v>
      </c>
      <c r="J153" s="31">
        <v>53125</v>
      </c>
      <c r="K153" s="31">
        <v>60249</v>
      </c>
      <c r="L153" s="31">
        <v>48474</v>
      </c>
      <c r="M153" s="31">
        <v>53233</v>
      </c>
      <c r="N153" s="31">
        <v>55493</v>
      </c>
      <c r="O153" s="31">
        <v>62034</v>
      </c>
      <c r="P153" s="31">
        <v>51340</v>
      </c>
      <c r="Q153" s="31">
        <v>55131</v>
      </c>
      <c r="R153" s="31">
        <v>59761</v>
      </c>
      <c r="S153" s="31">
        <v>66714</v>
      </c>
      <c r="T153" s="31">
        <v>54022</v>
      </c>
      <c r="U153" s="31">
        <v>57813</v>
      </c>
      <c r="V153" s="31">
        <v>61647</v>
      </c>
      <c r="W153" s="34">
        <v>66979</v>
      </c>
      <c r="X153" s="50">
        <f t="shared" ref="X153:X162" si="84">SUM(Q153:T153)/SUM(P153:S153)-1</f>
        <v>1.1513397954890925E-2</v>
      </c>
      <c r="Y153" s="50">
        <f t="shared" ref="Y153:Y162" si="85">SUM(R153:U153)/SUM(Q153:T153)-1</f>
        <v>1.1382348447552815E-2</v>
      </c>
      <c r="Z153" s="50">
        <f t="shared" ref="Z153:Z162" si="86">SUM(S153:V153)/SUM(R153:U153)-1</f>
        <v>7.9140615165120831E-3</v>
      </c>
      <c r="AA153" s="50">
        <f t="shared" ref="AA153:AA162" si="87">SUM(T153:W153)/SUM(S153:V153)-1</f>
        <v>1.1032656663725326E-3</v>
      </c>
    </row>
    <row r="154" spans="2:27" x14ac:dyDescent="0.25">
      <c r="B154" s="22">
        <v>6305</v>
      </c>
      <c r="C154" s="22" t="s">
        <v>26</v>
      </c>
      <c r="D154" s="49" t="str">
        <f>VLOOKUP(B154,'해외 실적 기업 리스트'!$B$5:$G$239,2,FALSE)</f>
        <v>Hitachi Construction Machinery Co., Ltd.</v>
      </c>
      <c r="E154" s="22" t="s">
        <v>28</v>
      </c>
      <c r="F154" s="24">
        <v>-1.7799365842430252E-2</v>
      </c>
      <c r="G154" s="31">
        <v>246674</v>
      </c>
      <c r="H154" s="31">
        <v>304595</v>
      </c>
      <c r="I154" s="31">
        <v>267539</v>
      </c>
      <c r="J154" s="31">
        <v>311363</v>
      </c>
      <c r="K154" s="31">
        <v>323846</v>
      </c>
      <c r="L154" s="31">
        <v>376720</v>
      </c>
      <c r="M154" s="31">
        <v>320006</v>
      </c>
      <c r="N154" s="31">
        <v>354094</v>
      </c>
      <c r="O154" s="31">
        <v>346269</v>
      </c>
      <c r="P154" s="31">
        <v>0</v>
      </c>
      <c r="Q154" s="31">
        <v>328217</v>
      </c>
      <c r="R154" s="31">
        <v>337520</v>
      </c>
      <c r="S154" s="31">
        <v>325540</v>
      </c>
      <c r="T154" s="32">
        <v>380008</v>
      </c>
      <c r="U154" s="31">
        <v>306152</v>
      </c>
      <c r="V154" s="31">
        <v>347899</v>
      </c>
      <c r="W154" s="34">
        <v>325298</v>
      </c>
      <c r="X154" s="50">
        <f t="shared" si="84"/>
        <v>0.38335197931556975</v>
      </c>
      <c r="Y154" s="50">
        <f t="shared" si="85"/>
        <v>-1.6090747000076622E-2</v>
      </c>
      <c r="Z154" s="50">
        <f t="shared" si="86"/>
        <v>7.6925927572968344E-3</v>
      </c>
      <c r="AA154" s="50">
        <f t="shared" si="87"/>
        <v>-1.7799365842430248E-4</v>
      </c>
    </row>
    <row r="155" spans="2:27" x14ac:dyDescent="0.25">
      <c r="B155" s="22">
        <v>6923</v>
      </c>
      <c r="C155" s="22" t="s">
        <v>26</v>
      </c>
      <c r="D155" s="49" t="str">
        <f>VLOOKUP(B155,'해외 실적 기업 리스트'!$B$5:$G$239,2,FALSE)</f>
        <v>Stanley Electric Co., Ltd.</v>
      </c>
      <c r="E155" s="22" t="s">
        <v>28</v>
      </c>
      <c r="F155" s="24">
        <v>-1.8869686335232231E-2</v>
      </c>
      <c r="G155" s="31">
        <v>100754</v>
      </c>
      <c r="H155" s="31">
        <v>102698</v>
      </c>
      <c r="I155" s="31">
        <v>93058</v>
      </c>
      <c r="J155" s="31">
        <v>120038</v>
      </c>
      <c r="K155" s="31">
        <v>109555</v>
      </c>
      <c r="L155" s="31">
        <v>115139</v>
      </c>
      <c r="M155" s="31">
        <v>111726</v>
      </c>
      <c r="N155" s="31">
        <v>114437</v>
      </c>
      <c r="O155" s="31">
        <v>129235</v>
      </c>
      <c r="P155" s="31">
        <v>116999</v>
      </c>
      <c r="Q155" s="31">
        <v>121441</v>
      </c>
      <c r="R155" s="31">
        <v>122546</v>
      </c>
      <c r="S155" s="31">
        <v>131910</v>
      </c>
      <c r="T155" s="31">
        <v>133668</v>
      </c>
      <c r="U155" s="31">
        <v>119838</v>
      </c>
      <c r="V155" s="31">
        <v>128636</v>
      </c>
      <c r="W155" s="34">
        <v>131813</v>
      </c>
      <c r="X155" s="50">
        <f t="shared" si="84"/>
        <v>3.3818493150684859E-2</v>
      </c>
      <c r="Y155" s="50">
        <f t="shared" si="85"/>
        <v>-3.1458204547015756E-3</v>
      </c>
      <c r="Z155" s="50">
        <f t="shared" si="86"/>
        <v>1.1989085797756482E-2</v>
      </c>
      <c r="AA155" s="50">
        <f t="shared" si="87"/>
        <v>-1.8869686335232227E-4</v>
      </c>
    </row>
    <row r="156" spans="2:27" x14ac:dyDescent="0.25">
      <c r="B156" s="22">
        <v>5471</v>
      </c>
      <c r="C156" s="22" t="s">
        <v>26</v>
      </c>
      <c r="D156" s="49" t="str">
        <f>VLOOKUP(B156,'해외 실적 기업 리스트'!$B$5:$G$239,2,FALSE)</f>
        <v>Daido Steel Co., Ltd.</v>
      </c>
      <c r="E156" s="22" t="s">
        <v>28</v>
      </c>
      <c r="F156" s="24">
        <v>-0.83176361316308345</v>
      </c>
      <c r="G156" s="31">
        <v>135275</v>
      </c>
      <c r="H156" s="31">
        <v>139168</v>
      </c>
      <c r="I156" s="31">
        <v>137682</v>
      </c>
      <c r="J156" s="31">
        <v>144175</v>
      </c>
      <c r="K156" s="31">
        <v>152869</v>
      </c>
      <c r="L156" s="31">
        <v>143838</v>
      </c>
      <c r="M156" s="31">
        <v>141938</v>
      </c>
      <c r="N156" s="31">
        <v>146656</v>
      </c>
      <c r="O156" s="31">
        <v>149769</v>
      </c>
      <c r="P156" s="31">
        <v>140201</v>
      </c>
      <c r="Q156" s="31">
        <v>142094</v>
      </c>
      <c r="R156" s="31">
        <v>141345</v>
      </c>
      <c r="S156" s="31">
        <v>150522</v>
      </c>
      <c r="T156" s="31">
        <v>140984</v>
      </c>
      <c r="U156" s="31">
        <v>142352</v>
      </c>
      <c r="V156" s="31">
        <v>142147</v>
      </c>
      <c r="W156" s="34">
        <v>145731</v>
      </c>
      <c r="X156" s="50">
        <f t="shared" si="84"/>
        <v>1.3637266137431769E-3</v>
      </c>
      <c r="Y156" s="50">
        <f t="shared" si="85"/>
        <v>4.4873857499405645E-4</v>
      </c>
      <c r="Z156" s="50">
        <f t="shared" si="86"/>
        <v>1.3942903635759674E-3</v>
      </c>
      <c r="AA156" s="50">
        <f t="shared" si="87"/>
        <v>-8.3176361316308345E-3</v>
      </c>
    </row>
    <row r="157" spans="2:27" x14ac:dyDescent="0.25">
      <c r="B157" s="22">
        <v>4956</v>
      </c>
      <c r="C157" s="22" t="s">
        <v>26</v>
      </c>
      <c r="D157" s="49" t="str">
        <f>VLOOKUP(B157,'해외 실적 기업 리스트'!$B$5:$G$239,2,FALSE)</f>
        <v>Konishi Co., Ltd.</v>
      </c>
      <c r="E157" s="22" t="s">
        <v>28</v>
      </c>
      <c r="F157" s="24">
        <v>-1.0815792383971681</v>
      </c>
      <c r="G157" s="31">
        <v>29822</v>
      </c>
      <c r="H157" s="31">
        <v>29906</v>
      </c>
      <c r="I157" s="31">
        <v>27707</v>
      </c>
      <c r="J157" s="31">
        <v>30441</v>
      </c>
      <c r="K157" s="31">
        <v>33072</v>
      </c>
      <c r="L157" s="31">
        <v>32119</v>
      </c>
      <c r="M157" s="31">
        <v>31844</v>
      </c>
      <c r="N157" s="31">
        <v>33473</v>
      </c>
      <c r="O157" s="31">
        <v>35535</v>
      </c>
      <c r="P157" s="31">
        <v>32117</v>
      </c>
      <c r="Q157" s="31">
        <v>32267</v>
      </c>
      <c r="R157" s="31">
        <v>33507</v>
      </c>
      <c r="S157" s="31">
        <v>36912</v>
      </c>
      <c r="T157" s="31">
        <v>33190</v>
      </c>
      <c r="U157" s="31">
        <v>32241</v>
      </c>
      <c r="V157" s="31">
        <v>33292</v>
      </c>
      <c r="W157" s="34">
        <v>35445</v>
      </c>
      <c r="X157" s="50">
        <f t="shared" si="84"/>
        <v>7.9597635067469863E-3</v>
      </c>
      <c r="Y157" s="50">
        <f t="shared" si="85"/>
        <v>-1.9135093761957211E-4</v>
      </c>
      <c r="Z157" s="50">
        <f t="shared" si="86"/>
        <v>-1.5826278984173436E-3</v>
      </c>
      <c r="AA157" s="50">
        <f t="shared" si="87"/>
        <v>-1.0815792383971679E-2</v>
      </c>
    </row>
    <row r="158" spans="2:27" x14ac:dyDescent="0.25">
      <c r="B158" s="22">
        <v>3593</v>
      </c>
      <c r="C158" s="22" t="s">
        <v>26</v>
      </c>
      <c r="D158" s="49" t="str">
        <f>VLOOKUP(B158,'해외 실적 기업 리스트'!$B$5:$G$239,2,FALSE)</f>
        <v>Hogy Medical Co.,Ltd.</v>
      </c>
      <c r="E158" s="22" t="s">
        <v>28</v>
      </c>
      <c r="F158" s="24">
        <v>-1.394100479466331</v>
      </c>
      <c r="G158" s="31">
        <v>9882</v>
      </c>
      <c r="H158" s="31">
        <v>8968</v>
      </c>
      <c r="I158" s="31">
        <v>9447</v>
      </c>
      <c r="J158" s="31">
        <v>9754</v>
      </c>
      <c r="K158" s="31">
        <v>10334</v>
      </c>
      <c r="L158" s="31">
        <v>9446</v>
      </c>
      <c r="M158" s="31">
        <v>9679</v>
      </c>
      <c r="N158" s="31">
        <v>9857</v>
      </c>
      <c r="O158" s="31">
        <v>10218</v>
      </c>
      <c r="P158" s="31">
        <v>9346</v>
      </c>
      <c r="Q158" s="31">
        <v>9725</v>
      </c>
      <c r="R158" s="31">
        <v>9894</v>
      </c>
      <c r="S158" s="31">
        <v>10397</v>
      </c>
      <c r="T158" s="31">
        <v>9122</v>
      </c>
      <c r="U158" s="31">
        <v>9375</v>
      </c>
      <c r="V158" s="31">
        <v>9482</v>
      </c>
      <c r="W158" s="34">
        <v>9862</v>
      </c>
      <c r="X158" s="50">
        <f t="shared" si="84"/>
        <v>-5.6907677455413364E-3</v>
      </c>
      <c r="Y158" s="50">
        <f t="shared" si="85"/>
        <v>-8.9427155194440333E-3</v>
      </c>
      <c r="Z158" s="50">
        <f t="shared" si="86"/>
        <v>-1.0621841806744303E-2</v>
      </c>
      <c r="AA158" s="50">
        <f t="shared" si="87"/>
        <v>-1.3941004794663314E-2</v>
      </c>
    </row>
    <row r="159" spans="2:27" x14ac:dyDescent="0.25">
      <c r="B159" s="22">
        <v>6702</v>
      </c>
      <c r="C159" s="22" t="s">
        <v>26</v>
      </c>
      <c r="D159" s="49" t="str">
        <f>VLOOKUP(B159,'해외 실적 기업 리스트'!$B$5:$G$239,2,FALSE)</f>
        <v>Fujitsu Limited</v>
      </c>
      <c r="E159" s="22" t="s">
        <v>28</v>
      </c>
      <c r="F159" s="24">
        <v>-1.610164661152536</v>
      </c>
      <c r="G159" s="31">
        <v>880526</v>
      </c>
      <c r="H159" s="31">
        <v>1043302</v>
      </c>
      <c r="I159" s="31">
        <v>818862</v>
      </c>
      <c r="J159" s="31">
        <v>886449</v>
      </c>
      <c r="K159" s="31">
        <v>931424</v>
      </c>
      <c r="L159" s="31">
        <v>1077032</v>
      </c>
      <c r="M159" s="31">
        <v>799640</v>
      </c>
      <c r="N159" s="31">
        <v>912257</v>
      </c>
      <c r="O159" s="31">
        <v>930825</v>
      </c>
      <c r="P159" s="31">
        <v>1113337</v>
      </c>
      <c r="Q159" s="31">
        <v>830030</v>
      </c>
      <c r="R159" s="31">
        <v>866646</v>
      </c>
      <c r="S159" s="31">
        <v>924756</v>
      </c>
      <c r="T159" s="31">
        <v>0</v>
      </c>
      <c r="U159" s="31">
        <v>749859</v>
      </c>
      <c r="V159" s="31">
        <v>816683</v>
      </c>
      <c r="W159" s="34">
        <v>884642</v>
      </c>
      <c r="X159" s="50">
        <f t="shared" si="84"/>
        <v>-0.29810063219438743</v>
      </c>
      <c r="Y159" s="50">
        <f t="shared" si="85"/>
        <v>-3.0582902779854648E-2</v>
      </c>
      <c r="Z159" s="50">
        <f t="shared" si="86"/>
        <v>-1.9660711749009629E-2</v>
      </c>
      <c r="AA159" s="50">
        <f t="shared" si="87"/>
        <v>-1.6101646611525355E-2</v>
      </c>
    </row>
    <row r="160" spans="2:27" x14ac:dyDescent="0.25">
      <c r="B160" s="22">
        <v>7205</v>
      </c>
      <c r="C160" s="22" t="s">
        <v>26</v>
      </c>
      <c r="D160" s="49" t="str">
        <f>VLOOKUP(B160,'해외 실적 기업 리스트'!$B$5:$G$239,2,FALSE)</f>
        <v>Hino Motors, Ltd.</v>
      </c>
      <c r="E160" s="22" t="s">
        <v>28</v>
      </c>
      <c r="F160" s="24">
        <v>-2.1527218748390919</v>
      </c>
      <c r="G160" s="31">
        <v>380042</v>
      </c>
      <c r="H160" s="31">
        <v>390279</v>
      </c>
      <c r="I160" s="31">
        <v>355856</v>
      </c>
      <c r="J160" s="31">
        <v>377503</v>
      </c>
      <c r="K160" s="31">
        <v>377018</v>
      </c>
      <c r="L160" s="31">
        <v>396959</v>
      </c>
      <c r="M160" s="31">
        <v>371914</v>
      </c>
      <c r="N160" s="31">
        <v>383474</v>
      </c>
      <c r="O160" s="31">
        <v>386124</v>
      </c>
      <c r="P160" s="31">
        <v>374743</v>
      </c>
      <c r="Q160" s="31">
        <v>411060</v>
      </c>
      <c r="R160" s="31">
        <v>436486</v>
      </c>
      <c r="S160" s="31">
        <v>432661</v>
      </c>
      <c r="T160" s="31">
        <v>417022</v>
      </c>
      <c r="U160" s="31">
        <v>364244</v>
      </c>
      <c r="V160" s="31">
        <v>378615</v>
      </c>
      <c r="W160" s="34">
        <v>398378</v>
      </c>
      <c r="X160" s="50">
        <f t="shared" si="84"/>
        <v>2.5546995377503823E-2</v>
      </c>
      <c r="Y160" s="50">
        <f t="shared" si="85"/>
        <v>-2.7583785099123292E-2</v>
      </c>
      <c r="Z160" s="50">
        <f t="shared" si="86"/>
        <v>-3.5064556568567995E-2</v>
      </c>
      <c r="AA160" s="50">
        <f t="shared" si="87"/>
        <v>-2.1527218748390919E-2</v>
      </c>
    </row>
    <row r="161" spans="2:27" x14ac:dyDescent="0.25">
      <c r="B161" s="22">
        <v>9505</v>
      </c>
      <c r="C161" s="22" t="s">
        <v>26</v>
      </c>
      <c r="D161" s="49" t="str">
        <f>VLOOKUP(B161,'해외 실적 기업 리스트'!$B$5:$G$239,2,FALSE)</f>
        <v>Hokuriku Electric Power Company</v>
      </c>
      <c r="E161" s="22" t="s">
        <v>28</v>
      </c>
      <c r="F161" s="24">
        <v>-3.151667613791731</v>
      </c>
      <c r="G161" s="31">
        <v>149166</v>
      </c>
      <c r="H161" s="31">
        <v>192954</v>
      </c>
      <c r="I161" s="31">
        <v>163560</v>
      </c>
      <c r="J161" s="31">
        <v>211372</v>
      </c>
      <c r="K161" s="31">
        <v>205252</v>
      </c>
      <c r="L161" s="31">
        <v>237417</v>
      </c>
      <c r="M161" s="31">
        <v>192987</v>
      </c>
      <c r="N161" s="31">
        <v>214934</v>
      </c>
      <c r="O161" s="31">
        <v>185783</v>
      </c>
      <c r="P161" s="31">
        <v>214534</v>
      </c>
      <c r="Q161" s="31">
        <v>187635</v>
      </c>
      <c r="R161" s="31">
        <v>232677</v>
      </c>
      <c r="S161" s="31">
        <v>206445</v>
      </c>
      <c r="T161" s="31">
        <v>231518</v>
      </c>
      <c r="U161" s="31">
        <v>186079</v>
      </c>
      <c r="V161" s="31">
        <v>217100</v>
      </c>
      <c r="W161" s="34">
        <v>179935</v>
      </c>
      <c r="X161" s="50">
        <f t="shared" si="84"/>
        <v>2.0188020554124497E-2</v>
      </c>
      <c r="Y161" s="50">
        <f t="shared" si="85"/>
        <v>-1.8129387434097088E-3</v>
      </c>
      <c r="Z161" s="50">
        <f t="shared" si="86"/>
        <v>-1.8182157743670935E-2</v>
      </c>
      <c r="AA161" s="50">
        <f t="shared" si="87"/>
        <v>-3.151667613791731E-2</v>
      </c>
    </row>
    <row r="162" spans="2:27" x14ac:dyDescent="0.25">
      <c r="B162" s="22">
        <v>7148</v>
      </c>
      <c r="C162" s="22" t="s">
        <v>26</v>
      </c>
      <c r="D162" s="49" t="str">
        <f>VLOOKUP(B162,'해외 실적 기업 리스트'!$B$5:$G$239,2,FALSE)</f>
        <v>Financial Partners Group Co.,Ltd.</v>
      </c>
      <c r="E162" s="22" t="s">
        <v>28</v>
      </c>
      <c r="F162" s="24">
        <v>-9.9919854505101551</v>
      </c>
      <c r="G162" s="31">
        <v>15673</v>
      </c>
      <c r="H162" s="31">
        <v>15462</v>
      </c>
      <c r="I162" s="31">
        <v>16346</v>
      </c>
      <c r="J162" s="31">
        <v>11712</v>
      </c>
      <c r="K162" s="31">
        <v>17416</v>
      </c>
      <c r="L162" s="31">
        <v>14944</v>
      </c>
      <c r="M162" s="31">
        <v>15676</v>
      </c>
      <c r="N162" s="32">
        <v>23113</v>
      </c>
      <c r="O162" s="31">
        <v>24393</v>
      </c>
      <c r="P162" s="32">
        <v>26303</v>
      </c>
      <c r="Q162" s="32">
        <v>30620</v>
      </c>
      <c r="R162" s="31">
        <v>26465</v>
      </c>
      <c r="S162" s="31">
        <v>27963</v>
      </c>
      <c r="T162" s="31">
        <v>35508</v>
      </c>
      <c r="U162" s="31">
        <v>27227</v>
      </c>
      <c r="V162" s="32">
        <v>39066</v>
      </c>
      <c r="W162" s="34">
        <v>14997</v>
      </c>
      <c r="X162" s="50">
        <f t="shared" si="84"/>
        <v>8.2666522976892809E-2</v>
      </c>
      <c r="Y162" s="50">
        <f t="shared" si="85"/>
        <v>-2.8144596701947688E-2</v>
      </c>
      <c r="Z162" s="50">
        <f t="shared" si="86"/>
        <v>0.10755101866630246</v>
      </c>
      <c r="AA162" s="50">
        <f t="shared" si="87"/>
        <v>-9.9919854505101546E-2</v>
      </c>
    </row>
    <row r="163" spans="2:27" hidden="1" x14ac:dyDescent="0.25">
      <c r="B163" s="22" t="s">
        <v>221</v>
      </c>
      <c r="C163" s="22" t="s">
        <v>30</v>
      </c>
      <c r="D163" s="22" t="s">
        <v>27</v>
      </c>
      <c r="E163" s="22" t="s">
        <v>34</v>
      </c>
      <c r="F163" s="22">
        <v>7.3608032627005882</v>
      </c>
      <c r="G163" s="22">
        <v>28038</v>
      </c>
      <c r="H163" s="22">
        <v>30733</v>
      </c>
      <c r="I163" s="22">
        <v>29528</v>
      </c>
      <c r="J163" s="22">
        <v>28551</v>
      </c>
      <c r="K163" s="22">
        <v>38668</v>
      </c>
      <c r="L163" s="22">
        <v>24047</v>
      </c>
      <c r="M163" s="22">
        <v>30655</v>
      </c>
      <c r="N163" s="22">
        <v>32715</v>
      </c>
      <c r="O163" s="22">
        <v>49432</v>
      </c>
      <c r="P163" s="23">
        <v>48183</v>
      </c>
      <c r="Q163" s="22">
        <v>46580</v>
      </c>
      <c r="R163" s="23">
        <v>65798</v>
      </c>
      <c r="S163" s="23">
        <v>115341</v>
      </c>
      <c r="T163" s="23">
        <v>104537</v>
      </c>
      <c r="U163" s="23">
        <v>102925</v>
      </c>
      <c r="V163" s="23">
        <v>128357</v>
      </c>
      <c r="W163" s="22">
        <v>148550</v>
      </c>
    </row>
    <row r="164" spans="2:27" hidden="1" x14ac:dyDescent="0.25">
      <c r="B164" s="22" t="s">
        <v>222</v>
      </c>
      <c r="C164" s="22" t="s">
        <v>26</v>
      </c>
      <c r="D164" s="22" t="s">
        <v>27</v>
      </c>
      <c r="E164" s="22" t="s">
        <v>34</v>
      </c>
      <c r="F164" s="22">
        <v>-4.5289968652037604</v>
      </c>
      <c r="G164" s="22">
        <v>27454</v>
      </c>
      <c r="H164" s="22">
        <v>25400</v>
      </c>
      <c r="I164" s="22">
        <v>25579</v>
      </c>
      <c r="J164" s="22">
        <v>23232</v>
      </c>
      <c r="K164" s="22">
        <v>27532</v>
      </c>
      <c r="L164" s="22">
        <v>30540</v>
      </c>
      <c r="M164" s="23">
        <v>36782</v>
      </c>
      <c r="N164" s="22">
        <v>31312</v>
      </c>
      <c r="O164" s="22">
        <v>33013</v>
      </c>
      <c r="P164" s="22">
        <v>32559</v>
      </c>
      <c r="Q164" s="22">
        <v>32243</v>
      </c>
      <c r="R164" s="22">
        <v>32856</v>
      </c>
      <c r="S164" s="22">
        <v>33574</v>
      </c>
      <c r="T164" s="22">
        <v>34554</v>
      </c>
      <c r="U164" s="22">
        <v>31921</v>
      </c>
      <c r="V164" s="22">
        <v>27551</v>
      </c>
      <c r="W164" s="22">
        <v>27795</v>
      </c>
    </row>
    <row r="165" spans="2:27" hidden="1" x14ac:dyDescent="0.25">
      <c r="B165" s="22" t="s">
        <v>223</v>
      </c>
      <c r="C165" s="22" t="s">
        <v>30</v>
      </c>
      <c r="D165" s="22" t="s">
        <v>27</v>
      </c>
      <c r="E165" s="22" t="s">
        <v>34</v>
      </c>
      <c r="F165" s="22">
        <v>2.5005549238735099</v>
      </c>
      <c r="G165" s="22">
        <v>44860</v>
      </c>
      <c r="H165" s="22">
        <v>37057</v>
      </c>
      <c r="I165" s="22">
        <v>35356</v>
      </c>
      <c r="J165" s="22">
        <v>36150</v>
      </c>
      <c r="K165" s="22">
        <v>40173</v>
      </c>
      <c r="L165" s="22">
        <v>39535</v>
      </c>
      <c r="M165" s="22">
        <v>40653</v>
      </c>
      <c r="N165" s="22">
        <v>39997</v>
      </c>
      <c r="O165" s="22">
        <v>50898</v>
      </c>
      <c r="P165" s="22">
        <v>43533</v>
      </c>
      <c r="Q165" s="22">
        <v>54889</v>
      </c>
      <c r="R165" s="22">
        <v>50722</v>
      </c>
      <c r="S165" s="22">
        <v>53303</v>
      </c>
      <c r="T165" s="22">
        <v>55361</v>
      </c>
      <c r="U165" s="22">
        <v>58954</v>
      </c>
      <c r="V165" s="22">
        <v>53133</v>
      </c>
      <c r="W165" s="22">
        <v>58823</v>
      </c>
    </row>
    <row r="166" spans="2:27" x14ac:dyDescent="0.25">
      <c r="B166" s="22" t="s">
        <v>251</v>
      </c>
      <c r="C166" s="22" t="s">
        <v>30</v>
      </c>
      <c r="D166" s="49" t="str">
        <f>VLOOKUP(B166,'해외 실적 기업 리스트'!$B$5:$G$239,2,FALSE)</f>
        <v>Prestige Estates Projects Limited</v>
      </c>
      <c r="E166" s="22" t="s">
        <v>28</v>
      </c>
      <c r="F166" s="30">
        <v>26.065198741778659</v>
      </c>
      <c r="G166" s="31">
        <v>13776</v>
      </c>
      <c r="H166" s="31">
        <v>22516</v>
      </c>
      <c r="I166" s="31">
        <v>19385</v>
      </c>
      <c r="J166" s="31">
        <v>14277</v>
      </c>
      <c r="K166" s="32">
        <v>23170</v>
      </c>
      <c r="L166" s="31">
        <v>26318</v>
      </c>
      <c r="M166" s="31">
        <v>16809</v>
      </c>
      <c r="N166" s="32">
        <v>22364</v>
      </c>
      <c r="O166" s="31">
        <v>17958</v>
      </c>
      <c r="P166" s="31">
        <v>21640</v>
      </c>
      <c r="Q166" s="31">
        <v>18621</v>
      </c>
      <c r="R166" s="31">
        <v>25862</v>
      </c>
      <c r="S166" s="31">
        <v>16979</v>
      </c>
      <c r="T166" s="31">
        <v>15284</v>
      </c>
      <c r="U166" s="31">
        <v>23073</v>
      </c>
      <c r="V166" s="31">
        <v>28592</v>
      </c>
      <c r="W166" s="33">
        <v>38855</v>
      </c>
      <c r="X166" s="50">
        <f t="shared" ref="X166:X175" si="88">SUM(Q166:T166)/SUM(P166:S166)-1</f>
        <v>-7.6484320473634848E-2</v>
      </c>
      <c r="Y166" s="50">
        <f t="shared" ref="Y166:Y175" si="89">SUM(R166:U166)/SUM(Q166:T166)-1</f>
        <v>5.8009537956375645E-2</v>
      </c>
      <c r="Z166" s="50">
        <f t="shared" ref="Z166:Z175" si="90">SUM(S166:V166)/SUM(R166:U166)-1</f>
        <v>3.3621517771373677E-2</v>
      </c>
      <c r="AA166" s="50">
        <f t="shared" ref="AA166:AA175" si="91">SUM(T166:W166)/SUM(S166:V166)-1</f>
        <v>0.26065198741778661</v>
      </c>
    </row>
    <row r="167" spans="2:27" x14ac:dyDescent="0.25">
      <c r="B167" s="22" t="s">
        <v>547</v>
      </c>
      <c r="C167" s="22" t="s">
        <v>30</v>
      </c>
      <c r="D167" s="49" t="str">
        <f>VLOOKUP(B167,'해외 실적 기업 리스트'!$B$5:$G$239,2,FALSE)</f>
        <v>One97 Communications Limited</v>
      </c>
      <c r="E167" s="22" t="s">
        <v>28</v>
      </c>
      <c r="F167" s="24">
        <v>7.4917722667081188</v>
      </c>
      <c r="G167" s="31">
        <v>14561</v>
      </c>
      <c r="H167" s="31">
        <v>15409</v>
      </c>
      <c r="I167" s="31">
        <v>16796</v>
      </c>
      <c r="J167" s="31">
        <v>19140</v>
      </c>
      <c r="K167" s="31">
        <v>20622</v>
      </c>
      <c r="L167" s="32">
        <v>23345</v>
      </c>
      <c r="M167" s="31">
        <v>23416</v>
      </c>
      <c r="N167" s="31">
        <v>25186</v>
      </c>
      <c r="O167" s="31">
        <v>28505</v>
      </c>
      <c r="P167" s="31">
        <v>22671</v>
      </c>
      <c r="Q167" s="31">
        <v>15016</v>
      </c>
      <c r="R167" s="31">
        <v>16595</v>
      </c>
      <c r="S167" s="31">
        <v>18278</v>
      </c>
      <c r="T167" s="31">
        <v>19115</v>
      </c>
      <c r="U167" s="31">
        <v>19175</v>
      </c>
      <c r="V167" s="31">
        <v>20610</v>
      </c>
      <c r="W167" s="34">
        <v>24060</v>
      </c>
      <c r="X167" s="50">
        <f t="shared" si="88"/>
        <v>-4.9007717750826907E-2</v>
      </c>
      <c r="Y167" s="50">
        <f t="shared" si="89"/>
        <v>6.0271868297490094E-2</v>
      </c>
      <c r="Z167" s="50">
        <f t="shared" si="90"/>
        <v>5.4877465385509083E-2</v>
      </c>
      <c r="AA167" s="50">
        <f t="shared" si="91"/>
        <v>7.4917722667081188E-2</v>
      </c>
    </row>
    <row r="168" spans="2:27" x14ac:dyDescent="0.25">
      <c r="B168" s="22" t="s">
        <v>212</v>
      </c>
      <c r="C168" s="22" t="s">
        <v>30</v>
      </c>
      <c r="D168" s="49" t="str">
        <f>VLOOKUP(B168,'해외 실적 기업 리스트'!$B$5:$G$239,2,FALSE)</f>
        <v>Coromandel International Limited</v>
      </c>
      <c r="E168" s="22" t="s">
        <v>28</v>
      </c>
      <c r="F168" s="24">
        <v>6.4440950384346607</v>
      </c>
      <c r="G168" s="31">
        <v>50736</v>
      </c>
      <c r="H168" s="31">
        <v>42259</v>
      </c>
      <c r="I168" s="31">
        <v>57291</v>
      </c>
      <c r="J168" s="31">
        <v>101134</v>
      </c>
      <c r="K168" s="32">
        <v>83096</v>
      </c>
      <c r="L168" s="31">
        <v>54758</v>
      </c>
      <c r="M168" s="31">
        <v>56934</v>
      </c>
      <c r="N168" s="31">
        <v>69881</v>
      </c>
      <c r="O168" s="31">
        <v>54642</v>
      </c>
      <c r="P168" s="31">
        <v>39127</v>
      </c>
      <c r="Q168" s="31">
        <v>47288</v>
      </c>
      <c r="R168" s="31">
        <v>74328</v>
      </c>
      <c r="S168" s="31">
        <v>69352</v>
      </c>
      <c r="T168" s="31">
        <v>49884</v>
      </c>
      <c r="U168" s="31">
        <v>70423</v>
      </c>
      <c r="V168" s="31">
        <v>96541</v>
      </c>
      <c r="W168" s="34">
        <v>87795</v>
      </c>
      <c r="X168" s="50">
        <f t="shared" si="88"/>
        <v>4.6750255329320423E-2</v>
      </c>
      <c r="Y168" s="50">
        <f t="shared" si="89"/>
        <v>9.6054838656104202E-2</v>
      </c>
      <c r="Z168" s="50">
        <f t="shared" si="90"/>
        <v>8.4144294984222601E-2</v>
      </c>
      <c r="AA168" s="50">
        <f t="shared" si="91"/>
        <v>6.4440950384346607E-2</v>
      </c>
    </row>
    <row r="169" spans="2:27" x14ac:dyDescent="0.25">
      <c r="B169" s="22" t="s">
        <v>56</v>
      </c>
      <c r="C169" s="22" t="s">
        <v>30</v>
      </c>
      <c r="D169" s="49" t="str">
        <f>VLOOKUP(B169,'해외 실적 기업 리스트'!$B$5:$G$239,2,FALSE)</f>
        <v>Container Corporation of India Limited</v>
      </c>
      <c r="E169" s="22" t="s">
        <v>28</v>
      </c>
      <c r="F169" s="24">
        <v>2.129006463650307</v>
      </c>
      <c r="G169" s="31">
        <v>19380</v>
      </c>
      <c r="H169" s="31">
        <v>20786</v>
      </c>
      <c r="I169" s="31">
        <v>19940</v>
      </c>
      <c r="J169" s="31">
        <v>19863</v>
      </c>
      <c r="K169" s="31">
        <v>20045</v>
      </c>
      <c r="L169" s="31">
        <v>22312</v>
      </c>
      <c r="M169" s="31">
        <v>19228</v>
      </c>
      <c r="N169" s="31">
        <v>21949</v>
      </c>
      <c r="O169" s="31">
        <v>22106</v>
      </c>
      <c r="P169" s="31">
        <v>23251</v>
      </c>
      <c r="Q169" s="31">
        <v>21031</v>
      </c>
      <c r="R169" s="31">
        <v>22878</v>
      </c>
      <c r="S169" s="31">
        <v>22083</v>
      </c>
      <c r="T169" s="31">
        <v>22878</v>
      </c>
      <c r="U169" s="31">
        <v>21536</v>
      </c>
      <c r="V169" s="31">
        <v>23545</v>
      </c>
      <c r="W169" s="34">
        <v>24000</v>
      </c>
      <c r="X169" s="50">
        <f t="shared" si="88"/>
        <v>-4.1795995204105818E-3</v>
      </c>
      <c r="Y169" s="50">
        <f t="shared" si="89"/>
        <v>5.6824575222234053E-3</v>
      </c>
      <c r="Z169" s="50">
        <f t="shared" si="90"/>
        <v>7.4629370629371028E-3</v>
      </c>
      <c r="AA169" s="50">
        <f t="shared" si="91"/>
        <v>2.129006463650307E-2</v>
      </c>
    </row>
    <row r="170" spans="2:27" x14ac:dyDescent="0.25">
      <c r="B170" s="22" t="s">
        <v>106</v>
      </c>
      <c r="C170" s="22" t="s">
        <v>30</v>
      </c>
      <c r="D170" s="49" t="str">
        <f>VLOOKUP(B170,'해외 실적 기업 리스트'!$B$5:$G$239,2,FALSE)</f>
        <v>Equitas Small Finance Bank Limited</v>
      </c>
      <c r="E170" s="22" t="s">
        <v>28</v>
      </c>
      <c r="F170" s="24">
        <v>2.0113571292231351</v>
      </c>
      <c r="G170" s="31">
        <v>6749</v>
      </c>
      <c r="H170" s="31">
        <v>7009</v>
      </c>
      <c r="I170" s="31">
        <v>7138</v>
      </c>
      <c r="J170" s="31">
        <v>7547</v>
      </c>
      <c r="K170" s="31">
        <v>8001</v>
      </c>
      <c r="L170" s="31">
        <v>9457</v>
      </c>
      <c r="M170" s="31">
        <v>9145</v>
      </c>
      <c r="N170" s="31">
        <v>9470</v>
      </c>
      <c r="O170" s="31">
        <v>9906</v>
      </c>
      <c r="P170" s="31">
        <v>10261</v>
      </c>
      <c r="Q170" s="31">
        <v>10102</v>
      </c>
      <c r="R170" s="31">
        <v>10412</v>
      </c>
      <c r="S170" s="31">
        <v>10568</v>
      </c>
      <c r="T170" s="31">
        <v>10544</v>
      </c>
      <c r="U170" s="31">
        <v>10774</v>
      </c>
      <c r="V170" s="31">
        <v>10026</v>
      </c>
      <c r="W170" s="34">
        <v>11411</v>
      </c>
      <c r="X170" s="50">
        <f t="shared" si="88"/>
        <v>6.8451733062429021E-3</v>
      </c>
      <c r="Y170" s="50">
        <f t="shared" si="89"/>
        <v>1.6143756306154833E-2</v>
      </c>
      <c r="Z170" s="50">
        <f t="shared" si="90"/>
        <v>-9.1257269847273559E-3</v>
      </c>
      <c r="AA170" s="50">
        <f t="shared" si="91"/>
        <v>2.0113571292231347E-2</v>
      </c>
    </row>
    <row r="171" spans="2:27" x14ac:dyDescent="0.25">
      <c r="B171" s="22" t="s">
        <v>49</v>
      </c>
      <c r="C171" s="22" t="s">
        <v>30</v>
      </c>
      <c r="D171" s="49" t="str">
        <f>VLOOKUP(B171,'해외 실적 기업 리스트'!$B$5:$G$239,2,FALSE)</f>
        <v>JSW Holdings Limited</v>
      </c>
      <c r="E171" s="22" t="s">
        <v>28</v>
      </c>
      <c r="F171" s="24">
        <v>1.998502863708373</v>
      </c>
      <c r="G171" s="31">
        <v>169.36</v>
      </c>
      <c r="H171" s="31">
        <v>191.77</v>
      </c>
      <c r="I171" s="31">
        <v>188.03</v>
      </c>
      <c r="J171" s="31">
        <v>3375</v>
      </c>
      <c r="K171" s="31">
        <v>260.24</v>
      </c>
      <c r="L171" s="31">
        <v>244.52</v>
      </c>
      <c r="M171" s="31">
        <v>261.16000000000003</v>
      </c>
      <c r="N171" s="31">
        <v>891.65</v>
      </c>
      <c r="O171" s="31">
        <v>272.93</v>
      </c>
      <c r="P171" s="31">
        <v>269.87</v>
      </c>
      <c r="Q171" s="31">
        <v>272.32</v>
      </c>
      <c r="R171" s="32">
        <v>1622</v>
      </c>
      <c r="S171" s="31">
        <v>292.19</v>
      </c>
      <c r="T171" s="31">
        <v>294.63</v>
      </c>
      <c r="U171" s="31">
        <v>300.75</v>
      </c>
      <c r="V171" s="31">
        <v>835.72</v>
      </c>
      <c r="W171" s="34">
        <v>326.63</v>
      </c>
      <c r="X171" s="50">
        <f t="shared" si="88"/>
        <v>1.0079873635186587E-2</v>
      </c>
      <c r="Y171" s="50">
        <f t="shared" si="89"/>
        <v>1.1458442490145826E-2</v>
      </c>
      <c r="Z171" s="50">
        <f t="shared" si="90"/>
        <v>-0.31331263921707708</v>
      </c>
      <c r="AA171" s="50">
        <f t="shared" si="91"/>
        <v>1.9985028637083735E-2</v>
      </c>
    </row>
    <row r="172" spans="2:27" x14ac:dyDescent="0.25">
      <c r="B172" s="22" t="s">
        <v>29</v>
      </c>
      <c r="C172" s="22" t="s">
        <v>30</v>
      </c>
      <c r="D172" s="49" t="str">
        <f>VLOOKUP(B172,'해외 실적 기업 리스트'!$B$5:$G$239,2,FALSE)</f>
        <v>Carborundum Universal Limited</v>
      </c>
      <c r="E172" s="22" t="s">
        <v>28</v>
      </c>
      <c r="F172" s="24">
        <v>0.7094614906707708</v>
      </c>
      <c r="G172" s="31">
        <v>8992</v>
      </c>
      <c r="H172" s="31">
        <v>8693</v>
      </c>
      <c r="I172" s="31">
        <v>11398</v>
      </c>
      <c r="J172" s="31">
        <v>11278</v>
      </c>
      <c r="K172" s="31">
        <v>11871</v>
      </c>
      <c r="L172" s="31">
        <v>11996</v>
      </c>
      <c r="M172" s="31">
        <v>12032</v>
      </c>
      <c r="N172" s="31">
        <v>11463</v>
      </c>
      <c r="O172" s="31">
        <v>11514</v>
      </c>
      <c r="P172" s="31">
        <v>12012</v>
      </c>
      <c r="Q172" s="31">
        <v>11975</v>
      </c>
      <c r="R172" s="31">
        <v>12241</v>
      </c>
      <c r="S172" s="31">
        <v>12555</v>
      </c>
      <c r="T172" s="31">
        <v>12171</v>
      </c>
      <c r="U172" s="31">
        <v>12190</v>
      </c>
      <c r="V172" s="31">
        <v>12981</v>
      </c>
      <c r="W172" s="34">
        <v>12909</v>
      </c>
      <c r="X172" s="50">
        <f t="shared" si="88"/>
        <v>3.2593321443945555E-3</v>
      </c>
      <c r="Y172" s="50">
        <f t="shared" si="89"/>
        <v>4.3929549262391454E-3</v>
      </c>
      <c r="Z172" s="50">
        <f t="shared" si="90"/>
        <v>1.5053807189210122E-2</v>
      </c>
      <c r="AA172" s="50">
        <f t="shared" si="91"/>
        <v>7.094614906707708E-3</v>
      </c>
    </row>
    <row r="173" spans="2:27" x14ac:dyDescent="0.25">
      <c r="B173" s="22" t="s">
        <v>206</v>
      </c>
      <c r="C173" s="22" t="s">
        <v>30</v>
      </c>
      <c r="D173" s="49" t="str">
        <f>VLOOKUP(B173,'해외 실적 기업 리스트'!$B$5:$G$239,2,FALSE)</f>
        <v>Voltas Limited</v>
      </c>
      <c r="E173" s="22" t="s">
        <v>28</v>
      </c>
      <c r="F173" s="24">
        <v>0.10241125535011</v>
      </c>
      <c r="G173" s="31">
        <v>17936</v>
      </c>
      <c r="H173" s="31">
        <v>26666</v>
      </c>
      <c r="I173" s="31">
        <v>27680</v>
      </c>
      <c r="J173" s="31">
        <v>17684</v>
      </c>
      <c r="K173" s="31">
        <v>20056</v>
      </c>
      <c r="L173" s="31">
        <v>29568</v>
      </c>
      <c r="M173" s="31">
        <v>33599</v>
      </c>
      <c r="N173" s="31">
        <v>22928</v>
      </c>
      <c r="O173" s="31">
        <v>26257</v>
      </c>
      <c r="P173" s="32">
        <v>42029</v>
      </c>
      <c r="Q173" s="32">
        <v>49210</v>
      </c>
      <c r="R173" s="31">
        <v>26191</v>
      </c>
      <c r="S173" s="31">
        <v>31051</v>
      </c>
      <c r="T173" s="31">
        <v>47676</v>
      </c>
      <c r="U173" s="31">
        <v>39386</v>
      </c>
      <c r="V173" s="31">
        <v>23473</v>
      </c>
      <c r="W173" s="34">
        <v>31196</v>
      </c>
      <c r="X173" s="50">
        <f t="shared" si="88"/>
        <v>3.8031802048746899E-2</v>
      </c>
      <c r="Y173" s="50">
        <f t="shared" si="89"/>
        <v>-6.3739229731132552E-2</v>
      </c>
      <c r="Z173" s="50">
        <f t="shared" si="90"/>
        <v>-1.883523672247478E-2</v>
      </c>
      <c r="AA173" s="50">
        <f t="shared" si="91"/>
        <v>1.0241125535010998E-3</v>
      </c>
    </row>
    <row r="174" spans="2:27" x14ac:dyDescent="0.25">
      <c r="B174" s="22" t="s">
        <v>148</v>
      </c>
      <c r="C174" s="22" t="s">
        <v>30</v>
      </c>
      <c r="D174" s="49" t="str">
        <f>VLOOKUP(B174,'해외 실적 기업 리스트'!$B$5:$G$239,2,FALSE)</f>
        <v>Adani Power Limited</v>
      </c>
      <c r="E174" s="22" t="s">
        <v>28</v>
      </c>
      <c r="F174" s="24">
        <v>-2.1988441557036942</v>
      </c>
      <c r="G174" s="31">
        <v>53609</v>
      </c>
      <c r="H174" s="31">
        <v>105978</v>
      </c>
      <c r="I174" s="31">
        <v>137231</v>
      </c>
      <c r="J174" s="31">
        <v>70438</v>
      </c>
      <c r="K174" s="31">
        <v>77644</v>
      </c>
      <c r="L174" s="31">
        <v>102421</v>
      </c>
      <c r="M174" s="31">
        <v>110055</v>
      </c>
      <c r="N174" s="32">
        <v>129906</v>
      </c>
      <c r="O174" s="32">
        <v>129914</v>
      </c>
      <c r="P174" s="31">
        <v>133637</v>
      </c>
      <c r="Q174" s="31">
        <v>149556</v>
      </c>
      <c r="R174" s="31">
        <v>133389</v>
      </c>
      <c r="S174" s="31">
        <v>136712</v>
      </c>
      <c r="T174" s="31">
        <v>142374</v>
      </c>
      <c r="U174" s="31">
        <v>141092</v>
      </c>
      <c r="V174" s="31">
        <v>134568</v>
      </c>
      <c r="W174" s="34">
        <v>124514</v>
      </c>
      <c r="X174" s="50">
        <f t="shared" si="88"/>
        <v>1.5790881520493683E-2</v>
      </c>
      <c r="Y174" s="50">
        <f t="shared" si="89"/>
        <v>-1.5059667527236087E-2</v>
      </c>
      <c r="Z174" s="50">
        <f t="shared" si="90"/>
        <v>2.129823490200744E-3</v>
      </c>
      <c r="AA174" s="50">
        <f t="shared" si="91"/>
        <v>-2.1988441557036942E-2</v>
      </c>
    </row>
    <row r="175" spans="2:27" x14ac:dyDescent="0.25">
      <c r="B175" s="22" t="s">
        <v>220</v>
      </c>
      <c r="C175" s="22" t="s">
        <v>30</v>
      </c>
      <c r="D175" s="49" t="str">
        <f>VLOOKUP(B175,'해외 실적 기업 리스트'!$B$5:$G$239,2,FALSE)</f>
        <v>Canara Bank</v>
      </c>
      <c r="E175" s="22" t="s">
        <v>28</v>
      </c>
      <c r="F175" s="24">
        <v>-9.9423939271984558</v>
      </c>
      <c r="G175" s="31">
        <v>98361</v>
      </c>
      <c r="H175" s="31">
        <v>85803</v>
      </c>
      <c r="I175" s="31">
        <v>86549</v>
      </c>
      <c r="J175" s="31">
        <v>110396</v>
      </c>
      <c r="K175" s="31">
        <v>115931</v>
      </c>
      <c r="L175" s="32">
        <v>133846</v>
      </c>
      <c r="M175" s="32">
        <v>132028</v>
      </c>
      <c r="N175" s="31">
        <v>133484</v>
      </c>
      <c r="O175" s="31">
        <v>151109</v>
      </c>
      <c r="P175" s="31">
        <v>104572</v>
      </c>
      <c r="Q175" s="31">
        <v>151495</v>
      </c>
      <c r="R175" s="31">
        <v>153269</v>
      </c>
      <c r="S175" s="31">
        <v>138677</v>
      </c>
      <c r="T175" s="31">
        <v>111805</v>
      </c>
      <c r="U175" s="31">
        <v>170904</v>
      </c>
      <c r="V175" s="31">
        <v>172475</v>
      </c>
      <c r="W175" s="34">
        <v>79633</v>
      </c>
      <c r="X175" s="50">
        <f t="shared" si="88"/>
        <v>1.3198592004204368E-2</v>
      </c>
      <c r="Y175" s="50">
        <f t="shared" si="89"/>
        <v>3.495567730339344E-2</v>
      </c>
      <c r="Z175" s="50">
        <f t="shared" si="90"/>
        <v>3.3421792205758249E-2</v>
      </c>
      <c r="AA175" s="50">
        <f t="shared" si="91"/>
        <v>-9.9423939271984563E-2</v>
      </c>
    </row>
  </sheetData>
  <autoFilter ref="B2:W175" xr:uid="{00000000-0001-0000-0000-000000000000}">
    <filterColumn colId="3">
      <filters>
        <filter val="Dec '25 Dec 20, 2025"/>
        <filter val="Dec '25 Dec 25, 2025"/>
        <filter val="Dec '25 Dec 26, 2025"/>
        <filter val="Dec '25 Dec 27, 2025"/>
        <filter val="Dec '25 Dec 31, 2025"/>
        <filter val="Jan '26 Jan 2, 2026"/>
        <filter val="Nov '25 Nov 30, 2025"/>
      </filters>
    </filterColumn>
    <sortState xmlns:xlrd2="http://schemas.microsoft.com/office/spreadsheetml/2017/richdata2" ref="B3:W175">
      <sortCondition descending="1" ref="C2:C175"/>
    </sortState>
  </autoFilter>
  <phoneticPr fontId="3" type="noConversion"/>
  <conditionalFormatting sqref="X3:AA175">
    <cfRule type="cellIs" dxfId="5" priority="1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AA175"/>
  <sheetViews>
    <sheetView topLeftCell="A128" zoomScale="85" zoomScaleNormal="85" workbookViewId="0">
      <selection activeCell="D129" sqref="D129:D175"/>
    </sheetView>
  </sheetViews>
  <sheetFormatPr defaultRowHeight="15" x14ac:dyDescent="0.25"/>
  <cols>
    <col min="1" max="1" width="9" style="2"/>
    <col min="2" max="2" width="13.375" style="1" bestFit="1" customWidth="1"/>
    <col min="3" max="3" width="19.125" style="2" customWidth="1"/>
    <col min="4" max="4" width="31.25" style="2" bestFit="1" customWidth="1"/>
    <col min="5" max="5" width="14.75" style="2" hidden="1" customWidth="1"/>
    <col min="6" max="6" width="17.375" style="2" bestFit="1" customWidth="1"/>
    <col min="7" max="11" width="9" style="2" hidden="1" customWidth="1"/>
    <col min="12" max="15" width="9" style="2" customWidth="1"/>
    <col min="16" max="16384" width="9" style="2"/>
  </cols>
  <sheetData>
    <row r="1" spans="2:27" x14ac:dyDescent="0.25">
      <c r="B1" s="1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</row>
    <row r="2" spans="2:27" x14ac:dyDescent="0.25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  <c r="P2" s="21" t="s">
        <v>14</v>
      </c>
      <c r="Q2" s="21" t="s">
        <v>15</v>
      </c>
      <c r="R2" s="21" t="s">
        <v>16</v>
      </c>
      <c r="S2" s="21" t="s">
        <v>17</v>
      </c>
      <c r="T2" s="21" t="s">
        <v>18</v>
      </c>
      <c r="U2" s="21" t="s">
        <v>19</v>
      </c>
      <c r="V2" s="21" t="s">
        <v>20</v>
      </c>
      <c r="W2" s="28" t="s">
        <v>21</v>
      </c>
      <c r="X2" s="27" t="s">
        <v>18</v>
      </c>
      <c r="Y2" s="25" t="s">
        <v>19</v>
      </c>
      <c r="Z2" s="25" t="s">
        <v>20</v>
      </c>
      <c r="AA2" s="25" t="s">
        <v>21</v>
      </c>
    </row>
    <row r="3" spans="2:27" x14ac:dyDescent="0.25">
      <c r="B3" s="29" t="s">
        <v>214</v>
      </c>
      <c r="C3" s="22" t="s">
        <v>23</v>
      </c>
      <c r="D3" s="22" t="s">
        <v>153</v>
      </c>
      <c r="E3" s="22" t="s">
        <v>134</v>
      </c>
      <c r="F3" s="30">
        <v>230.56994818652851</v>
      </c>
      <c r="G3" s="31"/>
      <c r="H3" s="31"/>
      <c r="I3" s="31"/>
      <c r="J3" s="31"/>
      <c r="K3" s="31"/>
      <c r="L3" s="31"/>
      <c r="M3" s="31"/>
      <c r="N3" s="31">
        <v>-546</v>
      </c>
      <c r="O3" s="31">
        <v>-198</v>
      </c>
      <c r="P3" s="32">
        <v>79</v>
      </c>
      <c r="Q3" s="31">
        <v>185</v>
      </c>
      <c r="R3" s="31">
        <v>313</v>
      </c>
      <c r="S3" s="32">
        <v>185</v>
      </c>
      <c r="T3" s="31">
        <v>-42</v>
      </c>
      <c r="U3" s="31">
        <v>51</v>
      </c>
      <c r="V3" s="31">
        <v>192</v>
      </c>
      <c r="W3" s="33">
        <v>1075</v>
      </c>
      <c r="X3" s="26">
        <f>SUM(Q3:T3)/SUM(P3:S3)-1</f>
        <v>-0.15879265091863515</v>
      </c>
      <c r="Y3" s="26">
        <f t="shared" ref="Y3:AA3" si="0">SUM(R3:U3)/SUM(Q3:T3)-1</f>
        <v>-0.2090483619344774</v>
      </c>
      <c r="Z3" s="26">
        <f t="shared" si="0"/>
        <v>-0.23865877712031558</v>
      </c>
      <c r="AA3" s="26">
        <f t="shared" si="0"/>
        <v>2.3056994818652852</v>
      </c>
    </row>
    <row r="4" spans="2:27" x14ac:dyDescent="0.25">
      <c r="B4" s="29" t="s">
        <v>194</v>
      </c>
      <c r="C4" s="22" t="s">
        <v>23</v>
      </c>
      <c r="D4" s="22" t="s">
        <v>195</v>
      </c>
      <c r="E4" s="22" t="s">
        <v>196</v>
      </c>
      <c r="F4" s="30">
        <v>143.57142857142861</v>
      </c>
      <c r="G4" s="31">
        <v>-62.18</v>
      </c>
      <c r="H4" s="31">
        <v>33.26</v>
      </c>
      <c r="I4" s="31">
        <v>-28.32</v>
      </c>
      <c r="J4" s="31">
        <v>14.89</v>
      </c>
      <c r="K4" s="31">
        <v>-32.880000000000003</v>
      </c>
      <c r="L4" s="32">
        <v>-44.42</v>
      </c>
      <c r="M4" s="32">
        <v>-57.77</v>
      </c>
      <c r="N4" s="31">
        <v>31.79</v>
      </c>
      <c r="O4" s="31">
        <v>-32.19</v>
      </c>
      <c r="P4" s="31">
        <v>-11.06</v>
      </c>
      <c r="Q4" s="31">
        <v>-17.329999999999998</v>
      </c>
      <c r="R4" s="31">
        <v>47.62</v>
      </c>
      <c r="S4" s="31">
        <v>-17.43</v>
      </c>
      <c r="T4" s="31">
        <v>-16.02</v>
      </c>
      <c r="U4" s="31">
        <v>14.35</v>
      </c>
      <c r="V4" s="32">
        <v>96.1</v>
      </c>
      <c r="W4" s="33">
        <v>93.12</v>
      </c>
      <c r="X4" s="26">
        <f t="shared" ref="X4:X10" si="1">SUM(Q4:T4)/SUM(P4:S4)-1</f>
        <v>-2.7555555555555582</v>
      </c>
      <c r="Y4" s="26">
        <f t="shared" ref="Y4:Y10" si="2">SUM(R4:U4)/SUM(Q4:T4)-1</f>
        <v>-10.025316455696201</v>
      </c>
      <c r="Z4" s="26">
        <f t="shared" ref="Z4:Z10" si="3">SUM(S4:V4)/SUM(R4:U4)-1</f>
        <v>1.6998597475455823</v>
      </c>
      <c r="AA4" s="26">
        <f t="shared" ref="AA4:AA10" si="4">SUM(T4:W4)/SUM(S4:V4)-1</f>
        <v>1.4357142857142859</v>
      </c>
    </row>
    <row r="5" spans="2:27" x14ac:dyDescent="0.25">
      <c r="B5" s="29" t="s">
        <v>103</v>
      </c>
      <c r="C5" s="22" t="s">
        <v>23</v>
      </c>
      <c r="D5" s="22" t="s">
        <v>104</v>
      </c>
      <c r="E5" s="22" t="s">
        <v>28</v>
      </c>
      <c r="F5" s="30">
        <v>106.1055799953693</v>
      </c>
      <c r="G5" s="31">
        <v>939.41</v>
      </c>
      <c r="H5" s="31">
        <v>-1236</v>
      </c>
      <c r="I5" s="31">
        <v>90.52</v>
      </c>
      <c r="J5" s="31">
        <v>-207.27</v>
      </c>
      <c r="K5" s="31">
        <v>1293</v>
      </c>
      <c r="L5" s="31">
        <v>955.26</v>
      </c>
      <c r="M5" s="32">
        <v>567.73</v>
      </c>
      <c r="N5" s="31">
        <v>50.32</v>
      </c>
      <c r="O5" s="31">
        <v>664.58</v>
      </c>
      <c r="P5" s="31">
        <v>65.45</v>
      </c>
      <c r="Q5" s="31">
        <v>20.67</v>
      </c>
      <c r="R5" s="31">
        <v>104.8</v>
      </c>
      <c r="S5" s="31">
        <v>-189.17</v>
      </c>
      <c r="T5" s="31">
        <v>-236.88</v>
      </c>
      <c r="U5" s="31">
        <v>616.29999999999995</v>
      </c>
      <c r="V5" s="32">
        <v>241.65</v>
      </c>
      <c r="W5" s="33">
        <v>269.10000000000002</v>
      </c>
      <c r="X5" s="26">
        <f t="shared" si="1"/>
        <v>-172.75999999999721</v>
      </c>
      <c r="Y5" s="26">
        <f t="shared" si="2"/>
        <v>-1.9816022356776897</v>
      </c>
      <c r="Z5" s="26">
        <f t="shared" si="3"/>
        <v>0.46381969157769887</v>
      </c>
      <c r="AA5" s="26">
        <f t="shared" si="4"/>
        <v>1.0610557999536931</v>
      </c>
    </row>
    <row r="6" spans="2:27" x14ac:dyDescent="0.25">
      <c r="B6" s="29" t="s">
        <v>84</v>
      </c>
      <c r="C6" s="22" t="s">
        <v>23</v>
      </c>
      <c r="D6" s="22" t="s">
        <v>85</v>
      </c>
      <c r="E6" s="22" t="s">
        <v>28</v>
      </c>
      <c r="F6" s="30">
        <v>89.218983557548583</v>
      </c>
      <c r="G6" s="31">
        <v>-64.650000000000006</v>
      </c>
      <c r="H6" s="31">
        <v>-228.42</v>
      </c>
      <c r="I6" s="31">
        <v>-109.54</v>
      </c>
      <c r="J6" s="31">
        <v>-101.43</v>
      </c>
      <c r="K6" s="31">
        <v>36.46</v>
      </c>
      <c r="L6" s="31">
        <v>21.46</v>
      </c>
      <c r="M6" s="31">
        <v>4.25</v>
      </c>
      <c r="N6" s="31">
        <v>-68.56</v>
      </c>
      <c r="O6" s="32">
        <v>27.31</v>
      </c>
      <c r="P6" s="31">
        <v>29.16</v>
      </c>
      <c r="Q6" s="32">
        <v>-13.2</v>
      </c>
      <c r="R6" s="31">
        <v>40.64</v>
      </c>
      <c r="S6" s="31">
        <v>3.74</v>
      </c>
      <c r="T6" s="31">
        <v>19.64</v>
      </c>
      <c r="U6" s="31">
        <v>-23.33</v>
      </c>
      <c r="V6" s="32">
        <v>53.47</v>
      </c>
      <c r="W6" s="33">
        <v>51.49</v>
      </c>
      <c r="X6" s="26">
        <f t="shared" si="1"/>
        <v>-0.15777262180974483</v>
      </c>
      <c r="Y6" s="26">
        <f t="shared" si="2"/>
        <v>-0.19933097205824457</v>
      </c>
      <c r="Z6" s="26">
        <f t="shared" si="3"/>
        <v>0.31531088719587097</v>
      </c>
      <c r="AA6" s="26">
        <f t="shared" si="4"/>
        <v>0.89218983557548581</v>
      </c>
    </row>
    <row r="7" spans="2:27" x14ac:dyDescent="0.25">
      <c r="B7" s="29" t="s">
        <v>152</v>
      </c>
      <c r="C7" s="22" t="s">
        <v>23</v>
      </c>
      <c r="D7" s="22" t="s">
        <v>153</v>
      </c>
      <c r="E7" s="22" t="s">
        <v>134</v>
      </c>
      <c r="F7" s="30">
        <v>47.159647404505378</v>
      </c>
      <c r="G7" s="31">
        <v>729</v>
      </c>
      <c r="H7" s="31">
        <v>524</v>
      </c>
      <c r="I7" s="31">
        <v>611</v>
      </c>
      <c r="J7" s="31">
        <v>182</v>
      </c>
      <c r="K7" s="31">
        <v>-245</v>
      </c>
      <c r="L7" s="31">
        <v>-432</v>
      </c>
      <c r="M7" s="31">
        <v>-574</v>
      </c>
      <c r="N7" s="32">
        <v>-539</v>
      </c>
      <c r="O7" s="31">
        <v>0</v>
      </c>
      <c r="P7" s="31">
        <v>100</v>
      </c>
      <c r="Q7" s="31">
        <v>0</v>
      </c>
      <c r="R7" s="31">
        <v>340</v>
      </c>
      <c r="S7" s="31">
        <v>0</v>
      </c>
      <c r="T7" s="32">
        <v>559</v>
      </c>
      <c r="U7" s="32">
        <v>688</v>
      </c>
      <c r="V7" s="32">
        <v>795</v>
      </c>
      <c r="W7" s="33">
        <v>963</v>
      </c>
      <c r="X7" s="26">
        <f t="shared" si="1"/>
        <v>1.043181818181818</v>
      </c>
      <c r="Y7" s="26">
        <f t="shared" si="2"/>
        <v>0.76529477196885431</v>
      </c>
      <c r="Z7" s="26">
        <f t="shared" si="3"/>
        <v>0.2867044738500315</v>
      </c>
      <c r="AA7" s="26">
        <f t="shared" si="4"/>
        <v>0.47159647404505378</v>
      </c>
    </row>
    <row r="8" spans="2:27" x14ac:dyDescent="0.25">
      <c r="B8" s="29" t="s">
        <v>139</v>
      </c>
      <c r="C8" s="22" t="s">
        <v>23</v>
      </c>
      <c r="D8" s="22" t="s">
        <v>140</v>
      </c>
      <c r="E8" s="22" t="s">
        <v>28</v>
      </c>
      <c r="F8" s="30">
        <v>35.295840656121847</v>
      </c>
      <c r="G8" s="31">
        <v>1601</v>
      </c>
      <c r="H8" s="31">
        <v>1400</v>
      </c>
      <c r="I8" s="31">
        <v>6237</v>
      </c>
      <c r="J8" s="31">
        <v>3796</v>
      </c>
      <c r="K8" s="32">
        <v>4383</v>
      </c>
      <c r="L8" s="32">
        <v>4067</v>
      </c>
      <c r="M8" s="31">
        <v>2785</v>
      </c>
      <c r="N8" s="31">
        <v>3529</v>
      </c>
      <c r="O8" s="31">
        <v>1575</v>
      </c>
      <c r="P8" s="31">
        <v>1703</v>
      </c>
      <c r="Q8" s="31">
        <v>1245</v>
      </c>
      <c r="R8" s="31">
        <v>527</v>
      </c>
      <c r="S8" s="31">
        <v>370</v>
      </c>
      <c r="T8" s="31">
        <v>250</v>
      </c>
      <c r="U8" s="31">
        <v>1117</v>
      </c>
      <c r="V8" s="32">
        <v>1677</v>
      </c>
      <c r="W8" s="33">
        <v>1575</v>
      </c>
      <c r="X8" s="26">
        <f t="shared" si="1"/>
        <v>-0.37789336801040307</v>
      </c>
      <c r="Y8" s="26">
        <f t="shared" si="2"/>
        <v>-5.3511705685618693E-2</v>
      </c>
      <c r="Z8" s="26">
        <f t="shared" si="3"/>
        <v>0.50795053003533575</v>
      </c>
      <c r="AA8" s="26">
        <f t="shared" si="4"/>
        <v>0.35295840656121857</v>
      </c>
    </row>
    <row r="9" spans="2:27" x14ac:dyDescent="0.25">
      <c r="B9" s="29" t="s">
        <v>193</v>
      </c>
      <c r="C9" s="22" t="s">
        <v>23</v>
      </c>
      <c r="D9" s="22" t="s">
        <v>44</v>
      </c>
      <c r="E9" s="22" t="s">
        <v>28</v>
      </c>
      <c r="F9" s="30">
        <v>21.700505538013498</v>
      </c>
      <c r="G9" s="31">
        <v>157.31</v>
      </c>
      <c r="H9" s="31">
        <v>156.04</v>
      </c>
      <c r="I9" s="31">
        <v>132.97</v>
      </c>
      <c r="J9" s="31">
        <v>246.52</v>
      </c>
      <c r="K9" s="32">
        <v>245.14</v>
      </c>
      <c r="L9" s="31">
        <v>203.72</v>
      </c>
      <c r="M9" s="31">
        <v>190.82</v>
      </c>
      <c r="N9" s="31">
        <v>194.83</v>
      </c>
      <c r="O9" s="31">
        <v>88.97</v>
      </c>
      <c r="P9" s="31">
        <v>129.44999999999999</v>
      </c>
      <c r="Q9" s="31">
        <v>93.33</v>
      </c>
      <c r="R9" s="31">
        <v>126.67</v>
      </c>
      <c r="S9" s="31">
        <v>89.06</v>
      </c>
      <c r="T9" s="31">
        <v>139.12</v>
      </c>
      <c r="U9" s="32">
        <v>173.09</v>
      </c>
      <c r="V9" s="32">
        <v>209.96</v>
      </c>
      <c r="W9" s="33">
        <v>221.7</v>
      </c>
      <c r="X9" s="26">
        <f t="shared" si="1"/>
        <v>2.2051948644272734E-2</v>
      </c>
      <c r="Y9" s="26">
        <f t="shared" si="2"/>
        <v>0.17796421080815761</v>
      </c>
      <c r="Z9" s="26">
        <f t="shared" si="3"/>
        <v>0.15776413986437854</v>
      </c>
      <c r="AA9" s="26">
        <f t="shared" si="4"/>
        <v>0.21700505538013526</v>
      </c>
    </row>
    <row r="10" spans="2:27" x14ac:dyDescent="0.25">
      <c r="B10" s="29" t="s">
        <v>54</v>
      </c>
      <c r="C10" s="22" t="s">
        <v>23</v>
      </c>
      <c r="D10" s="22" t="s">
        <v>55</v>
      </c>
      <c r="E10" s="22" t="s">
        <v>28</v>
      </c>
      <c r="F10" s="30">
        <v>17.982015648721241</v>
      </c>
      <c r="G10" s="31">
        <v>33.21</v>
      </c>
      <c r="H10" s="31">
        <v>28.25</v>
      </c>
      <c r="I10" s="31">
        <v>47.29</v>
      </c>
      <c r="J10" s="31">
        <v>62.03</v>
      </c>
      <c r="K10" s="32">
        <v>59.54</v>
      </c>
      <c r="L10" s="32">
        <v>60.42</v>
      </c>
      <c r="M10" s="32">
        <v>88.03</v>
      </c>
      <c r="N10" s="32">
        <v>93.2</v>
      </c>
      <c r="O10" s="32">
        <v>93.24</v>
      </c>
      <c r="P10" s="32">
        <v>103.8</v>
      </c>
      <c r="Q10" s="31">
        <v>122.68</v>
      </c>
      <c r="R10" s="31">
        <v>127.91</v>
      </c>
      <c r="S10" s="31">
        <v>52.65</v>
      </c>
      <c r="T10" s="31">
        <v>110.22</v>
      </c>
      <c r="U10" s="31">
        <v>134.46</v>
      </c>
      <c r="V10" s="31">
        <v>130.82</v>
      </c>
      <c r="W10" s="33">
        <v>129.63999999999999</v>
      </c>
      <c r="X10" s="26">
        <f t="shared" si="1"/>
        <v>1.5772405660377631E-2</v>
      </c>
      <c r="Y10" s="26">
        <f t="shared" si="2"/>
        <v>2.8491268804720971E-2</v>
      </c>
      <c r="Z10" s="26">
        <f t="shared" si="3"/>
        <v>6.8431944313800397E-3</v>
      </c>
      <c r="AA10" s="26">
        <f t="shared" si="4"/>
        <v>0.17982015648721239</v>
      </c>
    </row>
    <row r="11" spans="2:27" hidden="1" x14ac:dyDescent="0.25">
      <c r="B11" s="22" t="s">
        <v>33</v>
      </c>
      <c r="C11" s="22" t="s">
        <v>26</v>
      </c>
      <c r="D11" s="22" t="s">
        <v>27</v>
      </c>
      <c r="E11" s="22" t="s">
        <v>34</v>
      </c>
      <c r="F11" s="22">
        <v>8.9775029320823041</v>
      </c>
      <c r="G11" s="22">
        <v>1919</v>
      </c>
      <c r="H11" s="22">
        <v>2356</v>
      </c>
      <c r="I11" s="22">
        <v>6106</v>
      </c>
      <c r="J11" s="22">
        <v>1643</v>
      </c>
      <c r="K11" s="23">
        <v>3761</v>
      </c>
      <c r="L11" s="23">
        <v>6207</v>
      </c>
      <c r="M11" s="22">
        <v>5883</v>
      </c>
      <c r="N11" s="23">
        <v>4267</v>
      </c>
      <c r="O11" s="22">
        <v>3510</v>
      </c>
      <c r="P11" s="22">
        <v>4380</v>
      </c>
      <c r="Q11" s="22">
        <v>4216</v>
      </c>
      <c r="R11" s="22">
        <v>2960</v>
      </c>
      <c r="S11" s="22">
        <v>4616</v>
      </c>
      <c r="T11" s="22">
        <v>5656</v>
      </c>
      <c r="U11" s="22">
        <v>5285</v>
      </c>
      <c r="V11" s="22">
        <v>3201</v>
      </c>
      <c r="W11" s="22">
        <v>6300</v>
      </c>
    </row>
    <row r="12" spans="2:27" x14ac:dyDescent="0.25">
      <c r="B12" s="29" t="s">
        <v>183</v>
      </c>
      <c r="C12" s="22" t="s">
        <v>23</v>
      </c>
      <c r="D12" s="22" t="s">
        <v>133</v>
      </c>
      <c r="E12" s="22" t="s">
        <v>28</v>
      </c>
      <c r="F12" s="30">
        <v>17.90892034794474</v>
      </c>
      <c r="G12" s="31">
        <v>2498</v>
      </c>
      <c r="H12" s="31">
        <v>2099</v>
      </c>
      <c r="I12" s="31">
        <v>654</v>
      </c>
      <c r="J12" s="31">
        <v>2247</v>
      </c>
      <c r="K12" s="31">
        <v>2499</v>
      </c>
      <c r="L12" s="31">
        <v>2161</v>
      </c>
      <c r="M12" s="32">
        <v>2241</v>
      </c>
      <c r="N12" s="31">
        <v>2151</v>
      </c>
      <c r="O12" s="31">
        <v>2490</v>
      </c>
      <c r="P12" s="31">
        <v>2030</v>
      </c>
      <c r="Q12" s="31">
        <v>2240</v>
      </c>
      <c r="R12" s="31">
        <v>2151</v>
      </c>
      <c r="S12" s="31">
        <v>703</v>
      </c>
      <c r="T12" s="31">
        <v>2279</v>
      </c>
      <c r="U12" s="31">
        <v>705</v>
      </c>
      <c r="V12" s="31">
        <v>2176</v>
      </c>
      <c r="W12" s="33">
        <v>1753</v>
      </c>
      <c r="X12" s="26">
        <f>SUM(Q12:T12)/SUM(P12:S12)-1</f>
        <v>3.4952274003368977E-2</v>
      </c>
      <c r="Y12" s="26">
        <f t="shared" ref="Y12" si="5">SUM(R12:U12)/SUM(Q12:T12)-1</f>
        <v>-0.20819205208192049</v>
      </c>
      <c r="Z12" s="26">
        <f t="shared" ref="Z12" si="6">SUM(S12:V12)/SUM(R12:U12)-1</f>
        <v>4.2822884549502671E-3</v>
      </c>
      <c r="AA12" s="26">
        <f t="shared" ref="AA12" si="7">SUM(T12:W12)/SUM(S12:V12)-1</f>
        <v>0.17908920347944735</v>
      </c>
    </row>
    <row r="13" spans="2:27" hidden="1" x14ac:dyDescent="0.25">
      <c r="B13" s="22" t="s">
        <v>35</v>
      </c>
      <c r="C13" s="22" t="s">
        <v>26</v>
      </c>
      <c r="D13" s="22" t="s">
        <v>27</v>
      </c>
      <c r="E13" s="22" t="s">
        <v>34</v>
      </c>
      <c r="F13" s="22">
        <v>2.3013304566702701</v>
      </c>
      <c r="G13" s="22">
        <v>581</v>
      </c>
      <c r="H13" s="22">
        <v>4345</v>
      </c>
      <c r="I13" s="22">
        <v>-2039</v>
      </c>
      <c r="J13" s="22">
        <v>-772</v>
      </c>
      <c r="K13" s="23">
        <v>4692</v>
      </c>
      <c r="L13" s="22">
        <v>3422</v>
      </c>
      <c r="M13" s="23">
        <v>9315</v>
      </c>
      <c r="N13" s="23">
        <v>8783</v>
      </c>
      <c r="O13" s="23">
        <v>11464</v>
      </c>
      <c r="P13" s="23">
        <v>12967</v>
      </c>
      <c r="Q13" s="22">
        <v>-4392</v>
      </c>
      <c r="R13" s="22">
        <v>7124</v>
      </c>
      <c r="S13" s="22">
        <v>11418</v>
      </c>
      <c r="T13" s="22">
        <v>9078</v>
      </c>
      <c r="U13" s="23">
        <v>7821</v>
      </c>
      <c r="V13" s="22">
        <v>7836</v>
      </c>
      <c r="W13" s="22">
        <v>12250</v>
      </c>
    </row>
    <row r="14" spans="2:27" x14ac:dyDescent="0.25">
      <c r="B14" s="29" t="s">
        <v>225</v>
      </c>
      <c r="C14" s="22" t="s">
        <v>23</v>
      </c>
      <c r="D14" s="22" t="s">
        <v>164</v>
      </c>
      <c r="E14" s="22" t="s">
        <v>28</v>
      </c>
      <c r="F14" s="30">
        <v>14.97744360902256</v>
      </c>
      <c r="G14" s="31">
        <v>-7.34</v>
      </c>
      <c r="H14" s="31">
        <v>-14.67</v>
      </c>
      <c r="I14" s="31">
        <v>-10.53</v>
      </c>
      <c r="J14" s="31">
        <v>-7.82</v>
      </c>
      <c r="K14" s="32">
        <v>-17.72</v>
      </c>
      <c r="L14" s="32">
        <v>-26.53</v>
      </c>
      <c r="M14" s="31">
        <v>-2.58</v>
      </c>
      <c r="N14" s="31">
        <v>-7.0000000000000007E-2</v>
      </c>
      <c r="O14" s="31">
        <v>43.14</v>
      </c>
      <c r="P14" s="32">
        <v>34.090000000000003</v>
      </c>
      <c r="Q14" s="32">
        <v>36.03</v>
      </c>
      <c r="R14" s="32">
        <v>42.57</v>
      </c>
      <c r="S14" s="31">
        <v>23.66</v>
      </c>
      <c r="T14" s="31">
        <v>33.78</v>
      </c>
      <c r="U14" s="31">
        <v>40.51</v>
      </c>
      <c r="V14" s="31">
        <v>35.049999999999997</v>
      </c>
      <c r="W14" s="33">
        <v>43.58</v>
      </c>
      <c r="X14" s="26">
        <f>SUM(Q14:T14)/SUM(P14:S14)-1</f>
        <v>-2.2735606894023208E-3</v>
      </c>
      <c r="Y14" s="26">
        <f t="shared" ref="Y14" si="8">SUM(R14:U14)/SUM(Q14:T14)-1</f>
        <v>3.2931490738018265E-2</v>
      </c>
      <c r="Z14" s="26">
        <f t="shared" ref="Z14" si="9">SUM(S14:V14)/SUM(R14:U14)-1</f>
        <v>-5.3515513805864057E-2</v>
      </c>
      <c r="AA14" s="26">
        <f t="shared" ref="AA14" si="10">SUM(T14:W14)/SUM(S14:V14)-1</f>
        <v>0.14977443609022556</v>
      </c>
    </row>
    <row r="15" spans="2:27" hidden="1" x14ac:dyDescent="0.25">
      <c r="B15" s="22" t="s">
        <v>38</v>
      </c>
      <c r="C15" s="22" t="s">
        <v>26</v>
      </c>
      <c r="D15" s="22" t="s">
        <v>27</v>
      </c>
      <c r="E15" s="22" t="s">
        <v>34</v>
      </c>
      <c r="F15" s="22">
        <v>-25.546716847717619</v>
      </c>
      <c r="G15" s="22">
        <v>4299</v>
      </c>
      <c r="H15" s="22">
        <v>4374</v>
      </c>
      <c r="I15" s="22">
        <v>3679</v>
      </c>
      <c r="J15" s="22">
        <v>4822</v>
      </c>
      <c r="K15" s="22">
        <v>2571</v>
      </c>
      <c r="L15" s="22">
        <v>3146</v>
      </c>
      <c r="M15" s="22">
        <v>3035</v>
      </c>
      <c r="N15" s="23">
        <v>11258</v>
      </c>
      <c r="O15" s="23">
        <v>11258</v>
      </c>
      <c r="P15" s="22">
        <v>3863</v>
      </c>
      <c r="Q15" s="22">
        <v>3968</v>
      </c>
      <c r="R15" s="22">
        <v>3680</v>
      </c>
      <c r="S15" s="22">
        <v>13166</v>
      </c>
      <c r="T15" s="23">
        <v>13166</v>
      </c>
      <c r="U15" s="22">
        <v>4595</v>
      </c>
      <c r="V15" s="22">
        <v>4146</v>
      </c>
      <c r="W15" s="22">
        <v>4206</v>
      </c>
    </row>
    <row r="16" spans="2:27" x14ac:dyDescent="0.25">
      <c r="B16" s="29" t="s">
        <v>71</v>
      </c>
      <c r="C16" s="22" t="s">
        <v>23</v>
      </c>
      <c r="D16" s="22" t="s">
        <v>72</v>
      </c>
      <c r="E16" s="22" t="s">
        <v>28</v>
      </c>
      <c r="F16" s="30">
        <v>13.703703703703709</v>
      </c>
      <c r="G16" s="31">
        <v>0</v>
      </c>
      <c r="H16" s="31">
        <v>302</v>
      </c>
      <c r="I16" s="31">
        <v>16</v>
      </c>
      <c r="J16" s="31">
        <v>189</v>
      </c>
      <c r="K16" s="31">
        <v>-208</v>
      </c>
      <c r="L16" s="32">
        <v>638</v>
      </c>
      <c r="M16" s="32">
        <v>86</v>
      </c>
      <c r="N16" s="31">
        <v>225</v>
      </c>
      <c r="O16" s="32">
        <v>18</v>
      </c>
      <c r="P16" s="31">
        <v>188</v>
      </c>
      <c r="Q16" s="32">
        <v>180</v>
      </c>
      <c r="R16" s="31">
        <v>40</v>
      </c>
      <c r="S16" s="31">
        <v>-27</v>
      </c>
      <c r="T16" s="31">
        <v>197</v>
      </c>
      <c r="U16" s="31">
        <v>174</v>
      </c>
      <c r="V16" s="32">
        <v>196</v>
      </c>
      <c r="W16" s="33">
        <v>47</v>
      </c>
      <c r="X16" s="26">
        <f t="shared" ref="X16:X18" si="11">SUM(Q16:T16)/SUM(P16:S16)-1</f>
        <v>2.3622047244094446E-2</v>
      </c>
      <c r="Y16" s="26">
        <f t="shared" ref="Y16:Y18" si="12">SUM(R16:U16)/SUM(Q16:T16)-1</f>
        <v>-1.538461538461533E-2</v>
      </c>
      <c r="Z16" s="26">
        <f t="shared" ref="Z16:Z18" si="13">SUM(S16:V16)/SUM(R16:U16)-1</f>
        <v>0.40625</v>
      </c>
      <c r="AA16" s="26">
        <f t="shared" ref="AA16:AA18" si="14">SUM(T16:W16)/SUM(S16:V16)-1</f>
        <v>0.13703703703703707</v>
      </c>
    </row>
    <row r="17" spans="2:27" x14ac:dyDescent="0.25">
      <c r="B17" s="29" t="s">
        <v>80</v>
      </c>
      <c r="C17" s="22" t="s">
        <v>23</v>
      </c>
      <c r="D17" s="22" t="s">
        <v>81</v>
      </c>
      <c r="E17" s="22" t="s">
        <v>28</v>
      </c>
      <c r="F17" s="30">
        <v>13.33643575285981</v>
      </c>
      <c r="G17" s="31">
        <v>250.76</v>
      </c>
      <c r="H17" s="31">
        <v>242.52</v>
      </c>
      <c r="I17" s="31">
        <v>172.22</v>
      </c>
      <c r="J17" s="31">
        <v>101.62</v>
      </c>
      <c r="K17" s="31">
        <v>51.49</v>
      </c>
      <c r="L17" s="31">
        <v>137.21</v>
      </c>
      <c r="M17" s="31">
        <v>34.49</v>
      </c>
      <c r="N17" s="32">
        <v>139.02000000000001</v>
      </c>
      <c r="O17" s="31">
        <v>21.87</v>
      </c>
      <c r="P17" s="31">
        <v>139.62</v>
      </c>
      <c r="Q17" s="32">
        <v>155.47999999999999</v>
      </c>
      <c r="R17" s="31">
        <v>150.47</v>
      </c>
      <c r="S17" s="32">
        <v>220.86</v>
      </c>
      <c r="T17" s="32">
        <v>226.93</v>
      </c>
      <c r="U17" s="32">
        <v>284.22000000000003</v>
      </c>
      <c r="V17" s="31">
        <v>192</v>
      </c>
      <c r="W17" s="33">
        <v>344.09</v>
      </c>
      <c r="X17" s="26">
        <f t="shared" si="11"/>
        <v>0.13101150908572534</v>
      </c>
      <c r="Y17" s="26">
        <f t="shared" si="12"/>
        <v>0.17080160267466238</v>
      </c>
      <c r="Z17" s="26">
        <f t="shared" si="13"/>
        <v>4.7060556613180982E-2</v>
      </c>
      <c r="AA17" s="26">
        <f t="shared" si="14"/>
        <v>0.1333643575285981</v>
      </c>
    </row>
    <row r="18" spans="2:27" x14ac:dyDescent="0.25">
      <c r="B18" s="29" t="s">
        <v>174</v>
      </c>
      <c r="C18" s="22" t="s">
        <v>23</v>
      </c>
      <c r="D18" s="22" t="s">
        <v>67</v>
      </c>
      <c r="E18" s="22" t="s">
        <v>28</v>
      </c>
      <c r="F18" s="30">
        <v>13.013367692059919</v>
      </c>
      <c r="G18" s="31">
        <v>3213</v>
      </c>
      <c r="H18" s="31">
        <v>2857</v>
      </c>
      <c r="I18" s="31">
        <v>-270.39</v>
      </c>
      <c r="J18" s="31">
        <v>-102.63</v>
      </c>
      <c r="K18" s="31">
        <v>876.81</v>
      </c>
      <c r="L18" s="31">
        <v>206.65</v>
      </c>
      <c r="M18" s="32">
        <v>1371</v>
      </c>
      <c r="N18" s="32">
        <v>1103</v>
      </c>
      <c r="O18" s="31">
        <v>454.33</v>
      </c>
      <c r="P18" s="32">
        <v>1853</v>
      </c>
      <c r="Q18" s="31">
        <v>1144</v>
      </c>
      <c r="R18" s="32">
        <v>1863</v>
      </c>
      <c r="S18" s="32">
        <v>1427</v>
      </c>
      <c r="T18" s="31">
        <v>1469</v>
      </c>
      <c r="U18" s="32">
        <v>2004</v>
      </c>
      <c r="V18" s="31">
        <v>1309</v>
      </c>
      <c r="W18" s="33">
        <v>2235</v>
      </c>
      <c r="X18" s="26">
        <f t="shared" si="11"/>
        <v>-6.1078415778590744E-2</v>
      </c>
      <c r="Y18" s="26">
        <f t="shared" si="12"/>
        <v>0.14568863289852607</v>
      </c>
      <c r="Z18" s="26">
        <f t="shared" si="13"/>
        <v>-8.1916309330178905E-2</v>
      </c>
      <c r="AA18" s="26">
        <f t="shared" si="14"/>
        <v>0.13013367692059918</v>
      </c>
    </row>
    <row r="19" spans="2:27" hidden="1" x14ac:dyDescent="0.25">
      <c r="B19" s="22" t="s">
        <v>45</v>
      </c>
      <c r="C19" s="22" t="s">
        <v>30</v>
      </c>
      <c r="D19" s="22" t="s">
        <v>27</v>
      </c>
      <c r="E19" s="22" t="s">
        <v>34</v>
      </c>
      <c r="F19" s="22">
        <v>5.5475296157180054</v>
      </c>
      <c r="G19" s="22">
        <v>1094</v>
      </c>
      <c r="H19" s="22">
        <v>1312</v>
      </c>
      <c r="I19" s="22">
        <v>1437</v>
      </c>
      <c r="J19" s="22">
        <v>1523</v>
      </c>
      <c r="K19" s="22">
        <v>1566</v>
      </c>
      <c r="L19" s="22">
        <v>1684</v>
      </c>
      <c r="M19" s="22">
        <v>1706</v>
      </c>
      <c r="N19" s="22">
        <v>1834</v>
      </c>
      <c r="O19" s="22">
        <v>1896</v>
      </c>
      <c r="P19" s="22">
        <v>2051</v>
      </c>
      <c r="Q19" s="22">
        <v>2147</v>
      </c>
      <c r="R19" s="22">
        <v>2216</v>
      </c>
      <c r="S19" s="22">
        <v>2367</v>
      </c>
      <c r="T19" s="22">
        <v>2455</v>
      </c>
      <c r="U19" s="22">
        <v>2706</v>
      </c>
      <c r="V19" s="22">
        <v>2855</v>
      </c>
      <c r="W19" s="22">
        <v>2943</v>
      </c>
    </row>
    <row r="20" spans="2:27" hidden="1" x14ac:dyDescent="0.25">
      <c r="B20" s="22" t="s">
        <v>46</v>
      </c>
      <c r="C20" s="22" t="s">
        <v>23</v>
      </c>
      <c r="D20" s="22" t="s">
        <v>47</v>
      </c>
      <c r="E20" s="22" t="s">
        <v>34</v>
      </c>
      <c r="F20" s="22">
        <v>2.0532877047176661</v>
      </c>
      <c r="G20" s="22">
        <v>77.849999999999994</v>
      </c>
      <c r="H20" s="22">
        <v>59.94</v>
      </c>
      <c r="I20" s="22">
        <v>81.77</v>
      </c>
      <c r="J20" s="22">
        <v>86.31</v>
      </c>
      <c r="K20" s="22">
        <v>83.65</v>
      </c>
      <c r="L20" s="23">
        <v>98.61</v>
      </c>
      <c r="M20" s="22">
        <v>90.55</v>
      </c>
      <c r="N20" s="22">
        <v>89.99</v>
      </c>
      <c r="O20" s="22">
        <v>106.11</v>
      </c>
      <c r="P20" s="22">
        <v>83.74</v>
      </c>
      <c r="Q20" s="22">
        <v>78.599999999999994</v>
      </c>
      <c r="R20" s="22">
        <v>89.15</v>
      </c>
      <c r="S20" s="22">
        <v>94.43</v>
      </c>
      <c r="T20" s="22">
        <v>89.88</v>
      </c>
      <c r="U20" s="22">
        <v>89.49</v>
      </c>
      <c r="V20" s="22">
        <v>94.39</v>
      </c>
      <c r="W20" s="22">
        <v>101.99</v>
      </c>
    </row>
    <row r="21" spans="2:27" hidden="1" x14ac:dyDescent="0.25">
      <c r="B21" s="22" t="s">
        <v>48</v>
      </c>
      <c r="C21" s="22" t="s">
        <v>30</v>
      </c>
      <c r="D21" s="22" t="s">
        <v>27</v>
      </c>
      <c r="E21" s="22" t="s">
        <v>34</v>
      </c>
      <c r="F21" s="22">
        <v>-11.517512192032431</v>
      </c>
      <c r="G21" s="22">
        <v>65.12</v>
      </c>
      <c r="H21" s="22">
        <v>1801</v>
      </c>
      <c r="I21" s="22">
        <v>4289</v>
      </c>
      <c r="J21" s="22">
        <v>4192</v>
      </c>
      <c r="K21" s="23">
        <v>1523</v>
      </c>
      <c r="L21" s="23">
        <v>3151</v>
      </c>
      <c r="M21" s="22">
        <v>3719</v>
      </c>
      <c r="N21" s="22">
        <v>2273</v>
      </c>
      <c r="O21" s="22">
        <v>345.33</v>
      </c>
      <c r="P21" s="22">
        <v>1013</v>
      </c>
      <c r="Q21" s="22">
        <v>2227</v>
      </c>
      <c r="R21" s="22">
        <v>1901</v>
      </c>
      <c r="S21" s="23">
        <v>1204</v>
      </c>
      <c r="T21" s="22">
        <v>658.6</v>
      </c>
      <c r="U21" s="23">
        <v>2981</v>
      </c>
      <c r="V21" s="22">
        <v>1472</v>
      </c>
      <c r="W21" s="22">
        <v>476.6</v>
      </c>
    </row>
    <row r="22" spans="2:27" x14ac:dyDescent="0.25">
      <c r="B22" s="29" t="s">
        <v>211</v>
      </c>
      <c r="C22" s="22" t="s">
        <v>23</v>
      </c>
      <c r="D22" s="22" t="s">
        <v>74</v>
      </c>
      <c r="E22" s="22" t="s">
        <v>28</v>
      </c>
      <c r="F22" s="24">
        <v>8.5367718261046832</v>
      </c>
      <c r="G22" s="31">
        <v>131.09</v>
      </c>
      <c r="H22" s="31">
        <v>77.06</v>
      </c>
      <c r="I22" s="31">
        <v>57.16</v>
      </c>
      <c r="J22" s="31">
        <v>59.82</v>
      </c>
      <c r="K22" s="31">
        <v>115.01</v>
      </c>
      <c r="L22" s="32">
        <v>121.93</v>
      </c>
      <c r="M22" s="31">
        <v>81.42</v>
      </c>
      <c r="N22" s="32">
        <v>119.7</v>
      </c>
      <c r="O22" s="32">
        <v>164.77</v>
      </c>
      <c r="P22" s="31">
        <v>109.75</v>
      </c>
      <c r="Q22" s="31">
        <v>-72.900000000000006</v>
      </c>
      <c r="R22" s="31">
        <v>123.74</v>
      </c>
      <c r="S22" s="31">
        <v>159.05000000000001</v>
      </c>
      <c r="T22" s="32">
        <v>148.46</v>
      </c>
      <c r="U22" s="32">
        <v>122.16</v>
      </c>
      <c r="V22" s="31">
        <v>158.96</v>
      </c>
      <c r="W22" s="34">
        <v>209.3</v>
      </c>
      <c r="X22" s="26">
        <f t="shared" ref="X22:X35" si="15">SUM(Q22:T22)/SUM(P22:S22)-1</f>
        <v>0.12110499311725698</v>
      </c>
      <c r="Y22" s="26">
        <f t="shared" ref="Y22:Y35" si="16">SUM(R22:U22)/SUM(Q22:T22)-1</f>
        <v>0.54432817078275408</v>
      </c>
      <c r="Z22" s="26">
        <f t="shared" ref="Z22:Z35" si="17">SUM(S22:V22)/SUM(R22:U22)-1</f>
        <v>6.364178457201719E-2</v>
      </c>
      <c r="AA22" s="26">
        <f t="shared" ref="AA22:AA35" si="18">SUM(T22:W22)/SUM(S22:V22)-1</f>
        <v>8.5367718261047054E-2</v>
      </c>
    </row>
    <row r="23" spans="2:27" x14ac:dyDescent="0.25">
      <c r="B23" s="29" t="s">
        <v>75</v>
      </c>
      <c r="C23" s="22" t="s">
        <v>23</v>
      </c>
      <c r="D23" s="22" t="s">
        <v>76</v>
      </c>
      <c r="E23" s="22" t="s">
        <v>28</v>
      </c>
      <c r="F23" s="24">
        <v>8.2875038191261741</v>
      </c>
      <c r="G23" s="31">
        <v>25.24</v>
      </c>
      <c r="H23" s="31">
        <v>26.08</v>
      </c>
      <c r="I23" s="31">
        <v>26.06</v>
      </c>
      <c r="J23" s="31">
        <v>27.16</v>
      </c>
      <c r="K23" s="31">
        <v>28.49</v>
      </c>
      <c r="L23" s="31">
        <v>28.67</v>
      </c>
      <c r="M23" s="31">
        <v>28.05</v>
      </c>
      <c r="N23" s="31">
        <v>29.05</v>
      </c>
      <c r="O23" s="31">
        <v>28.39</v>
      </c>
      <c r="P23" s="31">
        <v>26.53</v>
      </c>
      <c r="Q23" s="31">
        <v>28.33</v>
      </c>
      <c r="R23" s="31">
        <v>27.03</v>
      </c>
      <c r="S23" s="31">
        <v>25.78</v>
      </c>
      <c r="T23" s="31">
        <v>30.38</v>
      </c>
      <c r="U23" s="31">
        <v>38.700000000000003</v>
      </c>
      <c r="V23" s="31">
        <v>36.06</v>
      </c>
      <c r="W23" s="34">
        <v>36.630000000000003</v>
      </c>
      <c r="X23" s="26">
        <f t="shared" si="15"/>
        <v>3.5757406891427479E-2</v>
      </c>
      <c r="Y23" s="26">
        <f t="shared" si="16"/>
        <v>9.2987804878048808E-2</v>
      </c>
      <c r="Z23" s="26">
        <f t="shared" si="17"/>
        <v>7.4083189761260382E-2</v>
      </c>
      <c r="AA23" s="26">
        <f t="shared" si="18"/>
        <v>8.2875038191261741E-2</v>
      </c>
    </row>
    <row r="24" spans="2:27" x14ac:dyDescent="0.25">
      <c r="B24" s="29" t="s">
        <v>146</v>
      </c>
      <c r="C24" s="22" t="s">
        <v>23</v>
      </c>
      <c r="D24" s="22" t="s">
        <v>147</v>
      </c>
      <c r="E24" s="22" t="s">
        <v>28</v>
      </c>
      <c r="F24" s="24">
        <v>7.1058315334773248</v>
      </c>
      <c r="G24" s="31">
        <v>954</v>
      </c>
      <c r="H24" s="31">
        <v>590</v>
      </c>
      <c r="I24" s="31">
        <v>593</v>
      </c>
      <c r="J24" s="31">
        <v>483</v>
      </c>
      <c r="K24" s="31">
        <v>802</v>
      </c>
      <c r="L24" s="31">
        <v>709</v>
      </c>
      <c r="M24" s="31">
        <v>729</v>
      </c>
      <c r="N24" s="32">
        <v>867</v>
      </c>
      <c r="O24" s="31">
        <v>1014</v>
      </c>
      <c r="P24" s="31">
        <v>966</v>
      </c>
      <c r="Q24" s="31">
        <v>967</v>
      </c>
      <c r="R24" s="31">
        <v>1008</v>
      </c>
      <c r="S24" s="31">
        <v>1134</v>
      </c>
      <c r="T24" s="31">
        <v>832</v>
      </c>
      <c r="U24" s="31">
        <v>1296</v>
      </c>
      <c r="V24" s="31">
        <v>1368</v>
      </c>
      <c r="W24" s="34">
        <v>1463</v>
      </c>
      <c r="X24" s="26">
        <f t="shared" si="15"/>
        <v>-3.288343558282214E-2</v>
      </c>
      <c r="Y24" s="26">
        <f t="shared" si="16"/>
        <v>8.3481349911190161E-2</v>
      </c>
      <c r="Z24" s="26">
        <f t="shared" si="17"/>
        <v>8.4309133489461452E-2</v>
      </c>
      <c r="AA24" s="26">
        <f t="shared" si="18"/>
        <v>7.1058315334773248E-2</v>
      </c>
    </row>
    <row r="25" spans="2:27" x14ac:dyDescent="0.25">
      <c r="B25" s="29" t="s">
        <v>43</v>
      </c>
      <c r="C25" s="22" t="s">
        <v>23</v>
      </c>
      <c r="D25" s="22" t="s">
        <v>44</v>
      </c>
      <c r="E25" s="22" t="s">
        <v>28</v>
      </c>
      <c r="F25" s="24">
        <v>7.0728768271598463</v>
      </c>
      <c r="G25" s="31">
        <v>36.270000000000003</v>
      </c>
      <c r="H25" s="31">
        <v>35.19</v>
      </c>
      <c r="I25" s="31">
        <v>38.130000000000003</v>
      </c>
      <c r="J25" s="31">
        <v>42.44</v>
      </c>
      <c r="K25" s="31">
        <v>41.02</v>
      </c>
      <c r="L25" s="31">
        <v>40.42</v>
      </c>
      <c r="M25" s="31">
        <v>42.07</v>
      </c>
      <c r="N25" s="31">
        <v>42.67</v>
      </c>
      <c r="O25" s="31">
        <v>36.520000000000003</v>
      </c>
      <c r="P25" s="31">
        <v>37.89</v>
      </c>
      <c r="Q25" s="31">
        <v>47.72</v>
      </c>
      <c r="R25" s="31">
        <v>45.38</v>
      </c>
      <c r="S25" s="31">
        <v>40.06</v>
      </c>
      <c r="T25" s="31">
        <v>47.7</v>
      </c>
      <c r="U25" s="31">
        <v>48.13</v>
      </c>
      <c r="V25" s="31">
        <v>54.98</v>
      </c>
      <c r="W25" s="34">
        <v>53.56</v>
      </c>
      <c r="X25" s="26">
        <f t="shared" si="15"/>
        <v>5.7351651563870121E-2</v>
      </c>
      <c r="Y25" s="26">
        <f t="shared" si="16"/>
        <v>2.266946809686976E-3</v>
      </c>
      <c r="Z25" s="26">
        <f t="shared" si="17"/>
        <v>5.2959673415347464E-2</v>
      </c>
      <c r="AA25" s="26">
        <f t="shared" si="18"/>
        <v>7.0728768271598463E-2</v>
      </c>
    </row>
    <row r="26" spans="2:27" x14ac:dyDescent="0.25">
      <c r="B26" s="29" t="s">
        <v>117</v>
      </c>
      <c r="C26" s="22" t="s">
        <v>23</v>
      </c>
      <c r="D26" s="22" t="s">
        <v>118</v>
      </c>
      <c r="E26" s="22" t="s">
        <v>119</v>
      </c>
      <c r="F26" s="24">
        <v>6.9604296832182388</v>
      </c>
      <c r="G26" s="31">
        <v>17.32</v>
      </c>
      <c r="H26" s="31">
        <v>16.399999999999999</v>
      </c>
      <c r="I26" s="31">
        <v>23.52</v>
      </c>
      <c r="J26" s="31">
        <v>21.66</v>
      </c>
      <c r="K26" s="31">
        <v>23.81</v>
      </c>
      <c r="L26" s="31">
        <v>21.1</v>
      </c>
      <c r="M26" s="31">
        <v>20.94</v>
      </c>
      <c r="N26" s="31">
        <v>23.87</v>
      </c>
      <c r="O26" s="31">
        <v>24.77</v>
      </c>
      <c r="P26" s="31">
        <v>17.68</v>
      </c>
      <c r="Q26" s="31">
        <v>14.8</v>
      </c>
      <c r="R26" s="31">
        <v>16.239999999999998</v>
      </c>
      <c r="S26" s="31">
        <v>18.66</v>
      </c>
      <c r="T26" s="32">
        <v>27.2</v>
      </c>
      <c r="U26" s="31">
        <v>19.32</v>
      </c>
      <c r="V26" s="32">
        <v>26.05</v>
      </c>
      <c r="W26" s="34">
        <v>25.01</v>
      </c>
      <c r="X26" s="26">
        <f t="shared" si="15"/>
        <v>0.14128821608786013</v>
      </c>
      <c r="Y26" s="26">
        <f t="shared" si="16"/>
        <v>5.8777633289986753E-2</v>
      </c>
      <c r="Z26" s="26">
        <f t="shared" si="17"/>
        <v>0.12048636698599879</v>
      </c>
      <c r="AA26" s="26">
        <f t="shared" si="18"/>
        <v>6.9604296832182388E-2</v>
      </c>
    </row>
    <row r="27" spans="2:27" x14ac:dyDescent="0.25">
      <c r="B27" s="29" t="s">
        <v>130</v>
      </c>
      <c r="C27" s="22" t="s">
        <v>23</v>
      </c>
      <c r="D27" s="22" t="s">
        <v>131</v>
      </c>
      <c r="E27" s="22" t="s">
        <v>28</v>
      </c>
      <c r="F27" s="24">
        <v>6.7462039045553146</v>
      </c>
      <c r="G27" s="31">
        <v>-987.85</v>
      </c>
      <c r="H27" s="31">
        <v>-859.21</v>
      </c>
      <c r="I27" s="31">
        <v>-217.74</v>
      </c>
      <c r="J27" s="31">
        <v>303</v>
      </c>
      <c r="K27" s="31">
        <v>18.98</v>
      </c>
      <c r="L27" s="31">
        <v>272</v>
      </c>
      <c r="M27" s="32">
        <v>776</v>
      </c>
      <c r="N27" s="32">
        <v>1265</v>
      </c>
      <c r="O27" s="32">
        <v>591</v>
      </c>
      <c r="P27" s="32">
        <v>750</v>
      </c>
      <c r="Q27" s="31">
        <v>1108</v>
      </c>
      <c r="R27" s="31">
        <v>1636</v>
      </c>
      <c r="S27" s="31">
        <v>625</v>
      </c>
      <c r="T27" s="31">
        <v>949</v>
      </c>
      <c r="U27" s="31">
        <v>1333</v>
      </c>
      <c r="V27" s="31">
        <v>1703</v>
      </c>
      <c r="W27" s="34">
        <v>936</v>
      </c>
      <c r="X27" s="26">
        <f t="shared" si="15"/>
        <v>4.8312697256615689E-2</v>
      </c>
      <c r="Y27" s="26">
        <f t="shared" si="16"/>
        <v>5.2107457156090886E-2</v>
      </c>
      <c r="Z27" s="26">
        <f t="shared" si="17"/>
        <v>1.4747963900506367E-2</v>
      </c>
      <c r="AA27" s="26">
        <f t="shared" si="18"/>
        <v>6.7462039045553146E-2</v>
      </c>
    </row>
    <row r="28" spans="2:27" x14ac:dyDescent="0.25">
      <c r="B28" s="29" t="s">
        <v>61</v>
      </c>
      <c r="C28" s="22" t="s">
        <v>23</v>
      </c>
      <c r="D28" s="22" t="s">
        <v>62</v>
      </c>
      <c r="E28" s="22" t="s">
        <v>28</v>
      </c>
      <c r="F28" s="24">
        <v>6.2075983717774896</v>
      </c>
      <c r="G28" s="31">
        <v>137</v>
      </c>
      <c r="H28" s="31">
        <v>239.3</v>
      </c>
      <c r="I28" s="31">
        <v>278.7</v>
      </c>
      <c r="J28" s="31">
        <v>261.89999999999998</v>
      </c>
      <c r="K28" s="31">
        <v>195.2</v>
      </c>
      <c r="L28" s="31">
        <v>245.6</v>
      </c>
      <c r="M28" s="31">
        <v>208.3</v>
      </c>
      <c r="N28" s="31">
        <v>212.4</v>
      </c>
      <c r="O28" s="31">
        <v>125.4</v>
      </c>
      <c r="P28" s="31">
        <v>127.7</v>
      </c>
      <c r="Q28" s="31">
        <v>166.2</v>
      </c>
      <c r="R28" s="31">
        <v>110.6</v>
      </c>
      <c r="S28" s="31">
        <v>33.799999999999997</v>
      </c>
      <c r="T28" s="31">
        <v>58.1</v>
      </c>
      <c r="U28" s="31">
        <v>111.3</v>
      </c>
      <c r="V28" s="31">
        <v>91.6</v>
      </c>
      <c r="W28" s="34">
        <v>52.1</v>
      </c>
      <c r="X28" s="26">
        <f t="shared" si="15"/>
        <v>-0.15879534565366193</v>
      </c>
      <c r="Y28" s="26">
        <f t="shared" si="16"/>
        <v>-0.14890154597233529</v>
      </c>
      <c r="Z28" s="26">
        <f t="shared" si="17"/>
        <v>-6.0548119821542401E-2</v>
      </c>
      <c r="AA28" s="26">
        <f t="shared" si="18"/>
        <v>6.2075983717774896E-2</v>
      </c>
    </row>
    <row r="29" spans="2:27" x14ac:dyDescent="0.25">
      <c r="B29" s="29" t="s">
        <v>22</v>
      </c>
      <c r="C29" s="22" t="s">
        <v>23</v>
      </c>
      <c r="D29" s="22" t="s">
        <v>24</v>
      </c>
      <c r="E29" s="22" t="s">
        <v>25</v>
      </c>
      <c r="F29" s="24">
        <v>6.0278090943254314</v>
      </c>
      <c r="G29" s="31">
        <v>41488</v>
      </c>
      <c r="H29" s="31">
        <v>29979</v>
      </c>
      <c r="I29" s="31">
        <v>23076</v>
      </c>
      <c r="J29" s="31">
        <v>24894</v>
      </c>
      <c r="K29" s="31">
        <v>36016</v>
      </c>
      <c r="L29" s="31">
        <v>28318</v>
      </c>
      <c r="M29" s="31">
        <v>22998</v>
      </c>
      <c r="N29" s="31">
        <v>26969</v>
      </c>
      <c r="O29" s="31">
        <v>40373</v>
      </c>
      <c r="P29" s="31">
        <v>27900</v>
      </c>
      <c r="Q29" s="31">
        <v>25352</v>
      </c>
      <c r="R29" s="31">
        <v>29591</v>
      </c>
      <c r="S29" s="31">
        <v>42832</v>
      </c>
      <c r="T29" s="31">
        <v>29589</v>
      </c>
      <c r="U29" s="31">
        <v>28202</v>
      </c>
      <c r="V29" s="31">
        <v>32427</v>
      </c>
      <c r="W29" s="34">
        <v>50852</v>
      </c>
      <c r="X29" s="26">
        <f t="shared" si="15"/>
        <v>1.3439427093693945E-2</v>
      </c>
      <c r="Y29" s="26">
        <f t="shared" si="16"/>
        <v>2.2376809773562378E-2</v>
      </c>
      <c r="Z29" s="26">
        <f t="shared" si="17"/>
        <v>2.1779532154760695E-2</v>
      </c>
      <c r="AA29" s="26">
        <f t="shared" si="18"/>
        <v>6.0278090943254314E-2</v>
      </c>
    </row>
    <row r="30" spans="2:27" x14ac:dyDescent="0.25">
      <c r="B30" s="29" t="s">
        <v>159</v>
      </c>
      <c r="C30" s="22" t="s">
        <v>23</v>
      </c>
      <c r="D30" s="22" t="s">
        <v>72</v>
      </c>
      <c r="E30" s="22" t="s">
        <v>28</v>
      </c>
      <c r="F30" s="24">
        <v>4.6722417048826506</v>
      </c>
      <c r="G30" s="31">
        <v>2837</v>
      </c>
      <c r="H30" s="31">
        <v>2984</v>
      </c>
      <c r="I30" s="31">
        <v>3184</v>
      </c>
      <c r="J30" s="31">
        <v>3320</v>
      </c>
      <c r="K30" s="31">
        <v>3136</v>
      </c>
      <c r="L30" s="31">
        <v>3347</v>
      </c>
      <c r="M30" s="31">
        <v>3676</v>
      </c>
      <c r="N30" s="31">
        <v>3844</v>
      </c>
      <c r="O30" s="31">
        <v>3680</v>
      </c>
      <c r="P30" s="31">
        <v>3730</v>
      </c>
      <c r="Q30" s="31">
        <v>4134</v>
      </c>
      <c r="R30" s="31">
        <v>4370</v>
      </c>
      <c r="S30" s="31">
        <v>4218</v>
      </c>
      <c r="T30" s="31">
        <v>4300</v>
      </c>
      <c r="U30" s="31">
        <v>4873</v>
      </c>
      <c r="V30" s="31">
        <v>5144</v>
      </c>
      <c r="W30" s="34">
        <v>5084</v>
      </c>
      <c r="X30" s="26">
        <f t="shared" si="15"/>
        <v>3.4646243617797223E-2</v>
      </c>
      <c r="Y30" s="26">
        <f t="shared" si="16"/>
        <v>4.3414404887792246E-2</v>
      </c>
      <c r="Z30" s="26">
        <f t="shared" si="17"/>
        <v>4.3578627329542208E-2</v>
      </c>
      <c r="AA30" s="26">
        <f t="shared" si="18"/>
        <v>4.6722417048826514E-2</v>
      </c>
    </row>
    <row r="31" spans="2:27" x14ac:dyDescent="0.25">
      <c r="B31" s="29" t="s">
        <v>144</v>
      </c>
      <c r="C31" s="22" t="s">
        <v>23</v>
      </c>
      <c r="D31" s="22" t="s">
        <v>145</v>
      </c>
      <c r="E31" s="22" t="s">
        <v>28</v>
      </c>
      <c r="F31" s="24">
        <v>4.5596137151546312</v>
      </c>
      <c r="G31" s="31">
        <v>248.71</v>
      </c>
      <c r="H31" s="31">
        <v>234.27</v>
      </c>
      <c r="I31" s="31">
        <v>257.26</v>
      </c>
      <c r="J31" s="31">
        <v>275.74</v>
      </c>
      <c r="K31" s="31">
        <v>288.61</v>
      </c>
      <c r="L31" s="31">
        <v>300.67</v>
      </c>
      <c r="M31" s="31">
        <v>286.24</v>
      </c>
      <c r="N31" s="31">
        <v>289</v>
      </c>
      <c r="O31" s="31">
        <v>339.32</v>
      </c>
      <c r="P31" s="31">
        <v>374.58</v>
      </c>
      <c r="Q31" s="31">
        <v>381.22</v>
      </c>
      <c r="R31" s="31">
        <v>387.31</v>
      </c>
      <c r="S31" s="31">
        <v>417.24</v>
      </c>
      <c r="T31" s="31">
        <v>426.27</v>
      </c>
      <c r="U31" s="31">
        <v>456.57</v>
      </c>
      <c r="V31" s="31">
        <v>462.35</v>
      </c>
      <c r="W31" s="34">
        <v>497.6</v>
      </c>
      <c r="X31" s="26">
        <f t="shared" si="15"/>
        <v>3.3127183003813343E-2</v>
      </c>
      <c r="Y31" s="26">
        <f t="shared" si="16"/>
        <v>4.6742016327138147E-2</v>
      </c>
      <c r="Z31" s="26">
        <f t="shared" si="17"/>
        <v>4.4471047001582331E-2</v>
      </c>
      <c r="AA31" s="26">
        <f t="shared" si="18"/>
        <v>4.5596137151546534E-2</v>
      </c>
    </row>
    <row r="32" spans="2:27" x14ac:dyDescent="0.25">
      <c r="B32" s="29" t="s">
        <v>141</v>
      </c>
      <c r="C32" s="22" t="s">
        <v>23</v>
      </c>
      <c r="D32" s="22" t="s">
        <v>142</v>
      </c>
      <c r="E32" s="22" t="s">
        <v>28</v>
      </c>
      <c r="F32" s="24">
        <v>4.2839143217135556</v>
      </c>
      <c r="G32" s="31">
        <v>403</v>
      </c>
      <c r="H32" s="31">
        <v>428</v>
      </c>
      <c r="I32" s="31">
        <v>432</v>
      </c>
      <c r="J32" s="31">
        <v>421</v>
      </c>
      <c r="K32" s="31">
        <v>414</v>
      </c>
      <c r="L32" s="31">
        <v>441</v>
      </c>
      <c r="M32" s="31">
        <v>450</v>
      </c>
      <c r="N32" s="31">
        <v>461</v>
      </c>
      <c r="O32" s="31">
        <v>483</v>
      </c>
      <c r="P32" s="31">
        <v>455</v>
      </c>
      <c r="Q32" s="31">
        <v>501</v>
      </c>
      <c r="R32" s="31">
        <v>489</v>
      </c>
      <c r="S32" s="31">
        <v>560</v>
      </c>
      <c r="T32" s="31">
        <v>591</v>
      </c>
      <c r="U32" s="31">
        <v>611</v>
      </c>
      <c r="V32" s="31">
        <v>619</v>
      </c>
      <c r="W32" s="34">
        <v>662</v>
      </c>
      <c r="X32" s="26">
        <f t="shared" si="15"/>
        <v>6.7830423940149709E-2</v>
      </c>
      <c r="Y32" s="26">
        <f t="shared" si="16"/>
        <v>5.1377860812704235E-2</v>
      </c>
      <c r="Z32" s="26">
        <f t="shared" si="17"/>
        <v>5.7752110173256321E-2</v>
      </c>
      <c r="AA32" s="26">
        <f t="shared" si="18"/>
        <v>4.2839143217135556E-2</v>
      </c>
    </row>
    <row r="33" spans="2:27" x14ac:dyDescent="0.25">
      <c r="B33" s="29" t="s">
        <v>50</v>
      </c>
      <c r="C33" s="22" t="s">
        <v>23</v>
      </c>
      <c r="D33" s="22" t="s">
        <v>51</v>
      </c>
      <c r="E33" s="22" t="s">
        <v>28</v>
      </c>
      <c r="F33" s="24">
        <v>4.2293366023857804</v>
      </c>
      <c r="G33" s="31">
        <v>85.51</v>
      </c>
      <c r="H33" s="31">
        <v>29.95</v>
      </c>
      <c r="I33" s="31">
        <v>47.45</v>
      </c>
      <c r="J33" s="31">
        <v>42.5</v>
      </c>
      <c r="K33" s="31">
        <v>36.22</v>
      </c>
      <c r="L33" s="31">
        <v>31.4</v>
      </c>
      <c r="M33" s="31">
        <v>27.11</v>
      </c>
      <c r="N33" s="31">
        <v>52.52</v>
      </c>
      <c r="O33" s="31">
        <v>38.090000000000003</v>
      </c>
      <c r="P33" s="31">
        <v>38.090000000000003</v>
      </c>
      <c r="Q33" s="31">
        <v>29.56</v>
      </c>
      <c r="R33" s="31">
        <v>42.44</v>
      </c>
      <c r="S33" s="31">
        <v>44.17</v>
      </c>
      <c r="T33" s="32">
        <v>57.65</v>
      </c>
      <c r="U33" s="32">
        <v>49.47</v>
      </c>
      <c r="V33" s="31">
        <v>60.8</v>
      </c>
      <c r="W33" s="34">
        <v>53.14</v>
      </c>
      <c r="X33" s="26">
        <f t="shared" si="15"/>
        <v>0.1267989109295995</v>
      </c>
      <c r="Y33" s="26">
        <f t="shared" si="16"/>
        <v>0.1145437809227936</v>
      </c>
      <c r="Z33" s="26">
        <f t="shared" si="17"/>
        <v>9.4771073143034013E-2</v>
      </c>
      <c r="AA33" s="26">
        <f t="shared" si="18"/>
        <v>4.2293366023858026E-2</v>
      </c>
    </row>
    <row r="34" spans="2:27" x14ac:dyDescent="0.25">
      <c r="B34" s="29" t="s">
        <v>209</v>
      </c>
      <c r="C34" s="22" t="s">
        <v>23</v>
      </c>
      <c r="D34" s="22" t="s">
        <v>44</v>
      </c>
      <c r="E34" s="22" t="s">
        <v>28</v>
      </c>
      <c r="F34" s="24">
        <v>4.1681840754841826</v>
      </c>
      <c r="G34" s="31">
        <v>86.34</v>
      </c>
      <c r="H34" s="31">
        <v>86.99</v>
      </c>
      <c r="I34" s="31">
        <v>81.72</v>
      </c>
      <c r="J34" s="31">
        <v>82.85</v>
      </c>
      <c r="K34" s="31">
        <v>117.21</v>
      </c>
      <c r="L34" s="31">
        <v>114.68</v>
      </c>
      <c r="M34" s="31">
        <v>117</v>
      </c>
      <c r="N34" s="31">
        <v>118.16</v>
      </c>
      <c r="O34" s="32">
        <v>217.4</v>
      </c>
      <c r="P34" s="31">
        <v>155.54</v>
      </c>
      <c r="Q34" s="31">
        <v>144.38999999999999</v>
      </c>
      <c r="R34" s="31">
        <v>159.19</v>
      </c>
      <c r="S34" s="31">
        <v>150.33000000000001</v>
      </c>
      <c r="T34" s="31">
        <v>148.08000000000001</v>
      </c>
      <c r="U34" s="31">
        <v>155.80000000000001</v>
      </c>
      <c r="V34" s="31">
        <v>149.88999999999999</v>
      </c>
      <c r="W34" s="34">
        <v>175.51</v>
      </c>
      <c r="X34" s="26">
        <f t="shared" si="15"/>
        <v>-1.2240544753466143E-2</v>
      </c>
      <c r="Y34" s="26">
        <f t="shared" si="16"/>
        <v>1.8953803219322607E-2</v>
      </c>
      <c r="Z34" s="26">
        <f t="shared" si="17"/>
        <v>-1.5161395500489228E-2</v>
      </c>
      <c r="AA34" s="26">
        <f t="shared" si="18"/>
        <v>4.1681840754841826E-2</v>
      </c>
    </row>
    <row r="35" spans="2:27" x14ac:dyDescent="0.25">
      <c r="B35" s="29" t="s">
        <v>126</v>
      </c>
      <c r="C35" s="22" t="s">
        <v>23</v>
      </c>
      <c r="D35" s="22" t="s">
        <v>44</v>
      </c>
      <c r="E35" s="22" t="s">
        <v>28</v>
      </c>
      <c r="F35" s="24">
        <v>4.1184842554705448</v>
      </c>
      <c r="G35" s="31">
        <v>22</v>
      </c>
      <c r="H35" s="31">
        <v>21.27</v>
      </c>
      <c r="I35" s="31">
        <v>22.96</v>
      </c>
      <c r="J35" s="31">
        <v>23.36</v>
      </c>
      <c r="K35" s="31">
        <v>23.7</v>
      </c>
      <c r="L35" s="31">
        <v>24.91</v>
      </c>
      <c r="M35" s="31">
        <v>21.35</v>
      </c>
      <c r="N35" s="31">
        <v>20.49</v>
      </c>
      <c r="O35" s="31">
        <v>21.65</v>
      </c>
      <c r="P35" s="31">
        <v>26.94</v>
      </c>
      <c r="Q35" s="31">
        <v>26.71</v>
      </c>
      <c r="R35" s="31">
        <v>25.37</v>
      </c>
      <c r="S35" s="31">
        <v>25.37</v>
      </c>
      <c r="T35" s="31">
        <v>28.15</v>
      </c>
      <c r="U35" s="31">
        <v>30.13</v>
      </c>
      <c r="V35" s="31">
        <v>28.77</v>
      </c>
      <c r="W35" s="34">
        <v>30</v>
      </c>
      <c r="X35" s="26">
        <f t="shared" si="15"/>
        <v>1.1591148577449806E-2</v>
      </c>
      <c r="Y35" s="26">
        <f t="shared" si="16"/>
        <v>3.2386363636363713E-2</v>
      </c>
      <c r="Z35" s="26">
        <f t="shared" si="17"/>
        <v>3.1186938176481327E-2</v>
      </c>
      <c r="AA35" s="26">
        <f t="shared" si="18"/>
        <v>4.118484255470567E-2</v>
      </c>
    </row>
    <row r="36" spans="2:27" hidden="1" x14ac:dyDescent="0.25">
      <c r="B36" s="22" t="s">
        <v>70</v>
      </c>
      <c r="C36" s="22" t="s">
        <v>30</v>
      </c>
      <c r="D36" s="22" t="s">
        <v>27</v>
      </c>
      <c r="E36" s="22" t="s">
        <v>34</v>
      </c>
      <c r="F36" s="22">
        <v>7.8421821724305776</v>
      </c>
      <c r="G36" s="22">
        <v>-215.2</v>
      </c>
      <c r="H36" s="22">
        <v>-558.9</v>
      </c>
      <c r="I36" s="22">
        <v>-2940</v>
      </c>
      <c r="J36" s="22">
        <v>-530</v>
      </c>
      <c r="K36" s="22">
        <v>-494.9</v>
      </c>
      <c r="L36" s="23">
        <v>-2105</v>
      </c>
      <c r="M36" s="22">
        <v>0</v>
      </c>
      <c r="N36" s="22">
        <v>25.6</v>
      </c>
      <c r="O36" s="22">
        <v>220.8</v>
      </c>
      <c r="P36" s="22">
        <v>647.20000000000005</v>
      </c>
      <c r="Q36" s="23">
        <v>629.26</v>
      </c>
      <c r="R36" s="23">
        <v>944.8</v>
      </c>
      <c r="S36" s="23">
        <v>1286</v>
      </c>
      <c r="T36" s="23">
        <v>1605</v>
      </c>
      <c r="U36" s="23">
        <v>1918</v>
      </c>
      <c r="V36" s="22">
        <v>1350</v>
      </c>
      <c r="W36" s="22">
        <v>1769</v>
      </c>
    </row>
    <row r="37" spans="2:27" x14ac:dyDescent="0.25">
      <c r="B37" s="29" t="s">
        <v>163</v>
      </c>
      <c r="C37" s="22" t="s">
        <v>23</v>
      </c>
      <c r="D37" s="22" t="s">
        <v>164</v>
      </c>
      <c r="E37" s="22" t="s">
        <v>28</v>
      </c>
      <c r="F37" s="24">
        <v>4.096313318013789</v>
      </c>
      <c r="G37" s="31">
        <v>1558</v>
      </c>
      <c r="H37" s="31">
        <v>1557</v>
      </c>
      <c r="I37" s="31">
        <v>1285</v>
      </c>
      <c r="J37" s="31">
        <v>1651</v>
      </c>
      <c r="K37" s="31">
        <v>1889</v>
      </c>
      <c r="L37" s="31">
        <v>1154</v>
      </c>
      <c r="M37" s="31">
        <v>1453</v>
      </c>
      <c r="N37" s="31">
        <v>1763</v>
      </c>
      <c r="O37" s="31">
        <v>2136</v>
      </c>
      <c r="P37" s="31">
        <v>1534</v>
      </c>
      <c r="Q37" s="31">
        <v>1940</v>
      </c>
      <c r="R37" s="31">
        <v>2252</v>
      </c>
      <c r="S37" s="31">
        <v>2419</v>
      </c>
      <c r="T37" s="32">
        <v>2455</v>
      </c>
      <c r="U37" s="31">
        <v>2569</v>
      </c>
      <c r="V37" s="31">
        <v>2566</v>
      </c>
      <c r="W37" s="34">
        <v>2829</v>
      </c>
      <c r="X37" s="26">
        <f>SUM(Q37:T37)/SUM(P37:S37)-1</f>
        <v>0.1130755064456721</v>
      </c>
      <c r="Y37" s="26">
        <f t="shared" ref="Y37" si="19">SUM(R37:U37)/SUM(Q37:T37)-1</f>
        <v>6.938010147804996E-2</v>
      </c>
      <c r="Z37" s="26">
        <f t="shared" ref="Z37" si="20">SUM(S37:V37)/SUM(R37:U37)-1</f>
        <v>3.2387828777720395E-2</v>
      </c>
      <c r="AA37" s="26">
        <f t="shared" ref="AA37" si="21">SUM(T37:W37)/SUM(S37:V37)-1</f>
        <v>4.096313318013789E-2</v>
      </c>
    </row>
    <row r="38" spans="2:27" hidden="1" x14ac:dyDescent="0.25">
      <c r="B38" s="22" t="s">
        <v>73</v>
      </c>
      <c r="C38" s="22" t="s">
        <v>23</v>
      </c>
      <c r="D38" s="22" t="s">
        <v>74</v>
      </c>
      <c r="E38" s="22" t="s">
        <v>34</v>
      </c>
      <c r="F38" s="22">
        <v>13.829279923700531</v>
      </c>
      <c r="G38" s="22">
        <v>22.4</v>
      </c>
      <c r="H38" s="22">
        <v>53.1</v>
      </c>
      <c r="I38" s="22">
        <v>28.9</v>
      </c>
      <c r="J38" s="22">
        <v>-1.7</v>
      </c>
      <c r="K38" s="22">
        <v>28.7</v>
      </c>
      <c r="L38" s="22">
        <v>-15.2</v>
      </c>
      <c r="M38" s="22">
        <v>14.8</v>
      </c>
      <c r="N38" s="22">
        <v>-8.6999999999999993</v>
      </c>
      <c r="O38" s="22">
        <v>21.1</v>
      </c>
      <c r="P38" s="23">
        <v>55.8</v>
      </c>
      <c r="Q38" s="23">
        <v>41.7</v>
      </c>
      <c r="R38" s="23">
        <v>13.3</v>
      </c>
      <c r="S38" s="23">
        <v>51.4</v>
      </c>
      <c r="T38" s="22">
        <v>56.8</v>
      </c>
      <c r="U38" s="22">
        <v>56.4</v>
      </c>
      <c r="V38" s="23">
        <v>45.1</v>
      </c>
      <c r="W38" s="23">
        <v>80.400000000000006</v>
      </c>
    </row>
    <row r="39" spans="2:27" x14ac:dyDescent="0.25">
      <c r="B39" s="29" t="s">
        <v>217</v>
      </c>
      <c r="C39" s="22" t="s">
        <v>23</v>
      </c>
      <c r="D39" s="22" t="s">
        <v>218</v>
      </c>
      <c r="E39" s="22" t="s">
        <v>28</v>
      </c>
      <c r="F39" s="24">
        <v>3.8066758263962002</v>
      </c>
      <c r="G39" s="31">
        <v>296.74</v>
      </c>
      <c r="H39" s="31">
        <v>81.28</v>
      </c>
      <c r="I39" s="31">
        <v>57.33</v>
      </c>
      <c r="J39" s="31">
        <v>126</v>
      </c>
      <c r="K39" s="32">
        <v>362.66</v>
      </c>
      <c r="L39" s="31">
        <v>108.74</v>
      </c>
      <c r="M39" s="31">
        <v>70.739999999999995</v>
      </c>
      <c r="N39" s="32">
        <v>224.62</v>
      </c>
      <c r="O39" s="32">
        <v>487.9</v>
      </c>
      <c r="P39" s="31">
        <v>153.44</v>
      </c>
      <c r="Q39" s="31">
        <v>132.81</v>
      </c>
      <c r="R39" s="31">
        <v>305.08999999999997</v>
      </c>
      <c r="S39" s="31">
        <v>567.27</v>
      </c>
      <c r="T39" s="31">
        <v>178.22</v>
      </c>
      <c r="U39" s="31">
        <v>165.29</v>
      </c>
      <c r="V39" s="31">
        <v>326.52</v>
      </c>
      <c r="W39" s="34">
        <v>614.37</v>
      </c>
      <c r="X39" s="26">
        <f t="shared" ref="X39:X45" si="22">SUM(Q39:T39)/SUM(P39:S39)-1</f>
        <v>2.1387697326969324E-2</v>
      </c>
      <c r="Y39" s="26">
        <f t="shared" ref="Y39:Y45" si="23">SUM(R39:U39)/SUM(Q39:T39)-1</f>
        <v>2.7446572981012274E-2</v>
      </c>
      <c r="Z39" s="26">
        <f t="shared" ref="Z39:Z45" si="24">SUM(S39:V39)/SUM(R39:U39)-1</f>
        <v>1.7625239540411508E-2</v>
      </c>
      <c r="AA39" s="26">
        <f t="shared" ref="AA39:AA45" si="25">SUM(T39:W39)/SUM(S39:V39)-1</f>
        <v>3.8066758263961997E-2</v>
      </c>
    </row>
    <row r="40" spans="2:27" x14ac:dyDescent="0.25">
      <c r="B40" s="29" t="s">
        <v>158</v>
      </c>
      <c r="C40" s="22" t="s">
        <v>23</v>
      </c>
      <c r="D40" s="22" t="s">
        <v>72</v>
      </c>
      <c r="E40" s="22" t="s">
        <v>28</v>
      </c>
      <c r="F40" s="24">
        <v>3.4131602506714431</v>
      </c>
      <c r="G40" s="31">
        <v>4924</v>
      </c>
      <c r="H40" s="31">
        <v>4862</v>
      </c>
      <c r="I40" s="31">
        <v>4865</v>
      </c>
      <c r="J40" s="31">
        <v>5090</v>
      </c>
      <c r="K40" s="31">
        <v>5431</v>
      </c>
      <c r="L40" s="31">
        <v>5336</v>
      </c>
      <c r="M40" s="31">
        <v>5481</v>
      </c>
      <c r="N40" s="31">
        <v>5679</v>
      </c>
      <c r="O40" s="31">
        <v>5963</v>
      </c>
      <c r="P40" s="31">
        <v>5841</v>
      </c>
      <c r="Q40" s="31">
        <v>5833</v>
      </c>
      <c r="R40" s="31">
        <v>6359</v>
      </c>
      <c r="S40" s="31">
        <v>6530</v>
      </c>
      <c r="T40" s="31">
        <v>6435</v>
      </c>
      <c r="U40" s="31">
        <v>6792</v>
      </c>
      <c r="V40" s="31">
        <v>7051</v>
      </c>
      <c r="W40" s="34">
        <v>7445</v>
      </c>
      <c r="X40" s="26">
        <f t="shared" si="22"/>
        <v>2.4182713837886283E-2</v>
      </c>
      <c r="Y40" s="26">
        <f t="shared" si="23"/>
        <v>3.8120602615574262E-2</v>
      </c>
      <c r="Z40" s="26">
        <f t="shared" si="24"/>
        <v>2.6497166487976731E-2</v>
      </c>
      <c r="AA40" s="26">
        <f t="shared" si="25"/>
        <v>3.4131602506714431E-2</v>
      </c>
    </row>
    <row r="41" spans="2:27" x14ac:dyDescent="0.25">
      <c r="B41" s="29" t="s">
        <v>149</v>
      </c>
      <c r="C41" s="22" t="s">
        <v>23</v>
      </c>
      <c r="D41" s="22" t="s">
        <v>81</v>
      </c>
      <c r="E41" s="22" t="s">
        <v>28</v>
      </c>
      <c r="F41" s="24">
        <v>3.2856089750973321</v>
      </c>
      <c r="G41" s="31">
        <v>150.86000000000001</v>
      </c>
      <c r="H41" s="31">
        <v>186.68</v>
      </c>
      <c r="I41" s="31">
        <v>221.22</v>
      </c>
      <c r="J41" s="31">
        <v>314.23</v>
      </c>
      <c r="K41" s="32">
        <v>425.72</v>
      </c>
      <c r="L41" s="32">
        <v>447.6</v>
      </c>
      <c r="M41" s="32">
        <v>392.92</v>
      </c>
      <c r="N41" s="31">
        <v>323.67</v>
      </c>
      <c r="O41" s="31">
        <v>341.95</v>
      </c>
      <c r="P41" s="31">
        <v>383.79</v>
      </c>
      <c r="Q41" s="31">
        <v>366.9</v>
      </c>
      <c r="R41" s="31">
        <v>363.65</v>
      </c>
      <c r="S41" s="31">
        <v>340.51</v>
      </c>
      <c r="T41" s="31">
        <v>453.95</v>
      </c>
      <c r="U41" s="31">
        <v>440.41</v>
      </c>
      <c r="V41" s="31">
        <v>501.49</v>
      </c>
      <c r="W41" s="34">
        <v>397.56</v>
      </c>
      <c r="X41" s="26">
        <f t="shared" si="22"/>
        <v>4.8224902910952938E-2</v>
      </c>
      <c r="Y41" s="26">
        <f t="shared" si="23"/>
        <v>4.8202962603523858E-2</v>
      </c>
      <c r="Z41" s="26">
        <f t="shared" si="24"/>
        <v>8.6229762530340759E-2</v>
      </c>
      <c r="AA41" s="26">
        <f t="shared" si="25"/>
        <v>3.2856089750973094E-2</v>
      </c>
    </row>
    <row r="42" spans="2:27" x14ac:dyDescent="0.25">
      <c r="B42" s="29" t="s">
        <v>165</v>
      </c>
      <c r="C42" s="22" t="s">
        <v>23</v>
      </c>
      <c r="D42" s="22" t="s">
        <v>166</v>
      </c>
      <c r="E42" s="22" t="s">
        <v>28</v>
      </c>
      <c r="F42" s="24">
        <v>3.2097868217054288</v>
      </c>
      <c r="G42" s="31">
        <v>2758</v>
      </c>
      <c r="H42" s="31">
        <v>2830</v>
      </c>
      <c r="I42" s="31">
        <v>1982</v>
      </c>
      <c r="J42" s="31">
        <v>1727</v>
      </c>
      <c r="K42" s="31">
        <v>2036</v>
      </c>
      <c r="L42" s="31">
        <v>1724</v>
      </c>
      <c r="M42" s="31">
        <v>1785</v>
      </c>
      <c r="N42" s="31">
        <v>1976</v>
      </c>
      <c r="O42" s="31">
        <v>1991</v>
      </c>
      <c r="P42" s="31">
        <v>1725</v>
      </c>
      <c r="Q42" s="31">
        <v>1833</v>
      </c>
      <c r="R42" s="31">
        <v>1912</v>
      </c>
      <c r="S42" s="31">
        <v>2335</v>
      </c>
      <c r="T42" s="31">
        <v>1840</v>
      </c>
      <c r="U42" s="31">
        <v>1937</v>
      </c>
      <c r="V42" s="31">
        <v>2144</v>
      </c>
      <c r="W42" s="34">
        <v>2600</v>
      </c>
      <c r="X42" s="26">
        <f t="shared" si="22"/>
        <v>1.4734144778987934E-2</v>
      </c>
      <c r="Y42" s="26">
        <f t="shared" si="23"/>
        <v>1.3131313131313105E-2</v>
      </c>
      <c r="Z42" s="26">
        <f t="shared" si="24"/>
        <v>2.8913260219342041E-2</v>
      </c>
      <c r="AA42" s="26">
        <f t="shared" si="25"/>
        <v>3.2097868217054293E-2</v>
      </c>
    </row>
    <row r="43" spans="2:27" x14ac:dyDescent="0.25">
      <c r="B43" s="29" t="s">
        <v>156</v>
      </c>
      <c r="C43" s="22" t="s">
        <v>23</v>
      </c>
      <c r="D43" s="22" t="s">
        <v>40</v>
      </c>
      <c r="E43" s="22" t="s">
        <v>28</v>
      </c>
      <c r="F43" s="24">
        <v>3.1927580225498802</v>
      </c>
      <c r="G43" s="31">
        <v>371.7</v>
      </c>
      <c r="H43" s="31">
        <v>565.9</v>
      </c>
      <c r="I43" s="31">
        <v>846.3</v>
      </c>
      <c r="J43" s="31">
        <v>972.3</v>
      </c>
      <c r="K43" s="31">
        <v>612.1</v>
      </c>
      <c r="L43" s="31">
        <v>717.9</v>
      </c>
      <c r="M43" s="31">
        <v>1114</v>
      </c>
      <c r="N43" s="31">
        <v>1116</v>
      </c>
      <c r="O43" s="31">
        <v>680.3</v>
      </c>
      <c r="P43" s="31">
        <v>730.7</v>
      </c>
      <c r="Q43" s="31">
        <v>1236</v>
      </c>
      <c r="R43" s="31">
        <v>1136</v>
      </c>
      <c r="S43" s="31">
        <v>671.9</v>
      </c>
      <c r="T43" s="31">
        <v>757.7</v>
      </c>
      <c r="U43" s="31">
        <v>1103</v>
      </c>
      <c r="V43" s="31">
        <v>1157</v>
      </c>
      <c r="W43" s="34">
        <v>789.7</v>
      </c>
      <c r="X43" s="26">
        <f t="shared" si="22"/>
        <v>7.1530758226039381E-3</v>
      </c>
      <c r="Y43" s="26">
        <f t="shared" si="23"/>
        <v>-3.4985269360269355E-2</v>
      </c>
      <c r="Z43" s="26">
        <f t="shared" si="24"/>
        <v>5.7242544839992693E-3</v>
      </c>
      <c r="AA43" s="26">
        <f t="shared" si="25"/>
        <v>3.1927580225498575E-2</v>
      </c>
    </row>
    <row r="44" spans="2:27" x14ac:dyDescent="0.25">
      <c r="B44" s="29" t="s">
        <v>172</v>
      </c>
      <c r="C44" s="22" t="s">
        <v>23</v>
      </c>
      <c r="D44" s="22" t="s">
        <v>173</v>
      </c>
      <c r="E44" s="22" t="s">
        <v>28</v>
      </c>
      <c r="F44" s="24">
        <v>2.9902770133920291</v>
      </c>
      <c r="G44" s="31">
        <v>1100</v>
      </c>
      <c r="H44" s="31">
        <v>687</v>
      </c>
      <c r="I44" s="31">
        <v>873</v>
      </c>
      <c r="J44" s="31">
        <v>781</v>
      </c>
      <c r="K44" s="31">
        <v>1167</v>
      </c>
      <c r="L44" s="31">
        <v>784</v>
      </c>
      <c r="M44" s="31">
        <v>1040</v>
      </c>
      <c r="N44" s="31">
        <v>959</v>
      </c>
      <c r="O44" s="31">
        <v>1331</v>
      </c>
      <c r="P44" s="31">
        <v>973</v>
      </c>
      <c r="Q44" s="31">
        <v>1149</v>
      </c>
      <c r="R44" s="31">
        <v>1186</v>
      </c>
      <c r="S44" s="31">
        <v>1648</v>
      </c>
      <c r="T44" s="31">
        <v>1132</v>
      </c>
      <c r="U44" s="31">
        <v>1322</v>
      </c>
      <c r="V44" s="31">
        <v>1349</v>
      </c>
      <c r="W44" s="34">
        <v>1811</v>
      </c>
      <c r="X44" s="26">
        <f t="shared" si="22"/>
        <v>3.2082324455205757E-2</v>
      </c>
      <c r="Y44" s="26">
        <f t="shared" si="23"/>
        <v>3.3822091886608119E-2</v>
      </c>
      <c r="Z44" s="26">
        <f t="shared" si="24"/>
        <v>3.0824508320726141E-2</v>
      </c>
      <c r="AA44" s="26">
        <f t="shared" si="25"/>
        <v>2.9902770133920287E-2</v>
      </c>
    </row>
    <row r="45" spans="2:27" x14ac:dyDescent="0.25">
      <c r="B45" s="29" t="s">
        <v>205</v>
      </c>
      <c r="C45" s="22" t="s">
        <v>23</v>
      </c>
      <c r="D45" s="22" t="s">
        <v>44</v>
      </c>
      <c r="E45" s="22" t="s">
        <v>28</v>
      </c>
      <c r="F45" s="24">
        <v>2.9053962867994438</v>
      </c>
      <c r="G45" s="31">
        <v>107.48</v>
      </c>
      <c r="H45" s="31">
        <v>109.4</v>
      </c>
      <c r="I45" s="31">
        <v>118.09</v>
      </c>
      <c r="J45" s="31">
        <v>121.08</v>
      </c>
      <c r="K45" s="31">
        <v>104.53</v>
      </c>
      <c r="L45" s="31">
        <v>78.55</v>
      </c>
      <c r="M45" s="31">
        <v>82.97</v>
      </c>
      <c r="N45" s="31">
        <v>105.03</v>
      </c>
      <c r="O45" s="31">
        <v>90.39</v>
      </c>
      <c r="P45" s="31">
        <v>97.45</v>
      </c>
      <c r="Q45" s="32">
        <v>126.5</v>
      </c>
      <c r="R45" s="31">
        <v>125.89</v>
      </c>
      <c r="S45" s="31">
        <v>126.02</v>
      </c>
      <c r="T45" s="31">
        <v>112.94</v>
      </c>
      <c r="U45" s="31">
        <v>142.69</v>
      </c>
      <c r="V45" s="31">
        <v>137.04</v>
      </c>
      <c r="W45" s="34">
        <v>141.09</v>
      </c>
      <c r="X45" s="26">
        <f t="shared" si="22"/>
        <v>3.2551590804017927E-2</v>
      </c>
      <c r="Y45" s="26">
        <f t="shared" si="23"/>
        <v>3.2950035616159612E-2</v>
      </c>
      <c r="Z45" s="26">
        <f t="shared" si="24"/>
        <v>2.1968711825668841E-2</v>
      </c>
      <c r="AA45" s="26">
        <f t="shared" si="25"/>
        <v>2.9053962867994443E-2</v>
      </c>
    </row>
    <row r="46" spans="2:27" hidden="1" x14ac:dyDescent="0.25">
      <c r="B46" s="22" t="s">
        <v>82</v>
      </c>
      <c r="C46" s="22" t="s">
        <v>23</v>
      </c>
      <c r="D46" s="22" t="s">
        <v>76</v>
      </c>
      <c r="E46" s="22" t="s">
        <v>34</v>
      </c>
      <c r="F46" s="22">
        <v>1.394223929435201</v>
      </c>
      <c r="G46" s="22">
        <v>173.1</v>
      </c>
      <c r="H46" s="22">
        <v>168.7</v>
      </c>
      <c r="I46" s="22">
        <v>188.3</v>
      </c>
      <c r="J46" s="22">
        <v>190.4</v>
      </c>
      <c r="K46" s="22">
        <v>222</v>
      </c>
      <c r="L46" s="22">
        <v>188.3</v>
      </c>
      <c r="M46" s="22">
        <v>193.7</v>
      </c>
      <c r="N46" s="22">
        <v>206.3</v>
      </c>
      <c r="O46" s="22">
        <v>186.7</v>
      </c>
      <c r="P46" s="22">
        <v>164.7</v>
      </c>
      <c r="Q46" s="22">
        <v>165.8</v>
      </c>
      <c r="R46" s="22">
        <v>186.3</v>
      </c>
      <c r="S46" s="22">
        <v>178.4</v>
      </c>
      <c r="T46" s="22">
        <v>174.5</v>
      </c>
      <c r="U46" s="22">
        <v>160</v>
      </c>
      <c r="V46" s="22">
        <v>190</v>
      </c>
      <c r="W46" s="22">
        <v>188.2</v>
      </c>
    </row>
    <row r="47" spans="2:27" x14ac:dyDescent="0.25">
      <c r="B47" s="29" t="s">
        <v>175</v>
      </c>
      <c r="C47" s="22" t="s">
        <v>23</v>
      </c>
      <c r="D47" s="22" t="s">
        <v>76</v>
      </c>
      <c r="E47" s="22" t="s">
        <v>28</v>
      </c>
      <c r="F47" s="24">
        <v>2.714378150908447</v>
      </c>
      <c r="G47" s="31">
        <v>672.49</v>
      </c>
      <c r="H47" s="31">
        <v>738.85</v>
      </c>
      <c r="I47" s="31">
        <v>818.35</v>
      </c>
      <c r="J47" s="31">
        <v>630.86</v>
      </c>
      <c r="K47" s="31">
        <v>675.08</v>
      </c>
      <c r="L47" s="31">
        <v>913.55</v>
      </c>
      <c r="M47" s="32">
        <v>1271</v>
      </c>
      <c r="N47" s="31">
        <v>913.93</v>
      </c>
      <c r="O47" s="31">
        <v>952.17</v>
      </c>
      <c r="P47" s="31">
        <v>1016</v>
      </c>
      <c r="Q47" s="31">
        <v>1130</v>
      </c>
      <c r="R47" s="31">
        <v>984</v>
      </c>
      <c r="S47" s="31">
        <v>977.38</v>
      </c>
      <c r="T47" s="31">
        <v>1075</v>
      </c>
      <c r="U47" s="31">
        <v>1172</v>
      </c>
      <c r="V47" s="31">
        <v>1072</v>
      </c>
      <c r="W47" s="34">
        <v>1094</v>
      </c>
      <c r="X47" s="26">
        <f t="shared" ref="X47:X48" si="26">SUM(Q47:T47)/SUM(P47:S47)-1</f>
        <v>1.4364388004031836E-2</v>
      </c>
      <c r="Y47" s="26">
        <f t="shared" ref="Y47:Y48" si="27">SUM(R47:U47)/SUM(Q47:T47)-1</f>
        <v>1.0080693551716369E-2</v>
      </c>
      <c r="Z47" s="26">
        <f t="shared" ref="Z47:Z48" si="28">SUM(S47:V47)/SUM(R47:U47)-1</f>
        <v>2.0910659208531523E-2</v>
      </c>
      <c r="AA47" s="26">
        <f t="shared" ref="AA47:AA48" si="29">SUM(T47:W47)/SUM(S47:V47)-1</f>
        <v>2.7143781509084475E-2</v>
      </c>
    </row>
    <row r="48" spans="2:27" x14ac:dyDescent="0.25">
      <c r="B48" s="29" t="s">
        <v>167</v>
      </c>
      <c r="C48" s="22" t="s">
        <v>23</v>
      </c>
      <c r="D48" s="22" t="s">
        <v>168</v>
      </c>
      <c r="E48" s="22" t="s">
        <v>28</v>
      </c>
      <c r="F48" s="24">
        <v>2.2940164404511521</v>
      </c>
      <c r="G48" s="31">
        <v>965.96</v>
      </c>
      <c r="H48" s="31">
        <v>894.91</v>
      </c>
      <c r="I48" s="31">
        <v>971.95</v>
      </c>
      <c r="J48" s="31">
        <v>1111</v>
      </c>
      <c r="K48" s="31">
        <v>1199</v>
      </c>
      <c r="L48" s="31">
        <v>860.59</v>
      </c>
      <c r="M48" s="31">
        <v>821.31</v>
      </c>
      <c r="N48" s="31">
        <v>899.21</v>
      </c>
      <c r="O48" s="31">
        <v>952.32</v>
      </c>
      <c r="P48" s="31">
        <v>806.84</v>
      </c>
      <c r="Q48" s="31">
        <v>977.32</v>
      </c>
      <c r="R48" s="31">
        <v>1120</v>
      </c>
      <c r="S48" s="31">
        <v>1242</v>
      </c>
      <c r="T48" s="32">
        <v>1300</v>
      </c>
      <c r="U48" s="31">
        <v>1352</v>
      </c>
      <c r="V48" s="31">
        <v>1337</v>
      </c>
      <c r="W48" s="34">
        <v>1362</v>
      </c>
      <c r="X48" s="26">
        <f t="shared" si="26"/>
        <v>0.11894379377544517</v>
      </c>
      <c r="Y48" s="26">
        <f t="shared" si="27"/>
        <v>8.0761835786279157E-2</v>
      </c>
      <c r="Z48" s="26">
        <f t="shared" si="28"/>
        <v>4.3278819305943461E-2</v>
      </c>
      <c r="AA48" s="26">
        <f t="shared" si="29"/>
        <v>2.2940164404511521E-2</v>
      </c>
    </row>
    <row r="49" spans="2:27" hidden="1" x14ac:dyDescent="0.25">
      <c r="B49" s="22" t="s">
        <v>86</v>
      </c>
      <c r="C49" s="22" t="s">
        <v>30</v>
      </c>
      <c r="D49" s="22" t="s">
        <v>27</v>
      </c>
      <c r="E49" s="22" t="s">
        <v>34</v>
      </c>
      <c r="F49" s="22">
        <v>6.322528889079404</v>
      </c>
      <c r="G49" s="22">
        <v>856.78</v>
      </c>
      <c r="H49" s="22">
        <v>945.07</v>
      </c>
      <c r="I49" s="22">
        <v>849.78</v>
      </c>
      <c r="J49" s="22">
        <v>654.08000000000004</v>
      </c>
      <c r="K49" s="22">
        <v>822.54</v>
      </c>
      <c r="L49" s="22">
        <v>871.04</v>
      </c>
      <c r="M49" s="22">
        <v>662.15</v>
      </c>
      <c r="N49" s="22">
        <v>692.32</v>
      </c>
      <c r="O49" s="22">
        <v>852.02</v>
      </c>
      <c r="P49" s="22">
        <v>869.25</v>
      </c>
      <c r="Q49" s="22">
        <v>754.96</v>
      </c>
      <c r="R49" s="22">
        <v>680.76</v>
      </c>
      <c r="S49" s="22">
        <v>881.51</v>
      </c>
      <c r="T49" s="22">
        <v>896.88</v>
      </c>
      <c r="U49" s="22">
        <v>780.2</v>
      </c>
      <c r="V49" s="22">
        <v>707.35</v>
      </c>
      <c r="W49" s="22">
        <v>1088</v>
      </c>
    </row>
    <row r="50" spans="2:27" hidden="1" x14ac:dyDescent="0.25">
      <c r="B50" s="22" t="s">
        <v>87</v>
      </c>
      <c r="C50" s="22" t="s">
        <v>26</v>
      </c>
      <c r="D50" s="22" t="s">
        <v>27</v>
      </c>
      <c r="E50" s="22" t="s">
        <v>34</v>
      </c>
      <c r="F50" s="22">
        <v>-3.3030726256983218</v>
      </c>
      <c r="G50" s="22">
        <v>2253</v>
      </c>
      <c r="H50" s="22">
        <v>2563</v>
      </c>
      <c r="I50" s="22">
        <v>1951</v>
      </c>
      <c r="J50" s="22">
        <v>3214</v>
      </c>
      <c r="K50" s="23">
        <v>3552</v>
      </c>
      <c r="L50" s="23">
        <v>4162</v>
      </c>
      <c r="M50" s="22">
        <v>1730</v>
      </c>
      <c r="N50" s="22">
        <v>3939</v>
      </c>
      <c r="O50" s="22">
        <v>3858</v>
      </c>
      <c r="P50" s="22">
        <v>4132</v>
      </c>
      <c r="Q50" s="23">
        <v>3112</v>
      </c>
      <c r="R50" s="22">
        <v>4398</v>
      </c>
      <c r="S50" s="22">
        <v>3793</v>
      </c>
      <c r="T50" s="22">
        <v>3134</v>
      </c>
      <c r="U50" s="22">
        <v>4042</v>
      </c>
      <c r="V50" s="22">
        <v>3351</v>
      </c>
      <c r="W50" s="22">
        <v>3320</v>
      </c>
    </row>
    <row r="51" spans="2:27" hidden="1" x14ac:dyDescent="0.25">
      <c r="B51" s="22" t="s">
        <v>88</v>
      </c>
      <c r="C51" s="22" t="s">
        <v>30</v>
      </c>
      <c r="D51" s="22" t="s">
        <v>27</v>
      </c>
      <c r="E51" s="22" t="s">
        <v>34</v>
      </c>
      <c r="F51" s="22">
        <v>-2.0552238652595261</v>
      </c>
      <c r="G51" s="22">
        <v>297.76</v>
      </c>
      <c r="H51" s="22">
        <v>277.05</v>
      </c>
      <c r="I51" s="22">
        <v>185.54</v>
      </c>
      <c r="J51" s="22">
        <v>-179.06</v>
      </c>
      <c r="K51" s="22">
        <v>346.08</v>
      </c>
      <c r="L51" s="23">
        <v>471.2</v>
      </c>
      <c r="M51" s="23">
        <v>430.51</v>
      </c>
      <c r="N51" s="23">
        <v>94.32</v>
      </c>
      <c r="O51" s="23">
        <v>674.53</v>
      </c>
      <c r="P51" s="23">
        <v>735.54</v>
      </c>
      <c r="Q51" s="23">
        <v>741.97</v>
      </c>
      <c r="R51" s="23">
        <v>619.61</v>
      </c>
      <c r="S51" s="23">
        <v>1213</v>
      </c>
      <c r="T51" s="23">
        <v>1198</v>
      </c>
      <c r="U51" s="22">
        <v>880.96</v>
      </c>
      <c r="V51" s="22">
        <v>600.55999999999995</v>
      </c>
      <c r="W51" s="22">
        <v>1133</v>
      </c>
    </row>
    <row r="52" spans="2:27" hidden="1" x14ac:dyDescent="0.25">
      <c r="B52" s="22" t="s">
        <v>89</v>
      </c>
      <c r="C52" s="22" t="s">
        <v>23</v>
      </c>
      <c r="D52" s="22" t="s">
        <v>90</v>
      </c>
      <c r="E52" s="22" t="s">
        <v>34</v>
      </c>
      <c r="F52" s="22">
        <v>-21.813725490196081</v>
      </c>
      <c r="G52" s="22">
        <v>41.4</v>
      </c>
      <c r="H52" s="22">
        <v>27.6</v>
      </c>
      <c r="I52" s="22">
        <v>48.6</v>
      </c>
      <c r="J52" s="22">
        <v>34.5</v>
      </c>
      <c r="K52" s="22">
        <v>47.6</v>
      </c>
      <c r="L52" s="22">
        <v>22.5</v>
      </c>
      <c r="M52" s="22">
        <v>31.7</v>
      </c>
      <c r="N52" s="22">
        <v>37.5</v>
      </c>
      <c r="O52" s="22">
        <v>29.7</v>
      </c>
      <c r="P52" s="22">
        <v>26</v>
      </c>
      <c r="Q52" s="22">
        <v>34.5</v>
      </c>
      <c r="R52" s="22">
        <v>34.700000000000003</v>
      </c>
      <c r="S52" s="23">
        <v>47.2</v>
      </c>
      <c r="T52" s="22">
        <v>35.200000000000003</v>
      </c>
      <c r="U52" s="22">
        <v>30.2</v>
      </c>
      <c r="V52" s="22">
        <v>9.8000000000000007</v>
      </c>
      <c r="W52" s="22">
        <v>20.5</v>
      </c>
    </row>
    <row r="53" spans="2:27" hidden="1" x14ac:dyDescent="0.25">
      <c r="B53" s="22" t="s">
        <v>91</v>
      </c>
      <c r="C53" s="22" t="s">
        <v>23</v>
      </c>
      <c r="D53" s="22" t="s">
        <v>55</v>
      </c>
      <c r="E53" s="22" t="s">
        <v>34</v>
      </c>
      <c r="F53" s="22">
        <v>-19.075240996536309</v>
      </c>
      <c r="G53" s="22">
        <v>54.69</v>
      </c>
      <c r="H53" s="22">
        <v>63.5</v>
      </c>
      <c r="I53" s="22">
        <v>59.33</v>
      </c>
      <c r="J53" s="22">
        <v>63.08</v>
      </c>
      <c r="K53" s="22">
        <v>65.459999999999994</v>
      </c>
      <c r="L53" s="22">
        <v>74.38</v>
      </c>
      <c r="M53" s="22">
        <v>47.27</v>
      </c>
      <c r="N53" s="22">
        <v>45.43</v>
      </c>
      <c r="O53" s="22">
        <v>63.19</v>
      </c>
      <c r="P53" s="22">
        <v>73.010000000000005</v>
      </c>
      <c r="Q53" s="23">
        <v>85.49</v>
      </c>
      <c r="R53" s="22">
        <v>62.23</v>
      </c>
      <c r="S53" s="23">
        <v>94.14</v>
      </c>
      <c r="T53" s="22">
        <v>59.49</v>
      </c>
      <c r="U53" s="22">
        <v>44.76</v>
      </c>
      <c r="V53" s="22">
        <v>41.24</v>
      </c>
      <c r="W53" s="22">
        <v>48.43</v>
      </c>
    </row>
    <row r="54" spans="2:27" x14ac:dyDescent="0.25">
      <c r="B54" s="29" t="s">
        <v>213</v>
      </c>
      <c r="C54" s="22" t="s">
        <v>23</v>
      </c>
      <c r="D54" s="22" t="s">
        <v>44</v>
      </c>
      <c r="E54" s="22" t="s">
        <v>28</v>
      </c>
      <c r="F54" s="24">
        <v>1.843640298783233</v>
      </c>
      <c r="G54" s="31">
        <v>111.17</v>
      </c>
      <c r="H54" s="31">
        <v>111.73</v>
      </c>
      <c r="I54" s="31">
        <v>139.79</v>
      </c>
      <c r="J54" s="31">
        <v>197.47</v>
      </c>
      <c r="K54" s="32">
        <v>219.84</v>
      </c>
      <c r="L54" s="32">
        <v>210.84</v>
      </c>
      <c r="M54" s="31">
        <v>193.85</v>
      </c>
      <c r="N54" s="31">
        <v>186.98</v>
      </c>
      <c r="O54" s="31">
        <v>120.7</v>
      </c>
      <c r="P54" s="31">
        <v>161.56</v>
      </c>
      <c r="Q54" s="31">
        <v>175.15</v>
      </c>
      <c r="R54" s="31">
        <v>175.24</v>
      </c>
      <c r="S54" s="32">
        <v>184.01</v>
      </c>
      <c r="T54" s="31">
        <v>179.1</v>
      </c>
      <c r="U54" s="31">
        <v>186.62</v>
      </c>
      <c r="V54" s="31">
        <v>208.01</v>
      </c>
      <c r="W54" s="34">
        <v>197.98</v>
      </c>
      <c r="X54" s="26">
        <f>SUM(Q54:T54)/SUM(P54:S54)-1</f>
        <v>2.5202597850451092E-2</v>
      </c>
      <c r="Y54" s="26">
        <f t="shared" ref="Y54" si="30">SUM(R54:U54)/SUM(Q54:T54)-1</f>
        <v>1.6075683251576711E-2</v>
      </c>
      <c r="Z54" s="26">
        <f t="shared" ref="Z54" si="31">SUM(S54:V54)/SUM(R54:U54)-1</f>
        <v>4.5201870422224344E-2</v>
      </c>
      <c r="AA54" s="26">
        <f t="shared" ref="AA54" si="32">SUM(T54:W54)/SUM(S54:V54)-1</f>
        <v>1.8436402987832334E-2</v>
      </c>
    </row>
    <row r="55" spans="2:27" hidden="1" x14ac:dyDescent="0.25">
      <c r="B55" s="22" t="s">
        <v>92</v>
      </c>
      <c r="C55" s="22" t="s">
        <v>30</v>
      </c>
      <c r="D55" s="22" t="s">
        <v>27</v>
      </c>
      <c r="E55" s="22" t="s">
        <v>34</v>
      </c>
      <c r="F55" s="22">
        <v>9.0042566194039164</v>
      </c>
      <c r="G55" s="22">
        <v>517.78</v>
      </c>
      <c r="H55" s="22">
        <v>130.63999999999999</v>
      </c>
      <c r="I55" s="22">
        <v>682.83</v>
      </c>
      <c r="J55" s="22">
        <v>308.04000000000002</v>
      </c>
      <c r="K55" s="22">
        <v>464.02</v>
      </c>
      <c r="L55" s="22">
        <v>184.23</v>
      </c>
      <c r="M55" s="23">
        <v>1080</v>
      </c>
      <c r="N55" s="22">
        <v>26.74</v>
      </c>
      <c r="O55" s="22">
        <v>522.19000000000005</v>
      </c>
      <c r="P55" s="22">
        <v>195.82</v>
      </c>
      <c r="Q55" s="22">
        <v>1113</v>
      </c>
      <c r="R55" s="22">
        <v>167.02</v>
      </c>
      <c r="S55" s="22">
        <v>309.27</v>
      </c>
      <c r="T55" s="23">
        <v>526.95000000000005</v>
      </c>
      <c r="U55" s="22">
        <v>1252</v>
      </c>
      <c r="V55" s="22">
        <v>268.11</v>
      </c>
      <c r="W55" s="22">
        <v>521.44000000000005</v>
      </c>
    </row>
    <row r="56" spans="2:27" x14ac:dyDescent="0.25">
      <c r="B56" s="29" t="s">
        <v>59</v>
      </c>
      <c r="C56" s="22" t="s">
        <v>23</v>
      </c>
      <c r="D56" s="22" t="s">
        <v>60</v>
      </c>
      <c r="E56" s="22" t="s">
        <v>28</v>
      </c>
      <c r="F56" s="24">
        <v>1.564036106890687</v>
      </c>
      <c r="G56" s="31">
        <v>29.92</v>
      </c>
      <c r="H56" s="31">
        <v>29.9</v>
      </c>
      <c r="I56" s="31">
        <v>42.29</v>
      </c>
      <c r="J56" s="31">
        <v>19.52</v>
      </c>
      <c r="K56" s="31">
        <v>27.75</v>
      </c>
      <c r="L56" s="31">
        <v>35.229999999999997</v>
      </c>
      <c r="M56" s="32">
        <v>60.35</v>
      </c>
      <c r="N56" s="31">
        <v>23.03</v>
      </c>
      <c r="O56" s="32">
        <v>53.35</v>
      </c>
      <c r="P56" s="31">
        <v>52.37</v>
      </c>
      <c r="Q56" s="31">
        <v>66.709999999999994</v>
      </c>
      <c r="R56" s="31">
        <v>31.51</v>
      </c>
      <c r="S56" s="31">
        <v>58.17</v>
      </c>
      <c r="T56" s="31">
        <v>58.47</v>
      </c>
      <c r="U56" s="31">
        <v>71.34</v>
      </c>
      <c r="V56" s="31">
        <v>35.799999999999997</v>
      </c>
      <c r="W56" s="34">
        <v>61.67</v>
      </c>
      <c r="X56" s="26">
        <f t="shared" ref="X56:X58" si="33">SUM(Q56:T56)/SUM(P56:S56)-1</f>
        <v>2.922015711822179E-2</v>
      </c>
      <c r="Y56" s="26">
        <f t="shared" ref="Y56:Y58" si="34">SUM(R56:U56)/SUM(Q56:T56)-1</f>
        <v>2.1548915572931371E-2</v>
      </c>
      <c r="Z56" s="26">
        <f t="shared" ref="Z56:Z58" si="35">SUM(S56:V56)/SUM(R56:U56)-1</f>
        <v>1.9545309581302295E-2</v>
      </c>
      <c r="AA56" s="26">
        <f t="shared" ref="AA56:AA58" si="36">SUM(T56:W56)/SUM(S56:V56)-1</f>
        <v>1.5640361068906872E-2</v>
      </c>
    </row>
    <row r="57" spans="2:27" x14ac:dyDescent="0.25">
      <c r="B57" s="29" t="s">
        <v>154</v>
      </c>
      <c r="C57" s="22" t="s">
        <v>23</v>
      </c>
      <c r="D57" s="22" t="s">
        <v>155</v>
      </c>
      <c r="E57" s="22" t="s">
        <v>28</v>
      </c>
      <c r="F57" s="24">
        <v>1.2348555452003751</v>
      </c>
      <c r="G57" s="31">
        <v>434.9</v>
      </c>
      <c r="H57" s="31">
        <v>382.9</v>
      </c>
      <c r="I57" s="31">
        <v>702.1</v>
      </c>
      <c r="J57" s="31">
        <v>701.3</v>
      </c>
      <c r="K57" s="31">
        <v>575.1</v>
      </c>
      <c r="L57" s="31">
        <v>453.9</v>
      </c>
      <c r="M57" s="31">
        <v>828.7</v>
      </c>
      <c r="N57" s="31">
        <v>859.5</v>
      </c>
      <c r="O57" s="31">
        <v>682.6</v>
      </c>
      <c r="P57" s="31">
        <v>631.1</v>
      </c>
      <c r="Q57" s="31">
        <v>1023</v>
      </c>
      <c r="R57" s="31">
        <v>1021</v>
      </c>
      <c r="S57" s="31">
        <v>789</v>
      </c>
      <c r="T57" s="31">
        <v>752.8</v>
      </c>
      <c r="U57" s="31">
        <v>1160</v>
      </c>
      <c r="V57" s="31">
        <v>1161</v>
      </c>
      <c r="W57" s="34">
        <v>836.7</v>
      </c>
      <c r="X57" s="26">
        <f t="shared" si="33"/>
        <v>3.5131780260385215E-2</v>
      </c>
      <c r="Y57" s="26">
        <f t="shared" si="34"/>
        <v>3.8206258017736694E-2</v>
      </c>
      <c r="Z57" s="26">
        <f t="shared" si="35"/>
        <v>3.7606102933275931E-2</v>
      </c>
      <c r="AA57" s="26">
        <f t="shared" si="36"/>
        <v>1.2348555452003751E-2</v>
      </c>
    </row>
    <row r="58" spans="2:27" x14ac:dyDescent="0.25">
      <c r="B58" s="29" t="s">
        <v>116</v>
      </c>
      <c r="C58" s="22" t="s">
        <v>23</v>
      </c>
      <c r="D58" s="22" t="s">
        <v>76</v>
      </c>
      <c r="E58" s="22" t="s">
        <v>28</v>
      </c>
      <c r="F58" s="24">
        <v>1.068999028182716</v>
      </c>
      <c r="G58" s="31">
        <v>165.9</v>
      </c>
      <c r="H58" s="31">
        <v>158.6</v>
      </c>
      <c r="I58" s="31">
        <v>164.3</v>
      </c>
      <c r="J58" s="31">
        <v>150.6</v>
      </c>
      <c r="K58" s="31">
        <v>150.6</v>
      </c>
      <c r="L58" s="31">
        <v>186.9</v>
      </c>
      <c r="M58" s="31">
        <v>204.2</v>
      </c>
      <c r="N58" s="31">
        <v>181.3</v>
      </c>
      <c r="O58" s="31">
        <v>168.5</v>
      </c>
      <c r="P58" s="31">
        <v>192.5</v>
      </c>
      <c r="Q58" s="31">
        <v>207.5</v>
      </c>
      <c r="R58" s="31">
        <v>160.69999999999999</v>
      </c>
      <c r="S58" s="31">
        <v>156.1</v>
      </c>
      <c r="T58" s="31">
        <v>182.8</v>
      </c>
      <c r="U58" s="31">
        <v>205.8</v>
      </c>
      <c r="V58" s="31">
        <v>175.6</v>
      </c>
      <c r="W58" s="34">
        <v>163.80000000000001</v>
      </c>
      <c r="X58" s="26">
        <f t="shared" si="33"/>
        <v>-1.3532366071428825E-2</v>
      </c>
      <c r="Y58" s="26">
        <f t="shared" si="34"/>
        <v>-2.4041861122895414E-3</v>
      </c>
      <c r="Z58" s="26">
        <f t="shared" si="35"/>
        <v>2.1122767224269978E-2</v>
      </c>
      <c r="AA58" s="26">
        <f t="shared" si="36"/>
        <v>1.0689990281826933E-2</v>
      </c>
    </row>
    <row r="59" spans="2:27" hidden="1" x14ac:dyDescent="0.25">
      <c r="B59" s="22" t="s">
        <v>96</v>
      </c>
      <c r="C59" s="22" t="s">
        <v>30</v>
      </c>
      <c r="D59" s="22" t="s">
        <v>27</v>
      </c>
      <c r="E59" s="22" t="s">
        <v>34</v>
      </c>
      <c r="F59" s="22">
        <v>-25.42095630290552</v>
      </c>
      <c r="G59" s="22">
        <v>371.8</v>
      </c>
      <c r="H59" s="22">
        <v>419.6</v>
      </c>
      <c r="I59" s="22">
        <v>676.56</v>
      </c>
      <c r="J59" s="22">
        <v>494</v>
      </c>
      <c r="K59" s="23">
        <v>574.9</v>
      </c>
      <c r="L59" s="23">
        <v>788.2</v>
      </c>
      <c r="M59" s="23">
        <v>1019</v>
      </c>
      <c r="N59" s="22">
        <v>625.34</v>
      </c>
      <c r="O59" s="22">
        <v>687.84</v>
      </c>
      <c r="P59" s="22">
        <v>856.12</v>
      </c>
      <c r="Q59" s="22">
        <v>1108</v>
      </c>
      <c r="R59" s="22">
        <v>666.31</v>
      </c>
      <c r="S59" s="22">
        <v>735.79</v>
      </c>
      <c r="T59" s="22">
        <v>352.86</v>
      </c>
      <c r="U59" s="22">
        <v>555.62</v>
      </c>
      <c r="V59" s="22">
        <v>104.13</v>
      </c>
      <c r="W59" s="22">
        <v>291.33</v>
      </c>
    </row>
    <row r="60" spans="2:27" x14ac:dyDescent="0.25">
      <c r="B60" s="29" t="s">
        <v>143</v>
      </c>
      <c r="C60" s="22" t="s">
        <v>23</v>
      </c>
      <c r="D60" s="22" t="s">
        <v>67</v>
      </c>
      <c r="E60" s="22" t="s">
        <v>28</v>
      </c>
      <c r="F60" s="24">
        <v>0.98743267504488585</v>
      </c>
      <c r="G60" s="31">
        <v>1073</v>
      </c>
      <c r="H60" s="31">
        <v>1293</v>
      </c>
      <c r="I60" s="31">
        <v>1499</v>
      </c>
      <c r="J60" s="31">
        <v>1248</v>
      </c>
      <c r="K60" s="31">
        <v>1192</v>
      </c>
      <c r="L60" s="31">
        <v>1329</v>
      </c>
      <c r="M60" s="31">
        <v>1429</v>
      </c>
      <c r="N60" s="31">
        <v>1659</v>
      </c>
      <c r="O60" s="31">
        <v>1196</v>
      </c>
      <c r="P60" s="31">
        <v>1590</v>
      </c>
      <c r="Q60" s="31">
        <v>1593</v>
      </c>
      <c r="R60" s="31">
        <v>1557</v>
      </c>
      <c r="S60" s="31">
        <v>1718</v>
      </c>
      <c r="T60" s="31">
        <v>1511</v>
      </c>
      <c r="U60" s="31">
        <v>1630</v>
      </c>
      <c r="V60" s="31">
        <v>1825</v>
      </c>
      <c r="W60" s="34">
        <v>1784</v>
      </c>
      <c r="X60" s="26">
        <f t="shared" ref="X60:X61" si="37">SUM(Q60:T60)/SUM(P60:S60)-1</f>
        <v>-1.2232889439454886E-2</v>
      </c>
      <c r="Y60" s="26">
        <f t="shared" ref="Y60:Y61" si="38">SUM(R60:U60)/SUM(Q60:T60)-1</f>
        <v>5.8002821758895706E-3</v>
      </c>
      <c r="Z60" s="26">
        <f t="shared" ref="Z60:Z61" si="39">SUM(S60:V60)/SUM(R60:U60)-1</f>
        <v>4.1770573566084712E-2</v>
      </c>
      <c r="AA60" s="26">
        <f t="shared" ref="AA60:AA61" si="40">SUM(T60:W60)/SUM(S60:V60)-1</f>
        <v>9.8743267504488585E-3</v>
      </c>
    </row>
    <row r="61" spans="2:27" x14ac:dyDescent="0.25">
      <c r="B61" s="29" t="s">
        <v>219</v>
      </c>
      <c r="C61" s="22" t="s">
        <v>23</v>
      </c>
      <c r="D61" s="22" t="s">
        <v>145</v>
      </c>
      <c r="E61" s="22" t="s">
        <v>25</v>
      </c>
      <c r="F61" s="24">
        <v>0.6785411365564098</v>
      </c>
      <c r="G61" s="31">
        <v>637.4</v>
      </c>
      <c r="H61" s="31">
        <v>593.9</v>
      </c>
      <c r="I61" s="31">
        <v>238.5</v>
      </c>
      <c r="J61" s="31">
        <v>178.4</v>
      </c>
      <c r="K61" s="31">
        <v>263.5</v>
      </c>
      <c r="L61" s="31">
        <v>261.5</v>
      </c>
      <c r="M61" s="31">
        <v>227.3</v>
      </c>
      <c r="N61" s="31">
        <v>181.4</v>
      </c>
      <c r="O61" s="31">
        <v>226.7</v>
      </c>
      <c r="P61" s="31">
        <v>243.3</v>
      </c>
      <c r="Q61" s="31">
        <v>263.89999999999998</v>
      </c>
      <c r="R61" s="31">
        <v>229</v>
      </c>
      <c r="S61" s="31">
        <v>233.7</v>
      </c>
      <c r="T61" s="31">
        <v>222.9</v>
      </c>
      <c r="U61" s="31">
        <v>260.89999999999998</v>
      </c>
      <c r="V61" s="32">
        <v>343.6</v>
      </c>
      <c r="W61" s="34">
        <v>240.9</v>
      </c>
      <c r="X61" s="26">
        <f t="shared" si="37"/>
        <v>-2.1033096195484324E-2</v>
      </c>
      <c r="Y61" s="26">
        <f t="shared" si="38"/>
        <v>-3.1595576619272148E-3</v>
      </c>
      <c r="Z61" s="26">
        <f t="shared" si="39"/>
        <v>0.1210776545166401</v>
      </c>
      <c r="AA61" s="26">
        <f t="shared" si="40"/>
        <v>6.785411365564098E-3</v>
      </c>
    </row>
    <row r="62" spans="2:27" hidden="1" x14ac:dyDescent="0.25">
      <c r="B62" s="22" t="s">
        <v>99</v>
      </c>
      <c r="C62" s="22" t="s">
        <v>26</v>
      </c>
      <c r="D62" s="22" t="s">
        <v>27</v>
      </c>
      <c r="E62" s="22" t="s">
        <v>34</v>
      </c>
      <c r="F62" s="22">
        <v>-1.709667391980108</v>
      </c>
      <c r="G62" s="22">
        <v>2239</v>
      </c>
      <c r="H62" s="22">
        <v>1812</v>
      </c>
      <c r="I62" s="22">
        <v>1745</v>
      </c>
      <c r="J62" s="22">
        <v>2801</v>
      </c>
      <c r="K62" s="22">
        <v>2857</v>
      </c>
      <c r="L62" s="22">
        <v>1342</v>
      </c>
      <c r="M62" s="22">
        <v>457</v>
      </c>
      <c r="N62" s="22">
        <v>1053</v>
      </c>
      <c r="O62" s="22">
        <v>1096</v>
      </c>
      <c r="P62" s="22">
        <v>1269</v>
      </c>
      <c r="Q62" s="22">
        <v>-39</v>
      </c>
      <c r="R62" s="22">
        <v>584</v>
      </c>
      <c r="S62" s="22">
        <v>983</v>
      </c>
      <c r="T62" s="22">
        <v>1069</v>
      </c>
      <c r="U62" s="23">
        <v>364</v>
      </c>
      <c r="V62" s="22">
        <v>801</v>
      </c>
      <c r="W62" s="22">
        <v>928</v>
      </c>
    </row>
    <row r="63" spans="2:27" hidden="1" x14ac:dyDescent="0.25">
      <c r="B63" s="22" t="s">
        <v>100</v>
      </c>
      <c r="C63" s="22" t="s">
        <v>23</v>
      </c>
      <c r="D63" s="22" t="s">
        <v>44</v>
      </c>
      <c r="E63" s="22" t="s">
        <v>34</v>
      </c>
      <c r="F63" s="22">
        <v>13.04459912348543</v>
      </c>
      <c r="G63" s="22">
        <v>16.809999999999999</v>
      </c>
      <c r="H63" s="22">
        <v>13.37</v>
      </c>
      <c r="I63" s="22">
        <v>16.27</v>
      </c>
      <c r="J63" s="22">
        <v>15.53</v>
      </c>
      <c r="K63" s="22">
        <v>15.57</v>
      </c>
      <c r="L63" s="22">
        <v>15.54</v>
      </c>
      <c r="M63" s="22">
        <v>10.92</v>
      </c>
      <c r="N63" s="22">
        <v>7.65</v>
      </c>
      <c r="O63" s="22">
        <v>9.57</v>
      </c>
      <c r="P63" s="22">
        <v>9.3800000000000008</v>
      </c>
      <c r="Q63" s="22">
        <v>9.68</v>
      </c>
      <c r="R63" s="22">
        <v>10.92</v>
      </c>
      <c r="S63" s="22">
        <v>11.54</v>
      </c>
      <c r="T63" s="22">
        <v>5.22</v>
      </c>
      <c r="U63" s="22">
        <v>8.1300000000000008</v>
      </c>
      <c r="V63" s="22">
        <v>13.9</v>
      </c>
      <c r="W63" s="23">
        <v>16.600000000000001</v>
      </c>
    </row>
    <row r="64" spans="2:27" hidden="1" x14ac:dyDescent="0.25">
      <c r="B64" s="22" t="s">
        <v>101</v>
      </c>
      <c r="C64" s="22" t="s">
        <v>23</v>
      </c>
      <c r="D64" s="22" t="s">
        <v>44</v>
      </c>
      <c r="E64" s="22" t="s">
        <v>34</v>
      </c>
      <c r="F64" s="22">
        <v>5.3213689482470627</v>
      </c>
      <c r="G64" s="22">
        <v>9.92</v>
      </c>
      <c r="H64" s="22">
        <v>10.28</v>
      </c>
      <c r="I64" s="22">
        <v>8.92</v>
      </c>
      <c r="J64" s="22">
        <v>11.29</v>
      </c>
      <c r="K64" s="22">
        <v>12.31</v>
      </c>
      <c r="L64" s="22">
        <v>12.46</v>
      </c>
      <c r="M64" s="22">
        <v>11.76</v>
      </c>
      <c r="N64" s="22">
        <v>11.09</v>
      </c>
      <c r="O64" s="22">
        <v>9.89</v>
      </c>
      <c r="P64" s="22">
        <v>10.210000000000001</v>
      </c>
      <c r="Q64" s="22">
        <v>10.119999999999999</v>
      </c>
      <c r="R64" s="22">
        <v>9.9</v>
      </c>
      <c r="S64" s="22">
        <v>10.82</v>
      </c>
      <c r="T64" s="22">
        <v>11.54</v>
      </c>
      <c r="U64" s="22">
        <v>12.84</v>
      </c>
      <c r="V64" s="22">
        <v>12.72</v>
      </c>
      <c r="W64" s="22">
        <v>13.37</v>
      </c>
    </row>
    <row r="65" spans="2:27" hidden="1" x14ac:dyDescent="0.25">
      <c r="B65" s="22" t="s">
        <v>102</v>
      </c>
      <c r="C65" s="22" t="s">
        <v>26</v>
      </c>
      <c r="D65" s="22" t="s">
        <v>27</v>
      </c>
      <c r="E65" s="22" t="s">
        <v>34</v>
      </c>
      <c r="F65" s="22">
        <v>5.587174348697399</v>
      </c>
      <c r="G65" s="22">
        <v>2430</v>
      </c>
      <c r="H65" s="22">
        <v>5458</v>
      </c>
      <c r="I65" s="22">
        <v>3603</v>
      </c>
      <c r="J65" s="22">
        <v>1754</v>
      </c>
      <c r="K65" s="22">
        <v>1925</v>
      </c>
      <c r="L65" s="22">
        <v>4181</v>
      </c>
      <c r="M65" s="22">
        <v>3337</v>
      </c>
      <c r="N65" s="22">
        <v>1158</v>
      </c>
      <c r="O65" s="22">
        <v>1928</v>
      </c>
      <c r="P65" s="22">
        <v>2623</v>
      </c>
      <c r="Q65" s="22">
        <v>4057</v>
      </c>
      <c r="R65" s="22">
        <v>983</v>
      </c>
      <c r="S65" s="22">
        <v>2577</v>
      </c>
      <c r="T65" s="23">
        <v>3765</v>
      </c>
      <c r="U65" s="22">
        <v>4541</v>
      </c>
      <c r="V65" s="22">
        <v>1592</v>
      </c>
      <c r="W65" s="22">
        <v>3274</v>
      </c>
    </row>
    <row r="66" spans="2:27" x14ac:dyDescent="0.25">
      <c r="B66" s="29" t="s">
        <v>150</v>
      </c>
      <c r="C66" s="22" t="s">
        <v>23</v>
      </c>
      <c r="D66" s="22" t="s">
        <v>76</v>
      </c>
      <c r="E66" s="22" t="s">
        <v>28</v>
      </c>
      <c r="F66" s="24">
        <v>0.66077877498480486</v>
      </c>
      <c r="G66" s="31">
        <v>287.58999999999997</v>
      </c>
      <c r="H66" s="31">
        <v>307.51</v>
      </c>
      <c r="I66" s="31">
        <v>361.16</v>
      </c>
      <c r="J66" s="31">
        <v>377.73</v>
      </c>
      <c r="K66" s="31">
        <v>370.54</v>
      </c>
      <c r="L66" s="31">
        <v>327.43</v>
      </c>
      <c r="M66" s="31">
        <v>0</v>
      </c>
      <c r="N66" s="31">
        <v>341.28</v>
      </c>
      <c r="O66" s="31">
        <v>322.37</v>
      </c>
      <c r="P66" s="31">
        <v>273.52999999999997</v>
      </c>
      <c r="Q66" s="32">
        <v>333.27</v>
      </c>
      <c r="R66" s="31">
        <v>348.12</v>
      </c>
      <c r="S66" s="31">
        <v>336.06</v>
      </c>
      <c r="T66" s="31">
        <v>305.22000000000003</v>
      </c>
      <c r="U66" s="31">
        <v>368.72</v>
      </c>
      <c r="V66" s="31">
        <v>388.35</v>
      </c>
      <c r="W66" s="34">
        <v>345.3</v>
      </c>
      <c r="X66" s="26">
        <f>SUM(Q66:T66)/SUM(P66:S66)-1</f>
        <v>2.4547243179600109E-2</v>
      </c>
      <c r="Y66" s="26">
        <f t="shared" ref="Y66" si="41">SUM(R66:U66)/SUM(Q66:T66)-1</f>
        <v>2.6801847777601306E-2</v>
      </c>
      <c r="Z66" s="26">
        <f t="shared" ref="Z66" si="42">SUM(S66:V66)/SUM(R66:U66)-1</f>
        <v>2.9621830177009256E-2</v>
      </c>
      <c r="AA66" s="26">
        <f t="shared" ref="AA66" si="43">SUM(T66:W66)/SUM(S66:V66)-1</f>
        <v>6.6077877498480486E-3</v>
      </c>
    </row>
    <row r="67" spans="2:27" hidden="1" x14ac:dyDescent="0.25">
      <c r="B67" s="22" t="s">
        <v>105</v>
      </c>
      <c r="C67" s="22" t="s">
        <v>26</v>
      </c>
      <c r="D67" s="22" t="s">
        <v>27</v>
      </c>
      <c r="E67" s="22" t="s">
        <v>34</v>
      </c>
      <c r="F67" s="22">
        <v>-4.8803427735395584</v>
      </c>
      <c r="G67" s="22">
        <v>530</v>
      </c>
      <c r="H67" s="22">
        <v>8296</v>
      </c>
      <c r="I67" s="22">
        <v>859</v>
      </c>
      <c r="J67" s="22">
        <v>8766</v>
      </c>
      <c r="K67" s="22">
        <v>1205</v>
      </c>
      <c r="L67" s="22">
        <v>261</v>
      </c>
      <c r="M67" s="22">
        <v>323</v>
      </c>
      <c r="N67" s="22">
        <v>-211</v>
      </c>
      <c r="O67" s="22">
        <v>594</v>
      </c>
      <c r="P67" s="23">
        <v>1040</v>
      </c>
      <c r="Q67" s="23">
        <v>4313</v>
      </c>
      <c r="R67" s="23">
        <v>1770</v>
      </c>
      <c r="S67" s="23">
        <v>1878</v>
      </c>
      <c r="T67" s="23">
        <v>3200</v>
      </c>
      <c r="U67" s="22">
        <v>671</v>
      </c>
      <c r="V67" s="23">
        <v>3820</v>
      </c>
      <c r="W67" s="22">
        <v>1411</v>
      </c>
    </row>
    <row r="68" spans="2:27" x14ac:dyDescent="0.25">
      <c r="B68" s="29" t="s">
        <v>187</v>
      </c>
      <c r="C68" s="22" t="s">
        <v>23</v>
      </c>
      <c r="D68" s="22" t="s">
        <v>188</v>
      </c>
      <c r="E68" s="22" t="s">
        <v>28</v>
      </c>
      <c r="F68" s="24">
        <v>0.64189312753739625</v>
      </c>
      <c r="G68" s="31">
        <v>234.84</v>
      </c>
      <c r="H68" s="31">
        <v>234.52</v>
      </c>
      <c r="I68" s="31">
        <v>177.53</v>
      </c>
      <c r="J68" s="31">
        <v>185.47</v>
      </c>
      <c r="K68" s="31">
        <v>71.8</v>
      </c>
      <c r="L68" s="31">
        <v>38.15</v>
      </c>
      <c r="M68" s="31">
        <v>72.92</v>
      </c>
      <c r="N68" s="31">
        <v>126.8</v>
      </c>
      <c r="O68" s="32">
        <v>108.59</v>
      </c>
      <c r="P68" s="31">
        <v>43.88</v>
      </c>
      <c r="Q68" s="32">
        <v>133.85</v>
      </c>
      <c r="R68" s="31">
        <v>93.93</v>
      </c>
      <c r="S68" s="31">
        <v>130.9</v>
      </c>
      <c r="T68" s="32">
        <v>104.2</v>
      </c>
      <c r="U68" s="31">
        <v>75.349999999999994</v>
      </c>
      <c r="V68" s="32">
        <v>236.37</v>
      </c>
      <c r="W68" s="34">
        <v>134.41</v>
      </c>
      <c r="X68" s="26">
        <f t="shared" ref="X68:X69" si="44">SUM(Q68:T68)/SUM(P68:S68)-1</f>
        <v>0.14984101748807643</v>
      </c>
      <c r="Y68" s="26">
        <f t="shared" ref="Y68:Y69" si="45">SUM(R68:U68)/SUM(Q68:T68)-1</f>
        <v>-0.12638264777048047</v>
      </c>
      <c r="Z68" s="26">
        <f t="shared" ref="Z68:Z69" si="46">SUM(S68:V68)/SUM(R68:U68)-1</f>
        <v>0.35224293980909049</v>
      </c>
      <c r="AA68" s="26">
        <f t="shared" ref="AA68:AA69" si="47">SUM(T68:W68)/SUM(S68:V68)-1</f>
        <v>6.4189312753739625E-3</v>
      </c>
    </row>
    <row r="69" spans="2:27" x14ac:dyDescent="0.25">
      <c r="B69" s="29" t="s">
        <v>65</v>
      </c>
      <c r="C69" s="22" t="s">
        <v>23</v>
      </c>
      <c r="D69" s="22" t="s">
        <v>44</v>
      </c>
      <c r="E69" s="22" t="s">
        <v>28</v>
      </c>
      <c r="F69" s="24">
        <v>9.5885634588555035E-2</v>
      </c>
      <c r="G69" s="31">
        <v>20.329999999999998</v>
      </c>
      <c r="H69" s="31">
        <v>19.36</v>
      </c>
      <c r="I69" s="31">
        <v>21.22</v>
      </c>
      <c r="J69" s="31">
        <v>31.15</v>
      </c>
      <c r="K69" s="31">
        <v>28.12</v>
      </c>
      <c r="L69" s="31">
        <v>20.02</v>
      </c>
      <c r="M69" s="31">
        <v>21.75</v>
      </c>
      <c r="N69" s="31">
        <v>23.48</v>
      </c>
      <c r="O69" s="31">
        <v>26.13</v>
      </c>
      <c r="P69" s="31">
        <v>25.9</v>
      </c>
      <c r="Q69" s="31">
        <v>25.23</v>
      </c>
      <c r="R69" s="31">
        <v>23.05</v>
      </c>
      <c r="S69" s="31">
        <v>28.39</v>
      </c>
      <c r="T69" s="31">
        <v>26.53</v>
      </c>
      <c r="U69" s="31">
        <v>27.36</v>
      </c>
      <c r="V69" s="31">
        <v>32.44</v>
      </c>
      <c r="W69" s="34">
        <v>28.5</v>
      </c>
      <c r="X69" s="26">
        <f t="shared" si="44"/>
        <v>6.1421468265576706E-3</v>
      </c>
      <c r="Y69" s="26">
        <f t="shared" si="45"/>
        <v>2.0639534883720945E-2</v>
      </c>
      <c r="Z69" s="26">
        <f t="shared" si="46"/>
        <v>8.9148390771859987E-2</v>
      </c>
      <c r="AA69" s="26">
        <f t="shared" si="47"/>
        <v>9.5885634588555035E-4</v>
      </c>
    </row>
    <row r="70" spans="2:27" hidden="1" x14ac:dyDescent="0.25">
      <c r="B70" s="22" t="s">
        <v>107</v>
      </c>
      <c r="C70" s="22" t="s">
        <v>30</v>
      </c>
      <c r="D70" s="22" t="s">
        <v>27</v>
      </c>
      <c r="E70" s="22" t="s">
        <v>34</v>
      </c>
      <c r="F70" s="22">
        <v>-1.324503311258274</v>
      </c>
      <c r="G70" s="22">
        <v>1537</v>
      </c>
      <c r="H70" s="22">
        <v>1021</v>
      </c>
      <c r="I70" s="22">
        <v>1102</v>
      </c>
      <c r="J70" s="22">
        <v>1167</v>
      </c>
      <c r="K70" s="22">
        <v>1042</v>
      </c>
      <c r="L70" s="22">
        <v>893.6</v>
      </c>
      <c r="M70" s="22">
        <v>288.3</v>
      </c>
      <c r="N70" s="22">
        <v>1401</v>
      </c>
      <c r="O70" s="23">
        <v>1486</v>
      </c>
      <c r="P70" s="22">
        <v>1061</v>
      </c>
      <c r="Q70" s="23">
        <v>1014</v>
      </c>
      <c r="R70" s="22">
        <v>1715</v>
      </c>
      <c r="S70" s="22">
        <v>1650</v>
      </c>
      <c r="T70" s="23">
        <v>1633</v>
      </c>
      <c r="U70" s="22">
        <v>1092</v>
      </c>
      <c r="V70" s="22">
        <v>2118</v>
      </c>
      <c r="W70" s="22">
        <v>1564</v>
      </c>
    </row>
    <row r="71" spans="2:27" hidden="1" x14ac:dyDescent="0.25">
      <c r="B71" s="22" t="s">
        <v>108</v>
      </c>
      <c r="C71" s="22" t="s">
        <v>23</v>
      </c>
      <c r="D71" s="22" t="s">
        <v>85</v>
      </c>
      <c r="E71" s="22" t="s">
        <v>34</v>
      </c>
      <c r="F71" s="22">
        <v>854.29017160686396</v>
      </c>
      <c r="G71" s="22">
        <v>26.04</v>
      </c>
      <c r="H71" s="22">
        <v>-44.56</v>
      </c>
      <c r="I71" s="22">
        <v>-148.72999999999999</v>
      </c>
      <c r="J71" s="22">
        <v>-60.14</v>
      </c>
      <c r="K71" s="23">
        <v>-84.51</v>
      </c>
      <c r="L71" s="22">
        <v>34.93</v>
      </c>
      <c r="M71" s="22">
        <v>3.53</v>
      </c>
      <c r="N71" s="22">
        <v>10.25</v>
      </c>
      <c r="O71" s="22">
        <v>-80.13</v>
      </c>
      <c r="P71" s="23">
        <v>27.13</v>
      </c>
      <c r="Q71" s="22">
        <v>19.78</v>
      </c>
      <c r="R71" s="23">
        <v>-4.9800000000000004</v>
      </c>
      <c r="S71" s="22">
        <v>17.32</v>
      </c>
      <c r="T71" s="22">
        <v>5.55</v>
      </c>
      <c r="U71" s="22">
        <v>17.12</v>
      </c>
      <c r="V71" s="22">
        <v>-33.58</v>
      </c>
      <c r="W71" s="23">
        <v>72.08</v>
      </c>
    </row>
    <row r="72" spans="2:27" hidden="1" x14ac:dyDescent="0.25">
      <c r="B72" s="22" t="s">
        <v>109</v>
      </c>
      <c r="C72" s="22" t="s">
        <v>26</v>
      </c>
      <c r="D72" s="22" t="s">
        <v>27</v>
      </c>
      <c r="E72" s="22" t="s">
        <v>34</v>
      </c>
      <c r="F72" s="22">
        <v>13.826330532212889</v>
      </c>
      <c r="G72" s="22">
        <v>175</v>
      </c>
      <c r="H72" s="22">
        <v>2334</v>
      </c>
      <c r="I72" s="22">
        <v>6659</v>
      </c>
      <c r="J72" s="22">
        <v>-1798</v>
      </c>
      <c r="K72" s="22">
        <v>578</v>
      </c>
      <c r="L72" s="22">
        <v>1284</v>
      </c>
      <c r="M72" s="23">
        <v>9596</v>
      </c>
      <c r="N72" s="22">
        <v>-1274</v>
      </c>
      <c r="O72" s="22">
        <v>1596</v>
      </c>
      <c r="P72" s="23">
        <v>2842</v>
      </c>
      <c r="Q72" s="22">
        <v>10285</v>
      </c>
      <c r="R72" s="22">
        <v>-773</v>
      </c>
      <c r="S72" s="22">
        <v>1113</v>
      </c>
      <c r="T72" s="22">
        <v>3369</v>
      </c>
      <c r="U72" s="23">
        <v>14226</v>
      </c>
      <c r="V72" s="22">
        <v>-858</v>
      </c>
      <c r="W72" s="23">
        <v>3581</v>
      </c>
    </row>
    <row r="73" spans="2:27" x14ac:dyDescent="0.25">
      <c r="B73" s="29" t="s">
        <v>68</v>
      </c>
      <c r="C73" s="22" t="s">
        <v>23</v>
      </c>
      <c r="D73" s="22" t="s">
        <v>44</v>
      </c>
      <c r="E73" s="22" t="s">
        <v>28</v>
      </c>
      <c r="F73" s="24">
        <v>-8.0360012857605412E-2</v>
      </c>
      <c r="G73" s="31">
        <v>44.67</v>
      </c>
      <c r="H73" s="31">
        <v>26.42</v>
      </c>
      <c r="I73" s="31">
        <v>41.64</v>
      </c>
      <c r="J73" s="31">
        <v>38.35</v>
      </c>
      <c r="K73" s="31">
        <v>31.72</v>
      </c>
      <c r="L73" s="31">
        <v>14.52</v>
      </c>
      <c r="M73" s="31">
        <v>41.44</v>
      </c>
      <c r="N73" s="31">
        <v>40.49</v>
      </c>
      <c r="O73" s="31">
        <v>37.799999999999997</v>
      </c>
      <c r="P73" s="32">
        <v>33.840000000000003</v>
      </c>
      <c r="Q73" s="31">
        <v>39.15</v>
      </c>
      <c r="R73" s="31">
        <v>39.25</v>
      </c>
      <c r="S73" s="31">
        <v>43.6</v>
      </c>
      <c r="T73" s="31">
        <v>40.85</v>
      </c>
      <c r="U73" s="31">
        <v>55.28</v>
      </c>
      <c r="V73" s="31">
        <v>46.93</v>
      </c>
      <c r="W73" s="34">
        <v>43.45</v>
      </c>
      <c r="X73" s="26">
        <f>SUM(Q73:T73)/SUM(P73:S73)-1</f>
        <v>4.4982032854209431E-2</v>
      </c>
      <c r="Y73" s="26">
        <f t="shared" ref="Y73" si="48">SUM(R73:U73)/SUM(Q73:T73)-1</f>
        <v>9.9048203868590701E-2</v>
      </c>
      <c r="Z73" s="26">
        <f t="shared" ref="Z73" si="49">SUM(S73:V73)/SUM(R73:U73)-1</f>
        <v>4.2909822326517189E-2</v>
      </c>
      <c r="AA73" s="26">
        <f t="shared" ref="AA73" si="50">SUM(T73:W73)/SUM(S73:V73)-1</f>
        <v>-8.0360012857616514E-4</v>
      </c>
    </row>
    <row r="74" spans="2:27" hidden="1" x14ac:dyDescent="0.25">
      <c r="B74" s="22" t="s">
        <v>110</v>
      </c>
      <c r="C74" s="22" t="s">
        <v>26</v>
      </c>
      <c r="D74" s="22" t="s">
        <v>27</v>
      </c>
      <c r="E74" s="22" t="s">
        <v>34</v>
      </c>
      <c r="F74" s="22">
        <v>15.51746031746031</v>
      </c>
      <c r="G74" s="22">
        <v>257</v>
      </c>
      <c r="H74" s="22">
        <v>-97</v>
      </c>
      <c r="I74" s="22">
        <v>629</v>
      </c>
      <c r="J74" s="22">
        <v>-1186</v>
      </c>
      <c r="K74" s="22">
        <v>1479</v>
      </c>
      <c r="L74" s="23">
        <v>314</v>
      </c>
      <c r="M74" s="23">
        <v>3436</v>
      </c>
      <c r="N74" s="23">
        <v>3068</v>
      </c>
      <c r="O74" s="22">
        <v>1655</v>
      </c>
      <c r="P74" s="23">
        <v>4382</v>
      </c>
      <c r="Q74" s="22">
        <v>3373</v>
      </c>
      <c r="R74" s="22">
        <v>1487</v>
      </c>
      <c r="S74" s="22">
        <v>1811</v>
      </c>
      <c r="T74" s="22">
        <v>4411</v>
      </c>
      <c r="U74" s="23">
        <v>4999</v>
      </c>
      <c r="V74" s="23">
        <v>4529</v>
      </c>
      <c r="W74" s="23">
        <v>4255</v>
      </c>
    </row>
    <row r="75" spans="2:27" hidden="1" x14ac:dyDescent="0.25">
      <c r="B75" s="22" t="s">
        <v>111</v>
      </c>
      <c r="C75" s="22" t="s">
        <v>30</v>
      </c>
      <c r="D75" s="22" t="s">
        <v>27</v>
      </c>
      <c r="E75" s="22" t="s">
        <v>34</v>
      </c>
      <c r="F75" s="22">
        <v>6.7400050423092273</v>
      </c>
      <c r="G75" s="22">
        <v>344.54</v>
      </c>
      <c r="H75" s="22">
        <v>309.48</v>
      </c>
      <c r="I75" s="22">
        <v>278.63</v>
      </c>
      <c r="J75" s="22">
        <v>145.46</v>
      </c>
      <c r="K75" s="22">
        <v>177.96</v>
      </c>
      <c r="L75" s="22">
        <v>259.33999999999997</v>
      </c>
      <c r="M75" s="23">
        <v>378.09</v>
      </c>
      <c r="N75" s="22">
        <v>189.29</v>
      </c>
      <c r="O75" s="23">
        <v>296.18</v>
      </c>
      <c r="P75" s="22">
        <v>346.69</v>
      </c>
      <c r="Q75" s="23">
        <v>590.53</v>
      </c>
      <c r="R75" s="23">
        <v>337.33</v>
      </c>
      <c r="S75" s="23">
        <v>613.04</v>
      </c>
      <c r="T75" s="23">
        <v>700.55</v>
      </c>
      <c r="U75" s="23">
        <v>851.46</v>
      </c>
      <c r="V75" s="23">
        <v>651.12</v>
      </c>
      <c r="W75" s="22">
        <v>802.85</v>
      </c>
    </row>
    <row r="76" spans="2:27" x14ac:dyDescent="0.25">
      <c r="B76" s="29" t="s">
        <v>137</v>
      </c>
      <c r="C76" s="22" t="s">
        <v>23</v>
      </c>
      <c r="D76" s="22" t="s">
        <v>138</v>
      </c>
      <c r="E76" s="22" t="s">
        <v>28</v>
      </c>
      <c r="F76" s="24">
        <v>-0.39571694599627172</v>
      </c>
      <c r="G76" s="31">
        <v>1155</v>
      </c>
      <c r="H76" s="31">
        <v>1116</v>
      </c>
      <c r="I76" s="31">
        <v>1304</v>
      </c>
      <c r="J76" s="31">
        <v>1302</v>
      </c>
      <c r="K76" s="31">
        <v>1249</v>
      </c>
      <c r="L76" s="31">
        <v>1127</v>
      </c>
      <c r="M76" s="31">
        <v>605</v>
      </c>
      <c r="N76" s="31">
        <v>949</v>
      </c>
      <c r="O76" s="31">
        <v>870</v>
      </c>
      <c r="P76" s="31">
        <v>930</v>
      </c>
      <c r="Q76" s="32">
        <v>1108</v>
      </c>
      <c r="R76" s="32">
        <v>1522</v>
      </c>
      <c r="S76" s="31">
        <v>1019</v>
      </c>
      <c r="T76" s="31">
        <v>983</v>
      </c>
      <c r="U76" s="31">
        <v>1159</v>
      </c>
      <c r="V76" s="31">
        <v>1135</v>
      </c>
      <c r="W76" s="34">
        <v>1002</v>
      </c>
      <c r="X76" s="26">
        <f>SUM(Q76:T76)/SUM(P76:S76)-1</f>
        <v>1.1574579602533275E-2</v>
      </c>
      <c r="Y76" s="26">
        <f t="shared" ref="Y76" si="51">SUM(R76:U76)/SUM(Q76:T76)-1</f>
        <v>1.1010362694300557E-2</v>
      </c>
      <c r="Z76" s="26">
        <f t="shared" ref="Z76" si="52">SUM(S76:V76)/SUM(R76:U76)-1</f>
        <v>-8.2639333760409994E-2</v>
      </c>
      <c r="AA76" s="26">
        <f t="shared" ref="AA76" si="53">SUM(T76:W76)/SUM(S76:V76)-1</f>
        <v>-3.9571694599627172E-3</v>
      </c>
    </row>
    <row r="77" spans="2:27" hidden="1" x14ac:dyDescent="0.25">
      <c r="B77" s="22" t="s">
        <v>113</v>
      </c>
      <c r="C77" s="22" t="s">
        <v>30</v>
      </c>
      <c r="D77" s="22" t="s">
        <v>27</v>
      </c>
      <c r="E77" s="22" t="s">
        <v>34</v>
      </c>
      <c r="F77" s="22">
        <v>-0.61515581694044918</v>
      </c>
      <c r="G77" s="22">
        <v>1462</v>
      </c>
      <c r="H77" s="22">
        <v>2177</v>
      </c>
      <c r="I77" s="22">
        <v>2841</v>
      </c>
      <c r="J77" s="22">
        <v>497.5</v>
      </c>
      <c r="K77" s="23">
        <v>5915</v>
      </c>
      <c r="L77" s="23">
        <v>3670</v>
      </c>
      <c r="M77" s="23">
        <v>4323</v>
      </c>
      <c r="N77" s="23">
        <v>4496</v>
      </c>
      <c r="O77" s="22">
        <v>4023</v>
      </c>
      <c r="P77" s="22">
        <v>3959</v>
      </c>
      <c r="Q77" s="22">
        <v>3153</v>
      </c>
      <c r="R77" s="22">
        <v>5184</v>
      </c>
      <c r="S77" s="22">
        <v>4292</v>
      </c>
      <c r="T77" s="22">
        <v>3493</v>
      </c>
      <c r="U77" s="22">
        <v>3442</v>
      </c>
      <c r="V77" s="22">
        <v>3566</v>
      </c>
      <c r="W77" s="22">
        <v>4201</v>
      </c>
    </row>
    <row r="78" spans="2:27" hidden="1" x14ac:dyDescent="0.25">
      <c r="B78" s="22" t="s">
        <v>114</v>
      </c>
      <c r="C78" s="22" t="s">
        <v>26</v>
      </c>
      <c r="D78" s="22" t="s">
        <v>27</v>
      </c>
      <c r="E78" s="22" t="s">
        <v>34</v>
      </c>
      <c r="F78" s="22">
        <v>11.45248194428523</v>
      </c>
      <c r="G78" s="22">
        <v>2497</v>
      </c>
      <c r="H78" s="22">
        <v>4797</v>
      </c>
      <c r="I78" s="22">
        <v>4168</v>
      </c>
      <c r="J78" s="22">
        <v>5793</v>
      </c>
      <c r="K78" s="22">
        <v>1660</v>
      </c>
      <c r="L78" s="22">
        <v>3219</v>
      </c>
      <c r="M78" s="22">
        <v>3970</v>
      </c>
      <c r="N78" s="22">
        <v>3951</v>
      </c>
      <c r="O78" s="23">
        <v>3760</v>
      </c>
      <c r="P78" s="23">
        <v>4775</v>
      </c>
      <c r="Q78" s="22">
        <v>3487</v>
      </c>
      <c r="R78" s="22">
        <v>5147</v>
      </c>
      <c r="S78" s="22">
        <v>4344</v>
      </c>
      <c r="T78" s="22">
        <v>3155</v>
      </c>
      <c r="U78" s="22">
        <v>4139</v>
      </c>
      <c r="V78" s="22">
        <v>5808</v>
      </c>
      <c r="W78" s="23">
        <v>6342</v>
      </c>
    </row>
    <row r="79" spans="2:27" x14ac:dyDescent="0.25">
      <c r="B79" s="29" t="s">
        <v>69</v>
      </c>
      <c r="C79" s="22" t="s">
        <v>23</v>
      </c>
      <c r="D79" s="22" t="s">
        <v>44</v>
      </c>
      <c r="E79" s="22" t="s">
        <v>28</v>
      </c>
      <c r="F79" s="24">
        <v>-0.45657600840888207</v>
      </c>
      <c r="G79" s="31">
        <v>35.56</v>
      </c>
      <c r="H79" s="31">
        <v>38.11</v>
      </c>
      <c r="I79" s="31">
        <v>41.13</v>
      </c>
      <c r="J79" s="31">
        <v>42.43</v>
      </c>
      <c r="K79" s="31">
        <v>0</v>
      </c>
      <c r="L79" s="32">
        <v>64.87</v>
      </c>
      <c r="M79" s="32">
        <v>66.23</v>
      </c>
      <c r="N79" s="32">
        <v>66.45</v>
      </c>
      <c r="O79" s="32">
        <v>59.22</v>
      </c>
      <c r="P79" s="31">
        <v>74.92</v>
      </c>
      <c r="Q79" s="31">
        <v>71.819999999999993</v>
      </c>
      <c r="R79" s="31">
        <v>69.03</v>
      </c>
      <c r="S79" s="31">
        <v>76.39</v>
      </c>
      <c r="T79" s="31">
        <v>75.239999999999995</v>
      </c>
      <c r="U79" s="31">
        <v>79.650000000000006</v>
      </c>
      <c r="V79" s="31">
        <v>73.16</v>
      </c>
      <c r="W79" s="34">
        <v>75</v>
      </c>
      <c r="X79" s="26">
        <f t="shared" ref="X79:X81" si="54">SUM(Q79:T79)/SUM(P79:S79)-1</f>
        <v>1.0952902519167917E-3</v>
      </c>
      <c r="Y79" s="26">
        <f t="shared" ref="Y79:Y81" si="55">SUM(R79:U79)/SUM(Q79:T79)-1</f>
        <v>2.6771061269146745E-2</v>
      </c>
      <c r="Z79" s="26">
        <f t="shared" ref="Z79:Z81" si="56">SUM(S79:V79)/SUM(R79:U79)-1</f>
        <v>1.3752455795677632E-2</v>
      </c>
      <c r="AA79" s="26">
        <f t="shared" ref="AA79:AA81" si="57">SUM(T79:W79)/SUM(S79:V79)-1</f>
        <v>-4.5657600840889323E-3</v>
      </c>
    </row>
    <row r="80" spans="2:27" x14ac:dyDescent="0.25">
      <c r="B80" s="29" t="s">
        <v>63</v>
      </c>
      <c r="C80" s="22" t="s">
        <v>23</v>
      </c>
      <c r="D80" s="22" t="s">
        <v>64</v>
      </c>
      <c r="E80" s="22" t="s">
        <v>28</v>
      </c>
      <c r="F80" s="24">
        <v>-0.91729877960774475</v>
      </c>
      <c r="G80" s="31">
        <v>32.950000000000003</v>
      </c>
      <c r="H80" s="31">
        <v>52.05</v>
      </c>
      <c r="I80" s="31">
        <v>88.6</v>
      </c>
      <c r="J80" s="31">
        <v>75.58</v>
      </c>
      <c r="K80" s="31">
        <v>16.32</v>
      </c>
      <c r="L80" s="31">
        <v>-4.7</v>
      </c>
      <c r="M80" s="31">
        <v>31.86</v>
      </c>
      <c r="N80" s="31">
        <v>49.29</v>
      </c>
      <c r="O80" s="32">
        <v>29.94</v>
      </c>
      <c r="P80" s="32">
        <v>99.51</v>
      </c>
      <c r="Q80" s="32">
        <v>119.64</v>
      </c>
      <c r="R80" s="32">
        <v>131.44</v>
      </c>
      <c r="S80" s="32">
        <v>139.91999999999999</v>
      </c>
      <c r="T80" s="31">
        <v>139.38</v>
      </c>
      <c r="U80" s="31">
        <v>170.13</v>
      </c>
      <c r="V80" s="31">
        <v>174.14</v>
      </c>
      <c r="W80" s="34">
        <v>134.19999999999999</v>
      </c>
      <c r="X80" s="26">
        <f t="shared" si="54"/>
        <v>8.1282746529122818E-2</v>
      </c>
      <c r="Y80" s="26">
        <f t="shared" si="55"/>
        <v>9.5195897281194597E-2</v>
      </c>
      <c r="Z80" s="26">
        <f t="shared" si="56"/>
        <v>7.3510424019143539E-2</v>
      </c>
      <c r="AA80" s="26">
        <f t="shared" si="57"/>
        <v>-9.1729877960774475E-3</v>
      </c>
    </row>
    <row r="81" spans="2:27" x14ac:dyDescent="0.25">
      <c r="B81" s="29" t="s">
        <v>180</v>
      </c>
      <c r="C81" s="22" t="s">
        <v>23</v>
      </c>
      <c r="D81" s="22" t="s">
        <v>181</v>
      </c>
      <c r="E81" s="22" t="s">
        <v>28</v>
      </c>
      <c r="F81" s="24">
        <v>-1.0446801671488259</v>
      </c>
      <c r="G81" s="31">
        <v>2872</v>
      </c>
      <c r="H81" s="31">
        <v>2882</v>
      </c>
      <c r="I81" s="31">
        <v>3197</v>
      </c>
      <c r="J81" s="31">
        <v>3197</v>
      </c>
      <c r="K81" s="31">
        <v>3025</v>
      </c>
      <c r="L81" s="31">
        <v>2898</v>
      </c>
      <c r="M81" s="31">
        <v>3216</v>
      </c>
      <c r="N81" s="31">
        <v>3130</v>
      </c>
      <c r="O81" s="31">
        <v>2953</v>
      </c>
      <c r="P81" s="31">
        <v>2781</v>
      </c>
      <c r="Q81" s="31">
        <v>3133</v>
      </c>
      <c r="R81" s="31">
        <v>3257</v>
      </c>
      <c r="S81" s="31">
        <v>3055</v>
      </c>
      <c r="T81" s="31">
        <v>2788</v>
      </c>
      <c r="U81" s="31">
        <v>3302</v>
      </c>
      <c r="V81" s="31">
        <v>3299</v>
      </c>
      <c r="W81" s="34">
        <v>2925</v>
      </c>
      <c r="X81" s="26">
        <f t="shared" si="54"/>
        <v>5.7255030263370088E-4</v>
      </c>
      <c r="Y81" s="26">
        <f t="shared" si="55"/>
        <v>1.381509032943673E-2</v>
      </c>
      <c r="Z81" s="26">
        <f t="shared" si="56"/>
        <v>3.3865505563619447E-3</v>
      </c>
      <c r="AA81" s="26">
        <f t="shared" si="57"/>
        <v>-1.0446801671488259E-2</v>
      </c>
    </row>
    <row r="82" spans="2:27" hidden="1" x14ac:dyDescent="0.25">
      <c r="B82" s="22" t="s">
        <v>120</v>
      </c>
      <c r="C82" s="22" t="s">
        <v>23</v>
      </c>
      <c r="D82" s="22" t="s">
        <v>44</v>
      </c>
      <c r="E82" s="22" t="s">
        <v>34</v>
      </c>
      <c r="F82" s="22">
        <v>-197.23052918996231</v>
      </c>
      <c r="G82" s="22">
        <v>20.82</v>
      </c>
      <c r="H82" s="22">
        <v>18.98</v>
      </c>
      <c r="I82" s="22">
        <v>17.34</v>
      </c>
      <c r="J82" s="22">
        <v>16.71</v>
      </c>
      <c r="K82" s="22">
        <v>23.06</v>
      </c>
      <c r="L82" s="22">
        <v>19.489999999999998</v>
      </c>
      <c r="M82" s="22">
        <v>1.78</v>
      </c>
      <c r="N82" s="22">
        <v>9.19</v>
      </c>
      <c r="O82" s="22">
        <v>11.34</v>
      </c>
      <c r="P82" s="22">
        <v>2.52</v>
      </c>
      <c r="Q82" s="22">
        <v>4.2300000000000004</v>
      </c>
      <c r="R82" s="23">
        <v>20.87</v>
      </c>
      <c r="S82" s="22">
        <v>-130.19999999999999</v>
      </c>
      <c r="T82" s="22">
        <v>21.11</v>
      </c>
      <c r="U82" s="22">
        <v>19.600000000000001</v>
      </c>
      <c r="V82" s="23">
        <v>12.58</v>
      </c>
      <c r="W82" s="22">
        <v>21.49</v>
      </c>
    </row>
    <row r="83" spans="2:27" hidden="1" x14ac:dyDescent="0.25">
      <c r="B83" s="22" t="s">
        <v>121</v>
      </c>
      <c r="C83" s="22" t="s">
        <v>26</v>
      </c>
      <c r="D83" s="22" t="s">
        <v>27</v>
      </c>
      <c r="E83" s="22" t="s">
        <v>122</v>
      </c>
      <c r="F83" s="22">
        <v>9.7059428336417888</v>
      </c>
      <c r="G83" s="22">
        <v>1556</v>
      </c>
      <c r="H83" s="22">
        <v>2305</v>
      </c>
      <c r="I83" s="22">
        <v>1749</v>
      </c>
      <c r="J83" s="22">
        <v>2413</v>
      </c>
      <c r="K83" s="22">
        <v>1587</v>
      </c>
      <c r="L83" s="22">
        <v>2233</v>
      </c>
      <c r="M83" s="22">
        <v>1830</v>
      </c>
      <c r="N83" s="22">
        <v>2359</v>
      </c>
      <c r="O83" s="22">
        <v>1506</v>
      </c>
      <c r="P83" s="22">
        <v>2703</v>
      </c>
      <c r="Q83" s="22">
        <v>2581</v>
      </c>
      <c r="R83" s="22">
        <v>3035</v>
      </c>
      <c r="S83" s="22">
        <v>1764</v>
      </c>
      <c r="T83" s="22">
        <v>2542</v>
      </c>
      <c r="U83" s="22">
        <v>3035</v>
      </c>
      <c r="V83" s="22">
        <v>2385</v>
      </c>
      <c r="W83" s="22">
        <v>2708</v>
      </c>
    </row>
    <row r="84" spans="2:27" hidden="1" x14ac:dyDescent="0.25">
      <c r="B84" s="22" t="s">
        <v>123</v>
      </c>
      <c r="C84" s="22" t="s">
        <v>30</v>
      </c>
      <c r="D84" s="22" t="s">
        <v>27</v>
      </c>
      <c r="E84" s="22" t="s">
        <v>34</v>
      </c>
      <c r="F84" s="22">
        <v>-6.5052950075642926</v>
      </c>
      <c r="G84" s="22">
        <v>1367</v>
      </c>
      <c r="H84" s="22">
        <v>1301</v>
      </c>
      <c r="I84" s="22">
        <v>852.8</v>
      </c>
      <c r="J84" s="22">
        <v>1078</v>
      </c>
      <c r="K84" s="22">
        <v>156.19999999999999</v>
      </c>
      <c r="L84" s="22">
        <v>1020</v>
      </c>
      <c r="M84" s="22">
        <v>1113</v>
      </c>
      <c r="N84" s="22">
        <v>1298</v>
      </c>
      <c r="O84" s="23">
        <v>984.3</v>
      </c>
      <c r="P84" s="23">
        <v>2084</v>
      </c>
      <c r="Q84" s="23">
        <v>3779</v>
      </c>
      <c r="R84" s="23">
        <v>3326</v>
      </c>
      <c r="S84" s="23">
        <v>2766</v>
      </c>
      <c r="T84" s="22">
        <v>1892</v>
      </c>
      <c r="U84" s="22">
        <v>3484</v>
      </c>
      <c r="V84" s="22">
        <v>3756</v>
      </c>
      <c r="W84" s="22">
        <v>1992</v>
      </c>
    </row>
    <row r="85" spans="2:27" x14ac:dyDescent="0.25">
      <c r="B85" s="29" t="s">
        <v>226</v>
      </c>
      <c r="C85" s="22" t="s">
        <v>23</v>
      </c>
      <c r="D85" s="22" t="s">
        <v>162</v>
      </c>
      <c r="E85" s="22" t="s">
        <v>28</v>
      </c>
      <c r="F85" s="24">
        <v>-1.2980269989615769</v>
      </c>
      <c r="G85" s="31">
        <v>55.6</v>
      </c>
      <c r="H85" s="31">
        <v>31.9</v>
      </c>
      <c r="I85" s="31">
        <v>76.3</v>
      </c>
      <c r="J85" s="31">
        <v>119.3</v>
      </c>
      <c r="K85" s="32">
        <v>152.6</v>
      </c>
      <c r="L85" s="32">
        <v>131.5</v>
      </c>
      <c r="M85" s="32">
        <v>235.5</v>
      </c>
      <c r="N85" s="32">
        <v>257.2</v>
      </c>
      <c r="O85" s="31">
        <v>216.1</v>
      </c>
      <c r="P85" s="32">
        <v>260.60000000000002</v>
      </c>
      <c r="Q85" s="31">
        <v>313.5</v>
      </c>
      <c r="R85" s="31">
        <v>267.2</v>
      </c>
      <c r="S85" s="31">
        <v>224.5</v>
      </c>
      <c r="T85" s="31">
        <v>177.1</v>
      </c>
      <c r="U85" s="31">
        <v>299.10000000000002</v>
      </c>
      <c r="V85" s="31">
        <v>262.3</v>
      </c>
      <c r="W85" s="34">
        <v>212</v>
      </c>
      <c r="X85" s="26">
        <f>SUM(Q85:T85)/SUM(P85:S85)-1</f>
        <v>-7.8344905235503748E-2</v>
      </c>
      <c r="Y85" s="26">
        <f t="shared" ref="Y85" si="58">SUM(R85:U85)/SUM(Q85:T85)-1</f>
        <v>-1.465947266619172E-2</v>
      </c>
      <c r="Z85" s="26">
        <f t="shared" ref="Z85" si="59">SUM(S85:V85)/SUM(R85:U85)-1</f>
        <v>-5.0625064572785705E-3</v>
      </c>
      <c r="AA85" s="26">
        <f t="shared" ref="AA85" si="60">SUM(T85:W85)/SUM(S85:V85)-1</f>
        <v>-1.2980269989615767E-2</v>
      </c>
    </row>
    <row r="86" spans="2:27" hidden="1" x14ac:dyDescent="0.25">
      <c r="B86" s="22" t="s">
        <v>124</v>
      </c>
      <c r="C86" s="22" t="s">
        <v>23</v>
      </c>
      <c r="D86" s="22" t="s">
        <v>125</v>
      </c>
      <c r="E86" s="22" t="s">
        <v>34</v>
      </c>
      <c r="F86" s="22">
        <v>21.34260904890062</v>
      </c>
      <c r="G86" s="22">
        <v>32.51</v>
      </c>
      <c r="H86" s="22">
        <v>40.74</v>
      </c>
      <c r="I86" s="22">
        <v>27.66</v>
      </c>
      <c r="J86" s="22">
        <v>-56.51</v>
      </c>
      <c r="K86" s="22">
        <v>4.4800000000000004</v>
      </c>
      <c r="L86" s="23">
        <v>48.64</v>
      </c>
      <c r="M86" s="22">
        <v>-23.41</v>
      </c>
      <c r="N86" s="22">
        <v>0.96</v>
      </c>
      <c r="O86" s="23">
        <v>11.43</v>
      </c>
      <c r="P86" s="23">
        <v>111.32</v>
      </c>
      <c r="Q86" s="23">
        <v>13.59</v>
      </c>
      <c r="R86" s="23">
        <v>36.94</v>
      </c>
      <c r="S86" s="22">
        <v>9.6</v>
      </c>
      <c r="T86" s="22">
        <v>108.7</v>
      </c>
      <c r="U86" s="23">
        <v>48.17</v>
      </c>
      <c r="V86" s="22">
        <v>30.46</v>
      </c>
      <c r="W86" s="23">
        <v>51.63</v>
      </c>
    </row>
    <row r="87" spans="2:27" x14ac:dyDescent="0.25">
      <c r="B87" s="29" t="s">
        <v>151</v>
      </c>
      <c r="C87" s="22" t="s">
        <v>23</v>
      </c>
      <c r="D87" s="22" t="s">
        <v>98</v>
      </c>
      <c r="E87" s="22" t="s">
        <v>25</v>
      </c>
      <c r="F87" s="24">
        <v>-1.385743375380555</v>
      </c>
      <c r="G87" s="31">
        <v>293.05</v>
      </c>
      <c r="H87" s="31">
        <v>244.29</v>
      </c>
      <c r="I87" s="31">
        <v>525.04</v>
      </c>
      <c r="J87" s="31">
        <v>306.41000000000003</v>
      </c>
      <c r="K87" s="31">
        <v>359.21</v>
      </c>
      <c r="L87" s="31">
        <v>244.44</v>
      </c>
      <c r="M87" s="31">
        <v>559.33000000000004</v>
      </c>
      <c r="N87" s="31">
        <v>329.61</v>
      </c>
      <c r="O87" s="31">
        <v>334.24</v>
      </c>
      <c r="P87" s="31">
        <v>263.13</v>
      </c>
      <c r="Q87" s="31">
        <v>561.46</v>
      </c>
      <c r="R87" s="31">
        <v>324.60000000000002</v>
      </c>
      <c r="S87" s="31">
        <v>318.35000000000002</v>
      </c>
      <c r="T87" s="31">
        <v>249.14</v>
      </c>
      <c r="U87" s="31">
        <v>577.80999999999995</v>
      </c>
      <c r="V87" s="31">
        <v>342.71</v>
      </c>
      <c r="W87" s="34">
        <v>297.73</v>
      </c>
      <c r="X87" s="26">
        <f>SUM(Q87:T87)/SUM(P87:S87)-1</f>
        <v>-9.5329599193205716E-3</v>
      </c>
      <c r="Y87" s="26">
        <f t="shared" ref="Y87" si="61">SUM(R87:U87)/SUM(Q87:T87)-1</f>
        <v>1.1248323071101796E-2</v>
      </c>
      <c r="Z87" s="26">
        <f t="shared" ref="Z87" si="62">SUM(S87:V87)/SUM(R87:U87)-1</f>
        <v>1.2320566024899504E-2</v>
      </c>
      <c r="AA87" s="26">
        <f t="shared" ref="AA87" si="63">SUM(T87:W87)/SUM(S87:V87)-1</f>
        <v>-1.3857433753805548E-2</v>
      </c>
    </row>
    <row r="88" spans="2:27" hidden="1" x14ac:dyDescent="0.25">
      <c r="B88" s="22" t="s">
        <v>127</v>
      </c>
      <c r="C88" s="22" t="s">
        <v>26</v>
      </c>
      <c r="D88" s="22" t="s">
        <v>27</v>
      </c>
      <c r="E88" s="22" t="s">
        <v>34</v>
      </c>
      <c r="F88" s="22">
        <v>18.657937806873971</v>
      </c>
      <c r="G88" s="22">
        <v>626</v>
      </c>
      <c r="H88" s="22">
        <v>373</v>
      </c>
      <c r="I88" s="22">
        <v>527</v>
      </c>
      <c r="J88" s="22">
        <v>34</v>
      </c>
      <c r="K88" s="22">
        <v>545</v>
      </c>
      <c r="L88" s="23">
        <v>566</v>
      </c>
      <c r="M88" s="23">
        <v>807</v>
      </c>
      <c r="N88" s="23">
        <v>276</v>
      </c>
      <c r="O88" s="22">
        <v>635</v>
      </c>
      <c r="P88" s="22">
        <v>599</v>
      </c>
      <c r="Q88" s="22">
        <v>669</v>
      </c>
      <c r="R88" s="22">
        <v>325</v>
      </c>
      <c r="S88" s="22">
        <v>825</v>
      </c>
      <c r="T88" s="22">
        <v>516</v>
      </c>
      <c r="U88" s="23">
        <v>1131</v>
      </c>
      <c r="V88" s="22">
        <v>583</v>
      </c>
      <c r="W88" s="23">
        <v>1395</v>
      </c>
    </row>
    <row r="89" spans="2:27" x14ac:dyDescent="0.25">
      <c r="B89" s="29" t="s">
        <v>31</v>
      </c>
      <c r="C89" s="22" t="s">
        <v>23</v>
      </c>
      <c r="D89" s="22" t="s">
        <v>32</v>
      </c>
      <c r="E89" s="22" t="s">
        <v>28</v>
      </c>
      <c r="F89" s="24">
        <v>-1.759133964817339</v>
      </c>
      <c r="G89" s="31">
        <v>180.3</v>
      </c>
      <c r="H89" s="31">
        <v>142.4</v>
      </c>
      <c r="I89" s="31">
        <v>183.7</v>
      </c>
      <c r="J89" s="31">
        <v>167.4</v>
      </c>
      <c r="K89" s="31">
        <v>164.6</v>
      </c>
      <c r="L89" s="31">
        <v>117.9</v>
      </c>
      <c r="M89" s="31">
        <v>107.6</v>
      </c>
      <c r="N89" s="31">
        <v>107.9</v>
      </c>
      <c r="O89" s="31">
        <v>105.6</v>
      </c>
      <c r="P89" s="31">
        <v>65.900000000000006</v>
      </c>
      <c r="Q89" s="31">
        <v>101.1</v>
      </c>
      <c r="R89" s="31">
        <v>108.4</v>
      </c>
      <c r="S89" s="31">
        <v>85.8</v>
      </c>
      <c r="T89" s="31">
        <v>44</v>
      </c>
      <c r="U89" s="31">
        <v>77.8</v>
      </c>
      <c r="V89" s="31">
        <v>88</v>
      </c>
      <c r="W89" s="34">
        <v>80.599999999999994</v>
      </c>
      <c r="X89" s="26">
        <f t="shared" ref="X89:X113" si="64">SUM(Q89:T89)/SUM(P89:S89)-1</f>
        <v>-6.0631229235880379E-2</v>
      </c>
      <c r="Y89" s="26">
        <f t="shared" ref="Y89:Y113" si="65">SUM(R89:U89)/SUM(Q89:T89)-1</f>
        <v>-6.8670792808723902E-2</v>
      </c>
      <c r="Z89" s="26">
        <f t="shared" ref="Z89:Z113" si="66">SUM(S89:V89)/SUM(R89:U89)-1</f>
        <v>-6.4556962025316356E-2</v>
      </c>
      <c r="AA89" s="26">
        <f t="shared" ref="AA89:AA113" si="67">SUM(T89:W89)/SUM(S89:V89)-1</f>
        <v>-1.7591339648173387E-2</v>
      </c>
    </row>
    <row r="90" spans="2:27" x14ac:dyDescent="0.25">
      <c r="B90" s="29" t="s">
        <v>115</v>
      </c>
      <c r="C90" s="22" t="s">
        <v>23</v>
      </c>
      <c r="D90" s="22" t="s">
        <v>44</v>
      </c>
      <c r="E90" s="22" t="s">
        <v>28</v>
      </c>
      <c r="F90" s="24">
        <v>-1.992646186691982</v>
      </c>
      <c r="G90" s="31">
        <v>33.5</v>
      </c>
      <c r="H90" s="31">
        <v>28.14</v>
      </c>
      <c r="I90" s="31">
        <v>28.7</v>
      </c>
      <c r="J90" s="31">
        <v>30.83</v>
      </c>
      <c r="K90" s="31">
        <v>31.96</v>
      </c>
      <c r="L90" s="31">
        <v>30.58</v>
      </c>
      <c r="M90" s="31">
        <v>29.46</v>
      </c>
      <c r="N90" s="31">
        <v>21.57</v>
      </c>
      <c r="O90" s="31">
        <v>19.52</v>
      </c>
      <c r="P90" s="31">
        <v>26.13</v>
      </c>
      <c r="Q90" s="31">
        <v>29.89</v>
      </c>
      <c r="R90" s="31">
        <v>24.91</v>
      </c>
      <c r="S90" s="31">
        <v>26.45</v>
      </c>
      <c r="T90" s="31">
        <v>26.23</v>
      </c>
      <c r="U90" s="31">
        <v>26.53</v>
      </c>
      <c r="V90" s="31">
        <v>5.0999999999999996</v>
      </c>
      <c r="W90" s="34">
        <v>24.77</v>
      </c>
      <c r="X90" s="26">
        <f t="shared" si="64"/>
        <v>9.3127211771282248E-4</v>
      </c>
      <c r="Y90" s="26">
        <f t="shared" si="65"/>
        <v>-3.1261630070710811E-2</v>
      </c>
      <c r="Z90" s="26">
        <f t="shared" si="66"/>
        <v>-0.19026123703419129</v>
      </c>
      <c r="AA90" s="26">
        <f t="shared" si="67"/>
        <v>-1.9926461866919598E-2</v>
      </c>
    </row>
    <row r="91" spans="2:27" x14ac:dyDescent="0.25">
      <c r="B91" s="29" t="s">
        <v>129</v>
      </c>
      <c r="C91" s="22" t="s">
        <v>23</v>
      </c>
      <c r="D91" s="22" t="s">
        <v>81</v>
      </c>
      <c r="E91" s="22" t="s">
        <v>28</v>
      </c>
      <c r="F91" s="24">
        <v>-2.101717147627002</v>
      </c>
      <c r="G91" s="31">
        <v>279.47000000000003</v>
      </c>
      <c r="H91" s="31">
        <v>157.82</v>
      </c>
      <c r="I91" s="31">
        <v>122.13</v>
      </c>
      <c r="J91" s="31">
        <v>155.49</v>
      </c>
      <c r="K91" s="31">
        <v>112.81</v>
      </c>
      <c r="L91" s="31">
        <v>-46.04</v>
      </c>
      <c r="M91" s="31">
        <v>27.33</v>
      </c>
      <c r="N91" s="31">
        <v>5.07</v>
      </c>
      <c r="O91" s="31">
        <v>88.14</v>
      </c>
      <c r="P91" s="32">
        <v>99.89</v>
      </c>
      <c r="Q91" s="32">
        <v>61.8</v>
      </c>
      <c r="R91" s="32">
        <v>167.1</v>
      </c>
      <c r="S91" s="31">
        <v>93.37</v>
      </c>
      <c r="T91" s="31">
        <v>60.06</v>
      </c>
      <c r="U91" s="32">
        <v>102.72</v>
      </c>
      <c r="V91" s="31">
        <v>79.290000000000006</v>
      </c>
      <c r="W91" s="34">
        <v>86.32</v>
      </c>
      <c r="X91" s="26">
        <f t="shared" si="64"/>
        <v>-9.4348114458972843E-2</v>
      </c>
      <c r="Y91" s="26">
        <f t="shared" si="65"/>
        <v>0.10702796013914684</v>
      </c>
      <c r="Z91" s="26">
        <f t="shared" si="66"/>
        <v>-0.20746603662138219</v>
      </c>
      <c r="AA91" s="26">
        <f t="shared" si="67"/>
        <v>-2.1017171476270025E-2</v>
      </c>
    </row>
    <row r="92" spans="2:27" x14ac:dyDescent="0.25">
      <c r="B92" s="29" t="s">
        <v>207</v>
      </c>
      <c r="C92" s="22" t="s">
        <v>23</v>
      </c>
      <c r="D92" s="22" t="s">
        <v>208</v>
      </c>
      <c r="E92" s="22" t="s">
        <v>28</v>
      </c>
      <c r="F92" s="24">
        <v>-2.1607782898105499</v>
      </c>
      <c r="G92" s="31">
        <v>0</v>
      </c>
      <c r="H92" s="31">
        <v>285.10000000000002</v>
      </c>
      <c r="I92" s="31">
        <v>285.3</v>
      </c>
      <c r="J92" s="31">
        <v>279.8</v>
      </c>
      <c r="K92" s="32">
        <v>243.5</v>
      </c>
      <c r="L92" s="31">
        <v>242.7</v>
      </c>
      <c r="M92" s="31">
        <v>272.5</v>
      </c>
      <c r="N92" s="31">
        <v>266.39999999999998</v>
      </c>
      <c r="O92" s="31">
        <v>223.2</v>
      </c>
      <c r="P92" s="31">
        <v>242.7</v>
      </c>
      <c r="Q92" s="31">
        <v>241.1</v>
      </c>
      <c r="R92" s="31">
        <v>231.5</v>
      </c>
      <c r="S92" s="31">
        <v>236.8</v>
      </c>
      <c r="T92" s="31">
        <v>245.5</v>
      </c>
      <c r="U92" s="31">
        <v>261.10000000000002</v>
      </c>
      <c r="V92" s="31">
        <v>233.1</v>
      </c>
      <c r="W92" s="34">
        <v>215.7</v>
      </c>
      <c r="X92" s="26">
        <f t="shared" si="64"/>
        <v>2.9408675559292607E-3</v>
      </c>
      <c r="Y92" s="26">
        <f t="shared" si="65"/>
        <v>2.0944601528955831E-2</v>
      </c>
      <c r="Z92" s="26">
        <f t="shared" si="66"/>
        <v>1.6411939686122867E-3</v>
      </c>
      <c r="AA92" s="26">
        <f t="shared" si="67"/>
        <v>-2.1607782898105499E-2</v>
      </c>
    </row>
    <row r="93" spans="2:27" x14ac:dyDescent="0.25">
      <c r="B93" s="29" t="s">
        <v>39</v>
      </c>
      <c r="C93" s="22" t="s">
        <v>23</v>
      </c>
      <c r="D93" s="22" t="s">
        <v>40</v>
      </c>
      <c r="E93" s="22" t="s">
        <v>28</v>
      </c>
      <c r="F93" s="24">
        <v>-2.611940298507454</v>
      </c>
      <c r="G93" s="31">
        <v>54.7</v>
      </c>
      <c r="H93" s="31">
        <v>67.8</v>
      </c>
      <c r="I93" s="31">
        <v>73.5</v>
      </c>
      <c r="J93" s="31">
        <v>67.2</v>
      </c>
      <c r="K93" s="31">
        <v>44</v>
      </c>
      <c r="L93" s="31">
        <v>63.1</v>
      </c>
      <c r="M93" s="31">
        <v>70.599999999999994</v>
      </c>
      <c r="N93" s="31">
        <v>77</v>
      </c>
      <c r="O93" s="31">
        <v>69.2</v>
      </c>
      <c r="P93" s="31">
        <v>77.3</v>
      </c>
      <c r="Q93" s="31">
        <v>84.8</v>
      </c>
      <c r="R93" s="31">
        <v>79.2</v>
      </c>
      <c r="S93" s="31">
        <v>74.2</v>
      </c>
      <c r="T93" s="31">
        <v>63.2</v>
      </c>
      <c r="U93" s="31">
        <v>79</v>
      </c>
      <c r="V93" s="31">
        <v>78.400000000000006</v>
      </c>
      <c r="W93" s="34">
        <v>66.5</v>
      </c>
      <c r="X93" s="26">
        <f t="shared" si="64"/>
        <v>-4.4690966719492908E-2</v>
      </c>
      <c r="Y93" s="26">
        <f t="shared" si="65"/>
        <v>-1.9243530192435188E-2</v>
      </c>
      <c r="Z93" s="26">
        <f t="shared" si="66"/>
        <v>-2.7063599458728715E-3</v>
      </c>
      <c r="AA93" s="26">
        <f t="shared" si="67"/>
        <v>-2.6119402985074536E-2</v>
      </c>
    </row>
    <row r="94" spans="2:27" x14ac:dyDescent="0.25">
      <c r="B94" s="29" t="s">
        <v>157</v>
      </c>
      <c r="C94" s="22" t="s">
        <v>23</v>
      </c>
      <c r="D94" s="22" t="s">
        <v>136</v>
      </c>
      <c r="E94" s="22" t="s">
        <v>28</v>
      </c>
      <c r="F94" s="24">
        <v>-3.2937685459940691</v>
      </c>
      <c r="G94" s="31">
        <v>1215</v>
      </c>
      <c r="H94" s="31">
        <v>1507</v>
      </c>
      <c r="I94" s="31">
        <v>1423</v>
      </c>
      <c r="J94" s="31">
        <v>848</v>
      </c>
      <c r="K94" s="31">
        <v>1193</v>
      </c>
      <c r="L94" s="31">
        <v>1750</v>
      </c>
      <c r="M94" s="31">
        <v>1527</v>
      </c>
      <c r="N94" s="31">
        <v>1063</v>
      </c>
      <c r="O94" s="31">
        <v>1527</v>
      </c>
      <c r="P94" s="31">
        <v>1995</v>
      </c>
      <c r="Q94" s="31">
        <v>1708</v>
      </c>
      <c r="R94" s="31">
        <v>1176</v>
      </c>
      <c r="S94" s="31">
        <v>1492</v>
      </c>
      <c r="T94" s="31">
        <v>2149</v>
      </c>
      <c r="U94" s="31">
        <v>1877</v>
      </c>
      <c r="V94" s="31">
        <v>1222</v>
      </c>
      <c r="W94" s="34">
        <v>1270</v>
      </c>
      <c r="X94" s="26">
        <f t="shared" si="64"/>
        <v>2.4172029508711335E-2</v>
      </c>
      <c r="Y94" s="26">
        <f t="shared" si="65"/>
        <v>2.5900383141762351E-2</v>
      </c>
      <c r="Z94" s="26">
        <f t="shared" si="66"/>
        <v>6.8718255153870089E-3</v>
      </c>
      <c r="AA94" s="26">
        <f t="shared" si="67"/>
        <v>-3.2937685459940691E-2</v>
      </c>
    </row>
    <row r="95" spans="2:27" x14ac:dyDescent="0.25">
      <c r="B95" s="29" t="s">
        <v>190</v>
      </c>
      <c r="C95" s="22" t="s">
        <v>23</v>
      </c>
      <c r="D95" s="22" t="s">
        <v>191</v>
      </c>
      <c r="E95" s="22" t="s">
        <v>28</v>
      </c>
      <c r="F95" s="24">
        <v>-3.4344884150092292</v>
      </c>
      <c r="G95" s="31">
        <v>125.74</v>
      </c>
      <c r="H95" s="31">
        <v>85.36</v>
      </c>
      <c r="I95" s="31">
        <v>139.05000000000001</v>
      </c>
      <c r="J95" s="31">
        <v>180.61</v>
      </c>
      <c r="K95" s="31">
        <v>146.27000000000001</v>
      </c>
      <c r="L95" s="31">
        <v>119.71</v>
      </c>
      <c r="M95" s="31">
        <v>164.32</v>
      </c>
      <c r="N95" s="31">
        <v>192.44</v>
      </c>
      <c r="O95" s="31">
        <v>166.43</v>
      </c>
      <c r="P95" s="31">
        <v>102.34</v>
      </c>
      <c r="Q95" s="31">
        <v>171.22</v>
      </c>
      <c r="R95" s="31">
        <v>185.97</v>
      </c>
      <c r="S95" s="31">
        <v>157</v>
      </c>
      <c r="T95" s="31">
        <v>85.02</v>
      </c>
      <c r="U95" s="31">
        <v>164.82</v>
      </c>
      <c r="V95" s="31">
        <v>178.4</v>
      </c>
      <c r="W95" s="34">
        <v>136.9</v>
      </c>
      <c r="X95" s="26">
        <f t="shared" si="64"/>
        <v>-2.8092712438972822E-2</v>
      </c>
      <c r="Y95" s="26">
        <f t="shared" si="65"/>
        <v>-1.0680729627342789E-2</v>
      </c>
      <c r="Z95" s="26">
        <f t="shared" si="66"/>
        <v>-1.2769690119937116E-2</v>
      </c>
      <c r="AA95" s="26">
        <f t="shared" si="67"/>
        <v>-3.4344884150092292E-2</v>
      </c>
    </row>
    <row r="96" spans="2:27" x14ac:dyDescent="0.25">
      <c r="B96" s="29" t="s">
        <v>77</v>
      </c>
      <c r="C96" s="22" t="s">
        <v>23</v>
      </c>
      <c r="D96" s="22" t="s">
        <v>78</v>
      </c>
      <c r="E96" s="22" t="s">
        <v>28</v>
      </c>
      <c r="F96" s="24">
        <v>-3.5377358490566002</v>
      </c>
      <c r="G96" s="31">
        <v>233</v>
      </c>
      <c r="H96" s="31">
        <v>921</v>
      </c>
      <c r="I96" s="31">
        <v>116</v>
      </c>
      <c r="J96" s="31">
        <v>147</v>
      </c>
      <c r="K96" s="31">
        <v>148</v>
      </c>
      <c r="L96" s="31">
        <v>-1202</v>
      </c>
      <c r="M96" s="31">
        <v>105</v>
      </c>
      <c r="N96" s="31">
        <v>155</v>
      </c>
      <c r="O96" s="31">
        <v>158</v>
      </c>
      <c r="P96" s="31">
        <v>-252</v>
      </c>
      <c r="Q96" s="32">
        <v>130</v>
      </c>
      <c r="R96" s="32">
        <v>187</v>
      </c>
      <c r="S96" s="32">
        <v>197</v>
      </c>
      <c r="T96" s="32">
        <v>371</v>
      </c>
      <c r="U96" s="31">
        <v>119</v>
      </c>
      <c r="V96" s="31">
        <v>161</v>
      </c>
      <c r="W96" s="34">
        <v>167</v>
      </c>
      <c r="X96" s="26">
        <f t="shared" si="64"/>
        <v>2.3778625954198471</v>
      </c>
      <c r="Y96" s="26">
        <f t="shared" si="65"/>
        <v>-1.2429378531073398E-2</v>
      </c>
      <c r="Z96" s="26">
        <f t="shared" si="66"/>
        <v>-2.9748283752860427E-2</v>
      </c>
      <c r="AA96" s="26">
        <f t="shared" si="67"/>
        <v>-3.5377358490566002E-2</v>
      </c>
    </row>
    <row r="97" spans="2:27" x14ac:dyDescent="0.25">
      <c r="B97" s="29" t="s">
        <v>161</v>
      </c>
      <c r="C97" s="22" t="s">
        <v>23</v>
      </c>
      <c r="D97" s="22" t="s">
        <v>162</v>
      </c>
      <c r="E97" s="22" t="s">
        <v>28</v>
      </c>
      <c r="F97" s="24">
        <v>-3.6497586586501818</v>
      </c>
      <c r="G97" s="31">
        <v>2526</v>
      </c>
      <c r="H97" s="31">
        <v>1943</v>
      </c>
      <c r="I97" s="31">
        <v>2019</v>
      </c>
      <c r="J97" s="31">
        <v>2501</v>
      </c>
      <c r="K97" s="31">
        <v>3293</v>
      </c>
      <c r="L97" s="32">
        <v>3297</v>
      </c>
      <c r="M97" s="32">
        <v>3634</v>
      </c>
      <c r="N97" s="31">
        <v>3437</v>
      </c>
      <c r="O97" s="31">
        <v>3300</v>
      </c>
      <c r="P97" s="31">
        <v>3501</v>
      </c>
      <c r="Q97" s="31">
        <v>3745</v>
      </c>
      <c r="R97" s="31">
        <v>3206</v>
      </c>
      <c r="S97" s="31">
        <v>3111</v>
      </c>
      <c r="T97" s="31">
        <v>2629</v>
      </c>
      <c r="U97" s="31">
        <v>2939</v>
      </c>
      <c r="V97" s="31">
        <v>3130</v>
      </c>
      <c r="W97" s="34">
        <v>2680</v>
      </c>
      <c r="X97" s="26">
        <f t="shared" si="64"/>
        <v>-6.4292560642925656E-2</v>
      </c>
      <c r="Y97" s="26">
        <f t="shared" si="65"/>
        <v>-6.3509573713655398E-2</v>
      </c>
      <c r="Z97" s="26">
        <f t="shared" si="66"/>
        <v>-6.394615061001252E-3</v>
      </c>
      <c r="AA97" s="26">
        <f t="shared" si="67"/>
        <v>-3.6497586586501818E-2</v>
      </c>
    </row>
    <row r="98" spans="2:27" x14ac:dyDescent="0.25">
      <c r="B98" s="29" t="s">
        <v>57</v>
      </c>
      <c r="C98" s="22" t="s">
        <v>23</v>
      </c>
      <c r="D98" s="22" t="s">
        <v>58</v>
      </c>
      <c r="E98" s="22" t="s">
        <v>25</v>
      </c>
      <c r="F98" s="24">
        <v>-3.9362380446333671</v>
      </c>
      <c r="G98" s="31">
        <v>54.68</v>
      </c>
      <c r="H98" s="31">
        <v>69.75</v>
      </c>
      <c r="I98" s="31">
        <v>78.430000000000007</v>
      </c>
      <c r="J98" s="31">
        <v>90.47</v>
      </c>
      <c r="K98" s="31">
        <v>72.849999999999994</v>
      </c>
      <c r="L98" s="31">
        <v>56.35</v>
      </c>
      <c r="M98" s="31">
        <v>55.93</v>
      </c>
      <c r="N98" s="31">
        <v>45.19</v>
      </c>
      <c r="O98" s="31">
        <v>38.9</v>
      </c>
      <c r="P98" s="31">
        <v>38.96</v>
      </c>
      <c r="Q98" s="31">
        <v>38.549999999999997</v>
      </c>
      <c r="R98" s="31">
        <v>49</v>
      </c>
      <c r="S98" s="32">
        <v>63.82</v>
      </c>
      <c r="T98" s="31">
        <v>49</v>
      </c>
      <c r="U98" s="32">
        <v>60.36</v>
      </c>
      <c r="V98" s="31">
        <v>62.07</v>
      </c>
      <c r="W98" s="34">
        <v>54.56</v>
      </c>
      <c r="X98" s="26">
        <f t="shared" si="64"/>
        <v>5.2750485998003471E-2</v>
      </c>
      <c r="Y98" s="26">
        <f t="shared" si="65"/>
        <v>0.10884863003443623</v>
      </c>
      <c r="Z98" s="26">
        <f t="shared" si="66"/>
        <v>5.8826176973624911E-2</v>
      </c>
      <c r="AA98" s="26">
        <f t="shared" si="67"/>
        <v>-3.9362380446333667E-2</v>
      </c>
    </row>
    <row r="99" spans="2:27" x14ac:dyDescent="0.25">
      <c r="B99" s="29" t="s">
        <v>135</v>
      </c>
      <c r="C99" s="22" t="s">
        <v>23</v>
      </c>
      <c r="D99" s="22" t="s">
        <v>136</v>
      </c>
      <c r="E99" s="22" t="s">
        <v>28</v>
      </c>
      <c r="F99" s="24">
        <v>-4.0807265388496443</v>
      </c>
      <c r="G99" s="31">
        <v>248.6</v>
      </c>
      <c r="H99" s="31">
        <v>678.6</v>
      </c>
      <c r="I99" s="31">
        <v>410.7</v>
      </c>
      <c r="J99" s="31">
        <v>400.8</v>
      </c>
      <c r="K99" s="32">
        <v>506.1</v>
      </c>
      <c r="L99" s="31">
        <v>803.2</v>
      </c>
      <c r="M99" s="31">
        <v>415.8</v>
      </c>
      <c r="N99" s="31">
        <v>417.1</v>
      </c>
      <c r="O99" s="31">
        <v>331.1</v>
      </c>
      <c r="P99" s="31">
        <v>871.3</v>
      </c>
      <c r="Q99" s="31">
        <v>514.5</v>
      </c>
      <c r="R99" s="31">
        <v>492.6</v>
      </c>
      <c r="S99" s="31">
        <v>449.1</v>
      </c>
      <c r="T99" s="31">
        <v>957.6</v>
      </c>
      <c r="U99" s="31">
        <v>527.20000000000005</v>
      </c>
      <c r="V99" s="31">
        <v>543.6</v>
      </c>
      <c r="W99" s="34">
        <v>348</v>
      </c>
      <c r="X99" s="26">
        <f t="shared" si="64"/>
        <v>3.7078410311493171E-2</v>
      </c>
      <c r="Y99" s="26">
        <f t="shared" si="65"/>
        <v>5.2614135388184824E-3</v>
      </c>
      <c r="Z99" s="26">
        <f t="shared" si="66"/>
        <v>2.1017927055429597E-2</v>
      </c>
      <c r="AA99" s="26">
        <f t="shared" si="67"/>
        <v>-4.0807265388496439E-2</v>
      </c>
    </row>
    <row r="100" spans="2:27" x14ac:dyDescent="0.25">
      <c r="B100" s="29" t="s">
        <v>132</v>
      </c>
      <c r="C100" s="22" t="s">
        <v>23</v>
      </c>
      <c r="D100" s="22" t="s">
        <v>133</v>
      </c>
      <c r="E100" s="22" t="s">
        <v>134</v>
      </c>
      <c r="F100" s="24">
        <v>-4.3201133144475934</v>
      </c>
      <c r="G100" s="31">
        <v>173</v>
      </c>
      <c r="H100" s="31">
        <v>633</v>
      </c>
      <c r="I100" s="31">
        <v>621</v>
      </c>
      <c r="J100" s="31">
        <v>563</v>
      </c>
      <c r="K100" s="32">
        <v>766</v>
      </c>
      <c r="L100" s="31">
        <v>533</v>
      </c>
      <c r="M100" s="31">
        <v>558</v>
      </c>
      <c r="N100" s="31">
        <v>646</v>
      </c>
      <c r="O100" s="31">
        <v>670</v>
      </c>
      <c r="P100" s="31">
        <v>625</v>
      </c>
      <c r="Q100" s="31">
        <v>640</v>
      </c>
      <c r="R100" s="31">
        <v>641</v>
      </c>
      <c r="S100" s="31">
        <v>732</v>
      </c>
      <c r="T100" s="31">
        <v>667</v>
      </c>
      <c r="U100" s="31">
        <v>696</v>
      </c>
      <c r="V100" s="31">
        <v>729</v>
      </c>
      <c r="W100" s="34">
        <v>610</v>
      </c>
      <c r="X100" s="26">
        <f t="shared" si="64"/>
        <v>1.5921152388172821E-2</v>
      </c>
      <c r="Y100" s="26">
        <f t="shared" si="65"/>
        <v>2.0895522388059806E-2</v>
      </c>
      <c r="Z100" s="26">
        <f t="shared" si="66"/>
        <v>3.2163742690058506E-2</v>
      </c>
      <c r="AA100" s="26">
        <f t="shared" si="67"/>
        <v>-4.3201133144475934E-2</v>
      </c>
    </row>
    <row r="101" spans="2:27" x14ac:dyDescent="0.25">
      <c r="B101" s="29" t="s">
        <v>197</v>
      </c>
      <c r="C101" s="22" t="s">
        <v>23</v>
      </c>
      <c r="D101" s="22" t="s">
        <v>198</v>
      </c>
      <c r="E101" s="22" t="s">
        <v>199</v>
      </c>
      <c r="F101" s="24">
        <v>-4.4540486480694419</v>
      </c>
      <c r="G101" s="31">
        <v>90.49</v>
      </c>
      <c r="H101" s="31">
        <v>48.55</v>
      </c>
      <c r="I101" s="31">
        <v>46.54</v>
      </c>
      <c r="J101" s="31">
        <v>31.69</v>
      </c>
      <c r="K101" s="31">
        <v>93.84</v>
      </c>
      <c r="L101" s="32">
        <v>109.26</v>
      </c>
      <c r="M101" s="31">
        <v>32.61</v>
      </c>
      <c r="N101" s="31">
        <v>27.1</v>
      </c>
      <c r="O101" s="31">
        <v>72.31</v>
      </c>
      <c r="P101" s="31">
        <v>106.47</v>
      </c>
      <c r="Q101" s="31">
        <v>40.86</v>
      </c>
      <c r="R101" s="31">
        <v>45.06</v>
      </c>
      <c r="S101" s="31">
        <v>85.1</v>
      </c>
      <c r="T101" s="31">
        <v>111.97</v>
      </c>
      <c r="U101" s="31">
        <v>47.09</v>
      </c>
      <c r="V101" s="31">
        <v>35.81</v>
      </c>
      <c r="W101" s="34">
        <v>72.63</v>
      </c>
      <c r="X101" s="26">
        <f t="shared" si="64"/>
        <v>1.9820534073299978E-2</v>
      </c>
      <c r="Y101" s="26">
        <f t="shared" si="65"/>
        <v>2.201491218770979E-2</v>
      </c>
      <c r="Z101" s="26">
        <f t="shared" si="66"/>
        <v>-3.1982573819237969E-2</v>
      </c>
      <c r="AA101" s="26">
        <f t="shared" si="67"/>
        <v>-4.4540486480694419E-2</v>
      </c>
    </row>
    <row r="102" spans="2:27" x14ac:dyDescent="0.25">
      <c r="B102" s="29" t="s">
        <v>128</v>
      </c>
      <c r="C102" s="22" t="s">
        <v>23</v>
      </c>
      <c r="D102" s="22" t="s">
        <v>95</v>
      </c>
      <c r="E102" s="22" t="s">
        <v>28</v>
      </c>
      <c r="F102" s="24">
        <v>-4.463276836158192</v>
      </c>
      <c r="G102" s="31">
        <v>177</v>
      </c>
      <c r="H102" s="31">
        <v>194.1</v>
      </c>
      <c r="I102" s="31">
        <v>174.6</v>
      </c>
      <c r="J102" s="31">
        <v>145.4</v>
      </c>
      <c r="K102" s="31">
        <v>143.6</v>
      </c>
      <c r="L102" s="31">
        <v>114.6</v>
      </c>
      <c r="M102" s="31">
        <v>103.8</v>
      </c>
      <c r="N102" s="31">
        <v>46.7</v>
      </c>
      <c r="O102" s="31">
        <v>32.200000000000003</v>
      </c>
      <c r="P102" s="31">
        <v>28.7</v>
      </c>
      <c r="Q102" s="31">
        <v>51</v>
      </c>
      <c r="R102" s="31">
        <v>43.1</v>
      </c>
      <c r="S102" s="31">
        <v>44.4</v>
      </c>
      <c r="T102" s="31">
        <v>42.3</v>
      </c>
      <c r="U102" s="31">
        <v>55</v>
      </c>
      <c r="V102" s="31">
        <v>35.299999999999997</v>
      </c>
      <c r="W102" s="34">
        <v>36.5</v>
      </c>
      <c r="X102" s="26">
        <f t="shared" si="64"/>
        <v>8.1339712918660156E-2</v>
      </c>
      <c r="Y102" s="26">
        <f t="shared" si="65"/>
        <v>2.2123893805309658E-2</v>
      </c>
      <c r="Z102" s="26">
        <f t="shared" si="66"/>
        <v>-4.220779220779225E-2</v>
      </c>
      <c r="AA102" s="26">
        <f t="shared" si="67"/>
        <v>-4.463276836158192E-2</v>
      </c>
    </row>
    <row r="103" spans="2:27" x14ac:dyDescent="0.25">
      <c r="B103" s="29" t="s">
        <v>170</v>
      </c>
      <c r="C103" s="22" t="s">
        <v>23</v>
      </c>
      <c r="D103" s="22" t="s">
        <v>171</v>
      </c>
      <c r="E103" s="22" t="s">
        <v>28</v>
      </c>
      <c r="F103" s="24">
        <v>-5.275954291271578</v>
      </c>
      <c r="G103" s="31">
        <v>1813</v>
      </c>
      <c r="H103" s="31">
        <v>1566</v>
      </c>
      <c r="I103" s="31">
        <v>1894</v>
      </c>
      <c r="J103" s="31">
        <v>2031</v>
      </c>
      <c r="K103" s="31">
        <v>1579</v>
      </c>
      <c r="L103" s="31">
        <v>1844</v>
      </c>
      <c r="M103" s="31">
        <v>2036</v>
      </c>
      <c r="N103" s="31">
        <v>2080</v>
      </c>
      <c r="O103" s="31">
        <v>1594</v>
      </c>
      <c r="P103" s="31">
        <v>2045</v>
      </c>
      <c r="Q103" s="31">
        <v>2138</v>
      </c>
      <c r="R103" s="31">
        <v>2147</v>
      </c>
      <c r="S103" s="31">
        <v>1938</v>
      </c>
      <c r="T103" s="31">
        <v>2144</v>
      </c>
      <c r="U103" s="31">
        <v>2218</v>
      </c>
      <c r="V103" s="31">
        <v>1926</v>
      </c>
      <c r="W103" s="34">
        <v>1504</v>
      </c>
      <c r="X103" s="26">
        <f t="shared" si="64"/>
        <v>1.1973875181422455E-2</v>
      </c>
      <c r="Y103" s="26">
        <f t="shared" si="65"/>
        <v>9.5613720568901162E-3</v>
      </c>
      <c r="Z103" s="26">
        <f t="shared" si="66"/>
        <v>-2.6163134840771818E-2</v>
      </c>
      <c r="AA103" s="26">
        <f t="shared" si="67"/>
        <v>-5.2759542912715784E-2</v>
      </c>
    </row>
    <row r="104" spans="2:27" x14ac:dyDescent="0.25">
      <c r="B104" s="29" t="s">
        <v>203</v>
      </c>
      <c r="C104" s="22" t="s">
        <v>23</v>
      </c>
      <c r="D104" s="22" t="s">
        <v>72</v>
      </c>
      <c r="E104" s="22" t="s">
        <v>28</v>
      </c>
      <c r="F104" s="24">
        <v>-5.8021612635078874</v>
      </c>
      <c r="G104" s="31">
        <v>311.89999999999998</v>
      </c>
      <c r="H104" s="31">
        <v>284.5</v>
      </c>
      <c r="I104" s="31">
        <v>154.1</v>
      </c>
      <c r="J104" s="31">
        <v>122.1</v>
      </c>
      <c r="K104" s="31">
        <v>151</v>
      </c>
      <c r="L104" s="31">
        <v>126.8</v>
      </c>
      <c r="M104" s="31">
        <v>27.9</v>
      </c>
      <c r="N104" s="31">
        <v>96.5</v>
      </c>
      <c r="O104" s="31">
        <v>118.2</v>
      </c>
      <c r="P104" s="31">
        <v>86.4</v>
      </c>
      <c r="Q104" s="31">
        <v>-31.6</v>
      </c>
      <c r="R104" s="31">
        <v>106.5</v>
      </c>
      <c r="S104" s="32">
        <v>191.9</v>
      </c>
      <c r="T104" s="32">
        <v>142.9</v>
      </c>
      <c r="U104" s="32">
        <v>117.8</v>
      </c>
      <c r="V104" s="31">
        <v>148.9</v>
      </c>
      <c r="W104" s="34">
        <v>157</v>
      </c>
      <c r="X104" s="26">
        <f t="shared" si="64"/>
        <v>0.15996602491506229</v>
      </c>
      <c r="Y104" s="26">
        <f t="shared" si="65"/>
        <v>0.36465706614596005</v>
      </c>
      <c r="Z104" s="26">
        <f t="shared" si="66"/>
        <v>7.583616526560566E-2</v>
      </c>
      <c r="AA104" s="26">
        <f t="shared" si="67"/>
        <v>-5.8021612635078879E-2</v>
      </c>
    </row>
    <row r="105" spans="2:27" x14ac:dyDescent="0.25">
      <c r="B105" s="29" t="s">
        <v>178</v>
      </c>
      <c r="C105" s="22" t="s">
        <v>23</v>
      </c>
      <c r="D105" s="22" t="s">
        <v>179</v>
      </c>
      <c r="E105" s="22" t="s">
        <v>28</v>
      </c>
      <c r="F105" s="24">
        <v>-6.7834782217017224</v>
      </c>
      <c r="G105" s="31">
        <v>4821</v>
      </c>
      <c r="H105" s="31">
        <v>5570</v>
      </c>
      <c r="I105" s="31">
        <v>6367</v>
      </c>
      <c r="J105" s="31">
        <v>6157</v>
      </c>
      <c r="K105" s="31">
        <v>4530</v>
      </c>
      <c r="L105" s="31">
        <v>5646</v>
      </c>
      <c r="M105" s="31">
        <v>6709</v>
      </c>
      <c r="N105" s="31">
        <v>6475</v>
      </c>
      <c r="O105" s="31">
        <v>4484</v>
      </c>
      <c r="P105" s="31">
        <v>5809</v>
      </c>
      <c r="Q105" s="31">
        <v>6635</v>
      </c>
      <c r="R105" s="31">
        <v>5859</v>
      </c>
      <c r="S105" s="31">
        <v>4994</v>
      </c>
      <c r="T105" s="31">
        <v>5681</v>
      </c>
      <c r="U105" s="31">
        <v>5993</v>
      </c>
      <c r="V105" s="31">
        <v>5533</v>
      </c>
      <c r="W105" s="34">
        <v>3488</v>
      </c>
      <c r="X105" s="26">
        <f t="shared" si="64"/>
        <v>-5.4942696484525655E-3</v>
      </c>
      <c r="Y105" s="26">
        <f t="shared" si="65"/>
        <v>-2.7709439337045172E-2</v>
      </c>
      <c r="Z105" s="26">
        <f t="shared" si="66"/>
        <v>-1.4471523061215463E-2</v>
      </c>
      <c r="AA105" s="26">
        <f t="shared" si="67"/>
        <v>-6.783478221701722E-2</v>
      </c>
    </row>
    <row r="106" spans="2:27" x14ac:dyDescent="0.25">
      <c r="B106" s="29" t="s">
        <v>66</v>
      </c>
      <c r="C106" s="22" t="s">
        <v>23</v>
      </c>
      <c r="D106" s="22" t="s">
        <v>67</v>
      </c>
      <c r="E106" s="22" t="s">
        <v>28</v>
      </c>
      <c r="F106" s="24">
        <v>-7.0019545388736004</v>
      </c>
      <c r="G106" s="31">
        <v>89.28</v>
      </c>
      <c r="H106" s="31">
        <v>83.95</v>
      </c>
      <c r="I106" s="31">
        <v>92.32</v>
      </c>
      <c r="J106" s="31">
        <v>96.78</v>
      </c>
      <c r="K106" s="31">
        <v>110.67</v>
      </c>
      <c r="L106" s="31">
        <v>85.17</v>
      </c>
      <c r="M106" s="31">
        <v>98.39</v>
      </c>
      <c r="N106" s="31">
        <v>101.42</v>
      </c>
      <c r="O106" s="31">
        <v>99.17</v>
      </c>
      <c r="P106" s="31">
        <v>98.58</v>
      </c>
      <c r="Q106" s="31">
        <v>107.05</v>
      </c>
      <c r="R106" s="31">
        <v>111.74</v>
      </c>
      <c r="S106" s="32">
        <v>174.26</v>
      </c>
      <c r="T106" s="31">
        <v>131.77000000000001</v>
      </c>
      <c r="U106" s="31">
        <v>117.08</v>
      </c>
      <c r="V106" s="31">
        <v>129.44999999999999</v>
      </c>
      <c r="W106" s="34">
        <v>135.57</v>
      </c>
      <c r="X106" s="26">
        <f t="shared" si="64"/>
        <v>6.7510119398734636E-2</v>
      </c>
      <c r="Y106" s="26">
        <f t="shared" si="65"/>
        <v>1.9111314355398257E-2</v>
      </c>
      <c r="Z106" s="26">
        <f t="shared" si="66"/>
        <v>3.3112087501168341E-2</v>
      </c>
      <c r="AA106" s="26">
        <f t="shared" si="67"/>
        <v>-7.0019545388736004E-2</v>
      </c>
    </row>
    <row r="107" spans="2:27" x14ac:dyDescent="0.25">
      <c r="B107" s="29" t="s">
        <v>204</v>
      </c>
      <c r="C107" s="22" t="s">
        <v>23</v>
      </c>
      <c r="D107" s="22" t="s">
        <v>76</v>
      </c>
      <c r="E107" s="22" t="s">
        <v>28</v>
      </c>
      <c r="F107" s="24">
        <v>-7.0523648648648578</v>
      </c>
      <c r="G107" s="31">
        <v>13.43</v>
      </c>
      <c r="H107" s="31">
        <v>29.65</v>
      </c>
      <c r="I107" s="31">
        <v>40.869999999999997</v>
      </c>
      <c r="J107" s="31">
        <v>35.32</v>
      </c>
      <c r="K107" s="31">
        <v>23.11</v>
      </c>
      <c r="L107" s="31">
        <v>39.67</v>
      </c>
      <c r="M107" s="31">
        <v>45.21</v>
      </c>
      <c r="N107" s="31">
        <v>41.99</v>
      </c>
      <c r="O107" s="31">
        <v>27.58</v>
      </c>
      <c r="P107" s="31">
        <v>46.47</v>
      </c>
      <c r="Q107" s="31">
        <v>55.06</v>
      </c>
      <c r="R107" s="31">
        <v>51.55</v>
      </c>
      <c r="S107" s="31">
        <v>30.7</v>
      </c>
      <c r="T107" s="31">
        <v>46.88</v>
      </c>
      <c r="U107" s="31">
        <v>54.88</v>
      </c>
      <c r="V107" s="31">
        <v>56.98</v>
      </c>
      <c r="W107" s="34">
        <v>17.34</v>
      </c>
      <c r="X107" s="26">
        <f t="shared" si="64"/>
        <v>2.230928283817768E-3</v>
      </c>
      <c r="Y107" s="26">
        <f t="shared" si="65"/>
        <v>-9.7725175090945804E-4</v>
      </c>
      <c r="Z107" s="26">
        <f t="shared" si="66"/>
        <v>2.9509265800771844E-2</v>
      </c>
      <c r="AA107" s="26">
        <f t="shared" si="67"/>
        <v>-7.0523648648648574E-2</v>
      </c>
    </row>
    <row r="108" spans="2:27" x14ac:dyDescent="0.25">
      <c r="B108" s="29" t="s">
        <v>97</v>
      </c>
      <c r="C108" s="22" t="s">
        <v>23</v>
      </c>
      <c r="D108" s="22" t="s">
        <v>98</v>
      </c>
      <c r="E108" s="22" t="s">
        <v>28</v>
      </c>
      <c r="F108" s="24">
        <v>-11.0175157106565</v>
      </c>
      <c r="G108" s="31">
        <v>47.31</v>
      </c>
      <c r="H108" s="31">
        <v>71.78</v>
      </c>
      <c r="I108" s="31">
        <v>95.3</v>
      </c>
      <c r="J108" s="31">
        <v>56.34</v>
      </c>
      <c r="K108" s="31">
        <v>37.549999999999997</v>
      </c>
      <c r="L108" s="31">
        <v>55.41</v>
      </c>
      <c r="M108" s="31">
        <v>74.58</v>
      </c>
      <c r="N108" s="31">
        <v>33.25</v>
      </c>
      <c r="O108" s="31">
        <v>19.22</v>
      </c>
      <c r="P108" s="31">
        <v>21.4</v>
      </c>
      <c r="Q108" s="31">
        <v>61.03</v>
      </c>
      <c r="R108" s="31">
        <v>21.38</v>
      </c>
      <c r="S108" s="31">
        <v>13.16</v>
      </c>
      <c r="T108" s="31">
        <v>22.74</v>
      </c>
      <c r="U108" s="31">
        <v>27.52</v>
      </c>
      <c r="V108" s="31">
        <v>11.37</v>
      </c>
      <c r="W108" s="34">
        <v>4.92</v>
      </c>
      <c r="X108" s="26">
        <f t="shared" si="64"/>
        <v>1.1455928870650611E-2</v>
      </c>
      <c r="Y108" s="26">
        <f t="shared" si="65"/>
        <v>-0.28323894852506126</v>
      </c>
      <c r="Z108" s="26">
        <f t="shared" si="66"/>
        <v>-0.11804245283018855</v>
      </c>
      <c r="AA108" s="26">
        <f t="shared" si="67"/>
        <v>-0.11017515710656511</v>
      </c>
    </row>
    <row r="109" spans="2:27" x14ac:dyDescent="0.25">
      <c r="B109" s="29" t="s">
        <v>184</v>
      </c>
      <c r="C109" s="22" t="s">
        <v>23</v>
      </c>
      <c r="D109" s="22" t="s">
        <v>58</v>
      </c>
      <c r="E109" s="22" t="s">
        <v>28</v>
      </c>
      <c r="F109" s="24">
        <v>-11.897885492841461</v>
      </c>
      <c r="G109" s="31">
        <v>849.54</v>
      </c>
      <c r="H109" s="31">
        <v>601.88</v>
      </c>
      <c r="I109" s="31">
        <v>868.13</v>
      </c>
      <c r="J109" s="31">
        <v>834.99</v>
      </c>
      <c r="K109" s="31">
        <v>1082</v>
      </c>
      <c r="L109" s="31">
        <v>697.79</v>
      </c>
      <c r="M109" s="31">
        <v>939.54</v>
      </c>
      <c r="N109" s="31">
        <v>827.99</v>
      </c>
      <c r="O109" s="31">
        <v>940.19</v>
      </c>
      <c r="P109" s="31">
        <v>814.06</v>
      </c>
      <c r="Q109" s="31">
        <v>1033</v>
      </c>
      <c r="R109" s="31">
        <v>893.99</v>
      </c>
      <c r="S109" s="31">
        <v>1158</v>
      </c>
      <c r="T109" s="31">
        <v>674.27</v>
      </c>
      <c r="U109" s="31">
        <v>807.75</v>
      </c>
      <c r="V109" s="31">
        <v>763.61</v>
      </c>
      <c r="W109" s="34">
        <v>753.04</v>
      </c>
      <c r="X109" s="26">
        <f t="shared" si="64"/>
        <v>-3.5852323001756892E-2</v>
      </c>
      <c r="Y109" s="26">
        <f t="shared" si="65"/>
        <v>-5.9918707405180793E-2</v>
      </c>
      <c r="Z109" s="26">
        <f t="shared" si="66"/>
        <v>-3.6892934654966902E-2</v>
      </c>
      <c r="AA109" s="26">
        <f t="shared" si="67"/>
        <v>-0.11897885492841465</v>
      </c>
    </row>
    <row r="110" spans="2:27" x14ac:dyDescent="0.25">
      <c r="B110" s="29" t="s">
        <v>112</v>
      </c>
      <c r="C110" s="22" t="s">
        <v>23</v>
      </c>
      <c r="D110" s="22" t="s">
        <v>85</v>
      </c>
      <c r="E110" s="22" t="s">
        <v>28</v>
      </c>
      <c r="F110" s="24">
        <v>-16.848355933705569</v>
      </c>
      <c r="G110" s="31">
        <v>-19.510000000000002</v>
      </c>
      <c r="H110" s="31">
        <v>18.059999999999999</v>
      </c>
      <c r="I110" s="31">
        <v>-39.869999999999997</v>
      </c>
      <c r="J110" s="31">
        <v>90.38</v>
      </c>
      <c r="K110" s="32">
        <v>-5.48</v>
      </c>
      <c r="L110" s="32">
        <v>38.799999999999997</v>
      </c>
      <c r="M110" s="32">
        <v>46.85</v>
      </c>
      <c r="N110" s="32">
        <v>118.42</v>
      </c>
      <c r="O110" s="32">
        <v>40.32</v>
      </c>
      <c r="P110" s="31">
        <v>32.380000000000003</v>
      </c>
      <c r="Q110" s="31">
        <v>28.61</v>
      </c>
      <c r="R110" s="31">
        <v>26.53</v>
      </c>
      <c r="S110" s="32">
        <v>55.12</v>
      </c>
      <c r="T110" s="31">
        <v>-6.3</v>
      </c>
      <c r="U110" s="31">
        <v>17.010000000000002</v>
      </c>
      <c r="V110" s="32">
        <v>47</v>
      </c>
      <c r="W110" s="34">
        <v>36.11</v>
      </c>
      <c r="X110" s="26">
        <f t="shared" si="64"/>
        <v>-0.27117218171620872</v>
      </c>
      <c r="Y110" s="26">
        <f t="shared" si="65"/>
        <v>-0.11158137745286634</v>
      </c>
      <c r="Z110" s="26">
        <f t="shared" si="66"/>
        <v>0.22163274144651335</v>
      </c>
      <c r="AA110" s="26">
        <f t="shared" si="67"/>
        <v>-0.16848355933705583</v>
      </c>
    </row>
    <row r="111" spans="2:27" x14ac:dyDescent="0.25">
      <c r="B111" s="29" t="s">
        <v>229</v>
      </c>
      <c r="C111" s="22" t="s">
        <v>23</v>
      </c>
      <c r="D111" s="22" t="s">
        <v>44</v>
      </c>
      <c r="E111" s="22" t="s">
        <v>28</v>
      </c>
      <c r="F111" s="24">
        <v>-17.283236994219649</v>
      </c>
      <c r="G111" s="31">
        <v>32.35</v>
      </c>
      <c r="H111" s="31">
        <v>43.1</v>
      </c>
      <c r="I111" s="31">
        <v>46.23</v>
      </c>
      <c r="J111" s="31">
        <v>39.54</v>
      </c>
      <c r="K111" s="31">
        <v>20.95</v>
      </c>
      <c r="L111" s="31">
        <v>10.7</v>
      </c>
      <c r="M111" s="31">
        <v>-212.59</v>
      </c>
      <c r="N111" s="32">
        <v>1.58</v>
      </c>
      <c r="O111" s="32">
        <v>0.25</v>
      </c>
      <c r="P111" s="31">
        <v>-0.12</v>
      </c>
      <c r="Q111" s="31">
        <v>2.66</v>
      </c>
      <c r="R111" s="31">
        <v>-116.97</v>
      </c>
      <c r="S111" s="32">
        <v>-22.96</v>
      </c>
      <c r="T111" s="31">
        <v>6.26</v>
      </c>
      <c r="U111" s="32">
        <v>-10.87</v>
      </c>
      <c r="V111" s="31">
        <v>-58.93</v>
      </c>
      <c r="W111" s="34">
        <v>-8.01</v>
      </c>
      <c r="X111" s="26">
        <f t="shared" si="64"/>
        <v>-4.6437149719775639E-2</v>
      </c>
      <c r="Y111" s="26">
        <f t="shared" si="65"/>
        <v>0.10327455919395456</v>
      </c>
      <c r="Z111" s="26">
        <f t="shared" si="66"/>
        <v>-0.40154974401549748</v>
      </c>
      <c r="AA111" s="26">
        <f t="shared" si="67"/>
        <v>-0.17283236994219653</v>
      </c>
    </row>
    <row r="112" spans="2:27" x14ac:dyDescent="0.25">
      <c r="B112" s="29" t="s">
        <v>41</v>
      </c>
      <c r="C112" s="22" t="s">
        <v>23</v>
      </c>
      <c r="D112" s="22" t="s">
        <v>42</v>
      </c>
      <c r="E112" s="22" t="s">
        <v>28</v>
      </c>
      <c r="F112" s="24">
        <v>-18.363766844749222</v>
      </c>
      <c r="G112" s="31">
        <v>29.34</v>
      </c>
      <c r="H112" s="31">
        <v>48.13</v>
      </c>
      <c r="I112" s="31">
        <v>39.47</v>
      </c>
      <c r="J112" s="31">
        <v>52.58</v>
      </c>
      <c r="K112" s="31">
        <v>45.14</v>
      </c>
      <c r="L112" s="31">
        <v>34.36</v>
      </c>
      <c r="M112" s="31">
        <v>-1.5</v>
      </c>
      <c r="N112" s="31">
        <v>-18.760000000000002</v>
      </c>
      <c r="O112" s="31">
        <v>-30.1</v>
      </c>
      <c r="P112" s="32">
        <v>-51.99</v>
      </c>
      <c r="Q112" s="32">
        <v>-39.96</v>
      </c>
      <c r="R112" s="32">
        <v>-38.68</v>
      </c>
      <c r="S112" s="31">
        <v>-38.119999999999997</v>
      </c>
      <c r="T112" s="31">
        <v>-38.22</v>
      </c>
      <c r="U112" s="31">
        <v>-19.04</v>
      </c>
      <c r="V112" s="31">
        <v>-30.03</v>
      </c>
      <c r="W112" s="34">
        <v>-15.09</v>
      </c>
      <c r="X112" s="26">
        <f t="shared" si="64"/>
        <v>-8.1600000000000006E-2</v>
      </c>
      <c r="Y112" s="26">
        <f t="shared" si="65"/>
        <v>-0.13498515937540323</v>
      </c>
      <c r="Z112" s="26">
        <f t="shared" si="66"/>
        <v>-6.4523347754736782E-2</v>
      </c>
      <c r="AA112" s="26">
        <f t="shared" si="67"/>
        <v>-0.18363766844749219</v>
      </c>
    </row>
    <row r="113" spans="2:27" x14ac:dyDescent="0.25">
      <c r="B113" s="29" t="s">
        <v>185</v>
      </c>
      <c r="C113" s="22" t="s">
        <v>23</v>
      </c>
      <c r="D113" s="22" t="s">
        <v>186</v>
      </c>
      <c r="E113" s="22" t="s">
        <v>28</v>
      </c>
      <c r="F113" s="24">
        <v>-18.71101871101871</v>
      </c>
      <c r="G113" s="31">
        <v>418</v>
      </c>
      <c r="H113" s="31">
        <v>385</v>
      </c>
      <c r="I113" s="31">
        <v>585</v>
      </c>
      <c r="J113" s="31">
        <v>513</v>
      </c>
      <c r="K113" s="31">
        <v>463</v>
      </c>
      <c r="L113" s="31">
        <v>283</v>
      </c>
      <c r="M113" s="31">
        <v>314</v>
      </c>
      <c r="N113" s="31">
        <v>319</v>
      </c>
      <c r="O113" s="31">
        <v>283</v>
      </c>
      <c r="P113" s="31">
        <v>154</v>
      </c>
      <c r="Q113" s="31">
        <v>0</v>
      </c>
      <c r="R113" s="31">
        <v>119</v>
      </c>
      <c r="S113" s="31">
        <v>338</v>
      </c>
      <c r="T113" s="31">
        <v>159</v>
      </c>
      <c r="U113" s="31">
        <v>0</v>
      </c>
      <c r="V113" s="32">
        <v>465</v>
      </c>
      <c r="W113" s="34">
        <v>158</v>
      </c>
      <c r="X113" s="26">
        <f t="shared" si="64"/>
        <v>8.1833060556464332E-3</v>
      </c>
      <c r="Y113" s="26">
        <f t="shared" si="65"/>
        <v>0</v>
      </c>
      <c r="Z113" s="26">
        <f t="shared" si="66"/>
        <v>0.56168831168831179</v>
      </c>
      <c r="AA113" s="26">
        <f t="shared" si="67"/>
        <v>-0.18711018711018712</v>
      </c>
    </row>
    <row r="114" spans="2:27" hidden="1" x14ac:dyDescent="0.25">
      <c r="B114" s="22" t="s">
        <v>160</v>
      </c>
      <c r="C114" s="22" t="s">
        <v>23</v>
      </c>
      <c r="D114" s="22" t="s">
        <v>60</v>
      </c>
      <c r="E114" s="22" t="s">
        <v>34</v>
      </c>
      <c r="F114" s="22">
        <v>4.9222797927461306</v>
      </c>
      <c r="G114" s="22">
        <v>36.24</v>
      </c>
      <c r="H114" s="22">
        <v>13.06</v>
      </c>
      <c r="I114" s="22">
        <v>25.93</v>
      </c>
      <c r="J114" s="22">
        <v>22.33</v>
      </c>
      <c r="K114" s="22">
        <v>18.27</v>
      </c>
      <c r="L114" s="22">
        <v>0.67</v>
      </c>
      <c r="M114" s="22">
        <v>10</v>
      </c>
      <c r="N114" s="22">
        <v>25.3</v>
      </c>
      <c r="O114" s="23">
        <v>28.4</v>
      </c>
      <c r="P114" s="22">
        <v>5.0999999999999996</v>
      </c>
      <c r="Q114" s="22">
        <v>11.8</v>
      </c>
      <c r="R114" s="22">
        <v>12.7</v>
      </c>
      <c r="S114" s="22">
        <v>20.9</v>
      </c>
      <c r="T114" s="22">
        <v>3.5</v>
      </c>
      <c r="U114" s="22">
        <v>5.6</v>
      </c>
      <c r="V114" s="22">
        <v>8.6</v>
      </c>
      <c r="W114" s="22">
        <v>22.8</v>
      </c>
    </row>
    <row r="115" spans="2:27" x14ac:dyDescent="0.25">
      <c r="B115" s="29" t="s">
        <v>189</v>
      </c>
      <c r="C115" s="22" t="s">
        <v>23</v>
      </c>
      <c r="D115" s="22" t="s">
        <v>40</v>
      </c>
      <c r="E115" s="22" t="s">
        <v>28</v>
      </c>
      <c r="F115" s="24">
        <v>-18.8135593220339</v>
      </c>
      <c r="G115" s="31">
        <v>587</v>
      </c>
      <c r="H115" s="31">
        <v>345</v>
      </c>
      <c r="I115" s="31">
        <v>469</v>
      </c>
      <c r="J115" s="31">
        <v>330</v>
      </c>
      <c r="K115" s="31">
        <v>143</v>
      </c>
      <c r="L115" s="31">
        <v>294</v>
      </c>
      <c r="M115" s="31">
        <v>342</v>
      </c>
      <c r="N115" s="31">
        <v>266</v>
      </c>
      <c r="O115" s="31">
        <v>167</v>
      </c>
      <c r="P115" s="31">
        <v>287</v>
      </c>
      <c r="Q115" s="31">
        <v>363</v>
      </c>
      <c r="R115" s="31">
        <v>369</v>
      </c>
      <c r="S115" s="32">
        <v>364</v>
      </c>
      <c r="T115" s="31">
        <v>319</v>
      </c>
      <c r="U115" s="31">
        <v>284</v>
      </c>
      <c r="V115" s="31">
        <v>213</v>
      </c>
      <c r="W115" s="34">
        <v>142</v>
      </c>
      <c r="X115" s="26">
        <f t="shared" ref="X115:X118" si="68">SUM(Q115:T115)/SUM(P115:S115)-1</f>
        <v>2.3138105567606759E-2</v>
      </c>
      <c r="Y115" s="26">
        <f t="shared" ref="Y115:Y118" si="69">SUM(R115:U115)/SUM(Q115:T115)-1</f>
        <v>-5.5830388692579502E-2</v>
      </c>
      <c r="Z115" s="26">
        <f t="shared" ref="Z115:Z118" si="70">SUM(S115:V115)/SUM(R115:U115)-1</f>
        <v>-0.11676646706586824</v>
      </c>
      <c r="AA115" s="26">
        <f t="shared" ref="AA115:AA118" si="71">SUM(T115:W115)/SUM(S115:V115)-1</f>
        <v>-0.18813559322033901</v>
      </c>
    </row>
    <row r="116" spans="2:27" x14ac:dyDescent="0.25">
      <c r="B116" s="29" t="s">
        <v>79</v>
      </c>
      <c r="C116" s="22" t="s">
        <v>23</v>
      </c>
      <c r="D116" s="22" t="s">
        <v>32</v>
      </c>
      <c r="E116" s="22" t="s">
        <v>28</v>
      </c>
      <c r="F116" s="24">
        <v>-31.01564806613521</v>
      </c>
      <c r="G116" s="31">
        <v>199.05</v>
      </c>
      <c r="H116" s="31">
        <v>257.24</v>
      </c>
      <c r="I116" s="31">
        <v>305.74</v>
      </c>
      <c r="J116" s="31">
        <v>238.61</v>
      </c>
      <c r="K116" s="31">
        <v>173.5</v>
      </c>
      <c r="L116" s="31">
        <v>136.78</v>
      </c>
      <c r="M116" s="31">
        <v>117.54</v>
      </c>
      <c r="N116" s="31">
        <v>143.49</v>
      </c>
      <c r="O116" s="31">
        <v>66.78</v>
      </c>
      <c r="P116" s="31">
        <v>40.9</v>
      </c>
      <c r="Q116" s="31">
        <v>75.540000000000006</v>
      </c>
      <c r="R116" s="31">
        <v>60.57</v>
      </c>
      <c r="S116" s="31">
        <v>64.47</v>
      </c>
      <c r="T116" s="31">
        <v>55.88</v>
      </c>
      <c r="U116" s="31">
        <v>1.54</v>
      </c>
      <c r="V116" s="31">
        <v>13.59</v>
      </c>
      <c r="W116" s="34">
        <v>22.45</v>
      </c>
      <c r="X116" s="26">
        <f t="shared" si="68"/>
        <v>6.2034122908729783E-2</v>
      </c>
      <c r="Y116" s="26">
        <f t="shared" si="69"/>
        <v>-0.28854402245964306</v>
      </c>
      <c r="Z116" s="26">
        <f t="shared" si="70"/>
        <v>-0.25748109174613609</v>
      </c>
      <c r="AA116" s="26">
        <f t="shared" si="71"/>
        <v>-0.31015648066135215</v>
      </c>
    </row>
    <row r="117" spans="2:27" x14ac:dyDescent="0.25">
      <c r="B117" s="29" t="s">
        <v>52</v>
      </c>
      <c r="C117" s="22" t="s">
        <v>23</v>
      </c>
      <c r="D117" s="22" t="s">
        <v>53</v>
      </c>
      <c r="E117" s="22" t="s">
        <v>28</v>
      </c>
      <c r="F117" s="24">
        <v>-47.498045347928063</v>
      </c>
      <c r="G117" s="31">
        <v>536.6</v>
      </c>
      <c r="H117" s="31">
        <v>559.20000000000005</v>
      </c>
      <c r="I117" s="31">
        <v>578.5</v>
      </c>
      <c r="J117" s="31">
        <v>398</v>
      </c>
      <c r="K117" s="31">
        <v>277.7</v>
      </c>
      <c r="L117" s="31">
        <v>297</v>
      </c>
      <c r="M117" s="31">
        <v>214.3</v>
      </c>
      <c r="N117" s="31">
        <v>183.8</v>
      </c>
      <c r="O117" s="31">
        <v>81.599999999999994</v>
      </c>
      <c r="P117" s="31">
        <v>112.4</v>
      </c>
      <c r="Q117" s="31">
        <v>149.1</v>
      </c>
      <c r="R117" s="31">
        <v>30.1</v>
      </c>
      <c r="S117" s="31">
        <v>64.2</v>
      </c>
      <c r="T117" s="31">
        <v>53.4</v>
      </c>
      <c r="U117" s="31">
        <v>47.6</v>
      </c>
      <c r="V117" s="32">
        <v>90.6</v>
      </c>
      <c r="W117" s="34">
        <v>-57.3</v>
      </c>
      <c r="X117" s="26">
        <f t="shared" si="68"/>
        <v>-0.16582349634626214</v>
      </c>
      <c r="Y117" s="26">
        <f t="shared" si="69"/>
        <v>-0.34198113207547154</v>
      </c>
      <c r="Z117" s="26">
        <f t="shared" si="70"/>
        <v>0.309779825908858</v>
      </c>
      <c r="AA117" s="26">
        <f t="shared" si="71"/>
        <v>-0.47498045347928064</v>
      </c>
    </row>
    <row r="118" spans="2:27" x14ac:dyDescent="0.25">
      <c r="B118" s="29" t="s">
        <v>216</v>
      </c>
      <c r="C118" s="22" t="s">
        <v>23</v>
      </c>
      <c r="D118" s="22" t="s">
        <v>53</v>
      </c>
      <c r="E118" s="22" t="s">
        <v>28</v>
      </c>
      <c r="F118" s="24">
        <v>-57.859078590785913</v>
      </c>
      <c r="G118" s="31">
        <v>1817</v>
      </c>
      <c r="H118" s="31">
        <v>2147</v>
      </c>
      <c r="I118" s="31">
        <v>2117</v>
      </c>
      <c r="J118" s="31">
        <v>1193</v>
      </c>
      <c r="K118" s="31">
        <v>475</v>
      </c>
      <c r="L118" s="31">
        <v>772</v>
      </c>
      <c r="M118" s="31">
        <v>948</v>
      </c>
      <c r="N118" s="31">
        <v>577</v>
      </c>
      <c r="O118" s="31">
        <v>342</v>
      </c>
      <c r="P118" s="31">
        <v>611</v>
      </c>
      <c r="Q118" s="31">
        <v>722</v>
      </c>
      <c r="R118" s="31">
        <v>451</v>
      </c>
      <c r="S118" s="31">
        <v>460</v>
      </c>
      <c r="T118" s="31">
        <v>67</v>
      </c>
      <c r="U118" s="31">
        <v>21</v>
      </c>
      <c r="V118" s="31">
        <v>190</v>
      </c>
      <c r="W118" s="34">
        <v>33</v>
      </c>
      <c r="X118" s="26">
        <f t="shared" si="68"/>
        <v>-0.24242424242424243</v>
      </c>
      <c r="Y118" s="26">
        <f t="shared" si="69"/>
        <v>-0.41235294117647059</v>
      </c>
      <c r="Z118" s="26">
        <f t="shared" si="70"/>
        <v>-0.26126126126126126</v>
      </c>
      <c r="AA118" s="26">
        <f t="shared" si="71"/>
        <v>-0.57859078590785906</v>
      </c>
    </row>
    <row r="119" spans="2:27" hidden="1" x14ac:dyDescent="0.25">
      <c r="B119" s="22" t="s">
        <v>169</v>
      </c>
      <c r="C119" s="22" t="s">
        <v>26</v>
      </c>
      <c r="D119" s="22" t="s">
        <v>27</v>
      </c>
      <c r="E119" s="22" t="s">
        <v>34</v>
      </c>
      <c r="F119" s="22">
        <v>14.849796375907401</v>
      </c>
      <c r="G119" s="22">
        <v>237231</v>
      </c>
      <c r="H119" s="22">
        <v>159680</v>
      </c>
      <c r="I119" s="22">
        <v>253776</v>
      </c>
      <c r="J119" s="22">
        <v>62570</v>
      </c>
      <c r="K119" s="22">
        <v>202137</v>
      </c>
      <c r="L119" s="22">
        <v>182141</v>
      </c>
      <c r="M119" s="23">
        <v>495408</v>
      </c>
      <c r="N119" s="22">
        <v>114293</v>
      </c>
      <c r="O119" s="22">
        <v>189980</v>
      </c>
      <c r="P119" s="23">
        <v>285793</v>
      </c>
      <c r="Q119" s="22">
        <v>217274</v>
      </c>
      <c r="R119" s="23">
        <v>197624</v>
      </c>
      <c r="S119" s="22">
        <v>221533</v>
      </c>
      <c r="T119" s="22">
        <v>250168</v>
      </c>
      <c r="U119" s="23">
        <v>307308</v>
      </c>
      <c r="V119" s="22">
        <v>254022</v>
      </c>
      <c r="W119" s="23">
        <v>374936</v>
      </c>
    </row>
    <row r="120" spans="2:27" x14ac:dyDescent="0.25">
      <c r="B120" s="29" t="s">
        <v>215</v>
      </c>
      <c r="C120" s="22" t="s">
        <v>23</v>
      </c>
      <c r="D120" s="22" t="s">
        <v>47</v>
      </c>
      <c r="E120" s="22" t="s">
        <v>28</v>
      </c>
      <c r="F120" s="24">
        <v>-62.3046875</v>
      </c>
      <c r="G120" s="31">
        <v>544</v>
      </c>
      <c r="H120" s="31">
        <v>1332</v>
      </c>
      <c r="I120" s="31">
        <v>1037</v>
      </c>
      <c r="J120" s="31">
        <v>439</v>
      </c>
      <c r="K120" s="31">
        <v>238</v>
      </c>
      <c r="L120" s="31">
        <v>228</v>
      </c>
      <c r="M120" s="31">
        <v>316</v>
      </c>
      <c r="N120" s="31">
        <v>350</v>
      </c>
      <c r="O120" s="31">
        <v>179</v>
      </c>
      <c r="P120" s="31">
        <v>191</v>
      </c>
      <c r="Q120" s="31">
        <v>248</v>
      </c>
      <c r="R120" s="31">
        <v>90</v>
      </c>
      <c r="S120" s="31">
        <v>141</v>
      </c>
      <c r="T120" s="31">
        <v>162</v>
      </c>
      <c r="U120" s="31">
        <v>160</v>
      </c>
      <c r="V120" s="31">
        <v>49</v>
      </c>
      <c r="W120" s="34">
        <v>-178</v>
      </c>
      <c r="X120" s="26">
        <f t="shared" ref="X120:X124" si="72">SUM(Q120:T120)/SUM(P120:S120)-1</f>
        <v>-4.3283582089552186E-2</v>
      </c>
      <c r="Y120" s="26">
        <f t="shared" ref="Y120:Y124" si="73">SUM(R120:U120)/SUM(Q120:T120)-1</f>
        <v>-0.13728549141965674</v>
      </c>
      <c r="Z120" s="26">
        <f t="shared" ref="Z120:Z124" si="74">SUM(S120:V120)/SUM(R120:U120)-1</f>
        <v>-7.4141048824593159E-2</v>
      </c>
      <c r="AA120" s="26">
        <f t="shared" ref="AA120:AA124" si="75">SUM(T120:W120)/SUM(S120:V120)-1</f>
        <v>-0.623046875</v>
      </c>
    </row>
    <row r="121" spans="2:27" x14ac:dyDescent="0.25">
      <c r="B121" s="29" t="s">
        <v>94</v>
      </c>
      <c r="C121" s="22" t="s">
        <v>23</v>
      </c>
      <c r="D121" s="22" t="s">
        <v>95</v>
      </c>
      <c r="E121" s="22" t="s">
        <v>28</v>
      </c>
      <c r="F121" s="24">
        <v>-64.08654918581307</v>
      </c>
      <c r="G121" s="31">
        <v>18.12</v>
      </c>
      <c r="H121" s="31">
        <v>23.68</v>
      </c>
      <c r="I121" s="31">
        <v>26.47</v>
      </c>
      <c r="J121" s="31">
        <v>21.15</v>
      </c>
      <c r="K121" s="31">
        <v>9.06</v>
      </c>
      <c r="L121" s="31">
        <v>9.34</v>
      </c>
      <c r="M121" s="31">
        <v>10.29</v>
      </c>
      <c r="N121" s="31">
        <v>15.03</v>
      </c>
      <c r="O121" s="32">
        <v>14.55</v>
      </c>
      <c r="P121" s="31">
        <v>13.13</v>
      </c>
      <c r="Q121" s="32">
        <v>17.13</v>
      </c>
      <c r="R121" s="31">
        <v>17.16</v>
      </c>
      <c r="S121" s="31">
        <v>15.45</v>
      </c>
      <c r="T121" s="31">
        <v>8.66</v>
      </c>
      <c r="U121" s="31">
        <v>12.57</v>
      </c>
      <c r="V121" s="31">
        <v>8.15</v>
      </c>
      <c r="W121" s="34">
        <v>-13.28</v>
      </c>
      <c r="X121" s="26">
        <f t="shared" si="72"/>
        <v>-7.1099093367265942E-2</v>
      </c>
      <c r="Y121" s="26">
        <f t="shared" si="73"/>
        <v>-7.8082191780821875E-2</v>
      </c>
      <c r="Z121" s="26">
        <f t="shared" si="74"/>
        <v>-0.16734769687964335</v>
      </c>
      <c r="AA121" s="26">
        <f t="shared" si="75"/>
        <v>-0.64086549185813069</v>
      </c>
    </row>
    <row r="122" spans="2:27" x14ac:dyDescent="0.25">
      <c r="B122" s="29" t="s">
        <v>93</v>
      </c>
      <c r="C122" s="22" t="s">
        <v>23</v>
      </c>
      <c r="D122" s="22" t="s">
        <v>58</v>
      </c>
      <c r="E122" s="22" t="s">
        <v>28</v>
      </c>
      <c r="F122" s="24">
        <v>-68.549525922937264</v>
      </c>
      <c r="G122" s="31">
        <v>40.94</v>
      </c>
      <c r="H122" s="31">
        <v>55.55</v>
      </c>
      <c r="I122" s="31">
        <v>67.239999999999995</v>
      </c>
      <c r="J122" s="31">
        <v>111.73</v>
      </c>
      <c r="K122" s="31">
        <v>28.69</v>
      </c>
      <c r="L122" s="31">
        <v>38.9</v>
      </c>
      <c r="M122" s="31">
        <v>48.22</v>
      </c>
      <c r="N122" s="31">
        <v>62.08</v>
      </c>
      <c r="O122" s="31">
        <v>20.27</v>
      </c>
      <c r="P122" s="31">
        <v>35.99</v>
      </c>
      <c r="Q122" s="31">
        <v>28.72</v>
      </c>
      <c r="R122" s="31">
        <v>60.04</v>
      </c>
      <c r="S122" s="31">
        <v>2.14</v>
      </c>
      <c r="T122" s="31">
        <v>13.9</v>
      </c>
      <c r="U122" s="31">
        <v>6.63</v>
      </c>
      <c r="V122" s="31">
        <v>26.9</v>
      </c>
      <c r="W122" s="34">
        <v>-31.84</v>
      </c>
      <c r="X122" s="26">
        <f t="shared" si="72"/>
        <v>-0.17408779257624718</v>
      </c>
      <c r="Y122" s="26">
        <f t="shared" si="73"/>
        <v>-0.21078244274809166</v>
      </c>
      <c r="Z122" s="26">
        <f t="shared" si="74"/>
        <v>-0.40067706444202644</v>
      </c>
      <c r="AA122" s="26">
        <f t="shared" si="75"/>
        <v>-0.6854952592293726</v>
      </c>
    </row>
    <row r="123" spans="2:27" x14ac:dyDescent="0.25">
      <c r="B123" s="29" t="s">
        <v>83</v>
      </c>
      <c r="C123" s="22" t="s">
        <v>23</v>
      </c>
      <c r="D123" s="22" t="s">
        <v>44</v>
      </c>
      <c r="E123" s="22" t="s">
        <v>28</v>
      </c>
      <c r="F123" s="24">
        <v>-290.6908787309539</v>
      </c>
      <c r="G123" s="31">
        <v>23.84</v>
      </c>
      <c r="H123" s="31">
        <v>18.43</v>
      </c>
      <c r="I123" s="31">
        <v>19.510000000000002</v>
      </c>
      <c r="J123" s="31">
        <v>18.579999999999998</v>
      </c>
      <c r="K123" s="31">
        <v>14.46</v>
      </c>
      <c r="L123" s="31">
        <v>14.86</v>
      </c>
      <c r="M123" s="31">
        <v>16.79</v>
      </c>
      <c r="N123" s="31">
        <v>16.46</v>
      </c>
      <c r="O123" s="31">
        <v>14.94</v>
      </c>
      <c r="P123" s="31">
        <v>2.4300000000000002</v>
      </c>
      <c r="Q123" s="32">
        <v>30.15</v>
      </c>
      <c r="R123" s="31">
        <v>14.55</v>
      </c>
      <c r="S123" s="31">
        <v>-115.27</v>
      </c>
      <c r="T123" s="31">
        <v>20.62</v>
      </c>
      <c r="U123" s="32">
        <v>21.5</v>
      </c>
      <c r="V123" s="31">
        <v>25.24</v>
      </c>
      <c r="W123" s="34">
        <v>24</v>
      </c>
      <c r="X123" s="26">
        <f t="shared" si="72"/>
        <v>-0.26695039624302919</v>
      </c>
      <c r="Y123" s="26">
        <f t="shared" si="73"/>
        <v>0.17317317317317338</v>
      </c>
      <c r="Z123" s="26">
        <f t="shared" si="74"/>
        <v>-0.18242320819112623</v>
      </c>
      <c r="AA123" s="26">
        <f t="shared" si="75"/>
        <v>-2.9069087873095389</v>
      </c>
    </row>
    <row r="124" spans="2:27" x14ac:dyDescent="0.25">
      <c r="B124" s="29" t="s">
        <v>202</v>
      </c>
      <c r="C124" s="22" t="s">
        <v>23</v>
      </c>
      <c r="D124" s="22" t="s">
        <v>42</v>
      </c>
      <c r="E124" s="22" t="s">
        <v>199</v>
      </c>
      <c r="F124" s="24">
        <v>-294.78527607361968</v>
      </c>
      <c r="G124" s="31">
        <v>36.01</v>
      </c>
      <c r="H124" s="31">
        <v>27.24</v>
      </c>
      <c r="I124" s="31">
        <v>14.74</v>
      </c>
      <c r="J124" s="31">
        <v>59.84</v>
      </c>
      <c r="K124" s="32">
        <v>65.63</v>
      </c>
      <c r="L124" s="32">
        <v>59.3</v>
      </c>
      <c r="M124" s="32">
        <v>70.75</v>
      </c>
      <c r="N124" s="31">
        <v>72.92</v>
      </c>
      <c r="O124" s="31">
        <v>36.69</v>
      </c>
      <c r="P124" s="31">
        <v>37.340000000000003</v>
      </c>
      <c r="Q124" s="31">
        <v>-10.63</v>
      </c>
      <c r="R124" s="31">
        <v>4.07</v>
      </c>
      <c r="S124" s="31">
        <v>-0.04</v>
      </c>
      <c r="T124" s="31">
        <v>-6.72</v>
      </c>
      <c r="U124" s="31">
        <v>-2.74</v>
      </c>
      <c r="V124" s="31">
        <v>6.24</v>
      </c>
      <c r="W124" s="34">
        <v>9.57</v>
      </c>
      <c r="X124" s="26">
        <f t="shared" si="72"/>
        <v>-1.4333116460637605</v>
      </c>
      <c r="Y124" s="26">
        <f t="shared" si="73"/>
        <v>-0.5923423423423424</v>
      </c>
      <c r="Z124" s="26">
        <f t="shared" si="74"/>
        <v>-0.39963167587476978</v>
      </c>
      <c r="AA124" s="26">
        <f t="shared" si="75"/>
        <v>-2.9478527607361964</v>
      </c>
    </row>
    <row r="125" spans="2:27" hidden="1" x14ac:dyDescent="0.25">
      <c r="B125" s="22" t="s">
        <v>176</v>
      </c>
      <c r="C125" s="22" t="s">
        <v>23</v>
      </c>
      <c r="D125" s="22" t="s">
        <v>177</v>
      </c>
      <c r="E125" s="22" t="s">
        <v>34</v>
      </c>
      <c r="F125" s="22">
        <v>1.8330513254371179</v>
      </c>
      <c r="G125" s="22">
        <v>3802</v>
      </c>
      <c r="H125" s="22">
        <v>3831</v>
      </c>
      <c r="I125" s="22">
        <v>4171</v>
      </c>
      <c r="J125" s="22">
        <v>3744</v>
      </c>
      <c r="K125" s="22">
        <v>3846</v>
      </c>
      <c r="L125" s="22">
        <v>3489</v>
      </c>
      <c r="M125" s="22">
        <v>3832</v>
      </c>
      <c r="N125" s="22">
        <v>4258</v>
      </c>
      <c r="O125" s="22">
        <v>4447</v>
      </c>
      <c r="P125" s="22">
        <v>3922</v>
      </c>
      <c r="Q125" s="22">
        <v>4583</v>
      </c>
      <c r="R125" s="22">
        <v>0</v>
      </c>
      <c r="S125" s="22">
        <v>4397</v>
      </c>
      <c r="T125" s="22">
        <v>4600</v>
      </c>
      <c r="U125" s="22">
        <v>5187</v>
      </c>
      <c r="V125" s="22">
        <v>0</v>
      </c>
      <c r="W125" s="22">
        <v>4657</v>
      </c>
    </row>
    <row r="126" spans="2:27" x14ac:dyDescent="0.25">
      <c r="B126" s="29" t="s">
        <v>36</v>
      </c>
      <c r="C126" s="22" t="s">
        <v>37</v>
      </c>
      <c r="D126" s="49" t="str">
        <f>VLOOKUP(B126,'해외 실적 기업 리스트'!B5:G239,2,FALSE)</f>
        <v>Gränges AB (publ)</v>
      </c>
      <c r="E126" s="22" t="s">
        <v>28</v>
      </c>
      <c r="F126" s="24">
        <v>2.5396825396825311</v>
      </c>
      <c r="G126" s="31">
        <v>176</v>
      </c>
      <c r="H126" s="31">
        <v>331</v>
      </c>
      <c r="I126" s="31">
        <v>346</v>
      </c>
      <c r="J126" s="31">
        <v>319</v>
      </c>
      <c r="K126" s="32">
        <v>328</v>
      </c>
      <c r="L126" s="31">
        <v>401</v>
      </c>
      <c r="M126" s="31">
        <v>450</v>
      </c>
      <c r="N126" s="31">
        <v>440</v>
      </c>
      <c r="O126" s="31">
        <v>282</v>
      </c>
      <c r="P126" s="31">
        <v>356</v>
      </c>
      <c r="Q126" s="31">
        <v>472</v>
      </c>
      <c r="R126" s="31">
        <v>421</v>
      </c>
      <c r="S126" s="31">
        <v>333</v>
      </c>
      <c r="T126" s="31">
        <v>409</v>
      </c>
      <c r="U126" s="31">
        <v>436</v>
      </c>
      <c r="V126" s="31">
        <v>397</v>
      </c>
      <c r="W126" s="34">
        <v>373</v>
      </c>
      <c r="X126" s="26">
        <f t="shared" ref="X126:X143" si="76">SUM(Q126:T126)/SUM(P126:S126)-1</f>
        <v>3.3501896333754777E-2</v>
      </c>
      <c r="Y126" s="26">
        <f t="shared" ref="Y126:Y143" si="77">SUM(R126:U126)/SUM(Q126:T126)-1</f>
        <v>-2.2018348623853212E-2</v>
      </c>
      <c r="Z126" s="26">
        <f t="shared" ref="Z126:Z143" si="78">SUM(S126:V126)/SUM(R126:U126)-1</f>
        <v>-1.5009380863039379E-2</v>
      </c>
      <c r="AA126" s="26">
        <f t="shared" ref="AA126:AA143" si="79">SUM(T126:W126)/SUM(S126:V126)-1</f>
        <v>2.5396825396825307E-2</v>
      </c>
    </row>
    <row r="127" spans="2:27" x14ac:dyDescent="0.25">
      <c r="B127" s="29" t="s">
        <v>192</v>
      </c>
      <c r="C127" s="22" t="s">
        <v>37</v>
      </c>
      <c r="D127" s="49" t="str">
        <f>VLOOKUP(B127,'해외 실적 기업 리스트'!B6:G240,2,FALSE)</f>
        <v>Axfood AB (publ)</v>
      </c>
      <c r="E127" s="22" t="s">
        <v>28</v>
      </c>
      <c r="F127" s="24">
        <v>2.027027027027017</v>
      </c>
      <c r="G127" s="31">
        <v>655</v>
      </c>
      <c r="H127" s="31">
        <v>852</v>
      </c>
      <c r="I127" s="31">
        <v>855</v>
      </c>
      <c r="J127" s="31">
        <v>1041</v>
      </c>
      <c r="K127" s="31">
        <v>407</v>
      </c>
      <c r="L127" s="31">
        <v>701</v>
      </c>
      <c r="M127" s="31">
        <v>958</v>
      </c>
      <c r="N127" s="31">
        <v>1112</v>
      </c>
      <c r="O127" s="32">
        <v>822</v>
      </c>
      <c r="P127" s="31">
        <v>836</v>
      </c>
      <c r="Q127" s="31">
        <v>852</v>
      </c>
      <c r="R127" s="31">
        <v>1022</v>
      </c>
      <c r="S127" s="31">
        <v>800</v>
      </c>
      <c r="T127" s="31">
        <v>728</v>
      </c>
      <c r="U127" s="31">
        <v>950</v>
      </c>
      <c r="V127" s="31">
        <v>1074</v>
      </c>
      <c r="W127" s="34">
        <v>872</v>
      </c>
      <c r="X127" s="26">
        <f t="shared" si="76"/>
        <v>-3.0769230769230771E-2</v>
      </c>
      <c r="Y127" s="26">
        <f t="shared" si="77"/>
        <v>2.8806584362139898E-2</v>
      </c>
      <c r="Z127" s="26">
        <f t="shared" si="78"/>
        <v>1.4857142857142902E-2</v>
      </c>
      <c r="AA127" s="26">
        <f t="shared" si="79"/>
        <v>2.0270270270270174E-2</v>
      </c>
    </row>
    <row r="128" spans="2:27" x14ac:dyDescent="0.25">
      <c r="B128" s="29" t="s">
        <v>224</v>
      </c>
      <c r="C128" s="22" t="s">
        <v>37</v>
      </c>
      <c r="D128" s="49" t="str">
        <f>VLOOKUP(B128,'해외 실적 기업 리스트'!B7:G241,2,FALSE)</f>
        <v>Indutrade AB (publ)</v>
      </c>
      <c r="E128" s="22" t="s">
        <v>28</v>
      </c>
      <c r="F128" s="24">
        <v>-2.9765013054830258</v>
      </c>
      <c r="G128" s="31">
        <v>802</v>
      </c>
      <c r="H128" s="31">
        <v>830</v>
      </c>
      <c r="I128" s="31">
        <v>908</v>
      </c>
      <c r="J128" s="31">
        <v>912</v>
      </c>
      <c r="K128" s="31">
        <v>877</v>
      </c>
      <c r="L128" s="31">
        <v>1077</v>
      </c>
      <c r="M128" s="31">
        <v>1061</v>
      </c>
      <c r="N128" s="31">
        <v>1031</v>
      </c>
      <c r="O128" s="31">
        <v>974</v>
      </c>
      <c r="P128" s="31">
        <v>860</v>
      </c>
      <c r="Q128" s="31">
        <v>1087</v>
      </c>
      <c r="R128" s="31">
        <v>1015</v>
      </c>
      <c r="S128" s="31">
        <v>1032</v>
      </c>
      <c r="T128" s="31">
        <v>874</v>
      </c>
      <c r="U128" s="31">
        <v>950</v>
      </c>
      <c r="V128" s="31">
        <v>974</v>
      </c>
      <c r="W128" s="34">
        <v>918</v>
      </c>
      <c r="X128" s="26">
        <f t="shared" si="76"/>
        <v>3.5052578868302042E-3</v>
      </c>
      <c r="Y128" s="26">
        <f t="shared" si="77"/>
        <v>-3.4181636726546949E-2</v>
      </c>
      <c r="Z128" s="26">
        <f t="shared" si="78"/>
        <v>-1.0591578403513324E-2</v>
      </c>
      <c r="AA128" s="26">
        <f t="shared" si="79"/>
        <v>-2.9765013054830258E-2</v>
      </c>
    </row>
    <row r="129" spans="2:27" x14ac:dyDescent="0.25">
      <c r="B129" s="29">
        <v>6952</v>
      </c>
      <c r="C129" s="22" t="s">
        <v>26</v>
      </c>
      <c r="D129" s="49" t="str">
        <f>VLOOKUP(B129,'해외 실적 기업 리스트'!$B$8:$G$242,2,FALSE)</f>
        <v>Casio Computer Co.,Ltd.</v>
      </c>
      <c r="E129" s="22" t="s">
        <v>28</v>
      </c>
      <c r="F129" s="30">
        <v>58.140925054173209</v>
      </c>
      <c r="G129" s="31">
        <v>8009</v>
      </c>
      <c r="H129" s="31">
        <v>1969</v>
      </c>
      <c r="I129" s="31">
        <v>4835</v>
      </c>
      <c r="J129" s="31">
        <v>5244</v>
      </c>
      <c r="K129" s="31">
        <v>6411</v>
      </c>
      <c r="L129" s="31">
        <v>1674</v>
      </c>
      <c r="M129" s="31">
        <v>4327</v>
      </c>
      <c r="N129" s="31">
        <v>3850</v>
      </c>
      <c r="O129" s="31">
        <v>3643</v>
      </c>
      <c r="P129" s="31">
        <v>2388</v>
      </c>
      <c r="Q129" s="31">
        <v>4529</v>
      </c>
      <c r="R129" s="32">
        <v>5812</v>
      </c>
      <c r="S129" s="31">
        <v>888</v>
      </c>
      <c r="T129" s="31">
        <v>3007</v>
      </c>
      <c r="U129" s="31">
        <v>3730</v>
      </c>
      <c r="V129" s="31">
        <v>5758</v>
      </c>
      <c r="W129" s="33">
        <v>8669</v>
      </c>
      <c r="X129" s="26">
        <f t="shared" si="76"/>
        <v>4.545788352794311E-2</v>
      </c>
      <c r="Y129" s="26">
        <f t="shared" si="77"/>
        <v>-5.6125316100028133E-2</v>
      </c>
      <c r="Z129" s="26">
        <f t="shared" si="78"/>
        <v>-4.0187541862022336E-3</v>
      </c>
      <c r="AA129" s="26">
        <f t="shared" si="79"/>
        <v>0.58140925054173209</v>
      </c>
    </row>
    <row r="130" spans="2:27" x14ac:dyDescent="0.25">
      <c r="B130" s="29">
        <v>6702</v>
      </c>
      <c r="C130" s="22" t="s">
        <v>26</v>
      </c>
      <c r="D130" s="49" t="str">
        <f>VLOOKUP(B130,'해외 실적 기업 리스트'!$B$8:$G$242,2,FALSE)</f>
        <v>Fujitsu Limited</v>
      </c>
      <c r="E130" s="22" t="s">
        <v>28</v>
      </c>
      <c r="F130" s="30">
        <v>21.112507820616582</v>
      </c>
      <c r="G130" s="31">
        <v>65185</v>
      </c>
      <c r="H130" s="31">
        <v>113339</v>
      </c>
      <c r="I130" s="31">
        <v>25602</v>
      </c>
      <c r="J130" s="31">
        <v>75367</v>
      </c>
      <c r="K130" s="31">
        <v>72316</v>
      </c>
      <c r="L130" s="31">
        <v>105062</v>
      </c>
      <c r="M130" s="31">
        <v>-1665</v>
      </c>
      <c r="N130" s="31">
        <v>46445</v>
      </c>
      <c r="O130" s="31">
        <v>3309</v>
      </c>
      <c r="P130" s="32">
        <v>207286</v>
      </c>
      <c r="Q130" s="31">
        <v>21387</v>
      </c>
      <c r="R130" s="31">
        <v>35008</v>
      </c>
      <c r="S130" s="32">
        <v>68874</v>
      </c>
      <c r="T130" s="31">
        <v>0</v>
      </c>
      <c r="U130" s="31">
        <v>33486</v>
      </c>
      <c r="V130" s="32">
        <v>71859</v>
      </c>
      <c r="W130" s="33">
        <v>105656</v>
      </c>
      <c r="X130" s="26">
        <f t="shared" si="76"/>
        <v>-0.62331343687510343</v>
      </c>
      <c r="Y130" s="26">
        <f t="shared" si="77"/>
        <v>9.658415090724759E-2</v>
      </c>
      <c r="Z130" s="26">
        <f t="shared" si="78"/>
        <v>0.26826480694193688</v>
      </c>
      <c r="AA130" s="26">
        <f t="shared" si="79"/>
        <v>0.21112507820616577</v>
      </c>
    </row>
    <row r="131" spans="2:27" x14ac:dyDescent="0.25">
      <c r="B131" s="29">
        <v>4519</v>
      </c>
      <c r="C131" s="22" t="s">
        <v>26</v>
      </c>
      <c r="D131" s="49" t="str">
        <f>VLOOKUP(B131,'해외 실적 기업 리스트'!$B$8:$G$242,2,FALSE)</f>
        <v>Chugai Pharmaceutical Co., Ltd.</v>
      </c>
      <c r="E131" s="22" t="s">
        <v>28</v>
      </c>
      <c r="F131" s="24">
        <v>8.2434516030490244</v>
      </c>
      <c r="G131" s="31">
        <v>139062</v>
      </c>
      <c r="H131" s="31">
        <v>187007</v>
      </c>
      <c r="I131" s="31">
        <v>99939</v>
      </c>
      <c r="J131" s="31">
        <v>96887</v>
      </c>
      <c r="K131" s="31">
        <v>149475</v>
      </c>
      <c r="L131" s="31">
        <v>98296</v>
      </c>
      <c r="M131" s="31">
        <v>112614</v>
      </c>
      <c r="N131" s="31">
        <v>106686</v>
      </c>
      <c r="O131" s="31">
        <v>121576</v>
      </c>
      <c r="P131" s="31">
        <v>99873</v>
      </c>
      <c r="Q131" s="32">
        <v>158321</v>
      </c>
      <c r="R131" s="32">
        <v>160406</v>
      </c>
      <c r="S131" s="31">
        <v>123401</v>
      </c>
      <c r="T131" s="31">
        <v>136650</v>
      </c>
      <c r="U131" s="31">
        <v>136691</v>
      </c>
      <c r="V131" s="31">
        <v>156485</v>
      </c>
      <c r="W131" s="34">
        <v>169006</v>
      </c>
      <c r="X131" s="26">
        <f t="shared" si="76"/>
        <v>6.7854118350335169E-2</v>
      </c>
      <c r="Y131" s="26">
        <f t="shared" si="77"/>
        <v>-3.7371842053429805E-2</v>
      </c>
      <c r="Z131" s="26">
        <f t="shared" si="78"/>
        <v>-7.0376273449783699E-3</v>
      </c>
      <c r="AA131" s="26">
        <f t="shared" si="79"/>
        <v>8.2434516030490235E-2</v>
      </c>
    </row>
    <row r="132" spans="2:27" x14ac:dyDescent="0.25">
      <c r="B132" s="29">
        <v>7380</v>
      </c>
      <c r="C132" s="22" t="s">
        <v>26</v>
      </c>
      <c r="D132" s="49" t="str">
        <f>VLOOKUP(B132,'해외 실적 기업 리스트'!$B$8:$G$242,2,FALSE)</f>
        <v>Juroku Financial Group,Inc.</v>
      </c>
      <c r="E132" s="22" t="s">
        <v>28</v>
      </c>
      <c r="F132" s="24">
        <v>6.0038191410169306</v>
      </c>
      <c r="G132" s="31">
        <v>7798</v>
      </c>
      <c r="H132" s="31">
        <v>3765</v>
      </c>
      <c r="I132" s="31">
        <v>8429</v>
      </c>
      <c r="J132" s="31">
        <v>7078</v>
      </c>
      <c r="K132" s="31">
        <v>5716</v>
      </c>
      <c r="L132" s="31">
        <v>5772</v>
      </c>
      <c r="M132" s="31">
        <v>7490</v>
      </c>
      <c r="N132" s="31">
        <v>6522</v>
      </c>
      <c r="O132" s="31">
        <v>6921</v>
      </c>
      <c r="P132" s="31">
        <v>6867</v>
      </c>
      <c r="Q132" s="31">
        <v>8834</v>
      </c>
      <c r="R132" s="31">
        <v>6915</v>
      </c>
      <c r="S132" s="31">
        <v>7689</v>
      </c>
      <c r="T132" s="31">
        <v>7185</v>
      </c>
      <c r="U132" s="31">
        <v>8874</v>
      </c>
      <c r="V132" s="31">
        <v>7149</v>
      </c>
      <c r="W132" s="34">
        <v>9544</v>
      </c>
      <c r="X132" s="26">
        <f t="shared" si="76"/>
        <v>1.0493317934334279E-2</v>
      </c>
      <c r="Y132" s="26">
        <f t="shared" si="77"/>
        <v>1.3062077523429139E-3</v>
      </c>
      <c r="Z132" s="26">
        <f t="shared" si="78"/>
        <v>7.631347226298768E-3</v>
      </c>
      <c r="AA132" s="26">
        <f t="shared" si="79"/>
        <v>6.0038191410169306E-2</v>
      </c>
    </row>
    <row r="133" spans="2:27" x14ac:dyDescent="0.25">
      <c r="B133" s="29">
        <v>7205</v>
      </c>
      <c r="C133" s="22" t="s">
        <v>26</v>
      </c>
      <c r="D133" s="49" t="str">
        <f>VLOOKUP(B133,'해외 실적 기업 리스트'!$B$8:$G$242,2,FALSE)</f>
        <v>Hino Motors, Ltd.</v>
      </c>
      <c r="E133" s="22" t="s">
        <v>28</v>
      </c>
      <c r="F133" s="24">
        <v>5.2065988498187998</v>
      </c>
      <c r="G133" s="31">
        <v>18021</v>
      </c>
      <c r="H133" s="31">
        <v>-16022</v>
      </c>
      <c r="I133" s="31">
        <v>4317</v>
      </c>
      <c r="J133" s="31">
        <v>12299</v>
      </c>
      <c r="K133" s="31">
        <v>9020</v>
      </c>
      <c r="L133" s="32">
        <v>-8229</v>
      </c>
      <c r="M133" s="31">
        <v>1135</v>
      </c>
      <c r="N133" s="31">
        <v>5632</v>
      </c>
      <c r="O133" s="31">
        <v>-2098</v>
      </c>
      <c r="P133" s="32">
        <v>-12772</v>
      </c>
      <c r="Q133" s="31">
        <v>6384</v>
      </c>
      <c r="R133" s="31">
        <v>17713</v>
      </c>
      <c r="S133" s="32">
        <v>20972</v>
      </c>
      <c r="T133" s="32">
        <v>12422</v>
      </c>
      <c r="U133" s="32">
        <v>16946</v>
      </c>
      <c r="V133" s="31">
        <v>21127</v>
      </c>
      <c r="W133" s="34">
        <v>24693</v>
      </c>
      <c r="X133" s="26">
        <f t="shared" si="76"/>
        <v>0.78007245254977242</v>
      </c>
      <c r="Y133" s="26">
        <f t="shared" si="77"/>
        <v>0.18371571202449077</v>
      </c>
      <c r="Z133" s="26">
        <f t="shared" si="78"/>
        <v>5.01667817730298E-2</v>
      </c>
      <c r="AA133" s="26">
        <f t="shared" si="79"/>
        <v>5.2065988498187998E-2</v>
      </c>
    </row>
    <row r="134" spans="2:27" x14ac:dyDescent="0.25">
      <c r="B134" s="29">
        <v>4373</v>
      </c>
      <c r="C134" s="22" t="s">
        <v>26</v>
      </c>
      <c r="D134" s="49" t="str">
        <f>VLOOKUP(B134,'해외 실적 기업 리스트'!$B$8:$G$242,2,FALSE)</f>
        <v>Simplex Holdings, Inc.</v>
      </c>
      <c r="E134" s="22" t="s">
        <v>28</v>
      </c>
      <c r="F134" s="24">
        <v>4.7802236945216237</v>
      </c>
      <c r="G134" s="31">
        <v>1602</v>
      </c>
      <c r="H134" s="31">
        <v>1140</v>
      </c>
      <c r="I134" s="31">
        <v>1340</v>
      </c>
      <c r="J134" s="31">
        <v>2010</v>
      </c>
      <c r="K134" s="31">
        <v>2017</v>
      </c>
      <c r="L134" s="32">
        <v>1971</v>
      </c>
      <c r="M134" s="31">
        <v>1707</v>
      </c>
      <c r="N134" s="31">
        <v>2292</v>
      </c>
      <c r="O134" s="31">
        <v>2386</v>
      </c>
      <c r="P134" s="31">
        <v>2516</v>
      </c>
      <c r="Q134" s="31">
        <v>1625</v>
      </c>
      <c r="R134" s="31">
        <v>2292</v>
      </c>
      <c r="S134" s="31">
        <v>3090</v>
      </c>
      <c r="T134" s="32">
        <v>3892</v>
      </c>
      <c r="U134" s="32">
        <v>3213</v>
      </c>
      <c r="V134" s="32">
        <v>3842</v>
      </c>
      <c r="W134" s="34">
        <v>3761</v>
      </c>
      <c r="X134" s="26">
        <f t="shared" si="76"/>
        <v>0.14449228184395668</v>
      </c>
      <c r="Y134" s="26">
        <f t="shared" si="77"/>
        <v>0.14570144049912837</v>
      </c>
      <c r="Z134" s="26">
        <f t="shared" si="78"/>
        <v>0.12412909425802843</v>
      </c>
      <c r="AA134" s="26">
        <f t="shared" si="79"/>
        <v>4.7802236945216237E-2</v>
      </c>
    </row>
    <row r="135" spans="2:27" x14ac:dyDescent="0.25">
      <c r="B135" s="29">
        <v>9044</v>
      </c>
      <c r="C135" s="22" t="s">
        <v>26</v>
      </c>
      <c r="D135" s="49" t="str">
        <f>VLOOKUP(B135,'해외 실적 기업 리스트'!$B$8:$G$242,2,FALSE)</f>
        <v>Nankai Electric Railway Co., Ltd.</v>
      </c>
      <c r="E135" s="22" t="s">
        <v>28</v>
      </c>
      <c r="F135" s="24">
        <v>4.0385473833469021</v>
      </c>
      <c r="G135" s="31">
        <v>6065</v>
      </c>
      <c r="H135" s="31">
        <v>2328</v>
      </c>
      <c r="I135" s="31">
        <v>4798</v>
      </c>
      <c r="J135" s="31">
        <v>4649</v>
      </c>
      <c r="K135" s="31">
        <v>6442</v>
      </c>
      <c r="L135" s="32">
        <v>5135</v>
      </c>
      <c r="M135" s="31">
        <v>6828</v>
      </c>
      <c r="N135" s="32">
        <v>7411</v>
      </c>
      <c r="O135" s="32">
        <v>12522</v>
      </c>
      <c r="P135" s="31">
        <v>4060</v>
      </c>
      <c r="Q135" s="31">
        <v>9877</v>
      </c>
      <c r="R135" s="31">
        <v>8380</v>
      </c>
      <c r="S135" s="31">
        <v>10950</v>
      </c>
      <c r="T135" s="31">
        <v>5449</v>
      </c>
      <c r="U135" s="31">
        <v>11296</v>
      </c>
      <c r="V135" s="31">
        <v>10388</v>
      </c>
      <c r="W135" s="34">
        <v>12488</v>
      </c>
      <c r="X135" s="26">
        <f t="shared" si="76"/>
        <v>4.1753088646406367E-2</v>
      </c>
      <c r="Y135" s="26">
        <f t="shared" si="77"/>
        <v>4.094529085872578E-2</v>
      </c>
      <c r="Z135" s="26">
        <f t="shared" si="78"/>
        <v>5.5661815661815606E-2</v>
      </c>
      <c r="AA135" s="26">
        <f t="shared" si="79"/>
        <v>4.0385473833469021E-2</v>
      </c>
    </row>
    <row r="136" spans="2:27" x14ac:dyDescent="0.25">
      <c r="B136" s="29">
        <v>6754</v>
      </c>
      <c r="C136" s="22" t="s">
        <v>26</v>
      </c>
      <c r="D136" s="49" t="str">
        <f>VLOOKUP(B136,'해외 실적 기업 리스트'!$B$8:$G$242,2,FALSE)</f>
        <v>Anritsu Corporation</v>
      </c>
      <c r="E136" s="22" t="s">
        <v>28</v>
      </c>
      <c r="F136" s="24">
        <v>3.9750815781667059</v>
      </c>
      <c r="G136" s="31">
        <v>3459</v>
      </c>
      <c r="H136" s="31">
        <v>5891</v>
      </c>
      <c r="I136" s="31">
        <v>3019</v>
      </c>
      <c r="J136" s="31">
        <v>2397</v>
      </c>
      <c r="K136" s="31">
        <v>2586</v>
      </c>
      <c r="L136" s="31">
        <v>3701</v>
      </c>
      <c r="M136" s="31">
        <v>-57</v>
      </c>
      <c r="N136" s="31">
        <v>2994</v>
      </c>
      <c r="O136" s="31">
        <v>2227</v>
      </c>
      <c r="P136" s="31">
        <v>4337</v>
      </c>
      <c r="Q136" s="31">
        <v>624</v>
      </c>
      <c r="R136" s="31">
        <v>2954</v>
      </c>
      <c r="S136" s="31">
        <v>2842</v>
      </c>
      <c r="T136" s="32">
        <v>5607</v>
      </c>
      <c r="U136" s="31">
        <v>1341</v>
      </c>
      <c r="V136" s="31">
        <v>3694</v>
      </c>
      <c r="W136" s="34">
        <v>3378</v>
      </c>
      <c r="X136" s="26">
        <f t="shared" si="76"/>
        <v>0.11806265687459327</v>
      </c>
      <c r="Y136" s="26">
        <f t="shared" si="77"/>
        <v>5.9615864305313071E-2</v>
      </c>
      <c r="Z136" s="26">
        <f t="shared" si="78"/>
        <v>5.8066541117388626E-2</v>
      </c>
      <c r="AA136" s="26">
        <f t="shared" si="79"/>
        <v>3.9750815781667059E-2</v>
      </c>
    </row>
    <row r="137" spans="2:27" x14ac:dyDescent="0.25">
      <c r="B137" s="29">
        <v>1944</v>
      </c>
      <c r="C137" s="22" t="s">
        <v>26</v>
      </c>
      <c r="D137" s="49" t="str">
        <f>VLOOKUP(B137,'해외 실적 기업 리스트'!$B$8:$G$242,2,FALSE)</f>
        <v>Kinden Corporation</v>
      </c>
      <c r="E137" s="22" t="s">
        <v>28</v>
      </c>
      <c r="F137" s="24">
        <v>2.799064894800662</v>
      </c>
      <c r="G137" s="31">
        <v>8303</v>
      </c>
      <c r="H137" s="31">
        <v>17228</v>
      </c>
      <c r="I137" s="31">
        <v>354</v>
      </c>
      <c r="J137" s="31">
        <v>6246</v>
      </c>
      <c r="K137" s="31">
        <v>6968</v>
      </c>
      <c r="L137" s="32">
        <v>23863</v>
      </c>
      <c r="M137" s="31">
        <v>869</v>
      </c>
      <c r="N137" s="31">
        <v>8267</v>
      </c>
      <c r="O137" s="32">
        <v>11485</v>
      </c>
      <c r="P137" s="31">
        <v>22057</v>
      </c>
      <c r="Q137" s="31">
        <v>1964</v>
      </c>
      <c r="R137" s="31">
        <v>10913</v>
      </c>
      <c r="S137" s="32">
        <v>17831</v>
      </c>
      <c r="T137" s="32">
        <v>30272</v>
      </c>
      <c r="U137" s="31">
        <v>7245</v>
      </c>
      <c r="V137" s="32">
        <v>24643</v>
      </c>
      <c r="W137" s="34">
        <v>20070</v>
      </c>
      <c r="X137" s="26">
        <f t="shared" si="76"/>
        <v>0.15569032502605884</v>
      </c>
      <c r="Y137" s="26">
        <f t="shared" si="77"/>
        <v>8.6602164644145718E-2</v>
      </c>
      <c r="Z137" s="26">
        <f t="shared" si="78"/>
        <v>0.20721087819380934</v>
      </c>
      <c r="AA137" s="26">
        <f t="shared" si="79"/>
        <v>2.7990648948006625E-2</v>
      </c>
    </row>
    <row r="138" spans="2:27" x14ac:dyDescent="0.25">
      <c r="B138" s="29">
        <v>6504</v>
      </c>
      <c r="C138" s="22" t="s">
        <v>26</v>
      </c>
      <c r="D138" s="49" t="str">
        <f>VLOOKUP(B138,'해외 실적 기업 리스트'!$B$8:$G$242,2,FALSE)</f>
        <v>Fuji Electric Co., Ltd.</v>
      </c>
      <c r="E138" s="22" t="s">
        <v>28</v>
      </c>
      <c r="F138" s="24">
        <v>2.3697198736372771</v>
      </c>
      <c r="G138" s="31">
        <v>16368</v>
      </c>
      <c r="H138" s="31">
        <v>41580</v>
      </c>
      <c r="I138" s="31">
        <v>9873</v>
      </c>
      <c r="J138" s="31">
        <v>16847</v>
      </c>
      <c r="K138" s="31">
        <v>15716</v>
      </c>
      <c r="L138" s="31">
        <v>45979</v>
      </c>
      <c r="M138" s="31">
        <v>14664</v>
      </c>
      <c r="N138" s="31">
        <v>20331</v>
      </c>
      <c r="O138" s="31">
        <v>22663</v>
      </c>
      <c r="P138" s="31">
        <v>48012</v>
      </c>
      <c r="Q138" s="31">
        <v>17254</v>
      </c>
      <c r="R138" s="31">
        <v>23083</v>
      </c>
      <c r="S138" s="31">
        <v>28095</v>
      </c>
      <c r="T138" s="31">
        <v>49115</v>
      </c>
      <c r="U138" s="31">
        <v>17777</v>
      </c>
      <c r="V138" s="31">
        <v>24352</v>
      </c>
      <c r="W138" s="34">
        <v>30923</v>
      </c>
      <c r="X138" s="26">
        <f t="shared" si="76"/>
        <v>9.4723643983374295E-3</v>
      </c>
      <c r="Y138" s="26">
        <f t="shared" si="77"/>
        <v>4.4492841161407615E-3</v>
      </c>
      <c r="Z138" s="26">
        <f t="shared" si="78"/>
        <v>1.0747861438130002E-2</v>
      </c>
      <c r="AA138" s="26">
        <f t="shared" si="79"/>
        <v>2.3697198736372771E-2</v>
      </c>
    </row>
    <row r="139" spans="2:27" x14ac:dyDescent="0.25">
      <c r="B139" s="29">
        <v>4307</v>
      </c>
      <c r="C139" s="22" t="s">
        <v>26</v>
      </c>
      <c r="D139" s="49" t="str">
        <f>VLOOKUP(B139,'해외 실적 기업 리스트'!$B$8:$G$242,2,FALSE)</f>
        <v>Nomura Research Institute, Ltd.</v>
      </c>
      <c r="E139" s="22" t="s">
        <v>28</v>
      </c>
      <c r="F139" s="24">
        <v>2.3444311246730631</v>
      </c>
      <c r="G139" s="31">
        <v>27290</v>
      </c>
      <c r="H139" s="31">
        <v>21453</v>
      </c>
      <c r="I139" s="31">
        <v>27992</v>
      </c>
      <c r="J139" s="31">
        <v>27139</v>
      </c>
      <c r="K139" s="31">
        <v>28403</v>
      </c>
      <c r="L139" s="31">
        <v>26044</v>
      </c>
      <c r="M139" s="31">
        <v>26880</v>
      </c>
      <c r="N139" s="31">
        <v>31696</v>
      </c>
      <c r="O139" s="31">
        <v>32043</v>
      </c>
      <c r="P139" s="31">
        <v>28318</v>
      </c>
      <c r="Q139" s="31">
        <v>32491</v>
      </c>
      <c r="R139" s="31">
        <v>32815</v>
      </c>
      <c r="S139" s="31">
        <v>36288</v>
      </c>
      <c r="T139" s="31">
        <v>32235</v>
      </c>
      <c r="U139" s="31">
        <v>36962</v>
      </c>
      <c r="V139" s="31">
        <v>41331</v>
      </c>
      <c r="W139" s="34">
        <v>39730</v>
      </c>
      <c r="X139" s="26">
        <f t="shared" si="76"/>
        <v>3.0151179259806593E-2</v>
      </c>
      <c r="Y139" s="26">
        <f t="shared" si="77"/>
        <v>3.340830462754707E-2</v>
      </c>
      <c r="Z139" s="26">
        <f t="shared" si="78"/>
        <v>6.1576283441793223E-2</v>
      </c>
      <c r="AA139" s="26">
        <f t="shared" si="79"/>
        <v>2.3444311246730631E-2</v>
      </c>
    </row>
    <row r="140" spans="2:27" x14ac:dyDescent="0.25">
      <c r="B140" s="29">
        <v>4290</v>
      </c>
      <c r="C140" s="22" t="s">
        <v>26</v>
      </c>
      <c r="D140" s="49" t="str">
        <f>VLOOKUP(B140,'해외 실적 기업 리스트'!$B$8:$G$242,2,FALSE)</f>
        <v>Prestige International Inc.</v>
      </c>
      <c r="E140" s="22" t="s">
        <v>28</v>
      </c>
      <c r="F140" s="24">
        <v>2.0774315391879128</v>
      </c>
      <c r="G140" s="31">
        <v>1860</v>
      </c>
      <c r="H140" s="31">
        <v>1918</v>
      </c>
      <c r="I140" s="31">
        <v>1886</v>
      </c>
      <c r="J140" s="31">
        <v>1953</v>
      </c>
      <c r="K140" s="31">
        <v>2202</v>
      </c>
      <c r="L140" s="31">
        <v>1788</v>
      </c>
      <c r="M140" s="31">
        <v>1890</v>
      </c>
      <c r="N140" s="31">
        <v>1968</v>
      </c>
      <c r="O140" s="31">
        <v>1996</v>
      </c>
      <c r="P140" s="31">
        <v>2067</v>
      </c>
      <c r="Q140" s="31">
        <v>1730</v>
      </c>
      <c r="R140" s="31">
        <v>2000</v>
      </c>
      <c r="S140" s="31">
        <v>2249</v>
      </c>
      <c r="T140" s="31">
        <v>1967</v>
      </c>
      <c r="U140" s="31">
        <v>1935</v>
      </c>
      <c r="V140" s="31">
        <v>2321</v>
      </c>
      <c r="W140" s="34">
        <v>2425</v>
      </c>
      <c r="X140" s="26">
        <f t="shared" si="76"/>
        <v>-1.2428535918468819E-2</v>
      </c>
      <c r="Y140" s="26">
        <f t="shared" si="77"/>
        <v>2.5799144223508597E-2</v>
      </c>
      <c r="Z140" s="26">
        <f t="shared" si="78"/>
        <v>3.9381670960618287E-2</v>
      </c>
      <c r="AA140" s="26">
        <f t="shared" si="79"/>
        <v>2.0774315391879128E-2</v>
      </c>
    </row>
    <row r="141" spans="2:27" x14ac:dyDescent="0.25">
      <c r="B141" s="29">
        <v>6861</v>
      </c>
      <c r="C141" s="22" t="s">
        <v>26</v>
      </c>
      <c r="D141" s="49" t="str">
        <f>VLOOKUP(B141,'해외 실적 기업 리스트'!$B$8:$G$242,2,FALSE)</f>
        <v>Keyence Corporation</v>
      </c>
      <c r="E141" s="22" t="s">
        <v>182</v>
      </c>
      <c r="F141" s="24">
        <v>1.9950142565023481</v>
      </c>
      <c r="G141" s="31">
        <v>110316</v>
      </c>
      <c r="H141" s="31">
        <v>110316</v>
      </c>
      <c r="I141" s="31">
        <v>102814</v>
      </c>
      <c r="J141" s="31">
        <v>138670</v>
      </c>
      <c r="K141" s="31">
        <v>127548</v>
      </c>
      <c r="L141" s="31">
        <v>129884</v>
      </c>
      <c r="M141" s="31">
        <v>111277</v>
      </c>
      <c r="N141" s="31">
        <v>126389</v>
      </c>
      <c r="O141" s="31">
        <v>121850</v>
      </c>
      <c r="P141" s="31">
        <v>135500</v>
      </c>
      <c r="Q141" s="31">
        <v>123406</v>
      </c>
      <c r="R141" s="31">
        <v>140559</v>
      </c>
      <c r="S141" s="31">
        <v>133070</v>
      </c>
      <c r="T141" s="31">
        <v>152741</v>
      </c>
      <c r="U141" s="31">
        <v>129301</v>
      </c>
      <c r="V141" s="31">
        <v>142879</v>
      </c>
      <c r="W141" s="34">
        <v>144202</v>
      </c>
      <c r="X141" s="26">
        <f t="shared" si="76"/>
        <v>3.2375336832320967E-2</v>
      </c>
      <c r="Y141" s="26">
        <f t="shared" si="77"/>
        <v>1.0722548819882993E-2</v>
      </c>
      <c r="Z141" s="26">
        <f t="shared" si="78"/>
        <v>4.1751324074856822E-3</v>
      </c>
      <c r="AA141" s="26">
        <f t="shared" si="79"/>
        <v>1.9950142565023476E-2</v>
      </c>
    </row>
    <row r="142" spans="2:27" x14ac:dyDescent="0.25">
      <c r="B142" s="29">
        <v>5333</v>
      </c>
      <c r="C142" s="22" t="s">
        <v>26</v>
      </c>
      <c r="D142" s="49" t="str">
        <f>VLOOKUP(B142,'해외 실적 기업 리스트'!$B$8:$G$242,2,FALSE)</f>
        <v>NGK Insulators, Ltd.</v>
      </c>
      <c r="E142" s="22" t="s">
        <v>28</v>
      </c>
      <c r="F142" s="24">
        <v>1.8359646955779629</v>
      </c>
      <c r="G142" s="31">
        <v>18618</v>
      </c>
      <c r="H142" s="31">
        <v>18984</v>
      </c>
      <c r="I142" s="31">
        <v>20635</v>
      </c>
      <c r="J142" s="31">
        <v>18174</v>
      </c>
      <c r="K142" s="31">
        <v>18781</v>
      </c>
      <c r="L142" s="31">
        <v>8433</v>
      </c>
      <c r="M142" s="31">
        <v>18561</v>
      </c>
      <c r="N142" s="31">
        <v>13925</v>
      </c>
      <c r="O142" s="31">
        <v>17832</v>
      </c>
      <c r="P142" s="32">
        <v>15297</v>
      </c>
      <c r="Q142" s="31">
        <v>17658</v>
      </c>
      <c r="R142" s="32">
        <v>22043</v>
      </c>
      <c r="S142" s="31">
        <v>22712</v>
      </c>
      <c r="T142" s="31">
        <v>17641</v>
      </c>
      <c r="U142" s="31">
        <v>23783</v>
      </c>
      <c r="V142" s="31">
        <v>24918</v>
      </c>
      <c r="W142" s="34">
        <v>24347</v>
      </c>
      <c r="X142" s="26">
        <f t="shared" si="76"/>
        <v>3.0163428130227876E-2</v>
      </c>
      <c r="Y142" s="26">
        <f t="shared" si="77"/>
        <v>7.6510855172758463E-2</v>
      </c>
      <c r="Z142" s="26">
        <f t="shared" si="78"/>
        <v>3.336079555344118E-2</v>
      </c>
      <c r="AA142" s="26">
        <f t="shared" si="79"/>
        <v>1.8359646955779629E-2</v>
      </c>
    </row>
    <row r="143" spans="2:27" x14ac:dyDescent="0.25">
      <c r="B143" s="29">
        <v>9766</v>
      </c>
      <c r="C143" s="22" t="s">
        <v>26</v>
      </c>
      <c r="D143" s="49" t="str">
        <f>VLOOKUP(B143,'해외 실적 기업 리스트'!$B$8:$G$242,2,FALSE)</f>
        <v>Konami Group Corporation</v>
      </c>
      <c r="E143" s="22" t="s">
        <v>28</v>
      </c>
      <c r="F143" s="24">
        <v>1.3226349165264659</v>
      </c>
      <c r="G143" s="31">
        <v>21201</v>
      </c>
      <c r="H143" s="31">
        <v>14124</v>
      </c>
      <c r="I143" s="31">
        <v>14040</v>
      </c>
      <c r="J143" s="31">
        <v>11356</v>
      </c>
      <c r="K143" s="31">
        <v>12127</v>
      </c>
      <c r="L143" s="31">
        <v>8662</v>
      </c>
      <c r="M143" s="31">
        <v>17151</v>
      </c>
      <c r="N143" s="32">
        <v>18292</v>
      </c>
      <c r="O143" s="32">
        <v>24165</v>
      </c>
      <c r="P143" s="32">
        <v>20654</v>
      </c>
      <c r="Q143" s="31">
        <v>25149</v>
      </c>
      <c r="R143" s="31">
        <v>24695</v>
      </c>
      <c r="S143" s="32">
        <v>36920</v>
      </c>
      <c r="T143" s="31">
        <v>14717</v>
      </c>
      <c r="U143" s="31">
        <v>27732</v>
      </c>
      <c r="V143" s="32">
        <v>36536</v>
      </c>
      <c r="W143" s="34">
        <v>38453</v>
      </c>
      <c r="X143" s="26">
        <f t="shared" si="76"/>
        <v>-5.5270066469306767E-2</v>
      </c>
      <c r="Y143" s="26">
        <f t="shared" si="77"/>
        <v>2.5453040470629906E-2</v>
      </c>
      <c r="Z143" s="26">
        <f t="shared" si="78"/>
        <v>0.11378574723247237</v>
      </c>
      <c r="AA143" s="26">
        <f t="shared" si="79"/>
        <v>1.3226349165264661E-2</v>
      </c>
    </row>
    <row r="144" spans="2:27" hidden="1" x14ac:dyDescent="0.25">
      <c r="B144" s="22" t="s">
        <v>200</v>
      </c>
      <c r="C144" s="22" t="s">
        <v>23</v>
      </c>
      <c r="D144" s="22" t="s">
        <v>201</v>
      </c>
      <c r="E144" s="22" t="s">
        <v>34</v>
      </c>
      <c r="F144" s="22">
        <v>0.40834845735027159</v>
      </c>
      <c r="G144" s="22">
        <v>266</v>
      </c>
      <c r="H144" s="22">
        <v>293</v>
      </c>
      <c r="I144" s="22">
        <v>307</v>
      </c>
      <c r="J144" s="22">
        <v>331</v>
      </c>
      <c r="K144" s="22">
        <v>316</v>
      </c>
      <c r="L144" s="22">
        <v>321</v>
      </c>
      <c r="M144" s="22">
        <v>334</v>
      </c>
      <c r="N144" s="22">
        <v>372</v>
      </c>
      <c r="O144" s="22">
        <v>389</v>
      </c>
      <c r="P144" s="23">
        <v>563</v>
      </c>
      <c r="Q144" s="23">
        <v>545</v>
      </c>
      <c r="R144" s="23">
        <v>562</v>
      </c>
      <c r="S144" s="22">
        <v>552</v>
      </c>
      <c r="T144" s="22">
        <v>554</v>
      </c>
      <c r="U144" s="22">
        <v>555</v>
      </c>
      <c r="V144" s="22">
        <v>543</v>
      </c>
      <c r="W144" s="22">
        <v>561</v>
      </c>
    </row>
    <row r="145" spans="2:27" x14ac:dyDescent="0.25">
      <c r="B145" s="29">
        <v>6345</v>
      </c>
      <c r="C145" s="22" t="s">
        <v>26</v>
      </c>
      <c r="D145" s="49" t="str">
        <f>VLOOKUP(B145,'해외 실적 기업 리스트'!$B$8:$G$242,2,FALSE)</f>
        <v>Aichi Corporation</v>
      </c>
      <c r="E145" s="22" t="s">
        <v>28</v>
      </c>
      <c r="F145" s="24">
        <v>0.94702676642015593</v>
      </c>
      <c r="G145" s="31">
        <v>1582</v>
      </c>
      <c r="H145" s="31">
        <v>2678</v>
      </c>
      <c r="I145" s="31">
        <v>702</v>
      </c>
      <c r="J145" s="31">
        <v>1752</v>
      </c>
      <c r="K145" s="31">
        <v>1128</v>
      </c>
      <c r="L145" s="32">
        <v>3769</v>
      </c>
      <c r="M145" s="31">
        <v>729</v>
      </c>
      <c r="N145" s="31">
        <v>1814</v>
      </c>
      <c r="O145" s="31">
        <v>1566</v>
      </c>
      <c r="P145" s="31">
        <v>2233</v>
      </c>
      <c r="Q145" s="31">
        <v>985.04</v>
      </c>
      <c r="R145" s="31">
        <v>1773</v>
      </c>
      <c r="S145" s="31">
        <v>1506</v>
      </c>
      <c r="T145" s="32">
        <v>3176</v>
      </c>
      <c r="U145" s="31">
        <v>295.18</v>
      </c>
      <c r="V145" s="31">
        <v>1992</v>
      </c>
      <c r="W145" s="34">
        <v>1572</v>
      </c>
      <c r="X145" s="26">
        <f t="shared" ref="X145:X151" si="80">SUM(Q145:T145)/SUM(P145:S145)-1</f>
        <v>0.14514301897479465</v>
      </c>
      <c r="Y145" s="26">
        <f t="shared" ref="Y145:Y151" si="81">SUM(R145:U145)/SUM(Q145:T145)-1</f>
        <v>-9.2722619770861381E-2</v>
      </c>
      <c r="Z145" s="26">
        <f t="shared" ref="Z145:Z151" si="82">SUM(S145:V145)/SUM(R145:U145)-1</f>
        <v>3.2443579282330326E-2</v>
      </c>
      <c r="AA145" s="26">
        <f t="shared" ref="AA145:AA151" si="83">SUM(T145:W145)/SUM(S145:V145)-1</f>
        <v>9.4702676642015593E-3</v>
      </c>
    </row>
    <row r="146" spans="2:27" x14ac:dyDescent="0.25">
      <c r="B146" s="29">
        <v>9436</v>
      </c>
      <c r="C146" s="22" t="s">
        <v>26</v>
      </c>
      <c r="D146" s="49" t="str">
        <f>VLOOKUP(B146,'해외 실적 기업 리스트'!$B$8:$G$242,2,FALSE)</f>
        <v>Okinawa Cellular Telephone Company</v>
      </c>
      <c r="E146" s="22" t="s">
        <v>28</v>
      </c>
      <c r="F146" s="24">
        <v>0.9224687019547595</v>
      </c>
      <c r="G146" s="31">
        <v>4221</v>
      </c>
      <c r="H146" s="31">
        <v>1580</v>
      </c>
      <c r="I146" s="31">
        <v>4595</v>
      </c>
      <c r="J146" s="31">
        <v>4191</v>
      </c>
      <c r="K146" s="31">
        <v>4252</v>
      </c>
      <c r="L146" s="31">
        <v>2894</v>
      </c>
      <c r="M146" s="31">
        <v>4523</v>
      </c>
      <c r="N146" s="31">
        <v>4762</v>
      </c>
      <c r="O146" s="31">
        <v>4388</v>
      </c>
      <c r="P146" s="31">
        <v>3341</v>
      </c>
      <c r="Q146" s="31">
        <v>4371</v>
      </c>
      <c r="R146" s="31">
        <v>4530</v>
      </c>
      <c r="S146" s="31">
        <v>4832</v>
      </c>
      <c r="T146" s="31">
        <v>4029</v>
      </c>
      <c r="U146" s="31">
        <v>4644</v>
      </c>
      <c r="V146" s="31">
        <v>4707</v>
      </c>
      <c r="W146" s="34">
        <v>5000</v>
      </c>
      <c r="X146" s="26">
        <f t="shared" si="80"/>
        <v>4.0295185662410749E-2</v>
      </c>
      <c r="Y146" s="26">
        <f t="shared" si="81"/>
        <v>1.5369890778065498E-2</v>
      </c>
      <c r="Z146" s="26">
        <f t="shared" si="82"/>
        <v>9.8142500693096935E-3</v>
      </c>
      <c r="AA146" s="26">
        <f t="shared" si="83"/>
        <v>9.224687019547595E-3</v>
      </c>
    </row>
    <row r="147" spans="2:27" x14ac:dyDescent="0.25">
      <c r="B147" s="29">
        <v>4661</v>
      </c>
      <c r="C147" s="22" t="s">
        <v>26</v>
      </c>
      <c r="D147" s="49" t="str">
        <f>VLOOKUP(B147,'해외 실적 기업 리스트'!$B$8:$G$242,2,FALSE)</f>
        <v>Oriental Land Co., Ltd.</v>
      </c>
      <c r="E147" s="22" t="s">
        <v>28</v>
      </c>
      <c r="F147" s="24">
        <v>0.77389419494682254</v>
      </c>
      <c r="G147" s="31">
        <v>17504</v>
      </c>
      <c r="H147" s="31">
        <v>9241</v>
      </c>
      <c r="I147" s="31">
        <v>17064</v>
      </c>
      <c r="J147" s="31">
        <v>20930</v>
      </c>
      <c r="K147" s="32">
        <v>47659</v>
      </c>
      <c r="L147" s="32">
        <v>25548</v>
      </c>
      <c r="M147" s="32">
        <v>38680</v>
      </c>
      <c r="N147" s="32">
        <v>38392</v>
      </c>
      <c r="O147" s="32">
        <v>64596</v>
      </c>
      <c r="P147" s="31">
        <v>23770</v>
      </c>
      <c r="Q147" s="31">
        <v>33336</v>
      </c>
      <c r="R147" s="31">
        <v>29863</v>
      </c>
      <c r="S147" s="31">
        <v>71801</v>
      </c>
      <c r="T147" s="31">
        <v>37112</v>
      </c>
      <c r="U147" s="31">
        <v>38768</v>
      </c>
      <c r="V147" s="31">
        <v>29475</v>
      </c>
      <c r="W147" s="34">
        <v>73172</v>
      </c>
      <c r="X147" s="26">
        <f t="shared" si="80"/>
        <v>8.4033507589595047E-2</v>
      </c>
      <c r="Y147" s="26">
        <f t="shared" si="81"/>
        <v>3.1560844101515384E-2</v>
      </c>
      <c r="Z147" s="26">
        <f t="shared" si="82"/>
        <v>-2.1853737665029627E-3</v>
      </c>
      <c r="AA147" s="26">
        <f t="shared" si="83"/>
        <v>7.7389419494682254E-3</v>
      </c>
    </row>
    <row r="148" spans="2:27" x14ac:dyDescent="0.25">
      <c r="B148" s="29">
        <v>8421</v>
      </c>
      <c r="C148" s="22" t="s">
        <v>26</v>
      </c>
      <c r="D148" s="49" t="str">
        <f>VLOOKUP(B148,'해외 실적 기업 리스트'!$B$8:$G$242,2,FALSE)</f>
        <v>Shinkin Central Bank</v>
      </c>
      <c r="E148" s="22" t="s">
        <v>28</v>
      </c>
      <c r="F148" s="24">
        <v>0.69731448883445513</v>
      </c>
      <c r="G148" s="31">
        <v>7196</v>
      </c>
      <c r="H148" s="31">
        <v>6492</v>
      </c>
      <c r="I148" s="31">
        <v>21451</v>
      </c>
      <c r="J148" s="31">
        <v>13675</v>
      </c>
      <c r="K148" s="31">
        <v>2905</v>
      </c>
      <c r="L148" s="31">
        <v>-2382</v>
      </c>
      <c r="M148" s="31">
        <v>12294</v>
      </c>
      <c r="N148" s="31">
        <v>10752</v>
      </c>
      <c r="O148" s="32">
        <v>7637</v>
      </c>
      <c r="P148" s="32">
        <v>13395</v>
      </c>
      <c r="Q148" s="32">
        <v>19155</v>
      </c>
      <c r="R148" s="31">
        <v>10241</v>
      </c>
      <c r="S148" s="32">
        <v>17080</v>
      </c>
      <c r="T148" s="31">
        <v>11830</v>
      </c>
      <c r="U148" s="31">
        <v>14535</v>
      </c>
      <c r="V148" s="31">
        <v>15352</v>
      </c>
      <c r="W148" s="34">
        <v>17490</v>
      </c>
      <c r="X148" s="26">
        <f t="shared" si="80"/>
        <v>-2.6139533329992859E-2</v>
      </c>
      <c r="Y148" s="26">
        <f t="shared" si="81"/>
        <v>-7.9237128254382005E-2</v>
      </c>
      <c r="Z148" s="26">
        <f t="shared" si="82"/>
        <v>9.5201728569831889E-2</v>
      </c>
      <c r="AA148" s="26">
        <f t="shared" si="83"/>
        <v>6.9731448883445513E-3</v>
      </c>
    </row>
    <row r="149" spans="2:27" x14ac:dyDescent="0.25">
      <c r="B149" s="29">
        <v>7947</v>
      </c>
      <c r="C149" s="22" t="s">
        <v>26</v>
      </c>
      <c r="D149" s="49" t="str">
        <f>VLOOKUP(B149,'해외 실적 기업 리스트'!$B$8:$G$242,2,FALSE)</f>
        <v>FP Corporation</v>
      </c>
      <c r="E149" s="22" t="s">
        <v>28</v>
      </c>
      <c r="F149" s="24">
        <v>0.27235161532681568</v>
      </c>
      <c r="G149" s="31">
        <v>5417</v>
      </c>
      <c r="H149" s="31">
        <v>1900</v>
      </c>
      <c r="I149" s="31">
        <v>2765</v>
      </c>
      <c r="J149" s="31">
        <v>3309</v>
      </c>
      <c r="K149" s="32">
        <v>8100</v>
      </c>
      <c r="L149" s="31">
        <v>2511</v>
      </c>
      <c r="M149" s="31">
        <v>2981</v>
      </c>
      <c r="N149" s="31">
        <v>4001</v>
      </c>
      <c r="O149" s="31">
        <v>6544</v>
      </c>
      <c r="P149" s="31">
        <v>2885</v>
      </c>
      <c r="Q149" s="31">
        <v>2191</v>
      </c>
      <c r="R149" s="31">
        <v>4282</v>
      </c>
      <c r="S149" s="32">
        <v>8440</v>
      </c>
      <c r="T149" s="31">
        <v>3559</v>
      </c>
      <c r="U149" s="31">
        <v>3930</v>
      </c>
      <c r="V149" s="31">
        <v>5367</v>
      </c>
      <c r="W149" s="34">
        <v>8498</v>
      </c>
      <c r="X149" s="26">
        <f t="shared" si="80"/>
        <v>3.7869423530733748E-2</v>
      </c>
      <c r="Y149" s="26">
        <f t="shared" si="81"/>
        <v>9.4142485924642694E-2</v>
      </c>
      <c r="Z149" s="26">
        <f t="shared" si="82"/>
        <v>5.3683637623076486E-2</v>
      </c>
      <c r="AA149" s="26">
        <f t="shared" si="83"/>
        <v>2.7235161532681573E-3</v>
      </c>
    </row>
    <row r="150" spans="2:27" x14ac:dyDescent="0.25">
      <c r="B150" s="29">
        <v>4502</v>
      </c>
      <c r="C150" s="22" t="s">
        <v>26</v>
      </c>
      <c r="D150" s="49" t="str">
        <f>VLOOKUP(B150,'해외 실적 기업 리스트'!$B$8:$G$242,2,FALSE)</f>
        <v>Takeda Pharmaceutical Company Limited</v>
      </c>
      <c r="E150" s="22" t="s">
        <v>28</v>
      </c>
      <c r="F150" s="24">
        <v>-0.82319867328086715</v>
      </c>
      <c r="G150" s="31">
        <v>116485</v>
      </c>
      <c r="H150" s="31">
        <v>78497</v>
      </c>
      <c r="I150" s="31">
        <v>164754</v>
      </c>
      <c r="J150" s="31">
        <v>104437</v>
      </c>
      <c r="K150" s="31">
        <v>146990</v>
      </c>
      <c r="L150" s="32">
        <v>137283</v>
      </c>
      <c r="M150" s="31">
        <v>174771</v>
      </c>
      <c r="N150" s="31">
        <v>-143746</v>
      </c>
      <c r="O150" s="32">
        <v>312418</v>
      </c>
      <c r="P150" s="31">
        <v>156032</v>
      </c>
      <c r="Q150" s="31">
        <v>190528</v>
      </c>
      <c r="R150" s="32">
        <v>243338</v>
      </c>
      <c r="S150" s="31">
        <v>69879</v>
      </c>
      <c r="T150" s="31">
        <v>123018</v>
      </c>
      <c r="U150" s="31">
        <v>186865</v>
      </c>
      <c r="V150" s="31">
        <v>170166</v>
      </c>
      <c r="W150" s="34">
        <v>65352</v>
      </c>
      <c r="X150" s="26">
        <f t="shared" si="80"/>
        <v>-5.0038118940187393E-2</v>
      </c>
      <c r="Y150" s="26">
        <f t="shared" si="81"/>
        <v>-5.8443143580587664E-3</v>
      </c>
      <c r="Z150" s="26">
        <f t="shared" si="82"/>
        <v>-0.11743219386936288</v>
      </c>
      <c r="AA150" s="26">
        <f t="shared" si="83"/>
        <v>-8.2319867328086715E-3</v>
      </c>
    </row>
    <row r="151" spans="2:27" x14ac:dyDescent="0.25">
      <c r="B151" s="29">
        <v>4204</v>
      </c>
      <c r="C151" s="22" t="s">
        <v>26</v>
      </c>
      <c r="D151" s="49" t="str">
        <f>VLOOKUP(B151,'해외 실적 기업 리스트'!$B$8:$G$242,2,FALSE)</f>
        <v>Sekisui Chemical Co., Ltd.</v>
      </c>
      <c r="E151" s="22" t="s">
        <v>28</v>
      </c>
      <c r="F151" s="24">
        <v>-1.128232563027221</v>
      </c>
      <c r="G151" s="31">
        <v>21934</v>
      </c>
      <c r="H151" s="31">
        <v>31425</v>
      </c>
      <c r="I151" s="31">
        <v>13845</v>
      </c>
      <c r="J151" s="31">
        <v>26500</v>
      </c>
      <c r="K151" s="31">
        <v>22122</v>
      </c>
      <c r="L151" s="31">
        <v>29199</v>
      </c>
      <c r="M151" s="31">
        <v>15287</v>
      </c>
      <c r="N151" s="31">
        <v>25868</v>
      </c>
      <c r="O151" s="31">
        <v>24679</v>
      </c>
      <c r="P151" s="31">
        <v>28566</v>
      </c>
      <c r="Q151" s="31">
        <v>20198</v>
      </c>
      <c r="R151" s="31">
        <v>28525</v>
      </c>
      <c r="S151" s="31">
        <v>28637</v>
      </c>
      <c r="T151" s="31">
        <v>30592</v>
      </c>
      <c r="U151" s="31">
        <v>21220</v>
      </c>
      <c r="V151" s="31">
        <v>24228</v>
      </c>
      <c r="W151" s="34">
        <v>27456</v>
      </c>
      <c r="X151" s="26">
        <f t="shared" si="80"/>
        <v>1.91265600513566E-2</v>
      </c>
      <c r="Y151" s="26">
        <f t="shared" si="81"/>
        <v>9.4671705943383255E-3</v>
      </c>
      <c r="Z151" s="26">
        <f t="shared" si="82"/>
        <v>-3.9431424009396698E-2</v>
      </c>
      <c r="AA151" s="26">
        <f t="shared" si="83"/>
        <v>-1.1282325630272205E-2</v>
      </c>
    </row>
    <row r="152" spans="2:27" hidden="1" x14ac:dyDescent="0.25">
      <c r="B152" s="22" t="s">
        <v>210</v>
      </c>
      <c r="C152" s="22" t="s">
        <v>26</v>
      </c>
      <c r="D152" s="22" t="s">
        <v>27</v>
      </c>
      <c r="E152" s="22" t="s">
        <v>34</v>
      </c>
      <c r="F152" s="22">
        <v>1.724009439821139</v>
      </c>
      <c r="G152" s="22">
        <v>10617</v>
      </c>
      <c r="H152" s="22">
        <v>4789</v>
      </c>
      <c r="I152" s="22">
        <v>16342</v>
      </c>
      <c r="J152" s="22">
        <v>4881</v>
      </c>
      <c r="K152" s="23">
        <v>16615</v>
      </c>
      <c r="L152" s="23">
        <v>13931</v>
      </c>
      <c r="M152" s="22">
        <v>20881</v>
      </c>
      <c r="N152" s="22">
        <v>8671</v>
      </c>
      <c r="O152" s="22">
        <v>19062</v>
      </c>
      <c r="P152" s="22">
        <v>13420</v>
      </c>
      <c r="Q152" s="22">
        <v>24208</v>
      </c>
      <c r="R152" s="22">
        <v>9932</v>
      </c>
      <c r="S152" s="22">
        <v>22382</v>
      </c>
      <c r="T152" s="22">
        <v>18654</v>
      </c>
      <c r="U152" s="22">
        <v>29548</v>
      </c>
      <c r="V152" s="22">
        <v>9926</v>
      </c>
      <c r="W152" s="22">
        <v>23770</v>
      </c>
    </row>
    <row r="153" spans="2:27" x14ac:dyDescent="0.25">
      <c r="B153" s="29">
        <v>7751</v>
      </c>
      <c r="C153" s="22" t="s">
        <v>26</v>
      </c>
      <c r="D153" s="49" t="str">
        <f>VLOOKUP(B153,'해외 실적 기업 리스트'!$B$8:$G$242,2,FALSE)</f>
        <v>Canon Inc.</v>
      </c>
      <c r="E153" s="22" t="s">
        <v>28</v>
      </c>
      <c r="F153" s="24">
        <v>-1.756936923720809</v>
      </c>
      <c r="G153" s="31">
        <v>81021</v>
      </c>
      <c r="H153" s="31">
        <v>81992</v>
      </c>
      <c r="I153" s="31">
        <v>105220</v>
      </c>
      <c r="J153" s="31">
        <v>87498</v>
      </c>
      <c r="K153" s="31">
        <v>104630</v>
      </c>
      <c r="L153" s="31">
        <v>87441</v>
      </c>
      <c r="M153" s="31">
        <v>95176</v>
      </c>
      <c r="N153" s="31">
        <v>85592</v>
      </c>
      <c r="O153" s="31">
        <v>118258</v>
      </c>
      <c r="P153" s="31">
        <v>80083</v>
      </c>
      <c r="Q153" s="31">
        <v>118391</v>
      </c>
      <c r="R153" s="31">
        <v>98164</v>
      </c>
      <c r="S153" s="32">
        <v>161179</v>
      </c>
      <c r="T153" s="31">
        <v>96517</v>
      </c>
      <c r="U153" s="31">
        <v>117791</v>
      </c>
      <c r="V153" s="31">
        <v>88047</v>
      </c>
      <c r="W153" s="34">
        <v>153035</v>
      </c>
      <c r="X153" s="26">
        <f t="shared" ref="X153:X162" si="84">SUM(Q153:T153)/SUM(P153:S153)-1</f>
        <v>3.5896438970156153E-2</v>
      </c>
      <c r="Y153" s="26">
        <f t="shared" ref="Y153:Y162" si="85">SUM(R153:U153)/SUM(Q153:T153)-1</f>
        <v>-1.2651528410061452E-3</v>
      </c>
      <c r="Z153" s="26">
        <f t="shared" ref="Z153:Z162" si="86">SUM(S153:V153)/SUM(R153:U153)-1</f>
        <v>-2.1359608657006923E-2</v>
      </c>
      <c r="AA153" s="26">
        <f t="shared" ref="AA153:AA162" si="87">SUM(T153:W153)/SUM(S153:V153)-1</f>
        <v>-1.7569369237208088E-2</v>
      </c>
    </row>
    <row r="154" spans="2:27" x14ac:dyDescent="0.25">
      <c r="B154" s="29">
        <v>9505</v>
      </c>
      <c r="C154" s="22" t="s">
        <v>26</v>
      </c>
      <c r="D154" s="49" t="str">
        <f>VLOOKUP(B154,'해외 실적 기업 리스트'!$B$8:$G$242,2,FALSE)</f>
        <v>Hokuriku Electric Power Company</v>
      </c>
      <c r="E154" s="22" t="s">
        <v>28</v>
      </c>
      <c r="F154" s="24">
        <v>-2.453439756746489</v>
      </c>
      <c r="G154" s="31">
        <v>-15423</v>
      </c>
      <c r="H154" s="31">
        <v>-12461</v>
      </c>
      <c r="I154" s="31">
        <v>-12214</v>
      </c>
      <c r="J154" s="31">
        <v>-24969</v>
      </c>
      <c r="K154" s="32">
        <v>-30068</v>
      </c>
      <c r="L154" s="31">
        <v>-6540</v>
      </c>
      <c r="M154" s="31">
        <v>41859</v>
      </c>
      <c r="N154" s="31">
        <v>33154</v>
      </c>
      <c r="O154" s="32">
        <v>15497</v>
      </c>
      <c r="P154" s="32">
        <v>24401</v>
      </c>
      <c r="Q154" s="31">
        <v>35993</v>
      </c>
      <c r="R154" s="31">
        <v>26347</v>
      </c>
      <c r="S154" s="31">
        <v>16121</v>
      </c>
      <c r="T154" s="31">
        <v>22573</v>
      </c>
      <c r="U154" s="31">
        <v>36273</v>
      </c>
      <c r="V154" s="31">
        <v>30273</v>
      </c>
      <c r="W154" s="34">
        <v>13539</v>
      </c>
      <c r="X154" s="26">
        <f t="shared" si="84"/>
        <v>-1.7771383018024167E-2</v>
      </c>
      <c r="Y154" s="26">
        <f t="shared" si="85"/>
        <v>2.7713442999386384E-3</v>
      </c>
      <c r="Z154" s="26">
        <f t="shared" si="86"/>
        <v>3.8750814300096748E-2</v>
      </c>
      <c r="AA154" s="26">
        <f t="shared" si="87"/>
        <v>-2.4534397567464894E-2</v>
      </c>
    </row>
    <row r="155" spans="2:27" x14ac:dyDescent="0.25">
      <c r="B155" s="29">
        <v>6701</v>
      </c>
      <c r="C155" s="22" t="s">
        <v>26</v>
      </c>
      <c r="D155" s="49" t="str">
        <f>VLOOKUP(B155,'해외 실적 기업 리스트'!$B$8:$G$242,2,FALSE)</f>
        <v>NEC Corporation</v>
      </c>
      <c r="E155" s="22" t="s">
        <v>28</v>
      </c>
      <c r="F155" s="24">
        <v>-4.5045917656958423</v>
      </c>
      <c r="G155" s="31">
        <v>24057</v>
      </c>
      <c r="H155" s="31">
        <v>85263</v>
      </c>
      <c r="I155" s="31">
        <v>-15341</v>
      </c>
      <c r="J155" s="31">
        <v>29208</v>
      </c>
      <c r="K155" s="32">
        <v>43232</v>
      </c>
      <c r="L155" s="32">
        <v>113348</v>
      </c>
      <c r="M155" s="31">
        <v>-8125</v>
      </c>
      <c r="N155" s="31">
        <v>36120</v>
      </c>
      <c r="O155" s="31">
        <v>41820</v>
      </c>
      <c r="P155" s="31">
        <v>118197</v>
      </c>
      <c r="Q155" s="31">
        <v>4540</v>
      </c>
      <c r="R155" s="31">
        <v>40153</v>
      </c>
      <c r="S155" s="32">
        <v>81473</v>
      </c>
      <c r="T155" s="31">
        <v>130331</v>
      </c>
      <c r="U155" s="32">
        <v>35389</v>
      </c>
      <c r="V155" s="32">
        <v>83181</v>
      </c>
      <c r="W155" s="34">
        <v>66591</v>
      </c>
      <c r="X155" s="26">
        <f t="shared" si="84"/>
        <v>4.9655635263931019E-2</v>
      </c>
      <c r="Y155" s="26">
        <f t="shared" si="85"/>
        <v>0.1202704125194447</v>
      </c>
      <c r="Z155" s="26">
        <f t="shared" si="86"/>
        <v>0.14974281876204998</v>
      </c>
      <c r="AA155" s="26">
        <f t="shared" si="87"/>
        <v>-4.5045917656958423E-2</v>
      </c>
    </row>
    <row r="156" spans="2:27" x14ac:dyDescent="0.25">
      <c r="B156" s="29">
        <v>7148</v>
      </c>
      <c r="C156" s="22" t="s">
        <v>26</v>
      </c>
      <c r="D156" s="49" t="str">
        <f>VLOOKUP(B156,'해외 실적 기업 리스트'!$B$8:$G$242,2,FALSE)</f>
        <v>Financial Partners Group Co.,Ltd.</v>
      </c>
      <c r="E156" s="22" t="s">
        <v>28</v>
      </c>
      <c r="F156" s="24">
        <v>-5.1850977615169764</v>
      </c>
      <c r="G156" s="31">
        <v>3406</v>
      </c>
      <c r="H156" s="31">
        <v>2769</v>
      </c>
      <c r="I156" s="31">
        <v>3660</v>
      </c>
      <c r="J156" s="31">
        <v>1911</v>
      </c>
      <c r="K156" s="32">
        <v>7093</v>
      </c>
      <c r="L156" s="31">
        <v>4236</v>
      </c>
      <c r="M156" s="31">
        <v>4065</v>
      </c>
      <c r="N156" s="31">
        <v>2745</v>
      </c>
      <c r="O156" s="31">
        <v>8310</v>
      </c>
      <c r="P156" s="32">
        <v>7368</v>
      </c>
      <c r="Q156" s="32">
        <v>7415</v>
      </c>
      <c r="R156" s="32">
        <v>5528</v>
      </c>
      <c r="S156" s="31">
        <v>7681</v>
      </c>
      <c r="T156" s="31">
        <v>7441</v>
      </c>
      <c r="U156" s="31">
        <v>3926</v>
      </c>
      <c r="V156" s="31">
        <v>6371</v>
      </c>
      <c r="W156" s="34">
        <v>6363</v>
      </c>
      <c r="X156" s="26">
        <f t="shared" si="84"/>
        <v>2.6078879679909406E-3</v>
      </c>
      <c r="Y156" s="26">
        <f t="shared" si="85"/>
        <v>-0.12431854623196148</v>
      </c>
      <c r="Z156" s="26">
        <f t="shared" si="86"/>
        <v>3.43017578125E-2</v>
      </c>
      <c r="AA156" s="26">
        <f t="shared" si="87"/>
        <v>-5.1850977615169769E-2</v>
      </c>
    </row>
    <row r="157" spans="2:27" x14ac:dyDescent="0.25">
      <c r="B157" s="29">
        <v>6586</v>
      </c>
      <c r="C157" s="22" t="s">
        <v>26</v>
      </c>
      <c r="D157" s="49" t="str">
        <f>VLOOKUP(B157,'해외 실적 기업 리스트'!$B$8:$G$242,2,FALSE)</f>
        <v>Makita Corporation</v>
      </c>
      <c r="E157" s="22" t="s">
        <v>28</v>
      </c>
      <c r="F157" s="24">
        <v>-5.7580821329549341</v>
      </c>
      <c r="G157" s="31">
        <v>21073</v>
      </c>
      <c r="H157" s="31">
        <v>18495</v>
      </c>
      <c r="I157" s="31">
        <v>15228</v>
      </c>
      <c r="J157" s="31">
        <v>6691</v>
      </c>
      <c r="K157" s="31">
        <v>5239</v>
      </c>
      <c r="L157" s="31">
        <v>1088</v>
      </c>
      <c r="M157" s="31">
        <v>16311</v>
      </c>
      <c r="N157" s="32">
        <v>15449</v>
      </c>
      <c r="O157" s="32">
        <v>16289</v>
      </c>
      <c r="P157" s="32">
        <v>18120</v>
      </c>
      <c r="Q157" s="31">
        <v>21344</v>
      </c>
      <c r="R157" s="32">
        <v>30071</v>
      </c>
      <c r="S157" s="32">
        <v>30919</v>
      </c>
      <c r="T157" s="31">
        <v>24704</v>
      </c>
      <c r="U157" s="31">
        <v>26069</v>
      </c>
      <c r="V157" s="31">
        <v>25427</v>
      </c>
      <c r="W157" s="34">
        <v>24751</v>
      </c>
      <c r="X157" s="26">
        <f t="shared" si="84"/>
        <v>6.5542437334501269E-2</v>
      </c>
      <c r="Y157" s="26">
        <f t="shared" si="85"/>
        <v>4.4143201479848182E-2</v>
      </c>
      <c r="Z157" s="26">
        <f t="shared" si="86"/>
        <v>-4.1552213165358842E-2</v>
      </c>
      <c r="AA157" s="26">
        <f t="shared" si="87"/>
        <v>-5.7580821329549337E-2</v>
      </c>
    </row>
    <row r="158" spans="2:27" x14ac:dyDescent="0.25">
      <c r="B158" s="29">
        <v>4956</v>
      </c>
      <c r="C158" s="22" t="s">
        <v>26</v>
      </c>
      <c r="D158" s="49" t="str">
        <f>VLOOKUP(B158,'해외 실적 기업 리스트'!$B$8:$G$242,2,FALSE)</f>
        <v>Konishi Co., Ltd.</v>
      </c>
      <c r="E158" s="22" t="s">
        <v>28</v>
      </c>
      <c r="F158" s="24">
        <v>-6.2692901234567948</v>
      </c>
      <c r="G158" s="31">
        <v>2062</v>
      </c>
      <c r="H158" s="31">
        <v>1799</v>
      </c>
      <c r="I158" s="31">
        <v>1251</v>
      </c>
      <c r="J158" s="31">
        <v>1624</v>
      </c>
      <c r="K158" s="31">
        <v>2281</v>
      </c>
      <c r="L158" s="31">
        <v>2227</v>
      </c>
      <c r="M158" s="32">
        <v>2191</v>
      </c>
      <c r="N158" s="32">
        <v>2725</v>
      </c>
      <c r="O158" s="32">
        <v>3288</v>
      </c>
      <c r="P158" s="31">
        <v>2037</v>
      </c>
      <c r="Q158" s="31">
        <v>2116</v>
      </c>
      <c r="R158" s="31">
        <v>2758</v>
      </c>
      <c r="S158" s="31">
        <v>3613</v>
      </c>
      <c r="T158" s="31">
        <v>2133</v>
      </c>
      <c r="U158" s="31">
        <v>2107</v>
      </c>
      <c r="V158" s="31">
        <v>2515</v>
      </c>
      <c r="W158" s="34">
        <v>2963</v>
      </c>
      <c r="X158" s="26">
        <f t="shared" si="84"/>
        <v>9.1220068415052147E-3</v>
      </c>
      <c r="Y158" s="26">
        <f t="shared" si="85"/>
        <v>-8.4745762711868622E-4</v>
      </c>
      <c r="Z158" s="26">
        <f t="shared" si="86"/>
        <v>-2.2900763358778664E-2</v>
      </c>
      <c r="AA158" s="26">
        <f t="shared" si="87"/>
        <v>-6.2692901234567944E-2</v>
      </c>
    </row>
    <row r="159" spans="2:27" x14ac:dyDescent="0.25">
      <c r="B159" s="29">
        <v>6923</v>
      </c>
      <c r="C159" s="22" t="s">
        <v>26</v>
      </c>
      <c r="D159" s="49" t="str">
        <f>VLOOKUP(B159,'해외 실적 기업 리스트'!$B$8:$G$242,2,FALSE)</f>
        <v>Stanley Electric Co., Ltd.</v>
      </c>
      <c r="E159" s="22" t="s">
        <v>28</v>
      </c>
      <c r="F159" s="24">
        <v>-7.5224264020385734</v>
      </c>
      <c r="G159" s="31">
        <v>8425</v>
      </c>
      <c r="H159" s="31">
        <v>6340</v>
      </c>
      <c r="I159" s="31">
        <v>2839</v>
      </c>
      <c r="J159" s="31">
        <v>11787</v>
      </c>
      <c r="K159" s="31">
        <v>6283</v>
      </c>
      <c r="L159" s="32">
        <v>13760</v>
      </c>
      <c r="M159" s="31">
        <v>3666</v>
      </c>
      <c r="N159" s="31">
        <v>10412</v>
      </c>
      <c r="O159" s="32">
        <v>13337</v>
      </c>
      <c r="P159" s="31">
        <v>8420</v>
      </c>
      <c r="Q159" s="32">
        <v>9536</v>
      </c>
      <c r="R159" s="31">
        <v>9662</v>
      </c>
      <c r="S159" s="31">
        <v>13753</v>
      </c>
      <c r="T159" s="32">
        <v>16053</v>
      </c>
      <c r="U159" s="31">
        <v>8608</v>
      </c>
      <c r="V159" s="31">
        <v>9855</v>
      </c>
      <c r="W159" s="34">
        <v>10122</v>
      </c>
      <c r="X159" s="26">
        <f t="shared" si="84"/>
        <v>0.18450122066181618</v>
      </c>
      <c r="Y159" s="26">
        <f t="shared" si="85"/>
        <v>-1.893722961390909E-2</v>
      </c>
      <c r="Z159" s="26">
        <f t="shared" si="86"/>
        <v>4.0144770779599881E-3</v>
      </c>
      <c r="AA159" s="26">
        <f t="shared" si="87"/>
        <v>-7.5224264020385734E-2</v>
      </c>
    </row>
    <row r="160" spans="2:27" x14ac:dyDescent="0.25">
      <c r="B160" s="29">
        <v>5471</v>
      </c>
      <c r="C160" s="22" t="s">
        <v>26</v>
      </c>
      <c r="D160" s="49" t="str">
        <f>VLOOKUP(B160,'해외 실적 기업 리스트'!$B$8:$G$242,2,FALSE)</f>
        <v>Daido Steel Co., Ltd.</v>
      </c>
      <c r="E160" s="22" t="s">
        <v>28</v>
      </c>
      <c r="F160" s="24">
        <v>-7.6093661328924922</v>
      </c>
      <c r="G160" s="31">
        <v>9758</v>
      </c>
      <c r="H160" s="31">
        <v>8068</v>
      </c>
      <c r="I160" s="31">
        <v>10191</v>
      </c>
      <c r="J160" s="31">
        <v>13035</v>
      </c>
      <c r="K160" s="32">
        <v>14430</v>
      </c>
      <c r="L160" s="31">
        <v>9331</v>
      </c>
      <c r="M160" s="31">
        <v>7980</v>
      </c>
      <c r="N160" s="31">
        <v>11024</v>
      </c>
      <c r="O160" s="31">
        <v>14048</v>
      </c>
      <c r="P160" s="31">
        <v>3569</v>
      </c>
      <c r="Q160" s="31">
        <v>10068</v>
      </c>
      <c r="R160" s="31">
        <v>8192</v>
      </c>
      <c r="S160" s="31">
        <v>15811</v>
      </c>
      <c r="T160" s="31">
        <v>6253</v>
      </c>
      <c r="U160" s="31">
        <v>8659</v>
      </c>
      <c r="V160" s="31">
        <v>9806</v>
      </c>
      <c r="W160" s="34">
        <v>12727</v>
      </c>
      <c r="X160" s="26">
        <f t="shared" si="84"/>
        <v>7.130712008501594E-2</v>
      </c>
      <c r="Y160" s="26">
        <f t="shared" si="85"/>
        <v>-3.4941970042654535E-2</v>
      </c>
      <c r="Z160" s="26">
        <f t="shared" si="86"/>
        <v>4.147500963638695E-2</v>
      </c>
      <c r="AA160" s="26">
        <f t="shared" si="87"/>
        <v>-7.6093661328924922E-2</v>
      </c>
    </row>
    <row r="161" spans="2:27" x14ac:dyDescent="0.25">
      <c r="B161" s="29">
        <v>6305</v>
      </c>
      <c r="C161" s="22" t="s">
        <v>26</v>
      </c>
      <c r="D161" s="49" t="str">
        <f>VLOOKUP(B161,'해외 실적 기업 리스트'!$B$8:$G$242,2,FALSE)</f>
        <v>Hitachi Construction Machinery Co., Ltd.</v>
      </c>
      <c r="E161" s="22" t="s">
        <v>28</v>
      </c>
      <c r="F161" s="24">
        <v>-9.5820907083930429</v>
      </c>
      <c r="G161" s="31">
        <v>23283</v>
      </c>
      <c r="H161" s="31">
        <v>42281</v>
      </c>
      <c r="I161" s="31">
        <v>21791</v>
      </c>
      <c r="J161" s="31">
        <v>31471</v>
      </c>
      <c r="K161" s="31">
        <v>34152</v>
      </c>
      <c r="L161" s="31">
        <v>49976</v>
      </c>
      <c r="M161" s="32">
        <v>38150</v>
      </c>
      <c r="N161" s="31">
        <v>44693</v>
      </c>
      <c r="O161" s="31">
        <v>38878</v>
      </c>
      <c r="P161" s="31">
        <v>0</v>
      </c>
      <c r="Q161" s="31">
        <v>32815</v>
      </c>
      <c r="R161" s="31">
        <v>37974</v>
      </c>
      <c r="S161" s="31">
        <v>45288</v>
      </c>
      <c r="T161" s="32">
        <v>41914</v>
      </c>
      <c r="U161" s="31">
        <v>22081</v>
      </c>
      <c r="V161" s="31">
        <v>45631</v>
      </c>
      <c r="W161" s="34">
        <v>30444</v>
      </c>
      <c r="X161" s="26">
        <f t="shared" si="84"/>
        <v>0.36108789855010026</v>
      </c>
      <c r="Y161" s="26">
        <f t="shared" si="85"/>
        <v>-6.7940578893734505E-2</v>
      </c>
      <c r="Z161" s="26">
        <f t="shared" si="86"/>
        <v>5.1997528131090487E-2</v>
      </c>
      <c r="AA161" s="26">
        <f t="shared" si="87"/>
        <v>-9.5820907083930429E-2</v>
      </c>
    </row>
    <row r="162" spans="2:27" x14ac:dyDescent="0.25">
      <c r="B162" s="29">
        <v>3593</v>
      </c>
      <c r="C162" s="22" t="s">
        <v>26</v>
      </c>
      <c r="D162" s="49" t="str">
        <f>VLOOKUP(B162,'해외 실적 기업 리스트'!$B$8:$G$242,2,FALSE)</f>
        <v>Hogy Medical Co.,Ltd.</v>
      </c>
      <c r="E162" s="22" t="s">
        <v>28</v>
      </c>
      <c r="F162" s="24">
        <v>-17.130405631914179</v>
      </c>
      <c r="G162" s="31">
        <v>1814</v>
      </c>
      <c r="H162" s="31">
        <v>1334</v>
      </c>
      <c r="I162" s="31">
        <v>1858</v>
      </c>
      <c r="J162" s="31">
        <v>1328</v>
      </c>
      <c r="K162" s="31">
        <v>1878</v>
      </c>
      <c r="L162" s="31">
        <v>1571</v>
      </c>
      <c r="M162" s="31">
        <v>1303</v>
      </c>
      <c r="N162" s="31">
        <v>1073</v>
      </c>
      <c r="O162" s="31">
        <v>1111</v>
      </c>
      <c r="P162" s="31">
        <v>682</v>
      </c>
      <c r="Q162" s="31">
        <v>1337</v>
      </c>
      <c r="R162" s="31">
        <v>586</v>
      </c>
      <c r="S162" s="31">
        <v>1322</v>
      </c>
      <c r="T162" s="31">
        <v>383</v>
      </c>
      <c r="U162" s="31">
        <v>951</v>
      </c>
      <c r="V162" s="31">
        <v>327</v>
      </c>
      <c r="W162" s="34">
        <v>811</v>
      </c>
      <c r="X162" s="26">
        <f t="shared" si="84"/>
        <v>-7.6139546727782004E-2</v>
      </c>
      <c r="Y162" s="26">
        <f t="shared" si="85"/>
        <v>-0.10639470782800442</v>
      </c>
      <c r="Z162" s="26">
        <f t="shared" si="86"/>
        <v>-7.9888957433682961E-2</v>
      </c>
      <c r="AA162" s="26">
        <f t="shared" si="87"/>
        <v>-0.17130405631914181</v>
      </c>
    </row>
    <row r="163" spans="2:27" hidden="1" x14ac:dyDescent="0.25">
      <c r="B163" s="22" t="s">
        <v>221</v>
      </c>
      <c r="C163" s="22" t="s">
        <v>30</v>
      </c>
      <c r="D163" s="22" t="s">
        <v>27</v>
      </c>
      <c r="E163" s="22" t="s">
        <v>34</v>
      </c>
      <c r="F163" s="22">
        <v>7.3576950105411099</v>
      </c>
      <c r="G163" s="22">
        <v>884.1</v>
      </c>
      <c r="H163" s="22">
        <v>748.1</v>
      </c>
      <c r="I163" s="22">
        <v>991.4</v>
      </c>
      <c r="J163" s="22">
        <v>760.6</v>
      </c>
      <c r="K163" s="22">
        <v>1161</v>
      </c>
      <c r="L163" s="22">
        <v>821.4</v>
      </c>
      <c r="M163" s="22">
        <v>1293</v>
      </c>
      <c r="N163" s="22">
        <v>981.6</v>
      </c>
      <c r="O163" s="23">
        <v>1625</v>
      </c>
      <c r="P163" s="23">
        <v>1437</v>
      </c>
      <c r="Q163" s="22">
        <v>1326</v>
      </c>
      <c r="R163" s="23">
        <v>1934</v>
      </c>
      <c r="S163" s="23">
        <v>3604</v>
      </c>
      <c r="T163" s="23">
        <v>3159</v>
      </c>
      <c r="U163" s="23">
        <v>3570</v>
      </c>
      <c r="V163" s="23">
        <v>3897</v>
      </c>
      <c r="W163" s="22">
        <v>4651</v>
      </c>
    </row>
    <row r="164" spans="2:27" hidden="1" x14ac:dyDescent="0.25">
      <c r="B164" s="22" t="s">
        <v>222</v>
      </c>
      <c r="C164" s="22" t="s">
        <v>26</v>
      </c>
      <c r="D164" s="22" t="s">
        <v>27</v>
      </c>
      <c r="E164" s="22" t="s">
        <v>34</v>
      </c>
      <c r="F164" s="22">
        <v>-1.116975573830858</v>
      </c>
      <c r="G164" s="22">
        <v>3448</v>
      </c>
      <c r="H164" s="22">
        <v>987</v>
      </c>
      <c r="I164" s="22">
        <v>1012</v>
      </c>
      <c r="J164" s="22">
        <v>-394</v>
      </c>
      <c r="K164" s="22">
        <v>715</v>
      </c>
      <c r="L164" s="22">
        <v>1041</v>
      </c>
      <c r="M164" s="23">
        <v>3665</v>
      </c>
      <c r="N164" s="23">
        <v>354</v>
      </c>
      <c r="O164" s="23">
        <v>2742</v>
      </c>
      <c r="P164" s="23">
        <v>2168</v>
      </c>
      <c r="Q164" s="22">
        <v>3471</v>
      </c>
      <c r="R164" s="23">
        <v>2485</v>
      </c>
      <c r="S164" s="22">
        <v>2317</v>
      </c>
      <c r="T164" s="23">
        <v>3284</v>
      </c>
      <c r="U164" s="22">
        <v>1599</v>
      </c>
      <c r="V164" s="22">
        <v>947</v>
      </c>
      <c r="W164" s="22">
        <v>2226</v>
      </c>
    </row>
    <row r="165" spans="2:27" hidden="1" x14ac:dyDescent="0.25">
      <c r="B165" s="22" t="s">
        <v>223</v>
      </c>
      <c r="C165" s="22" t="s">
        <v>30</v>
      </c>
      <c r="D165" s="22" t="s">
        <v>27</v>
      </c>
      <c r="E165" s="22" t="s">
        <v>34</v>
      </c>
      <c r="F165" s="22">
        <v>2.636151989373503</v>
      </c>
      <c r="G165" s="22">
        <v>43726</v>
      </c>
      <c r="H165" s="22">
        <v>35807</v>
      </c>
      <c r="I165" s="22">
        <v>33156</v>
      </c>
      <c r="J165" s="22">
        <v>34281</v>
      </c>
      <c r="K165" s="22">
        <v>38930</v>
      </c>
      <c r="L165" s="22">
        <v>38166</v>
      </c>
      <c r="M165" s="22">
        <v>38592</v>
      </c>
      <c r="N165" s="22">
        <v>37699</v>
      </c>
      <c r="O165" s="22">
        <v>49155</v>
      </c>
      <c r="P165" s="22">
        <v>41389</v>
      </c>
      <c r="Q165" s="22">
        <v>52676</v>
      </c>
      <c r="R165" s="22">
        <v>48769</v>
      </c>
      <c r="S165" s="22">
        <v>51236</v>
      </c>
      <c r="T165" s="22">
        <v>52403</v>
      </c>
      <c r="U165" s="22">
        <v>55321</v>
      </c>
      <c r="V165" s="22">
        <v>51081</v>
      </c>
      <c r="W165" s="22">
        <v>56773</v>
      </c>
    </row>
    <row r="166" spans="2:27" x14ac:dyDescent="0.25">
      <c r="B166" s="29" t="s">
        <v>251</v>
      </c>
      <c r="C166" s="22" t="s">
        <v>30</v>
      </c>
      <c r="D166" s="49" t="str">
        <f>VLOOKUP(B166,'해외 실적 기업 리스트'!$B$8:$G$242,2,FALSE)</f>
        <v>Prestige Estates Projects Limited</v>
      </c>
      <c r="E166" s="22" t="s">
        <v>28</v>
      </c>
      <c r="F166" s="24">
        <v>8.1999766382431893</v>
      </c>
      <c r="G166" s="31">
        <v>2907</v>
      </c>
      <c r="H166" s="31">
        <v>2742</v>
      </c>
      <c r="I166" s="31">
        <v>3149</v>
      </c>
      <c r="J166" s="31">
        <v>2060</v>
      </c>
      <c r="K166" s="32">
        <v>4044</v>
      </c>
      <c r="L166" s="32">
        <v>5173</v>
      </c>
      <c r="M166" s="31">
        <v>3612</v>
      </c>
      <c r="N166" s="32">
        <v>4184</v>
      </c>
      <c r="O166" s="31">
        <v>3718</v>
      </c>
      <c r="P166" s="31">
        <v>6526</v>
      </c>
      <c r="Q166" s="32">
        <v>6058</v>
      </c>
      <c r="R166" s="32">
        <v>7127</v>
      </c>
      <c r="S166" s="31">
        <v>4288</v>
      </c>
      <c r="T166" s="31">
        <v>3432</v>
      </c>
      <c r="U166" s="31">
        <v>6776</v>
      </c>
      <c r="V166" s="32">
        <v>11187</v>
      </c>
      <c r="W166" s="34">
        <v>6394</v>
      </c>
      <c r="X166" s="26">
        <f t="shared" ref="X166:X175" si="88">SUM(Q166:T166)/SUM(P166:S166)-1</f>
        <v>-0.12892203841826744</v>
      </c>
      <c r="Y166" s="26">
        <f t="shared" ref="Y166:Y175" si="89">SUM(R166:U166)/SUM(Q166:T166)-1</f>
        <v>3.4345850275053769E-2</v>
      </c>
      <c r="Z166" s="26">
        <f t="shared" ref="Z166:Z175" si="90">SUM(S166:V166)/SUM(R166:U166)-1</f>
        <v>0.18776303010683071</v>
      </c>
      <c r="AA166" s="26">
        <f t="shared" ref="AA166:AA175" si="91">SUM(T166:W166)/SUM(S166:V166)-1</f>
        <v>8.1999766382431893E-2</v>
      </c>
    </row>
    <row r="167" spans="2:27" x14ac:dyDescent="0.25">
      <c r="B167" s="29" t="s">
        <v>252</v>
      </c>
      <c r="C167" s="22" t="s">
        <v>30</v>
      </c>
      <c r="D167" s="49" t="str">
        <f>VLOOKUP(B167,'해외 실적 기업 리스트'!$B$8:$G$242,2,FALSE)</f>
        <v>Canara Bank</v>
      </c>
      <c r="E167" s="22" t="s">
        <v>28</v>
      </c>
      <c r="F167" s="24">
        <v>5.5355681484798414</v>
      </c>
      <c r="G167" s="31">
        <v>24224</v>
      </c>
      <c r="H167" s="31">
        <v>29307</v>
      </c>
      <c r="I167" s="31">
        <v>30960</v>
      </c>
      <c r="J167" s="31">
        <v>34870</v>
      </c>
      <c r="K167" s="32">
        <v>40209</v>
      </c>
      <c r="L167" s="32">
        <v>43595</v>
      </c>
      <c r="M167" s="32">
        <v>51142</v>
      </c>
      <c r="N167" s="32">
        <v>52495</v>
      </c>
      <c r="O167" s="31">
        <v>50969</v>
      </c>
      <c r="P167" s="31">
        <v>-596.52</v>
      </c>
      <c r="Q167" s="31">
        <v>55431</v>
      </c>
      <c r="R167" s="31">
        <v>56389</v>
      </c>
      <c r="S167" s="31">
        <v>56092</v>
      </c>
      <c r="T167" s="31">
        <v>9007</v>
      </c>
      <c r="U167" s="31">
        <v>65378</v>
      </c>
      <c r="V167" s="31">
        <v>63812</v>
      </c>
      <c r="W167" s="34">
        <v>66847</v>
      </c>
      <c r="X167" s="26">
        <f t="shared" si="88"/>
        <v>5.7397677728324936E-2</v>
      </c>
      <c r="Y167" s="26">
        <f t="shared" si="89"/>
        <v>5.6223469497340695E-2</v>
      </c>
      <c r="Z167" s="26">
        <f t="shared" si="90"/>
        <v>3.9723652242783514E-2</v>
      </c>
      <c r="AA167" s="26">
        <f t="shared" si="91"/>
        <v>5.5355681484798414E-2</v>
      </c>
    </row>
    <row r="168" spans="2:27" x14ac:dyDescent="0.25">
      <c r="B168" s="29" t="s">
        <v>56</v>
      </c>
      <c r="C168" s="22" t="s">
        <v>30</v>
      </c>
      <c r="D168" s="49" t="str">
        <f>VLOOKUP(B168,'해외 실적 기업 리스트'!$B$8:$G$242,2,FALSE)</f>
        <v>Container Corporation of India Limited</v>
      </c>
      <c r="E168" s="22" t="s">
        <v>28</v>
      </c>
      <c r="F168" s="24">
        <v>5.3415697674418672</v>
      </c>
      <c r="G168" s="31">
        <v>3212</v>
      </c>
      <c r="H168" s="31">
        <v>3205</v>
      </c>
      <c r="I168" s="31">
        <v>3415</v>
      </c>
      <c r="J168" s="31">
        <v>3670</v>
      </c>
      <c r="K168" s="31">
        <v>2905</v>
      </c>
      <c r="L168" s="31">
        <v>3591</v>
      </c>
      <c r="M168" s="31">
        <v>2537</v>
      </c>
      <c r="N168" s="31">
        <v>3934</v>
      </c>
      <c r="O168" s="31">
        <v>3586</v>
      </c>
      <c r="P168" s="31">
        <v>3497</v>
      </c>
      <c r="Q168" s="31">
        <v>2722</v>
      </c>
      <c r="R168" s="31">
        <v>4157</v>
      </c>
      <c r="S168" s="31">
        <v>3795</v>
      </c>
      <c r="T168" s="31">
        <v>2970</v>
      </c>
      <c r="U168" s="31">
        <v>2711</v>
      </c>
      <c r="V168" s="31">
        <v>4284</v>
      </c>
      <c r="W168" s="34">
        <v>4530</v>
      </c>
      <c r="X168" s="26">
        <f t="shared" si="88"/>
        <v>-3.7188624655987601E-2</v>
      </c>
      <c r="Y168" s="26">
        <f t="shared" si="89"/>
        <v>-8.0621518616241783E-4</v>
      </c>
      <c r="Z168" s="26">
        <f t="shared" si="90"/>
        <v>9.3156311890265631E-3</v>
      </c>
      <c r="AA168" s="26">
        <f t="shared" si="91"/>
        <v>5.3415697674418672E-2</v>
      </c>
    </row>
    <row r="169" spans="2:27" x14ac:dyDescent="0.25">
      <c r="B169" s="29" t="s">
        <v>206</v>
      </c>
      <c r="C169" s="22" t="s">
        <v>30</v>
      </c>
      <c r="D169" s="49" t="str">
        <f>VLOOKUP(B169,'해외 실적 기업 리스트'!$B$8:$G$242,2,FALSE)</f>
        <v>Voltas Limited</v>
      </c>
      <c r="E169" s="22" t="s">
        <v>28</v>
      </c>
      <c r="F169" s="24">
        <v>3.4432981498894182</v>
      </c>
      <c r="G169" s="31">
        <v>1459</v>
      </c>
      <c r="H169" s="31">
        <v>2771</v>
      </c>
      <c r="I169" s="31">
        <v>1685</v>
      </c>
      <c r="J169" s="31">
        <v>911.4</v>
      </c>
      <c r="K169" s="31">
        <v>653.20000000000005</v>
      </c>
      <c r="L169" s="31">
        <v>2343</v>
      </c>
      <c r="M169" s="31">
        <v>1741</v>
      </c>
      <c r="N169" s="31">
        <v>585.9</v>
      </c>
      <c r="O169" s="31">
        <v>155.80000000000001</v>
      </c>
      <c r="P169" s="31">
        <v>2061</v>
      </c>
      <c r="Q169" s="32">
        <v>4104</v>
      </c>
      <c r="R169" s="32">
        <v>1458</v>
      </c>
      <c r="S169" s="32">
        <v>1795</v>
      </c>
      <c r="T169" s="32">
        <v>3695</v>
      </c>
      <c r="U169" s="31">
        <v>1601</v>
      </c>
      <c r="V169" s="31">
        <v>459.9</v>
      </c>
      <c r="W169" s="34">
        <v>2055</v>
      </c>
      <c r="X169" s="26">
        <f t="shared" si="88"/>
        <v>0.17349755786791254</v>
      </c>
      <c r="Y169" s="26">
        <f t="shared" si="89"/>
        <v>-0.22647484618168656</v>
      </c>
      <c r="Z169" s="26">
        <f t="shared" si="90"/>
        <v>-0.11675049713416774</v>
      </c>
      <c r="AA169" s="26">
        <f t="shared" si="91"/>
        <v>3.4432981498894177E-2</v>
      </c>
    </row>
    <row r="170" spans="2:27" x14ac:dyDescent="0.25">
      <c r="B170" s="29" t="s">
        <v>49</v>
      </c>
      <c r="C170" s="22" t="s">
        <v>30</v>
      </c>
      <c r="D170" s="49" t="str">
        <f>VLOOKUP(B170,'해외 실적 기업 리스트'!$B$8:$G$242,2,FALSE)</f>
        <v>JSW Holdings Limited</v>
      </c>
      <c r="E170" s="22" t="s">
        <v>28</v>
      </c>
      <c r="F170" s="24">
        <v>1.981057366403749</v>
      </c>
      <c r="G170" s="31">
        <v>149.09</v>
      </c>
      <c r="H170" s="31">
        <v>181.65</v>
      </c>
      <c r="I170" s="31">
        <v>175.48</v>
      </c>
      <c r="J170" s="31">
        <v>3354</v>
      </c>
      <c r="K170" s="31">
        <v>247.37</v>
      </c>
      <c r="L170" s="31">
        <v>232.17</v>
      </c>
      <c r="M170" s="31">
        <v>231.96</v>
      </c>
      <c r="N170" s="31">
        <v>861.33</v>
      </c>
      <c r="O170" s="31">
        <v>245.84</v>
      </c>
      <c r="P170" s="31">
        <v>235.77</v>
      </c>
      <c r="Q170" s="31">
        <v>240.34</v>
      </c>
      <c r="R170" s="32">
        <v>1585</v>
      </c>
      <c r="S170" s="31">
        <v>259.48</v>
      </c>
      <c r="T170" s="31">
        <v>255.96</v>
      </c>
      <c r="U170" s="31">
        <v>263.45999999999998</v>
      </c>
      <c r="V170" s="31">
        <v>799.55</v>
      </c>
      <c r="W170" s="34">
        <v>290.75</v>
      </c>
      <c r="X170" s="26">
        <f t="shared" si="88"/>
        <v>8.7003736118829167E-3</v>
      </c>
      <c r="Y170" s="26">
        <f t="shared" si="89"/>
        <v>9.8770495304985051E-3</v>
      </c>
      <c r="Z170" s="26">
        <f t="shared" si="90"/>
        <v>-0.33226870849020684</v>
      </c>
      <c r="AA170" s="26">
        <f t="shared" si="91"/>
        <v>1.9810573664037268E-2</v>
      </c>
    </row>
    <row r="171" spans="2:27" x14ac:dyDescent="0.25">
      <c r="B171" s="29" t="s">
        <v>212</v>
      </c>
      <c r="C171" s="22" t="s">
        <v>30</v>
      </c>
      <c r="D171" s="49" t="str">
        <f>VLOOKUP(B171,'해외 실적 기업 리스트'!$B$8:$G$242,2,FALSE)</f>
        <v>Coromandel International Limited</v>
      </c>
      <c r="E171" s="22" t="s">
        <v>28</v>
      </c>
      <c r="F171" s="24">
        <v>7.5412073113789724E-2</v>
      </c>
      <c r="G171" s="31">
        <v>5020</v>
      </c>
      <c r="H171" s="31">
        <v>4022</v>
      </c>
      <c r="I171" s="31">
        <v>6408</v>
      </c>
      <c r="J171" s="31">
        <v>10112</v>
      </c>
      <c r="K171" s="31">
        <v>7335</v>
      </c>
      <c r="L171" s="31">
        <v>5250</v>
      </c>
      <c r="M171" s="31">
        <v>6611</v>
      </c>
      <c r="N171" s="31">
        <v>10048</v>
      </c>
      <c r="O171" s="31">
        <v>2943</v>
      </c>
      <c r="P171" s="31">
        <v>2557</v>
      </c>
      <c r="Q171" s="31">
        <v>4405</v>
      </c>
      <c r="R171" s="31">
        <v>9058</v>
      </c>
      <c r="S171" s="32">
        <v>6510</v>
      </c>
      <c r="T171" s="31">
        <v>4274</v>
      </c>
      <c r="U171" s="31">
        <v>6615</v>
      </c>
      <c r="V171" s="31">
        <v>10448</v>
      </c>
      <c r="W171" s="34">
        <v>6531</v>
      </c>
      <c r="X171" s="26">
        <f t="shared" si="88"/>
        <v>7.6209498446515811E-2</v>
      </c>
      <c r="Y171" s="26">
        <f t="shared" si="89"/>
        <v>9.1145296325318537E-2</v>
      </c>
      <c r="Z171" s="26">
        <f t="shared" si="90"/>
        <v>5.2538080659182862E-2</v>
      </c>
      <c r="AA171" s="26">
        <f t="shared" si="91"/>
        <v>7.5412073113789724E-4</v>
      </c>
    </row>
    <row r="172" spans="2:27" x14ac:dyDescent="0.25">
      <c r="B172" s="29" t="s">
        <v>106</v>
      </c>
      <c r="C172" s="22" t="s">
        <v>30</v>
      </c>
      <c r="D172" s="49" t="str">
        <f>VLOOKUP(B172,'해외 실적 기업 리스트'!$B$8:$G$242,2,FALSE)</f>
        <v>Equitas Small Finance Bank Limited</v>
      </c>
      <c r="E172" s="22" t="s">
        <v>28</v>
      </c>
      <c r="F172" s="24">
        <v>-2.0977879356787188</v>
      </c>
      <c r="G172" s="31">
        <v>2247</v>
      </c>
      <c r="H172" s="31">
        <v>3926</v>
      </c>
      <c r="I172" s="31">
        <v>2682</v>
      </c>
      <c r="J172" s="31">
        <v>2423</v>
      </c>
      <c r="K172" s="31">
        <v>2791</v>
      </c>
      <c r="L172" s="31">
        <v>4247</v>
      </c>
      <c r="M172" s="31">
        <v>3121</v>
      </c>
      <c r="N172" s="31">
        <v>3302</v>
      </c>
      <c r="O172" s="31">
        <v>3603</v>
      </c>
      <c r="P172" s="31">
        <v>4139</v>
      </c>
      <c r="Q172" s="31">
        <v>3404</v>
      </c>
      <c r="R172" s="31">
        <v>3497</v>
      </c>
      <c r="S172" s="31">
        <v>3329</v>
      </c>
      <c r="T172" s="31">
        <v>3368</v>
      </c>
      <c r="U172" s="31">
        <v>3148</v>
      </c>
      <c r="V172" s="31">
        <v>2406</v>
      </c>
      <c r="W172" s="34">
        <v>3072</v>
      </c>
      <c r="X172" s="26">
        <f t="shared" si="88"/>
        <v>-5.3657178648479409E-2</v>
      </c>
      <c r="Y172" s="26">
        <f t="shared" si="89"/>
        <v>-1.8826297984997797E-2</v>
      </c>
      <c r="Z172" s="26">
        <f t="shared" si="90"/>
        <v>-8.1771848298605954E-2</v>
      </c>
      <c r="AA172" s="26">
        <f t="shared" si="91"/>
        <v>-2.0977879356787188E-2</v>
      </c>
    </row>
    <row r="173" spans="2:27" x14ac:dyDescent="0.25">
      <c r="B173" s="29" t="s">
        <v>148</v>
      </c>
      <c r="C173" s="22" t="s">
        <v>30</v>
      </c>
      <c r="D173" s="49" t="str">
        <f>VLOOKUP(B173,'해외 실적 기업 리스트'!$B$8:$G$242,2,FALSE)</f>
        <v>Adani Power Limited</v>
      </c>
      <c r="E173" s="22" t="s">
        <v>28</v>
      </c>
      <c r="F173" s="24">
        <v>-4.605966080047164</v>
      </c>
      <c r="G173" s="31">
        <v>9864</v>
      </c>
      <c r="H173" s="31">
        <v>45900</v>
      </c>
      <c r="I173" s="31">
        <v>49037</v>
      </c>
      <c r="J173" s="31">
        <v>1148</v>
      </c>
      <c r="K173" s="31">
        <v>6321</v>
      </c>
      <c r="L173" s="31">
        <v>12776</v>
      </c>
      <c r="M173" s="31">
        <v>25796</v>
      </c>
      <c r="N173" s="32">
        <v>41669</v>
      </c>
      <c r="O173" s="32">
        <v>36431</v>
      </c>
      <c r="P173" s="32">
        <v>39329</v>
      </c>
      <c r="Q173" s="32">
        <v>51987</v>
      </c>
      <c r="R173" s="31">
        <v>42170</v>
      </c>
      <c r="S173" s="31">
        <v>38529</v>
      </c>
      <c r="T173" s="31">
        <v>38789</v>
      </c>
      <c r="U173" s="31">
        <v>45967</v>
      </c>
      <c r="V173" s="31">
        <v>39569</v>
      </c>
      <c r="W173" s="34">
        <v>31028</v>
      </c>
      <c r="X173" s="26">
        <f t="shared" si="88"/>
        <v>-3.1392611109496427E-3</v>
      </c>
      <c r="Y173" s="26">
        <f t="shared" si="89"/>
        <v>-3.5107158477912237E-2</v>
      </c>
      <c r="Z173" s="26">
        <f t="shared" si="90"/>
        <v>-1.5720286482729495E-2</v>
      </c>
      <c r="AA173" s="26">
        <f t="shared" si="91"/>
        <v>-4.6059660800471636E-2</v>
      </c>
    </row>
    <row r="174" spans="2:27" x14ac:dyDescent="0.25">
      <c r="B174" s="29" t="s">
        <v>29</v>
      </c>
      <c r="C174" s="22" t="s">
        <v>30</v>
      </c>
      <c r="D174" s="49" t="str">
        <f>VLOOKUP(B174,'해외 실적 기업 리스트'!$B$8:$G$242,2,FALSE)</f>
        <v>Carborundum Universal Limited</v>
      </c>
      <c r="E174" s="22" t="s">
        <v>28</v>
      </c>
      <c r="F174" s="24">
        <v>-7.5148036876441671</v>
      </c>
      <c r="G174" s="31">
        <v>1297</v>
      </c>
      <c r="H174" s="31">
        <v>803.88</v>
      </c>
      <c r="I174" s="31">
        <v>846.4</v>
      </c>
      <c r="J174" s="31">
        <v>1185</v>
      </c>
      <c r="K174" s="31">
        <v>1237</v>
      </c>
      <c r="L174" s="32">
        <v>1409</v>
      </c>
      <c r="M174" s="31">
        <v>1237</v>
      </c>
      <c r="N174" s="31">
        <v>1217</v>
      </c>
      <c r="O174" s="31">
        <v>1443</v>
      </c>
      <c r="P174" s="31">
        <v>1607</v>
      </c>
      <c r="Q174" s="31">
        <v>1422</v>
      </c>
      <c r="R174" s="31">
        <v>1430</v>
      </c>
      <c r="S174" s="31">
        <v>1244</v>
      </c>
      <c r="T174" s="31">
        <v>975.13</v>
      </c>
      <c r="U174" s="31">
        <v>623.6</v>
      </c>
      <c r="V174" s="31">
        <v>941.8</v>
      </c>
      <c r="W174" s="34">
        <v>959.6</v>
      </c>
      <c r="X174" s="26">
        <f t="shared" si="88"/>
        <v>-0.11079607224267929</v>
      </c>
      <c r="Y174" s="26">
        <f t="shared" si="89"/>
        <v>-0.15744025493331848</v>
      </c>
      <c r="Z174" s="26">
        <f t="shared" si="90"/>
        <v>-0.11425950153648856</v>
      </c>
      <c r="AA174" s="26">
        <f t="shared" si="91"/>
        <v>-7.5148036876441782E-2</v>
      </c>
    </row>
    <row r="175" spans="2:27" x14ac:dyDescent="0.25">
      <c r="B175" s="29" t="s">
        <v>227</v>
      </c>
      <c r="C175" s="22" t="s">
        <v>30</v>
      </c>
      <c r="D175" s="49" t="str">
        <f>VLOOKUP(B175,'해외 실적 기업 리스트'!$B$8:$G$242,2,FALSE)</f>
        <v>One97 Communications Limited</v>
      </c>
      <c r="E175" s="22" t="s">
        <v>28</v>
      </c>
      <c r="F175" s="24">
        <v>-170.50930996714129</v>
      </c>
      <c r="G175" s="31">
        <v>-8488</v>
      </c>
      <c r="H175" s="31">
        <v>-8163</v>
      </c>
      <c r="I175" s="31">
        <v>-7311</v>
      </c>
      <c r="J175" s="31">
        <v>-6421</v>
      </c>
      <c r="K175" s="31">
        <v>-4547</v>
      </c>
      <c r="L175" s="31">
        <v>-2872</v>
      </c>
      <c r="M175" s="31">
        <v>-4518</v>
      </c>
      <c r="N175" s="31">
        <v>-4111</v>
      </c>
      <c r="O175" s="31">
        <v>-3604</v>
      </c>
      <c r="P175" s="31">
        <v>-3028</v>
      </c>
      <c r="Q175" s="32">
        <v>-9706</v>
      </c>
      <c r="R175" s="31">
        <v>-5819</v>
      </c>
      <c r="S175" s="31">
        <v>-3877</v>
      </c>
      <c r="T175" s="31">
        <v>887</v>
      </c>
      <c r="U175" s="31">
        <v>-702</v>
      </c>
      <c r="V175" s="31">
        <v>40</v>
      </c>
      <c r="W175" s="34">
        <v>2350</v>
      </c>
      <c r="X175" s="26">
        <f t="shared" si="88"/>
        <v>-0.1745430227374053</v>
      </c>
      <c r="Y175" s="26">
        <f t="shared" si="89"/>
        <v>-0.48630839859573316</v>
      </c>
      <c r="Z175" s="26">
        <f t="shared" si="90"/>
        <v>-0.61602355167700562</v>
      </c>
      <c r="AA175" s="26">
        <f t="shared" si="91"/>
        <v>-1.7050930996714129</v>
      </c>
    </row>
  </sheetData>
  <autoFilter ref="B2:W175" xr:uid="{00000000-0001-0000-0100-000000000000}">
    <filterColumn colId="3">
      <filters>
        <filter val="Dec '25 Dec 20, 2025"/>
        <filter val="Dec '25 Dec 25, 2025"/>
        <filter val="Dec '25 Dec 26, 2025"/>
        <filter val="Dec '25 Dec 27, 2025"/>
        <filter val="Dec '25 Dec 31, 2025"/>
        <filter val="Jan '26 Jan 2, 2026"/>
        <filter val="Nov '25 Nov 30, 2025"/>
      </filters>
    </filterColumn>
    <sortState xmlns:xlrd2="http://schemas.microsoft.com/office/spreadsheetml/2017/richdata2" ref="B3:W175">
      <sortCondition descending="1" ref="C2:C175"/>
    </sortState>
  </autoFilter>
  <phoneticPr fontId="3" type="noConversion"/>
  <conditionalFormatting sqref="X3:AA175">
    <cfRule type="cellIs" dxfId="4" priority="1" operator="greaterThan">
      <formula>0.1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7605-7CFA-477D-8767-64A2D2CE21AC}">
  <dimension ref="B2:Y15"/>
  <sheetViews>
    <sheetView workbookViewId="0">
      <selection activeCell="B2" sqref="B2:S14"/>
    </sheetView>
  </sheetViews>
  <sheetFormatPr defaultRowHeight="16.5" x14ac:dyDescent="0.3"/>
  <cols>
    <col min="2" max="2" width="19.625" customWidth="1"/>
    <col min="3" max="6" width="9" hidden="1" customWidth="1"/>
    <col min="7" max="7" width="0" hidden="1" customWidth="1"/>
    <col min="8" max="8" width="10.375" customWidth="1"/>
    <col min="9" max="15" width="9.75" customWidth="1"/>
    <col min="16" max="16" width="10.625" customWidth="1"/>
    <col min="17" max="23" width="9.75" customWidth="1"/>
  </cols>
  <sheetData>
    <row r="2" spans="2:25" x14ac:dyDescent="0.3">
      <c r="B2" s="1" t="s">
        <v>230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2:25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Y3" s="29" t="s">
        <v>214</v>
      </c>
    </row>
    <row r="4" spans="2:25" x14ac:dyDescent="0.3">
      <c r="B4" s="3">
        <v>6702</v>
      </c>
      <c r="C4" s="4">
        <v>6</v>
      </c>
      <c r="D4" s="4">
        <v>7</v>
      </c>
      <c r="E4" s="4">
        <v>8</v>
      </c>
      <c r="F4" s="4">
        <v>9</v>
      </c>
      <c r="G4" s="4">
        <v>10</v>
      </c>
      <c r="H4" s="4">
        <v>11</v>
      </c>
      <c r="I4" s="4">
        <v>12</v>
      </c>
      <c r="J4" s="4">
        <v>13</v>
      </c>
      <c r="K4" s="4">
        <v>14</v>
      </c>
      <c r="L4" s="4">
        <v>15</v>
      </c>
      <c r="M4" s="4">
        <v>16</v>
      </c>
      <c r="N4" s="4">
        <v>17</v>
      </c>
      <c r="O4" s="4">
        <v>18</v>
      </c>
      <c r="P4" s="4">
        <v>19</v>
      </c>
      <c r="Q4" s="4">
        <v>20</v>
      </c>
      <c r="R4" s="4">
        <v>21</v>
      </c>
      <c r="S4" s="4">
        <v>22</v>
      </c>
      <c r="Y4" s="29" t="s">
        <v>194</v>
      </c>
    </row>
    <row r="5" spans="2:25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Y5" s="29" t="s">
        <v>103</v>
      </c>
    </row>
    <row r="6" spans="2:25" x14ac:dyDescent="0.3">
      <c r="B6" s="6"/>
      <c r="C6" s="7" t="s">
        <v>231</v>
      </c>
      <c r="D6" s="7" t="s">
        <v>232</v>
      </c>
      <c r="E6" s="7" t="s">
        <v>233</v>
      </c>
      <c r="F6" s="7" t="s">
        <v>234</v>
      </c>
      <c r="G6" s="7" t="s">
        <v>235</v>
      </c>
      <c r="H6" s="7" t="s">
        <v>10</v>
      </c>
      <c r="I6" s="7" t="s">
        <v>236</v>
      </c>
      <c r="J6" s="7" t="s">
        <v>237</v>
      </c>
      <c r="K6" s="7" t="s">
        <v>238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8" t="s">
        <v>21</v>
      </c>
      <c r="T6" s="7" t="s">
        <v>239</v>
      </c>
      <c r="U6" s="7" t="s">
        <v>240</v>
      </c>
      <c r="V6" s="7" t="s">
        <v>241</v>
      </c>
      <c r="W6" s="7" t="s">
        <v>242</v>
      </c>
      <c r="Y6" s="29" t="s">
        <v>84</v>
      </c>
    </row>
    <row r="7" spans="2:25" x14ac:dyDescent="0.3">
      <c r="B7" s="9" t="s">
        <v>243</v>
      </c>
      <c r="C7" s="10">
        <f>VLOOKUP($B$4,Revenue!$B:$W,C4,FALSE)</f>
        <v>880526</v>
      </c>
      <c r="D7" s="10">
        <f>VLOOKUP($B$4,Revenue!$B:$W,D4,FALSE)</f>
        <v>1043302</v>
      </c>
      <c r="E7" s="10">
        <f>VLOOKUP($B$4,Revenue!$B:$W,E4,FALSE)</f>
        <v>818862</v>
      </c>
      <c r="F7" s="10">
        <f>VLOOKUP($B$4,Revenue!$B:$W,F4,FALSE)</f>
        <v>886449</v>
      </c>
      <c r="G7" s="10">
        <f>VLOOKUP($B$4,Revenue!$B:$W,G4,FALSE)</f>
        <v>931424</v>
      </c>
      <c r="H7" s="10">
        <f>VLOOKUP($B$4,Revenue!$B:$W,H4,FALSE)</f>
        <v>1077032</v>
      </c>
      <c r="I7" s="10">
        <f>VLOOKUP($B$4,Revenue!$B:$W,I4,FALSE)</f>
        <v>799640</v>
      </c>
      <c r="J7" s="10">
        <f>VLOOKUP($B$4,Revenue!$B:$W,J4,FALSE)</f>
        <v>912257</v>
      </c>
      <c r="K7" s="10">
        <f>VLOOKUP($B$4,Revenue!$B:$W,K4,FALSE)</f>
        <v>930825</v>
      </c>
      <c r="L7" s="10">
        <f>VLOOKUP($B$4,Revenue!$B:$W,L4,FALSE)</f>
        <v>1113337</v>
      </c>
      <c r="M7" s="10">
        <f>VLOOKUP($B$4,Revenue!$B:$W,M4,FALSE)</f>
        <v>830030</v>
      </c>
      <c r="N7" s="10">
        <f>VLOOKUP($B$4,Revenue!$B:$W,N4,FALSE)</f>
        <v>866646</v>
      </c>
      <c r="O7" s="10">
        <f>VLOOKUP($B$4,Revenue!$B:$W,O4,FALSE)</f>
        <v>924756</v>
      </c>
      <c r="P7" s="10">
        <f>VLOOKUP($B$4,Revenue!$B:$W,P4,FALSE)</f>
        <v>0</v>
      </c>
      <c r="Q7" s="10">
        <f>VLOOKUP($B$4,Revenue!$B:$W,Q4,FALSE)</f>
        <v>749859</v>
      </c>
      <c r="R7" s="10">
        <f>VLOOKUP($B$4,Revenue!$B:$W,R4,FALSE)</f>
        <v>816683</v>
      </c>
      <c r="S7" s="11">
        <f>VLOOKUP($B$4,Revenue!$B:$W,S4,FALSE)</f>
        <v>884642</v>
      </c>
      <c r="T7" s="10"/>
      <c r="U7" s="10"/>
      <c r="V7" s="10"/>
      <c r="W7" s="10"/>
      <c r="Y7" s="29" t="s">
        <v>152</v>
      </c>
    </row>
    <row r="8" spans="2:25" x14ac:dyDescent="0.3">
      <c r="B8" s="9" t="s">
        <v>244</v>
      </c>
      <c r="C8" s="10">
        <f>VLOOKUP($B$4,'Operating Income'!$B:$W,C4,FALSE)</f>
        <v>65185</v>
      </c>
      <c r="D8" s="10">
        <f>VLOOKUP($B$4,'Operating Income'!$B:$W,D4,FALSE)</f>
        <v>113339</v>
      </c>
      <c r="E8" s="10">
        <f>VLOOKUP($B$4,'Operating Income'!$B:$W,E4,FALSE)</f>
        <v>25602</v>
      </c>
      <c r="F8" s="10">
        <f>VLOOKUP($B$4,'Operating Income'!$B:$W,F4,FALSE)</f>
        <v>75367</v>
      </c>
      <c r="G8" s="10">
        <f>VLOOKUP($B$4,'Operating Income'!$B:$W,G4,FALSE)</f>
        <v>72316</v>
      </c>
      <c r="H8" s="10">
        <f>VLOOKUP($B$4,'Operating Income'!$B:$W,H4,FALSE)</f>
        <v>105062</v>
      </c>
      <c r="I8" s="10">
        <f>VLOOKUP($B$4,'Operating Income'!$B:$W,I4,FALSE)</f>
        <v>-1665</v>
      </c>
      <c r="J8" s="10">
        <f>VLOOKUP($B$4,'Operating Income'!$B:$W,J4,FALSE)</f>
        <v>46445</v>
      </c>
      <c r="K8" s="10">
        <f>VLOOKUP($B$4,'Operating Income'!$B:$W,K4,FALSE)</f>
        <v>3309</v>
      </c>
      <c r="L8" s="10">
        <f>VLOOKUP($B$4,'Operating Income'!$B:$W,L4,FALSE)</f>
        <v>207286</v>
      </c>
      <c r="M8" s="10">
        <f>VLOOKUP($B$4,'Operating Income'!$B:$W,M4,FALSE)</f>
        <v>21387</v>
      </c>
      <c r="N8" s="10">
        <f>VLOOKUP($B$4,'Operating Income'!$B:$W,N4,FALSE)</f>
        <v>35008</v>
      </c>
      <c r="O8" s="10">
        <f>VLOOKUP($B$4,'Operating Income'!$B:$W,O4,FALSE)</f>
        <v>68874</v>
      </c>
      <c r="P8" s="10">
        <f>VLOOKUP($B$4,'Operating Income'!$B:$W,P4,FALSE)</f>
        <v>0</v>
      </c>
      <c r="Q8" s="10">
        <f>VLOOKUP($B$4,'Operating Income'!$B:$W,Q4,FALSE)</f>
        <v>33486</v>
      </c>
      <c r="R8" s="10">
        <f>VLOOKUP($B$4,'Operating Income'!$B:$W,R4,FALSE)</f>
        <v>71859</v>
      </c>
      <c r="S8" s="11">
        <f>VLOOKUP($B$4,'Operating Income'!$B:$W,S4,FALSE)</f>
        <v>105656</v>
      </c>
      <c r="T8" s="10"/>
      <c r="U8" s="10"/>
      <c r="V8" s="10"/>
      <c r="W8" s="10"/>
      <c r="Y8" s="29" t="s">
        <v>139</v>
      </c>
    </row>
    <row r="9" spans="2:25" x14ac:dyDescent="0.3">
      <c r="B9" s="9" t="s">
        <v>245</v>
      </c>
      <c r="C9" s="10">
        <f>AVERAGE(C8:C8)</f>
        <v>65185</v>
      </c>
      <c r="D9" s="10">
        <f>AVERAGE(C8:D8)</f>
        <v>89262</v>
      </c>
      <c r="E9" s="10">
        <f>AVERAGE(C8:E8)</f>
        <v>68042</v>
      </c>
      <c r="F9" s="10">
        <f t="shared" ref="F9:R9" si="0">AVERAGE(C8:F8)</f>
        <v>69873.25</v>
      </c>
      <c r="G9" s="10">
        <f t="shared" si="0"/>
        <v>71656</v>
      </c>
      <c r="H9" s="10">
        <f t="shared" si="0"/>
        <v>69586.75</v>
      </c>
      <c r="I9" s="10">
        <f t="shared" si="0"/>
        <v>62770</v>
      </c>
      <c r="J9" s="10">
        <f>AVERAGE(G8:J8)</f>
        <v>55539.5</v>
      </c>
      <c r="K9" s="10">
        <f t="shared" si="0"/>
        <v>38287.75</v>
      </c>
      <c r="L9" s="10">
        <f t="shared" si="0"/>
        <v>63843.75</v>
      </c>
      <c r="M9" s="10">
        <f t="shared" si="0"/>
        <v>69606.75</v>
      </c>
      <c r="N9" s="10">
        <f t="shared" si="0"/>
        <v>66747.5</v>
      </c>
      <c r="O9" s="10">
        <f t="shared" si="0"/>
        <v>83138.75</v>
      </c>
      <c r="P9" s="10">
        <f t="shared" si="0"/>
        <v>31317.25</v>
      </c>
      <c r="Q9" s="10">
        <f t="shared" si="0"/>
        <v>34342</v>
      </c>
      <c r="R9" s="10">
        <f t="shared" si="0"/>
        <v>43554.75</v>
      </c>
      <c r="S9" s="11">
        <f>AVERAGE(P8:S8)</f>
        <v>52750.25</v>
      </c>
      <c r="T9" s="10"/>
      <c r="U9" s="10"/>
      <c r="V9" s="10"/>
      <c r="W9" s="10"/>
      <c r="Y9" s="29" t="s">
        <v>193</v>
      </c>
    </row>
    <row r="10" spans="2:25" x14ac:dyDescent="0.3">
      <c r="B10" s="9" t="s">
        <v>246</v>
      </c>
      <c r="C10" s="10">
        <f>SUM(C8:C8)</f>
        <v>65185</v>
      </c>
      <c r="D10" s="10">
        <f>SUM(C8:D8)</f>
        <v>178524</v>
      </c>
      <c r="E10" s="10">
        <f>SUM(C8:E8)</f>
        <v>204126</v>
      </c>
      <c r="F10" s="10">
        <f t="shared" ref="F10:S10" si="1">SUM(C8:F8)</f>
        <v>279493</v>
      </c>
      <c r="G10" s="10">
        <f t="shared" si="1"/>
        <v>286624</v>
      </c>
      <c r="H10" s="10">
        <f t="shared" si="1"/>
        <v>278347</v>
      </c>
      <c r="I10" s="10">
        <f t="shared" si="1"/>
        <v>251080</v>
      </c>
      <c r="J10" s="10">
        <f t="shared" si="1"/>
        <v>222158</v>
      </c>
      <c r="K10" s="10">
        <f t="shared" si="1"/>
        <v>153151</v>
      </c>
      <c r="L10" s="10">
        <f t="shared" si="1"/>
        <v>255375</v>
      </c>
      <c r="M10" s="10">
        <f t="shared" si="1"/>
        <v>278427</v>
      </c>
      <c r="N10" s="10">
        <f t="shared" si="1"/>
        <v>266990</v>
      </c>
      <c r="O10" s="10">
        <f t="shared" si="1"/>
        <v>332555</v>
      </c>
      <c r="P10" s="10">
        <f t="shared" si="1"/>
        <v>125269</v>
      </c>
      <c r="Q10" s="10">
        <f t="shared" si="1"/>
        <v>137368</v>
      </c>
      <c r="R10" s="10">
        <f t="shared" si="1"/>
        <v>174219</v>
      </c>
      <c r="S10" s="11">
        <f t="shared" si="1"/>
        <v>211001</v>
      </c>
      <c r="T10" s="10"/>
      <c r="U10" s="10"/>
      <c r="V10" s="10"/>
      <c r="W10" s="10"/>
      <c r="Y10" s="29" t="s">
        <v>54</v>
      </c>
    </row>
    <row r="11" spans="2:25" x14ac:dyDescent="0.3">
      <c r="B11" s="9" t="s">
        <v>247</v>
      </c>
      <c r="C11" s="12"/>
      <c r="D11" s="12">
        <f t="shared" ref="D11:S11" si="2">D9/C9-1</f>
        <v>0.36936411751169751</v>
      </c>
      <c r="E11" s="12">
        <f t="shared" si="2"/>
        <v>-0.2377271403284712</v>
      </c>
      <c r="F11" s="12">
        <f t="shared" si="2"/>
        <v>2.6913523999882338E-2</v>
      </c>
      <c r="G11" s="12">
        <f t="shared" si="2"/>
        <v>2.5514055808195657E-2</v>
      </c>
      <c r="H11" s="12">
        <f>IFERROR(H9/G9-1,0)</f>
        <v>-2.8877553868482786E-2</v>
      </c>
      <c r="I11" s="12">
        <f t="shared" ref="I11:J11" si="3">IFERROR(I9/H9-1,0)</f>
        <v>-9.7960459426543078E-2</v>
      </c>
      <c r="J11" s="12">
        <f t="shared" si="3"/>
        <v>-0.11519037756890238</v>
      </c>
      <c r="K11" s="12">
        <f t="shared" si="2"/>
        <v>-0.31062126954689906</v>
      </c>
      <c r="L11" s="12">
        <f t="shared" si="2"/>
        <v>0.66747197210596076</v>
      </c>
      <c r="M11" s="12">
        <f t="shared" si="2"/>
        <v>9.0267254038179257E-2</v>
      </c>
      <c r="N11" s="12">
        <f t="shared" si="2"/>
        <v>-4.1077194381292093E-2</v>
      </c>
      <c r="O11" s="12">
        <f t="shared" si="2"/>
        <v>0.24557099516835845</v>
      </c>
      <c r="P11" s="13">
        <f t="shared" si="2"/>
        <v>-0.62331343687510343</v>
      </c>
      <c r="Q11" s="13">
        <f t="shared" si="2"/>
        <v>9.658415090724759E-2</v>
      </c>
      <c r="R11" s="13">
        <f t="shared" si="2"/>
        <v>0.26826480694193688</v>
      </c>
      <c r="S11" s="14">
        <f t="shared" si="2"/>
        <v>0.21112507820616577</v>
      </c>
      <c r="T11" s="15"/>
      <c r="U11" s="15"/>
      <c r="V11" s="15"/>
      <c r="W11" s="15"/>
      <c r="Y11" s="29" t="s">
        <v>183</v>
      </c>
    </row>
    <row r="12" spans="2:25" x14ac:dyDescent="0.3">
      <c r="B12" s="9" t="s">
        <v>248</v>
      </c>
      <c r="C12" s="16">
        <f t="shared" ref="C12:F12" si="4">IFERROR(C8/C7,"-")</f>
        <v>7.4029614117016418E-2</v>
      </c>
      <c r="D12" s="16">
        <f t="shared" si="4"/>
        <v>0.10863489191049187</v>
      </c>
      <c r="E12" s="16">
        <f t="shared" si="4"/>
        <v>3.1265341412838793E-2</v>
      </c>
      <c r="F12" s="16">
        <f t="shared" si="4"/>
        <v>8.5021247697273053E-2</v>
      </c>
      <c r="G12" s="16">
        <f>IFERROR(G8/G7,"-")</f>
        <v>7.7640258357096231E-2</v>
      </c>
      <c r="H12" s="16">
        <f t="shared" ref="H12:S12" si="5">IFERROR(H8/H7,"-")</f>
        <v>9.7547705174962307E-2</v>
      </c>
      <c r="I12" s="16">
        <f t="shared" si="5"/>
        <v>-2.0821869841428642E-3</v>
      </c>
      <c r="J12" s="16">
        <f t="shared" si="5"/>
        <v>5.0912188122426025E-2</v>
      </c>
      <c r="K12" s="16">
        <f t="shared" si="5"/>
        <v>3.5549109660784786E-3</v>
      </c>
      <c r="L12" s="16">
        <f t="shared" si="5"/>
        <v>0.18618441675790889</v>
      </c>
      <c r="M12" s="16">
        <f t="shared" si="5"/>
        <v>2.5766538558847269E-2</v>
      </c>
      <c r="N12" s="16">
        <f t="shared" si="5"/>
        <v>4.0394809414686039E-2</v>
      </c>
      <c r="O12" s="16">
        <f t="shared" si="5"/>
        <v>7.4478024473482729E-2</v>
      </c>
      <c r="P12" s="16" t="str">
        <f t="shared" si="5"/>
        <v>-</v>
      </c>
      <c r="Q12" s="16">
        <f t="shared" si="5"/>
        <v>4.4656395402335639E-2</v>
      </c>
      <c r="R12" s="16">
        <f t="shared" si="5"/>
        <v>8.7988852467848599E-2</v>
      </c>
      <c r="S12" s="17">
        <f t="shared" si="5"/>
        <v>0.11943362399705192</v>
      </c>
      <c r="T12" s="18"/>
      <c r="U12" s="18"/>
      <c r="V12" s="18"/>
      <c r="W12" s="18"/>
      <c r="Y12" s="29" t="s">
        <v>225</v>
      </c>
    </row>
    <row r="13" spans="2:25" x14ac:dyDescent="0.3">
      <c r="B13" s="9" t="s">
        <v>249</v>
      </c>
      <c r="C13" s="18" t="e">
        <f>C8/#REF!-1</f>
        <v>#REF!</v>
      </c>
      <c r="D13" s="18" t="e">
        <f>D8/#REF!-1</f>
        <v>#REF!</v>
      </c>
      <c r="E13" s="18" t="e">
        <f>E8/#REF!-1</f>
        <v>#REF!</v>
      </c>
      <c r="F13" s="18" t="e">
        <f>F8/#REF!-1</f>
        <v>#REF!</v>
      </c>
      <c r="G13" s="18">
        <f t="shared" ref="G13:S14" si="6">G8/C8-1</f>
        <v>0.10939633351231115</v>
      </c>
      <c r="H13" s="18">
        <f>IFERROR(H8/D8-1,0)</f>
        <v>-7.302870150610119E-2</v>
      </c>
      <c r="I13" s="18">
        <f t="shared" ref="I13:M13" si="7">IFERROR(I8/E8-1,0)</f>
        <v>-1.0650339817201782</v>
      </c>
      <c r="J13" s="18">
        <f t="shared" si="7"/>
        <v>-0.38374885559993099</v>
      </c>
      <c r="K13" s="18">
        <f t="shared" si="7"/>
        <v>-0.95424249128823502</v>
      </c>
      <c r="L13" s="18">
        <f t="shared" si="7"/>
        <v>0.9729873788810417</v>
      </c>
      <c r="M13" s="18">
        <f t="shared" si="7"/>
        <v>-13.845045045045046</v>
      </c>
      <c r="N13" s="18">
        <f t="shared" si="6"/>
        <v>-0.24624825061901179</v>
      </c>
      <c r="O13" s="18">
        <f t="shared" si="6"/>
        <v>19.814143245693565</v>
      </c>
      <c r="P13" s="19">
        <f t="shared" si="6"/>
        <v>-1</v>
      </c>
      <c r="Q13" s="19">
        <f t="shared" si="6"/>
        <v>0.56571749193435261</v>
      </c>
      <c r="R13" s="19">
        <f t="shared" si="6"/>
        <v>1.0526451096892138</v>
      </c>
      <c r="S13" s="20">
        <f t="shared" si="6"/>
        <v>0.53404768127304925</v>
      </c>
      <c r="T13" s="18"/>
      <c r="U13" s="18"/>
      <c r="V13" s="18"/>
      <c r="W13" s="18"/>
      <c r="Y13" s="29" t="s">
        <v>71</v>
      </c>
    </row>
    <row r="14" spans="2:25" x14ac:dyDescent="0.3">
      <c r="B14" s="9" t="s">
        <v>250</v>
      </c>
      <c r="G14" s="18">
        <f>G7/C7-1</f>
        <v>5.7804085285386275E-2</v>
      </c>
      <c r="H14" s="18">
        <f t="shared" ref="H14:S14" si="8">H7/D7-1</f>
        <v>3.2330044416669423E-2</v>
      </c>
      <c r="I14" s="18">
        <f t="shared" si="8"/>
        <v>-2.3474040802967999E-2</v>
      </c>
      <c r="J14" s="18">
        <f t="shared" si="8"/>
        <v>2.9113914054841317E-2</v>
      </c>
      <c r="K14" s="18">
        <f t="shared" ref="K14" si="9">K7/G7-1</f>
        <v>-6.4310131583467101E-4</v>
      </c>
      <c r="L14" s="18">
        <f t="shared" ref="L14" si="10">L7/H7-1</f>
        <v>3.3708376352791669E-2</v>
      </c>
      <c r="M14" s="18">
        <f t="shared" ref="M14" si="11">M7/I7-1</f>
        <v>3.8004602070931925E-2</v>
      </c>
      <c r="N14" s="18">
        <f t="shared" ref="N14" si="12">N7/J7-1</f>
        <v>-4.9997972062697293E-2</v>
      </c>
      <c r="O14" s="18">
        <f t="shared" ref="O14" si="13">O7/K7-1</f>
        <v>-6.5200225606316664E-3</v>
      </c>
      <c r="P14" s="18">
        <f t="shared" ref="P14" si="14">P7/L7-1</f>
        <v>-1</v>
      </c>
      <c r="Q14" s="18">
        <f t="shared" ref="Q14" si="15">Q7/M7-1</f>
        <v>-9.6588075129814599E-2</v>
      </c>
      <c r="R14" s="18">
        <f t="shared" ref="R14" si="16">R7/N7-1</f>
        <v>-5.7650990138995661E-2</v>
      </c>
      <c r="S14" s="52">
        <f t="shared" ref="S14" si="17">S7/O7-1</f>
        <v>-4.3377928880699357E-2</v>
      </c>
      <c r="Y14" s="29" t="s">
        <v>80</v>
      </c>
    </row>
    <row r="15" spans="2:25" x14ac:dyDescent="0.3">
      <c r="Y15" s="29" t="s">
        <v>174</v>
      </c>
    </row>
  </sheetData>
  <phoneticPr fontId="3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0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C12:G13 H13:O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1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해외 실적 기업 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2026-01-30T08:06:59Z</dcterms:created>
  <dcterms:modified xsi:type="dcterms:W3CDTF">2026-01-30T08:51:15Z</dcterms:modified>
</cp:coreProperties>
</file>