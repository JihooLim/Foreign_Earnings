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392588D5-AF14-4403-A45B-0D6C454D20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Income'!$B$2:$AA$155</definedName>
    <definedName name="_xlnm._FilterDatabase" localSheetId="1" hidden="1">Revenue!$B$2:$AA$155</definedName>
    <definedName name="_xlnm._FilterDatabase" localSheetId="0" hidden="1">기업리스트!$B$3:$G$221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5" i="3" l="1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155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34" i="2"/>
  <c r="D35" i="2"/>
  <c r="D36" i="2"/>
  <c r="D37" i="2"/>
  <c r="D38" i="2"/>
  <c r="D39" i="2"/>
  <c r="D40" i="2"/>
  <c r="D41" i="2"/>
  <c r="D42" i="2"/>
  <c r="D43" i="2"/>
  <c r="D44" i="2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O10" i="4" l="1"/>
  <c r="G13" i="4"/>
  <c r="S13" i="4"/>
  <c r="H9" i="4"/>
  <c r="Q13" i="4"/>
  <c r="L9" i="4"/>
  <c r="M10" i="4"/>
  <c r="N10" i="4"/>
  <c r="Q10" i="4"/>
  <c r="D10" i="4"/>
  <c r="O14" i="4"/>
  <c r="P14" i="4"/>
  <c r="R14" i="4"/>
  <c r="H13" i="4"/>
  <c r="C9" i="4"/>
  <c r="D9" i="4"/>
  <c r="F10" i="4"/>
  <c r="R10" i="4"/>
  <c r="G9" i="4"/>
  <c r="P13" i="4"/>
  <c r="I9" i="4"/>
  <c r="S14" i="4"/>
  <c r="G14" i="4"/>
  <c r="H14" i="4"/>
  <c r="L14" i="4"/>
  <c r="Q14" i="4"/>
  <c r="N14" i="4"/>
  <c r="I14" i="4"/>
  <c r="J14" i="4"/>
  <c r="K14" i="4"/>
  <c r="R12" i="4"/>
  <c r="I12" i="4"/>
  <c r="M9" i="4"/>
  <c r="H10" i="4"/>
  <c r="K12" i="4"/>
  <c r="J13" i="4"/>
  <c r="G10" i="4"/>
  <c r="S10" i="4"/>
  <c r="J12" i="4"/>
  <c r="I13" i="4"/>
  <c r="N9" i="4"/>
  <c r="I10" i="4"/>
  <c r="L12" i="4"/>
  <c r="K13" i="4"/>
  <c r="O9" i="4"/>
  <c r="J10" i="4"/>
  <c r="M12" i="4"/>
  <c r="L13" i="4"/>
  <c r="M13" i="4"/>
  <c r="E9" i="4"/>
  <c r="Q9" i="4"/>
  <c r="L10" i="4"/>
  <c r="C12" i="4"/>
  <c r="O12" i="4"/>
  <c r="N13" i="4"/>
  <c r="M14" i="4"/>
  <c r="F9" i="4"/>
  <c r="R9" i="4"/>
  <c r="D12" i="4"/>
  <c r="P12" i="4"/>
  <c r="O13" i="4"/>
  <c r="P9" i="4"/>
  <c r="S9" i="4"/>
  <c r="E12" i="4"/>
  <c r="Q12" i="4"/>
  <c r="K10" i="4"/>
  <c r="N12" i="4"/>
  <c r="C10" i="4"/>
  <c r="F12" i="4"/>
  <c r="P10" i="4"/>
  <c r="R13" i="4"/>
  <c r="J9" i="4"/>
  <c r="E10" i="4"/>
  <c r="H12" i="4"/>
  <c r="G12" i="4"/>
  <c r="S12" i="4"/>
  <c r="K9" i="4"/>
  <c r="I11" i="4" l="1"/>
  <c r="H11" i="4"/>
  <c r="E11" i="4"/>
  <c r="M11" i="4"/>
  <c r="K11" i="4"/>
  <c r="D11" i="4"/>
  <c r="N11" i="4"/>
  <c r="S11" i="4"/>
  <c r="P11" i="4"/>
  <c r="J11" i="4"/>
  <c r="Q11" i="4"/>
  <c r="R11" i="4"/>
  <c r="L11" i="4"/>
  <c r="F11" i="4"/>
  <c r="O11" i="4"/>
  <c r="G11" i="4"/>
</calcChain>
</file>

<file path=xl/sharedStrings.xml><?xml version="1.0" encoding="utf-8"?>
<sst xmlns="http://schemas.openxmlformats.org/spreadsheetml/2006/main" count="1665" uniqueCount="401">
  <si>
    <t>실적 기업 정보</t>
  </si>
  <si>
    <t>Ticker</t>
  </si>
  <si>
    <t>Company</t>
  </si>
  <si>
    <t>Date</t>
  </si>
  <si>
    <t>Time</t>
  </si>
  <si>
    <t>Quarter Ending</t>
  </si>
  <si>
    <t>Market Cap (mil$)</t>
  </si>
  <si>
    <t>XOM</t>
  </si>
  <si>
    <t>Exxon Mobil Corporation</t>
  </si>
  <si>
    <t>30-Jan-26</t>
  </si>
  <si>
    <t>Pre Market</t>
  </si>
  <si>
    <t>25-Dec</t>
  </si>
  <si>
    <t>CVX</t>
  </si>
  <si>
    <t>Chevron Corporation</t>
  </si>
  <si>
    <t>AXP</t>
  </si>
  <si>
    <t>American Express Company</t>
  </si>
  <si>
    <t>VZ</t>
  </si>
  <si>
    <t>Verizon Communications Inc.</t>
  </si>
  <si>
    <t>Sumitomo Mitsui Financial Group, Inc.</t>
  </si>
  <si>
    <t>CABK</t>
  </si>
  <si>
    <t>CaixaBank, S.A.</t>
  </si>
  <si>
    <t>REGN</t>
  </si>
  <si>
    <t>Regeneron Pharmaceuticals, Inc.</t>
  </si>
  <si>
    <t>AON</t>
  </si>
  <si>
    <t>Aon plc</t>
  </si>
  <si>
    <t>CL</t>
  </si>
  <si>
    <t>Colgate-Palmolive Company</t>
  </si>
  <si>
    <t>APD</t>
  </si>
  <si>
    <t>Air Products and Chemicals, Inc.</t>
  </si>
  <si>
    <t>CNR</t>
  </si>
  <si>
    <t>Canadian National Railway Company</t>
  </si>
  <si>
    <t>IMO</t>
  </si>
  <si>
    <t>Imperial Oil Limited</t>
  </si>
  <si>
    <t>SUNPHARMA</t>
  </si>
  <si>
    <t>Sun Pharmaceutical Industries Limited</t>
  </si>
  <si>
    <t>31-Jan-26</t>
  </si>
  <si>
    <t>NTPC</t>
  </si>
  <si>
    <t>NTPC Limited</t>
  </si>
  <si>
    <t>SOFI</t>
  </si>
  <si>
    <t>SoFi Technologies, Inc.</t>
  </si>
  <si>
    <t>Komatsu Ltd.</t>
  </si>
  <si>
    <t>HEXA B</t>
  </si>
  <si>
    <t>Hexagon AB (publ)</t>
  </si>
  <si>
    <t>BAJAJ-AUTO</t>
  </si>
  <si>
    <t>Bajaj Auto Limited</t>
  </si>
  <si>
    <t>Nomura Holdings, Inc.</t>
  </si>
  <si>
    <t>POWERGRID</t>
  </si>
  <si>
    <t>Power Grid Corporation of India Limited</t>
  </si>
  <si>
    <t>Resona Holdings, Inc.</t>
  </si>
  <si>
    <t>CHTR</t>
  </si>
  <si>
    <t>Charter Communications, Inc.</t>
  </si>
  <si>
    <t>Sumitomo Mitsui Trust Group, Inc.</t>
  </si>
  <si>
    <t>CHD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</si>
  <si>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</si>
  <si>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</si>
  <si>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</si>
  <si>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</si>
  <si>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</si>
  <si>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</si>
  <si>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</si>
  <si>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</si>
  <si>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</si>
  <si>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</si>
  <si>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</si>
  <si>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BANKBARODA</t>
  </si>
  <si>
    <t>Bank of Baroda Limited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</si>
  <si>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</si>
  <si>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</si>
  <si>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</si>
  <si>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</si>
  <si>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</si>
  <si>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</si>
  <si>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</si>
  <si>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</si>
  <si>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</si>
  <si>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</si>
  <si>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</si>
  <si>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</si>
  <si>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JINDALSTEL</t>
  </si>
  <si>
    <t>Jindal Steel Limited</t>
  </si>
  <si>
    <t>BEN</t>
  </si>
  <si>
    <t>Franklin Resources, Inc.</t>
  </si>
  <si>
    <t>Lasertec Corporation</t>
  </si>
  <si>
    <t>BEPC</t>
  </si>
  <si>
    <t>Brookfield Renewable Corporation</t>
  </si>
  <si>
    <t>Tokyo Gas Co.,Ltd.</t>
  </si>
  <si>
    <t>SKF B</t>
  </si>
  <si>
    <t>AB SKF (publ)</t>
  </si>
  <si>
    <t>UHR</t>
  </si>
  <si>
    <t>The Swatch Group AG</t>
  </si>
  <si>
    <t>ALV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</si>
  <si>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</si>
  <si>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</si>
  <si>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</si>
  <si>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</si>
  <si>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</si>
  <si>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</si>
  <si>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</si>
  <si>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</si>
  <si>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</si>
  <si>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SCREEN Holdings Co., Ltd.</t>
  </si>
  <si>
    <t>SCSK Corporation</t>
  </si>
  <si>
    <t>ANA Holdings Inc.</t>
  </si>
  <si>
    <t>MOG.A</t>
  </si>
  <si>
    <t>Moog Inc.</t>
  </si>
  <si>
    <t>ELISA</t>
  </si>
  <si>
    <t>Elisa Oyj</t>
  </si>
  <si>
    <t>ZOZO, Inc.</t>
  </si>
  <si>
    <t>BEIJ B</t>
  </si>
  <si>
    <t>Beijer Ref AB (publ)</t>
  </si>
  <si>
    <t>IDFC First Bank Limited</t>
  </si>
  <si>
    <t>Niterra Co., Ltd.</t>
  </si>
  <si>
    <t>IESC</t>
  </si>
  <si>
    <t>IES Holdings, Inc.</t>
  </si>
  <si>
    <t>JHG</t>
  </si>
  <si>
    <t>Janus Henderson Group plc</t>
  </si>
  <si>
    <t>SAIL</t>
  </si>
  <si>
    <t>Steel Authority of India Limited</t>
  </si>
  <si>
    <t>KBCA</t>
  </si>
  <si>
    <t>KBC Ancora SA</t>
  </si>
  <si>
    <t>BBU</t>
  </si>
  <si>
    <t>Brookfield Business Partners L.P.</t>
  </si>
  <si>
    <t>Kyoto Financial Group,Inc.</t>
  </si>
  <si>
    <t>BDL</t>
  </si>
  <si>
    <t>Bharat Dynamics Limited</t>
  </si>
  <si>
    <t>Hankyu Hanshin Holdings, Inc.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</si>
  <si>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</si>
  <si>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</si>
  <si>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</si>
  <si>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</si>
  <si>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</si>
  <si>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</si>
  <si>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GNTX</t>
  </si>
  <si>
    <t>Gentex Corporation</t>
  </si>
  <si>
    <t>Sumitomo Pharma Co., Ltd.</t>
  </si>
  <si>
    <t>Acom Co., Ltd.</t>
  </si>
  <si>
    <t>Kyushu Electric Power Company, Incorporated</t>
  </si>
  <si>
    <t>Procter &amp; Gamble Hygiene and Health Care Limited</t>
  </si>
  <si>
    <t>FLG</t>
  </si>
  <si>
    <t>Flagstar Bank, National Association</t>
  </si>
  <si>
    <t>NATIONALUM</t>
  </si>
  <si>
    <t>National Aluminium Company Limited</t>
  </si>
  <si>
    <t>Keisei Electric Railway Co., Ltd.</t>
  </si>
  <si>
    <t>NS Solutions Corporation</t>
  </si>
  <si>
    <t>TOTO LTD.</t>
  </si>
  <si>
    <t>MISUMI Group Inc.</t>
  </si>
  <si>
    <t>Koito Manufacturing Co., Ltd.</t>
  </si>
  <si>
    <t>AIAENG</t>
  </si>
  <si>
    <t>AIA Engineering Limited</t>
  </si>
  <si>
    <t>AJANTPHARM</t>
  </si>
  <si>
    <t>Ajanta Pharma Limited</t>
  </si>
  <si>
    <t>ASTERDM</t>
  </si>
  <si>
    <t>Aster DM Healthcare Limited</t>
  </si>
  <si>
    <t>Tohoku Electric Power Company, Incorporated</t>
  </si>
  <si>
    <t>Electric Power Development Co., Ltd.</t>
  </si>
  <si>
    <t>The 77 Bank, Ltd.</t>
  </si>
  <si>
    <t>Exide Industries Limited</t>
  </si>
  <si>
    <t>Kraftia Corporation</t>
  </si>
  <si>
    <t>Nisshin Seifun Group Inc.</t>
  </si>
  <si>
    <t>Hokuhoku Financial Group, Inc.</t>
  </si>
  <si>
    <t>Toei Animation Co.,Ltd.</t>
  </si>
  <si>
    <t>MSUMI</t>
  </si>
  <si>
    <t>Motherson Sumi Wiring India Limited</t>
  </si>
  <si>
    <t>LICHSGFIN</t>
  </si>
  <si>
    <t>LIC Housing Finance Limited</t>
  </si>
  <si>
    <t>AEGISLOG</t>
  </si>
  <si>
    <t>Aegis Logistics Limited</t>
  </si>
  <si>
    <t>FHB</t>
  </si>
  <si>
    <t>First Hawaiian, Inc.</t>
  </si>
  <si>
    <t>BAIN</t>
  </si>
  <si>
    <t>Société Anonyme des Bains de Mer et du Cercle des Étrangers à Monaco</t>
  </si>
  <si>
    <t>25-Sep</t>
  </si>
  <si>
    <t>NIACL</t>
  </si>
  <si>
    <t>The New India Assurance Company Limited</t>
  </si>
  <si>
    <t>MCHB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</si>
  <si>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</si>
  <si>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</si>
  <si>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</si>
  <si>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</si>
  <si>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</si>
  <si>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</si>
  <si>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</si>
  <si>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</si>
  <si>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Sankyu Inc.</t>
  </si>
  <si>
    <t>Daishi Hokuetsu Financial Group, Inc.</t>
  </si>
  <si>
    <t>LALPATHLAB</t>
  </si>
  <si>
    <t>Dr. Lal PathLabs Limited</t>
  </si>
  <si>
    <t>Alps Alpine Co., Ltd.</t>
  </si>
  <si>
    <t>Mitsubishi Logistics Corporation</t>
  </si>
  <si>
    <t>Socionext Inc.</t>
  </si>
  <si>
    <t>TOWN</t>
  </si>
  <si>
    <t>TowneBank</t>
  </si>
  <si>
    <t>Hang Lung Group Limited</t>
  </si>
  <si>
    <t>AADHARHFC</t>
  </si>
  <si>
    <t>Aadhar Housing Finance Limited</t>
  </si>
  <si>
    <t>Zeon Corporation</t>
  </si>
  <si>
    <t>Brigade Enterprises Limited</t>
  </si>
  <si>
    <t>Welspun Corp Limited</t>
  </si>
  <si>
    <t>The Chugoku Electric Power Co., Inc.</t>
  </si>
  <si>
    <t>WT</t>
  </si>
  <si>
    <t>WisdomTree, Inc.</t>
  </si>
  <si>
    <t>ATRLJ B</t>
  </si>
  <si>
    <t>Atrium Ljungberg AB (publ)</t>
  </si>
  <si>
    <t>Tokuyama Corporation</t>
  </si>
  <si>
    <t>Shikoku Electric Power Company, Incorporated</t>
  </si>
  <si>
    <t>Tokyo Kiraboshi Financial Group, Inc.</t>
  </si>
  <si>
    <t>SCATC</t>
  </si>
  <si>
    <t>Scatec ASA</t>
  </si>
  <si>
    <t>Amano Corporation</t>
  </si>
  <si>
    <t>Kajaria Ceramics Limited</t>
  </si>
  <si>
    <t>Kinsus Interconnect Technology Corp.</t>
  </si>
  <si>
    <t>SBNOR</t>
  </si>
  <si>
    <t>Sparebanken Norge</t>
  </si>
  <si>
    <t>NISP</t>
  </si>
  <si>
    <t>PT Bank OCBC NISP Tbk</t>
  </si>
  <si>
    <t>Max Co., Ltd.</t>
  </si>
  <si>
    <t>ELUX B</t>
  </si>
  <si>
    <t>AB Electrolux (publ)</t>
  </si>
  <si>
    <t>Meidensha Corporation</t>
  </si>
  <si>
    <t>Makino Milling Machine Co., Ltd.</t>
  </si>
  <si>
    <t>INTELLECT</t>
  </si>
  <si>
    <t>Intellect Design Arena Limited</t>
  </si>
  <si>
    <t>Seria Co., Ltd.</t>
  </si>
  <si>
    <t>NSD Co., Ltd.</t>
  </si>
  <si>
    <t>DOMS</t>
  </si>
  <si>
    <t>DOMS Industries Limited</t>
  </si>
  <si>
    <t>JBM Auto Limited</t>
  </si>
  <si>
    <t>Vinati Organics Limited</t>
  </si>
  <si>
    <t>ARCB</t>
  </si>
  <si>
    <t>ArcBest Corporation</t>
  </si>
  <si>
    <t>5191</t>
  </si>
  <si>
    <t>Sumitomo Riko Company Limited</t>
  </si>
  <si>
    <t>RRKABEL</t>
  </si>
  <si>
    <t>R R Kabel Limited</t>
  </si>
  <si>
    <t>Chudenko Corporation</t>
  </si>
  <si>
    <t>ARCLK</t>
  </si>
  <si>
    <t>Arçelik Anonim Sirketi</t>
  </si>
  <si>
    <t>Nihon M&amp;A Center Holdings Inc.</t>
  </si>
  <si>
    <t>RBCA.A</t>
  </si>
  <si>
    <t>Republic Bancorp, Inc.</t>
  </si>
  <si>
    <t>Hokkaido Electric Power Company, Incorporated</t>
  </si>
  <si>
    <t>Blue Dart Express Limited</t>
  </si>
  <si>
    <t>JPPOWER</t>
  </si>
  <si>
    <t>Jaiprakash Power Ventures Limited</t>
  </si>
  <si>
    <t>Kissei Pharmaceutical Co., Ltd.</t>
  </si>
  <si>
    <t>Nippon Densetsu Kogyo Co., Ltd.</t>
  </si>
  <si>
    <t>MIXI, Inc.</t>
  </si>
  <si>
    <t>Orient Corporation</t>
  </si>
  <si>
    <t>AS ONE Corporation</t>
  </si>
  <si>
    <t>SFA</t>
  </si>
  <si>
    <t>Sopharma AD</t>
  </si>
  <si>
    <t>FINPIPE</t>
  </si>
  <si>
    <t>Finolex Industries Limited</t>
  </si>
  <si>
    <t>Relaxo Footwears Limited</t>
  </si>
  <si>
    <t>MEDPLUS</t>
  </si>
  <si>
    <t>MedPlus Health Services Limited</t>
  </si>
  <si>
    <t>Ohsho Food Service Corp.</t>
  </si>
  <si>
    <t>CLEAN</t>
  </si>
  <si>
    <t>Clean Science and Technology Limited</t>
  </si>
  <si>
    <t>A007810</t>
  </si>
  <si>
    <t>Korea Circuit Co., Ltd.</t>
  </si>
  <si>
    <t>Imperial Hotel, Ltd.</t>
  </si>
  <si>
    <t>TMP</t>
  </si>
  <si>
    <t>Tompkins Financial Corporation</t>
  </si>
  <si>
    <t>The Awa Bank, Ltd.</t>
  </si>
  <si>
    <t>LPG</t>
  </si>
  <si>
    <t>Dorian LPG Ltd.</t>
  </si>
  <si>
    <t>NS United Kaiun Kaisha, Ltd.</t>
  </si>
  <si>
    <t>JLHL</t>
  </si>
  <si>
    <t>Jupiter Life Line Hospitals Limited</t>
  </si>
  <si>
    <t>JM</t>
  </si>
  <si>
    <t>JM AB (publ)</t>
  </si>
  <si>
    <t>Nippon Light Metal Holdings Company, Ltd.</t>
  </si>
  <si>
    <t>STAR</t>
  </si>
  <si>
    <t>Strides Pharma Science Limited</t>
  </si>
  <si>
    <t>Heiwa Real Estate Co., Ltd.</t>
  </si>
  <si>
    <t>PLAZ B</t>
  </si>
  <si>
    <t>Platzer Fastigheter Holding AB (publ)</t>
  </si>
  <si>
    <t>transcosmos inc.</t>
  </si>
  <si>
    <t>Yellow Hat Ltd.</t>
  </si>
  <si>
    <t>ARJO B</t>
  </si>
  <si>
    <t>Arjo AB (publ)</t>
  </si>
  <si>
    <t>Krosaki Harima Corporation</t>
  </si>
  <si>
    <t>SMS Co., Ltd.</t>
  </si>
  <si>
    <t>Birla Corporation Limited</t>
  </si>
  <si>
    <t>A000080</t>
  </si>
  <si>
    <t>HITEJINRO Co., Ltd.</t>
  </si>
  <si>
    <t>Arvind Limited</t>
  </si>
  <si>
    <t>Autobacs Seven Co., Ltd.</t>
  </si>
  <si>
    <t>OPY</t>
  </si>
  <si>
    <t>Oppenheimer Holdings Inc.</t>
  </si>
  <si>
    <t>A085620</t>
  </si>
  <si>
    <t>MIRAE ASSET Life Insurance Co., Ltd.</t>
  </si>
  <si>
    <t>Morita Holdings Corporation</t>
  </si>
  <si>
    <t>ES-CON JAPAN Ltd.</t>
  </si>
  <si>
    <t>MOIL Limited</t>
  </si>
  <si>
    <t>santec Holdings Corporation</t>
  </si>
  <si>
    <t>Japan Lifeline Co., Ltd.</t>
  </si>
  <si>
    <t>Pegavision Corporation</t>
  </si>
  <si>
    <t>ARGO GRAPHICS Inc.</t>
  </si>
  <si>
    <t>GOLDCREST Co.,Ltd.</t>
  </si>
  <si>
    <t>M&amp;A Capital Partners Co.,Ltd.</t>
  </si>
  <si>
    <t>The Bank of Iwate, Ltd.</t>
  </si>
  <si>
    <t>Nichiha Corporation</t>
  </si>
  <si>
    <t>S&amp;B Foods Inc.</t>
  </si>
  <si>
    <t>Wacom Co., Ltd.</t>
  </si>
  <si>
    <t>Asahi Yukizai Corporation</t>
  </si>
  <si>
    <t>GAEL</t>
  </si>
  <si>
    <t>Gujarat Ambuja Exports Limited</t>
  </si>
  <si>
    <t>Mitsui DM Sugar Co.,Ltd.</t>
  </si>
  <si>
    <t>Shibaura Machine Co.,Ltd.</t>
  </si>
  <si>
    <t>Chori Co., Ltd.</t>
  </si>
  <si>
    <t>Subros Limited</t>
  </si>
  <si>
    <t>The Tochigi Bank, Ltd.</t>
  </si>
  <si>
    <t>Keihanshin Building Co., Ltd.</t>
  </si>
  <si>
    <t>Shoei Co., Ltd.</t>
  </si>
  <si>
    <t>TechMatrix Corporation</t>
  </si>
  <si>
    <t>Belluna Co., Ltd.</t>
  </si>
  <si>
    <t>Maxell, Ltd.</t>
  </si>
  <si>
    <t>EIZO Corporation</t>
  </si>
  <si>
    <t>Enplas Corporation</t>
  </si>
  <si>
    <t>Eiken Chemical Co., Ltd.</t>
  </si>
  <si>
    <t>Ryoden Corporation</t>
  </si>
  <si>
    <t>Strike Company,Limited</t>
  </si>
  <si>
    <t>MEISEI INDUSTRIAL Co.,Ltd.</t>
  </si>
  <si>
    <t>RRBI</t>
  </si>
  <si>
    <t>Red River Bancshares, Inc.</t>
  </si>
  <si>
    <t>Digital Arts Inc.</t>
  </si>
  <si>
    <t>Nippon Avionics Co., Ltd.</t>
  </si>
  <si>
    <t>Mitsubishi Kakoki Kaisha, Ltd.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</si>
  <si>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</si>
  <si>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</si>
  <si>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</si>
  <si>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</si>
  <si>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</si>
  <si>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</si>
  <si>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</si>
  <si>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</si>
  <si>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</si>
  <si>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</si>
  <si>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</si>
  <si>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</si>
  <si>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</si>
  <si>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</si>
  <si>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</si>
  <si>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</si>
  <si>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</si>
  <si>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</si>
  <si>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</si>
  <si>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</si>
  <si>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</si>
  <si>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</si>
  <si>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Banks - Regional</t>
  </si>
  <si>
    <t>Dec'25</t>
  </si>
  <si>
    <t>Asset Management</t>
  </si>
  <si>
    <t>Oil &amp; Gas Midstream</t>
  </si>
  <si>
    <t>Jun'26</t>
  </si>
  <si>
    <t>Credit Services</t>
  </si>
  <si>
    <t>Capital Markets</t>
  </si>
  <si>
    <t>Software - Infrastructure</t>
  </si>
  <si>
    <t>Sep'26</t>
  </si>
  <si>
    <t>Auto Parts</t>
  </si>
  <si>
    <t>Engineering &amp; Construction</t>
  </si>
  <si>
    <t>Mar'26</t>
  </si>
  <si>
    <t>Restaurants</t>
  </si>
  <si>
    <t>Specialty Chemicals</t>
  </si>
  <si>
    <t>Household &amp; Personal Products</t>
  </si>
  <si>
    <t>Utilities - Renewable</t>
  </si>
  <si>
    <t>Insurance Brokers</t>
  </si>
  <si>
    <t>Biotechnology</t>
  </si>
  <si>
    <t>Telecom Services</t>
  </si>
  <si>
    <t>Oil &amp; Gas Integrated</t>
  </si>
  <si>
    <t>Trucking</t>
  </si>
  <si>
    <t>Conglomerates</t>
  </si>
  <si>
    <t>Japan</t>
  </si>
  <si>
    <t>N/A</t>
  </si>
  <si>
    <t>India</t>
  </si>
  <si>
    <t>Thermal Coal</t>
  </si>
  <si>
    <t>Sep'25</t>
  </si>
  <si>
    <t>Airlines</t>
  </si>
  <si>
    <t>Insurance - Property &amp; Casualty</t>
  </si>
  <si>
    <t>Unknown</t>
  </si>
  <si>
    <t>Building Products &amp; Equipment</t>
  </si>
  <si>
    <t>H1 2025</t>
  </si>
  <si>
    <t>France</t>
  </si>
  <si>
    <t>H1 2026</t>
  </si>
  <si>
    <t>(단위: mil $)</t>
  </si>
  <si>
    <t>Revenue</t>
  </si>
  <si>
    <t>OP</t>
  </si>
  <si>
    <t>Trailing 4Q OP avg.</t>
  </si>
  <si>
    <t>Trailing 4Q OP sum.</t>
  </si>
  <si>
    <t>Trailing OP Delta</t>
  </si>
  <si>
    <t>OPM</t>
  </si>
  <si>
    <t>OP YoY</t>
  </si>
  <si>
    <t>매출 YoY</t>
  </si>
  <si>
    <t>1Q26</t>
  </si>
  <si>
    <t>2Q26</t>
  </si>
  <si>
    <t>3Q26</t>
  </si>
  <si>
    <t>4Q26</t>
  </si>
  <si>
    <t>NIACL</t>
    <phoneticPr fontId="6" type="noConversion"/>
  </si>
  <si>
    <t>RRKABEL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</si>
</sst>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&quot;%&quot;"/>
    <numFmt numFmtId="177" formatCode="0.0%"/>
    <numFmt numFmtId="178" formatCode="#,##0_);[Red]\(#,##0\)"/>
  </numFmts>
  <fonts count="14">
    <font>
      <sz val="11"/>
      <color theme="1"/>
      <name val="맑은 고딕"/>
      <family val="2"/>
      <scheme val="minor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b/>
      <sz val="12"/>
      <name val="Pretendard"/>
      <family val="3"/>
      <charset val="129"/>
    </font>
    <font>
      <b/>
      <sz val="11"/>
      <name val="Pretendard"/>
      <family val="3"/>
      <charset val="129"/>
    </font>
    <font>
      <sz val="11"/>
      <name val="Pretendard"/>
      <family val="3"/>
      <charset val="129"/>
    </font>
    <font>
      <sz val="8"/>
      <name val="맑은 고딕"/>
      <family val="3"/>
      <charset val="129"/>
      <scheme val="minor"/>
    </font>
    <font>
      <i/>
      <sz val="10"/>
      <name val="Pretendard"/>
      <family val="3"/>
      <charset val="129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9"/>
      <name val="Pretendard"/>
      <family val="3"/>
      <charset val="129"/>
    </font>
    <font>
      <b/>
      <sz val="11"/>
      <color theme="0"/>
      <name val="Pretendard"/>
      <family val="3"/>
      <charset val="129"/>
    </font>
    <font>
      <b/>
      <sz val="14"/>
      <color theme="0"/>
      <name val="Pretendard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76" fontId="2" fillId="0" borderId="0" xfId="0" applyNumberFormat="1" applyFont="1"/>
    <xf numFmtId="3" fontId="2" fillId="3" borderId="0" xfId="0" applyNumberFormat="1" applyFont="1" applyFill="1"/>
    <xf numFmtId="177" fontId="2" fillId="0" borderId="0" xfId="0" applyNumberFormat="1" applyFont="1"/>
    <xf numFmtId="177" fontId="2" fillId="3" borderId="0" xfId="0" applyNumberFormat="1" applyFont="1" applyFill="1"/>
    <xf numFmtId="177" fontId="5" fillId="0" borderId="0" xfId="0" applyNumberFormat="1" applyFont="1"/>
    <xf numFmtId="0" fontId="7" fillId="0" borderId="0" xfId="0" applyFont="1"/>
    <xf numFmtId="3" fontId="2" fillId="0" borderId="1" xfId="0" applyNumberFormat="1" applyFont="1" applyBorder="1"/>
    <xf numFmtId="3" fontId="2" fillId="3" borderId="1" xfId="0" applyNumberFormat="1" applyFont="1" applyFill="1" applyBorder="1"/>
    <xf numFmtId="0" fontId="2" fillId="0" borderId="2" xfId="0" applyFont="1" applyBorder="1"/>
    <xf numFmtId="0" fontId="7" fillId="0" borderId="2" xfId="0" applyFont="1" applyBorder="1"/>
    <xf numFmtId="176" fontId="2" fillId="0" borderId="2" xfId="0" applyNumberFormat="1" applyFont="1" applyBorder="1"/>
    <xf numFmtId="3" fontId="2" fillId="0" borderId="2" xfId="0" applyNumberFormat="1" applyFont="1" applyBorder="1"/>
    <xf numFmtId="3" fontId="2" fillId="3" borderId="2" xfId="0" applyNumberFormat="1" applyFont="1" applyFill="1" applyBorder="1"/>
    <xf numFmtId="3" fontId="2" fillId="3" borderId="3" xfId="0" applyNumberFormat="1" applyFont="1" applyFill="1" applyBorder="1"/>
    <xf numFmtId="177" fontId="2" fillId="0" borderId="2" xfId="0" applyNumberFormat="1" applyFont="1" applyBorder="1"/>
    <xf numFmtId="177" fontId="2" fillId="3" borderId="2" xfId="0" applyNumberFormat="1" applyFont="1" applyFill="1" applyBorder="1"/>
    <xf numFmtId="176" fontId="1" fillId="4" borderId="0" xfId="0" applyNumberFormat="1" applyFont="1" applyFill="1"/>
    <xf numFmtId="176" fontId="1" fillId="4" borderId="2" xfId="0" applyNumberFormat="1" applyFont="1" applyFill="1" applyBorder="1"/>
    <xf numFmtId="178" fontId="2" fillId="0" borderId="0" xfId="0" applyNumberFormat="1" applyFont="1"/>
    <xf numFmtId="178" fontId="2" fillId="3" borderId="0" xfId="0" applyNumberFormat="1" applyFont="1" applyFill="1"/>
    <xf numFmtId="178" fontId="2" fillId="3" borderId="1" xfId="0" applyNumberFormat="1" applyFont="1" applyFill="1" applyBorder="1"/>
    <xf numFmtId="178" fontId="2" fillId="0" borderId="1" xfId="0" applyNumberFormat="1" applyFont="1" applyBorder="1"/>
    <xf numFmtId="178" fontId="2" fillId="0" borderId="2" xfId="0" applyNumberFormat="1" applyFont="1" applyBorder="1"/>
    <xf numFmtId="178" fontId="2" fillId="3" borderId="2" xfId="0" applyNumberFormat="1" applyFont="1" applyFill="1" applyBorder="1"/>
    <xf numFmtId="178" fontId="2" fillId="3" borderId="3" xfId="0" applyNumberFormat="1" applyFont="1" applyFill="1" applyBorder="1"/>
    <xf numFmtId="0" fontId="8" fillId="0" borderId="0" xfId="0" applyFont="1"/>
    <xf numFmtId="0" fontId="1" fillId="0" borderId="0" xfId="0" applyFont="1"/>
    <xf numFmtId="0" fontId="1" fillId="0" borderId="2" xfId="0" applyFont="1" applyBorder="1"/>
    <xf numFmtId="0" fontId="3" fillId="0" borderId="0" xfId="0" applyFont="1"/>
    <xf numFmtId="0" fontId="11" fillId="0" borderId="0" xfId="0" applyFont="1"/>
    <xf numFmtId="41" fontId="5" fillId="0" borderId="0" xfId="1" applyFont="1" applyAlignment="1"/>
    <xf numFmtId="0" fontId="10" fillId="5" borderId="4" xfId="0" applyFont="1" applyFill="1" applyBorder="1"/>
    <xf numFmtId="0" fontId="4" fillId="0" borderId="4" xfId="0" applyFont="1" applyBorder="1"/>
    <xf numFmtId="177" fontId="5" fillId="0" borderId="4" xfId="0" applyNumberFormat="1" applyFont="1" applyBorder="1"/>
    <xf numFmtId="0" fontId="12" fillId="5" borderId="0" xfId="0" applyFont="1" applyFill="1" applyAlignment="1">
      <alignment horizontal="center"/>
    </xf>
    <xf numFmtId="0" fontId="12" fillId="5" borderId="4" xfId="0" applyFont="1" applyFill="1" applyBorder="1" applyAlignment="1">
      <alignment horizontal="center"/>
    </xf>
    <xf numFmtId="3" fontId="2" fillId="0" borderId="3" xfId="0" applyNumberFormat="1" applyFont="1" applyBorder="1"/>
    <xf numFmtId="0" fontId="1" fillId="2" borderId="5" xfId="0" applyFont="1" applyFill="1" applyBorder="1" applyAlignment="1">
      <alignment horizontal="center"/>
    </xf>
    <xf numFmtId="178" fontId="5" fillId="0" borderId="0" xfId="1" applyNumberFormat="1" applyFont="1" applyAlignment="1"/>
    <xf numFmtId="178" fontId="5" fillId="0" borderId="4" xfId="1" applyNumberFormat="1" applyFont="1" applyBorder="1" applyAlignment="1"/>
    <xf numFmtId="0" fontId="13" fillId="6" borderId="0" xfId="0" applyFont="1" applyFill="1" applyAlignment="1">
      <alignment horizontal="center" vertical="center"/>
    </xf>
    <xf numFmtId="0" fontId="1" fillId="0" borderId="0" xfId="0" applyFont="1" applyBorder="1"/>
  </cellXfs>
  <cellStyles count="2">
    <cellStyle name="쉼표 [0]" xfId="1" builtinId="6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1"/>
  <sheetViews>
    <sheetView topLeftCell="A137" workbookViewId="0">
      <selection activeCell="E201" sqref="E201"/>
    </sheetView>
  </sheetViews>
  <sheetFormatPr defaultRowHeight="16.5"/>
  <cols>
    <col min="1" max="1" width="3" customWidth="1"/>
    <col min="2" max="2" width="12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29.25" customHeight="1">
      <c r="B2" s="44" t="s">
        <v>0</v>
      </c>
      <c r="C2" s="44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3">
        <v>590910.6</v>
      </c>
    </row>
    <row r="5" spans="2:7">
      <c r="B5" s="2" t="s">
        <v>12</v>
      </c>
      <c r="C5" s="2" t="s">
        <v>13</v>
      </c>
      <c r="D5" s="2" t="s">
        <v>9</v>
      </c>
      <c r="E5" s="2" t="s">
        <v>10</v>
      </c>
      <c r="F5" s="2" t="s">
        <v>11</v>
      </c>
      <c r="G5" s="3">
        <v>350262</v>
      </c>
    </row>
    <row r="6" spans="2:7">
      <c r="B6" s="2" t="s">
        <v>14</v>
      </c>
      <c r="C6" s="2" t="s">
        <v>15</v>
      </c>
      <c r="D6" s="2" t="s">
        <v>9</v>
      </c>
      <c r="E6" s="2" t="s">
        <v>10</v>
      </c>
      <c r="F6" s="2" t="s">
        <v>11</v>
      </c>
      <c r="G6" s="3">
        <v>241588.62</v>
      </c>
    </row>
    <row r="7" spans="2:7">
      <c r="B7" s="2" t="s">
        <v>16</v>
      </c>
      <c r="C7" s="2" t="s">
        <v>17</v>
      </c>
      <c r="D7" s="2" t="s">
        <v>9</v>
      </c>
      <c r="E7" s="2" t="s">
        <v>10</v>
      </c>
      <c r="F7" s="2" t="s">
        <v>11</v>
      </c>
      <c r="G7" s="3">
        <v>187740.84</v>
      </c>
    </row>
    <row r="8" spans="2:7">
      <c r="B8" s="2">
        <v>8316</v>
      </c>
      <c r="C8" s="2" t="s">
        <v>18</v>
      </c>
      <c r="D8" s="2" t="s">
        <v>9</v>
      </c>
      <c r="E8" s="2"/>
      <c r="F8" s="2" t="s">
        <v>11</v>
      </c>
      <c r="G8" s="3">
        <v>136109.76000000001</v>
      </c>
    </row>
    <row r="9" spans="2:7">
      <c r="B9" s="2" t="s">
        <v>19</v>
      </c>
      <c r="C9" s="2" t="s">
        <v>20</v>
      </c>
      <c r="D9" s="2" t="s">
        <v>9</v>
      </c>
      <c r="E9" s="2"/>
      <c r="F9" s="2" t="s">
        <v>11</v>
      </c>
      <c r="G9" s="3">
        <v>93154.76</v>
      </c>
    </row>
    <row r="10" spans="2:7">
      <c r="B10" s="2" t="s">
        <v>21</v>
      </c>
      <c r="C10" s="2" t="s">
        <v>22</v>
      </c>
      <c r="D10" s="2" t="s">
        <v>9</v>
      </c>
      <c r="E10" s="2" t="s">
        <v>10</v>
      </c>
      <c r="F10" s="2" t="s">
        <v>11</v>
      </c>
      <c r="G10" s="3">
        <v>76072.37</v>
      </c>
    </row>
    <row r="11" spans="2:7">
      <c r="B11" s="2" t="s">
        <v>23</v>
      </c>
      <c r="C11" s="2" t="s">
        <v>24</v>
      </c>
      <c r="D11" s="2" t="s">
        <v>9</v>
      </c>
      <c r="E11" s="2" t="s">
        <v>10</v>
      </c>
      <c r="F11" s="2" t="s">
        <v>11</v>
      </c>
      <c r="G11" s="3">
        <v>74997.78</v>
      </c>
    </row>
    <row r="12" spans="2:7">
      <c r="B12" s="2" t="s">
        <v>25</v>
      </c>
      <c r="C12" s="2" t="s">
        <v>26</v>
      </c>
      <c r="D12" s="2" t="s">
        <v>9</v>
      </c>
      <c r="E12" s="2" t="s">
        <v>10</v>
      </c>
      <c r="F12" s="2" t="s">
        <v>11</v>
      </c>
      <c r="G12" s="3">
        <v>72779.600000000006</v>
      </c>
    </row>
    <row r="13" spans="2:7">
      <c r="B13" s="2" t="s">
        <v>27</v>
      </c>
      <c r="C13" s="2" t="s">
        <v>28</v>
      </c>
      <c r="D13" s="2" t="s">
        <v>9</v>
      </c>
      <c r="E13" s="2" t="s">
        <v>10</v>
      </c>
      <c r="F13" s="2" t="s">
        <v>11</v>
      </c>
      <c r="G13" s="3">
        <v>60673.760000000002</v>
      </c>
    </row>
    <row r="14" spans="2:7">
      <c r="B14" s="2" t="s">
        <v>29</v>
      </c>
      <c r="C14" s="2" t="s">
        <v>30</v>
      </c>
      <c r="D14" s="2" t="s">
        <v>9</v>
      </c>
      <c r="E14" s="2" t="s">
        <v>10</v>
      </c>
      <c r="F14" s="2" t="s">
        <v>11</v>
      </c>
      <c r="G14" s="3">
        <v>59000</v>
      </c>
    </row>
    <row r="15" spans="2:7">
      <c r="B15" s="2" t="s">
        <v>31</v>
      </c>
      <c r="C15" s="2" t="s">
        <v>32</v>
      </c>
      <c r="D15" s="2" t="s">
        <v>9</v>
      </c>
      <c r="E15" s="2" t="s">
        <v>10</v>
      </c>
      <c r="F15" s="2" t="s">
        <v>11</v>
      </c>
      <c r="G15" s="3">
        <v>48855.78</v>
      </c>
    </row>
    <row r="16" spans="2:7">
      <c r="B16" s="2" t="s">
        <v>33</v>
      </c>
      <c r="C16" s="2" t="s">
        <v>34</v>
      </c>
      <c r="D16" s="2" t="s">
        <v>35</v>
      </c>
      <c r="E16" s="2"/>
      <c r="F16" s="2" t="s">
        <v>11</v>
      </c>
      <c r="G16" s="3">
        <v>44129.9</v>
      </c>
    </row>
    <row r="17" spans="2:7">
      <c r="B17" s="2" t="s">
        <v>36</v>
      </c>
      <c r="C17" s="2" t="s">
        <v>37</v>
      </c>
      <c r="D17" s="2" t="s">
        <v>9</v>
      </c>
      <c r="E17" s="2"/>
      <c r="F17" s="2" t="s">
        <v>11</v>
      </c>
      <c r="G17" s="3">
        <v>37012.58</v>
      </c>
    </row>
    <row r="18" spans="2:7">
      <c r="B18" s="2" t="s">
        <v>38</v>
      </c>
      <c r="C18" s="2" t="s">
        <v>39</v>
      </c>
      <c r="D18" s="2" t="s">
        <v>9</v>
      </c>
      <c r="E18" s="2"/>
      <c r="F18" s="2" t="s">
        <v>11</v>
      </c>
      <c r="G18" s="3">
        <v>33019.379999999997</v>
      </c>
    </row>
    <row r="19" spans="2:7">
      <c r="B19" s="2">
        <v>6301</v>
      </c>
      <c r="C19" s="2" t="s">
        <v>40</v>
      </c>
      <c r="D19" s="2" t="s">
        <v>9</v>
      </c>
      <c r="E19" s="2"/>
      <c r="F19" s="2" t="s">
        <v>11</v>
      </c>
      <c r="G19" s="3">
        <v>32397.54</v>
      </c>
    </row>
    <row r="20" spans="2:7">
      <c r="B20" s="2" t="s">
        <v>41</v>
      </c>
      <c r="C20" s="2" t="s">
        <v>42</v>
      </c>
      <c r="D20" s="2" t="s">
        <v>9</v>
      </c>
      <c r="E20" s="2"/>
      <c r="F20" s="2" t="s">
        <v>11</v>
      </c>
      <c r="G20" s="3">
        <v>30885.71</v>
      </c>
    </row>
    <row r="21" spans="2:7">
      <c r="B21" s="2" t="s">
        <v>43</v>
      </c>
      <c r="C21" s="2" t="s">
        <v>44</v>
      </c>
      <c r="D21" s="2" t="s">
        <v>9</v>
      </c>
      <c r="E21" s="2"/>
      <c r="F21" s="2" t="s">
        <v>11</v>
      </c>
      <c r="G21" s="3">
        <v>29228.78</v>
      </c>
    </row>
    <row r="22" spans="2:7">
      <c r="B22" s="2">
        <v>8604</v>
      </c>
      <c r="C22" s="2" t="s">
        <v>45</v>
      </c>
      <c r="D22" s="2" t="s">
        <v>9</v>
      </c>
      <c r="E22" s="2"/>
      <c r="F22" s="2" t="s">
        <v>11</v>
      </c>
      <c r="G22" s="3">
        <v>27415.64</v>
      </c>
    </row>
    <row r="23" spans="2:7">
      <c r="B23" s="2" t="s">
        <v>46</v>
      </c>
      <c r="C23" s="2" t="s">
        <v>47</v>
      </c>
      <c r="D23" s="2" t="s">
        <v>9</v>
      </c>
      <c r="E23" s="2"/>
      <c r="F23" s="2" t="s">
        <v>11</v>
      </c>
      <c r="G23" s="3">
        <v>26373.19</v>
      </c>
    </row>
    <row r="24" spans="2:7">
      <c r="B24" s="2">
        <v>8308</v>
      </c>
      <c r="C24" s="2" t="s">
        <v>48</v>
      </c>
      <c r="D24" s="2" t="s">
        <v>9</v>
      </c>
      <c r="E24" s="2"/>
      <c r="F24" s="2" t="s">
        <v>11</v>
      </c>
      <c r="G24" s="3">
        <v>25655.07</v>
      </c>
    </row>
    <row r="25" spans="2:7">
      <c r="B25" s="2" t="s">
        <v>49</v>
      </c>
      <c r="C25" s="2" t="s">
        <v>50</v>
      </c>
      <c r="D25" s="2" t="s">
        <v>9</v>
      </c>
      <c r="E25" s="2" t="s">
        <v>10</v>
      </c>
      <c r="F25" s="2" t="s">
        <v>11</v>
      </c>
      <c r="G25" s="3">
        <v>24556.720000000001</v>
      </c>
    </row>
    <row r="26" spans="2:7">
      <c r="B26" s="2">
        <v>8309</v>
      </c>
      <c r="C26" s="2" t="s">
        <v>51</v>
      </c>
      <c r="D26" s="2" t="s">
        <v>9</v>
      </c>
      <c r="E26" s="2"/>
      <c r="F26" s="2" t="s">
        <v>11</v>
      </c>
      <c r="G26" s="3">
        <v>22710.76</v>
      </c>
    </row>
    <row r="27" spans="2:7">
      <c r="B27" s="2" t="s">
        <v>52</v>
      </c>
      <c r="C27" s="2" t="s">
        <v>53</v>
      </c>
      <c r="D27" s="2" t="s">
        <v>9</v>
      </c>
      <c r="E27" s="2"/>
      <c r="F27" s="2" t="s">
        <v>11</v>
      </c>
      <c r="G27" s="3">
        <v>21758.19</v>
      </c>
    </row>
    <row r="28" spans="2:7">
      <c r="B28" s="2" t="s">
        <v>54</v>
      </c>
      <c r="C28" s="2" t="s">
        <v>55</v>
      </c>
      <c r="D28" s="2" t="s">
        <v>9</v>
      </c>
      <c r="E28" s="2" t="s">
        <v>10</v>
      </c>
      <c r="F28" s="2" t="s">
        <v>11</v>
      </c>
      <c r="G28" s="3">
        <v>17579.82</v>
      </c>
    </row>
    <row r="29" spans="2:7">
      <c r="B29" s="2" t="s">
        <v>56</v>
      </c>
      <c r="C29" s="2" t="s">
        <v>57</v>
      </c>
      <c r="D29" s="2" t="s">
        <v>9</v>
      </c>
      <c r="E29" s="2"/>
      <c r="F29" s="2" t="s">
        <v>11</v>
      </c>
      <c r="G29" s="3">
        <v>17568.25</v>
      </c>
    </row>
    <row r="30" spans="2:7">
      <c r="B30" s="2" t="s">
        <v>58</v>
      </c>
      <c r="C30" s="2" t="s">
        <v>59</v>
      </c>
      <c r="D30" s="2" t="s">
        <v>9</v>
      </c>
      <c r="E30" s="2"/>
      <c r="F30" s="2" t="s">
        <v>11</v>
      </c>
      <c r="G30" s="3">
        <v>17553.240000000002</v>
      </c>
    </row>
    <row r="31" spans="2:7">
      <c r="B31" s="2">
        <v>500425</v>
      </c>
      <c r="C31" s="2" t="s">
        <v>60</v>
      </c>
      <c r="D31" s="2" t="s">
        <v>9</v>
      </c>
      <c r="E31" s="2"/>
      <c r="F31" s="2" t="s">
        <v>11</v>
      </c>
      <c r="G31" s="3">
        <v>16030.23</v>
      </c>
    </row>
    <row r="32" spans="2:7">
      <c r="B32" s="2" t="s">
        <v>61</v>
      </c>
      <c r="C32" s="2" t="s">
        <v>62</v>
      </c>
      <c r="D32" s="2" t="s">
        <v>9</v>
      </c>
      <c r="E32" s="2"/>
      <c r="F32" s="2" t="s">
        <v>11</v>
      </c>
      <c r="G32" s="3">
        <v>15911.95</v>
      </c>
    </row>
    <row r="33" spans="2:7">
      <c r="B33" s="2">
        <v>9503</v>
      </c>
      <c r="C33" s="2" t="s">
        <v>63</v>
      </c>
      <c r="D33" s="2" t="s">
        <v>9</v>
      </c>
      <c r="E33" s="2"/>
      <c r="F33" s="2" t="s">
        <v>11</v>
      </c>
      <c r="G33" s="3">
        <v>15905.22</v>
      </c>
    </row>
    <row r="34" spans="2:7">
      <c r="B34" s="2" t="s">
        <v>64</v>
      </c>
      <c r="C34" s="2" t="s">
        <v>65</v>
      </c>
      <c r="D34" s="2" t="s">
        <v>9</v>
      </c>
      <c r="E34" s="2"/>
      <c r="F34" s="2" t="s">
        <v>11</v>
      </c>
      <c r="G34" s="3">
        <v>15374.99</v>
      </c>
    </row>
    <row r="35" spans="2:7">
      <c r="B35" s="2" t="s">
        <v>66</v>
      </c>
      <c r="C35" s="2" t="s">
        <v>67</v>
      </c>
      <c r="D35" s="2" t="s">
        <v>9</v>
      </c>
      <c r="E35" s="2"/>
      <c r="F35" s="2" t="s">
        <v>11</v>
      </c>
      <c r="G35" s="3">
        <v>14965.4</v>
      </c>
    </row>
    <row r="36" spans="2:7">
      <c r="B36" s="2">
        <v>511243</v>
      </c>
      <c r="C36" s="2" t="s">
        <v>68</v>
      </c>
      <c r="D36" s="2" t="s">
        <v>9</v>
      </c>
      <c r="E36" s="2"/>
      <c r="F36" s="2" t="s">
        <v>11</v>
      </c>
      <c r="G36" s="3">
        <v>14880.03</v>
      </c>
    </row>
    <row r="37" spans="2:7">
      <c r="B37" s="2">
        <v>300803</v>
      </c>
      <c r="C37" s="2" t="s">
        <v>69</v>
      </c>
      <c r="D37" s="2" t="s">
        <v>35</v>
      </c>
      <c r="E37" s="2"/>
      <c r="F37" s="2" t="s">
        <v>11</v>
      </c>
      <c r="G37" s="3">
        <v>14276.91</v>
      </c>
    </row>
    <row r="38" spans="2:7">
      <c r="B38" s="2" t="s">
        <v>70</v>
      </c>
      <c r="C38" s="2" t="s">
        <v>71</v>
      </c>
      <c r="D38" s="2" t="s">
        <v>9</v>
      </c>
      <c r="E38" s="2"/>
      <c r="F38" s="2" t="s">
        <v>11</v>
      </c>
      <c r="G38" s="3">
        <v>13281.33</v>
      </c>
    </row>
    <row r="39" spans="2:7">
      <c r="B39" s="2" t="s">
        <v>72</v>
      </c>
      <c r="C39" s="2" t="s">
        <v>73</v>
      </c>
      <c r="D39" s="2" t="s">
        <v>35</v>
      </c>
      <c r="E39" s="2"/>
      <c r="F39" s="2" t="s">
        <v>11</v>
      </c>
      <c r="G39" s="3">
        <v>13135.49</v>
      </c>
    </row>
    <row r="40" spans="2:7">
      <c r="B40" s="2" t="s">
        <v>74</v>
      </c>
      <c r="C40" s="2" t="s">
        <v>75</v>
      </c>
      <c r="D40" s="2" t="s">
        <v>9</v>
      </c>
      <c r="E40" s="2"/>
      <c r="F40" s="2" t="s">
        <v>11</v>
      </c>
      <c r="G40" s="3">
        <v>12909.86</v>
      </c>
    </row>
    <row r="41" spans="2:7">
      <c r="B41" s="2" t="s">
        <v>76</v>
      </c>
      <c r="C41" s="2" t="s">
        <v>77</v>
      </c>
      <c r="D41" s="2" t="s">
        <v>9</v>
      </c>
      <c r="E41" s="2"/>
      <c r="F41" s="2" t="s">
        <v>11</v>
      </c>
      <c r="G41" s="3">
        <v>12454.45</v>
      </c>
    </row>
    <row r="42" spans="2:7">
      <c r="B42" s="2" t="s">
        <v>78</v>
      </c>
      <c r="C42" s="2" t="s">
        <v>79</v>
      </c>
      <c r="D42" s="2" t="s">
        <v>9</v>
      </c>
      <c r="E42" s="2"/>
      <c r="F42" s="2" t="s">
        <v>11</v>
      </c>
      <c r="G42" s="3">
        <v>12369.15</v>
      </c>
    </row>
    <row r="43" spans="2:7">
      <c r="B43" s="2" t="s">
        <v>80</v>
      </c>
      <c r="C43" s="2" t="s">
        <v>81</v>
      </c>
      <c r="D43" s="2" t="s">
        <v>9</v>
      </c>
      <c r="E43" s="2" t="s">
        <v>10</v>
      </c>
      <c r="F43" s="2" t="s">
        <v>11</v>
      </c>
      <c r="G43" s="3">
        <v>12356.85</v>
      </c>
    </row>
    <row r="44" spans="2:7">
      <c r="B44" s="2">
        <v>6920</v>
      </c>
      <c r="C44" s="2" t="s">
        <v>82</v>
      </c>
      <c r="D44" s="2" t="s">
        <v>9</v>
      </c>
      <c r="E44" s="2"/>
      <c r="F44" s="2" t="s">
        <v>11</v>
      </c>
      <c r="G44" s="3">
        <v>12223.53</v>
      </c>
    </row>
    <row r="45" spans="2:7">
      <c r="B45" s="2" t="s">
        <v>83</v>
      </c>
      <c r="C45" s="2" t="s">
        <v>84</v>
      </c>
      <c r="D45" s="2" t="s">
        <v>9</v>
      </c>
      <c r="E45" s="2" t="s">
        <v>10</v>
      </c>
      <c r="F45" s="2" t="s">
        <v>11</v>
      </c>
      <c r="G45" s="3">
        <v>12162.18</v>
      </c>
    </row>
    <row r="46" spans="2:7">
      <c r="B46" s="2">
        <v>9531</v>
      </c>
      <c r="C46" s="2" t="s">
        <v>85</v>
      </c>
      <c r="D46" s="2" t="s">
        <v>9</v>
      </c>
      <c r="E46" s="2"/>
      <c r="F46" s="2" t="s">
        <v>11</v>
      </c>
      <c r="G46" s="3">
        <v>12076.93</v>
      </c>
    </row>
    <row r="47" spans="2:7">
      <c r="B47" s="2" t="s">
        <v>86</v>
      </c>
      <c r="C47" s="2" t="s">
        <v>87</v>
      </c>
      <c r="D47" s="2" t="s">
        <v>9</v>
      </c>
      <c r="E47" s="2"/>
      <c r="F47" s="2" t="s">
        <v>11</v>
      </c>
      <c r="G47" s="3">
        <v>11664.84</v>
      </c>
    </row>
    <row r="48" spans="2:7">
      <c r="B48" s="2" t="s">
        <v>88</v>
      </c>
      <c r="C48" s="2" t="s">
        <v>89</v>
      </c>
      <c r="D48" s="2" t="s">
        <v>9</v>
      </c>
      <c r="E48" s="2"/>
      <c r="F48" s="2" t="s">
        <v>11</v>
      </c>
      <c r="G48" s="3">
        <v>11610.65</v>
      </c>
    </row>
    <row r="49" spans="2:7">
      <c r="B49" s="2" t="s">
        <v>90</v>
      </c>
      <c r="C49" s="2" t="s">
        <v>91</v>
      </c>
      <c r="D49" s="2" t="s">
        <v>9</v>
      </c>
      <c r="E49" s="2" t="s">
        <v>10</v>
      </c>
      <c r="F49" s="2" t="s">
        <v>11</v>
      </c>
      <c r="G49" s="3">
        <v>9832.09</v>
      </c>
    </row>
    <row r="50" spans="2:7">
      <c r="B50" s="2" t="s">
        <v>92</v>
      </c>
      <c r="C50" s="2" t="s">
        <v>93</v>
      </c>
      <c r="D50" s="2" t="s">
        <v>9</v>
      </c>
      <c r="E50" s="2"/>
      <c r="F50" s="2" t="s">
        <v>11</v>
      </c>
      <c r="G50" s="3">
        <v>9750.32</v>
      </c>
    </row>
    <row r="51" spans="2:7">
      <c r="B51" s="2" t="s">
        <v>94</v>
      </c>
      <c r="C51" s="2" t="s">
        <v>95</v>
      </c>
      <c r="D51" s="2" t="s">
        <v>9</v>
      </c>
      <c r="E51" s="2"/>
      <c r="F51" s="2" t="s">
        <v>11</v>
      </c>
      <c r="G51" s="3">
        <v>9462.2999999999993</v>
      </c>
    </row>
    <row r="52" spans="2:7">
      <c r="B52" s="2" t="s">
        <v>96</v>
      </c>
      <c r="C52" s="2" t="s">
        <v>97</v>
      </c>
      <c r="D52" s="2" t="s">
        <v>9</v>
      </c>
      <c r="E52" s="2"/>
      <c r="F52" s="2" t="s">
        <v>11</v>
      </c>
      <c r="G52" s="3">
        <v>9356.67</v>
      </c>
    </row>
    <row r="53" spans="2:7">
      <c r="B53" s="2" t="s">
        <v>98</v>
      </c>
      <c r="C53" s="2" t="s">
        <v>99</v>
      </c>
      <c r="D53" s="2" t="s">
        <v>9</v>
      </c>
      <c r="E53" s="2"/>
      <c r="F53" s="2" t="s">
        <v>11</v>
      </c>
      <c r="G53" s="3">
        <v>9317.39</v>
      </c>
    </row>
    <row r="54" spans="2:7">
      <c r="B54" s="2">
        <v>7735</v>
      </c>
      <c r="C54" s="2" t="s">
        <v>100</v>
      </c>
      <c r="D54" s="2" t="s">
        <v>9</v>
      </c>
      <c r="E54" s="2"/>
      <c r="F54" s="2" t="s">
        <v>11</v>
      </c>
      <c r="G54" s="3">
        <v>9209.1</v>
      </c>
    </row>
    <row r="55" spans="2:7">
      <c r="B55" s="2">
        <v>9719</v>
      </c>
      <c r="C55" s="2" t="s">
        <v>101</v>
      </c>
      <c r="D55" s="2" t="s">
        <v>9</v>
      </c>
      <c r="E55" s="2"/>
      <c r="F55" s="2" t="s">
        <v>11</v>
      </c>
      <c r="G55" s="3">
        <v>8974.4599999999991</v>
      </c>
    </row>
    <row r="56" spans="2:7">
      <c r="B56" s="2">
        <v>9202</v>
      </c>
      <c r="C56" s="2" t="s">
        <v>102</v>
      </c>
      <c r="D56" s="2" t="s">
        <v>9</v>
      </c>
      <c r="E56" s="2"/>
      <c r="F56" s="2" t="s">
        <v>11</v>
      </c>
      <c r="G56" s="3">
        <v>8964.9</v>
      </c>
    </row>
    <row r="57" spans="2:7">
      <c r="B57" s="2" t="s">
        <v>103</v>
      </c>
      <c r="C57" s="2" t="s">
        <v>104</v>
      </c>
      <c r="D57" s="2" t="s">
        <v>9</v>
      </c>
      <c r="E57" s="2"/>
      <c r="F57" s="2" t="s">
        <v>11</v>
      </c>
      <c r="G57" s="3">
        <v>8468.98</v>
      </c>
    </row>
    <row r="58" spans="2:7">
      <c r="B58" s="2" t="s">
        <v>105</v>
      </c>
      <c r="C58" s="2" t="s">
        <v>106</v>
      </c>
      <c r="D58" s="2" t="s">
        <v>9</v>
      </c>
      <c r="E58" s="2"/>
      <c r="F58" s="2" t="s">
        <v>11</v>
      </c>
      <c r="G58" s="3">
        <v>8373.4699999999993</v>
      </c>
    </row>
    <row r="59" spans="2:7">
      <c r="B59" s="2">
        <v>3092</v>
      </c>
      <c r="C59" s="2" t="s">
        <v>107</v>
      </c>
      <c r="D59" s="2" t="s">
        <v>9</v>
      </c>
      <c r="E59" s="2"/>
      <c r="F59" s="2" t="s">
        <v>11</v>
      </c>
      <c r="G59" s="3">
        <v>8164.87</v>
      </c>
    </row>
    <row r="60" spans="2:7">
      <c r="B60" s="2" t="s">
        <v>108</v>
      </c>
      <c r="C60" s="2" t="s">
        <v>109</v>
      </c>
      <c r="D60" s="2" t="s">
        <v>9</v>
      </c>
      <c r="E60" s="2"/>
      <c r="F60" s="2" t="s">
        <v>11</v>
      </c>
      <c r="G60" s="3">
        <v>8117.9</v>
      </c>
    </row>
    <row r="61" spans="2:7">
      <c r="B61" s="2">
        <v>539437</v>
      </c>
      <c r="C61" s="2" t="s">
        <v>110</v>
      </c>
      <c r="D61" s="2" t="s">
        <v>35</v>
      </c>
      <c r="E61" s="2"/>
      <c r="F61" s="2" t="s">
        <v>11</v>
      </c>
      <c r="G61" s="3">
        <v>8112.01</v>
      </c>
    </row>
    <row r="62" spans="2:7">
      <c r="B62" s="2">
        <v>5334</v>
      </c>
      <c r="C62" s="2" t="s">
        <v>111</v>
      </c>
      <c r="D62" s="2" t="s">
        <v>9</v>
      </c>
      <c r="E62" s="2"/>
      <c r="F62" s="2" t="s">
        <v>11</v>
      </c>
      <c r="G62" s="3">
        <v>7778.27</v>
      </c>
    </row>
    <row r="63" spans="2:7">
      <c r="B63" s="2" t="s">
        <v>112</v>
      </c>
      <c r="C63" s="2" t="s">
        <v>113</v>
      </c>
      <c r="D63" s="2" t="s">
        <v>9</v>
      </c>
      <c r="E63" s="2"/>
      <c r="F63" s="2" t="s">
        <v>11</v>
      </c>
      <c r="G63" s="3">
        <v>7728.35</v>
      </c>
    </row>
    <row r="64" spans="2:7">
      <c r="B64" s="2" t="s">
        <v>114</v>
      </c>
      <c r="C64" s="2" t="s">
        <v>115</v>
      </c>
      <c r="D64" s="2" t="s">
        <v>9</v>
      </c>
      <c r="E64" s="2" t="s">
        <v>10</v>
      </c>
      <c r="F64" s="2" t="s">
        <v>11</v>
      </c>
      <c r="G64" s="3">
        <v>7377.17</v>
      </c>
    </row>
    <row r="65" spans="2:7">
      <c r="B65" s="2" t="s">
        <v>116</v>
      </c>
      <c r="C65" s="2" t="s">
        <v>117</v>
      </c>
      <c r="D65" s="2" t="s">
        <v>9</v>
      </c>
      <c r="E65" s="2"/>
      <c r="F65" s="2" t="s">
        <v>11</v>
      </c>
      <c r="G65" s="3">
        <v>6924.5</v>
      </c>
    </row>
    <row r="66" spans="2:7">
      <c r="B66" s="2" t="s">
        <v>118</v>
      </c>
      <c r="C66" s="2" t="s">
        <v>119</v>
      </c>
      <c r="D66" s="2" t="s">
        <v>9</v>
      </c>
      <c r="E66" s="2"/>
      <c r="F66" s="2" t="s">
        <v>11</v>
      </c>
      <c r="G66" s="3">
        <v>6819.37</v>
      </c>
    </row>
    <row r="67" spans="2:7">
      <c r="B67" s="2" t="s">
        <v>120</v>
      </c>
      <c r="C67" s="2" t="s">
        <v>121</v>
      </c>
      <c r="D67" s="2" t="s">
        <v>9</v>
      </c>
      <c r="E67" s="2" t="s">
        <v>10</v>
      </c>
      <c r="F67" s="2" t="s">
        <v>11</v>
      </c>
      <c r="G67" s="3">
        <v>6720.31</v>
      </c>
    </row>
    <row r="68" spans="2:7">
      <c r="B68" s="2">
        <v>5844</v>
      </c>
      <c r="C68" s="2" t="s">
        <v>122</v>
      </c>
      <c r="D68" s="2" t="s">
        <v>9</v>
      </c>
      <c r="E68" s="2"/>
      <c r="F68" s="2" t="s">
        <v>11</v>
      </c>
      <c r="G68" s="3">
        <v>6281.7</v>
      </c>
    </row>
    <row r="69" spans="2:7">
      <c r="B69" s="2" t="s">
        <v>123</v>
      </c>
      <c r="C69" s="2" t="s">
        <v>124</v>
      </c>
      <c r="D69" s="2" t="s">
        <v>35</v>
      </c>
      <c r="E69" s="2"/>
      <c r="F69" s="2" t="s">
        <v>11</v>
      </c>
      <c r="G69" s="3">
        <v>6280.78</v>
      </c>
    </row>
    <row r="70" spans="2:7">
      <c r="B70" s="2">
        <v>9042</v>
      </c>
      <c r="C70" s="2" t="s">
        <v>125</v>
      </c>
      <c r="D70" s="2" t="s">
        <v>9</v>
      </c>
      <c r="E70" s="2"/>
      <c r="F70" s="2" t="s">
        <v>11</v>
      </c>
      <c r="G70" s="3">
        <v>6078.29</v>
      </c>
    </row>
    <row r="71" spans="2:7">
      <c r="B71" s="2" t="s">
        <v>126</v>
      </c>
      <c r="C71" s="2" t="s">
        <v>127</v>
      </c>
      <c r="D71" s="2" t="s">
        <v>9</v>
      </c>
      <c r="E71" s="2"/>
      <c r="F71" s="2" t="s">
        <v>11</v>
      </c>
      <c r="G71" s="3">
        <v>5926.57</v>
      </c>
    </row>
    <row r="72" spans="2:7">
      <c r="B72" s="2" t="s">
        <v>128</v>
      </c>
      <c r="C72" s="2" t="s">
        <v>129</v>
      </c>
      <c r="D72" s="2" t="s">
        <v>9</v>
      </c>
      <c r="E72" s="2"/>
      <c r="F72" s="2" t="s">
        <v>11</v>
      </c>
      <c r="G72" s="3">
        <v>5825.35</v>
      </c>
    </row>
    <row r="73" spans="2:7">
      <c r="B73" s="2">
        <v>101</v>
      </c>
      <c r="C73" s="2" t="s">
        <v>130</v>
      </c>
      <c r="D73" s="2" t="s">
        <v>9</v>
      </c>
      <c r="E73" s="2"/>
      <c r="F73" s="2" t="s">
        <v>11</v>
      </c>
      <c r="G73" s="3">
        <v>5607.92</v>
      </c>
    </row>
    <row r="74" spans="2:7">
      <c r="B74" s="2">
        <v>500163</v>
      </c>
      <c r="C74" s="2" t="s">
        <v>131</v>
      </c>
      <c r="D74" s="2" t="s">
        <v>9</v>
      </c>
      <c r="E74" s="2"/>
      <c r="F74" s="2" t="s">
        <v>11</v>
      </c>
      <c r="G74" s="3">
        <v>5303.29</v>
      </c>
    </row>
    <row r="75" spans="2:7">
      <c r="B75" s="2" t="s">
        <v>132</v>
      </c>
      <c r="C75" s="2" t="s">
        <v>133</v>
      </c>
      <c r="D75" s="2" t="s">
        <v>9</v>
      </c>
      <c r="E75" s="2" t="s">
        <v>10</v>
      </c>
      <c r="F75" s="2" t="s">
        <v>11</v>
      </c>
      <c r="G75" s="3">
        <v>5101.37</v>
      </c>
    </row>
    <row r="76" spans="2:7">
      <c r="B76" s="2">
        <v>4506</v>
      </c>
      <c r="C76" s="2" t="s">
        <v>134</v>
      </c>
      <c r="D76" s="2" t="s">
        <v>9</v>
      </c>
      <c r="E76" s="2"/>
      <c r="F76" s="2" t="s">
        <v>11</v>
      </c>
      <c r="G76" s="3">
        <v>4835.17</v>
      </c>
    </row>
    <row r="77" spans="2:7">
      <c r="B77" s="2">
        <v>8572</v>
      </c>
      <c r="C77" s="2" t="s">
        <v>135</v>
      </c>
      <c r="D77" s="2" t="s">
        <v>9</v>
      </c>
      <c r="E77" s="2"/>
      <c r="F77" s="2" t="s">
        <v>11</v>
      </c>
      <c r="G77" s="3">
        <v>4754.59</v>
      </c>
    </row>
    <row r="78" spans="2:7">
      <c r="B78" s="2">
        <v>9508</v>
      </c>
      <c r="C78" s="2" t="s">
        <v>136</v>
      </c>
      <c r="D78" s="2" t="s">
        <v>9</v>
      </c>
      <c r="E78" s="2"/>
      <c r="F78" s="2" t="s">
        <v>11</v>
      </c>
      <c r="G78" s="3">
        <v>4746.0600000000004</v>
      </c>
    </row>
    <row r="79" spans="2:7">
      <c r="B79" s="2">
        <v>500459</v>
      </c>
      <c r="C79" s="2" t="s">
        <v>137</v>
      </c>
      <c r="D79" s="2" t="s">
        <v>9</v>
      </c>
      <c r="E79" s="2"/>
      <c r="F79" s="2" t="s">
        <v>11</v>
      </c>
      <c r="G79" s="3">
        <v>4729.0200000000004</v>
      </c>
    </row>
    <row r="80" spans="2:7">
      <c r="B80" s="2" t="s">
        <v>138</v>
      </c>
      <c r="C80" s="2" t="s">
        <v>139</v>
      </c>
      <c r="D80" s="2" t="s">
        <v>9</v>
      </c>
      <c r="E80" s="2"/>
      <c r="F80" s="2" t="s">
        <v>11</v>
      </c>
      <c r="G80" s="3">
        <v>4580</v>
      </c>
    </row>
    <row r="81" spans="2:7">
      <c r="B81" s="2" t="s">
        <v>140</v>
      </c>
      <c r="C81" s="2" t="s">
        <v>141</v>
      </c>
      <c r="D81" s="2" t="s">
        <v>9</v>
      </c>
      <c r="E81" s="2"/>
      <c r="F81" s="2" t="s">
        <v>11</v>
      </c>
      <c r="G81" s="3">
        <v>4575.2700000000004</v>
      </c>
    </row>
    <row r="82" spans="2:7">
      <c r="B82" s="2">
        <v>9009</v>
      </c>
      <c r="C82" s="2" t="s">
        <v>142</v>
      </c>
      <c r="D82" s="2" t="s">
        <v>9</v>
      </c>
      <c r="E82" s="2"/>
      <c r="F82" s="2" t="s">
        <v>11</v>
      </c>
      <c r="G82" s="3">
        <v>4465.49</v>
      </c>
    </row>
    <row r="83" spans="2:7">
      <c r="B83" s="2">
        <v>2327</v>
      </c>
      <c r="C83" s="2" t="s">
        <v>143</v>
      </c>
      <c r="D83" s="2" t="s">
        <v>9</v>
      </c>
      <c r="E83" s="2"/>
      <c r="F83" s="2" t="s">
        <v>11</v>
      </c>
      <c r="G83" s="3">
        <v>4432.63</v>
      </c>
    </row>
    <row r="84" spans="2:7">
      <c r="B84" s="2">
        <v>5332</v>
      </c>
      <c r="C84" s="2" t="s">
        <v>144</v>
      </c>
      <c r="D84" s="2" t="s">
        <v>9</v>
      </c>
      <c r="E84" s="2"/>
      <c r="F84" s="2" t="s">
        <v>11</v>
      </c>
      <c r="G84" s="3">
        <v>4354.8999999999996</v>
      </c>
    </row>
    <row r="85" spans="2:7">
      <c r="B85" s="2">
        <v>9962</v>
      </c>
      <c r="C85" s="2" t="s">
        <v>145</v>
      </c>
      <c r="D85" s="2" t="s">
        <v>9</v>
      </c>
      <c r="E85" s="2"/>
      <c r="F85" s="2" t="s">
        <v>11</v>
      </c>
      <c r="G85" s="3">
        <v>4112.6099999999997</v>
      </c>
    </row>
    <row r="86" spans="2:7">
      <c r="B86" s="2">
        <v>7276</v>
      </c>
      <c r="C86" s="2" t="s">
        <v>146</v>
      </c>
      <c r="D86" s="2" t="s">
        <v>9</v>
      </c>
      <c r="E86" s="2"/>
      <c r="F86" s="2" t="s">
        <v>11</v>
      </c>
      <c r="G86" s="3">
        <v>3919.28</v>
      </c>
    </row>
    <row r="87" spans="2:7">
      <c r="B87" s="2" t="s">
        <v>147</v>
      </c>
      <c r="C87" s="2" t="s">
        <v>148</v>
      </c>
      <c r="D87" s="2" t="s">
        <v>9</v>
      </c>
      <c r="E87" s="2"/>
      <c r="F87" s="2" t="s">
        <v>11</v>
      </c>
      <c r="G87" s="3">
        <v>3831.88</v>
      </c>
    </row>
    <row r="88" spans="2:7">
      <c r="B88" s="2" t="s">
        <v>149</v>
      </c>
      <c r="C88" s="2" t="s">
        <v>150</v>
      </c>
      <c r="D88" s="2" t="s">
        <v>9</v>
      </c>
      <c r="E88" s="2"/>
      <c r="F88" s="2" t="s">
        <v>11</v>
      </c>
      <c r="G88" s="3">
        <v>3687.49</v>
      </c>
    </row>
    <row r="89" spans="2:7">
      <c r="B89" s="2" t="s">
        <v>151</v>
      </c>
      <c r="C89" s="2" t="s">
        <v>152</v>
      </c>
      <c r="D89" s="2" t="s">
        <v>9</v>
      </c>
      <c r="E89" s="2"/>
      <c r="F89" s="2" t="s">
        <v>11</v>
      </c>
      <c r="G89" s="3">
        <v>3620.66</v>
      </c>
    </row>
    <row r="90" spans="2:7">
      <c r="B90" s="2">
        <v>9506</v>
      </c>
      <c r="C90" s="2" t="s">
        <v>153</v>
      </c>
      <c r="D90" s="2" t="s">
        <v>9</v>
      </c>
      <c r="E90" s="2"/>
      <c r="F90" s="2" t="s">
        <v>11</v>
      </c>
      <c r="G90" s="3">
        <v>3547.07</v>
      </c>
    </row>
    <row r="91" spans="2:7">
      <c r="B91" s="2">
        <v>9513</v>
      </c>
      <c r="C91" s="2" t="s">
        <v>154</v>
      </c>
      <c r="D91" s="2" t="s">
        <v>9</v>
      </c>
      <c r="E91" s="2"/>
      <c r="F91" s="2" t="s">
        <v>11</v>
      </c>
      <c r="G91" s="3">
        <v>3534.53</v>
      </c>
    </row>
    <row r="92" spans="2:7">
      <c r="B92" s="2">
        <v>8341</v>
      </c>
      <c r="C92" s="2" t="s">
        <v>155</v>
      </c>
      <c r="D92" s="2" t="s">
        <v>9</v>
      </c>
      <c r="E92" s="2"/>
      <c r="F92" s="2" t="s">
        <v>11</v>
      </c>
      <c r="G92" s="3">
        <v>3513.63</v>
      </c>
    </row>
    <row r="93" spans="2:7">
      <c r="B93" s="2">
        <v>500086</v>
      </c>
      <c r="C93" s="2" t="s">
        <v>156</v>
      </c>
      <c r="D93" s="2" t="s">
        <v>9</v>
      </c>
      <c r="E93" s="2"/>
      <c r="F93" s="2" t="s">
        <v>11</v>
      </c>
      <c r="G93" s="3">
        <v>3504.98</v>
      </c>
    </row>
    <row r="94" spans="2:7">
      <c r="B94" s="2">
        <v>1959</v>
      </c>
      <c r="C94" s="2" t="s">
        <v>157</v>
      </c>
      <c r="D94" s="2" t="s">
        <v>9</v>
      </c>
      <c r="E94" s="2"/>
      <c r="F94" s="2" t="s">
        <v>11</v>
      </c>
      <c r="G94" s="3">
        <v>3449.45</v>
      </c>
    </row>
    <row r="95" spans="2:7">
      <c r="B95" s="2">
        <v>2002</v>
      </c>
      <c r="C95" s="2" t="s">
        <v>158</v>
      </c>
      <c r="D95" s="2" t="s">
        <v>9</v>
      </c>
      <c r="E95" s="2"/>
      <c r="F95" s="2" t="s">
        <v>11</v>
      </c>
      <c r="G95" s="3">
        <v>3437.03</v>
      </c>
    </row>
    <row r="96" spans="2:7">
      <c r="B96" s="2">
        <v>8377</v>
      </c>
      <c r="C96" s="2" t="s">
        <v>159</v>
      </c>
      <c r="D96" s="2" t="s">
        <v>9</v>
      </c>
      <c r="E96" s="2"/>
      <c r="F96" s="2" t="s">
        <v>11</v>
      </c>
      <c r="G96" s="3">
        <v>3410.19</v>
      </c>
    </row>
    <row r="97" spans="2:7">
      <c r="B97" s="2">
        <v>4816</v>
      </c>
      <c r="C97" s="2" t="s">
        <v>160</v>
      </c>
      <c r="D97" s="2" t="s">
        <v>9</v>
      </c>
      <c r="E97" s="2"/>
      <c r="F97" s="2" t="s">
        <v>11</v>
      </c>
      <c r="G97" s="3">
        <v>3350.72</v>
      </c>
    </row>
    <row r="98" spans="2:7">
      <c r="B98" s="2" t="s">
        <v>161</v>
      </c>
      <c r="C98" s="2" t="s">
        <v>162</v>
      </c>
      <c r="D98" s="2" t="s">
        <v>9</v>
      </c>
      <c r="E98" s="2"/>
      <c r="F98" s="2" t="s">
        <v>11</v>
      </c>
      <c r="G98" s="3">
        <v>3283.4</v>
      </c>
    </row>
    <row r="99" spans="2:7">
      <c r="B99" s="2" t="s">
        <v>163</v>
      </c>
      <c r="C99" s="2" t="s">
        <v>164</v>
      </c>
      <c r="D99" s="2" t="s">
        <v>9</v>
      </c>
      <c r="E99" s="2"/>
      <c r="F99" s="2" t="s">
        <v>11</v>
      </c>
      <c r="G99" s="3">
        <v>3251.46</v>
      </c>
    </row>
    <row r="100" spans="2:7">
      <c r="B100" s="2" t="s">
        <v>165</v>
      </c>
      <c r="C100" s="2" t="s">
        <v>166</v>
      </c>
      <c r="D100" s="2" t="s">
        <v>9</v>
      </c>
      <c r="E100" s="2"/>
      <c r="F100" s="2" t="s">
        <v>11</v>
      </c>
      <c r="G100" s="3">
        <v>3169.27</v>
      </c>
    </row>
    <row r="101" spans="2:7">
      <c r="B101" s="2" t="s">
        <v>167</v>
      </c>
      <c r="C101" s="2" t="s">
        <v>168</v>
      </c>
      <c r="D101" s="2" t="s">
        <v>9</v>
      </c>
      <c r="E101" s="2" t="s">
        <v>10</v>
      </c>
      <c r="F101" s="2" t="s">
        <v>11</v>
      </c>
      <c r="G101" s="3">
        <v>3065.77</v>
      </c>
    </row>
    <row r="102" spans="2:7">
      <c r="B102" s="2" t="s">
        <v>169</v>
      </c>
      <c r="C102" s="2" t="s">
        <v>170</v>
      </c>
      <c r="D102" s="2" t="s">
        <v>9</v>
      </c>
      <c r="E102" s="2"/>
      <c r="F102" s="2" t="s">
        <v>171</v>
      </c>
      <c r="G102" s="3">
        <v>2970.08</v>
      </c>
    </row>
    <row r="103" spans="2:7">
      <c r="B103" s="2" t="s">
        <v>172</v>
      </c>
      <c r="C103" s="2" t="s">
        <v>173</v>
      </c>
      <c r="D103" s="2" t="s">
        <v>9</v>
      </c>
      <c r="E103" s="2"/>
      <c r="F103" s="2" t="s">
        <v>11</v>
      </c>
      <c r="G103" s="3">
        <v>2937.28</v>
      </c>
    </row>
    <row r="104" spans="2:7">
      <c r="B104" s="2" t="s">
        <v>174</v>
      </c>
      <c r="C104" s="2" t="s">
        <v>175</v>
      </c>
      <c r="D104" s="2" t="s">
        <v>9</v>
      </c>
      <c r="E104" s="2"/>
      <c r="F104" s="2" t="s">
        <v>11</v>
      </c>
      <c r="G104" s="3">
        <v>2936.25</v>
      </c>
    </row>
    <row r="105" spans="2:7">
      <c r="B105" s="2" t="s">
        <v>176</v>
      </c>
      <c r="C105" s="2" t="s">
        <v>177</v>
      </c>
      <c r="D105" s="2" t="s">
        <v>9</v>
      </c>
      <c r="E105" s="2"/>
      <c r="F105" s="2" t="s">
        <v>11</v>
      </c>
      <c r="G105" s="3">
        <v>2863.98</v>
      </c>
    </row>
    <row r="106" spans="2:7">
      <c r="B106" s="2" t="s">
        <v>178</v>
      </c>
      <c r="C106" s="2" t="s">
        <v>179</v>
      </c>
      <c r="D106" s="2" t="s">
        <v>9</v>
      </c>
      <c r="E106" s="2"/>
      <c r="F106" s="2" t="s">
        <v>11</v>
      </c>
      <c r="G106" s="3">
        <v>2831.99</v>
      </c>
    </row>
    <row r="107" spans="2:7">
      <c r="B107" s="2">
        <v>515030</v>
      </c>
      <c r="C107" s="2" t="s">
        <v>180</v>
      </c>
      <c r="D107" s="2" t="s">
        <v>9</v>
      </c>
      <c r="E107" s="2"/>
      <c r="F107" s="2" t="s">
        <v>11</v>
      </c>
      <c r="G107" s="3">
        <v>2823.79</v>
      </c>
    </row>
    <row r="108" spans="2:7">
      <c r="B108" s="2" t="s">
        <v>181</v>
      </c>
      <c r="C108" s="2" t="s">
        <v>182</v>
      </c>
      <c r="D108" s="2" t="s">
        <v>9</v>
      </c>
      <c r="E108" s="2"/>
      <c r="F108" s="2" t="s">
        <v>11</v>
      </c>
      <c r="G108" s="3">
        <v>2819.38</v>
      </c>
    </row>
    <row r="109" spans="2:7">
      <c r="B109" s="2">
        <v>9065</v>
      </c>
      <c r="C109" s="2" t="s">
        <v>183</v>
      </c>
      <c r="D109" s="2" t="s">
        <v>9</v>
      </c>
      <c r="E109" s="2"/>
      <c r="F109" s="2" t="s">
        <v>11</v>
      </c>
      <c r="G109" s="3">
        <v>2779.04</v>
      </c>
    </row>
    <row r="110" spans="2:7">
      <c r="B110" s="2">
        <v>7327</v>
      </c>
      <c r="C110" s="2" t="s">
        <v>184</v>
      </c>
      <c r="D110" s="2" t="s">
        <v>9</v>
      </c>
      <c r="E110" s="2"/>
      <c r="F110" s="2" t="s">
        <v>11</v>
      </c>
      <c r="G110" s="3">
        <v>2730.75</v>
      </c>
    </row>
    <row r="111" spans="2:7">
      <c r="B111" s="2" t="s">
        <v>185</v>
      </c>
      <c r="C111" s="2" t="s">
        <v>186</v>
      </c>
      <c r="D111" s="2" t="s">
        <v>9</v>
      </c>
      <c r="E111" s="2"/>
      <c r="F111" s="2" t="s">
        <v>11</v>
      </c>
      <c r="G111" s="3">
        <v>2671.52</v>
      </c>
    </row>
    <row r="112" spans="2:7">
      <c r="B112" s="2">
        <v>6770</v>
      </c>
      <c r="C112" s="2" t="s">
        <v>187</v>
      </c>
      <c r="D112" s="2" t="s">
        <v>9</v>
      </c>
      <c r="E112" s="2"/>
      <c r="F112" s="2" t="s">
        <v>11</v>
      </c>
      <c r="G112" s="3">
        <v>2644.49</v>
      </c>
    </row>
    <row r="113" spans="2:7">
      <c r="B113" s="2">
        <v>9301</v>
      </c>
      <c r="C113" s="2" t="s">
        <v>188</v>
      </c>
      <c r="D113" s="2" t="s">
        <v>9</v>
      </c>
      <c r="E113" s="2"/>
      <c r="F113" s="2" t="s">
        <v>11</v>
      </c>
      <c r="G113" s="3">
        <v>2636.8</v>
      </c>
    </row>
    <row r="114" spans="2:7">
      <c r="B114" s="2">
        <v>6526</v>
      </c>
      <c r="C114" s="2" t="s">
        <v>189</v>
      </c>
      <c r="D114" s="2" t="s">
        <v>9</v>
      </c>
      <c r="E114" s="2"/>
      <c r="F114" s="2" t="s">
        <v>11</v>
      </c>
      <c r="G114" s="3">
        <v>2560.7800000000002</v>
      </c>
    </row>
    <row r="115" spans="2:7">
      <c r="B115" s="2" t="s">
        <v>190</v>
      </c>
      <c r="C115" s="2" t="s">
        <v>191</v>
      </c>
      <c r="D115" s="2" t="s">
        <v>9</v>
      </c>
      <c r="E115" s="2"/>
      <c r="F115" s="2" t="s">
        <v>11</v>
      </c>
      <c r="G115" s="3">
        <v>2558.73</v>
      </c>
    </row>
    <row r="116" spans="2:7">
      <c r="B116" s="2">
        <v>10</v>
      </c>
      <c r="C116" s="2" t="s">
        <v>192</v>
      </c>
      <c r="D116" s="2" t="s">
        <v>9</v>
      </c>
      <c r="E116" s="2"/>
      <c r="F116" s="2" t="s">
        <v>11</v>
      </c>
      <c r="G116" s="3">
        <v>2525.04</v>
      </c>
    </row>
    <row r="117" spans="2:7">
      <c r="B117" s="2" t="s">
        <v>193</v>
      </c>
      <c r="C117" s="2" t="s">
        <v>194</v>
      </c>
      <c r="D117" s="2" t="s">
        <v>9</v>
      </c>
      <c r="E117" s="2"/>
      <c r="F117" s="2" t="s">
        <v>11</v>
      </c>
      <c r="G117" s="3">
        <v>2486.2199999999998</v>
      </c>
    </row>
    <row r="118" spans="2:7">
      <c r="B118" s="2">
        <v>4205</v>
      </c>
      <c r="C118" s="2" t="s">
        <v>195</v>
      </c>
      <c r="D118" s="2" t="s">
        <v>9</v>
      </c>
      <c r="E118" s="2"/>
      <c r="F118" s="2" t="s">
        <v>11</v>
      </c>
      <c r="G118" s="3">
        <v>2423.44</v>
      </c>
    </row>
    <row r="119" spans="2:7">
      <c r="B119" s="2">
        <v>532929</v>
      </c>
      <c r="C119" s="2" t="s">
        <v>196</v>
      </c>
      <c r="D119" s="2" t="s">
        <v>9</v>
      </c>
      <c r="E119" s="2"/>
      <c r="F119" s="2" t="s">
        <v>11</v>
      </c>
      <c r="G119" s="3">
        <v>2409.7800000000002</v>
      </c>
    </row>
    <row r="120" spans="2:7">
      <c r="B120" s="2">
        <v>532144</v>
      </c>
      <c r="C120" s="2" t="s">
        <v>197</v>
      </c>
      <c r="D120" s="2" t="s">
        <v>9</v>
      </c>
      <c r="E120" s="2"/>
      <c r="F120" s="2" t="s">
        <v>11</v>
      </c>
      <c r="G120" s="3">
        <v>2325.13</v>
      </c>
    </row>
    <row r="121" spans="2:7">
      <c r="B121" s="2">
        <v>9504</v>
      </c>
      <c r="C121" s="2" t="s">
        <v>198</v>
      </c>
      <c r="D121" s="2" t="s">
        <v>9</v>
      </c>
      <c r="E121" s="2"/>
      <c r="F121" s="2" t="s">
        <v>11</v>
      </c>
      <c r="G121" s="3">
        <v>2254.2199999999998</v>
      </c>
    </row>
    <row r="122" spans="2:7">
      <c r="B122" s="2" t="s">
        <v>199</v>
      </c>
      <c r="C122" s="2" t="s">
        <v>200</v>
      </c>
      <c r="D122" s="2" t="s">
        <v>9</v>
      </c>
      <c r="E122" s="2" t="s">
        <v>10</v>
      </c>
      <c r="F122" s="2" t="s">
        <v>11</v>
      </c>
      <c r="G122" s="3">
        <v>2226.73</v>
      </c>
    </row>
    <row r="123" spans="2:7">
      <c r="B123" s="2" t="s">
        <v>201</v>
      </c>
      <c r="C123" s="2" t="s">
        <v>202</v>
      </c>
      <c r="D123" s="2" t="s">
        <v>9</v>
      </c>
      <c r="E123" s="2"/>
      <c r="F123" s="2" t="s">
        <v>11</v>
      </c>
      <c r="G123" s="3">
        <v>2177.7399999999998</v>
      </c>
    </row>
    <row r="124" spans="2:7">
      <c r="B124" s="2">
        <v>4043</v>
      </c>
      <c r="C124" s="2" t="s">
        <v>203</v>
      </c>
      <c r="D124" s="2" t="s">
        <v>9</v>
      </c>
      <c r="E124" s="2"/>
      <c r="F124" s="2" t="s">
        <v>11</v>
      </c>
      <c r="G124" s="3">
        <v>2092.5500000000002</v>
      </c>
    </row>
    <row r="125" spans="2:7">
      <c r="B125" s="2">
        <v>9507</v>
      </c>
      <c r="C125" s="2" t="s">
        <v>204</v>
      </c>
      <c r="D125" s="2" t="s">
        <v>9</v>
      </c>
      <c r="E125" s="2"/>
      <c r="F125" s="2" t="s">
        <v>11</v>
      </c>
      <c r="G125" s="3">
        <v>2083.62</v>
      </c>
    </row>
    <row r="126" spans="2:7">
      <c r="B126" s="2">
        <v>7173</v>
      </c>
      <c r="C126" s="2" t="s">
        <v>205</v>
      </c>
      <c r="D126" s="2" t="s">
        <v>9</v>
      </c>
      <c r="E126" s="2"/>
      <c r="F126" s="2" t="s">
        <v>11</v>
      </c>
      <c r="G126" s="3">
        <v>1949.81</v>
      </c>
    </row>
    <row r="127" spans="2:7">
      <c r="B127" s="2" t="s">
        <v>206</v>
      </c>
      <c r="C127" s="2" t="s">
        <v>207</v>
      </c>
      <c r="D127" s="2" t="s">
        <v>9</v>
      </c>
      <c r="E127" s="2"/>
      <c r="F127" s="2" t="s">
        <v>11</v>
      </c>
      <c r="G127" s="3">
        <v>1944.67</v>
      </c>
    </row>
    <row r="128" spans="2:7">
      <c r="B128" s="2">
        <v>6436</v>
      </c>
      <c r="C128" s="2" t="s">
        <v>208</v>
      </c>
      <c r="D128" s="2" t="s">
        <v>9</v>
      </c>
      <c r="E128" s="2"/>
      <c r="F128" s="2" t="s">
        <v>11</v>
      </c>
      <c r="G128" s="3">
        <v>1936.36</v>
      </c>
    </row>
    <row r="129" spans="2:7">
      <c r="B129" s="2">
        <v>500233</v>
      </c>
      <c r="C129" s="2" t="s">
        <v>209</v>
      </c>
      <c r="D129" s="2" t="s">
        <v>9</v>
      </c>
      <c r="E129" s="2"/>
      <c r="F129" s="2" t="s">
        <v>11</v>
      </c>
      <c r="G129" s="3">
        <v>1935.73</v>
      </c>
    </row>
    <row r="130" spans="2:7">
      <c r="B130" s="2">
        <v>3189</v>
      </c>
      <c r="C130" s="2" t="s">
        <v>210</v>
      </c>
      <c r="D130" s="2" t="s">
        <v>9</v>
      </c>
      <c r="E130" s="2"/>
      <c r="F130" s="2" t="s">
        <v>11</v>
      </c>
      <c r="G130" s="3">
        <v>1930.58</v>
      </c>
    </row>
    <row r="131" spans="2:7">
      <c r="B131" s="2" t="s">
        <v>211</v>
      </c>
      <c r="C131" s="2" t="s">
        <v>212</v>
      </c>
      <c r="D131" s="2" t="s">
        <v>9</v>
      </c>
      <c r="E131" s="2"/>
      <c r="F131" s="2" t="s">
        <v>11</v>
      </c>
      <c r="G131" s="3">
        <v>1916.68</v>
      </c>
    </row>
    <row r="132" spans="2:7">
      <c r="B132" s="2" t="s">
        <v>213</v>
      </c>
      <c r="C132" s="2" t="s">
        <v>214</v>
      </c>
      <c r="D132" s="2" t="s">
        <v>9</v>
      </c>
      <c r="E132" s="2"/>
      <c r="F132" s="2" t="s">
        <v>11</v>
      </c>
      <c r="G132" s="3">
        <v>1873.45</v>
      </c>
    </row>
    <row r="133" spans="2:7">
      <c r="B133" s="2">
        <v>6454</v>
      </c>
      <c r="C133" s="2" t="s">
        <v>215</v>
      </c>
      <c r="D133" s="2" t="s">
        <v>9</v>
      </c>
      <c r="E133" s="2"/>
      <c r="F133" s="2" t="s">
        <v>11</v>
      </c>
      <c r="G133" s="3">
        <v>1870</v>
      </c>
    </row>
    <row r="134" spans="2:7">
      <c r="B134" s="2" t="s">
        <v>216</v>
      </c>
      <c r="C134" s="2" t="s">
        <v>217</v>
      </c>
      <c r="D134" s="2" t="s">
        <v>9</v>
      </c>
      <c r="E134" s="2"/>
      <c r="F134" s="2" t="s">
        <v>11</v>
      </c>
      <c r="G134" s="3">
        <v>1831.98</v>
      </c>
    </row>
    <row r="135" spans="2:7">
      <c r="B135" s="2">
        <v>6508</v>
      </c>
      <c r="C135" s="2" t="s">
        <v>218</v>
      </c>
      <c r="D135" s="2" t="s">
        <v>9</v>
      </c>
      <c r="E135" s="2"/>
      <c r="F135" s="2" t="s">
        <v>11</v>
      </c>
      <c r="G135" s="3">
        <v>1819.6</v>
      </c>
    </row>
    <row r="136" spans="2:7">
      <c r="B136" s="2">
        <v>6135</v>
      </c>
      <c r="C136" s="2" t="s">
        <v>219</v>
      </c>
      <c r="D136" s="2" t="s">
        <v>9</v>
      </c>
      <c r="E136" s="2"/>
      <c r="F136" s="2" t="s">
        <v>11</v>
      </c>
      <c r="G136" s="3">
        <v>1813.54</v>
      </c>
    </row>
    <row r="137" spans="2:7">
      <c r="B137" s="2" t="s">
        <v>220</v>
      </c>
      <c r="C137" s="2" t="s">
        <v>221</v>
      </c>
      <c r="D137" s="2" t="s">
        <v>9</v>
      </c>
      <c r="E137" s="2"/>
      <c r="F137" s="2" t="s">
        <v>11</v>
      </c>
      <c r="G137" s="3">
        <v>1804.55</v>
      </c>
    </row>
    <row r="138" spans="2:7">
      <c r="B138" s="2">
        <v>2782</v>
      </c>
      <c r="C138" s="2" t="s">
        <v>222</v>
      </c>
      <c r="D138" s="2" t="s">
        <v>9</v>
      </c>
      <c r="E138" s="2"/>
      <c r="F138" s="2" t="s">
        <v>11</v>
      </c>
      <c r="G138" s="3">
        <v>1766.06</v>
      </c>
    </row>
    <row r="139" spans="2:7">
      <c r="B139" s="2">
        <v>9759</v>
      </c>
      <c r="C139" s="2" t="s">
        <v>223</v>
      </c>
      <c r="D139" s="2" t="s">
        <v>9</v>
      </c>
      <c r="E139" s="2"/>
      <c r="F139" s="2" t="s">
        <v>11</v>
      </c>
      <c r="G139" s="3">
        <v>1741.74</v>
      </c>
    </row>
    <row r="140" spans="2:7">
      <c r="B140" s="2" t="s">
        <v>224</v>
      </c>
      <c r="C140" s="2" t="s">
        <v>225</v>
      </c>
      <c r="D140" s="2" t="s">
        <v>9</v>
      </c>
      <c r="E140" s="2"/>
      <c r="F140" s="2" t="s">
        <v>11</v>
      </c>
      <c r="G140" s="3">
        <v>1732.82</v>
      </c>
    </row>
    <row r="141" spans="2:7">
      <c r="B141" s="2">
        <v>532605</v>
      </c>
      <c r="C141" s="2" t="s">
        <v>226</v>
      </c>
      <c r="D141" s="2" t="s">
        <v>9</v>
      </c>
      <c r="E141" s="2"/>
      <c r="F141" s="2" t="s">
        <v>11</v>
      </c>
      <c r="G141" s="3">
        <v>1731.74</v>
      </c>
    </row>
    <row r="142" spans="2:7">
      <c r="B142" s="2">
        <v>524200</v>
      </c>
      <c r="C142" s="2" t="s">
        <v>227</v>
      </c>
      <c r="D142" s="2" t="s">
        <v>35</v>
      </c>
      <c r="E142" s="2"/>
      <c r="F142" s="2" t="s">
        <v>11</v>
      </c>
      <c r="G142" s="3">
        <v>1724.28</v>
      </c>
    </row>
    <row r="143" spans="2:7">
      <c r="B143" s="2" t="s">
        <v>228</v>
      </c>
      <c r="C143" s="2" t="s">
        <v>229</v>
      </c>
      <c r="D143" s="2" t="s">
        <v>9</v>
      </c>
      <c r="E143" s="2" t="s">
        <v>10</v>
      </c>
      <c r="F143" s="2" t="s">
        <v>11</v>
      </c>
      <c r="G143" s="3">
        <v>1723.67</v>
      </c>
    </row>
    <row r="144" spans="2:7">
      <c r="B144" s="2">
        <v>5191</v>
      </c>
      <c r="C144" s="2" t="s">
        <v>231</v>
      </c>
      <c r="D144" s="2" t="s">
        <v>9</v>
      </c>
      <c r="E144" s="2"/>
      <c r="F144" s="2" t="s">
        <v>11</v>
      </c>
      <c r="G144" s="3">
        <v>1708.67</v>
      </c>
    </row>
    <row r="145" spans="2:7">
      <c r="B145" s="2" t="s">
        <v>232</v>
      </c>
      <c r="C145" s="2" t="s">
        <v>233</v>
      </c>
      <c r="D145" s="2" t="s">
        <v>35</v>
      </c>
      <c r="E145" s="2"/>
      <c r="F145" s="2" t="s">
        <v>11</v>
      </c>
      <c r="G145" s="3">
        <v>1668.36</v>
      </c>
    </row>
    <row r="146" spans="2:7">
      <c r="B146" s="2">
        <v>1941</v>
      </c>
      <c r="C146" s="2" t="s">
        <v>234</v>
      </c>
      <c r="D146" s="2" t="s">
        <v>9</v>
      </c>
      <c r="E146" s="2"/>
      <c r="F146" s="2" t="s">
        <v>11</v>
      </c>
      <c r="G146" s="3">
        <v>1666.77</v>
      </c>
    </row>
    <row r="147" spans="2:7">
      <c r="B147" s="2" t="s">
        <v>235</v>
      </c>
      <c r="C147" s="2" t="s">
        <v>236</v>
      </c>
      <c r="D147" s="2" t="s">
        <v>9</v>
      </c>
      <c r="E147" s="2"/>
      <c r="F147" s="2" t="s">
        <v>11</v>
      </c>
      <c r="G147" s="3">
        <v>1601.14</v>
      </c>
    </row>
    <row r="148" spans="2:7">
      <c r="B148" s="2">
        <v>2127</v>
      </c>
      <c r="C148" s="2" t="s">
        <v>237</v>
      </c>
      <c r="D148" s="2" t="s">
        <v>9</v>
      </c>
      <c r="E148" s="2"/>
      <c r="F148" s="2" t="s">
        <v>11</v>
      </c>
      <c r="G148" s="3">
        <v>1462.41</v>
      </c>
    </row>
    <row r="149" spans="2:7">
      <c r="B149" s="2" t="s">
        <v>238</v>
      </c>
      <c r="C149" s="2" t="s">
        <v>239</v>
      </c>
      <c r="D149" s="2" t="s">
        <v>9</v>
      </c>
      <c r="E149" s="2"/>
      <c r="F149" s="2" t="s">
        <v>11</v>
      </c>
      <c r="G149" s="3">
        <v>1451.24</v>
      </c>
    </row>
    <row r="150" spans="2:7">
      <c r="B150" s="2">
        <v>9509</v>
      </c>
      <c r="C150" s="2" t="s">
        <v>240</v>
      </c>
      <c r="D150" s="2" t="s">
        <v>9</v>
      </c>
      <c r="E150" s="2"/>
      <c r="F150" s="2" t="s">
        <v>11</v>
      </c>
      <c r="G150" s="3">
        <v>1375.29</v>
      </c>
    </row>
    <row r="151" spans="2:7">
      <c r="B151" s="2">
        <v>526612</v>
      </c>
      <c r="C151" s="2" t="s">
        <v>241</v>
      </c>
      <c r="D151" s="2" t="s">
        <v>9</v>
      </c>
      <c r="E151" s="2"/>
      <c r="F151" s="2" t="s">
        <v>11</v>
      </c>
      <c r="G151" s="3">
        <v>1372.25</v>
      </c>
    </row>
    <row r="152" spans="2:7">
      <c r="B152" s="2" t="s">
        <v>242</v>
      </c>
      <c r="C152" s="2" t="s">
        <v>243</v>
      </c>
      <c r="D152" s="2" t="s">
        <v>9</v>
      </c>
      <c r="E152" s="2"/>
      <c r="F152" s="2" t="s">
        <v>11</v>
      </c>
      <c r="G152" s="3">
        <v>1356.47</v>
      </c>
    </row>
    <row r="153" spans="2:7">
      <c r="B153" s="2">
        <v>4547</v>
      </c>
      <c r="C153" s="2" t="s">
        <v>244</v>
      </c>
      <c r="D153" s="2" t="s">
        <v>9</v>
      </c>
      <c r="E153" s="2"/>
      <c r="F153" s="2" t="s">
        <v>11</v>
      </c>
      <c r="G153" s="3">
        <v>1211.51</v>
      </c>
    </row>
    <row r="154" spans="2:7">
      <c r="B154" s="2">
        <v>1950</v>
      </c>
      <c r="C154" s="2" t="s">
        <v>245</v>
      </c>
      <c r="D154" s="2" t="s">
        <v>9</v>
      </c>
      <c r="E154" s="2"/>
      <c r="F154" s="2" t="s">
        <v>11</v>
      </c>
      <c r="G154" s="3">
        <v>1177.07</v>
      </c>
    </row>
    <row r="155" spans="2:7">
      <c r="B155" s="2">
        <v>2121</v>
      </c>
      <c r="C155" s="2" t="s">
        <v>246</v>
      </c>
      <c r="D155" s="2" t="s">
        <v>9</v>
      </c>
      <c r="E155" s="2"/>
      <c r="F155" s="2" t="s">
        <v>11</v>
      </c>
      <c r="G155" s="3">
        <v>1159.81</v>
      </c>
    </row>
    <row r="156" spans="2:7">
      <c r="B156" s="2">
        <v>8585</v>
      </c>
      <c r="C156" s="2" t="s">
        <v>247</v>
      </c>
      <c r="D156" s="2" t="s">
        <v>9</v>
      </c>
      <c r="E156" s="2"/>
      <c r="F156" s="2" t="s">
        <v>11</v>
      </c>
      <c r="G156" s="3">
        <v>1147.01</v>
      </c>
    </row>
    <row r="157" spans="2:7">
      <c r="B157" s="2">
        <v>7476</v>
      </c>
      <c r="C157" s="2" t="s">
        <v>248</v>
      </c>
      <c r="D157" s="2" t="s">
        <v>9</v>
      </c>
      <c r="E157" s="2"/>
      <c r="F157" s="2" t="s">
        <v>11</v>
      </c>
      <c r="G157" s="3">
        <v>1142.3599999999999</v>
      </c>
    </row>
    <row r="158" spans="2:7">
      <c r="B158" s="2" t="s">
        <v>249</v>
      </c>
      <c r="C158" s="2" t="s">
        <v>250</v>
      </c>
      <c r="D158" s="2" t="s">
        <v>9</v>
      </c>
      <c r="E158" s="2"/>
      <c r="F158" s="2" t="s">
        <v>11</v>
      </c>
      <c r="G158" s="3">
        <v>1141.76</v>
      </c>
    </row>
    <row r="159" spans="2:7">
      <c r="B159" s="2" t="s">
        <v>251</v>
      </c>
      <c r="C159" s="2" t="s">
        <v>252</v>
      </c>
      <c r="D159" s="2" t="s">
        <v>35</v>
      </c>
      <c r="E159" s="2"/>
      <c r="F159" s="2" t="s">
        <v>11</v>
      </c>
      <c r="G159" s="3">
        <v>1138.9000000000001</v>
      </c>
    </row>
    <row r="160" spans="2:7">
      <c r="B160" s="2">
        <v>530517</v>
      </c>
      <c r="C160" s="2" t="s">
        <v>253</v>
      </c>
      <c r="D160" s="2" t="s">
        <v>9</v>
      </c>
      <c r="E160" s="2"/>
      <c r="F160" s="2" t="s">
        <v>11</v>
      </c>
      <c r="G160" s="3">
        <v>1123.42</v>
      </c>
    </row>
    <row r="161" spans="2:7">
      <c r="B161" s="2" t="s">
        <v>254</v>
      </c>
      <c r="C161" s="2" t="s">
        <v>255</v>
      </c>
      <c r="D161" s="2" t="s">
        <v>9</v>
      </c>
      <c r="E161" s="2"/>
      <c r="F161" s="2" t="s">
        <v>11</v>
      </c>
      <c r="G161" s="3">
        <v>1108.56</v>
      </c>
    </row>
    <row r="162" spans="2:7">
      <c r="B162" s="2" t="s">
        <v>257</v>
      </c>
      <c r="C162" s="2" t="s">
        <v>258</v>
      </c>
      <c r="D162" s="2" t="s">
        <v>35</v>
      </c>
      <c r="E162" s="2"/>
      <c r="F162" s="2" t="s">
        <v>11</v>
      </c>
      <c r="G162" s="3">
        <v>1072.56</v>
      </c>
    </row>
    <row r="163" spans="2:7">
      <c r="B163" s="2">
        <v>9936</v>
      </c>
      <c r="C163" s="2" t="s">
        <v>256</v>
      </c>
      <c r="D163" s="2" t="s">
        <v>9</v>
      </c>
      <c r="E163" s="2"/>
      <c r="F163" s="2" t="s">
        <v>11</v>
      </c>
      <c r="G163" s="3">
        <v>1072.56</v>
      </c>
    </row>
    <row r="164" spans="2:7">
      <c r="B164" s="2" t="s">
        <v>259</v>
      </c>
      <c r="C164" s="2" t="s">
        <v>260</v>
      </c>
      <c r="D164" s="2" t="s">
        <v>9</v>
      </c>
      <c r="E164" s="2"/>
      <c r="F164" s="2" t="s">
        <v>11</v>
      </c>
      <c r="G164" s="3">
        <v>1068.71</v>
      </c>
    </row>
    <row r="165" spans="2:7">
      <c r="B165" s="2">
        <v>9708</v>
      </c>
      <c r="C165" s="2" t="s">
        <v>261</v>
      </c>
      <c r="D165" s="2" t="s">
        <v>9</v>
      </c>
      <c r="E165" s="2"/>
      <c r="F165" s="2" t="s">
        <v>11</v>
      </c>
      <c r="G165" s="3">
        <v>1062.3900000000001</v>
      </c>
    </row>
    <row r="166" spans="2:7">
      <c r="B166" s="2" t="s">
        <v>262</v>
      </c>
      <c r="C166" s="2" t="s">
        <v>263</v>
      </c>
      <c r="D166" s="2" t="s">
        <v>9</v>
      </c>
      <c r="E166" s="2"/>
      <c r="F166" s="2" t="s">
        <v>11</v>
      </c>
      <c r="G166" s="3">
        <v>1059.1600000000001</v>
      </c>
    </row>
    <row r="167" spans="2:7">
      <c r="B167" s="2">
        <v>8388</v>
      </c>
      <c r="C167" s="2" t="s">
        <v>264</v>
      </c>
      <c r="D167" s="2" t="s">
        <v>9</v>
      </c>
      <c r="E167" s="2"/>
      <c r="F167" s="2" t="s">
        <v>11</v>
      </c>
      <c r="G167" s="3">
        <v>1054.1199999999999</v>
      </c>
    </row>
    <row r="168" spans="2:7">
      <c r="B168" s="2" t="s">
        <v>265</v>
      </c>
      <c r="C168" s="2" t="s">
        <v>266</v>
      </c>
      <c r="D168" s="2" t="s">
        <v>9</v>
      </c>
      <c r="E168" s="2"/>
      <c r="F168" s="2" t="s">
        <v>11</v>
      </c>
      <c r="G168" s="3">
        <v>1050.3900000000001</v>
      </c>
    </row>
    <row r="169" spans="2:7">
      <c r="B169" s="2">
        <v>9110</v>
      </c>
      <c r="C169" s="2" t="s">
        <v>267</v>
      </c>
      <c r="D169" s="2" t="s">
        <v>9</v>
      </c>
      <c r="E169" s="2"/>
      <c r="F169" s="2" t="s">
        <v>11</v>
      </c>
      <c r="G169" s="3">
        <v>1038.99</v>
      </c>
    </row>
    <row r="170" spans="2:7">
      <c r="B170" s="2" t="s">
        <v>268</v>
      </c>
      <c r="C170" s="2" t="s">
        <v>269</v>
      </c>
      <c r="D170" s="2" t="s">
        <v>9</v>
      </c>
      <c r="E170" s="2"/>
      <c r="F170" s="2" t="s">
        <v>11</v>
      </c>
      <c r="G170" s="3">
        <v>1034.77</v>
      </c>
    </row>
    <row r="171" spans="2:7">
      <c r="B171" s="2" t="s">
        <v>270</v>
      </c>
      <c r="C171" s="2" t="s">
        <v>271</v>
      </c>
      <c r="D171" s="2" t="s">
        <v>9</v>
      </c>
      <c r="E171" s="2"/>
      <c r="F171" s="2" t="s">
        <v>11</v>
      </c>
      <c r="G171" s="3">
        <v>1030.08</v>
      </c>
    </row>
    <row r="172" spans="2:7">
      <c r="B172" s="2">
        <v>5703</v>
      </c>
      <c r="C172" s="2" t="s">
        <v>272</v>
      </c>
      <c r="D172" s="2" t="s">
        <v>9</v>
      </c>
      <c r="E172" s="2"/>
      <c r="F172" s="2" t="s">
        <v>11</v>
      </c>
      <c r="G172" s="3">
        <v>974.77</v>
      </c>
    </row>
    <row r="173" spans="2:7">
      <c r="B173" s="2" t="s">
        <v>273</v>
      </c>
      <c r="C173" s="2" t="s">
        <v>274</v>
      </c>
      <c r="D173" s="2" t="s">
        <v>9</v>
      </c>
      <c r="E173" s="2"/>
      <c r="F173" s="2" t="s">
        <v>11</v>
      </c>
      <c r="G173" s="3">
        <v>973.78</v>
      </c>
    </row>
    <row r="174" spans="2:7">
      <c r="B174" s="2">
        <v>8803</v>
      </c>
      <c r="C174" s="2" t="s">
        <v>275</v>
      </c>
      <c r="D174" s="2" t="s">
        <v>9</v>
      </c>
      <c r="E174" s="2"/>
      <c r="F174" s="2" t="s">
        <v>11</v>
      </c>
      <c r="G174" s="3">
        <v>965.47</v>
      </c>
    </row>
    <row r="175" spans="2:7">
      <c r="B175" s="2" t="s">
        <v>276</v>
      </c>
      <c r="C175" s="2" t="s">
        <v>277</v>
      </c>
      <c r="D175" s="2" t="s">
        <v>9</v>
      </c>
      <c r="E175" s="2"/>
      <c r="F175" s="2" t="s">
        <v>11</v>
      </c>
      <c r="G175" s="3">
        <v>961.36</v>
      </c>
    </row>
    <row r="176" spans="2:7">
      <c r="B176" s="2">
        <v>9715</v>
      </c>
      <c r="C176" s="2" t="s">
        <v>278</v>
      </c>
      <c r="D176" s="2" t="s">
        <v>9</v>
      </c>
      <c r="E176" s="2"/>
      <c r="F176" s="2" t="s">
        <v>11</v>
      </c>
      <c r="G176" s="3">
        <v>945.12</v>
      </c>
    </row>
    <row r="177" spans="2:7">
      <c r="B177" s="2">
        <v>9882</v>
      </c>
      <c r="C177" s="2" t="s">
        <v>279</v>
      </c>
      <c r="D177" s="2" t="s">
        <v>9</v>
      </c>
      <c r="E177" s="2"/>
      <c r="F177" s="2" t="s">
        <v>11</v>
      </c>
      <c r="G177" s="3">
        <v>942.49</v>
      </c>
    </row>
    <row r="178" spans="2:7">
      <c r="B178" s="2" t="s">
        <v>280</v>
      </c>
      <c r="C178" s="2" t="s">
        <v>281</v>
      </c>
      <c r="D178" s="2" t="s">
        <v>9</v>
      </c>
      <c r="E178" s="2"/>
      <c r="F178" s="2" t="s">
        <v>11</v>
      </c>
      <c r="G178" s="3">
        <v>931.38</v>
      </c>
    </row>
    <row r="179" spans="2:7">
      <c r="B179" s="2">
        <v>5352</v>
      </c>
      <c r="C179" s="2" t="s">
        <v>282</v>
      </c>
      <c r="D179" s="2" t="s">
        <v>9</v>
      </c>
      <c r="E179" s="2"/>
      <c r="F179" s="2" t="s">
        <v>11</v>
      </c>
      <c r="G179" s="3">
        <v>902.31</v>
      </c>
    </row>
    <row r="180" spans="2:7">
      <c r="B180" s="2">
        <v>2175</v>
      </c>
      <c r="C180" s="2" t="s">
        <v>283</v>
      </c>
      <c r="D180" s="2" t="s">
        <v>9</v>
      </c>
      <c r="E180" s="2"/>
      <c r="F180" s="2" t="s">
        <v>11</v>
      </c>
      <c r="G180" s="3">
        <v>882.33</v>
      </c>
    </row>
    <row r="181" spans="2:7">
      <c r="B181" s="2">
        <v>500335</v>
      </c>
      <c r="C181" s="2" t="s">
        <v>284</v>
      </c>
      <c r="D181" s="2" t="s">
        <v>35</v>
      </c>
      <c r="E181" s="2"/>
      <c r="F181" s="2" t="s">
        <v>11</v>
      </c>
      <c r="G181" s="3">
        <v>864.33</v>
      </c>
    </row>
    <row r="182" spans="2:7">
      <c r="B182" s="2" t="s">
        <v>285</v>
      </c>
      <c r="C182" s="2" t="s">
        <v>286</v>
      </c>
      <c r="D182" s="2" t="s">
        <v>9</v>
      </c>
      <c r="E182" s="2"/>
      <c r="F182" s="2" t="s">
        <v>11</v>
      </c>
      <c r="G182" s="3">
        <v>857.09</v>
      </c>
    </row>
    <row r="183" spans="2:7">
      <c r="B183" s="2">
        <v>500101</v>
      </c>
      <c r="C183" s="2" t="s">
        <v>287</v>
      </c>
      <c r="D183" s="2" t="s">
        <v>9</v>
      </c>
      <c r="E183" s="2"/>
      <c r="F183" s="2" t="s">
        <v>11</v>
      </c>
      <c r="G183" s="3">
        <v>851.62</v>
      </c>
    </row>
    <row r="184" spans="2:7">
      <c r="B184" s="2">
        <v>9832</v>
      </c>
      <c r="C184" s="2" t="s">
        <v>288</v>
      </c>
      <c r="D184" s="2" t="s">
        <v>9</v>
      </c>
      <c r="E184" s="2"/>
      <c r="F184" s="2" t="s">
        <v>11</v>
      </c>
      <c r="G184" s="3">
        <v>844.17</v>
      </c>
    </row>
    <row r="185" spans="2:7">
      <c r="B185" s="2" t="s">
        <v>289</v>
      </c>
      <c r="C185" s="2" t="s">
        <v>290</v>
      </c>
      <c r="D185" s="2" t="s">
        <v>9</v>
      </c>
      <c r="E185" s="2"/>
      <c r="F185" s="2" t="s">
        <v>11</v>
      </c>
      <c r="G185" s="3">
        <v>811.77</v>
      </c>
    </row>
    <row r="186" spans="2:7">
      <c r="B186" s="2" t="s">
        <v>291</v>
      </c>
      <c r="C186" s="2" t="s">
        <v>292</v>
      </c>
      <c r="D186" s="2" t="s">
        <v>9</v>
      </c>
      <c r="E186" s="2"/>
      <c r="F186" s="2" t="s">
        <v>11</v>
      </c>
      <c r="G186" s="3">
        <v>808.36</v>
      </c>
    </row>
    <row r="187" spans="2:7">
      <c r="B187" s="2">
        <v>6455</v>
      </c>
      <c r="C187" s="2" t="s">
        <v>293</v>
      </c>
      <c r="D187" s="2" t="s">
        <v>9</v>
      </c>
      <c r="E187" s="2"/>
      <c r="F187" s="2" t="s">
        <v>11</v>
      </c>
      <c r="G187" s="3">
        <v>770.16</v>
      </c>
    </row>
    <row r="188" spans="2:7">
      <c r="B188" s="2">
        <v>8892</v>
      </c>
      <c r="C188" s="2" t="s">
        <v>294</v>
      </c>
      <c r="D188" s="2" t="s">
        <v>9</v>
      </c>
      <c r="E188" s="2"/>
      <c r="F188" s="2" t="s">
        <v>11</v>
      </c>
      <c r="G188" s="3">
        <v>749.39</v>
      </c>
    </row>
    <row r="189" spans="2:7">
      <c r="B189" s="2">
        <v>533286</v>
      </c>
      <c r="C189" s="2" t="s">
        <v>295</v>
      </c>
      <c r="D189" s="2" t="s">
        <v>9</v>
      </c>
      <c r="E189" s="2"/>
      <c r="F189" s="2" t="s">
        <v>11</v>
      </c>
      <c r="G189" s="3">
        <v>743.67</v>
      </c>
    </row>
    <row r="190" spans="2:7">
      <c r="B190" s="2">
        <v>6777</v>
      </c>
      <c r="C190" s="2" t="s">
        <v>296</v>
      </c>
      <c r="D190" s="2" t="s">
        <v>9</v>
      </c>
      <c r="E190" s="2"/>
      <c r="F190" s="2" t="s">
        <v>11</v>
      </c>
      <c r="G190" s="3">
        <v>724.95</v>
      </c>
    </row>
    <row r="191" spans="2:7">
      <c r="B191" s="2">
        <v>7575</v>
      </c>
      <c r="C191" s="2" t="s">
        <v>297</v>
      </c>
      <c r="D191" s="2" t="s">
        <v>9</v>
      </c>
      <c r="E191" s="2"/>
      <c r="F191" s="2" t="s">
        <v>11</v>
      </c>
      <c r="G191" s="3">
        <v>722.96</v>
      </c>
    </row>
    <row r="192" spans="2:7">
      <c r="B192" s="2">
        <v>6491</v>
      </c>
      <c r="C192" s="2" t="s">
        <v>298</v>
      </c>
      <c r="D192" s="2" t="s">
        <v>9</v>
      </c>
      <c r="E192" s="2"/>
      <c r="F192" s="2" t="s">
        <v>11</v>
      </c>
      <c r="G192" s="3">
        <v>719.61</v>
      </c>
    </row>
    <row r="193" spans="2:7">
      <c r="B193" s="2">
        <v>7595</v>
      </c>
      <c r="C193" s="2" t="s">
        <v>299</v>
      </c>
      <c r="D193" s="2" t="s">
        <v>9</v>
      </c>
      <c r="E193" s="2"/>
      <c r="F193" s="2" t="s">
        <v>11</v>
      </c>
      <c r="G193" s="3">
        <v>719.08</v>
      </c>
    </row>
    <row r="194" spans="2:7">
      <c r="B194" s="2">
        <v>8871</v>
      </c>
      <c r="C194" s="2" t="s">
        <v>300</v>
      </c>
      <c r="D194" s="2" t="s">
        <v>9</v>
      </c>
      <c r="E194" s="2"/>
      <c r="F194" s="2" t="s">
        <v>11</v>
      </c>
      <c r="G194" s="3">
        <v>705.99</v>
      </c>
    </row>
    <row r="195" spans="2:7">
      <c r="B195" s="2">
        <v>6080</v>
      </c>
      <c r="C195" s="2" t="s">
        <v>301</v>
      </c>
      <c r="D195" s="2" t="s">
        <v>9</v>
      </c>
      <c r="E195" s="2"/>
      <c r="F195" s="2" t="s">
        <v>11</v>
      </c>
      <c r="G195" s="3">
        <v>698.07</v>
      </c>
    </row>
    <row r="196" spans="2:7">
      <c r="B196" s="2">
        <v>8345</v>
      </c>
      <c r="C196" s="2" t="s">
        <v>302</v>
      </c>
      <c r="D196" s="2" t="s">
        <v>9</v>
      </c>
      <c r="E196" s="2"/>
      <c r="F196" s="2" t="s">
        <v>11</v>
      </c>
      <c r="G196" s="3">
        <v>694.69</v>
      </c>
    </row>
    <row r="197" spans="2:7">
      <c r="B197" s="2">
        <v>7943</v>
      </c>
      <c r="C197" s="2" t="s">
        <v>303</v>
      </c>
      <c r="D197" s="2" t="s">
        <v>9</v>
      </c>
      <c r="E197" s="2"/>
      <c r="F197" s="2" t="s">
        <v>11</v>
      </c>
      <c r="G197" s="3">
        <v>691.95</v>
      </c>
    </row>
    <row r="198" spans="2:7">
      <c r="B198" s="2">
        <v>2805</v>
      </c>
      <c r="C198" s="2" t="s">
        <v>304</v>
      </c>
      <c r="D198" s="2" t="s">
        <v>9</v>
      </c>
      <c r="E198" s="2"/>
      <c r="F198" s="2" t="s">
        <v>11</v>
      </c>
      <c r="G198" s="3">
        <v>684.23</v>
      </c>
    </row>
    <row r="199" spans="2:7">
      <c r="B199" s="2">
        <v>6727</v>
      </c>
      <c r="C199" s="2" t="s">
        <v>305</v>
      </c>
      <c r="D199" s="2" t="s">
        <v>9</v>
      </c>
      <c r="E199" s="2"/>
      <c r="F199" s="2" t="s">
        <v>11</v>
      </c>
      <c r="G199" s="3">
        <v>681.69</v>
      </c>
    </row>
    <row r="200" spans="2:7">
      <c r="B200" s="2">
        <v>4216</v>
      </c>
      <c r="C200" s="2" t="s">
        <v>306</v>
      </c>
      <c r="D200" s="2" t="s">
        <v>9</v>
      </c>
      <c r="E200" s="2"/>
      <c r="F200" s="2" t="s">
        <v>11</v>
      </c>
      <c r="G200" s="3">
        <v>681.1</v>
      </c>
    </row>
    <row r="201" spans="2:7">
      <c r="B201" s="2" t="s">
        <v>307</v>
      </c>
      <c r="C201" s="2" t="s">
        <v>308</v>
      </c>
      <c r="D201" s="2" t="s">
        <v>9</v>
      </c>
      <c r="E201" s="2"/>
      <c r="F201" s="2" t="s">
        <v>11</v>
      </c>
      <c r="G201" s="3">
        <v>680.44</v>
      </c>
    </row>
    <row r="202" spans="2:7">
      <c r="B202" s="2">
        <v>2109</v>
      </c>
      <c r="C202" s="2" t="s">
        <v>309</v>
      </c>
      <c r="D202" s="2" t="s">
        <v>9</v>
      </c>
      <c r="E202" s="2"/>
      <c r="F202" s="2" t="s">
        <v>11</v>
      </c>
      <c r="G202" s="3">
        <v>662.34</v>
      </c>
    </row>
    <row r="203" spans="2:7">
      <c r="B203" s="2">
        <v>6104</v>
      </c>
      <c r="C203" s="2" t="s">
        <v>310</v>
      </c>
      <c r="D203" s="2" t="s">
        <v>9</v>
      </c>
      <c r="E203" s="2"/>
      <c r="F203" s="2" t="s">
        <v>11</v>
      </c>
      <c r="G203" s="3">
        <v>655.55</v>
      </c>
    </row>
    <row r="204" spans="2:7">
      <c r="B204" s="2">
        <v>8014</v>
      </c>
      <c r="C204" s="2" t="s">
        <v>311</v>
      </c>
      <c r="D204" s="2" t="s">
        <v>9</v>
      </c>
      <c r="E204" s="2"/>
      <c r="F204" s="2" t="s">
        <v>11</v>
      </c>
      <c r="G204" s="3">
        <v>636.16999999999996</v>
      </c>
    </row>
    <row r="205" spans="2:7">
      <c r="B205" s="2">
        <v>517168</v>
      </c>
      <c r="C205" s="2" t="s">
        <v>312</v>
      </c>
      <c r="D205" s="2" t="s">
        <v>9</v>
      </c>
      <c r="E205" s="2"/>
      <c r="F205" s="2" t="s">
        <v>11</v>
      </c>
      <c r="G205" s="3">
        <v>627.91</v>
      </c>
    </row>
    <row r="206" spans="2:7">
      <c r="B206" s="2">
        <v>8550</v>
      </c>
      <c r="C206" s="2" t="s">
        <v>313</v>
      </c>
      <c r="D206" s="2" t="s">
        <v>9</v>
      </c>
      <c r="E206" s="2"/>
      <c r="F206" s="2" t="s">
        <v>11</v>
      </c>
      <c r="G206" s="3">
        <v>611.48</v>
      </c>
    </row>
    <row r="207" spans="2:7">
      <c r="B207" s="2">
        <v>8818</v>
      </c>
      <c r="C207" s="2" t="s">
        <v>314</v>
      </c>
      <c r="D207" s="2" t="s">
        <v>9</v>
      </c>
      <c r="E207" s="2"/>
      <c r="F207" s="2" t="s">
        <v>11</v>
      </c>
      <c r="G207" s="3">
        <v>604.62</v>
      </c>
    </row>
    <row r="208" spans="2:7">
      <c r="B208" s="2">
        <v>7839</v>
      </c>
      <c r="C208" s="2" t="s">
        <v>315</v>
      </c>
      <c r="D208" s="2" t="s">
        <v>9</v>
      </c>
      <c r="E208" s="2"/>
      <c r="F208" s="2" t="s">
        <v>11</v>
      </c>
      <c r="G208" s="3">
        <v>600.35</v>
      </c>
    </row>
    <row r="209" spans="2:7">
      <c r="B209" s="2">
        <v>3762</v>
      </c>
      <c r="C209" s="2" t="s">
        <v>316</v>
      </c>
      <c r="D209" s="2" t="s">
        <v>9</v>
      </c>
      <c r="E209" s="2"/>
      <c r="F209" s="2" t="s">
        <v>11</v>
      </c>
      <c r="G209" s="3">
        <v>598.16</v>
      </c>
    </row>
    <row r="210" spans="2:7">
      <c r="B210" s="2">
        <v>9997</v>
      </c>
      <c r="C210" s="2" t="s">
        <v>317</v>
      </c>
      <c r="D210" s="2" t="s">
        <v>9</v>
      </c>
      <c r="E210" s="2"/>
      <c r="F210" s="2" t="s">
        <v>11</v>
      </c>
      <c r="G210" s="3">
        <v>594.5</v>
      </c>
    </row>
    <row r="211" spans="2:7">
      <c r="B211" s="2">
        <v>6810</v>
      </c>
      <c r="C211" s="2" t="s">
        <v>318</v>
      </c>
      <c r="D211" s="2" t="s">
        <v>9</v>
      </c>
      <c r="E211" s="2"/>
      <c r="F211" s="2" t="s">
        <v>11</v>
      </c>
      <c r="G211" s="3">
        <v>580.29999999999995</v>
      </c>
    </row>
    <row r="212" spans="2:7">
      <c r="B212" s="2">
        <v>6737</v>
      </c>
      <c r="C212" s="2" t="s">
        <v>319</v>
      </c>
      <c r="D212" s="2" t="s">
        <v>9</v>
      </c>
      <c r="E212" s="2"/>
      <c r="F212" s="2" t="s">
        <v>11</v>
      </c>
      <c r="G212" s="3">
        <v>576.25</v>
      </c>
    </row>
    <row r="213" spans="2:7">
      <c r="B213" s="2">
        <v>6961</v>
      </c>
      <c r="C213" s="2" t="s">
        <v>320</v>
      </c>
      <c r="D213" s="2" t="s">
        <v>9</v>
      </c>
      <c r="E213" s="2"/>
      <c r="F213" s="2" t="s">
        <v>11</v>
      </c>
      <c r="G213" s="3">
        <v>545.1</v>
      </c>
    </row>
    <row r="214" spans="2:7">
      <c r="B214" s="2">
        <v>4549</v>
      </c>
      <c r="C214" s="2" t="s">
        <v>321</v>
      </c>
      <c r="D214" s="2" t="s">
        <v>9</v>
      </c>
      <c r="E214" s="2"/>
      <c r="F214" s="2" t="s">
        <v>11</v>
      </c>
      <c r="G214" s="3">
        <v>531.49</v>
      </c>
    </row>
    <row r="215" spans="2:7">
      <c r="B215" s="2">
        <v>8084</v>
      </c>
      <c r="C215" s="2" t="s">
        <v>322</v>
      </c>
      <c r="D215" s="2" t="s">
        <v>9</v>
      </c>
      <c r="E215" s="2"/>
      <c r="F215" s="2" t="s">
        <v>11</v>
      </c>
      <c r="G215" s="3">
        <v>531.25</v>
      </c>
    </row>
    <row r="216" spans="2:7">
      <c r="B216" s="2">
        <v>6196</v>
      </c>
      <c r="C216" s="2" t="s">
        <v>323</v>
      </c>
      <c r="D216" s="2" t="s">
        <v>9</v>
      </c>
      <c r="E216" s="2"/>
      <c r="F216" s="2" t="s">
        <v>11</v>
      </c>
      <c r="G216" s="3">
        <v>524.99</v>
      </c>
    </row>
    <row r="217" spans="2:7">
      <c r="B217" s="2">
        <v>1976</v>
      </c>
      <c r="C217" s="2" t="s">
        <v>324</v>
      </c>
      <c r="D217" s="2" t="s">
        <v>9</v>
      </c>
      <c r="E217" s="2"/>
      <c r="F217" s="2" t="s">
        <v>11</v>
      </c>
      <c r="G217" s="3">
        <v>524.95000000000005</v>
      </c>
    </row>
    <row r="218" spans="2:7">
      <c r="B218" s="2" t="s">
        <v>325</v>
      </c>
      <c r="C218" s="2" t="s">
        <v>326</v>
      </c>
      <c r="D218" s="2" t="s">
        <v>9</v>
      </c>
      <c r="E218" s="2"/>
      <c r="F218" s="2" t="s">
        <v>11</v>
      </c>
      <c r="G218" s="3">
        <v>522.22</v>
      </c>
    </row>
    <row r="219" spans="2:7">
      <c r="B219" s="2">
        <v>2326</v>
      </c>
      <c r="C219" s="2" t="s">
        <v>327</v>
      </c>
      <c r="D219" s="2" t="s">
        <v>9</v>
      </c>
      <c r="E219" s="2"/>
      <c r="F219" s="2" t="s">
        <v>11</v>
      </c>
      <c r="G219" s="3">
        <v>517.37</v>
      </c>
    </row>
    <row r="220" spans="2:7">
      <c r="B220" s="2">
        <v>6946</v>
      </c>
      <c r="C220" s="2" t="s">
        <v>328</v>
      </c>
      <c r="D220" s="2" t="s">
        <v>9</v>
      </c>
      <c r="E220" s="2"/>
      <c r="F220" s="2" t="s">
        <v>11</v>
      </c>
      <c r="G220" s="3">
        <v>514.41999999999996</v>
      </c>
    </row>
    <row r="221" spans="2:7">
      <c r="B221" s="2">
        <v>6331</v>
      </c>
      <c r="C221" s="2" t="s">
        <v>329</v>
      </c>
      <c r="D221" s="2" t="s">
        <v>9</v>
      </c>
      <c r="E221" s="2"/>
      <c r="F221" s="2" t="s">
        <v>11</v>
      </c>
      <c r="G221" s="3">
        <v>503.29</v>
      </c>
    </row>
  </sheetData>
  <autoFilter ref="B3:G221" xr:uid="{00000000-0009-0000-0000-000000000000}">
    <sortState xmlns:xlrd2="http://schemas.microsoft.com/office/spreadsheetml/2017/richdata2" ref="B4:G221">
      <sortCondition descending="1" ref="G3:G221"/>
    </sortState>
  </autoFilter>
  <mergeCells count="1">
    <mergeCell ref="B2:C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55"/>
  <sheetViews>
    <sheetView zoomScale="85" zoomScaleNormal="85" workbookViewId="0">
      <selection activeCell="D32" sqref="D32"/>
    </sheetView>
  </sheetViews>
  <sheetFormatPr defaultRowHeight="16.5"/>
  <cols>
    <col min="1" max="1" width="3" customWidth="1"/>
    <col min="2" max="2" width="12" style="29" customWidth="1"/>
    <col min="3" max="3" width="14" customWidth="1"/>
    <col min="4" max="4" width="58.875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>
      <c r="B2" s="41" t="s">
        <v>1</v>
      </c>
      <c r="C2" s="41" t="s">
        <v>330</v>
      </c>
      <c r="D2" s="41" t="s">
        <v>331</v>
      </c>
      <c r="E2" s="1" t="s">
        <v>332</v>
      </c>
      <c r="F2" s="41" t="s">
        <v>333</v>
      </c>
      <c r="G2" s="1" t="s">
        <v>334</v>
      </c>
      <c r="H2" s="1" t="s">
        <v>335</v>
      </c>
      <c r="I2" s="1" t="s">
        <v>336</v>
      </c>
      <c r="J2" s="1" t="s">
        <v>337</v>
      </c>
      <c r="K2" s="1" t="s">
        <v>338</v>
      </c>
      <c r="L2" s="41" t="s">
        <v>339</v>
      </c>
      <c r="M2" s="41" t="s">
        <v>340</v>
      </c>
      <c r="N2" s="41" t="s">
        <v>341</v>
      </c>
      <c r="O2" s="41" t="s">
        <v>342</v>
      </c>
      <c r="P2" s="41" t="s">
        <v>343</v>
      </c>
      <c r="Q2" s="41" t="s">
        <v>344</v>
      </c>
      <c r="R2" s="41" t="s">
        <v>345</v>
      </c>
      <c r="S2" s="41" t="s">
        <v>346</v>
      </c>
      <c r="T2" s="41" t="s">
        <v>347</v>
      </c>
      <c r="U2" s="41" t="s">
        <v>348</v>
      </c>
      <c r="V2" s="41" t="s">
        <v>349</v>
      </c>
      <c r="W2" s="41" t="s">
        <v>350</v>
      </c>
      <c r="X2" s="41" t="s">
        <v>347</v>
      </c>
      <c r="Y2" s="41" t="s">
        <v>348</v>
      </c>
      <c r="Z2" s="41" t="s">
        <v>349</v>
      </c>
      <c r="AA2" s="41" t="s">
        <v>350</v>
      </c>
    </row>
    <row r="3" spans="2:27">
      <c r="B3" s="30" t="s">
        <v>262</v>
      </c>
      <c r="C3" s="2" t="s">
        <v>351</v>
      </c>
      <c r="D3" s="2" t="s">
        <v>352</v>
      </c>
      <c r="E3" s="2" t="s">
        <v>353</v>
      </c>
      <c r="F3" s="20">
        <v>37.299999999999997</v>
      </c>
      <c r="G3" s="3">
        <v>73.05</v>
      </c>
      <c r="H3" s="3">
        <v>77.12</v>
      </c>
      <c r="I3" s="3">
        <v>76.349999999999994</v>
      </c>
      <c r="J3" s="3">
        <v>77.75</v>
      </c>
      <c r="K3" s="3">
        <v>74.25</v>
      </c>
      <c r="L3" s="3">
        <v>75.47</v>
      </c>
      <c r="M3" s="3">
        <v>62.26</v>
      </c>
      <c r="N3" s="3">
        <v>8.24</v>
      </c>
      <c r="O3" s="3">
        <v>69.45</v>
      </c>
      <c r="P3" s="3">
        <v>71.959999999999994</v>
      </c>
      <c r="Q3" s="3">
        <v>70.56</v>
      </c>
      <c r="R3" s="5">
        <v>74.400000000000006</v>
      </c>
      <c r="S3" s="3">
        <v>75.7</v>
      </c>
      <c r="T3" s="3">
        <v>76.41</v>
      </c>
      <c r="U3" s="3">
        <v>79.86</v>
      </c>
      <c r="V3" s="3">
        <v>84.95</v>
      </c>
      <c r="W3" s="11">
        <v>193.85</v>
      </c>
      <c r="X3" s="6">
        <v>1.520743626546373E-2</v>
      </c>
      <c r="Y3" s="6">
        <v>3.1305752852863078E-2</v>
      </c>
      <c r="Z3" s="6">
        <v>3.4435486503247681E-2</v>
      </c>
      <c r="AA3" s="7">
        <v>0.37280701754385959</v>
      </c>
    </row>
    <row r="4" spans="2:27">
      <c r="B4" s="30" t="s">
        <v>114</v>
      </c>
      <c r="C4" s="2" t="s">
        <v>351</v>
      </c>
      <c r="D4" s="2" t="s">
        <v>354</v>
      </c>
      <c r="E4" s="2" t="s">
        <v>353</v>
      </c>
      <c r="F4" s="20">
        <v>16.3</v>
      </c>
      <c r="G4" s="3">
        <v>697.2</v>
      </c>
      <c r="H4" s="3">
        <v>620</v>
      </c>
      <c r="I4" s="3">
        <v>555.5</v>
      </c>
      <c r="J4" s="3">
        <v>512.9</v>
      </c>
      <c r="K4" s="3">
        <v>515.20000000000005</v>
      </c>
      <c r="L4" s="3">
        <v>495.8</v>
      </c>
      <c r="M4" s="3">
        <v>516.5</v>
      </c>
      <c r="N4" s="3">
        <v>521</v>
      </c>
      <c r="O4" s="3">
        <v>568.5</v>
      </c>
      <c r="P4" s="3">
        <v>551.70000000000005</v>
      </c>
      <c r="Q4" s="3">
        <v>588.4</v>
      </c>
      <c r="R4" s="3">
        <v>624.79999999999995</v>
      </c>
      <c r="S4" s="3">
        <v>708.3</v>
      </c>
      <c r="T4" s="3">
        <v>621.4</v>
      </c>
      <c r="U4" s="3">
        <v>633.20000000000005</v>
      </c>
      <c r="V4" s="3">
        <v>700.4</v>
      </c>
      <c r="W4" s="11">
        <v>1142</v>
      </c>
      <c r="X4" s="6">
        <v>2.8182112243247511E-2</v>
      </c>
      <c r="Y4" s="6">
        <v>1.7617680600888749E-2</v>
      </c>
      <c r="Z4" s="6">
        <v>2.92151331298065E-2</v>
      </c>
      <c r="AA4" s="7">
        <v>0.16284308940036779</v>
      </c>
    </row>
    <row r="5" spans="2:27">
      <c r="B5" s="30" t="s">
        <v>174</v>
      </c>
      <c r="C5" s="2" t="s">
        <v>351</v>
      </c>
      <c r="D5" s="2" t="s">
        <v>352</v>
      </c>
      <c r="E5" s="2" t="s">
        <v>353</v>
      </c>
      <c r="F5" s="20">
        <v>13.4</v>
      </c>
      <c r="G5" s="2"/>
      <c r="H5" s="2"/>
      <c r="I5" s="2"/>
      <c r="J5" s="2"/>
      <c r="K5" s="2"/>
      <c r="L5" s="2"/>
      <c r="M5" s="2"/>
      <c r="N5" s="2"/>
      <c r="O5" s="2"/>
      <c r="P5" s="3">
        <v>-68.66</v>
      </c>
      <c r="Q5" s="3">
        <v>157.94999999999999</v>
      </c>
      <c r="R5" s="3">
        <v>141.13999999999999</v>
      </c>
      <c r="S5" s="3">
        <v>151.18</v>
      </c>
      <c r="T5" s="5">
        <v>147.19</v>
      </c>
      <c r="U5" s="3">
        <v>149.4</v>
      </c>
      <c r="V5" s="3">
        <v>119.03</v>
      </c>
      <c r="W5" s="11">
        <v>227.05</v>
      </c>
      <c r="X5" s="7">
        <v>0.56562983150336743</v>
      </c>
      <c r="Y5" s="6">
        <v>-1.4310581461520529E-2</v>
      </c>
      <c r="Z5" s="6">
        <v>-3.7543937104141611E-2</v>
      </c>
      <c r="AA5" s="7">
        <v>0.1338567395906847</v>
      </c>
    </row>
    <row r="6" spans="2:27">
      <c r="B6" s="30" t="s">
        <v>265</v>
      </c>
      <c r="C6" s="2" t="s">
        <v>351</v>
      </c>
      <c r="D6" s="2" t="s">
        <v>355</v>
      </c>
      <c r="E6" s="2" t="s">
        <v>356</v>
      </c>
      <c r="F6" s="20">
        <v>11.9</v>
      </c>
      <c r="G6" s="3">
        <v>61.99</v>
      </c>
      <c r="H6" s="3">
        <v>68.16</v>
      </c>
      <c r="I6" s="3">
        <v>83.57</v>
      </c>
      <c r="J6" s="3">
        <v>76.41</v>
      </c>
      <c r="K6" s="3">
        <v>75.78</v>
      </c>
      <c r="L6" s="5">
        <v>102.53</v>
      </c>
      <c r="M6" s="5">
        <v>132.53</v>
      </c>
      <c r="N6" s="3">
        <v>110.81</v>
      </c>
      <c r="O6" s="5">
        <v>144.33000000000001</v>
      </c>
      <c r="P6" s="5">
        <v>162.33000000000001</v>
      </c>
      <c r="Q6" s="3">
        <v>141.36000000000001</v>
      </c>
      <c r="R6" s="3">
        <v>112.82</v>
      </c>
      <c r="S6" s="3">
        <v>82.31</v>
      </c>
      <c r="T6" s="3">
        <v>80.459999999999994</v>
      </c>
      <c r="U6" s="3">
        <v>74.08</v>
      </c>
      <c r="V6" s="3">
        <v>83.84</v>
      </c>
      <c r="W6" s="11">
        <v>120.63</v>
      </c>
      <c r="X6" s="6">
        <v>-0.1641273405236359</v>
      </c>
      <c r="Y6" s="6">
        <v>-0.16136227365391539</v>
      </c>
      <c r="Z6" s="6">
        <v>-8.2878142248405506E-2</v>
      </c>
      <c r="AA6" s="7">
        <v>0.1194923446318874</v>
      </c>
    </row>
    <row r="7" spans="2:27">
      <c r="B7" s="30" t="s">
        <v>38</v>
      </c>
      <c r="C7" s="2" t="s">
        <v>351</v>
      </c>
      <c r="D7" s="2" t="s">
        <v>357</v>
      </c>
      <c r="E7" s="2" t="s">
        <v>353</v>
      </c>
      <c r="F7" s="4">
        <v>8.6999999999999993</v>
      </c>
      <c r="G7" s="3">
        <v>280.92</v>
      </c>
      <c r="H7" s="3">
        <v>317.38</v>
      </c>
      <c r="I7" s="3">
        <v>352.42</v>
      </c>
      <c r="J7" s="3">
        <v>407.66</v>
      </c>
      <c r="K7" s="5">
        <v>441.73</v>
      </c>
      <c r="L7" s="3">
        <v>463.75</v>
      </c>
      <c r="M7" s="3">
        <v>485.4</v>
      </c>
      <c r="N7" s="3">
        <v>515.38</v>
      </c>
      <c r="O7" s="3">
        <v>603.30999999999995</v>
      </c>
      <c r="P7" s="3">
        <v>637.80999999999995</v>
      </c>
      <c r="Q7" s="3">
        <v>586.98</v>
      </c>
      <c r="R7" s="3">
        <v>691.11</v>
      </c>
      <c r="S7" s="3">
        <v>734.13</v>
      </c>
      <c r="T7" s="3">
        <v>766.08</v>
      </c>
      <c r="U7" s="3">
        <v>844.91</v>
      </c>
      <c r="V7" s="3">
        <v>952.4</v>
      </c>
      <c r="W7" s="10">
        <v>1020</v>
      </c>
      <c r="X7" s="6">
        <v>4.8403225623861117E-2</v>
      </c>
      <c r="Y7" s="6">
        <v>9.2837346578843016E-2</v>
      </c>
      <c r="Z7" s="6">
        <v>8.605738036973487E-2</v>
      </c>
      <c r="AA7" s="6">
        <v>8.6692423396977025E-2</v>
      </c>
    </row>
    <row r="8" spans="2:27">
      <c r="B8" s="30" t="s">
        <v>199</v>
      </c>
      <c r="C8" s="2" t="s">
        <v>351</v>
      </c>
      <c r="D8" s="2" t="s">
        <v>354</v>
      </c>
      <c r="E8" s="2" t="s">
        <v>353</v>
      </c>
      <c r="F8" s="4">
        <v>8</v>
      </c>
      <c r="G8" s="3">
        <v>79.180000000000007</v>
      </c>
      <c r="H8" s="3">
        <v>78.37</v>
      </c>
      <c r="I8" s="3">
        <v>77.25</v>
      </c>
      <c r="J8" s="3">
        <v>72.41</v>
      </c>
      <c r="K8" s="3">
        <v>73.31</v>
      </c>
      <c r="L8" s="3">
        <v>82.04</v>
      </c>
      <c r="M8" s="3">
        <v>85.72</v>
      </c>
      <c r="N8" s="3">
        <v>90.42</v>
      </c>
      <c r="O8" s="3">
        <v>90.84</v>
      </c>
      <c r="P8" s="3">
        <v>96.84</v>
      </c>
      <c r="Q8" s="3">
        <v>107.03</v>
      </c>
      <c r="R8" s="3">
        <v>113.17</v>
      </c>
      <c r="S8" s="3">
        <v>110.7</v>
      </c>
      <c r="T8" s="3">
        <v>108.08</v>
      </c>
      <c r="U8" s="3">
        <v>112.62</v>
      </c>
      <c r="V8" s="3">
        <v>125.62</v>
      </c>
      <c r="W8" s="10">
        <v>147.43</v>
      </c>
      <c r="X8" s="6">
        <v>2.6277645298545819E-2</v>
      </c>
      <c r="Y8" s="6">
        <v>1.2734065333272589E-2</v>
      </c>
      <c r="Z8" s="6">
        <v>2.8004588703691269E-2</v>
      </c>
      <c r="AA8" s="6">
        <v>8.0368474027394887E-2</v>
      </c>
    </row>
    <row r="9" spans="2:27">
      <c r="B9" s="30" t="s">
        <v>289</v>
      </c>
      <c r="C9" s="2" t="s">
        <v>351</v>
      </c>
      <c r="D9" s="2" t="s">
        <v>358</v>
      </c>
      <c r="E9" s="2" t="s">
        <v>353</v>
      </c>
      <c r="F9" s="4">
        <v>6.8</v>
      </c>
      <c r="G9" s="3">
        <v>362.84</v>
      </c>
      <c r="H9" s="3">
        <v>263.52</v>
      </c>
      <c r="I9" s="3">
        <v>233.61</v>
      </c>
      <c r="J9" s="3">
        <v>287.08999999999997</v>
      </c>
      <c r="K9" s="3">
        <v>302.89999999999998</v>
      </c>
      <c r="L9" s="3">
        <v>308.54000000000002</v>
      </c>
      <c r="M9" s="3">
        <v>288.73</v>
      </c>
      <c r="N9" s="3">
        <v>292.92</v>
      </c>
      <c r="O9" s="3">
        <v>289.97000000000003</v>
      </c>
      <c r="P9" s="3">
        <v>332.59</v>
      </c>
      <c r="Q9" s="3">
        <v>308.63</v>
      </c>
      <c r="R9" s="3">
        <v>349.25</v>
      </c>
      <c r="S9" s="3">
        <v>354.04</v>
      </c>
      <c r="T9" s="3">
        <v>346.43</v>
      </c>
      <c r="U9" s="3">
        <v>350.65</v>
      </c>
      <c r="V9" s="3">
        <v>401.94</v>
      </c>
      <c r="W9" s="10">
        <v>452.49</v>
      </c>
      <c r="X9" s="6">
        <v>1.029371295118664E-2</v>
      </c>
      <c r="Y9" s="6">
        <v>3.0934589759634919E-2</v>
      </c>
      <c r="Z9" s="6">
        <v>3.7625770332126551E-2</v>
      </c>
      <c r="AA9" s="6">
        <v>6.7753568331658798E-2</v>
      </c>
    </row>
    <row r="10" spans="2:27">
      <c r="B10" s="30" t="s">
        <v>190</v>
      </c>
      <c r="C10" s="2" t="s">
        <v>351</v>
      </c>
      <c r="D10" s="2" t="s">
        <v>352</v>
      </c>
      <c r="E10" s="2" t="s">
        <v>353</v>
      </c>
      <c r="F10" s="4">
        <v>5.8</v>
      </c>
      <c r="G10" s="3">
        <v>161.53</v>
      </c>
      <c r="H10" s="3">
        <v>166.86</v>
      </c>
      <c r="I10" s="3">
        <v>166.92</v>
      </c>
      <c r="J10" s="3">
        <v>175.31</v>
      </c>
      <c r="K10" s="3">
        <v>168.04</v>
      </c>
      <c r="L10" s="3">
        <v>172.47</v>
      </c>
      <c r="M10" s="3">
        <v>178.01</v>
      </c>
      <c r="N10" s="3">
        <v>171.86</v>
      </c>
      <c r="O10" s="3">
        <v>153.1</v>
      </c>
      <c r="P10" s="3">
        <v>167.98</v>
      </c>
      <c r="Q10" s="3">
        <v>175.15</v>
      </c>
      <c r="R10" s="3">
        <v>175.62</v>
      </c>
      <c r="S10" s="3">
        <v>175.55</v>
      </c>
      <c r="T10" s="3">
        <v>189.62</v>
      </c>
      <c r="U10" s="3">
        <v>201.03</v>
      </c>
      <c r="V10" s="3">
        <v>200.39</v>
      </c>
      <c r="W10" s="10">
        <v>220.11</v>
      </c>
      <c r="X10" s="6">
        <v>3.1168082961256172E-2</v>
      </c>
      <c r="Y10" s="6">
        <v>3.6148280582171788E-2</v>
      </c>
      <c r="Z10" s="6">
        <v>3.3390849532231481E-2</v>
      </c>
      <c r="AA10" s="6">
        <v>5.8127551885623241E-2</v>
      </c>
    </row>
    <row r="11" spans="2:27">
      <c r="B11" s="30" t="s">
        <v>116</v>
      </c>
      <c r="C11" s="2" t="s">
        <v>351</v>
      </c>
      <c r="D11" s="2" t="s">
        <v>359</v>
      </c>
      <c r="E11" s="2" t="s">
        <v>360</v>
      </c>
      <c r="F11" s="4">
        <v>4.8</v>
      </c>
      <c r="G11" s="2"/>
      <c r="H11" s="2"/>
      <c r="I11" s="2"/>
      <c r="J11" s="2"/>
      <c r="K11" s="2"/>
      <c r="L11" s="2"/>
      <c r="M11" s="2"/>
      <c r="N11" s="2"/>
      <c r="O11" s="2"/>
      <c r="P11" s="3">
        <v>202.71</v>
      </c>
      <c r="Q11" s="3">
        <v>187.66</v>
      </c>
      <c r="R11" s="3">
        <v>198.58</v>
      </c>
      <c r="S11" s="3">
        <v>235.26</v>
      </c>
      <c r="T11" s="3">
        <v>240.12</v>
      </c>
      <c r="U11" s="3">
        <v>230.47</v>
      </c>
      <c r="V11" s="3">
        <v>264.36</v>
      </c>
      <c r="W11" s="10">
        <v>281.94</v>
      </c>
      <c r="X11" s="6">
        <v>4.5388917872872143E-2</v>
      </c>
      <c r="Y11" s="6">
        <v>4.9685476196003053E-2</v>
      </c>
      <c r="Z11" s="6">
        <v>7.2730891279590315E-2</v>
      </c>
      <c r="AA11" s="6">
        <v>4.8113295059832417E-2</v>
      </c>
    </row>
    <row r="12" spans="2:27">
      <c r="B12" s="30" t="s">
        <v>132</v>
      </c>
      <c r="C12" s="2" t="s">
        <v>351</v>
      </c>
      <c r="D12" s="2" t="s">
        <v>361</v>
      </c>
      <c r="E12" s="2" t="s">
        <v>353</v>
      </c>
      <c r="F12" s="4">
        <v>4.2</v>
      </c>
      <c r="G12" s="3">
        <v>419.84</v>
      </c>
      <c r="H12" s="3">
        <v>468.25</v>
      </c>
      <c r="I12" s="3">
        <v>463.42</v>
      </c>
      <c r="J12" s="3">
        <v>493.64</v>
      </c>
      <c r="K12" s="3">
        <v>493.65</v>
      </c>
      <c r="L12" s="3">
        <v>550.76</v>
      </c>
      <c r="M12" s="3">
        <v>583.47</v>
      </c>
      <c r="N12" s="3">
        <v>575.85</v>
      </c>
      <c r="O12" s="3">
        <v>589.13</v>
      </c>
      <c r="P12" s="3">
        <v>590.23</v>
      </c>
      <c r="Q12" s="3">
        <v>572.92999999999995</v>
      </c>
      <c r="R12" s="3">
        <v>608.53</v>
      </c>
      <c r="S12" s="3">
        <v>541.64</v>
      </c>
      <c r="T12" s="3">
        <v>576.77</v>
      </c>
      <c r="U12" s="3">
        <v>657.86</v>
      </c>
      <c r="V12" s="3">
        <v>655.24</v>
      </c>
      <c r="W12" s="10">
        <v>644.4</v>
      </c>
      <c r="X12" s="6">
        <v>-5.8184521879715012E-3</v>
      </c>
      <c r="Y12" s="6">
        <v>3.6928174201150687E-2</v>
      </c>
      <c r="Z12" s="6">
        <v>1.95865481382087E-2</v>
      </c>
      <c r="AA12" s="6">
        <v>4.2261804393154863E-2</v>
      </c>
    </row>
    <row r="13" spans="2:27">
      <c r="B13" s="30" t="s">
        <v>138</v>
      </c>
      <c r="C13" s="2" t="s">
        <v>351</v>
      </c>
      <c r="D13" s="2" t="s">
        <v>352</v>
      </c>
      <c r="E13" s="2" t="s">
        <v>353</v>
      </c>
      <c r="F13" s="4">
        <v>4.0999999999999996</v>
      </c>
      <c r="G13" s="3">
        <v>334</v>
      </c>
      <c r="H13" s="3">
        <v>348</v>
      </c>
      <c r="I13" s="3">
        <v>368</v>
      </c>
      <c r="J13" s="3">
        <v>341</v>
      </c>
      <c r="K13" s="3">
        <v>294</v>
      </c>
      <c r="L13" s="3">
        <v>482</v>
      </c>
      <c r="M13" s="5">
        <v>1012</v>
      </c>
      <c r="N13" s="5">
        <v>980</v>
      </c>
      <c r="O13" s="3">
        <v>326</v>
      </c>
      <c r="P13" s="3">
        <v>439</v>
      </c>
      <c r="Q13" s="3">
        <v>281</v>
      </c>
      <c r="R13" s="3">
        <v>381</v>
      </c>
      <c r="S13" s="5">
        <v>480</v>
      </c>
      <c r="T13" s="3">
        <v>411</v>
      </c>
      <c r="U13" s="3">
        <v>432</v>
      </c>
      <c r="V13" s="3">
        <v>481</v>
      </c>
      <c r="W13" s="10">
        <v>554</v>
      </c>
      <c r="X13" s="6">
        <v>-1.771030993042377E-2</v>
      </c>
      <c r="Y13" s="6">
        <v>9.7231165486155735E-2</v>
      </c>
      <c r="Z13" s="6">
        <v>5.8685446009389741E-2</v>
      </c>
      <c r="AA13" s="6">
        <v>4.1019955654101992E-2</v>
      </c>
    </row>
    <row r="14" spans="2:27">
      <c r="B14" s="30" t="s">
        <v>112</v>
      </c>
      <c r="C14" s="2" t="s">
        <v>351</v>
      </c>
      <c r="D14" s="2" t="s">
        <v>362</v>
      </c>
      <c r="E14" s="2" t="s">
        <v>363</v>
      </c>
      <c r="F14" s="4">
        <v>3.6</v>
      </c>
      <c r="G14" s="3">
        <v>480.51</v>
      </c>
      <c r="H14" s="3">
        <v>501.59</v>
      </c>
      <c r="I14" s="3">
        <v>567.29999999999995</v>
      </c>
      <c r="J14" s="3">
        <v>617.41</v>
      </c>
      <c r="K14" s="3">
        <v>574.87</v>
      </c>
      <c r="L14" s="3">
        <v>568.88</v>
      </c>
      <c r="M14" s="3">
        <v>584.45000000000005</v>
      </c>
      <c r="N14" s="3">
        <v>649.02</v>
      </c>
      <c r="O14" s="3">
        <v>634.44000000000005</v>
      </c>
      <c r="P14" s="3">
        <v>705.73</v>
      </c>
      <c r="Q14" s="3">
        <v>768.42</v>
      </c>
      <c r="R14" s="3">
        <v>775.77</v>
      </c>
      <c r="S14" s="3">
        <v>749.55</v>
      </c>
      <c r="T14" s="3">
        <v>833.96</v>
      </c>
      <c r="U14" s="3">
        <v>890.16</v>
      </c>
      <c r="V14" s="3">
        <v>897.8</v>
      </c>
      <c r="W14" s="10">
        <v>870.96</v>
      </c>
      <c r="X14" s="6">
        <v>4.2750885989858212E-2</v>
      </c>
      <c r="Y14" s="6">
        <v>3.8923170380791072E-2</v>
      </c>
      <c r="Z14" s="6">
        <v>3.7554163178886053E-2</v>
      </c>
      <c r="AA14" s="6">
        <v>3.6010998169937913E-2</v>
      </c>
    </row>
    <row r="15" spans="2:27">
      <c r="B15" s="30" t="s">
        <v>167</v>
      </c>
      <c r="C15" s="2" t="s">
        <v>351</v>
      </c>
      <c r="D15" s="2" t="s">
        <v>352</v>
      </c>
      <c r="E15" s="2" t="s">
        <v>353</v>
      </c>
      <c r="F15" s="4">
        <v>3.6</v>
      </c>
      <c r="G15" s="3">
        <v>178.9</v>
      </c>
      <c r="H15" s="3">
        <v>181</v>
      </c>
      <c r="I15" s="3">
        <v>188.28</v>
      </c>
      <c r="J15" s="3">
        <v>205.41</v>
      </c>
      <c r="K15" s="3">
        <v>216.99</v>
      </c>
      <c r="L15" s="3">
        <v>207.47</v>
      </c>
      <c r="M15" s="3">
        <v>202.29</v>
      </c>
      <c r="N15" s="3">
        <v>195.75</v>
      </c>
      <c r="O15" s="3">
        <v>204.81</v>
      </c>
      <c r="P15" s="3">
        <v>199.5</v>
      </c>
      <c r="Q15" s="3">
        <v>202.82</v>
      </c>
      <c r="R15" s="3">
        <v>202.6</v>
      </c>
      <c r="S15" s="3">
        <v>188.88</v>
      </c>
      <c r="T15" s="3">
        <v>200.5</v>
      </c>
      <c r="U15" s="3">
        <v>213.04</v>
      </c>
      <c r="V15" s="3">
        <v>221.89</v>
      </c>
      <c r="W15" s="10">
        <v>218.15</v>
      </c>
      <c r="X15" s="6">
        <v>1.25976316452503E-3</v>
      </c>
      <c r="Y15" s="6">
        <v>1.2858580775037881E-2</v>
      </c>
      <c r="Z15" s="6">
        <v>2.3962137586643669E-2</v>
      </c>
      <c r="AA15" s="6">
        <v>3.5508485885164642E-2</v>
      </c>
    </row>
    <row r="16" spans="2:27">
      <c r="B16" s="30" t="s">
        <v>325</v>
      </c>
      <c r="C16" s="2" t="s">
        <v>351</v>
      </c>
      <c r="D16" s="2" t="s">
        <v>352</v>
      </c>
      <c r="E16" s="2" t="s">
        <v>353</v>
      </c>
      <c r="F16" s="4">
        <v>3.3</v>
      </c>
      <c r="G16" s="3">
        <v>24.3</v>
      </c>
      <c r="H16" s="3">
        <v>22.98</v>
      </c>
      <c r="I16" s="3">
        <v>25.76</v>
      </c>
      <c r="J16" s="3">
        <v>27.36</v>
      </c>
      <c r="K16" s="3">
        <v>27.54</v>
      </c>
      <c r="L16" s="3">
        <v>27.25</v>
      </c>
      <c r="M16" s="3">
        <v>27.22</v>
      </c>
      <c r="N16" s="3">
        <v>26.12</v>
      </c>
      <c r="O16" s="3">
        <v>26.23</v>
      </c>
      <c r="P16" s="3">
        <v>25.85</v>
      </c>
      <c r="Q16" s="3">
        <v>26.59</v>
      </c>
      <c r="R16" s="3">
        <v>27.58</v>
      </c>
      <c r="S16" s="3">
        <v>28.38</v>
      </c>
      <c r="T16" s="3">
        <v>29.43</v>
      </c>
      <c r="U16" s="3">
        <v>30.09</v>
      </c>
      <c r="V16" s="3">
        <v>31.26</v>
      </c>
      <c r="W16" s="10">
        <v>32.31</v>
      </c>
      <c r="X16" s="6">
        <v>3.3025830258302413E-2</v>
      </c>
      <c r="Y16" s="6">
        <v>3.1255581353813122E-2</v>
      </c>
      <c r="Z16" s="6">
        <v>3.1866989954970608E-2</v>
      </c>
      <c r="AA16" s="6">
        <v>3.2980866062437109E-2</v>
      </c>
    </row>
    <row r="17" spans="2:27">
      <c r="B17" s="30" t="s">
        <v>14</v>
      </c>
      <c r="C17" s="2" t="s">
        <v>351</v>
      </c>
      <c r="D17" s="2" t="s">
        <v>357</v>
      </c>
      <c r="E17" s="2" t="s">
        <v>353</v>
      </c>
      <c r="F17" s="4">
        <v>2.6</v>
      </c>
      <c r="G17" s="3">
        <v>12092</v>
      </c>
      <c r="H17" s="3">
        <v>11768</v>
      </c>
      <c r="I17" s="3">
        <v>12985</v>
      </c>
      <c r="J17" s="3">
        <v>12778</v>
      </c>
      <c r="K17" s="3">
        <v>13149</v>
      </c>
      <c r="L17" s="3">
        <v>13226</v>
      </c>
      <c r="M17" s="3">
        <v>13856</v>
      </c>
      <c r="N17" s="3">
        <v>14148</v>
      </c>
      <c r="O17" s="3">
        <v>14362</v>
      </c>
      <c r="P17" s="3">
        <v>14532</v>
      </c>
      <c r="Q17" s="3">
        <v>15065</v>
      </c>
      <c r="R17" s="3">
        <v>15280</v>
      </c>
      <c r="S17" s="3">
        <v>15887</v>
      </c>
      <c r="T17" s="3">
        <v>15817</v>
      </c>
      <c r="U17" s="3">
        <v>16451</v>
      </c>
      <c r="V17" s="3">
        <v>17139</v>
      </c>
      <c r="W17" s="10">
        <v>17566</v>
      </c>
      <c r="X17" s="6">
        <v>2.114738990191567E-2</v>
      </c>
      <c r="Y17" s="6">
        <v>2.2337185127882849E-2</v>
      </c>
      <c r="Z17" s="6">
        <v>2.9305588397572361E-2</v>
      </c>
      <c r="AA17" s="6">
        <v>2.571446074677608E-2</v>
      </c>
    </row>
    <row r="18" spans="2:27">
      <c r="B18" s="30" t="s">
        <v>123</v>
      </c>
      <c r="C18" s="2" t="s">
        <v>351</v>
      </c>
      <c r="D18" s="2" t="s">
        <v>364</v>
      </c>
      <c r="E18" s="2" t="s">
        <v>353</v>
      </c>
      <c r="F18" s="4">
        <v>2.1</v>
      </c>
      <c r="G18" s="3">
        <v>33.6</v>
      </c>
      <c r="H18" s="3">
        <v>37.369999999999997</v>
      </c>
      <c r="I18" s="3">
        <v>40.270000000000003</v>
      </c>
      <c r="J18" s="3">
        <v>40.630000000000003</v>
      </c>
      <c r="K18" s="3">
        <v>39.69</v>
      </c>
      <c r="L18" s="3">
        <v>41.83</v>
      </c>
      <c r="M18" s="3">
        <v>43.76</v>
      </c>
      <c r="N18" s="3">
        <v>45.32</v>
      </c>
      <c r="O18" s="3">
        <v>43.33</v>
      </c>
      <c r="P18" s="3">
        <v>45.09</v>
      </c>
      <c r="Q18" s="3">
        <v>48.07</v>
      </c>
      <c r="R18" s="3">
        <v>49.05</v>
      </c>
      <c r="S18" s="3">
        <v>45.97</v>
      </c>
      <c r="T18" s="3">
        <v>50.22</v>
      </c>
      <c r="U18" s="3">
        <v>53.63</v>
      </c>
      <c r="V18" s="3">
        <v>52.1</v>
      </c>
      <c r="W18" s="10">
        <v>50.2</v>
      </c>
      <c r="X18" s="6">
        <v>2.72611329578063E-2</v>
      </c>
      <c r="Y18" s="6">
        <v>2.8762091976617828E-2</v>
      </c>
      <c r="Z18" s="6">
        <v>1.533665208427615E-2</v>
      </c>
      <c r="AA18" s="6">
        <v>2.0948890649762131E-2</v>
      </c>
    </row>
    <row r="19" spans="2:27">
      <c r="B19" s="30" t="s">
        <v>90</v>
      </c>
      <c r="C19" s="2" t="s">
        <v>351</v>
      </c>
      <c r="D19" s="2" t="s">
        <v>361</v>
      </c>
      <c r="E19" s="2" t="s">
        <v>353</v>
      </c>
      <c r="F19" s="4">
        <v>1.9</v>
      </c>
      <c r="G19" s="3">
        <v>2119</v>
      </c>
      <c r="H19" s="3">
        <v>2124</v>
      </c>
      <c r="I19" s="3">
        <v>2081</v>
      </c>
      <c r="J19" s="3">
        <v>2302</v>
      </c>
      <c r="K19" s="3">
        <v>2335</v>
      </c>
      <c r="L19" s="3">
        <v>2493</v>
      </c>
      <c r="M19" s="3">
        <v>2635</v>
      </c>
      <c r="N19" s="3">
        <v>2596</v>
      </c>
      <c r="O19" s="3">
        <v>2751</v>
      </c>
      <c r="P19" s="3">
        <v>2615</v>
      </c>
      <c r="Q19" s="3">
        <v>2605</v>
      </c>
      <c r="R19" s="3">
        <v>2555</v>
      </c>
      <c r="S19" s="3">
        <v>2616</v>
      </c>
      <c r="T19" s="3">
        <v>2578</v>
      </c>
      <c r="U19" s="3">
        <v>2714</v>
      </c>
      <c r="V19" s="3">
        <v>2706</v>
      </c>
      <c r="W19" s="10">
        <v>2817</v>
      </c>
      <c r="X19" s="6">
        <v>-3.5607737465114249E-3</v>
      </c>
      <c r="Y19" s="6">
        <v>1.05273324319104E-2</v>
      </c>
      <c r="Z19" s="6">
        <v>1.4431807321036111E-2</v>
      </c>
      <c r="AA19" s="6">
        <v>1.8937252685132799E-2</v>
      </c>
    </row>
    <row r="20" spans="2:27">
      <c r="B20" s="30" t="s">
        <v>27</v>
      </c>
      <c r="C20" s="2" t="s">
        <v>351</v>
      </c>
      <c r="D20" s="2" t="s">
        <v>365</v>
      </c>
      <c r="E20" s="2" t="s">
        <v>363</v>
      </c>
      <c r="F20" s="4">
        <v>1.4</v>
      </c>
      <c r="G20" s="3">
        <v>2994</v>
      </c>
      <c r="H20" s="3">
        <v>2945</v>
      </c>
      <c r="I20" s="3">
        <v>3189</v>
      </c>
      <c r="J20" s="3">
        <v>0</v>
      </c>
      <c r="K20" s="3">
        <v>3175</v>
      </c>
      <c r="L20" s="3">
        <v>3200</v>
      </c>
      <c r="M20" s="3">
        <v>3034</v>
      </c>
      <c r="N20" s="3">
        <v>0</v>
      </c>
      <c r="O20" s="3">
        <v>2997</v>
      </c>
      <c r="P20" s="3">
        <v>2930</v>
      </c>
      <c r="Q20" s="3">
        <v>2986</v>
      </c>
      <c r="R20" s="3">
        <v>0</v>
      </c>
      <c r="S20" s="3">
        <v>2932</v>
      </c>
      <c r="T20" s="3">
        <v>2916</v>
      </c>
      <c r="U20" s="3">
        <v>3023</v>
      </c>
      <c r="V20" s="5">
        <v>3167</v>
      </c>
      <c r="W20" s="10">
        <v>3103</v>
      </c>
      <c r="X20" s="6">
        <v>-1.5822784810126671E-3</v>
      </c>
      <c r="Y20" s="6">
        <v>4.1883631424044498E-3</v>
      </c>
      <c r="Z20" s="7">
        <v>0.35700597452372912</v>
      </c>
      <c r="AA20" s="6">
        <v>1.4205017444758329E-2</v>
      </c>
    </row>
    <row r="21" spans="2:27">
      <c r="B21" s="30" t="s">
        <v>25</v>
      </c>
      <c r="C21" s="2" t="s">
        <v>351</v>
      </c>
      <c r="D21" s="2" t="s">
        <v>366</v>
      </c>
      <c r="E21" s="2" t="s">
        <v>353</v>
      </c>
      <c r="F21" s="4">
        <v>1.4</v>
      </c>
      <c r="G21" s="3">
        <v>4403</v>
      </c>
      <c r="H21" s="3">
        <v>4399</v>
      </c>
      <c r="I21" s="3">
        <v>4484</v>
      </c>
      <c r="J21" s="3">
        <v>4455</v>
      </c>
      <c r="K21" s="3">
        <v>4629</v>
      </c>
      <c r="L21" s="3">
        <v>4770</v>
      </c>
      <c r="M21" s="3">
        <v>4822</v>
      </c>
      <c r="N21" s="3">
        <v>4915</v>
      </c>
      <c r="O21" s="3">
        <v>4950</v>
      </c>
      <c r="P21" s="3">
        <v>5065</v>
      </c>
      <c r="Q21" s="3">
        <v>5058</v>
      </c>
      <c r="R21" s="3">
        <v>5033</v>
      </c>
      <c r="S21" s="3">
        <v>4945</v>
      </c>
      <c r="T21" s="3">
        <v>4911</v>
      </c>
      <c r="U21" s="3">
        <v>5110</v>
      </c>
      <c r="V21" s="3">
        <v>5131</v>
      </c>
      <c r="W21" s="10">
        <v>5230</v>
      </c>
      <c r="X21" s="6">
        <v>-7.6613103825680104E-3</v>
      </c>
      <c r="Y21" s="6">
        <v>2.6069083070134891E-3</v>
      </c>
      <c r="Z21" s="6">
        <v>4.9002450122506147E-3</v>
      </c>
      <c r="AA21" s="6">
        <v>1.4181221077772751E-2</v>
      </c>
    </row>
    <row r="22" spans="2:27">
      <c r="B22" s="30" t="s">
        <v>83</v>
      </c>
      <c r="C22" s="2" t="s">
        <v>351</v>
      </c>
      <c r="D22" s="2" t="s">
        <v>367</v>
      </c>
      <c r="E22" s="2" t="s">
        <v>353</v>
      </c>
      <c r="F22" s="4">
        <v>1.3</v>
      </c>
      <c r="G22" s="3">
        <v>917</v>
      </c>
      <c r="H22" s="3">
        <v>993</v>
      </c>
      <c r="I22" s="3">
        <v>1003</v>
      </c>
      <c r="J22" s="3">
        <v>905</v>
      </c>
      <c r="K22" s="3">
        <v>970</v>
      </c>
      <c r="L22" s="3">
        <v>1079</v>
      </c>
      <c r="M22" s="3">
        <v>940</v>
      </c>
      <c r="N22" s="3">
        <v>1029</v>
      </c>
      <c r="O22" s="3">
        <v>919</v>
      </c>
      <c r="P22" s="3">
        <v>1149</v>
      </c>
      <c r="Q22" s="3">
        <v>965</v>
      </c>
      <c r="R22" s="3">
        <v>1041</v>
      </c>
      <c r="S22" s="3">
        <v>891</v>
      </c>
      <c r="T22" s="3">
        <v>930</v>
      </c>
      <c r="U22" s="3">
        <v>929</v>
      </c>
      <c r="V22" s="3">
        <v>931</v>
      </c>
      <c r="W22" s="10">
        <v>938</v>
      </c>
      <c r="X22" s="6">
        <v>-5.4127533366287728E-2</v>
      </c>
      <c r="Y22" s="6">
        <v>-9.4068460935458065E-3</v>
      </c>
      <c r="Z22" s="6">
        <v>-2.9016090741229239E-2</v>
      </c>
      <c r="AA22" s="6">
        <v>1.2768269491985951E-2</v>
      </c>
    </row>
    <row r="23" spans="2:27">
      <c r="B23" s="30" t="s">
        <v>52</v>
      </c>
      <c r="C23" s="2" t="s">
        <v>351</v>
      </c>
      <c r="D23" s="2" t="s">
        <v>366</v>
      </c>
      <c r="E23" s="2" t="s">
        <v>353</v>
      </c>
      <c r="F23" s="4">
        <v>1</v>
      </c>
      <c r="G23" s="3">
        <v>1369</v>
      </c>
      <c r="H23" s="3">
        <v>1297</v>
      </c>
      <c r="I23" s="3">
        <v>1325</v>
      </c>
      <c r="J23" s="3">
        <v>1317</v>
      </c>
      <c r="K23" s="3">
        <v>1436</v>
      </c>
      <c r="L23" s="3">
        <v>1430</v>
      </c>
      <c r="M23" s="3">
        <v>1454</v>
      </c>
      <c r="N23" s="3">
        <v>1456</v>
      </c>
      <c r="O23" s="3">
        <v>1528</v>
      </c>
      <c r="P23" s="3">
        <v>1503</v>
      </c>
      <c r="Q23" s="3">
        <v>1511</v>
      </c>
      <c r="R23" s="3">
        <v>1511</v>
      </c>
      <c r="S23" s="3">
        <v>1582</v>
      </c>
      <c r="T23" s="3">
        <v>1467</v>
      </c>
      <c r="U23" s="3">
        <v>1506</v>
      </c>
      <c r="V23" s="3">
        <v>1586</v>
      </c>
      <c r="W23" s="10">
        <v>1644</v>
      </c>
      <c r="X23" s="6">
        <v>-5.8948747339119256E-3</v>
      </c>
      <c r="Y23" s="6">
        <v>-8.2358754735623041E-4</v>
      </c>
      <c r="Z23" s="6">
        <v>1.236399604352134E-2</v>
      </c>
      <c r="AA23" s="6">
        <v>1.009607555772685E-2</v>
      </c>
    </row>
    <row r="24" spans="2:27">
      <c r="B24" s="30" t="s">
        <v>23</v>
      </c>
      <c r="C24" s="2" t="s">
        <v>351</v>
      </c>
      <c r="D24" s="2" t="s">
        <v>368</v>
      </c>
      <c r="E24" s="2" t="s">
        <v>353</v>
      </c>
      <c r="F24" s="4">
        <v>0.9</v>
      </c>
      <c r="G24" s="3">
        <v>3080</v>
      </c>
      <c r="H24" s="3">
        <v>3670</v>
      </c>
      <c r="I24" s="3">
        <v>2983</v>
      </c>
      <c r="J24" s="3">
        <v>2696</v>
      </c>
      <c r="K24" s="3">
        <v>3130</v>
      </c>
      <c r="L24" s="3">
        <v>3871</v>
      </c>
      <c r="M24" s="3">
        <v>3177</v>
      </c>
      <c r="N24" s="3">
        <v>2953</v>
      </c>
      <c r="O24" s="3">
        <v>3375</v>
      </c>
      <c r="P24" s="3">
        <v>4070</v>
      </c>
      <c r="Q24" s="3">
        <v>3760</v>
      </c>
      <c r="R24" s="3">
        <v>3721</v>
      </c>
      <c r="S24" s="3">
        <v>4147</v>
      </c>
      <c r="T24" s="3">
        <v>4729</v>
      </c>
      <c r="U24" s="3">
        <v>4155</v>
      </c>
      <c r="V24" s="3">
        <v>3997</v>
      </c>
      <c r="W24" s="10">
        <v>4300</v>
      </c>
      <c r="X24" s="6">
        <v>4.1979870047139663E-2</v>
      </c>
      <c r="Y24" s="6">
        <v>2.4148682521244691E-2</v>
      </c>
      <c r="Z24" s="6">
        <v>1.6475644699140309E-2</v>
      </c>
      <c r="AA24" s="6">
        <v>8.9852008456658972E-3</v>
      </c>
    </row>
    <row r="25" spans="2:27">
      <c r="B25" s="30" t="s">
        <v>80</v>
      </c>
      <c r="C25" s="2" t="s">
        <v>351</v>
      </c>
      <c r="D25" s="2" t="s">
        <v>354</v>
      </c>
      <c r="E25" s="2" t="s">
        <v>363</v>
      </c>
      <c r="F25" s="4">
        <v>0.9</v>
      </c>
      <c r="G25" s="3">
        <v>2224</v>
      </c>
      <c r="H25" s="3">
        <v>2081</v>
      </c>
      <c r="I25" s="3">
        <v>2031</v>
      </c>
      <c r="J25" s="3">
        <v>1939</v>
      </c>
      <c r="K25" s="3">
        <v>1967</v>
      </c>
      <c r="L25" s="3">
        <v>1927</v>
      </c>
      <c r="M25" s="3">
        <v>1969</v>
      </c>
      <c r="N25" s="3">
        <v>1986</v>
      </c>
      <c r="O25" s="3">
        <v>1991</v>
      </c>
      <c r="P25" s="3">
        <v>2153</v>
      </c>
      <c r="Q25" s="3">
        <v>2123</v>
      </c>
      <c r="R25" s="3">
        <v>2211</v>
      </c>
      <c r="S25" s="3">
        <v>2252</v>
      </c>
      <c r="T25" s="3">
        <v>2111</v>
      </c>
      <c r="U25" s="3">
        <v>2064</v>
      </c>
      <c r="V25" s="3">
        <v>2344</v>
      </c>
      <c r="W25" s="10">
        <v>2327</v>
      </c>
      <c r="X25" s="6">
        <v>-4.8060418812221339E-3</v>
      </c>
      <c r="Y25" s="6">
        <v>-6.7839484879843592E-3</v>
      </c>
      <c r="Z25" s="6">
        <v>1.539708265802275E-2</v>
      </c>
      <c r="AA25" s="6">
        <v>8.5509063960780285E-3</v>
      </c>
    </row>
    <row r="26" spans="2:27">
      <c r="B26" s="30" t="s">
        <v>21</v>
      </c>
      <c r="C26" s="2" t="s">
        <v>351</v>
      </c>
      <c r="D26" s="2" t="s">
        <v>369</v>
      </c>
      <c r="E26" s="2" t="s">
        <v>353</v>
      </c>
      <c r="F26" s="4">
        <v>0.7</v>
      </c>
      <c r="G26" s="3">
        <v>4952</v>
      </c>
      <c r="H26" s="3">
        <v>2965</v>
      </c>
      <c r="I26" s="3">
        <v>2857</v>
      </c>
      <c r="J26" s="3">
        <v>2936</v>
      </c>
      <c r="K26" s="3">
        <v>3414</v>
      </c>
      <c r="L26" s="3">
        <v>3162</v>
      </c>
      <c r="M26" s="3">
        <v>3158</v>
      </c>
      <c r="N26" s="3">
        <v>3363</v>
      </c>
      <c r="O26" s="3">
        <v>3434</v>
      </c>
      <c r="P26" s="3">
        <v>3145</v>
      </c>
      <c r="Q26" s="3">
        <v>3547</v>
      </c>
      <c r="R26" s="3">
        <v>3721</v>
      </c>
      <c r="S26" s="3">
        <v>3789</v>
      </c>
      <c r="T26" s="3">
        <v>3029</v>
      </c>
      <c r="U26" s="3">
        <v>3676</v>
      </c>
      <c r="V26" s="3">
        <v>3754</v>
      </c>
      <c r="W26" s="10">
        <v>3884</v>
      </c>
      <c r="X26" s="6">
        <v>-8.1678636811716165E-3</v>
      </c>
      <c r="Y26" s="6">
        <v>9.1580292488995241E-3</v>
      </c>
      <c r="Z26" s="6">
        <v>2.3214913823426109E-3</v>
      </c>
      <c r="AA26" s="6">
        <v>6.667602470522116E-3</v>
      </c>
    </row>
    <row r="27" spans="2:27">
      <c r="B27" s="30" t="s">
        <v>16</v>
      </c>
      <c r="C27" s="2" t="s">
        <v>351</v>
      </c>
      <c r="D27" s="2" t="s">
        <v>370</v>
      </c>
      <c r="E27" s="2" t="s">
        <v>353</v>
      </c>
      <c r="F27" s="4">
        <v>0.5</v>
      </c>
      <c r="G27" s="3">
        <v>34067</v>
      </c>
      <c r="H27" s="3">
        <v>33554</v>
      </c>
      <c r="I27" s="3">
        <v>33789</v>
      </c>
      <c r="J27" s="3">
        <v>34241</v>
      </c>
      <c r="K27" s="3">
        <v>35251</v>
      </c>
      <c r="L27" s="3">
        <v>32912</v>
      </c>
      <c r="M27" s="3">
        <v>32596</v>
      </c>
      <c r="N27" s="3">
        <v>33336</v>
      </c>
      <c r="O27" s="3">
        <v>35130</v>
      </c>
      <c r="P27" s="3">
        <v>32981</v>
      </c>
      <c r="Q27" s="3">
        <v>32796</v>
      </c>
      <c r="R27" s="3">
        <v>33330</v>
      </c>
      <c r="S27" s="3">
        <v>35681</v>
      </c>
      <c r="T27" s="3">
        <v>33485</v>
      </c>
      <c r="U27" s="3">
        <v>34504</v>
      </c>
      <c r="V27" s="3">
        <v>33821</v>
      </c>
      <c r="W27" s="10">
        <v>36381</v>
      </c>
      <c r="X27" s="6">
        <v>3.7392052704987582E-3</v>
      </c>
      <c r="Y27" s="6">
        <v>1.262454542766767E-2</v>
      </c>
      <c r="Z27" s="6">
        <v>3.583941605839414E-3</v>
      </c>
      <c r="AA27" s="6">
        <v>5.0912423358620007E-3</v>
      </c>
    </row>
    <row r="28" spans="2:27">
      <c r="B28" s="30" t="s">
        <v>7</v>
      </c>
      <c r="C28" s="2" t="s">
        <v>351</v>
      </c>
      <c r="D28" s="2" t="s">
        <v>371</v>
      </c>
      <c r="E28" s="2" t="s">
        <v>353</v>
      </c>
      <c r="F28" s="4">
        <v>-0.3</v>
      </c>
      <c r="G28" s="3">
        <v>82885</v>
      </c>
      <c r="H28" s="3">
        <v>87962</v>
      </c>
      <c r="I28" s="3">
        <v>111993</v>
      </c>
      <c r="J28" s="3">
        <v>107438</v>
      </c>
      <c r="K28" s="3">
        <v>93790</v>
      </c>
      <c r="L28" s="3">
        <v>84183</v>
      </c>
      <c r="M28" s="3">
        <v>80256</v>
      </c>
      <c r="N28" s="3">
        <v>88570</v>
      </c>
      <c r="O28" s="3">
        <v>81688</v>
      </c>
      <c r="P28" s="3">
        <v>80411</v>
      </c>
      <c r="Q28" s="3">
        <v>89986</v>
      </c>
      <c r="R28" s="3">
        <v>87792</v>
      </c>
      <c r="S28" s="3">
        <v>81058</v>
      </c>
      <c r="T28" s="3">
        <v>81058</v>
      </c>
      <c r="U28" s="3">
        <v>79477</v>
      </c>
      <c r="V28" s="3">
        <v>83331</v>
      </c>
      <c r="W28" s="10">
        <v>80039</v>
      </c>
      <c r="X28" s="6">
        <v>1.907164985983645E-3</v>
      </c>
      <c r="Y28" s="6">
        <v>-3.0918462814877531E-2</v>
      </c>
      <c r="Z28" s="6">
        <v>-1.3543421831595291E-2</v>
      </c>
      <c r="AA28" s="6">
        <v>-3.136117984513298E-3</v>
      </c>
    </row>
    <row r="29" spans="2:27">
      <c r="B29" s="30" t="s">
        <v>49</v>
      </c>
      <c r="C29" s="2" t="s">
        <v>351</v>
      </c>
      <c r="D29" s="2" t="s">
        <v>370</v>
      </c>
      <c r="E29" s="2" t="s">
        <v>353</v>
      </c>
      <c r="F29" s="4">
        <v>-0.6</v>
      </c>
      <c r="G29" s="3">
        <v>13212</v>
      </c>
      <c r="H29" s="3">
        <v>13200</v>
      </c>
      <c r="I29" s="3">
        <v>13598</v>
      </c>
      <c r="J29" s="3">
        <v>13550</v>
      </c>
      <c r="K29" s="3">
        <v>13674</v>
      </c>
      <c r="L29" s="3">
        <v>13653</v>
      </c>
      <c r="M29" s="3">
        <v>13659</v>
      </c>
      <c r="N29" s="3">
        <v>13584</v>
      </c>
      <c r="O29" s="3">
        <v>13711</v>
      </c>
      <c r="P29" s="3">
        <v>13679</v>
      </c>
      <c r="Q29" s="3">
        <v>13685</v>
      </c>
      <c r="R29" s="3">
        <v>13795</v>
      </c>
      <c r="S29" s="3">
        <v>13926</v>
      </c>
      <c r="T29" s="3">
        <v>13735</v>
      </c>
      <c r="U29" s="3">
        <v>13766</v>
      </c>
      <c r="V29" s="3">
        <v>13672</v>
      </c>
      <c r="W29" s="10">
        <v>13601</v>
      </c>
      <c r="X29" s="6">
        <v>1.0166106925659779E-3</v>
      </c>
      <c r="Y29" s="6">
        <v>1.468961389891277E-3</v>
      </c>
      <c r="Z29" s="6">
        <v>-2.2273731483828389E-3</v>
      </c>
      <c r="AA29" s="6">
        <v>-5.8984736565091964E-3</v>
      </c>
    </row>
    <row r="30" spans="2:27">
      <c r="B30" s="30" t="s">
        <v>228</v>
      </c>
      <c r="C30" s="2" t="s">
        <v>351</v>
      </c>
      <c r="D30" s="2" t="s">
        <v>372</v>
      </c>
      <c r="E30" s="2" t="s">
        <v>353</v>
      </c>
      <c r="F30" s="4">
        <v>-0.7</v>
      </c>
      <c r="G30" s="3">
        <v>1185</v>
      </c>
      <c r="H30" s="3">
        <v>1268</v>
      </c>
      <c r="I30" s="3">
        <v>1322</v>
      </c>
      <c r="J30" s="3">
        <v>1276</v>
      </c>
      <c r="K30" s="3">
        <v>1163</v>
      </c>
      <c r="L30" s="3">
        <v>1106</v>
      </c>
      <c r="M30" s="3">
        <v>1103</v>
      </c>
      <c r="N30" s="3">
        <v>1128</v>
      </c>
      <c r="O30" s="3">
        <v>1090</v>
      </c>
      <c r="P30" s="3">
        <v>1036</v>
      </c>
      <c r="Q30" s="3">
        <v>1078</v>
      </c>
      <c r="R30" s="3">
        <v>1063</v>
      </c>
      <c r="S30" s="3">
        <v>1002</v>
      </c>
      <c r="T30" s="3">
        <v>967.08</v>
      </c>
      <c r="U30" s="3">
        <v>1022</v>
      </c>
      <c r="V30" s="3">
        <v>1048</v>
      </c>
      <c r="W30" s="10">
        <v>972.69</v>
      </c>
      <c r="X30" s="6">
        <v>-1.6491983728164631E-2</v>
      </c>
      <c r="Y30" s="6">
        <v>-1.3625038928682611E-2</v>
      </c>
      <c r="Z30" s="6">
        <v>-3.6999763201515101E-3</v>
      </c>
      <c r="AA30" s="6">
        <v>-7.2566029887993766E-3</v>
      </c>
    </row>
    <row r="31" spans="2:27">
      <c r="B31" s="30" t="s">
        <v>120</v>
      </c>
      <c r="C31" s="2" t="s">
        <v>351</v>
      </c>
      <c r="D31" s="2" t="s">
        <v>373</v>
      </c>
      <c r="E31" s="2" t="s">
        <v>353</v>
      </c>
      <c r="F31" s="4">
        <v>-1.2</v>
      </c>
      <c r="G31" s="3">
        <v>13480</v>
      </c>
      <c r="H31" s="3">
        <v>13427</v>
      </c>
      <c r="I31" s="3">
        <v>14607</v>
      </c>
      <c r="J31" s="3">
        <v>14711</v>
      </c>
      <c r="K31" s="3">
        <v>14640</v>
      </c>
      <c r="L31" s="3">
        <v>13758</v>
      </c>
      <c r="M31" s="3">
        <v>13506</v>
      </c>
      <c r="N31" s="3">
        <v>14399</v>
      </c>
      <c r="O31" s="3">
        <v>13405</v>
      </c>
      <c r="P31" s="3">
        <v>12015</v>
      </c>
      <c r="Q31" s="3">
        <v>11946</v>
      </c>
      <c r="R31" s="3">
        <v>9232</v>
      </c>
      <c r="S31" s="3">
        <v>7427</v>
      </c>
      <c r="T31" s="3">
        <v>6749</v>
      </c>
      <c r="U31" s="3">
        <v>6695</v>
      </c>
      <c r="V31" s="3">
        <v>6919</v>
      </c>
      <c r="W31" s="10">
        <v>7094</v>
      </c>
      <c r="X31" s="6">
        <v>-0.12964057114721819</v>
      </c>
      <c r="Y31" s="6">
        <v>-0.14852633365390061</v>
      </c>
      <c r="Z31" s="6">
        <v>-7.6836195728000489E-2</v>
      </c>
      <c r="AA31" s="6">
        <v>-1.198272759985608E-2</v>
      </c>
    </row>
    <row r="32" spans="2:27">
      <c r="B32" s="30" t="s">
        <v>12</v>
      </c>
      <c r="C32" s="2" t="s">
        <v>351</v>
      </c>
      <c r="D32" s="2" t="s">
        <v>371</v>
      </c>
      <c r="E32" s="2" t="s">
        <v>353</v>
      </c>
      <c r="F32" s="4">
        <v>-1.6</v>
      </c>
      <c r="G32" s="3">
        <v>45322</v>
      </c>
      <c r="H32" s="3">
        <v>51821</v>
      </c>
      <c r="I32" s="3">
        <v>66305</v>
      </c>
      <c r="J32" s="3">
        <v>64244</v>
      </c>
      <c r="K32" s="3">
        <v>53546</v>
      </c>
      <c r="L32" s="3">
        <v>49211</v>
      </c>
      <c r="M32" s="3">
        <v>47533</v>
      </c>
      <c r="N32" s="3">
        <v>52775</v>
      </c>
      <c r="O32" s="3">
        <v>45280</v>
      </c>
      <c r="P32" s="3">
        <v>47215</v>
      </c>
      <c r="Q32" s="3">
        <v>49778</v>
      </c>
      <c r="R32" s="3">
        <v>49416</v>
      </c>
      <c r="S32" s="3">
        <v>49159</v>
      </c>
      <c r="T32" s="3">
        <v>46265</v>
      </c>
      <c r="U32" s="3">
        <v>44516</v>
      </c>
      <c r="V32" s="3">
        <v>48747</v>
      </c>
      <c r="W32" s="10">
        <v>46210</v>
      </c>
      <c r="X32" s="6">
        <v>-4.8576454225640608E-3</v>
      </c>
      <c r="Y32" s="6">
        <v>-2.703758131313649E-2</v>
      </c>
      <c r="Z32" s="6">
        <v>-3.5330277361160789E-3</v>
      </c>
      <c r="AA32" s="6">
        <v>-1.5629057645730748E-2</v>
      </c>
    </row>
    <row r="33" spans="2:27">
      <c r="B33" s="30" t="s">
        <v>31</v>
      </c>
      <c r="C33" s="2" t="s">
        <v>351</v>
      </c>
      <c r="D33" s="2" t="s">
        <v>371</v>
      </c>
      <c r="E33" s="2" t="s">
        <v>353</v>
      </c>
      <c r="F33" s="4">
        <v>-2.9</v>
      </c>
      <c r="G33" s="3">
        <v>12295</v>
      </c>
      <c r="H33" s="3">
        <v>12657</v>
      </c>
      <c r="I33" s="3">
        <v>17285</v>
      </c>
      <c r="J33" s="3">
        <v>15071</v>
      </c>
      <c r="K33" s="3">
        <v>14400</v>
      </c>
      <c r="L33" s="3">
        <v>12057</v>
      </c>
      <c r="M33" s="3">
        <v>11764</v>
      </c>
      <c r="N33" s="3">
        <v>13873</v>
      </c>
      <c r="O33" s="3">
        <v>13202</v>
      </c>
      <c r="P33" s="3">
        <v>12249</v>
      </c>
      <c r="Q33" s="3">
        <v>13348</v>
      </c>
      <c r="R33" s="3">
        <v>13215</v>
      </c>
      <c r="S33" s="3">
        <v>12702</v>
      </c>
      <c r="T33" s="3">
        <v>12466</v>
      </c>
      <c r="U33" s="3">
        <v>11208</v>
      </c>
      <c r="V33" s="3">
        <v>11994</v>
      </c>
      <c r="W33" s="10">
        <v>11280</v>
      </c>
      <c r="X33" s="6">
        <v>4.2124471017588316E-3</v>
      </c>
      <c r="Y33" s="6">
        <v>-4.1367845199203557E-2</v>
      </c>
      <c r="Z33" s="6">
        <v>-2.4621403077171311E-2</v>
      </c>
      <c r="AA33" s="6">
        <v>-2.9398387430225381E-2</v>
      </c>
    </row>
    <row r="34" spans="2:27">
      <c r="B34" s="31">
        <v>8550</v>
      </c>
      <c r="C34" s="12" t="s">
        <v>374</v>
      </c>
      <c r="D34" s="13" t="str">
        <f>VLOOKUP(B34,기업리스트!$B:$G,2,FALSE)</f>
        <v>The Tochigi Bank, Ltd.</v>
      </c>
      <c r="E34" s="12" t="s">
        <v>360</v>
      </c>
      <c r="F34" s="21">
        <v>33.4</v>
      </c>
      <c r="G34" s="15">
        <v>9261</v>
      </c>
      <c r="H34" s="15">
        <v>9547</v>
      </c>
      <c r="I34" s="15">
        <v>11915</v>
      </c>
      <c r="J34" s="15">
        <v>10457</v>
      </c>
      <c r="K34" s="15">
        <v>11143</v>
      </c>
      <c r="L34" s="15">
        <v>8064</v>
      </c>
      <c r="M34" s="15">
        <v>9243</v>
      </c>
      <c r="N34" s="15">
        <v>10474</v>
      </c>
      <c r="O34" s="15">
        <v>10896</v>
      </c>
      <c r="P34" s="15">
        <v>8660</v>
      </c>
      <c r="Q34" s="15">
        <v>10606</v>
      </c>
      <c r="R34" s="15">
        <v>7289</v>
      </c>
      <c r="S34" s="15">
        <v>11295</v>
      </c>
      <c r="T34" s="15">
        <v>-26917</v>
      </c>
      <c r="U34" s="15">
        <v>9687</v>
      </c>
      <c r="V34" s="16">
        <v>11199</v>
      </c>
      <c r="W34" s="17">
        <v>13055</v>
      </c>
      <c r="X34" s="18">
        <v>-0.93994715984147947</v>
      </c>
      <c r="Y34" s="18">
        <v>-0.40431148262208538</v>
      </c>
      <c r="Z34" s="19">
        <v>2.8877400295420981</v>
      </c>
      <c r="AA34" s="19">
        <v>0.33434650455927062</v>
      </c>
    </row>
    <row r="35" spans="2:27">
      <c r="B35" s="30">
        <v>6777</v>
      </c>
      <c r="C35" s="2" t="s">
        <v>374</v>
      </c>
      <c r="D35" s="9" t="str">
        <f>VLOOKUP(B35,기업리스트!$B:$G,2,FALSE)</f>
        <v>santec Holdings Corporation</v>
      </c>
      <c r="E35" s="2" t="s">
        <v>360</v>
      </c>
      <c r="F35" s="20">
        <v>12.7</v>
      </c>
      <c r="G35" s="3">
        <v>2188</v>
      </c>
      <c r="H35" s="3">
        <v>3070</v>
      </c>
      <c r="I35" s="3">
        <v>3188</v>
      </c>
      <c r="J35" s="3">
        <v>3487</v>
      </c>
      <c r="K35" s="5">
        <v>3914</v>
      </c>
      <c r="L35" s="5">
        <v>4657</v>
      </c>
      <c r="M35" s="3">
        <v>3583</v>
      </c>
      <c r="N35" s="3">
        <v>4064</v>
      </c>
      <c r="O35" s="3">
        <v>4327</v>
      </c>
      <c r="P35" s="5">
        <v>6893</v>
      </c>
      <c r="Q35" s="5">
        <v>6306</v>
      </c>
      <c r="R35" s="3">
        <v>5691</v>
      </c>
      <c r="S35" s="3">
        <v>5316</v>
      </c>
      <c r="T35" s="3">
        <v>6713</v>
      </c>
      <c r="U35" s="3">
        <v>6186</v>
      </c>
      <c r="V35" s="3">
        <v>6592</v>
      </c>
      <c r="W35" s="11">
        <v>8470</v>
      </c>
      <c r="X35" s="6">
        <v>-7.436172849706657E-3</v>
      </c>
      <c r="Y35" s="6">
        <v>-4.9945891950387011E-3</v>
      </c>
      <c r="Z35" s="6">
        <v>3.7689283025182041E-2</v>
      </c>
      <c r="AA35" s="7">
        <v>0.12714153263191849</v>
      </c>
    </row>
    <row r="36" spans="2:27">
      <c r="B36" s="30">
        <v>6331</v>
      </c>
      <c r="C36" s="2" t="s">
        <v>374</v>
      </c>
      <c r="D36" s="9" t="str">
        <f>VLOOKUP(B36,기업리스트!$B:$G,2,FALSE)</f>
        <v>Mitsubishi Kakoki Kaisha, Ltd.</v>
      </c>
      <c r="E36" s="2" t="s">
        <v>360</v>
      </c>
      <c r="F36" s="20">
        <v>12.3</v>
      </c>
      <c r="G36" s="3">
        <v>10538</v>
      </c>
      <c r="H36" s="3">
        <v>13501</v>
      </c>
      <c r="I36" s="3">
        <v>8957</v>
      </c>
      <c r="J36" s="3">
        <v>12243</v>
      </c>
      <c r="K36" s="3">
        <v>10175</v>
      </c>
      <c r="L36" s="3">
        <v>13215</v>
      </c>
      <c r="M36" s="3">
        <v>9243</v>
      </c>
      <c r="N36" s="3">
        <v>12902</v>
      </c>
      <c r="O36" s="3">
        <v>12075</v>
      </c>
      <c r="P36" s="3">
        <v>13554</v>
      </c>
      <c r="Q36" s="3">
        <v>11944</v>
      </c>
      <c r="R36" s="3">
        <v>14679</v>
      </c>
      <c r="S36" s="3">
        <v>14690</v>
      </c>
      <c r="T36" s="3">
        <v>17889</v>
      </c>
      <c r="U36" s="3">
        <v>15813</v>
      </c>
      <c r="V36" s="3">
        <v>20310</v>
      </c>
      <c r="W36" s="11">
        <v>23150</v>
      </c>
      <c r="X36" s="6">
        <v>7.9009240527092794E-2</v>
      </c>
      <c r="Y36" s="6">
        <v>6.5352521874260994E-2</v>
      </c>
      <c r="Z36" s="6">
        <v>8.9280334860712518E-2</v>
      </c>
      <c r="AA36" s="7">
        <v>0.1231405199266398</v>
      </c>
    </row>
    <row r="37" spans="2:27">
      <c r="B37" s="30">
        <v>8345</v>
      </c>
      <c r="C37" s="2" t="s">
        <v>374</v>
      </c>
      <c r="D37" s="9" t="str">
        <f>VLOOKUP(B37,기업리스트!$B:$G,2,FALSE)</f>
        <v>The Bank of Iwate, Ltd.</v>
      </c>
      <c r="E37" s="2" t="s">
        <v>360</v>
      </c>
      <c r="F37" s="20">
        <v>11.3</v>
      </c>
      <c r="G37" s="3">
        <v>10189</v>
      </c>
      <c r="H37" s="3">
        <v>8142</v>
      </c>
      <c r="I37" s="3">
        <v>11594</v>
      </c>
      <c r="J37" s="3">
        <v>11452</v>
      </c>
      <c r="K37" s="3">
        <v>13951</v>
      </c>
      <c r="L37" s="3">
        <v>2403</v>
      </c>
      <c r="M37" s="3">
        <v>10474</v>
      </c>
      <c r="N37" s="3">
        <v>10609</v>
      </c>
      <c r="O37" s="3">
        <v>10051</v>
      </c>
      <c r="P37" s="5">
        <v>9375</v>
      </c>
      <c r="Q37" s="3">
        <v>11508</v>
      </c>
      <c r="R37" s="3">
        <v>10888</v>
      </c>
      <c r="S37" s="3">
        <v>12165</v>
      </c>
      <c r="T37" s="3">
        <v>9396</v>
      </c>
      <c r="U37" s="3">
        <v>12494</v>
      </c>
      <c r="V37" s="3">
        <v>14761</v>
      </c>
      <c r="W37" s="11">
        <v>17685</v>
      </c>
      <c r="X37" s="6">
        <v>4.7796795338683751E-4</v>
      </c>
      <c r="Y37" s="6">
        <v>2.243101212548626E-2</v>
      </c>
      <c r="Z37" s="6">
        <v>8.6175822708764338E-2</v>
      </c>
      <c r="AA37" s="7">
        <v>0.1130776794493609</v>
      </c>
    </row>
    <row r="38" spans="2:27">
      <c r="B38" s="30">
        <v>6946</v>
      </c>
      <c r="C38" s="2" t="s">
        <v>374</v>
      </c>
      <c r="D38" s="9" t="str">
        <f>VLOOKUP(B38,기업리스트!$B:$G,2,FALSE)</f>
        <v>Nippon Avionics Co., Ltd.</v>
      </c>
      <c r="E38" s="2" t="s">
        <v>360</v>
      </c>
      <c r="F38" s="20">
        <v>10.4</v>
      </c>
      <c r="G38" s="3">
        <v>4532</v>
      </c>
      <c r="H38" s="3">
        <v>5050</v>
      </c>
      <c r="I38" s="3">
        <v>3263</v>
      </c>
      <c r="J38" s="3">
        <v>4599</v>
      </c>
      <c r="K38" s="3">
        <v>4762</v>
      </c>
      <c r="L38" s="3">
        <v>5130</v>
      </c>
      <c r="M38" s="3">
        <v>3605</v>
      </c>
      <c r="N38" s="3">
        <v>5064</v>
      </c>
      <c r="O38" s="3">
        <v>4584</v>
      </c>
      <c r="P38" s="3">
        <v>4802</v>
      </c>
      <c r="Q38" s="3">
        <v>4087</v>
      </c>
      <c r="R38" s="3">
        <v>5019</v>
      </c>
      <c r="S38" s="3">
        <v>4564</v>
      </c>
      <c r="T38" s="3">
        <v>6452</v>
      </c>
      <c r="U38" s="3">
        <v>5037</v>
      </c>
      <c r="V38" s="5">
        <v>7666</v>
      </c>
      <c r="W38" s="11">
        <v>7023</v>
      </c>
      <c r="X38" s="6">
        <v>8.9324382849718553E-2</v>
      </c>
      <c r="Y38" s="6">
        <v>4.7212006758771567E-2</v>
      </c>
      <c r="Z38" s="7">
        <v>0.12561693242217159</v>
      </c>
      <c r="AA38" s="7">
        <v>0.1036721615582445</v>
      </c>
    </row>
    <row r="39" spans="2:27">
      <c r="B39" s="30">
        <v>8316</v>
      </c>
      <c r="C39" s="2" t="s">
        <v>374</v>
      </c>
      <c r="D39" s="9" t="str">
        <f>VLOOKUP(B39,기업리스트!$B:$G,2,FALSE)</f>
        <v>Sumitomo Mitsui Financial Group, Inc.</v>
      </c>
      <c r="E39" s="2" t="s">
        <v>360</v>
      </c>
      <c r="F39" s="4">
        <v>8.3000000000000007</v>
      </c>
      <c r="G39" s="3">
        <v>942800</v>
      </c>
      <c r="H39" s="3">
        <v>82233</v>
      </c>
      <c r="I39" s="3">
        <v>994279</v>
      </c>
      <c r="J39" s="3">
        <v>1039205</v>
      </c>
      <c r="K39" s="3">
        <v>1013583</v>
      </c>
      <c r="L39" s="5">
        <v>479754</v>
      </c>
      <c r="M39" s="3">
        <v>1040727</v>
      </c>
      <c r="N39" s="3">
        <v>1129858</v>
      </c>
      <c r="O39" s="3">
        <v>1210013</v>
      </c>
      <c r="P39" s="3">
        <v>122089</v>
      </c>
      <c r="Q39" s="3">
        <v>1286487</v>
      </c>
      <c r="R39" s="5">
        <v>1534002</v>
      </c>
      <c r="S39" s="3">
        <v>1296678</v>
      </c>
      <c r="T39" s="3">
        <v>-842478</v>
      </c>
      <c r="U39" s="3">
        <v>1358238</v>
      </c>
      <c r="V39" s="3">
        <v>1611881</v>
      </c>
      <c r="W39" s="10">
        <v>1579788</v>
      </c>
      <c r="X39" s="6">
        <v>-0.22753214243254011</v>
      </c>
      <c r="Y39" s="6">
        <v>2.1910782978169729E-2</v>
      </c>
      <c r="Z39" s="6">
        <v>2.327219373423706E-2</v>
      </c>
      <c r="AA39" s="6">
        <v>8.2676292716887589E-2</v>
      </c>
    </row>
    <row r="40" spans="2:27">
      <c r="B40" s="30">
        <v>9719</v>
      </c>
      <c r="C40" s="2" t="s">
        <v>374</v>
      </c>
      <c r="D40" s="9" t="str">
        <f>VLOOKUP(B40,기업리스트!$B:$G,2,FALSE)</f>
        <v>SCSK Corporation</v>
      </c>
      <c r="E40" s="2" t="s">
        <v>360</v>
      </c>
      <c r="F40" s="4">
        <v>8.1999999999999993</v>
      </c>
      <c r="G40" s="3">
        <v>102729</v>
      </c>
      <c r="H40" s="3">
        <v>111396</v>
      </c>
      <c r="I40" s="3">
        <v>104417</v>
      </c>
      <c r="J40" s="3">
        <v>108682</v>
      </c>
      <c r="K40" s="3">
        <v>109924</v>
      </c>
      <c r="L40" s="3">
        <v>122888</v>
      </c>
      <c r="M40" s="3">
        <v>113371</v>
      </c>
      <c r="N40" s="3">
        <v>117824</v>
      </c>
      <c r="O40" s="3">
        <v>120167</v>
      </c>
      <c r="P40" s="3">
        <v>128944</v>
      </c>
      <c r="Q40" s="3">
        <v>122543</v>
      </c>
      <c r="R40" s="3">
        <v>128980</v>
      </c>
      <c r="S40" s="3">
        <v>133317</v>
      </c>
      <c r="T40" s="5">
        <v>211225</v>
      </c>
      <c r="U40" s="3">
        <v>177474</v>
      </c>
      <c r="V40" s="3">
        <v>193805</v>
      </c>
      <c r="W40" s="10">
        <v>191813</v>
      </c>
      <c r="X40" s="7">
        <v>0.16014706569297599</v>
      </c>
      <c r="Y40" s="6">
        <v>9.2156056805885234E-2</v>
      </c>
      <c r="Z40" s="6">
        <v>9.9578184812195492E-2</v>
      </c>
      <c r="AA40" s="6">
        <v>8.1718753710773973E-2</v>
      </c>
    </row>
    <row r="41" spans="2:27">
      <c r="B41" s="30">
        <v>2127</v>
      </c>
      <c r="C41" s="2" t="s">
        <v>374</v>
      </c>
      <c r="D41" s="9" t="str">
        <f>VLOOKUP(B41,기업리스트!$B:$G,2,FALSE)</f>
        <v>Nihon M&amp;A Center Holdings Inc.</v>
      </c>
      <c r="E41" s="2" t="s">
        <v>360</v>
      </c>
      <c r="F41" s="4">
        <v>8.1</v>
      </c>
      <c r="G41" s="3">
        <v>10853</v>
      </c>
      <c r="H41" s="3">
        <v>6128</v>
      </c>
      <c r="I41" s="3">
        <v>9068</v>
      </c>
      <c r="J41" s="3">
        <v>11031</v>
      </c>
      <c r="K41" s="3">
        <v>9777</v>
      </c>
      <c r="L41" s="5">
        <v>11439</v>
      </c>
      <c r="M41" s="3">
        <v>8246</v>
      </c>
      <c r="N41" s="3">
        <v>10925</v>
      </c>
      <c r="O41" s="3">
        <v>11976</v>
      </c>
      <c r="P41" s="3">
        <v>12989</v>
      </c>
      <c r="Q41" s="3">
        <v>7638</v>
      </c>
      <c r="R41" s="3">
        <v>10953</v>
      </c>
      <c r="S41" s="3">
        <v>11252</v>
      </c>
      <c r="T41" s="3">
        <v>14234</v>
      </c>
      <c r="U41" s="3">
        <v>9018</v>
      </c>
      <c r="V41" s="3">
        <v>13569</v>
      </c>
      <c r="W41" s="10">
        <v>15151</v>
      </c>
      <c r="X41" s="6">
        <v>2.9067052670900258E-2</v>
      </c>
      <c r="Y41" s="6">
        <v>3.1308845883340597E-2</v>
      </c>
      <c r="Z41" s="6">
        <v>5.7548892359812642E-2</v>
      </c>
      <c r="AA41" s="6">
        <v>8.1105818234767924E-2</v>
      </c>
    </row>
    <row r="42" spans="2:27">
      <c r="B42" s="30">
        <v>8803</v>
      </c>
      <c r="C42" s="2" t="s">
        <v>374</v>
      </c>
      <c r="D42" s="9" t="str">
        <f>VLOOKUP(B42,기업리스트!$B:$G,2,FALSE)</f>
        <v>Heiwa Real Estate Co., Ltd.</v>
      </c>
      <c r="E42" s="2" t="s">
        <v>360</v>
      </c>
      <c r="F42" s="4">
        <v>6.1</v>
      </c>
      <c r="G42" s="3">
        <v>7105</v>
      </c>
      <c r="H42" s="3">
        <v>9432</v>
      </c>
      <c r="I42" s="3">
        <v>17385</v>
      </c>
      <c r="J42" s="3">
        <v>7569</v>
      </c>
      <c r="K42" s="3">
        <v>7179</v>
      </c>
      <c r="L42" s="3">
        <v>12389</v>
      </c>
      <c r="M42" s="3">
        <v>15028</v>
      </c>
      <c r="N42" s="5">
        <v>13163</v>
      </c>
      <c r="O42" s="3">
        <v>7524</v>
      </c>
      <c r="P42" s="3">
        <v>8718</v>
      </c>
      <c r="Q42" s="3">
        <v>10579</v>
      </c>
      <c r="R42" s="3">
        <v>8182</v>
      </c>
      <c r="S42" s="3">
        <v>8186</v>
      </c>
      <c r="T42" s="5">
        <v>15128</v>
      </c>
      <c r="U42" s="3">
        <v>13123</v>
      </c>
      <c r="V42" s="3">
        <v>8697</v>
      </c>
      <c r="W42" s="10">
        <v>10952</v>
      </c>
      <c r="X42" s="7">
        <v>0.17972802467405019</v>
      </c>
      <c r="Y42" s="6">
        <v>6.046345811051701E-2</v>
      </c>
      <c r="Z42" s="6">
        <v>1.154216813465125E-2</v>
      </c>
      <c r="AA42" s="6">
        <v>6.1284176009217102E-2</v>
      </c>
    </row>
    <row r="43" spans="2:27">
      <c r="B43" s="30">
        <v>6961</v>
      </c>
      <c r="C43" s="2" t="s">
        <v>374</v>
      </c>
      <c r="D43" s="9" t="str">
        <f>VLOOKUP(B43,기업리스트!$B:$G,2,FALSE)</f>
        <v>Enplas Corporation</v>
      </c>
      <c r="E43" s="2" t="s">
        <v>360</v>
      </c>
      <c r="F43" s="4">
        <v>6</v>
      </c>
      <c r="G43" s="3">
        <v>7755</v>
      </c>
      <c r="H43" s="3">
        <v>9021</v>
      </c>
      <c r="I43" s="3">
        <v>10115</v>
      </c>
      <c r="J43" s="3">
        <v>10982</v>
      </c>
      <c r="K43" s="3">
        <v>11173</v>
      </c>
      <c r="L43" s="3">
        <v>9970</v>
      </c>
      <c r="M43" s="3">
        <v>9715</v>
      </c>
      <c r="N43" s="3">
        <v>9485</v>
      </c>
      <c r="O43" s="3">
        <v>8754</v>
      </c>
      <c r="P43" s="3">
        <v>9851</v>
      </c>
      <c r="Q43" s="3">
        <v>10601</v>
      </c>
      <c r="R43" s="3">
        <v>9099</v>
      </c>
      <c r="S43" s="3">
        <v>9105</v>
      </c>
      <c r="T43" s="3">
        <v>9264</v>
      </c>
      <c r="U43" s="3">
        <v>8999</v>
      </c>
      <c r="V43" s="3">
        <v>11902</v>
      </c>
      <c r="W43" s="10">
        <v>11473</v>
      </c>
      <c r="X43" s="6">
        <v>-1.5185223509933791E-2</v>
      </c>
      <c r="Y43" s="6">
        <v>-4.2081483621844502E-2</v>
      </c>
      <c r="Z43" s="6">
        <v>7.6864014040091133E-2</v>
      </c>
      <c r="AA43" s="6">
        <v>6.0300483829895501E-2</v>
      </c>
    </row>
    <row r="44" spans="2:27">
      <c r="B44" s="30">
        <v>6196</v>
      </c>
      <c r="C44" s="2" t="s">
        <v>374</v>
      </c>
      <c r="D44" s="9" t="str">
        <f>VLOOKUP(B44,기업리스트!$B:$G,2,FALSE)</f>
        <v>Strike Company,Limited</v>
      </c>
      <c r="E44" s="2" t="s">
        <v>363</v>
      </c>
      <c r="F44" s="4">
        <v>5.8</v>
      </c>
      <c r="G44" s="3">
        <v>2355</v>
      </c>
      <c r="H44" s="3">
        <v>2861</v>
      </c>
      <c r="I44" s="3">
        <v>1916</v>
      </c>
      <c r="J44" s="3">
        <v>3595</v>
      </c>
      <c r="K44" s="3">
        <v>1969</v>
      </c>
      <c r="L44" s="5">
        <v>4113</v>
      </c>
      <c r="M44" s="3">
        <v>3050</v>
      </c>
      <c r="N44" s="3">
        <v>4694</v>
      </c>
      <c r="O44" s="5">
        <v>3676</v>
      </c>
      <c r="P44" s="3">
        <v>5554</v>
      </c>
      <c r="Q44" s="3">
        <v>4042</v>
      </c>
      <c r="R44" s="3">
        <v>4866</v>
      </c>
      <c r="S44" s="3">
        <v>3665</v>
      </c>
      <c r="T44" s="3">
        <v>5286</v>
      </c>
      <c r="U44" s="3">
        <v>5490</v>
      </c>
      <c r="V44" s="3">
        <v>5873</v>
      </c>
      <c r="W44" s="10">
        <v>4842</v>
      </c>
      <c r="X44" s="6">
        <v>-1.47845754951178E-2</v>
      </c>
      <c r="Y44" s="6">
        <v>8.1079567724956503E-2</v>
      </c>
      <c r="Z44" s="6">
        <v>5.2157248666286897E-2</v>
      </c>
      <c r="AA44" s="6">
        <v>5.7940336713596441E-2</v>
      </c>
    </row>
    <row r="45" spans="2:27">
      <c r="B45" s="30">
        <v>8308</v>
      </c>
      <c r="C45" s="2" t="s">
        <v>374</v>
      </c>
      <c r="D45" s="9" t="str">
        <f>VLOOKUP(B45,기업리스트!$B:$G,2,FALSE)</f>
        <v>Resona Holdings, Inc.</v>
      </c>
      <c r="E45" s="2" t="s">
        <v>360</v>
      </c>
      <c r="F45" s="4">
        <v>5.7</v>
      </c>
      <c r="G45" s="3">
        <v>173983</v>
      </c>
      <c r="H45" s="3">
        <v>178409</v>
      </c>
      <c r="I45" s="3">
        <v>194300</v>
      </c>
      <c r="J45" s="3">
        <v>217183</v>
      </c>
      <c r="K45" s="3">
        <v>195938</v>
      </c>
      <c r="L45" s="3">
        <v>193615</v>
      </c>
      <c r="M45" s="3">
        <v>178656</v>
      </c>
      <c r="N45" s="3">
        <v>210154</v>
      </c>
      <c r="O45" s="3">
        <v>187334</v>
      </c>
      <c r="P45" s="3">
        <v>236919</v>
      </c>
      <c r="Q45" s="3">
        <v>219748</v>
      </c>
      <c r="R45" s="3">
        <v>243077</v>
      </c>
      <c r="S45" s="3">
        <v>230960</v>
      </c>
      <c r="T45" s="3">
        <v>259613</v>
      </c>
      <c r="U45" s="3">
        <v>248800</v>
      </c>
      <c r="V45" s="3">
        <v>251222</v>
      </c>
      <c r="W45" s="10">
        <v>286985</v>
      </c>
      <c r="X45" s="6">
        <v>2.4383692344719599E-2</v>
      </c>
      <c r="Y45" s="6">
        <v>3.0472058888313169E-2</v>
      </c>
      <c r="Z45" s="6">
        <v>8.2904982441853736E-3</v>
      </c>
      <c r="AA45" s="6">
        <v>5.655691781202199E-2</v>
      </c>
    </row>
    <row r="46" spans="2:27">
      <c r="B46" s="30">
        <v>8341</v>
      </c>
      <c r="C46" s="2" t="s">
        <v>374</v>
      </c>
      <c r="D46" s="9" t="str">
        <f>VLOOKUP(B46,기업리스트!$B:$G,2,FALSE)</f>
        <v>The 77 Bank, Ltd.</v>
      </c>
      <c r="E46" s="2" t="s">
        <v>360</v>
      </c>
      <c r="F46" s="4">
        <v>5.5</v>
      </c>
      <c r="G46" s="3">
        <v>27470</v>
      </c>
      <c r="H46" s="3">
        <v>26921</v>
      </c>
      <c r="I46" s="3">
        <v>30911</v>
      </c>
      <c r="J46" s="3">
        <v>27118</v>
      </c>
      <c r="K46" s="3">
        <v>30476</v>
      </c>
      <c r="L46" s="3">
        <v>31502</v>
      </c>
      <c r="M46" s="3">
        <v>36678</v>
      </c>
      <c r="N46" s="3">
        <v>35841</v>
      </c>
      <c r="O46" s="3">
        <v>32103</v>
      </c>
      <c r="P46" s="3">
        <v>40464</v>
      </c>
      <c r="Q46" s="3">
        <v>43379</v>
      </c>
      <c r="R46" s="3">
        <v>38316</v>
      </c>
      <c r="S46" s="3">
        <v>40171</v>
      </c>
      <c r="T46" s="3">
        <v>42126</v>
      </c>
      <c r="U46" s="3">
        <v>40982</v>
      </c>
      <c r="V46" s="3">
        <v>44774</v>
      </c>
      <c r="W46" s="10">
        <v>49467</v>
      </c>
      <c r="X46" s="6">
        <v>1.023840325263348E-2</v>
      </c>
      <c r="Y46" s="6">
        <v>-1.461656666178834E-2</v>
      </c>
      <c r="Z46" s="6">
        <v>3.996410780036519E-2</v>
      </c>
      <c r="AA46" s="6">
        <v>5.5315882489452628E-2</v>
      </c>
    </row>
    <row r="47" spans="2:27">
      <c r="B47" s="30">
        <v>6526</v>
      </c>
      <c r="C47" s="2" t="s">
        <v>374</v>
      </c>
      <c r="D47" s="9" t="str">
        <f>VLOOKUP(B47,기업리스트!$B:$G,2,FALSE)</f>
        <v>Socionext Inc.</v>
      </c>
      <c r="E47" s="2" t="s">
        <v>360</v>
      </c>
      <c r="F47" s="4">
        <v>5</v>
      </c>
      <c r="G47" s="2"/>
      <c r="H47" s="2"/>
      <c r="I47" s="3">
        <v>39934</v>
      </c>
      <c r="J47" s="3">
        <v>42833</v>
      </c>
      <c r="K47" s="3">
        <v>56074</v>
      </c>
      <c r="L47" s="3">
        <v>53926</v>
      </c>
      <c r="M47" s="5">
        <v>61447</v>
      </c>
      <c r="N47" s="3">
        <v>55541</v>
      </c>
      <c r="O47" s="3">
        <v>52650</v>
      </c>
      <c r="P47" s="3">
        <v>51608</v>
      </c>
      <c r="Q47" s="3">
        <v>52783</v>
      </c>
      <c r="R47" s="3">
        <v>46398</v>
      </c>
      <c r="S47" s="3">
        <v>46083</v>
      </c>
      <c r="T47" s="3">
        <v>43271</v>
      </c>
      <c r="U47" s="3">
        <v>34553</v>
      </c>
      <c r="V47" s="3">
        <v>52656</v>
      </c>
      <c r="W47" s="10">
        <v>54931</v>
      </c>
      <c r="X47" s="6">
        <v>-4.2347311959039402E-2</v>
      </c>
      <c r="Y47" s="6">
        <v>-9.6692921738669169E-2</v>
      </c>
      <c r="Z47" s="6">
        <v>3.6745838348844817E-2</v>
      </c>
      <c r="AA47" s="6">
        <v>5.0112424460390992E-2</v>
      </c>
    </row>
    <row r="48" spans="2:27">
      <c r="B48" s="30">
        <v>2121</v>
      </c>
      <c r="C48" s="2" t="s">
        <v>374</v>
      </c>
      <c r="D48" s="9" t="str">
        <f>VLOOKUP(B48,기업리스트!$B:$G,2,FALSE)</f>
        <v>MIXI, Inc.</v>
      </c>
      <c r="E48" s="2" t="s">
        <v>360</v>
      </c>
      <c r="F48" s="4">
        <v>4.9000000000000004</v>
      </c>
      <c r="G48" s="3">
        <v>29502</v>
      </c>
      <c r="H48" s="3">
        <v>37010</v>
      </c>
      <c r="I48" s="3">
        <v>31022</v>
      </c>
      <c r="J48" s="3">
        <v>34712</v>
      </c>
      <c r="K48" s="3">
        <v>39068</v>
      </c>
      <c r="L48" s="3">
        <v>42065</v>
      </c>
      <c r="M48" s="3">
        <v>29207</v>
      </c>
      <c r="N48" s="3">
        <v>34761</v>
      </c>
      <c r="O48" s="3">
        <v>41241</v>
      </c>
      <c r="P48" s="3">
        <v>41659</v>
      </c>
      <c r="Q48" s="3">
        <v>30087</v>
      </c>
      <c r="R48" s="3">
        <v>38733</v>
      </c>
      <c r="S48" s="3">
        <v>41532</v>
      </c>
      <c r="T48" s="3">
        <v>44495</v>
      </c>
      <c r="U48" s="3">
        <v>31323</v>
      </c>
      <c r="V48" s="3">
        <v>36105</v>
      </c>
      <c r="W48" s="10">
        <v>48997</v>
      </c>
      <c r="X48" s="6">
        <v>1.865654459216759E-2</v>
      </c>
      <c r="Y48" s="6">
        <v>7.9820726265280584E-3</v>
      </c>
      <c r="Z48" s="6">
        <v>-1.6837195594651581E-2</v>
      </c>
      <c r="AA48" s="6">
        <v>4.8646182920074388E-2</v>
      </c>
    </row>
    <row r="49" spans="2:27">
      <c r="B49" s="30">
        <v>7327</v>
      </c>
      <c r="C49" s="2" t="s">
        <v>374</v>
      </c>
      <c r="D49" s="9" t="str">
        <f>VLOOKUP(B49,기업리스트!$B:$G,2,FALSE)</f>
        <v>Daishi Hokuetsu Financial Group, Inc.</v>
      </c>
      <c r="E49" s="2" t="s">
        <v>360</v>
      </c>
      <c r="F49" s="4">
        <v>4.7</v>
      </c>
      <c r="G49" s="3">
        <v>30022</v>
      </c>
      <c r="H49" s="3">
        <v>30809</v>
      </c>
      <c r="I49" s="3">
        <v>37378</v>
      </c>
      <c r="J49" s="3">
        <v>33124</v>
      </c>
      <c r="K49" s="3">
        <v>30140</v>
      </c>
      <c r="L49" s="3">
        <v>28562</v>
      </c>
      <c r="M49" s="3">
        <v>38919</v>
      </c>
      <c r="N49" s="3">
        <v>34477</v>
      </c>
      <c r="O49" s="3">
        <v>31639</v>
      </c>
      <c r="P49" s="3">
        <v>31389</v>
      </c>
      <c r="Q49" s="3">
        <v>41750</v>
      </c>
      <c r="R49" s="3">
        <v>31320</v>
      </c>
      <c r="S49" s="3">
        <v>38855</v>
      </c>
      <c r="T49" s="3">
        <v>35784</v>
      </c>
      <c r="U49" s="3">
        <v>45728</v>
      </c>
      <c r="V49" s="5">
        <v>71647</v>
      </c>
      <c r="W49" s="10">
        <v>47817</v>
      </c>
      <c r="X49" s="6">
        <v>3.066692716692021E-2</v>
      </c>
      <c r="Y49" s="6">
        <v>2.6931331198505101E-2</v>
      </c>
      <c r="Z49" s="7">
        <v>0.26585666537013708</v>
      </c>
      <c r="AA49" s="6">
        <v>4.667368004416339E-2</v>
      </c>
    </row>
    <row r="50" spans="2:27">
      <c r="B50" s="30">
        <v>8388</v>
      </c>
      <c r="C50" s="2" t="s">
        <v>374</v>
      </c>
      <c r="D50" s="9" t="str">
        <f>VLOOKUP(B50,기업리스트!$B:$G,2,FALSE)</f>
        <v>The Awa Bank, Ltd.</v>
      </c>
      <c r="E50" s="2" t="s">
        <v>360</v>
      </c>
      <c r="F50" s="4">
        <v>4.5999999999999996</v>
      </c>
      <c r="G50" s="3">
        <v>16114</v>
      </c>
      <c r="H50" s="3">
        <v>16398</v>
      </c>
      <c r="I50" s="3">
        <v>18816</v>
      </c>
      <c r="J50" s="3">
        <v>18049</v>
      </c>
      <c r="K50" s="5">
        <v>26480</v>
      </c>
      <c r="L50" s="3">
        <v>15872</v>
      </c>
      <c r="M50" s="3">
        <v>15521</v>
      </c>
      <c r="N50" s="3">
        <v>15706</v>
      </c>
      <c r="O50" s="3">
        <v>17162</v>
      </c>
      <c r="P50" s="3">
        <v>15543</v>
      </c>
      <c r="Q50" s="3">
        <v>17950</v>
      </c>
      <c r="R50" s="3">
        <v>16573</v>
      </c>
      <c r="S50" s="3">
        <v>18265</v>
      </c>
      <c r="T50" s="3">
        <v>15297</v>
      </c>
      <c r="U50" s="3">
        <v>21196</v>
      </c>
      <c r="V50" s="3">
        <v>21441</v>
      </c>
      <c r="W50" s="10">
        <v>21746</v>
      </c>
      <c r="X50" s="6">
        <v>-3.6001229310269611E-3</v>
      </c>
      <c r="Y50" s="6">
        <v>4.7675699493280543E-2</v>
      </c>
      <c r="Z50" s="6">
        <v>6.8245222974583353E-2</v>
      </c>
      <c r="AA50" s="6">
        <v>4.5683014212784867E-2</v>
      </c>
    </row>
    <row r="51" spans="2:27">
      <c r="B51" s="30">
        <v>8377</v>
      </c>
      <c r="C51" s="2" t="s">
        <v>374</v>
      </c>
      <c r="D51" s="9" t="str">
        <f>VLOOKUP(B51,기업리스트!$B:$G,2,FALSE)</f>
        <v>Hokuhoku Financial Group, Inc.</v>
      </c>
      <c r="E51" s="2" t="s">
        <v>360</v>
      </c>
      <c r="F51" s="4">
        <v>4.4000000000000004</v>
      </c>
      <c r="G51" s="3">
        <v>40966</v>
      </c>
      <c r="H51" s="3">
        <v>34196</v>
      </c>
      <c r="I51" s="3">
        <v>39737</v>
      </c>
      <c r="J51" s="3">
        <v>40851</v>
      </c>
      <c r="K51" s="3">
        <v>36945</v>
      </c>
      <c r="L51" s="5">
        <v>51481</v>
      </c>
      <c r="M51" s="3">
        <v>38901</v>
      </c>
      <c r="N51" s="3">
        <v>48546</v>
      </c>
      <c r="O51" s="3">
        <v>45239</v>
      </c>
      <c r="P51" s="3">
        <v>38244</v>
      </c>
      <c r="Q51" s="3">
        <v>41538</v>
      </c>
      <c r="R51" s="3">
        <v>43956</v>
      </c>
      <c r="S51" s="3">
        <v>45085</v>
      </c>
      <c r="T51" s="3">
        <v>42665</v>
      </c>
      <c r="U51" s="3">
        <v>50206</v>
      </c>
      <c r="V51" s="3">
        <v>55838</v>
      </c>
      <c r="W51" s="10">
        <v>53614</v>
      </c>
      <c r="X51" s="6">
        <v>2.6187190134045801E-2</v>
      </c>
      <c r="Y51" s="6">
        <v>5.0033478792916419E-2</v>
      </c>
      <c r="Z51" s="6">
        <v>6.5317296275122061E-2</v>
      </c>
      <c r="AA51" s="6">
        <v>4.401065048453523E-2</v>
      </c>
    </row>
    <row r="52" spans="2:27">
      <c r="B52" s="30">
        <v>6135</v>
      </c>
      <c r="C52" s="2" t="s">
        <v>374</v>
      </c>
      <c r="D52" s="9" t="str">
        <f>VLOOKUP(B52,기업리스트!$B:$G,2,FALSE)</f>
        <v>Makino Milling Machine Co., Ltd.</v>
      </c>
      <c r="E52" s="2" t="s">
        <v>360</v>
      </c>
      <c r="F52" s="4">
        <v>4.0999999999999996</v>
      </c>
      <c r="G52" s="3">
        <v>47532</v>
      </c>
      <c r="H52" s="3">
        <v>63719</v>
      </c>
      <c r="I52" s="3">
        <v>46481</v>
      </c>
      <c r="J52" s="3">
        <v>56558</v>
      </c>
      <c r="K52" s="3">
        <v>62459</v>
      </c>
      <c r="L52" s="3">
        <v>62487</v>
      </c>
      <c r="M52" s="3">
        <v>53850</v>
      </c>
      <c r="N52" s="3">
        <v>54665</v>
      </c>
      <c r="O52" s="3">
        <v>54477</v>
      </c>
      <c r="P52" s="3">
        <v>62368</v>
      </c>
      <c r="Q52" s="3">
        <v>51868</v>
      </c>
      <c r="R52" s="3">
        <v>56369</v>
      </c>
      <c r="S52" s="3">
        <v>60557</v>
      </c>
      <c r="T52" s="3">
        <v>65422</v>
      </c>
      <c r="U52" s="3">
        <v>55397</v>
      </c>
      <c r="V52" s="3">
        <v>64024</v>
      </c>
      <c r="W52" s="10">
        <v>70711</v>
      </c>
      <c r="X52" s="6">
        <v>1.321151400316656E-2</v>
      </c>
      <c r="Y52" s="6">
        <v>1.5067288315059549E-2</v>
      </c>
      <c r="Z52" s="6">
        <v>3.2198363793139777E-2</v>
      </c>
      <c r="AA52" s="6">
        <v>4.1377343113284448E-2</v>
      </c>
    </row>
    <row r="53" spans="2:27">
      <c r="B53" s="30">
        <v>2326</v>
      </c>
      <c r="C53" s="2" t="s">
        <v>374</v>
      </c>
      <c r="D53" s="9" t="str">
        <f>VLOOKUP(B53,기업리스트!$B:$G,2,FALSE)</f>
        <v>Digital Arts Inc.</v>
      </c>
      <c r="E53" s="2" t="s">
        <v>360</v>
      </c>
      <c r="F53" s="4">
        <v>4</v>
      </c>
      <c r="G53" s="3">
        <v>2134</v>
      </c>
      <c r="H53" s="3">
        <v>2365</v>
      </c>
      <c r="I53" s="3">
        <v>2386</v>
      </c>
      <c r="J53" s="3">
        <v>2698</v>
      </c>
      <c r="K53" s="3">
        <v>2574</v>
      </c>
      <c r="L53" s="3">
        <v>2778</v>
      </c>
      <c r="M53" s="3">
        <v>2541</v>
      </c>
      <c r="N53" s="3">
        <v>3022</v>
      </c>
      <c r="O53" s="3">
        <v>2759</v>
      </c>
      <c r="P53" s="3">
        <v>3190</v>
      </c>
      <c r="Q53" s="3">
        <v>2234</v>
      </c>
      <c r="R53" s="3">
        <v>2604</v>
      </c>
      <c r="S53" s="3">
        <v>2436</v>
      </c>
      <c r="T53" s="3">
        <v>2708</v>
      </c>
      <c r="U53" s="3">
        <v>2270</v>
      </c>
      <c r="V53" s="3">
        <v>2722</v>
      </c>
      <c r="W53" s="10">
        <v>2843</v>
      </c>
      <c r="X53" s="6">
        <v>-4.6062691131498523E-2</v>
      </c>
      <c r="Y53" s="6">
        <v>3.6064916850331312E-3</v>
      </c>
      <c r="Z53" s="6">
        <v>1.1778798163305961E-2</v>
      </c>
      <c r="AA53" s="6">
        <v>4.0153906866614131E-2</v>
      </c>
    </row>
    <row r="54" spans="2:27">
      <c r="B54" s="30">
        <v>4547</v>
      </c>
      <c r="C54" s="2" t="s">
        <v>374</v>
      </c>
      <c r="D54" s="9" t="str">
        <f>VLOOKUP(B54,기업리스트!$B:$G,2,FALSE)</f>
        <v>Kissei Pharmaceutical Co., Ltd.</v>
      </c>
      <c r="E54" s="2" t="s">
        <v>360</v>
      </c>
      <c r="F54" s="4">
        <v>3.9</v>
      </c>
      <c r="G54" s="3">
        <v>17697</v>
      </c>
      <c r="H54" s="3">
        <v>15296</v>
      </c>
      <c r="I54" s="3">
        <v>16285</v>
      </c>
      <c r="J54" s="3">
        <v>16579</v>
      </c>
      <c r="K54" s="3">
        <v>18771</v>
      </c>
      <c r="L54" s="3">
        <v>15858</v>
      </c>
      <c r="M54" s="3">
        <v>19313</v>
      </c>
      <c r="N54" s="3">
        <v>17665</v>
      </c>
      <c r="O54" s="3">
        <v>20881</v>
      </c>
      <c r="P54" s="3">
        <v>17720</v>
      </c>
      <c r="Q54" s="3">
        <v>21164</v>
      </c>
      <c r="R54" s="3">
        <v>21302</v>
      </c>
      <c r="S54" s="3">
        <v>23203</v>
      </c>
      <c r="T54" s="3">
        <v>22661</v>
      </c>
      <c r="U54" s="3">
        <v>22191</v>
      </c>
      <c r="V54" s="3">
        <v>23640</v>
      </c>
      <c r="W54" s="10">
        <v>26802</v>
      </c>
      <c r="X54" s="6">
        <v>5.9252419383851507E-2</v>
      </c>
      <c r="Y54" s="6">
        <v>1.162685384354134E-2</v>
      </c>
      <c r="Z54" s="6">
        <v>2.6164710095459839E-2</v>
      </c>
      <c r="AA54" s="6">
        <v>3.9249686460548487E-2</v>
      </c>
    </row>
    <row r="55" spans="2:27">
      <c r="B55" s="30">
        <v>2327</v>
      </c>
      <c r="C55" s="2" t="s">
        <v>374</v>
      </c>
      <c r="D55" s="9" t="str">
        <f>VLOOKUP(B55,기업리스트!$B:$G,2,FALSE)</f>
        <v>NS Solutions Corporation</v>
      </c>
      <c r="E55" s="2" t="s">
        <v>360</v>
      </c>
      <c r="F55" s="4">
        <v>3.7</v>
      </c>
      <c r="G55" s="3">
        <v>64831</v>
      </c>
      <c r="H55" s="3">
        <v>74714</v>
      </c>
      <c r="I55" s="3">
        <v>65132</v>
      </c>
      <c r="J55" s="3">
        <v>69552</v>
      </c>
      <c r="K55" s="3">
        <v>72094</v>
      </c>
      <c r="L55" s="3">
        <v>84908</v>
      </c>
      <c r="M55" s="3">
        <v>68773</v>
      </c>
      <c r="N55" s="3">
        <v>76000</v>
      </c>
      <c r="O55" s="3">
        <v>75345</v>
      </c>
      <c r="P55" s="3">
        <v>90513</v>
      </c>
      <c r="Q55" s="3">
        <v>76826</v>
      </c>
      <c r="R55" s="3">
        <v>79786</v>
      </c>
      <c r="S55" s="3">
        <v>83682</v>
      </c>
      <c r="T55" s="3">
        <v>98007</v>
      </c>
      <c r="U55" s="3">
        <v>82684</v>
      </c>
      <c r="V55" s="3">
        <v>95691</v>
      </c>
      <c r="W55" s="10">
        <v>97020</v>
      </c>
      <c r="X55" s="6">
        <v>2.2653692334200889E-2</v>
      </c>
      <c r="Y55" s="6">
        <v>1.7315940538159769E-2</v>
      </c>
      <c r="Z55" s="6">
        <v>4.621410452726793E-2</v>
      </c>
      <c r="AA55" s="6">
        <v>3.7043414504088101E-2</v>
      </c>
    </row>
    <row r="56" spans="2:27">
      <c r="B56" s="30">
        <v>9708</v>
      </c>
      <c r="C56" s="2" t="s">
        <v>374</v>
      </c>
      <c r="D56" s="9" t="str">
        <f>VLOOKUP(B56,기업리스트!$B:$G,2,FALSE)</f>
        <v>Imperial Hotel, Ltd.</v>
      </c>
      <c r="E56" s="2" t="s">
        <v>360</v>
      </c>
      <c r="F56" s="4">
        <v>3.6</v>
      </c>
      <c r="G56" s="3">
        <v>9435</v>
      </c>
      <c r="H56" s="3">
        <v>6892</v>
      </c>
      <c r="I56" s="3">
        <v>9434</v>
      </c>
      <c r="J56" s="3">
        <v>9173</v>
      </c>
      <c r="K56" s="5">
        <v>13082</v>
      </c>
      <c r="L56" s="5">
        <v>12083</v>
      </c>
      <c r="M56" s="3">
        <v>12472</v>
      </c>
      <c r="N56" s="3">
        <v>11766</v>
      </c>
      <c r="O56" s="3">
        <v>15528</v>
      </c>
      <c r="P56" s="3">
        <v>13569</v>
      </c>
      <c r="Q56" s="3">
        <v>13326</v>
      </c>
      <c r="R56" s="3">
        <v>11413</v>
      </c>
      <c r="S56" s="3">
        <v>14624</v>
      </c>
      <c r="T56" s="3">
        <v>13247</v>
      </c>
      <c r="U56" s="3">
        <v>13584</v>
      </c>
      <c r="V56" s="3">
        <v>11842</v>
      </c>
      <c r="W56" s="10">
        <v>16547</v>
      </c>
      <c r="X56" s="6">
        <v>-6.0832766568427177E-3</v>
      </c>
      <c r="Y56" s="6">
        <v>4.9040106443642983E-3</v>
      </c>
      <c r="Z56" s="6">
        <v>8.1145494438981114E-3</v>
      </c>
      <c r="AA56" s="6">
        <v>3.6080830065482017E-2</v>
      </c>
    </row>
    <row r="57" spans="2:27">
      <c r="B57" s="30">
        <v>5844</v>
      </c>
      <c r="C57" s="2" t="s">
        <v>374</v>
      </c>
      <c r="D57" s="9" t="str">
        <f>VLOOKUP(B57,기업리스트!$B:$G,2,FALSE)</f>
        <v>Kyoto Financial Group,Inc.</v>
      </c>
      <c r="E57" s="2" t="s">
        <v>360</v>
      </c>
      <c r="F57" s="4">
        <v>3.6</v>
      </c>
      <c r="G57" s="3">
        <v>44138</v>
      </c>
      <c r="H57" s="3">
        <v>14686</v>
      </c>
      <c r="I57" s="3">
        <v>40416</v>
      </c>
      <c r="J57" s="3">
        <v>22321</v>
      </c>
      <c r="K57" s="3">
        <v>29984</v>
      </c>
      <c r="L57" s="3">
        <v>21488</v>
      </c>
      <c r="M57" s="3">
        <v>37856</v>
      </c>
      <c r="N57" s="3">
        <v>24361</v>
      </c>
      <c r="O57" s="3">
        <v>35514</v>
      </c>
      <c r="P57" s="3">
        <v>23192</v>
      </c>
      <c r="Q57" s="3">
        <v>35242</v>
      </c>
      <c r="R57" s="3">
        <v>28662</v>
      </c>
      <c r="S57" s="3">
        <v>38748</v>
      </c>
      <c r="T57" s="3">
        <v>29352</v>
      </c>
      <c r="U57" s="3">
        <v>42499</v>
      </c>
      <c r="V57" s="3">
        <v>41796</v>
      </c>
      <c r="W57" s="10">
        <v>44186</v>
      </c>
      <c r="X57" s="6">
        <v>4.8949493023108033E-2</v>
      </c>
      <c r="Y57" s="6">
        <v>5.4975606799793957E-2</v>
      </c>
      <c r="Z57" s="6">
        <v>9.4312118970853343E-2</v>
      </c>
      <c r="AA57" s="6">
        <v>3.5683585419469033E-2</v>
      </c>
    </row>
    <row r="58" spans="2:27">
      <c r="B58" s="30">
        <v>9202</v>
      </c>
      <c r="C58" s="2" t="s">
        <v>374</v>
      </c>
      <c r="D58" s="9" t="str">
        <f>VLOOKUP(B58,기업리스트!$B:$G,2,FALSE)</f>
        <v>ANA Holdings Inc.</v>
      </c>
      <c r="E58" s="2" t="s">
        <v>360</v>
      </c>
      <c r="F58" s="4">
        <v>3.6</v>
      </c>
      <c r="G58" s="3">
        <v>306921</v>
      </c>
      <c r="H58" s="3">
        <v>282278</v>
      </c>
      <c r="I58" s="3">
        <v>350419</v>
      </c>
      <c r="J58" s="3">
        <v>440297</v>
      </c>
      <c r="K58" s="5">
        <v>467939</v>
      </c>
      <c r="L58" s="5">
        <v>448829</v>
      </c>
      <c r="M58" s="3">
        <v>461026</v>
      </c>
      <c r="N58" s="3">
        <v>541703</v>
      </c>
      <c r="O58" s="3">
        <v>540852</v>
      </c>
      <c r="P58" s="3">
        <v>512347</v>
      </c>
      <c r="Q58" s="3">
        <v>516775</v>
      </c>
      <c r="R58" s="3">
        <v>582812</v>
      </c>
      <c r="S58" s="3">
        <v>603197</v>
      </c>
      <c r="T58" s="3">
        <v>559072</v>
      </c>
      <c r="U58" s="3">
        <v>548701</v>
      </c>
      <c r="V58" s="3">
        <v>641699</v>
      </c>
      <c r="W58" s="10">
        <v>686984</v>
      </c>
      <c r="X58" s="6">
        <v>2.1093560606573639E-2</v>
      </c>
      <c r="Y58" s="6">
        <v>1.4114956920334491E-2</v>
      </c>
      <c r="Z58" s="6">
        <v>2.567244838437133E-2</v>
      </c>
      <c r="AA58" s="6">
        <v>3.5613594602555747E-2</v>
      </c>
    </row>
    <row r="59" spans="2:27">
      <c r="B59" s="30">
        <v>1950</v>
      </c>
      <c r="C59" s="2" t="s">
        <v>374</v>
      </c>
      <c r="D59" s="9" t="str">
        <f>VLOOKUP(B59,기업리스트!$B:$G,2,FALSE)</f>
        <v>Nippon Densetsu Kogyo Co., Ltd.</v>
      </c>
      <c r="E59" s="2" t="s">
        <v>360</v>
      </c>
      <c r="F59" s="4">
        <v>3.4</v>
      </c>
      <c r="G59" s="3">
        <v>41580</v>
      </c>
      <c r="H59" s="3">
        <v>68306</v>
      </c>
      <c r="I59" s="3">
        <v>25506</v>
      </c>
      <c r="J59" s="3">
        <v>35383</v>
      </c>
      <c r="K59" s="3">
        <v>40833</v>
      </c>
      <c r="L59" s="3">
        <v>70378</v>
      </c>
      <c r="M59" s="3">
        <v>28577</v>
      </c>
      <c r="N59" s="3">
        <v>42462</v>
      </c>
      <c r="O59" s="3">
        <v>46472</v>
      </c>
      <c r="P59" s="3">
        <v>76520</v>
      </c>
      <c r="Q59" s="3">
        <v>33011</v>
      </c>
      <c r="R59" s="3">
        <v>42614</v>
      </c>
      <c r="S59" s="3">
        <v>49388</v>
      </c>
      <c r="T59" s="3">
        <v>91909</v>
      </c>
      <c r="U59" s="3">
        <v>30234</v>
      </c>
      <c r="V59" s="3">
        <v>48185</v>
      </c>
      <c r="W59" s="10">
        <v>56872</v>
      </c>
      <c r="X59" s="6">
        <v>7.6359702877444313E-2</v>
      </c>
      <c r="Y59" s="6">
        <v>-1.280183660486256E-2</v>
      </c>
      <c r="Z59" s="6">
        <v>2.6015083237992839E-2</v>
      </c>
      <c r="AA59" s="6">
        <v>3.406215296109516E-2</v>
      </c>
    </row>
    <row r="60" spans="2:27">
      <c r="B60" s="30">
        <v>9962</v>
      </c>
      <c r="C60" s="2" t="s">
        <v>374</v>
      </c>
      <c r="D60" s="9" t="str">
        <f>VLOOKUP(B60,기업리스트!$B:$G,2,FALSE)</f>
        <v>MISUMI Group Inc.</v>
      </c>
      <c r="E60" s="2" t="s">
        <v>360</v>
      </c>
      <c r="F60" s="4">
        <v>2.8</v>
      </c>
      <c r="G60" s="3">
        <v>91917</v>
      </c>
      <c r="H60" s="3">
        <v>92005</v>
      </c>
      <c r="I60" s="3">
        <v>93101</v>
      </c>
      <c r="J60" s="3">
        <v>95057</v>
      </c>
      <c r="K60" s="3">
        <v>93837</v>
      </c>
      <c r="L60" s="3">
        <v>91156</v>
      </c>
      <c r="M60" s="3">
        <v>89866</v>
      </c>
      <c r="N60" s="3">
        <v>90228</v>
      </c>
      <c r="O60" s="3">
        <v>92729</v>
      </c>
      <c r="P60" s="3">
        <v>94826</v>
      </c>
      <c r="Q60" s="3">
        <v>99527</v>
      </c>
      <c r="R60" s="3">
        <v>98495</v>
      </c>
      <c r="S60" s="3">
        <v>103563</v>
      </c>
      <c r="T60" s="3">
        <v>100402</v>
      </c>
      <c r="U60" s="3">
        <v>99368</v>
      </c>
      <c r="V60" s="3">
        <v>106446</v>
      </c>
      <c r="W60" s="10">
        <v>114847</v>
      </c>
      <c r="X60" s="6">
        <v>1.406620906079792E-2</v>
      </c>
      <c r="Y60" s="6">
        <v>-3.9553517899837409E-4</v>
      </c>
      <c r="Z60" s="6">
        <v>1.978707307604255E-2</v>
      </c>
      <c r="AA60" s="6">
        <v>2.7536794223227631E-2</v>
      </c>
    </row>
    <row r="61" spans="2:27">
      <c r="B61" s="30">
        <v>3762</v>
      </c>
      <c r="C61" s="2" t="s">
        <v>374</v>
      </c>
      <c r="D61" s="9" t="str">
        <f>VLOOKUP(B61,기업리스트!$B:$G,2,FALSE)</f>
        <v>TechMatrix Corporation</v>
      </c>
      <c r="E61" s="2" t="s">
        <v>360</v>
      </c>
      <c r="F61" s="4">
        <v>2.5</v>
      </c>
      <c r="G61" s="3">
        <v>8951</v>
      </c>
      <c r="H61" s="3">
        <v>11415</v>
      </c>
      <c r="I61" s="3">
        <v>9883</v>
      </c>
      <c r="J61" s="3">
        <v>10860</v>
      </c>
      <c r="K61" s="3">
        <v>11541</v>
      </c>
      <c r="L61" s="3">
        <v>13665</v>
      </c>
      <c r="M61" s="3">
        <v>11473</v>
      </c>
      <c r="N61" s="3">
        <v>13128</v>
      </c>
      <c r="O61" s="3">
        <v>13406</v>
      </c>
      <c r="P61" s="3">
        <v>15295</v>
      </c>
      <c r="Q61" s="3">
        <v>13763</v>
      </c>
      <c r="R61" s="3">
        <v>17078</v>
      </c>
      <c r="S61" s="3">
        <v>15889</v>
      </c>
      <c r="T61" s="3">
        <v>18152</v>
      </c>
      <c r="U61" s="3">
        <v>15863</v>
      </c>
      <c r="V61" s="3">
        <v>17514</v>
      </c>
      <c r="W61" s="10">
        <v>17608</v>
      </c>
      <c r="X61" s="6">
        <v>4.6062071745263999E-2</v>
      </c>
      <c r="Y61" s="6">
        <v>3.2366449862828002E-2</v>
      </c>
      <c r="Z61" s="6">
        <v>6.5092114299363244E-3</v>
      </c>
      <c r="AA61" s="6">
        <v>2.5497641579400151E-2</v>
      </c>
    </row>
    <row r="62" spans="2:27">
      <c r="B62" s="30">
        <v>9531</v>
      </c>
      <c r="C62" s="2" t="s">
        <v>374</v>
      </c>
      <c r="D62" s="9" t="str">
        <f>VLOOKUP(B62,기업리스트!$B:$G,2,FALSE)</f>
        <v>Tokyo Gas Co.,Ltd.</v>
      </c>
      <c r="E62" s="2" t="s">
        <v>360</v>
      </c>
      <c r="F62" s="4">
        <v>2.5</v>
      </c>
      <c r="G62" s="3">
        <v>514890</v>
      </c>
      <c r="H62" s="3">
        <v>757691</v>
      </c>
      <c r="I62" s="3">
        <v>609939</v>
      </c>
      <c r="J62" s="3">
        <v>751338</v>
      </c>
      <c r="K62" s="5">
        <v>938917</v>
      </c>
      <c r="L62" s="3">
        <v>989440</v>
      </c>
      <c r="M62" s="3">
        <v>649696</v>
      </c>
      <c r="N62" s="3">
        <v>623035</v>
      </c>
      <c r="O62" s="3">
        <v>629890</v>
      </c>
      <c r="P62" s="3">
        <v>761897</v>
      </c>
      <c r="Q62" s="3">
        <v>586932</v>
      </c>
      <c r="R62" s="3">
        <v>634562</v>
      </c>
      <c r="S62" s="3">
        <v>622227</v>
      </c>
      <c r="T62" s="3">
        <v>793088</v>
      </c>
      <c r="U62" s="3">
        <v>647341</v>
      </c>
      <c r="V62" s="3">
        <v>700179</v>
      </c>
      <c r="W62" s="10">
        <v>692116</v>
      </c>
      <c r="X62" s="6">
        <v>1.197067260051177E-2</v>
      </c>
      <c r="Y62" s="6">
        <v>2.290988842953734E-2</v>
      </c>
      <c r="Z62" s="6">
        <v>2.43276590917012E-2</v>
      </c>
      <c r="AA62" s="6">
        <v>2.5296117936829399E-2</v>
      </c>
    </row>
    <row r="63" spans="2:27">
      <c r="B63" s="30">
        <v>8604</v>
      </c>
      <c r="C63" s="2" t="s">
        <v>374</v>
      </c>
      <c r="D63" s="9" t="str">
        <f>VLOOKUP(B63,기업리스트!$B:$G,2,FALSE)</f>
        <v>Nomura Holdings, Inc.</v>
      </c>
      <c r="E63" s="2" t="s">
        <v>360</v>
      </c>
      <c r="F63" s="4">
        <v>2.5</v>
      </c>
      <c r="G63" s="3">
        <v>350965</v>
      </c>
      <c r="H63" s="3">
        <v>333784</v>
      </c>
      <c r="I63" s="3">
        <v>299028</v>
      </c>
      <c r="J63" s="3">
        <v>317958</v>
      </c>
      <c r="K63" s="3">
        <v>393658</v>
      </c>
      <c r="L63" s="3">
        <v>324933</v>
      </c>
      <c r="M63" s="3">
        <v>348913</v>
      </c>
      <c r="N63" s="3">
        <v>367760</v>
      </c>
      <c r="O63" s="3">
        <v>400225</v>
      </c>
      <c r="P63" s="3">
        <v>445102</v>
      </c>
      <c r="Q63" s="3">
        <v>454442</v>
      </c>
      <c r="R63" s="3">
        <v>483327</v>
      </c>
      <c r="S63" s="3">
        <v>501981</v>
      </c>
      <c r="T63" s="3">
        <v>452735</v>
      </c>
      <c r="U63" s="3">
        <v>523315</v>
      </c>
      <c r="V63" s="3">
        <v>515462</v>
      </c>
      <c r="W63" s="10">
        <v>551755</v>
      </c>
      <c r="X63" s="6">
        <v>4.0496548270103627E-3</v>
      </c>
      <c r="Y63" s="6">
        <v>3.6392890828725211E-2</v>
      </c>
      <c r="Z63" s="6">
        <v>1.638405635279239E-2</v>
      </c>
      <c r="AA63" s="6">
        <v>2.4968234149806309E-2</v>
      </c>
    </row>
    <row r="64" spans="2:27">
      <c r="B64" s="30">
        <v>9759</v>
      </c>
      <c r="C64" s="2" t="s">
        <v>374</v>
      </c>
      <c r="D64" s="9" t="str">
        <f>VLOOKUP(B64,기업리스트!$B:$G,2,FALSE)</f>
        <v>NSD Co., Ltd.</v>
      </c>
      <c r="E64" s="2" t="s">
        <v>360</v>
      </c>
      <c r="F64" s="4">
        <v>2.5</v>
      </c>
      <c r="G64" s="3">
        <v>17904</v>
      </c>
      <c r="H64" s="3">
        <v>18950</v>
      </c>
      <c r="I64" s="3">
        <v>18594</v>
      </c>
      <c r="J64" s="3">
        <v>19173</v>
      </c>
      <c r="K64" s="3">
        <v>19485</v>
      </c>
      <c r="L64" s="3">
        <v>20730</v>
      </c>
      <c r="M64" s="3">
        <v>24007</v>
      </c>
      <c r="N64" s="3">
        <v>26326</v>
      </c>
      <c r="O64" s="3">
        <v>24904</v>
      </c>
      <c r="P64" s="3">
        <v>26026</v>
      </c>
      <c r="Q64" s="3">
        <v>25281</v>
      </c>
      <c r="R64" s="3">
        <v>26769</v>
      </c>
      <c r="S64" s="3">
        <v>27447</v>
      </c>
      <c r="T64" s="3">
        <v>28294</v>
      </c>
      <c r="U64" s="3">
        <v>27298</v>
      </c>
      <c r="V64" s="3">
        <v>29307</v>
      </c>
      <c r="W64" s="10">
        <v>30244</v>
      </c>
      <c r="X64" s="6">
        <v>2.1492944666091859E-2</v>
      </c>
      <c r="Y64" s="6">
        <v>1.871213737696098E-2</v>
      </c>
      <c r="Z64" s="6">
        <v>2.3113070085968301E-2</v>
      </c>
      <c r="AA64" s="6">
        <v>2.4896302494080699E-2</v>
      </c>
    </row>
    <row r="65" spans="2:27">
      <c r="B65" s="30">
        <v>9997</v>
      </c>
      <c r="C65" s="2" t="s">
        <v>374</v>
      </c>
      <c r="D65" s="9" t="str">
        <f>VLOOKUP(B65,기업리스트!$B:$G,2,FALSE)</f>
        <v>Belluna Co., Ltd.</v>
      </c>
      <c r="E65" s="2" t="s">
        <v>360</v>
      </c>
      <c r="F65" s="4">
        <v>2.2999999999999998</v>
      </c>
      <c r="G65" s="3">
        <v>62819</v>
      </c>
      <c r="H65" s="3">
        <v>51501</v>
      </c>
      <c r="I65" s="3">
        <v>53439</v>
      </c>
      <c r="J65" s="3">
        <v>45340</v>
      </c>
      <c r="K65" s="3">
        <v>61675</v>
      </c>
      <c r="L65" s="3">
        <v>51922</v>
      </c>
      <c r="M65" s="3">
        <v>51842</v>
      </c>
      <c r="N65" s="3">
        <v>44263</v>
      </c>
      <c r="O65" s="3">
        <v>60173</v>
      </c>
      <c r="P65" s="3">
        <v>52020</v>
      </c>
      <c r="Q65" s="3">
        <v>51368</v>
      </c>
      <c r="R65" s="3">
        <v>45759</v>
      </c>
      <c r="S65" s="3">
        <v>61520</v>
      </c>
      <c r="T65" s="3">
        <v>52209</v>
      </c>
      <c r="U65" s="3">
        <v>50826</v>
      </c>
      <c r="V65" s="3">
        <v>47166</v>
      </c>
      <c r="W65" s="10">
        <v>66368</v>
      </c>
      <c r="X65" s="6">
        <v>8.9715047919236568E-4</v>
      </c>
      <c r="Y65" s="6">
        <v>-2.5704746367188891E-3</v>
      </c>
      <c r="Z65" s="6">
        <v>6.6899968618352457E-3</v>
      </c>
      <c r="AA65" s="6">
        <v>2.2898059238337209E-2</v>
      </c>
    </row>
    <row r="66" spans="2:27">
      <c r="B66" s="30">
        <v>5334</v>
      </c>
      <c r="C66" s="2" t="s">
        <v>374</v>
      </c>
      <c r="D66" s="9" t="str">
        <f>VLOOKUP(B66,기업리스트!$B:$G,2,FALSE)</f>
        <v>Niterra Co., Ltd.</v>
      </c>
      <c r="E66" s="2" t="s">
        <v>360</v>
      </c>
      <c r="F66" s="4">
        <v>2</v>
      </c>
      <c r="G66" s="3">
        <v>123778</v>
      </c>
      <c r="H66" s="3">
        <v>133400</v>
      </c>
      <c r="I66" s="3">
        <v>137105</v>
      </c>
      <c r="J66" s="3">
        <v>141966</v>
      </c>
      <c r="K66" s="3">
        <v>140138</v>
      </c>
      <c r="L66" s="3">
        <v>143348</v>
      </c>
      <c r="M66" s="3">
        <v>147950</v>
      </c>
      <c r="N66" s="3">
        <v>153201</v>
      </c>
      <c r="O66" s="3">
        <v>154717</v>
      </c>
      <c r="P66" s="3">
        <v>158617</v>
      </c>
      <c r="Q66" s="3">
        <v>165450</v>
      </c>
      <c r="R66" s="3">
        <v>159137</v>
      </c>
      <c r="S66" s="3">
        <v>161086</v>
      </c>
      <c r="T66" s="3">
        <v>167320</v>
      </c>
      <c r="U66" s="3">
        <v>169927</v>
      </c>
      <c r="V66" s="3">
        <v>181244</v>
      </c>
      <c r="W66" s="10">
        <v>174884</v>
      </c>
      <c r="X66" s="6">
        <v>1.3507892408697989E-2</v>
      </c>
      <c r="Y66" s="6">
        <v>6.8561225005474569E-3</v>
      </c>
      <c r="Z66" s="6">
        <v>3.3624347878990601E-2</v>
      </c>
      <c r="AA66" s="6">
        <v>2.03038066326553E-2</v>
      </c>
    </row>
    <row r="67" spans="2:27">
      <c r="B67" s="30">
        <v>3092</v>
      </c>
      <c r="C67" s="2" t="s">
        <v>374</v>
      </c>
      <c r="D67" s="9" t="str">
        <f>VLOOKUP(B67,기업리스트!$B:$G,2,FALSE)</f>
        <v>ZOZO, Inc.</v>
      </c>
      <c r="E67" s="2" t="s">
        <v>360</v>
      </c>
      <c r="F67" s="4">
        <v>1.9</v>
      </c>
      <c r="G67" s="3">
        <v>47566</v>
      </c>
      <c r="H67" s="3">
        <v>42421</v>
      </c>
      <c r="I67" s="3">
        <v>42590</v>
      </c>
      <c r="J67" s="3">
        <v>41177</v>
      </c>
      <c r="K67" s="3">
        <v>52700</v>
      </c>
      <c r="L67" s="3">
        <v>46956</v>
      </c>
      <c r="M67" s="3">
        <v>45871</v>
      </c>
      <c r="N67" s="3">
        <v>44346</v>
      </c>
      <c r="O67" s="3">
        <v>57351</v>
      </c>
      <c r="P67" s="3">
        <v>49448</v>
      </c>
      <c r="Q67" s="3">
        <v>50387</v>
      </c>
      <c r="R67" s="3">
        <v>48414</v>
      </c>
      <c r="S67" s="3">
        <v>62275</v>
      </c>
      <c r="T67" s="3">
        <v>52055</v>
      </c>
      <c r="U67" s="3">
        <v>54028</v>
      </c>
      <c r="V67" s="3">
        <v>51221</v>
      </c>
      <c r="W67" s="10">
        <v>66556</v>
      </c>
      <c r="X67" s="6">
        <v>1.2383386217248439E-2</v>
      </c>
      <c r="Y67" s="6">
        <v>1.7083390027729409E-2</v>
      </c>
      <c r="Z67" s="6">
        <v>1.2949089365785319E-2</v>
      </c>
      <c r="AA67" s="6">
        <v>1.9496399928955022E-2</v>
      </c>
    </row>
    <row r="68" spans="2:27">
      <c r="B68" s="30">
        <v>9882</v>
      </c>
      <c r="C68" s="2" t="s">
        <v>374</v>
      </c>
      <c r="D68" s="9" t="str">
        <f>VLOOKUP(B68,기업리스트!$B:$G,2,FALSE)</f>
        <v>Yellow Hat Ltd.</v>
      </c>
      <c r="E68" s="2" t="s">
        <v>360</v>
      </c>
      <c r="F68" s="4">
        <v>1.9</v>
      </c>
      <c r="G68" s="3">
        <v>46958</v>
      </c>
      <c r="H68" s="3">
        <v>34782</v>
      </c>
      <c r="I68" s="3">
        <v>33319</v>
      </c>
      <c r="J68" s="3">
        <v>33073</v>
      </c>
      <c r="K68" s="3">
        <v>46424</v>
      </c>
      <c r="L68" s="3">
        <v>34341</v>
      </c>
      <c r="M68" s="3">
        <v>34303</v>
      </c>
      <c r="N68" s="3">
        <v>32672</v>
      </c>
      <c r="O68" s="3">
        <v>46579</v>
      </c>
      <c r="P68" s="3">
        <v>33087</v>
      </c>
      <c r="Q68" s="3">
        <v>34672</v>
      </c>
      <c r="R68" s="3">
        <v>34619</v>
      </c>
      <c r="S68" s="3">
        <v>49858</v>
      </c>
      <c r="T68" s="3">
        <v>34917</v>
      </c>
      <c r="U68" s="3">
        <v>40288</v>
      </c>
      <c r="V68" s="3">
        <v>39017</v>
      </c>
      <c r="W68" s="10">
        <v>53048</v>
      </c>
      <c r="X68" s="6">
        <v>1.2020809795317829E-2</v>
      </c>
      <c r="Y68" s="6">
        <v>3.6451910220295147E-2</v>
      </c>
      <c r="Z68" s="6">
        <v>2.7542240202402372E-2</v>
      </c>
      <c r="AA68" s="6">
        <v>1.9441735738664031E-2</v>
      </c>
    </row>
    <row r="69" spans="2:27">
      <c r="B69" s="30">
        <v>9832</v>
      </c>
      <c r="C69" s="2" t="s">
        <v>374</v>
      </c>
      <c r="D69" s="9" t="str">
        <f>VLOOKUP(B69,기업리스트!$B:$G,2,FALSE)</f>
        <v>Autobacs Seven Co., Ltd.</v>
      </c>
      <c r="E69" s="2" t="s">
        <v>360</v>
      </c>
      <c r="F69" s="4">
        <v>1.9</v>
      </c>
      <c r="G69" s="3">
        <v>68386</v>
      </c>
      <c r="H69" s="3">
        <v>56649</v>
      </c>
      <c r="I69" s="3">
        <v>52853</v>
      </c>
      <c r="J69" s="3">
        <v>54243</v>
      </c>
      <c r="K69" s="3">
        <v>71045</v>
      </c>
      <c r="L69" s="3">
        <v>58094</v>
      </c>
      <c r="M69" s="3">
        <v>57668</v>
      </c>
      <c r="N69" s="3">
        <v>54212</v>
      </c>
      <c r="O69" s="3">
        <v>67757</v>
      </c>
      <c r="P69" s="3">
        <v>50219</v>
      </c>
      <c r="Q69" s="3">
        <v>54011</v>
      </c>
      <c r="R69" s="3">
        <v>56288</v>
      </c>
      <c r="S69" s="3">
        <v>77917</v>
      </c>
      <c r="T69" s="3">
        <v>61309</v>
      </c>
      <c r="U69" s="3">
        <v>64223</v>
      </c>
      <c r="V69" s="3">
        <v>64615</v>
      </c>
      <c r="W69" s="10">
        <v>83123</v>
      </c>
      <c r="X69" s="6">
        <v>4.6511627906976827E-2</v>
      </c>
      <c r="Y69" s="6">
        <v>4.0925758941989798E-2</v>
      </c>
      <c r="Z69" s="6">
        <v>3.2059352344872012E-2</v>
      </c>
      <c r="AA69" s="6">
        <v>1.9420735346782791E-2</v>
      </c>
    </row>
    <row r="70" spans="2:27">
      <c r="B70" s="30">
        <v>4506</v>
      </c>
      <c r="C70" s="2" t="s">
        <v>374</v>
      </c>
      <c r="D70" s="9" t="str">
        <f>VLOOKUP(B70,기업리스트!$B:$G,2,FALSE)</f>
        <v>Sumitomo Pharma Co., Ltd.</v>
      </c>
      <c r="E70" s="2" t="s">
        <v>360</v>
      </c>
      <c r="F70" s="4">
        <v>1.8</v>
      </c>
      <c r="G70" s="3">
        <v>138342</v>
      </c>
      <c r="H70" s="3">
        <v>127963</v>
      </c>
      <c r="I70" s="3">
        <v>159876</v>
      </c>
      <c r="J70" s="3">
        <v>159413</v>
      </c>
      <c r="K70" s="3">
        <v>140976</v>
      </c>
      <c r="L70" s="3">
        <v>95279</v>
      </c>
      <c r="M70" s="3">
        <v>75686</v>
      </c>
      <c r="N70" s="3">
        <v>76956</v>
      </c>
      <c r="O70" s="3">
        <v>82386</v>
      </c>
      <c r="P70" s="3">
        <v>79530</v>
      </c>
      <c r="Q70" s="3">
        <v>90675</v>
      </c>
      <c r="R70" s="3">
        <v>90074</v>
      </c>
      <c r="S70" s="3">
        <v>112434</v>
      </c>
      <c r="T70" s="3">
        <v>105649</v>
      </c>
      <c r="U70" s="3">
        <v>108002</v>
      </c>
      <c r="V70" s="3">
        <v>119120</v>
      </c>
      <c r="W70" s="10">
        <v>120624</v>
      </c>
      <c r="X70" s="6">
        <v>7.007804933018158E-2</v>
      </c>
      <c r="Y70" s="6">
        <v>4.3444357523970023E-2</v>
      </c>
      <c r="Z70" s="6">
        <v>6.9795438762588313E-2</v>
      </c>
      <c r="AA70" s="6">
        <v>1.8396019811098171E-2</v>
      </c>
    </row>
    <row r="71" spans="2:27">
      <c r="B71" s="30">
        <v>9715</v>
      </c>
      <c r="C71" s="2" t="s">
        <v>374</v>
      </c>
      <c r="D71" s="9" t="str">
        <f>VLOOKUP(B71,기업리스트!$B:$G,2,FALSE)</f>
        <v>transcosmos inc.</v>
      </c>
      <c r="E71" s="2" t="s">
        <v>360</v>
      </c>
      <c r="F71" s="4">
        <v>1.7</v>
      </c>
      <c r="G71" s="3">
        <v>90144</v>
      </c>
      <c r="H71" s="3">
        <v>95853</v>
      </c>
      <c r="I71" s="3">
        <v>93256</v>
      </c>
      <c r="J71" s="3">
        <v>90134</v>
      </c>
      <c r="K71" s="3">
        <v>92647</v>
      </c>
      <c r="L71" s="3">
        <v>97793</v>
      </c>
      <c r="M71" s="3">
        <v>88947</v>
      </c>
      <c r="N71" s="3">
        <v>91100</v>
      </c>
      <c r="O71" s="3">
        <v>91321</v>
      </c>
      <c r="P71" s="3">
        <v>90833</v>
      </c>
      <c r="Q71" s="3">
        <v>91083</v>
      </c>
      <c r="R71" s="3">
        <v>94462</v>
      </c>
      <c r="S71" s="3">
        <v>94319</v>
      </c>
      <c r="T71" s="3">
        <v>95985</v>
      </c>
      <c r="U71" s="3">
        <v>94439</v>
      </c>
      <c r="V71" s="3">
        <v>97672</v>
      </c>
      <c r="W71" s="10">
        <v>100793</v>
      </c>
      <c r="X71" s="6">
        <v>1.389814322748761E-2</v>
      </c>
      <c r="Y71" s="6">
        <v>8.929117810610121E-3</v>
      </c>
      <c r="Z71" s="6">
        <v>8.465078255824654E-3</v>
      </c>
      <c r="AA71" s="6">
        <v>1.6929252252134489E-2</v>
      </c>
    </row>
    <row r="72" spans="2:27">
      <c r="B72" s="30">
        <v>6454</v>
      </c>
      <c r="C72" s="2" t="s">
        <v>374</v>
      </c>
      <c r="D72" s="9" t="str">
        <f>VLOOKUP(B72,기업리스트!$B:$G,2,FALSE)</f>
        <v>Max Co., Ltd.</v>
      </c>
      <c r="E72" s="2" t="s">
        <v>360</v>
      </c>
      <c r="F72" s="4">
        <v>1.6</v>
      </c>
      <c r="G72" s="3">
        <v>18918</v>
      </c>
      <c r="H72" s="3">
        <v>19519</v>
      </c>
      <c r="I72" s="3">
        <v>20336</v>
      </c>
      <c r="J72" s="3">
        <v>21627</v>
      </c>
      <c r="K72" s="3">
        <v>21917</v>
      </c>
      <c r="L72" s="3">
        <v>20436</v>
      </c>
      <c r="M72" s="3">
        <v>21200</v>
      </c>
      <c r="N72" s="3">
        <v>21720</v>
      </c>
      <c r="O72" s="3">
        <v>22412</v>
      </c>
      <c r="P72" s="3">
        <v>21306</v>
      </c>
      <c r="Q72" s="3">
        <v>22588</v>
      </c>
      <c r="R72" s="3">
        <v>22293</v>
      </c>
      <c r="S72" s="3">
        <v>24129</v>
      </c>
      <c r="T72" s="3">
        <v>22829</v>
      </c>
      <c r="U72" s="3">
        <v>24240</v>
      </c>
      <c r="V72" s="3">
        <v>24448</v>
      </c>
      <c r="W72" s="10">
        <v>25635</v>
      </c>
      <c r="X72" s="6">
        <v>1.686301430532788E-2</v>
      </c>
      <c r="Y72" s="6">
        <v>1.798800074042628E-2</v>
      </c>
      <c r="Z72" s="6">
        <v>2.3050347092233411E-2</v>
      </c>
      <c r="AA72" s="6">
        <v>1.5745561758986341E-2</v>
      </c>
    </row>
    <row r="73" spans="2:27">
      <c r="B73" s="30">
        <v>8572</v>
      </c>
      <c r="C73" s="2" t="s">
        <v>374</v>
      </c>
      <c r="D73" s="9" t="str">
        <f>VLOOKUP(B73,기업리스트!$B:$G,2,FALSE)</f>
        <v>Acom Co., Ltd.</v>
      </c>
      <c r="E73" s="2" t="s">
        <v>360</v>
      </c>
      <c r="F73" s="4">
        <v>1.6</v>
      </c>
      <c r="G73" s="3">
        <v>65499</v>
      </c>
      <c r="H73" s="3">
        <v>65233</v>
      </c>
      <c r="I73" s="3">
        <v>66514</v>
      </c>
      <c r="J73" s="3">
        <v>68554</v>
      </c>
      <c r="K73" s="3">
        <v>68992</v>
      </c>
      <c r="L73" s="3">
        <v>69733</v>
      </c>
      <c r="M73" s="3">
        <v>70926</v>
      </c>
      <c r="N73" s="3">
        <v>73373</v>
      </c>
      <c r="O73" s="3">
        <v>74687</v>
      </c>
      <c r="P73" s="3">
        <v>75744</v>
      </c>
      <c r="Q73" s="3">
        <v>77236</v>
      </c>
      <c r="R73" s="3">
        <v>79063</v>
      </c>
      <c r="S73" s="3">
        <v>80526</v>
      </c>
      <c r="T73" s="3">
        <v>80917</v>
      </c>
      <c r="U73" s="3">
        <v>82372</v>
      </c>
      <c r="V73" s="3">
        <v>83276</v>
      </c>
      <c r="W73" s="10">
        <v>85620</v>
      </c>
      <c r="X73" s="6">
        <v>1.6549945771973551E-2</v>
      </c>
      <c r="Y73" s="6">
        <v>1.6164057631663509E-2</v>
      </c>
      <c r="Z73" s="6">
        <v>1.304827210277559E-2</v>
      </c>
      <c r="AA73" s="6">
        <v>1.5573647700487079E-2</v>
      </c>
    </row>
    <row r="74" spans="2:27">
      <c r="B74" s="30">
        <v>5332</v>
      </c>
      <c r="C74" s="2" t="s">
        <v>374</v>
      </c>
      <c r="D74" s="9" t="str">
        <f>VLOOKUP(B74,기업리스트!$B:$G,2,FALSE)</f>
        <v>TOTO LTD.</v>
      </c>
      <c r="E74" s="2" t="s">
        <v>360</v>
      </c>
      <c r="F74" s="4">
        <v>1.6</v>
      </c>
      <c r="G74" s="3">
        <v>170626</v>
      </c>
      <c r="H74" s="3">
        <v>165141</v>
      </c>
      <c r="I74" s="3">
        <v>153472</v>
      </c>
      <c r="J74" s="3">
        <v>174216</v>
      </c>
      <c r="K74" s="3">
        <v>199455</v>
      </c>
      <c r="L74" s="3">
        <v>174044</v>
      </c>
      <c r="M74" s="3">
        <v>156608</v>
      </c>
      <c r="N74" s="3">
        <v>183133</v>
      </c>
      <c r="O74" s="3">
        <v>185024</v>
      </c>
      <c r="P74" s="3">
        <v>177519</v>
      </c>
      <c r="Q74" s="3">
        <v>164513</v>
      </c>
      <c r="R74" s="3">
        <v>191222</v>
      </c>
      <c r="S74" s="3">
        <v>186569</v>
      </c>
      <c r="T74" s="3">
        <v>182150</v>
      </c>
      <c r="U74" s="3">
        <v>165747</v>
      </c>
      <c r="V74" s="3">
        <v>183625</v>
      </c>
      <c r="W74" s="10">
        <v>197727</v>
      </c>
      <c r="X74" s="6">
        <v>6.4335260195909072E-3</v>
      </c>
      <c r="Y74" s="6">
        <v>1.703351765605543E-3</v>
      </c>
      <c r="Z74" s="6">
        <v>-1.0468686267376629E-2</v>
      </c>
      <c r="AA74" s="6">
        <v>1.553842061799959E-2</v>
      </c>
    </row>
    <row r="75" spans="2:27">
      <c r="B75" s="30">
        <v>2805</v>
      </c>
      <c r="C75" s="2" t="s">
        <v>374</v>
      </c>
      <c r="D75" s="9" t="str">
        <f>VLOOKUP(B75,기업리스트!$B:$G,2,FALSE)</f>
        <v>S&amp;B Foods Inc.</v>
      </c>
      <c r="E75" s="2" t="s">
        <v>360</v>
      </c>
      <c r="F75" s="4">
        <v>1.4</v>
      </c>
      <c r="G75" s="3">
        <v>31495</v>
      </c>
      <c r="H75" s="3">
        <v>26688</v>
      </c>
      <c r="I75" s="3">
        <v>30616</v>
      </c>
      <c r="J75" s="3">
        <v>30817</v>
      </c>
      <c r="K75" s="3">
        <v>32420</v>
      </c>
      <c r="L75" s="3">
        <v>26798</v>
      </c>
      <c r="M75" s="3">
        <v>31955</v>
      </c>
      <c r="N75" s="3">
        <v>31202</v>
      </c>
      <c r="O75" s="3">
        <v>34760</v>
      </c>
      <c r="P75" s="3">
        <v>28526</v>
      </c>
      <c r="Q75" s="3">
        <v>31039</v>
      </c>
      <c r="R75" s="3">
        <v>30452</v>
      </c>
      <c r="S75" s="3">
        <v>35030</v>
      </c>
      <c r="T75" s="3">
        <v>26999</v>
      </c>
      <c r="U75" s="3">
        <v>32088</v>
      </c>
      <c r="V75" s="3">
        <v>31262</v>
      </c>
      <c r="W75" s="10">
        <v>36782</v>
      </c>
      <c r="X75" s="6">
        <v>-1.221140851040003E-2</v>
      </c>
      <c r="Y75" s="6">
        <v>8.4925518134715272E-3</v>
      </c>
      <c r="Z75" s="6">
        <v>6.5024203453507567E-3</v>
      </c>
      <c r="AA75" s="6">
        <v>1.397363194793377E-2</v>
      </c>
    </row>
    <row r="76" spans="2:27">
      <c r="B76" s="30">
        <v>6455</v>
      </c>
      <c r="C76" s="2" t="s">
        <v>374</v>
      </c>
      <c r="D76" s="9" t="str">
        <f>VLOOKUP(B76,기업리스트!$B:$G,2,FALSE)</f>
        <v>Morita Holdings Corporation</v>
      </c>
      <c r="E76" s="2" t="s">
        <v>360</v>
      </c>
      <c r="F76" s="4">
        <v>1.4</v>
      </c>
      <c r="G76" s="3">
        <v>20499</v>
      </c>
      <c r="H76" s="3">
        <v>36092</v>
      </c>
      <c r="I76" s="3">
        <v>12417</v>
      </c>
      <c r="J76" s="3">
        <v>15739</v>
      </c>
      <c r="K76" s="3">
        <v>15648</v>
      </c>
      <c r="L76" s="3">
        <v>37540</v>
      </c>
      <c r="M76" s="3">
        <v>14598</v>
      </c>
      <c r="N76" s="3">
        <v>19990</v>
      </c>
      <c r="O76" s="3">
        <v>20120</v>
      </c>
      <c r="P76" s="3">
        <v>40497</v>
      </c>
      <c r="Q76" s="3">
        <v>18622</v>
      </c>
      <c r="R76" s="3">
        <v>24011</v>
      </c>
      <c r="S76" s="3">
        <v>22862</v>
      </c>
      <c r="T76" s="3">
        <v>46248</v>
      </c>
      <c r="U76" s="3">
        <v>18260</v>
      </c>
      <c r="V76" s="3">
        <v>28927</v>
      </c>
      <c r="W76" s="10">
        <v>24474</v>
      </c>
      <c r="X76" s="6">
        <v>5.4258811985810278E-2</v>
      </c>
      <c r="Y76" s="6">
        <v>-3.2395765282836608E-3</v>
      </c>
      <c r="Z76" s="6">
        <v>4.4136791732880758E-2</v>
      </c>
      <c r="AA76" s="6">
        <v>1.3861062624143329E-2</v>
      </c>
    </row>
    <row r="77" spans="2:27">
      <c r="B77" s="30">
        <v>2175</v>
      </c>
      <c r="C77" s="2" t="s">
        <v>374</v>
      </c>
      <c r="D77" s="9" t="str">
        <f>VLOOKUP(B77,기업리스트!$B:$G,2,FALSE)</f>
        <v>SMS Co., Ltd.</v>
      </c>
      <c r="E77" s="2" t="s">
        <v>360</v>
      </c>
      <c r="F77" s="4">
        <v>1.3</v>
      </c>
      <c r="G77" s="3">
        <v>8388</v>
      </c>
      <c r="H77" s="3">
        <v>10584</v>
      </c>
      <c r="I77" s="3">
        <v>12517</v>
      </c>
      <c r="J77" s="3">
        <v>10817</v>
      </c>
      <c r="K77" s="3">
        <v>10098</v>
      </c>
      <c r="L77" s="3">
        <v>12235</v>
      </c>
      <c r="M77" s="3">
        <v>15194</v>
      </c>
      <c r="N77" s="3">
        <v>12280</v>
      </c>
      <c r="O77" s="3">
        <v>11883</v>
      </c>
      <c r="P77" s="3">
        <v>14616</v>
      </c>
      <c r="Q77" s="3">
        <v>17426</v>
      </c>
      <c r="R77" s="3">
        <v>14416</v>
      </c>
      <c r="S77" s="3">
        <v>13043</v>
      </c>
      <c r="T77" s="3">
        <v>16067</v>
      </c>
      <c r="U77" s="3">
        <v>18672</v>
      </c>
      <c r="V77" s="3">
        <v>14803</v>
      </c>
      <c r="W77" s="10">
        <v>13871</v>
      </c>
      <c r="X77" s="6">
        <v>2.4386144770676129E-2</v>
      </c>
      <c r="Y77" s="6">
        <v>2.0442315264470379E-2</v>
      </c>
      <c r="Z77" s="6">
        <v>6.2220650181676884E-3</v>
      </c>
      <c r="AA77" s="6">
        <v>1.3230007190221381E-2</v>
      </c>
    </row>
    <row r="78" spans="2:27">
      <c r="B78" s="30">
        <v>7276</v>
      </c>
      <c r="C78" s="2" t="s">
        <v>374</v>
      </c>
      <c r="D78" s="9" t="str">
        <f>VLOOKUP(B78,기업리스트!$B:$G,2,FALSE)</f>
        <v>Koito Manufacturing Co., Ltd.</v>
      </c>
      <c r="E78" s="2" t="s">
        <v>360</v>
      </c>
      <c r="F78" s="4">
        <v>1.3</v>
      </c>
      <c r="G78" s="3">
        <v>199673</v>
      </c>
      <c r="H78" s="3">
        <v>208322</v>
      </c>
      <c r="I78" s="3">
        <v>193443</v>
      </c>
      <c r="J78" s="3">
        <v>222168</v>
      </c>
      <c r="K78" s="3">
        <v>219877</v>
      </c>
      <c r="L78" s="3">
        <v>229231</v>
      </c>
      <c r="M78" s="3">
        <v>225995</v>
      </c>
      <c r="N78" s="3">
        <v>242158</v>
      </c>
      <c r="O78" s="3">
        <v>246808</v>
      </c>
      <c r="P78" s="3">
        <v>235334</v>
      </c>
      <c r="Q78" s="3">
        <v>229772</v>
      </c>
      <c r="R78" s="3">
        <v>214301</v>
      </c>
      <c r="S78" s="3">
        <v>231098</v>
      </c>
      <c r="T78" s="3">
        <v>241538</v>
      </c>
      <c r="U78" s="3">
        <v>219725</v>
      </c>
      <c r="V78" s="3">
        <v>227126</v>
      </c>
      <c r="W78" s="10">
        <v>243154</v>
      </c>
      <c r="X78" s="6">
        <v>6.8138011323386483E-3</v>
      </c>
      <c r="Y78" s="6">
        <v>-1.0959857490217771E-2</v>
      </c>
      <c r="Z78" s="6">
        <v>1.4145293394892461E-2</v>
      </c>
      <c r="AA78" s="6">
        <v>1.3111659001160399E-2</v>
      </c>
    </row>
    <row r="79" spans="2:27">
      <c r="B79" s="30">
        <v>8084</v>
      </c>
      <c r="C79" s="2" t="s">
        <v>374</v>
      </c>
      <c r="D79" s="9" t="str">
        <f>VLOOKUP(B79,기업리스트!$B:$G,2,FALSE)</f>
        <v>Ryoden Corporation</v>
      </c>
      <c r="E79" s="2" t="s">
        <v>360</v>
      </c>
      <c r="F79" s="4">
        <v>1.2</v>
      </c>
      <c r="G79" s="3">
        <v>58696</v>
      </c>
      <c r="H79" s="3">
        <v>63120</v>
      </c>
      <c r="I79" s="3">
        <v>60079</v>
      </c>
      <c r="J79" s="3">
        <v>66954</v>
      </c>
      <c r="K79" s="3">
        <v>67683</v>
      </c>
      <c r="L79" s="3">
        <v>65587</v>
      </c>
      <c r="M79" s="3">
        <v>63497</v>
      </c>
      <c r="N79" s="3">
        <v>66346</v>
      </c>
      <c r="O79" s="3">
        <v>67064</v>
      </c>
      <c r="P79" s="3">
        <v>62101</v>
      </c>
      <c r="Q79" s="3">
        <v>55160</v>
      </c>
      <c r="R79" s="3">
        <v>54465</v>
      </c>
      <c r="S79" s="3">
        <v>49208</v>
      </c>
      <c r="T79" s="3">
        <v>56957</v>
      </c>
      <c r="U79" s="3">
        <v>49422</v>
      </c>
      <c r="V79" s="3">
        <v>52640</v>
      </c>
      <c r="W79" s="10">
        <v>51782</v>
      </c>
      <c r="X79" s="6">
        <v>-2.3282971385119589E-2</v>
      </c>
      <c r="Y79" s="6">
        <v>-2.6590666852032041E-2</v>
      </c>
      <c r="Z79" s="6">
        <v>-8.6883247957648679E-3</v>
      </c>
      <c r="AA79" s="6">
        <v>1.2361509314354089E-2</v>
      </c>
    </row>
    <row r="80" spans="2:27">
      <c r="B80" s="30">
        <v>9042</v>
      </c>
      <c r="C80" s="2" t="s">
        <v>374</v>
      </c>
      <c r="D80" s="9" t="str">
        <f>VLOOKUP(B80,기업리스트!$B:$G,2,FALSE)</f>
        <v>Hankyu Hanshin Holdings, Inc.</v>
      </c>
      <c r="E80" s="2" t="s">
        <v>360</v>
      </c>
      <c r="F80" s="4">
        <v>1.1000000000000001</v>
      </c>
      <c r="G80" s="3">
        <v>206327</v>
      </c>
      <c r="H80" s="3">
        <v>229055</v>
      </c>
      <c r="I80" s="3">
        <v>228993</v>
      </c>
      <c r="J80" s="3">
        <v>238167</v>
      </c>
      <c r="K80" s="3">
        <v>249284</v>
      </c>
      <c r="L80" s="3">
        <v>251856</v>
      </c>
      <c r="M80" s="3">
        <v>245524</v>
      </c>
      <c r="N80" s="3">
        <v>240120</v>
      </c>
      <c r="O80" s="3">
        <v>250743</v>
      </c>
      <c r="P80" s="3">
        <v>261224</v>
      </c>
      <c r="Q80" s="3">
        <v>261933</v>
      </c>
      <c r="R80" s="3">
        <v>272723</v>
      </c>
      <c r="S80" s="3">
        <v>269724</v>
      </c>
      <c r="T80" s="3">
        <v>302474</v>
      </c>
      <c r="U80" s="3">
        <v>309759</v>
      </c>
      <c r="V80" s="3">
        <v>289074</v>
      </c>
      <c r="W80" s="10">
        <v>282671</v>
      </c>
      <c r="X80" s="6">
        <v>3.8710440276125142E-2</v>
      </c>
      <c r="Y80" s="6">
        <v>4.3208950773995447E-2</v>
      </c>
      <c r="Z80" s="6">
        <v>1.416063324903871E-2</v>
      </c>
      <c r="AA80" s="6">
        <v>1.105606939525949E-2</v>
      </c>
    </row>
    <row r="81" spans="2:27">
      <c r="B81" s="30">
        <v>9936</v>
      </c>
      <c r="C81" s="2" t="s">
        <v>374</v>
      </c>
      <c r="D81" s="9" t="str">
        <f>VLOOKUP(B81,기업리스트!$B:$G,2,FALSE)</f>
        <v>Ohsho Food Service Corp.</v>
      </c>
      <c r="E81" s="2" t="s">
        <v>360</v>
      </c>
      <c r="F81" s="4">
        <v>1</v>
      </c>
      <c r="G81" s="3">
        <v>22295</v>
      </c>
      <c r="H81" s="3">
        <v>22017</v>
      </c>
      <c r="I81" s="3">
        <v>22617</v>
      </c>
      <c r="J81" s="3">
        <v>22519</v>
      </c>
      <c r="K81" s="3">
        <v>23922</v>
      </c>
      <c r="L81" s="3">
        <v>23964</v>
      </c>
      <c r="M81" s="3">
        <v>24623</v>
      </c>
      <c r="N81" s="3">
        <v>25121</v>
      </c>
      <c r="O81" s="3">
        <v>25785</v>
      </c>
      <c r="P81" s="3">
        <v>25872</v>
      </c>
      <c r="Q81" s="3">
        <v>26421</v>
      </c>
      <c r="R81" s="3">
        <v>27458</v>
      </c>
      <c r="S81" s="3">
        <v>27566</v>
      </c>
      <c r="T81" s="3">
        <v>29588</v>
      </c>
      <c r="U81" s="3">
        <v>29668</v>
      </c>
      <c r="V81" s="3">
        <v>28835</v>
      </c>
      <c r="W81" s="10">
        <v>28774</v>
      </c>
      <c r="X81" s="6">
        <v>3.4626387245264123E-2</v>
      </c>
      <c r="Y81" s="6">
        <v>2.9243558221429659E-2</v>
      </c>
      <c r="Z81" s="6">
        <v>1.204935246762329E-2</v>
      </c>
      <c r="AA81" s="6">
        <v>1.044467693265427E-2</v>
      </c>
    </row>
    <row r="82" spans="2:27">
      <c r="B82" s="30">
        <v>7476</v>
      </c>
      <c r="C82" s="2" t="s">
        <v>374</v>
      </c>
      <c r="D82" s="9" t="str">
        <f>VLOOKUP(B82,기업리스트!$B:$G,2,FALSE)</f>
        <v>AS ONE Corporation</v>
      </c>
      <c r="E82" s="2" t="s">
        <v>360</v>
      </c>
      <c r="F82" s="4">
        <v>1</v>
      </c>
      <c r="G82" s="3">
        <v>21317</v>
      </c>
      <c r="H82" s="3">
        <v>25175</v>
      </c>
      <c r="I82" s="3">
        <v>20471</v>
      </c>
      <c r="J82" s="3">
        <v>22126</v>
      </c>
      <c r="K82" s="3">
        <v>23322</v>
      </c>
      <c r="L82" s="3">
        <v>25502</v>
      </c>
      <c r="M82" s="3">
        <v>21735</v>
      </c>
      <c r="N82" s="3">
        <v>22378</v>
      </c>
      <c r="O82" s="3">
        <v>24538</v>
      </c>
      <c r="P82" s="3">
        <v>26885</v>
      </c>
      <c r="Q82" s="3">
        <v>24168</v>
      </c>
      <c r="R82" s="3">
        <v>24458</v>
      </c>
      <c r="S82" s="3">
        <v>26744</v>
      </c>
      <c r="T82" s="3">
        <v>28380</v>
      </c>
      <c r="U82" s="3">
        <v>25637</v>
      </c>
      <c r="V82" s="3">
        <v>25775</v>
      </c>
      <c r="W82" s="10">
        <v>27792</v>
      </c>
      <c r="X82" s="6">
        <v>1.4620311965185101E-2</v>
      </c>
      <c r="Y82" s="6">
        <v>1.415903614457825E-2</v>
      </c>
      <c r="Z82" s="6">
        <v>1.2516750776951019E-2</v>
      </c>
      <c r="AA82" s="6">
        <v>9.837050386723778E-3</v>
      </c>
    </row>
    <row r="83" spans="2:27">
      <c r="B83" s="30">
        <v>5703</v>
      </c>
      <c r="C83" s="2" t="s">
        <v>374</v>
      </c>
      <c r="D83" s="9" t="str">
        <f>VLOOKUP(B83,기업리스트!$B:$G,2,FALSE)</f>
        <v>Nippon Light Metal Holdings Company, Ltd.</v>
      </c>
      <c r="E83" s="2" t="s">
        <v>360</v>
      </c>
      <c r="F83" s="4">
        <v>1</v>
      </c>
      <c r="G83" s="3">
        <v>124467</v>
      </c>
      <c r="H83" s="3">
        <v>126064</v>
      </c>
      <c r="I83" s="3">
        <v>123241</v>
      </c>
      <c r="J83" s="3">
        <v>129853</v>
      </c>
      <c r="K83" s="3">
        <v>131956</v>
      </c>
      <c r="L83" s="3">
        <v>131904</v>
      </c>
      <c r="M83" s="3">
        <v>122471</v>
      </c>
      <c r="N83" s="3">
        <v>127981</v>
      </c>
      <c r="O83" s="3">
        <v>137261</v>
      </c>
      <c r="P83" s="3">
        <v>136002</v>
      </c>
      <c r="Q83" s="3">
        <v>130570</v>
      </c>
      <c r="R83" s="3">
        <v>132518</v>
      </c>
      <c r="S83" s="3">
        <v>142816</v>
      </c>
      <c r="T83" s="3">
        <v>146224</v>
      </c>
      <c r="U83" s="3">
        <v>139337</v>
      </c>
      <c r="V83" s="3">
        <v>141580</v>
      </c>
      <c r="W83" s="10">
        <v>148392</v>
      </c>
      <c r="X83" s="6">
        <v>1.886305004927058E-2</v>
      </c>
      <c r="Y83" s="6">
        <v>1.5878564390865879E-2</v>
      </c>
      <c r="Z83" s="6">
        <v>1.6156321593168151E-2</v>
      </c>
      <c r="AA83" s="6">
        <v>9.783194170788212E-3</v>
      </c>
    </row>
    <row r="84" spans="2:27">
      <c r="B84" s="30">
        <v>6301</v>
      </c>
      <c r="C84" s="2" t="s">
        <v>374</v>
      </c>
      <c r="D84" s="9" t="str">
        <f>VLOOKUP(B84,기업리스트!$B:$G,2,FALSE)</f>
        <v>Komatsu Ltd.</v>
      </c>
      <c r="E84" s="2" t="s">
        <v>360</v>
      </c>
      <c r="F84" s="4">
        <v>0.9</v>
      </c>
      <c r="G84" s="3">
        <v>723277</v>
      </c>
      <c r="H84" s="3">
        <v>787646</v>
      </c>
      <c r="I84" s="3">
        <v>763808</v>
      </c>
      <c r="J84" s="3">
        <v>854927</v>
      </c>
      <c r="K84" s="3">
        <v>920497</v>
      </c>
      <c r="L84" s="3">
        <v>1004243</v>
      </c>
      <c r="M84" s="3">
        <v>899551</v>
      </c>
      <c r="N84" s="3">
        <v>923443</v>
      </c>
      <c r="O84" s="3">
        <v>971996</v>
      </c>
      <c r="P84" s="3">
        <v>1070132</v>
      </c>
      <c r="Q84" s="3">
        <v>959837</v>
      </c>
      <c r="R84" s="3">
        <v>1008229</v>
      </c>
      <c r="S84" s="3">
        <v>989196</v>
      </c>
      <c r="T84" s="3">
        <v>1147133</v>
      </c>
      <c r="U84" s="3">
        <v>909524</v>
      </c>
      <c r="V84" s="3">
        <v>982063</v>
      </c>
      <c r="W84" s="10">
        <v>1023897</v>
      </c>
      <c r="X84" s="6">
        <v>1.911931139590517E-2</v>
      </c>
      <c r="Y84" s="6">
        <v>-1.225832309024844E-2</v>
      </c>
      <c r="Z84" s="6">
        <v>-6.4542355088031966E-3</v>
      </c>
      <c r="AA84" s="6">
        <v>8.615125042329641E-3</v>
      </c>
    </row>
    <row r="85" spans="2:27">
      <c r="B85" s="30">
        <v>9009</v>
      </c>
      <c r="C85" s="2" t="s">
        <v>374</v>
      </c>
      <c r="D85" s="9" t="str">
        <f>VLOOKUP(B85,기업리스트!$B:$G,2,FALSE)</f>
        <v>Keisei Electric Railway Co., Ltd.</v>
      </c>
      <c r="E85" s="2" t="s">
        <v>360</v>
      </c>
      <c r="F85" s="4">
        <v>0.9</v>
      </c>
      <c r="G85" s="3">
        <v>56134</v>
      </c>
      <c r="H85" s="3">
        <v>53867</v>
      </c>
      <c r="I85" s="3">
        <v>59756</v>
      </c>
      <c r="J85" s="3">
        <v>59275</v>
      </c>
      <c r="K85" s="3">
        <v>66687</v>
      </c>
      <c r="L85" s="3">
        <v>66620</v>
      </c>
      <c r="M85" s="3">
        <v>72466</v>
      </c>
      <c r="N85" s="3">
        <v>75483</v>
      </c>
      <c r="O85" s="3">
        <v>74665</v>
      </c>
      <c r="P85" s="3">
        <v>73895</v>
      </c>
      <c r="Q85" s="3">
        <v>80297</v>
      </c>
      <c r="R85" s="3">
        <v>77736</v>
      </c>
      <c r="S85" s="3">
        <v>80154</v>
      </c>
      <c r="T85" s="3">
        <v>81127</v>
      </c>
      <c r="U85" s="3">
        <v>83334</v>
      </c>
      <c r="V85" s="3">
        <v>81294</v>
      </c>
      <c r="W85" s="10">
        <v>82946</v>
      </c>
      <c r="X85" s="6">
        <v>2.3173396735473469E-2</v>
      </c>
      <c r="Y85" s="6">
        <v>9.5110142367700323E-3</v>
      </c>
      <c r="Z85" s="6">
        <v>1.1037657708522721E-2</v>
      </c>
      <c r="AA85" s="6">
        <v>8.5668085263064242E-3</v>
      </c>
    </row>
    <row r="86" spans="2:27">
      <c r="B86" s="30">
        <v>8585</v>
      </c>
      <c r="C86" s="2" t="s">
        <v>374</v>
      </c>
      <c r="D86" s="9" t="str">
        <f>VLOOKUP(B86,기업리스트!$B:$G,2,FALSE)</f>
        <v>Orient Corporation</v>
      </c>
      <c r="E86" s="2" t="s">
        <v>360</v>
      </c>
      <c r="F86" s="4">
        <v>0.8</v>
      </c>
      <c r="G86" s="3">
        <v>56941</v>
      </c>
      <c r="H86" s="3">
        <v>58253</v>
      </c>
      <c r="I86" s="3">
        <v>54332</v>
      </c>
      <c r="J86" s="3">
        <v>62063</v>
      </c>
      <c r="K86" s="3">
        <v>51694</v>
      </c>
      <c r="L86" s="3">
        <v>59604</v>
      </c>
      <c r="M86" s="3">
        <v>57688</v>
      </c>
      <c r="N86" s="3">
        <v>54502</v>
      </c>
      <c r="O86" s="3">
        <v>56447</v>
      </c>
      <c r="P86" s="3">
        <v>60417</v>
      </c>
      <c r="Q86" s="3">
        <v>63053</v>
      </c>
      <c r="R86" s="3">
        <v>60411</v>
      </c>
      <c r="S86" s="3">
        <v>59032</v>
      </c>
      <c r="T86" s="3">
        <v>62776</v>
      </c>
      <c r="U86" s="3">
        <v>62876</v>
      </c>
      <c r="V86" s="3">
        <v>62001</v>
      </c>
      <c r="W86" s="10">
        <v>61102</v>
      </c>
      <c r="X86" s="6">
        <v>9.7112958137275385E-3</v>
      </c>
      <c r="Y86" s="6">
        <v>-7.2164780325512101E-4</v>
      </c>
      <c r="Z86" s="6">
        <v>6.4872804422775321E-3</v>
      </c>
      <c r="AA86" s="6">
        <v>8.3912682165514507E-3</v>
      </c>
    </row>
    <row r="87" spans="2:27">
      <c r="B87" s="30">
        <v>6436</v>
      </c>
      <c r="C87" s="2" t="s">
        <v>374</v>
      </c>
      <c r="D87" s="9" t="str">
        <f>VLOOKUP(B87,기업리스트!$B:$G,2,FALSE)</f>
        <v>Amano Corporation</v>
      </c>
      <c r="E87" s="2" t="s">
        <v>360</v>
      </c>
      <c r="F87" s="4">
        <v>0.8</v>
      </c>
      <c r="G87" s="3">
        <v>27676</v>
      </c>
      <c r="H87" s="3">
        <v>35426</v>
      </c>
      <c r="I87" s="3">
        <v>27622</v>
      </c>
      <c r="J87" s="3">
        <v>32833</v>
      </c>
      <c r="K87" s="3">
        <v>31812</v>
      </c>
      <c r="L87" s="3">
        <v>40543</v>
      </c>
      <c r="M87" s="3">
        <v>31840</v>
      </c>
      <c r="N87" s="3">
        <v>38323</v>
      </c>
      <c r="O87" s="3">
        <v>37628</v>
      </c>
      <c r="P87" s="3">
        <v>45073</v>
      </c>
      <c r="Q87" s="3">
        <v>39032</v>
      </c>
      <c r="R87" s="3">
        <v>45196</v>
      </c>
      <c r="S87" s="3">
        <v>41688</v>
      </c>
      <c r="T87" s="3">
        <v>49507</v>
      </c>
      <c r="U87" s="3">
        <v>39056</v>
      </c>
      <c r="V87" s="3">
        <v>44872</v>
      </c>
      <c r="W87" s="10">
        <v>43113</v>
      </c>
      <c r="X87" s="6">
        <v>2.5931492669118979E-2</v>
      </c>
      <c r="Y87" s="6">
        <v>1.3681216260130749E-4</v>
      </c>
      <c r="Z87" s="6">
        <v>-1.846711542517143E-3</v>
      </c>
      <c r="AA87" s="6">
        <v>8.1371378973635888E-3</v>
      </c>
    </row>
    <row r="88" spans="2:27">
      <c r="B88" s="30">
        <v>6508</v>
      </c>
      <c r="C88" s="2" t="s">
        <v>374</v>
      </c>
      <c r="D88" s="9" t="str">
        <f>VLOOKUP(B88,기업리스트!$B:$G,2,FALSE)</f>
        <v>Meidensha Corporation</v>
      </c>
      <c r="E88" s="2" t="s">
        <v>360</v>
      </c>
      <c r="F88" s="4">
        <v>0.6</v>
      </c>
      <c r="G88" s="3">
        <v>59491</v>
      </c>
      <c r="H88" s="3">
        <v>96605</v>
      </c>
      <c r="I88" s="3">
        <v>47525</v>
      </c>
      <c r="J88" s="3">
        <v>64217</v>
      </c>
      <c r="K88" s="3">
        <v>58267</v>
      </c>
      <c r="L88" s="3">
        <v>102569</v>
      </c>
      <c r="M88" s="3">
        <v>53532</v>
      </c>
      <c r="N88" s="3">
        <v>65515</v>
      </c>
      <c r="O88" s="3">
        <v>64871</v>
      </c>
      <c r="P88" s="3">
        <v>103962</v>
      </c>
      <c r="Q88" s="3">
        <v>54975</v>
      </c>
      <c r="R88" s="3">
        <v>65124</v>
      </c>
      <c r="S88" s="3">
        <v>70984</v>
      </c>
      <c r="T88" s="3">
        <v>110018</v>
      </c>
      <c r="U88" s="3">
        <v>58390</v>
      </c>
      <c r="V88" s="3">
        <v>72752</v>
      </c>
      <c r="W88" s="10">
        <v>72713</v>
      </c>
      <c r="X88" s="6">
        <v>2.052568252300491E-2</v>
      </c>
      <c r="Y88" s="6">
        <v>1.134170926034783E-2</v>
      </c>
      <c r="Z88" s="6">
        <v>2.504958688541814E-2</v>
      </c>
      <c r="AA88" s="6">
        <v>5.539110154287874E-3</v>
      </c>
    </row>
    <row r="89" spans="2:27">
      <c r="B89" s="30">
        <v>2002</v>
      </c>
      <c r="C89" s="2" t="s">
        <v>374</v>
      </c>
      <c r="D89" s="9" t="str">
        <f>VLOOKUP(B89,기업리스트!$B:$G,2,FALSE)</f>
        <v>Nisshin Seifun Group Inc.</v>
      </c>
      <c r="E89" s="2" t="s">
        <v>360</v>
      </c>
      <c r="F89" s="4">
        <v>0.6</v>
      </c>
      <c r="G89" s="3">
        <v>179583</v>
      </c>
      <c r="H89" s="3">
        <v>174426</v>
      </c>
      <c r="I89" s="3">
        <v>189296</v>
      </c>
      <c r="J89" s="3">
        <v>199446</v>
      </c>
      <c r="K89" s="3">
        <v>211263</v>
      </c>
      <c r="L89" s="3">
        <v>198676</v>
      </c>
      <c r="M89" s="3">
        <v>208191</v>
      </c>
      <c r="N89" s="3">
        <v>218690</v>
      </c>
      <c r="O89" s="3">
        <v>223800</v>
      </c>
      <c r="P89" s="3">
        <v>207567</v>
      </c>
      <c r="Q89" s="3">
        <v>213874</v>
      </c>
      <c r="R89" s="3">
        <v>215639</v>
      </c>
      <c r="S89" s="3">
        <v>217928</v>
      </c>
      <c r="T89" s="3">
        <v>204045</v>
      </c>
      <c r="U89" s="3">
        <v>215364</v>
      </c>
      <c r="V89" s="3">
        <v>215946</v>
      </c>
      <c r="W89" s="10">
        <v>222645</v>
      </c>
      <c r="X89" s="6">
        <v>-4.1192597028332223E-3</v>
      </c>
      <c r="Y89" s="6">
        <v>1.749881971048195E-3</v>
      </c>
      <c r="Z89" s="6">
        <v>3.5991633996745881E-4</v>
      </c>
      <c r="AA89" s="6">
        <v>5.528060444190297E-3</v>
      </c>
    </row>
    <row r="90" spans="2:27">
      <c r="B90" s="30">
        <v>6770</v>
      </c>
      <c r="C90" s="2" t="s">
        <v>374</v>
      </c>
      <c r="D90" s="9" t="str">
        <f>VLOOKUP(B90,기업리스트!$B:$G,2,FALSE)</f>
        <v>Alps Alpine Co., Ltd.</v>
      </c>
      <c r="E90" s="2" t="s">
        <v>360</v>
      </c>
      <c r="F90" s="4">
        <v>0.5</v>
      </c>
      <c r="G90" s="3">
        <v>225856</v>
      </c>
      <c r="H90" s="3">
        <v>209537</v>
      </c>
      <c r="I90" s="3">
        <v>204978</v>
      </c>
      <c r="J90" s="3">
        <v>249308</v>
      </c>
      <c r="K90" s="3">
        <v>246330</v>
      </c>
      <c r="L90" s="3">
        <v>232498</v>
      </c>
      <c r="M90" s="3">
        <v>218508</v>
      </c>
      <c r="N90" s="3">
        <v>256501</v>
      </c>
      <c r="O90" s="3">
        <v>260350</v>
      </c>
      <c r="P90" s="3">
        <v>228731</v>
      </c>
      <c r="Q90" s="3">
        <v>233593</v>
      </c>
      <c r="R90" s="3">
        <v>256718</v>
      </c>
      <c r="S90" s="3">
        <v>250305</v>
      </c>
      <c r="T90" s="3">
        <v>249791</v>
      </c>
      <c r="U90" s="3">
        <v>238920</v>
      </c>
      <c r="V90" s="3">
        <v>266791</v>
      </c>
      <c r="W90" s="10">
        <v>255478</v>
      </c>
      <c r="X90" s="6">
        <v>2.172596603693E-2</v>
      </c>
      <c r="Y90" s="6">
        <v>5.3785968798685246E-3</v>
      </c>
      <c r="Z90" s="6">
        <v>1.0116155519446E-2</v>
      </c>
      <c r="AA90" s="6">
        <v>5.1431338218963507E-3</v>
      </c>
    </row>
    <row r="91" spans="2:27">
      <c r="B91" s="30">
        <v>7575</v>
      </c>
      <c r="C91" s="2" t="s">
        <v>374</v>
      </c>
      <c r="D91" s="9" t="str">
        <f>VLOOKUP(B91,기업리스트!$B:$G,2,FALSE)</f>
        <v>Japan Lifeline Co., Ltd.</v>
      </c>
      <c r="E91" s="2" t="s">
        <v>360</v>
      </c>
      <c r="F91" s="4">
        <v>0.5</v>
      </c>
      <c r="G91" s="3">
        <v>13879</v>
      </c>
      <c r="H91" s="3">
        <v>12460</v>
      </c>
      <c r="I91" s="3">
        <v>12969</v>
      </c>
      <c r="J91" s="3">
        <v>12520</v>
      </c>
      <c r="K91" s="3">
        <v>13009</v>
      </c>
      <c r="L91" s="3">
        <v>13252</v>
      </c>
      <c r="M91" s="3">
        <v>12954</v>
      </c>
      <c r="N91" s="3">
        <v>12178</v>
      </c>
      <c r="O91" s="3">
        <v>13170</v>
      </c>
      <c r="P91" s="3">
        <v>13082</v>
      </c>
      <c r="Q91" s="3">
        <v>14010</v>
      </c>
      <c r="R91" s="3">
        <v>13975</v>
      </c>
      <c r="S91" s="3">
        <v>14826</v>
      </c>
      <c r="T91" s="3">
        <v>13799</v>
      </c>
      <c r="U91" s="3">
        <v>14616</v>
      </c>
      <c r="V91" s="3">
        <v>14669</v>
      </c>
      <c r="W91" s="10">
        <v>15120</v>
      </c>
      <c r="X91" s="6">
        <v>1.282808222854381E-2</v>
      </c>
      <c r="Y91" s="6">
        <v>1.070482246952831E-2</v>
      </c>
      <c r="Z91" s="6">
        <v>1.212947427293054E-2</v>
      </c>
      <c r="AA91" s="6">
        <v>5.0768433776549049E-3</v>
      </c>
    </row>
    <row r="92" spans="2:27">
      <c r="B92" s="30">
        <v>8818</v>
      </c>
      <c r="C92" s="2" t="s">
        <v>374</v>
      </c>
      <c r="D92" s="9" t="str">
        <f>VLOOKUP(B92,기업리스트!$B:$G,2,FALSE)</f>
        <v>Keihanshin Building Co., Ltd.</v>
      </c>
      <c r="E92" s="2" t="s">
        <v>360</v>
      </c>
      <c r="F92" s="4">
        <v>0.5</v>
      </c>
      <c r="G92" s="3">
        <v>4499</v>
      </c>
      <c r="H92" s="3">
        <v>4492</v>
      </c>
      <c r="I92" s="3">
        <v>4574</v>
      </c>
      <c r="J92" s="3">
        <v>4756</v>
      </c>
      <c r="K92" s="3">
        <v>4743</v>
      </c>
      <c r="L92" s="3">
        <v>4806</v>
      </c>
      <c r="M92" s="3">
        <v>4962</v>
      </c>
      <c r="N92" s="3">
        <v>4899</v>
      </c>
      <c r="O92" s="3">
        <v>4794</v>
      </c>
      <c r="P92" s="3">
        <v>4655</v>
      </c>
      <c r="Q92" s="3">
        <v>4769</v>
      </c>
      <c r="R92" s="3">
        <v>4932</v>
      </c>
      <c r="S92" s="3">
        <v>4972</v>
      </c>
      <c r="T92" s="3">
        <v>4910</v>
      </c>
      <c r="U92" s="3">
        <v>5015</v>
      </c>
      <c r="V92" s="3">
        <v>5157</v>
      </c>
      <c r="W92" s="10">
        <v>5072</v>
      </c>
      <c r="X92" s="6">
        <v>1.3193294701986821E-2</v>
      </c>
      <c r="Y92" s="6">
        <v>1.256191594750544E-2</v>
      </c>
      <c r="Z92" s="6">
        <v>1.134701699530982E-2</v>
      </c>
      <c r="AA92" s="6">
        <v>4.9865363518499786E-3</v>
      </c>
    </row>
    <row r="93" spans="2:27">
      <c r="B93" s="30">
        <v>1959</v>
      </c>
      <c r="C93" s="2" t="s">
        <v>374</v>
      </c>
      <c r="D93" s="9" t="str">
        <f>VLOOKUP(B93,기업리스트!$B:$G,2,FALSE)</f>
        <v>Kraftia Corporation</v>
      </c>
      <c r="E93" s="2" t="s">
        <v>360</v>
      </c>
      <c r="F93" s="4">
        <v>0.4</v>
      </c>
      <c r="G93" s="3">
        <v>83089</v>
      </c>
      <c r="H93" s="3">
        <v>135280</v>
      </c>
      <c r="I93" s="3">
        <v>69089</v>
      </c>
      <c r="J93" s="3">
        <v>99433</v>
      </c>
      <c r="K93" s="3">
        <v>82733</v>
      </c>
      <c r="L93" s="3">
        <v>144528</v>
      </c>
      <c r="M93" s="3">
        <v>86242</v>
      </c>
      <c r="N93" s="3">
        <v>114375</v>
      </c>
      <c r="O93" s="3">
        <v>114450</v>
      </c>
      <c r="P93" s="3">
        <v>153990</v>
      </c>
      <c r="Q93" s="3">
        <v>107205</v>
      </c>
      <c r="R93" s="3">
        <v>112098</v>
      </c>
      <c r="S93" s="3">
        <v>109771</v>
      </c>
      <c r="T93" s="3">
        <v>144880</v>
      </c>
      <c r="U93" s="3">
        <v>100568</v>
      </c>
      <c r="V93" s="3">
        <v>107157</v>
      </c>
      <c r="W93" s="10">
        <v>111528</v>
      </c>
      <c r="X93" s="6">
        <v>-1.8858784757299189E-2</v>
      </c>
      <c r="Y93" s="6">
        <v>-1.4003468691054399E-2</v>
      </c>
      <c r="Z93" s="6">
        <v>-1.0573122741094339E-2</v>
      </c>
      <c r="AA93" s="6">
        <v>3.799937713029999E-3</v>
      </c>
    </row>
    <row r="94" spans="2:27">
      <c r="B94" s="30">
        <v>8014</v>
      </c>
      <c r="C94" s="2" t="s">
        <v>374</v>
      </c>
      <c r="D94" s="9" t="str">
        <f>VLOOKUP(B94,기업리스트!$B:$G,2,FALSE)</f>
        <v>Chori Co., Ltd.</v>
      </c>
      <c r="E94" s="2" t="s">
        <v>360</v>
      </c>
      <c r="F94" s="4">
        <v>0.3</v>
      </c>
      <c r="G94" s="3">
        <v>75809</v>
      </c>
      <c r="H94" s="3">
        <v>78261</v>
      </c>
      <c r="I94" s="3">
        <v>81906</v>
      </c>
      <c r="J94" s="3">
        <v>86566</v>
      </c>
      <c r="K94" s="3">
        <v>86907</v>
      </c>
      <c r="L94" s="3">
        <v>74010</v>
      </c>
      <c r="M94" s="3">
        <v>75780</v>
      </c>
      <c r="N94" s="3">
        <v>77126</v>
      </c>
      <c r="O94" s="3">
        <v>80451</v>
      </c>
      <c r="P94" s="3">
        <v>74342</v>
      </c>
      <c r="Q94" s="3">
        <v>76974</v>
      </c>
      <c r="R94" s="3">
        <v>77481</v>
      </c>
      <c r="S94" s="3">
        <v>75802</v>
      </c>
      <c r="T94" s="3">
        <v>81289</v>
      </c>
      <c r="U94" s="3">
        <v>71577</v>
      </c>
      <c r="V94" s="3">
        <v>73385</v>
      </c>
      <c r="W94" s="10">
        <v>76649</v>
      </c>
      <c r="X94" s="6">
        <v>2.2807034822832639E-2</v>
      </c>
      <c r="Y94" s="6">
        <v>-1.7323284522991811E-2</v>
      </c>
      <c r="Z94" s="6">
        <v>-1.337910625218441E-2</v>
      </c>
      <c r="AA94" s="6">
        <v>2.804143643665213E-3</v>
      </c>
    </row>
    <row r="95" spans="2:27">
      <c r="B95" s="30">
        <v>4205</v>
      </c>
      <c r="C95" s="2" t="s">
        <v>374</v>
      </c>
      <c r="D95" s="9" t="str">
        <f>VLOOKUP(B95,기업리스트!$B:$G,2,FALSE)</f>
        <v>Zeon Corporation</v>
      </c>
      <c r="E95" s="2" t="s">
        <v>360</v>
      </c>
      <c r="F95" s="4">
        <v>0.3</v>
      </c>
      <c r="G95" s="3">
        <v>89681</v>
      </c>
      <c r="H95" s="3">
        <v>92974</v>
      </c>
      <c r="I95" s="3">
        <v>97576</v>
      </c>
      <c r="J95" s="3">
        <v>99841</v>
      </c>
      <c r="K95" s="3">
        <v>96788</v>
      </c>
      <c r="L95" s="3">
        <v>94409</v>
      </c>
      <c r="M95" s="3">
        <v>91927</v>
      </c>
      <c r="N95" s="3">
        <v>93515</v>
      </c>
      <c r="O95" s="3">
        <v>98364</v>
      </c>
      <c r="P95" s="3">
        <v>98473</v>
      </c>
      <c r="Q95" s="3">
        <v>106105</v>
      </c>
      <c r="R95" s="3">
        <v>107245</v>
      </c>
      <c r="S95" s="3">
        <v>102083</v>
      </c>
      <c r="T95" s="3">
        <v>105214</v>
      </c>
      <c r="U95" s="3">
        <v>103083</v>
      </c>
      <c r="V95" s="3">
        <v>103388</v>
      </c>
      <c r="W95" s="10">
        <v>103241</v>
      </c>
      <c r="X95" s="6">
        <v>1.628630655269547E-2</v>
      </c>
      <c r="Y95" s="6">
        <v>-7.184171050786059E-3</v>
      </c>
      <c r="Z95" s="6">
        <v>-9.2355582161030014E-3</v>
      </c>
      <c r="AA95" s="6">
        <v>2.79866978596699E-3</v>
      </c>
    </row>
    <row r="96" spans="2:27">
      <c r="B96" s="30">
        <v>1976</v>
      </c>
      <c r="C96" s="2" t="s">
        <v>374</v>
      </c>
      <c r="D96" s="9" t="str">
        <f>VLOOKUP(B96,기업리스트!$B:$G,2,FALSE)</f>
        <v>MEISEI INDUSTRIAL Co.,Ltd.</v>
      </c>
      <c r="E96" s="2" t="s">
        <v>360</v>
      </c>
      <c r="F96" s="4">
        <v>0.2</v>
      </c>
      <c r="G96" s="3">
        <v>12049</v>
      </c>
      <c r="H96" s="3">
        <v>14017</v>
      </c>
      <c r="I96" s="3">
        <v>12051</v>
      </c>
      <c r="J96" s="3">
        <v>13671</v>
      </c>
      <c r="K96" s="3">
        <v>14169</v>
      </c>
      <c r="L96" s="3">
        <v>15999</v>
      </c>
      <c r="M96" s="3">
        <v>12534</v>
      </c>
      <c r="N96" s="3">
        <v>14044</v>
      </c>
      <c r="O96" s="3">
        <v>15971</v>
      </c>
      <c r="P96" s="3">
        <v>17828</v>
      </c>
      <c r="Q96" s="3">
        <v>14812</v>
      </c>
      <c r="R96" s="3">
        <v>16764</v>
      </c>
      <c r="S96" s="3">
        <v>15718</v>
      </c>
      <c r="T96" s="3">
        <v>18989</v>
      </c>
      <c r="U96" s="3">
        <v>13840</v>
      </c>
      <c r="V96" s="3">
        <v>14460</v>
      </c>
      <c r="W96" s="10">
        <v>15845</v>
      </c>
      <c r="X96" s="6">
        <v>1.7828076533276119E-2</v>
      </c>
      <c r="Y96" s="6">
        <v>-1.4664393585082199E-2</v>
      </c>
      <c r="Z96" s="6">
        <v>-3.527736522178504E-2</v>
      </c>
      <c r="AA96" s="6">
        <v>2.015649054866842E-3</v>
      </c>
    </row>
    <row r="97" spans="2:27">
      <c r="B97" s="30">
        <v>4549</v>
      </c>
      <c r="C97" s="2" t="s">
        <v>374</v>
      </c>
      <c r="D97" s="9" t="str">
        <f>VLOOKUP(B97,기업리스트!$B:$G,2,FALSE)</f>
        <v>Eiken Chemical Co., Ltd.</v>
      </c>
      <c r="E97" s="2" t="s">
        <v>360</v>
      </c>
      <c r="F97" s="4">
        <v>0.1</v>
      </c>
      <c r="G97" s="3">
        <v>10490</v>
      </c>
      <c r="H97" s="3">
        <v>11165</v>
      </c>
      <c r="I97" s="3">
        <v>11097</v>
      </c>
      <c r="J97" s="3">
        <v>11768</v>
      </c>
      <c r="K97" s="3">
        <v>10995</v>
      </c>
      <c r="L97" s="3">
        <v>9411</v>
      </c>
      <c r="M97" s="3">
        <v>9864</v>
      </c>
      <c r="N97" s="3">
        <v>10400</v>
      </c>
      <c r="O97" s="3">
        <v>10229</v>
      </c>
      <c r="P97" s="3">
        <v>9559</v>
      </c>
      <c r="Q97" s="3">
        <v>9519</v>
      </c>
      <c r="R97" s="3">
        <v>10210</v>
      </c>
      <c r="S97" s="3">
        <v>10911</v>
      </c>
      <c r="T97" s="3">
        <v>9899</v>
      </c>
      <c r="U97" s="3">
        <v>10197</v>
      </c>
      <c r="V97" s="3">
        <v>10233</v>
      </c>
      <c r="W97" s="10">
        <v>10947</v>
      </c>
      <c r="X97" s="6">
        <v>8.4579218388516342E-3</v>
      </c>
      <c r="Y97" s="6">
        <v>1.6724635536150331E-2</v>
      </c>
      <c r="Z97" s="6">
        <v>5.5802217531608633E-4</v>
      </c>
      <c r="AA97" s="6">
        <v>8.7293889427741966E-4</v>
      </c>
    </row>
    <row r="98" spans="2:27">
      <c r="B98" s="30">
        <v>9065</v>
      </c>
      <c r="C98" s="2" t="s">
        <v>374</v>
      </c>
      <c r="D98" s="9" t="str">
        <f>VLOOKUP(B98,기업리스트!$B:$G,2,FALSE)</f>
        <v>Sankyu Inc.</v>
      </c>
      <c r="E98" s="2" t="s">
        <v>360</v>
      </c>
      <c r="F98" s="4">
        <v>0</v>
      </c>
      <c r="G98" s="3">
        <v>137808</v>
      </c>
      <c r="H98" s="3">
        <v>142367</v>
      </c>
      <c r="I98" s="3">
        <v>141717</v>
      </c>
      <c r="J98" s="3">
        <v>147576</v>
      </c>
      <c r="K98" s="3">
        <v>147261</v>
      </c>
      <c r="L98" s="3">
        <v>142672</v>
      </c>
      <c r="M98" s="3">
        <v>137515</v>
      </c>
      <c r="N98" s="3">
        <v>139660</v>
      </c>
      <c r="O98" s="3">
        <v>144742</v>
      </c>
      <c r="P98" s="3">
        <v>141630</v>
      </c>
      <c r="Q98" s="3">
        <v>143020</v>
      </c>
      <c r="R98" s="3">
        <v>156078</v>
      </c>
      <c r="S98" s="3">
        <v>156581</v>
      </c>
      <c r="T98" s="3">
        <v>151112</v>
      </c>
      <c r="U98" s="3">
        <v>153954</v>
      </c>
      <c r="V98" s="3">
        <v>161585</v>
      </c>
      <c r="W98" s="10">
        <v>156837</v>
      </c>
      <c r="X98" s="6">
        <v>1.5874530603088081E-2</v>
      </c>
      <c r="Y98" s="6">
        <v>1.8019383939445351E-2</v>
      </c>
      <c r="Z98" s="6">
        <v>8.9149702537536513E-3</v>
      </c>
      <c r="AA98" s="6">
        <v>4.1076196344214111E-4</v>
      </c>
    </row>
    <row r="99" spans="2:27">
      <c r="B99" s="30">
        <v>6727</v>
      </c>
      <c r="C99" s="2" t="s">
        <v>374</v>
      </c>
      <c r="D99" s="9" t="str">
        <f>VLOOKUP(B99,기업리스트!$B:$G,2,FALSE)</f>
        <v>Wacom Co., Ltd.</v>
      </c>
      <c r="E99" s="2" t="s">
        <v>360</v>
      </c>
      <c r="F99" s="4">
        <v>0</v>
      </c>
      <c r="G99" s="3">
        <v>30921</v>
      </c>
      <c r="H99" s="3">
        <v>27610</v>
      </c>
      <c r="I99" s="3">
        <v>28472</v>
      </c>
      <c r="J99" s="3">
        <v>25665</v>
      </c>
      <c r="K99" s="3">
        <v>29883</v>
      </c>
      <c r="L99" s="3">
        <v>28709</v>
      </c>
      <c r="M99" s="3">
        <v>24139</v>
      </c>
      <c r="N99" s="3">
        <v>31452</v>
      </c>
      <c r="O99" s="3">
        <v>33560</v>
      </c>
      <c r="P99" s="3">
        <v>29643</v>
      </c>
      <c r="Q99" s="3">
        <v>29175</v>
      </c>
      <c r="R99" s="3">
        <v>28140</v>
      </c>
      <c r="S99" s="3">
        <v>30203</v>
      </c>
      <c r="T99" s="3">
        <v>28162</v>
      </c>
      <c r="U99" s="3">
        <v>24505</v>
      </c>
      <c r="V99" s="3">
        <v>26889</v>
      </c>
      <c r="W99" s="10">
        <v>30244</v>
      </c>
      <c r="X99" s="6">
        <v>-1.264072515598191E-2</v>
      </c>
      <c r="Y99" s="6">
        <v>-4.0369986168741323E-2</v>
      </c>
      <c r="Z99" s="6">
        <v>-1.12692550220701E-2</v>
      </c>
      <c r="AA99" s="6">
        <v>3.735456773477086E-4</v>
      </c>
    </row>
    <row r="100" spans="2:27">
      <c r="B100" s="30">
        <v>4043</v>
      </c>
      <c r="C100" s="2" t="s">
        <v>374</v>
      </c>
      <c r="D100" s="9" t="str">
        <f>VLOOKUP(B100,기업리스트!$B:$G,2,FALSE)</f>
        <v>Tokuyama Corporation</v>
      </c>
      <c r="E100" s="2" t="s">
        <v>360</v>
      </c>
      <c r="F100" s="4">
        <v>0</v>
      </c>
      <c r="G100" s="3">
        <v>78949</v>
      </c>
      <c r="H100" s="3">
        <v>82221</v>
      </c>
      <c r="I100" s="3">
        <v>84017</v>
      </c>
      <c r="J100" s="3">
        <v>82353</v>
      </c>
      <c r="K100" s="3">
        <v>92640</v>
      </c>
      <c r="L100" s="3">
        <v>92780</v>
      </c>
      <c r="M100" s="3">
        <v>84886</v>
      </c>
      <c r="N100" s="3">
        <v>81219</v>
      </c>
      <c r="O100" s="3">
        <v>84150</v>
      </c>
      <c r="P100" s="3">
        <v>91735</v>
      </c>
      <c r="Q100" s="3">
        <v>82524</v>
      </c>
      <c r="R100" s="3">
        <v>83014</v>
      </c>
      <c r="S100" s="3">
        <v>87849</v>
      </c>
      <c r="T100" s="3">
        <v>89686</v>
      </c>
      <c r="U100" s="3">
        <v>81828</v>
      </c>
      <c r="V100" s="3">
        <v>81928</v>
      </c>
      <c r="W100" s="10">
        <v>87768</v>
      </c>
      <c r="X100" s="6">
        <v>-5.9370309629638296E-3</v>
      </c>
      <c r="Y100" s="6">
        <v>-2.0287227499686811E-3</v>
      </c>
      <c r="Z100" s="6">
        <v>-3.1719420404991978E-3</v>
      </c>
      <c r="AA100" s="6">
        <v>-2.373341224937153E-4</v>
      </c>
    </row>
    <row r="101" spans="2:27">
      <c r="B101" s="30">
        <v>2109</v>
      </c>
      <c r="C101" s="2" t="s">
        <v>374</v>
      </c>
      <c r="D101" s="9" t="str">
        <f>VLOOKUP(B101,기업리스트!$B:$G,2,FALSE)</f>
        <v>Mitsui DM Sugar Co.,Ltd.</v>
      </c>
      <c r="E101" s="2" t="s">
        <v>360</v>
      </c>
      <c r="F101" s="4">
        <v>-0.2</v>
      </c>
      <c r="G101" s="3">
        <v>40062</v>
      </c>
      <c r="H101" s="3">
        <v>35620</v>
      </c>
      <c r="I101" s="3">
        <v>39194</v>
      </c>
      <c r="J101" s="3">
        <v>39767</v>
      </c>
      <c r="K101" s="3">
        <v>44802</v>
      </c>
      <c r="L101" s="3">
        <v>39547</v>
      </c>
      <c r="M101" s="3">
        <v>42358</v>
      </c>
      <c r="N101" s="3">
        <v>41859</v>
      </c>
      <c r="O101" s="3">
        <v>45181</v>
      </c>
      <c r="P101" s="3">
        <v>41376</v>
      </c>
      <c r="Q101" s="3">
        <v>44871</v>
      </c>
      <c r="R101" s="3">
        <v>43200</v>
      </c>
      <c r="S101" s="3">
        <v>48915</v>
      </c>
      <c r="T101" s="3">
        <v>41799</v>
      </c>
      <c r="U101" s="3">
        <v>46874</v>
      </c>
      <c r="V101" s="3">
        <v>43489</v>
      </c>
      <c r="W101" s="10">
        <v>48503</v>
      </c>
      <c r="X101" s="6">
        <v>2.3715813906548529E-3</v>
      </c>
      <c r="Y101" s="6">
        <v>1.120340073272375E-2</v>
      </c>
      <c r="Z101" s="6">
        <v>1.598557426377933E-3</v>
      </c>
      <c r="AA101" s="6">
        <v>-2.2752751591864628E-3</v>
      </c>
    </row>
    <row r="102" spans="2:27">
      <c r="B102" s="30">
        <v>7173</v>
      </c>
      <c r="C102" s="2" t="s">
        <v>374</v>
      </c>
      <c r="D102" s="9" t="str">
        <f>VLOOKUP(B102,기업리스트!$B:$G,2,FALSE)</f>
        <v>Tokyo Kiraboshi Financial Group, Inc.</v>
      </c>
      <c r="E102" s="2" t="s">
        <v>360</v>
      </c>
      <c r="F102" s="4">
        <v>-0.3</v>
      </c>
      <c r="G102" s="3">
        <v>23528</v>
      </c>
      <c r="H102" s="3">
        <v>25452</v>
      </c>
      <c r="I102" s="3">
        <v>30080</v>
      </c>
      <c r="J102" s="3">
        <v>28774</v>
      </c>
      <c r="K102" s="3">
        <v>27558</v>
      </c>
      <c r="L102" s="3">
        <v>32689</v>
      </c>
      <c r="M102" s="3">
        <v>32884</v>
      </c>
      <c r="N102" s="3">
        <v>33871</v>
      </c>
      <c r="O102" s="3">
        <v>31473</v>
      </c>
      <c r="P102" s="3">
        <v>31339</v>
      </c>
      <c r="Q102" s="3">
        <v>37280</v>
      </c>
      <c r="R102" s="3">
        <v>34115</v>
      </c>
      <c r="S102" s="3">
        <v>39041</v>
      </c>
      <c r="T102" s="3">
        <v>40183</v>
      </c>
      <c r="U102" s="3">
        <v>32983</v>
      </c>
      <c r="V102" s="3">
        <v>42267</v>
      </c>
      <c r="W102" s="10">
        <v>38566</v>
      </c>
      <c r="X102" s="6">
        <v>6.2380532533944599E-2</v>
      </c>
      <c r="Y102" s="6">
        <v>-2.8528937252272239E-2</v>
      </c>
      <c r="Z102" s="6">
        <v>5.5712743128169429E-2</v>
      </c>
      <c r="AA102" s="6">
        <v>-3.074951124461101E-3</v>
      </c>
    </row>
    <row r="103" spans="2:27">
      <c r="B103" s="30">
        <v>5352</v>
      </c>
      <c r="C103" s="2" t="s">
        <v>374</v>
      </c>
      <c r="D103" s="9" t="str">
        <f>VLOOKUP(B103,기업리스트!$B:$G,2,FALSE)</f>
        <v>Krosaki Harima Corporation</v>
      </c>
      <c r="E103" s="2" t="s">
        <v>360</v>
      </c>
      <c r="F103" s="4">
        <v>-0.4</v>
      </c>
      <c r="G103" s="3">
        <v>33798</v>
      </c>
      <c r="H103" s="3">
        <v>34868</v>
      </c>
      <c r="I103" s="3">
        <v>40292</v>
      </c>
      <c r="J103" s="3">
        <v>40299</v>
      </c>
      <c r="K103" s="3">
        <v>41890</v>
      </c>
      <c r="L103" s="3">
        <v>42721</v>
      </c>
      <c r="M103" s="3">
        <v>45357</v>
      </c>
      <c r="N103" s="3">
        <v>44042</v>
      </c>
      <c r="O103" s="3">
        <v>44950</v>
      </c>
      <c r="P103" s="3">
        <v>42680</v>
      </c>
      <c r="Q103" s="3">
        <v>43939</v>
      </c>
      <c r="R103" s="3">
        <v>44151</v>
      </c>
      <c r="S103" s="3">
        <v>45198</v>
      </c>
      <c r="T103" s="3">
        <v>44633</v>
      </c>
      <c r="U103" s="3">
        <v>44015</v>
      </c>
      <c r="V103" s="3">
        <v>44390</v>
      </c>
      <c r="W103" s="10">
        <v>44573</v>
      </c>
      <c r="X103" s="6">
        <v>1.109860883797054E-2</v>
      </c>
      <c r="Y103" s="6">
        <v>4.2715587255015558E-4</v>
      </c>
      <c r="Z103" s="6">
        <v>1.3427192593133961E-3</v>
      </c>
      <c r="AA103" s="6">
        <v>-3.5065867725936339E-3</v>
      </c>
    </row>
    <row r="104" spans="2:27">
      <c r="B104" s="30">
        <v>9110</v>
      </c>
      <c r="C104" s="2" t="s">
        <v>374</v>
      </c>
      <c r="D104" s="9" t="str">
        <f>VLOOKUP(B104,기업리스트!$B:$G,2,FALSE)</f>
        <v>NS United Kaiun Kaisha, Ltd.</v>
      </c>
      <c r="E104" s="2" t="s">
        <v>360</v>
      </c>
      <c r="F104" s="4">
        <v>-0.4</v>
      </c>
      <c r="G104" s="3">
        <v>54718</v>
      </c>
      <c r="H104" s="3">
        <v>51525</v>
      </c>
      <c r="I104" s="3">
        <v>62312</v>
      </c>
      <c r="J104" s="3">
        <v>68524</v>
      </c>
      <c r="K104" s="3">
        <v>66027</v>
      </c>
      <c r="L104" s="3">
        <v>53962</v>
      </c>
      <c r="M104" s="3">
        <v>55404</v>
      </c>
      <c r="N104" s="3">
        <v>56950</v>
      </c>
      <c r="O104" s="3">
        <v>60166</v>
      </c>
      <c r="P104" s="3">
        <v>60580</v>
      </c>
      <c r="Q104" s="3">
        <v>62344</v>
      </c>
      <c r="R104" s="3">
        <v>66379</v>
      </c>
      <c r="S104" s="3">
        <v>60668</v>
      </c>
      <c r="T104" s="3">
        <v>58017</v>
      </c>
      <c r="U104" s="3">
        <v>54833</v>
      </c>
      <c r="V104" s="3">
        <v>56696</v>
      </c>
      <c r="W104" s="10">
        <v>59735</v>
      </c>
      <c r="X104" s="6">
        <v>-1.025318936996689E-2</v>
      </c>
      <c r="Y104" s="6">
        <v>-3.0358759619737441E-2</v>
      </c>
      <c r="Z104" s="6">
        <v>-4.0363155854387538E-2</v>
      </c>
      <c r="AA104" s="6">
        <v>-4.0527509187103794E-3</v>
      </c>
    </row>
    <row r="105" spans="2:27">
      <c r="B105" s="30">
        <v>6737</v>
      </c>
      <c r="C105" s="2" t="s">
        <v>374</v>
      </c>
      <c r="D105" s="9" t="str">
        <f>VLOOKUP(B105,기업리스트!$B:$G,2,FALSE)</f>
        <v>EIZO Corporation</v>
      </c>
      <c r="E105" s="2" t="s">
        <v>360</v>
      </c>
      <c r="F105" s="4">
        <v>-0.5</v>
      </c>
      <c r="G105" s="3">
        <v>19973</v>
      </c>
      <c r="H105" s="3">
        <v>23073</v>
      </c>
      <c r="I105" s="3">
        <v>17847</v>
      </c>
      <c r="J105" s="3">
        <v>18719</v>
      </c>
      <c r="K105" s="3">
        <v>20571</v>
      </c>
      <c r="L105" s="3">
        <v>23712</v>
      </c>
      <c r="M105" s="3">
        <v>18548</v>
      </c>
      <c r="N105" s="3">
        <v>18637</v>
      </c>
      <c r="O105" s="3">
        <v>20976</v>
      </c>
      <c r="P105" s="3">
        <v>22310</v>
      </c>
      <c r="Q105" s="3">
        <v>18197</v>
      </c>
      <c r="R105" s="3">
        <v>18620</v>
      </c>
      <c r="S105" s="3">
        <v>21310</v>
      </c>
      <c r="T105" s="3">
        <v>22366</v>
      </c>
      <c r="U105" s="3">
        <v>17338</v>
      </c>
      <c r="V105" s="3">
        <v>20536</v>
      </c>
      <c r="W105" s="10">
        <v>20935</v>
      </c>
      <c r="X105" s="6">
        <v>6.9619702375778303E-4</v>
      </c>
      <c r="Y105" s="6">
        <v>-1.067173543041011E-2</v>
      </c>
      <c r="Z105" s="6">
        <v>2.4060074842404019E-2</v>
      </c>
      <c r="AA105" s="6">
        <v>-4.5984058859595001E-3</v>
      </c>
    </row>
    <row r="106" spans="2:27">
      <c r="B106" s="30">
        <v>1941</v>
      </c>
      <c r="C106" s="2" t="s">
        <v>374</v>
      </c>
      <c r="D106" s="9" t="str">
        <f>VLOOKUP(B106,기업리스트!$B:$G,2,FALSE)</f>
        <v>Chudenko Corporation</v>
      </c>
      <c r="E106" s="2" t="s">
        <v>360</v>
      </c>
      <c r="F106" s="4">
        <v>-0.6</v>
      </c>
      <c r="G106" s="3">
        <v>45692</v>
      </c>
      <c r="H106" s="3">
        <v>67841</v>
      </c>
      <c r="I106" s="3">
        <v>35526</v>
      </c>
      <c r="J106" s="3">
        <v>43989</v>
      </c>
      <c r="K106" s="3">
        <v>44848</v>
      </c>
      <c r="L106" s="3">
        <v>64669</v>
      </c>
      <c r="M106" s="3">
        <v>37677</v>
      </c>
      <c r="N106" s="3">
        <v>45022</v>
      </c>
      <c r="O106" s="3">
        <v>48601</v>
      </c>
      <c r="P106" s="3">
        <v>69725</v>
      </c>
      <c r="Q106" s="3">
        <v>45650</v>
      </c>
      <c r="R106" s="3">
        <v>52589</v>
      </c>
      <c r="S106" s="3">
        <v>55157</v>
      </c>
      <c r="T106" s="3">
        <v>68489</v>
      </c>
      <c r="U106" s="3">
        <v>44422</v>
      </c>
      <c r="V106" s="3">
        <v>51332</v>
      </c>
      <c r="W106" s="10">
        <v>53814</v>
      </c>
      <c r="X106" s="6">
        <v>-5.5395951075873917E-3</v>
      </c>
      <c r="Y106" s="6">
        <v>-5.5343984496473153E-3</v>
      </c>
      <c r="Z106" s="6">
        <v>-5.6966241723580557E-3</v>
      </c>
      <c r="AA106" s="6">
        <v>-6.1212397447584221E-3</v>
      </c>
    </row>
    <row r="107" spans="2:27">
      <c r="B107" s="30">
        <v>6810</v>
      </c>
      <c r="C107" s="2" t="s">
        <v>374</v>
      </c>
      <c r="D107" s="9" t="str">
        <f>VLOOKUP(B107,기업리스트!$B:$G,2,FALSE)</f>
        <v>Maxell, Ltd.</v>
      </c>
      <c r="E107" s="2" t="s">
        <v>360</v>
      </c>
      <c r="F107" s="4">
        <v>-0.6</v>
      </c>
      <c r="G107" s="3">
        <v>35292</v>
      </c>
      <c r="H107" s="3">
        <v>33662</v>
      </c>
      <c r="I107" s="3">
        <v>32227</v>
      </c>
      <c r="J107" s="3">
        <v>32978</v>
      </c>
      <c r="K107" s="3">
        <v>34030</v>
      </c>
      <c r="L107" s="3">
        <v>33541</v>
      </c>
      <c r="M107" s="3">
        <v>32225</v>
      </c>
      <c r="N107" s="3">
        <v>33395</v>
      </c>
      <c r="O107" s="3">
        <v>31684</v>
      </c>
      <c r="P107" s="3">
        <v>31835</v>
      </c>
      <c r="Q107" s="3">
        <v>31385</v>
      </c>
      <c r="R107" s="3">
        <v>31737</v>
      </c>
      <c r="S107" s="3">
        <v>32465</v>
      </c>
      <c r="T107" s="3">
        <v>34219</v>
      </c>
      <c r="U107" s="3">
        <v>30270</v>
      </c>
      <c r="V107" s="3">
        <v>34389</v>
      </c>
      <c r="W107" s="10">
        <v>31640</v>
      </c>
      <c r="X107" s="6">
        <v>1.8709485018285621E-2</v>
      </c>
      <c r="Y107" s="6">
        <v>-8.5897416144091743E-3</v>
      </c>
      <c r="Z107" s="6">
        <v>2.0607501690094839E-2</v>
      </c>
      <c r="AA107" s="6">
        <v>-6.2812635618190171E-3</v>
      </c>
    </row>
    <row r="108" spans="2:27">
      <c r="B108" s="30">
        <v>7943</v>
      </c>
      <c r="C108" s="2" t="s">
        <v>374</v>
      </c>
      <c r="D108" s="9" t="str">
        <f>VLOOKUP(B108,기업리스트!$B:$G,2,FALSE)</f>
        <v>Nichiha Corporation</v>
      </c>
      <c r="E108" s="2" t="s">
        <v>360</v>
      </c>
      <c r="F108" s="4">
        <v>-0.6</v>
      </c>
      <c r="G108" s="3">
        <v>34514</v>
      </c>
      <c r="H108" s="3">
        <v>31402</v>
      </c>
      <c r="I108" s="3">
        <v>32100</v>
      </c>
      <c r="J108" s="3">
        <v>35109</v>
      </c>
      <c r="K108" s="3">
        <v>36485</v>
      </c>
      <c r="L108" s="3">
        <v>34369</v>
      </c>
      <c r="M108" s="3">
        <v>32827</v>
      </c>
      <c r="N108" s="3">
        <v>35581</v>
      </c>
      <c r="O108" s="3">
        <v>39416</v>
      </c>
      <c r="P108" s="3">
        <v>34966</v>
      </c>
      <c r="Q108" s="3">
        <v>35925</v>
      </c>
      <c r="R108" s="3">
        <v>37094</v>
      </c>
      <c r="S108" s="3">
        <v>39136</v>
      </c>
      <c r="T108" s="3">
        <v>36323</v>
      </c>
      <c r="U108" s="3">
        <v>34869</v>
      </c>
      <c r="V108" s="3">
        <v>36214</v>
      </c>
      <c r="W108" s="10">
        <v>38212</v>
      </c>
      <c r="X108" s="6">
        <v>9.2237002195472151E-3</v>
      </c>
      <c r="Y108" s="6">
        <v>-7.1121647651504194E-3</v>
      </c>
      <c r="Z108" s="6">
        <v>-5.9692583196537807E-3</v>
      </c>
      <c r="AA108" s="6">
        <v>-6.3053595556222808E-3</v>
      </c>
    </row>
    <row r="109" spans="2:27">
      <c r="B109" s="30">
        <v>7839</v>
      </c>
      <c r="C109" s="2" t="s">
        <v>374</v>
      </c>
      <c r="D109" s="9" t="str">
        <f>VLOOKUP(B109,기업리스트!$B:$G,2,FALSE)</f>
        <v>Shoei Co., Ltd.</v>
      </c>
      <c r="E109" s="2" t="s">
        <v>363</v>
      </c>
      <c r="F109" s="4">
        <v>-1</v>
      </c>
      <c r="G109" s="3">
        <v>7350</v>
      </c>
      <c r="H109" s="3">
        <v>6089</v>
      </c>
      <c r="I109" s="3">
        <v>7694</v>
      </c>
      <c r="J109" s="3">
        <v>7820</v>
      </c>
      <c r="K109" s="3">
        <v>8117</v>
      </c>
      <c r="L109" s="3">
        <v>7099</v>
      </c>
      <c r="M109" s="3">
        <v>9375</v>
      </c>
      <c r="N109" s="3">
        <v>9025</v>
      </c>
      <c r="O109" s="3">
        <v>8145</v>
      </c>
      <c r="P109" s="3">
        <v>8309</v>
      </c>
      <c r="Q109" s="3">
        <v>9042</v>
      </c>
      <c r="R109" s="3">
        <v>10294</v>
      </c>
      <c r="S109" s="3">
        <v>7838</v>
      </c>
      <c r="T109" s="3">
        <v>6724</v>
      </c>
      <c r="U109" s="3">
        <v>8371</v>
      </c>
      <c r="V109" s="3">
        <v>9430</v>
      </c>
      <c r="W109" s="10">
        <v>7513</v>
      </c>
      <c r="X109" s="6">
        <v>-4.4669278245920603E-2</v>
      </c>
      <c r="Y109" s="6">
        <v>-1.979467815210334E-2</v>
      </c>
      <c r="Z109" s="6">
        <v>-2.600294940861347E-2</v>
      </c>
      <c r="AA109" s="6">
        <v>-1.0042332293050739E-2</v>
      </c>
    </row>
    <row r="110" spans="2:27">
      <c r="B110" s="30">
        <v>8309</v>
      </c>
      <c r="C110" s="2" t="s">
        <v>374</v>
      </c>
      <c r="D110" s="9" t="str">
        <f>VLOOKUP(B110,기업리스트!$B:$G,2,FALSE)</f>
        <v>Sumitomo Mitsui Trust Group, Inc.</v>
      </c>
      <c r="E110" s="2" t="s">
        <v>360</v>
      </c>
      <c r="F110" s="4">
        <v>-1.2</v>
      </c>
      <c r="G110" s="3">
        <v>244443</v>
      </c>
      <c r="H110" s="3">
        <v>280968</v>
      </c>
      <c r="I110" s="3">
        <v>300784</v>
      </c>
      <c r="J110" s="3">
        <v>293634</v>
      </c>
      <c r="K110" s="3">
        <v>280820</v>
      </c>
      <c r="L110" s="3">
        <v>301263</v>
      </c>
      <c r="M110" s="3">
        <v>264537</v>
      </c>
      <c r="N110" s="3">
        <v>237908</v>
      </c>
      <c r="O110" s="3">
        <v>224805</v>
      </c>
      <c r="P110" s="3">
        <v>289379</v>
      </c>
      <c r="Q110" s="3">
        <v>344202</v>
      </c>
      <c r="R110" s="3">
        <v>324442</v>
      </c>
      <c r="S110" s="5">
        <v>422885</v>
      </c>
      <c r="T110" s="3">
        <v>418095</v>
      </c>
      <c r="U110" s="3">
        <v>369617</v>
      </c>
      <c r="V110" s="3">
        <v>377896</v>
      </c>
      <c r="W110" s="10">
        <v>403855</v>
      </c>
      <c r="X110" s="6">
        <v>9.3211133544016E-2</v>
      </c>
      <c r="Y110" s="6">
        <v>1.6835317933472149E-2</v>
      </c>
      <c r="Z110" s="6">
        <v>3.4822568025958837E-2</v>
      </c>
      <c r="AA110" s="6">
        <v>-1.197990800085369E-2</v>
      </c>
    </row>
    <row r="111" spans="2:27">
      <c r="B111" s="30">
        <v>4816</v>
      </c>
      <c r="C111" s="2" t="s">
        <v>374</v>
      </c>
      <c r="D111" s="9" t="str">
        <f>VLOOKUP(B111,기업리스트!$B:$G,2,FALSE)</f>
        <v>Toei Animation Co.,Ltd.</v>
      </c>
      <c r="E111" s="2" t="s">
        <v>360</v>
      </c>
      <c r="F111" s="4">
        <v>-1.6</v>
      </c>
      <c r="G111" s="3">
        <v>12782</v>
      </c>
      <c r="H111" s="3">
        <v>14498</v>
      </c>
      <c r="I111" s="3">
        <v>18061</v>
      </c>
      <c r="J111" s="3">
        <v>24389</v>
      </c>
      <c r="K111" s="5">
        <v>22614</v>
      </c>
      <c r="L111" s="3">
        <v>22393</v>
      </c>
      <c r="M111" s="3">
        <v>19884</v>
      </c>
      <c r="N111" s="3">
        <v>26300</v>
      </c>
      <c r="O111" s="3">
        <v>20933</v>
      </c>
      <c r="P111" s="3">
        <v>21537</v>
      </c>
      <c r="Q111" s="3">
        <v>23059</v>
      </c>
      <c r="R111" s="3">
        <v>25905</v>
      </c>
      <c r="S111" s="3">
        <v>23736</v>
      </c>
      <c r="T111" s="3">
        <v>28136</v>
      </c>
      <c r="U111" s="3">
        <v>19488</v>
      </c>
      <c r="V111" s="3">
        <v>25466</v>
      </c>
      <c r="W111" s="10">
        <v>22187</v>
      </c>
      <c r="X111" s="6">
        <v>7.0025573819200604E-2</v>
      </c>
      <c r="Y111" s="6">
        <v>-3.5413939466063749E-2</v>
      </c>
      <c r="Z111" s="6">
        <v>-4.5134426566596497E-3</v>
      </c>
      <c r="AA111" s="6">
        <v>-1.599776919422469E-2</v>
      </c>
    </row>
    <row r="112" spans="2:27">
      <c r="B112" s="30">
        <v>9504</v>
      </c>
      <c r="C112" s="2" t="s">
        <v>374</v>
      </c>
      <c r="D112" s="9" t="str">
        <f>VLOOKUP(B112,기업리스트!$B:$G,2,FALSE)</f>
        <v>The Chugoku Electric Power Co., Inc.</v>
      </c>
      <c r="E112" s="2" t="s">
        <v>360</v>
      </c>
      <c r="F112" s="4">
        <v>-1.6</v>
      </c>
      <c r="G112" s="3">
        <v>277589</v>
      </c>
      <c r="H112" s="3">
        <v>373574</v>
      </c>
      <c r="I112" s="3">
        <v>314753</v>
      </c>
      <c r="J112" s="3">
        <v>435021</v>
      </c>
      <c r="K112" s="5">
        <v>430113</v>
      </c>
      <c r="L112" s="3">
        <v>514715</v>
      </c>
      <c r="M112" s="3">
        <v>401078</v>
      </c>
      <c r="N112" s="3">
        <v>440469</v>
      </c>
      <c r="O112" s="3">
        <v>363281</v>
      </c>
      <c r="P112" s="3">
        <v>423957</v>
      </c>
      <c r="Q112" s="3">
        <v>330344</v>
      </c>
      <c r="R112" s="3">
        <v>411562</v>
      </c>
      <c r="S112" s="3">
        <v>354505</v>
      </c>
      <c r="T112" s="3">
        <v>432807</v>
      </c>
      <c r="U112" s="3">
        <v>329562</v>
      </c>
      <c r="V112" s="3">
        <v>396702</v>
      </c>
      <c r="W112" s="10">
        <v>329755</v>
      </c>
      <c r="X112" s="6">
        <v>5.8209591362090576E-3</v>
      </c>
      <c r="Y112" s="6">
        <v>-5.1137247926713592E-4</v>
      </c>
      <c r="Z112" s="6">
        <v>-9.7223567097346475E-3</v>
      </c>
      <c r="AA112" s="6">
        <v>-1.6352003467285381E-2</v>
      </c>
    </row>
    <row r="113" spans="2:27">
      <c r="B113" s="30">
        <v>9508</v>
      </c>
      <c r="C113" s="2" t="s">
        <v>374</v>
      </c>
      <c r="D113" s="9" t="str">
        <f>VLOOKUP(B113,기업리스트!$B:$G,2,FALSE)</f>
        <v>Kyushu Electric Power Company, Incorporated</v>
      </c>
      <c r="E113" s="2" t="s">
        <v>360</v>
      </c>
      <c r="F113" s="4">
        <v>-1.8</v>
      </c>
      <c r="G113" s="3">
        <v>425296</v>
      </c>
      <c r="H113" s="3">
        <v>546513</v>
      </c>
      <c r="I113" s="3">
        <v>436719</v>
      </c>
      <c r="J113" s="3">
        <v>573963</v>
      </c>
      <c r="K113" s="3">
        <v>556828</v>
      </c>
      <c r="L113" s="3">
        <v>653790</v>
      </c>
      <c r="M113" s="3">
        <v>496524</v>
      </c>
      <c r="N113" s="3">
        <v>588792</v>
      </c>
      <c r="O113" s="3">
        <v>498075</v>
      </c>
      <c r="P113" s="3">
        <v>556056</v>
      </c>
      <c r="Q113" s="3">
        <v>501179</v>
      </c>
      <c r="R113" s="3">
        <v>650013</v>
      </c>
      <c r="S113" s="3">
        <v>564156</v>
      </c>
      <c r="T113" s="3">
        <v>641485</v>
      </c>
      <c r="U113" s="3">
        <v>498334</v>
      </c>
      <c r="V113" s="3">
        <v>629465</v>
      </c>
      <c r="W113" s="10">
        <v>521543</v>
      </c>
      <c r="X113" s="6">
        <v>3.7610658429764188E-2</v>
      </c>
      <c r="Y113" s="6">
        <v>-1.2071283794821139E-3</v>
      </c>
      <c r="Z113" s="6">
        <v>-8.7290164605766662E-3</v>
      </c>
      <c r="AA113" s="6">
        <v>-1.8261879456939131E-2</v>
      </c>
    </row>
    <row r="114" spans="2:27">
      <c r="B114" s="30">
        <v>7595</v>
      </c>
      <c r="C114" s="2" t="s">
        <v>374</v>
      </c>
      <c r="D114" s="9" t="str">
        <f>VLOOKUP(B114,기업리스트!$B:$G,2,FALSE)</f>
        <v>ARGO GRAPHICS Inc.</v>
      </c>
      <c r="E114" s="2" t="s">
        <v>360</v>
      </c>
      <c r="F114" s="4">
        <v>-1.8</v>
      </c>
      <c r="G114" s="3">
        <v>9909</v>
      </c>
      <c r="H114" s="3">
        <v>12844</v>
      </c>
      <c r="I114" s="3">
        <v>14056</v>
      </c>
      <c r="J114" s="3">
        <v>10978</v>
      </c>
      <c r="K114" s="3">
        <v>10867</v>
      </c>
      <c r="L114" s="3">
        <v>17444</v>
      </c>
      <c r="M114" s="3">
        <v>14461</v>
      </c>
      <c r="N114" s="3">
        <v>13905</v>
      </c>
      <c r="O114" s="3">
        <v>13820</v>
      </c>
      <c r="P114" s="3">
        <v>17325</v>
      </c>
      <c r="Q114" s="3">
        <v>18007</v>
      </c>
      <c r="R114" s="3">
        <v>15608</v>
      </c>
      <c r="S114" s="3">
        <v>16394</v>
      </c>
      <c r="T114" s="3">
        <v>19532</v>
      </c>
      <c r="U114" s="3">
        <v>16756</v>
      </c>
      <c r="V114" s="3">
        <v>17024</v>
      </c>
      <c r="W114" s="10">
        <v>15113</v>
      </c>
      <c r="X114" s="6">
        <v>3.2776903198978191E-2</v>
      </c>
      <c r="Y114" s="6">
        <v>-1.7989387555542798E-2</v>
      </c>
      <c r="Z114" s="6">
        <v>2.0735100307512019E-2</v>
      </c>
      <c r="AA114" s="6">
        <v>-1.8377184173528849E-2</v>
      </c>
    </row>
    <row r="115" spans="2:27">
      <c r="B115" s="30">
        <v>4216</v>
      </c>
      <c r="C115" s="2" t="s">
        <v>374</v>
      </c>
      <c r="D115" s="9" t="str">
        <f>VLOOKUP(B115,기업리스트!$B:$G,2,FALSE)</f>
        <v>Asahi Yukizai Corporation</v>
      </c>
      <c r="E115" s="2" t="s">
        <v>360</v>
      </c>
      <c r="F115" s="4">
        <v>-1.9</v>
      </c>
      <c r="G115" s="3">
        <v>17805</v>
      </c>
      <c r="H115" s="3">
        <v>17495</v>
      </c>
      <c r="I115" s="3">
        <v>16764</v>
      </c>
      <c r="J115" s="3">
        <v>19174</v>
      </c>
      <c r="K115" s="3">
        <v>20441</v>
      </c>
      <c r="L115" s="3">
        <v>20720</v>
      </c>
      <c r="M115" s="3">
        <v>21037</v>
      </c>
      <c r="N115" s="3">
        <v>22807</v>
      </c>
      <c r="O115" s="3">
        <v>22252</v>
      </c>
      <c r="P115" s="3">
        <v>21330</v>
      </c>
      <c r="Q115" s="3">
        <v>20229</v>
      </c>
      <c r="R115" s="3">
        <v>21501</v>
      </c>
      <c r="S115" s="3">
        <v>21445</v>
      </c>
      <c r="T115" s="3">
        <v>21987</v>
      </c>
      <c r="U115" s="3">
        <v>20009</v>
      </c>
      <c r="V115" s="3">
        <v>19834</v>
      </c>
      <c r="W115" s="10">
        <v>19832</v>
      </c>
      <c r="X115" s="6">
        <v>7.7746878882907211E-3</v>
      </c>
      <c r="Y115" s="6">
        <v>-2.5833118057348998E-3</v>
      </c>
      <c r="Z115" s="6">
        <v>-1.9625155988792331E-2</v>
      </c>
      <c r="AA115" s="6">
        <v>-1.936955869108381E-2</v>
      </c>
    </row>
    <row r="116" spans="2:27">
      <c r="B116" s="30">
        <v>9513</v>
      </c>
      <c r="C116" s="2" t="s">
        <v>374</v>
      </c>
      <c r="D116" s="9" t="str">
        <f>VLOOKUP(B116,기업리스트!$B:$G,2,FALSE)</f>
        <v>Electric Power Development Co., Ltd.</v>
      </c>
      <c r="E116" s="2" t="s">
        <v>360</v>
      </c>
      <c r="F116" s="4">
        <v>-2</v>
      </c>
      <c r="G116" s="3">
        <v>277702</v>
      </c>
      <c r="H116" s="3">
        <v>375108</v>
      </c>
      <c r="I116" s="3">
        <v>323319</v>
      </c>
      <c r="J116" s="3">
        <v>516479</v>
      </c>
      <c r="K116" s="5">
        <v>561756</v>
      </c>
      <c r="L116" s="3">
        <v>440368</v>
      </c>
      <c r="M116" s="3">
        <v>281381</v>
      </c>
      <c r="N116" s="3">
        <v>350212</v>
      </c>
      <c r="O116" s="3">
        <v>329248</v>
      </c>
      <c r="P116" s="3">
        <v>297156</v>
      </c>
      <c r="Q116" s="3">
        <v>259055</v>
      </c>
      <c r="R116" s="3">
        <v>381670</v>
      </c>
      <c r="S116" s="3">
        <v>318234</v>
      </c>
      <c r="T116" s="3">
        <v>357715</v>
      </c>
      <c r="U116" s="3">
        <v>250295</v>
      </c>
      <c r="V116" s="3">
        <v>321119</v>
      </c>
      <c r="W116" s="10">
        <v>293145</v>
      </c>
      <c r="X116" s="6">
        <v>4.8211350075431092E-2</v>
      </c>
      <c r="Y116" s="6">
        <v>-6.6531275015683233E-3</v>
      </c>
      <c r="Z116" s="6">
        <v>-4.629585737288533E-2</v>
      </c>
      <c r="AA116" s="6">
        <v>-2.0113631717471159E-2</v>
      </c>
    </row>
    <row r="117" spans="2:27">
      <c r="B117" s="30">
        <v>9506</v>
      </c>
      <c r="C117" s="2" t="s">
        <v>374</v>
      </c>
      <c r="D117" s="9" t="str">
        <f>VLOOKUP(B117,기업리스트!$B:$G,2,FALSE)</f>
        <v>Tohoku Electric Power Company, Incorporated</v>
      </c>
      <c r="E117" s="2" t="s">
        <v>360</v>
      </c>
      <c r="F117" s="4">
        <v>-2</v>
      </c>
      <c r="G117" s="3">
        <v>525824</v>
      </c>
      <c r="H117" s="3">
        <v>705493</v>
      </c>
      <c r="I117" s="3">
        <v>558290</v>
      </c>
      <c r="J117" s="3">
        <v>781425</v>
      </c>
      <c r="K117" s="5">
        <v>792725</v>
      </c>
      <c r="L117" s="3">
        <v>874764</v>
      </c>
      <c r="M117" s="3">
        <v>633576</v>
      </c>
      <c r="N117" s="3">
        <v>754259</v>
      </c>
      <c r="O117" s="3">
        <v>668480</v>
      </c>
      <c r="P117" s="3">
        <v>761498</v>
      </c>
      <c r="Q117" s="3">
        <v>614563</v>
      </c>
      <c r="R117" s="3">
        <v>697010</v>
      </c>
      <c r="S117" s="3">
        <v>608863</v>
      </c>
      <c r="T117" s="3">
        <v>724476</v>
      </c>
      <c r="U117" s="3">
        <v>535380</v>
      </c>
      <c r="V117" s="3">
        <v>633576</v>
      </c>
      <c r="W117" s="10">
        <v>558272</v>
      </c>
      <c r="X117" s="6">
        <v>-1.3804217404306041E-2</v>
      </c>
      <c r="Y117" s="6">
        <v>-2.993785804593874E-2</v>
      </c>
      <c r="Z117" s="6">
        <v>-2.472357758750043E-2</v>
      </c>
      <c r="AA117" s="6">
        <v>-2.0217840022858979E-2</v>
      </c>
    </row>
    <row r="118" spans="2:27">
      <c r="B118" s="30">
        <v>9509</v>
      </c>
      <c r="C118" s="2" t="s">
        <v>374</v>
      </c>
      <c r="D118" s="9" t="str">
        <f>VLOOKUP(B118,기업리스트!$B:$G,2,FALSE)</f>
        <v>Hokkaido Electric Power Company, Incorporated</v>
      </c>
      <c r="E118" s="2" t="s">
        <v>360</v>
      </c>
      <c r="F118" s="4">
        <v>-2.7</v>
      </c>
      <c r="G118" s="3">
        <v>167735</v>
      </c>
      <c r="H118" s="3">
        <v>222210</v>
      </c>
      <c r="I118" s="3">
        <v>176029</v>
      </c>
      <c r="J118" s="3">
        <v>210824</v>
      </c>
      <c r="K118" s="3">
        <v>236994</v>
      </c>
      <c r="L118" s="3">
        <v>265027</v>
      </c>
      <c r="M118" s="3">
        <v>227791</v>
      </c>
      <c r="N118" s="3">
        <v>230788</v>
      </c>
      <c r="O118" s="3">
        <v>227002</v>
      </c>
      <c r="P118" s="3">
        <v>268203</v>
      </c>
      <c r="Q118" s="3">
        <v>202569</v>
      </c>
      <c r="R118" s="3">
        <v>214141</v>
      </c>
      <c r="S118" s="3">
        <v>229693</v>
      </c>
      <c r="T118" s="3">
        <v>255650</v>
      </c>
      <c r="U118" s="3">
        <v>202497</v>
      </c>
      <c r="V118" s="3">
        <v>209454</v>
      </c>
      <c r="W118" s="10">
        <v>205752</v>
      </c>
      <c r="X118" s="6">
        <v>-1.3725035698431859E-2</v>
      </c>
      <c r="Y118" s="6">
        <v>-7.9817926441183573E-5</v>
      </c>
      <c r="Z118" s="6">
        <v>-5.1963400559434936E-3</v>
      </c>
      <c r="AA118" s="6">
        <v>-2.668133298562125E-2</v>
      </c>
    </row>
    <row r="119" spans="2:27">
      <c r="B119" s="30">
        <v>9507</v>
      </c>
      <c r="C119" s="2" t="s">
        <v>374</v>
      </c>
      <c r="D119" s="9" t="str">
        <f>VLOOKUP(B119,기업리스트!$B:$G,2,FALSE)</f>
        <v>Shikoku Electric Power Company, Incorporated</v>
      </c>
      <c r="E119" s="2" t="s">
        <v>360</v>
      </c>
      <c r="F119" s="4">
        <v>-2.8</v>
      </c>
      <c r="G119" s="3">
        <v>162778</v>
      </c>
      <c r="H119" s="3">
        <v>208929</v>
      </c>
      <c r="I119" s="3">
        <v>166678</v>
      </c>
      <c r="J119" s="3">
        <v>235444</v>
      </c>
      <c r="K119" s="3">
        <v>202540</v>
      </c>
      <c r="L119" s="3">
        <v>228541</v>
      </c>
      <c r="M119" s="3">
        <v>181086</v>
      </c>
      <c r="N119" s="3">
        <v>219771</v>
      </c>
      <c r="O119" s="3">
        <v>177269</v>
      </c>
      <c r="P119" s="3">
        <v>209277</v>
      </c>
      <c r="Q119" s="3">
        <v>186854</v>
      </c>
      <c r="R119" s="3">
        <v>231526</v>
      </c>
      <c r="S119" s="3">
        <v>199610</v>
      </c>
      <c r="T119" s="3">
        <v>233409</v>
      </c>
      <c r="U119" s="3">
        <v>192435</v>
      </c>
      <c r="V119" s="3">
        <v>209226</v>
      </c>
      <c r="W119" s="10">
        <v>176160</v>
      </c>
      <c r="X119" s="6">
        <v>2.9170751401905282E-2</v>
      </c>
      <c r="Y119" s="6">
        <v>6.5550934403257877E-3</v>
      </c>
      <c r="Z119" s="6">
        <v>-2.6021610772713481E-2</v>
      </c>
      <c r="AA119" s="6">
        <v>-2.8094599127809431E-2</v>
      </c>
    </row>
    <row r="120" spans="2:27">
      <c r="B120" s="30">
        <v>9301</v>
      </c>
      <c r="C120" s="2" t="s">
        <v>374</v>
      </c>
      <c r="D120" s="9" t="str">
        <f>VLOOKUP(B120,기업리스트!$B:$G,2,FALSE)</f>
        <v>Mitsubishi Logistics Corporation</v>
      </c>
      <c r="E120" s="2" t="s">
        <v>360</v>
      </c>
      <c r="F120" s="4">
        <v>-3.6</v>
      </c>
      <c r="G120" s="3">
        <v>66910</v>
      </c>
      <c r="H120" s="3">
        <v>72688</v>
      </c>
      <c r="I120" s="3">
        <v>76187</v>
      </c>
      <c r="J120" s="3">
        <v>78079</v>
      </c>
      <c r="K120" s="3">
        <v>77721</v>
      </c>
      <c r="L120" s="3">
        <v>68607</v>
      </c>
      <c r="M120" s="3">
        <v>63215</v>
      </c>
      <c r="N120" s="3">
        <v>62545</v>
      </c>
      <c r="O120" s="3">
        <v>66692</v>
      </c>
      <c r="P120" s="3">
        <v>62055</v>
      </c>
      <c r="Q120" s="3">
        <v>65877</v>
      </c>
      <c r="R120" s="3">
        <v>69013</v>
      </c>
      <c r="S120" s="3">
        <v>79355</v>
      </c>
      <c r="T120" s="3">
        <v>69824</v>
      </c>
      <c r="U120" s="3">
        <v>68562</v>
      </c>
      <c r="V120" s="3">
        <v>67554</v>
      </c>
      <c r="W120" s="10">
        <v>68973</v>
      </c>
      <c r="X120" s="6">
        <v>2.8117987694534999E-2</v>
      </c>
      <c r="Y120" s="6">
        <v>9.4519289327592571E-3</v>
      </c>
      <c r="Z120" s="6">
        <v>-5.0879848232282532E-3</v>
      </c>
      <c r="AA120" s="6">
        <v>-3.6390402916279603E-2</v>
      </c>
    </row>
    <row r="121" spans="2:27">
      <c r="B121" s="30">
        <v>7735</v>
      </c>
      <c r="C121" s="2" t="s">
        <v>374</v>
      </c>
      <c r="D121" s="9" t="str">
        <f>VLOOKUP(B121,기업리스트!$B:$G,2,FALSE)</f>
        <v>SCREEN Holdings Co., Ltd.</v>
      </c>
      <c r="E121" s="2" t="s">
        <v>360</v>
      </c>
      <c r="F121" s="4">
        <v>-5.0999999999999996</v>
      </c>
      <c r="G121" s="3">
        <v>103901</v>
      </c>
      <c r="H121" s="3">
        <v>120758</v>
      </c>
      <c r="I121" s="3">
        <v>101826</v>
      </c>
      <c r="J121" s="3">
        <v>116578</v>
      </c>
      <c r="K121" s="3">
        <v>116839</v>
      </c>
      <c r="L121" s="3">
        <v>125591</v>
      </c>
      <c r="M121" s="3">
        <v>99690</v>
      </c>
      <c r="N121" s="3">
        <v>123570</v>
      </c>
      <c r="O121" s="3">
        <v>124571</v>
      </c>
      <c r="P121" s="3">
        <v>157085</v>
      </c>
      <c r="Q121" s="3">
        <v>134217</v>
      </c>
      <c r="R121" s="3">
        <v>143182</v>
      </c>
      <c r="S121" s="5">
        <v>182565</v>
      </c>
      <c r="T121" s="3">
        <v>165305</v>
      </c>
      <c r="U121" s="3">
        <v>135785</v>
      </c>
      <c r="V121" s="3">
        <v>138514</v>
      </c>
      <c r="W121" s="10">
        <v>151053</v>
      </c>
      <c r="X121" s="6">
        <v>1.3321470418070641E-2</v>
      </c>
      <c r="Y121" s="6">
        <v>2.5077206770205418E-3</v>
      </c>
      <c r="Z121" s="6">
        <v>-7.4469120361433383E-3</v>
      </c>
      <c r="AA121" s="6">
        <v>-5.0648617980002197E-2</v>
      </c>
    </row>
    <row r="122" spans="2:27">
      <c r="B122" s="30">
        <v>6080</v>
      </c>
      <c r="C122" s="2" t="s">
        <v>374</v>
      </c>
      <c r="D122" s="9" t="str">
        <f>VLOOKUP(B122,기업리스트!$B:$G,2,FALSE)</f>
        <v>M&amp;A Capital Partners Co.,Ltd.</v>
      </c>
      <c r="E122" s="2" t="s">
        <v>363</v>
      </c>
      <c r="F122" s="4">
        <v>-6.4</v>
      </c>
      <c r="G122" s="3">
        <v>5105</v>
      </c>
      <c r="H122" s="3">
        <v>3867</v>
      </c>
      <c r="I122" s="3">
        <v>5183</v>
      </c>
      <c r="J122" s="3">
        <v>6551</v>
      </c>
      <c r="K122" s="3">
        <v>3100</v>
      </c>
      <c r="L122" s="5">
        <v>9903</v>
      </c>
      <c r="M122" s="3">
        <v>2985</v>
      </c>
      <c r="N122" s="3">
        <v>4863</v>
      </c>
      <c r="O122" s="3">
        <v>3156</v>
      </c>
      <c r="P122" s="3">
        <v>4091</v>
      </c>
      <c r="Q122" s="3">
        <v>4269</v>
      </c>
      <c r="R122" s="5">
        <v>7650</v>
      </c>
      <c r="S122" s="5">
        <v>7317</v>
      </c>
      <c r="T122" s="3">
        <v>4149</v>
      </c>
      <c r="U122" s="3">
        <v>4793</v>
      </c>
      <c r="V122" s="3">
        <v>6188</v>
      </c>
      <c r="W122" s="10">
        <v>5876</v>
      </c>
      <c r="X122" s="6">
        <v>2.486389162772662E-3</v>
      </c>
      <c r="Y122" s="6">
        <v>2.2407526192003369E-2</v>
      </c>
      <c r="Z122" s="6">
        <v>-6.1148521477268007E-2</v>
      </c>
      <c r="AA122" s="6">
        <v>-6.4195660890096651E-2</v>
      </c>
    </row>
    <row r="123" spans="2:27">
      <c r="B123" s="30">
        <v>6920</v>
      </c>
      <c r="C123" s="2" t="s">
        <v>374</v>
      </c>
      <c r="D123" s="9" t="str">
        <f>VLOOKUP(B123,기업리스트!$B:$G,2,FALSE)</f>
        <v>Lasertec Corporation</v>
      </c>
      <c r="E123" s="2" t="s">
        <v>356</v>
      </c>
      <c r="F123" s="4">
        <v>-6.7</v>
      </c>
      <c r="G123" s="3">
        <v>27819</v>
      </c>
      <c r="H123" s="3">
        <v>16636</v>
      </c>
      <c r="I123" s="3">
        <v>36813</v>
      </c>
      <c r="J123" s="3">
        <v>25723</v>
      </c>
      <c r="K123" s="3">
        <v>29377</v>
      </c>
      <c r="L123" s="3">
        <v>24330</v>
      </c>
      <c r="M123" s="5">
        <v>73402</v>
      </c>
      <c r="N123" s="5">
        <v>47305</v>
      </c>
      <c r="O123" s="5">
        <v>47684</v>
      </c>
      <c r="P123" s="5">
        <v>62213</v>
      </c>
      <c r="Q123" s="3">
        <v>56304</v>
      </c>
      <c r="R123" s="3">
        <v>36737</v>
      </c>
      <c r="S123" s="5">
        <v>92231</v>
      </c>
      <c r="T123" s="3">
        <v>39867</v>
      </c>
      <c r="U123" s="5">
        <v>82642</v>
      </c>
      <c r="V123" s="3">
        <v>54171</v>
      </c>
      <c r="W123" s="10">
        <v>74087</v>
      </c>
      <c r="X123" s="6">
        <v>-9.0292340949956529E-2</v>
      </c>
      <c r="Y123" s="7">
        <v>0.116985506731397</v>
      </c>
      <c r="Z123" s="6">
        <v>6.9326419513514148E-2</v>
      </c>
      <c r="AA123" s="6">
        <v>-6.747213762174098E-2</v>
      </c>
    </row>
    <row r="124" spans="2:27">
      <c r="B124" s="30">
        <v>8871</v>
      </c>
      <c r="C124" s="2" t="s">
        <v>374</v>
      </c>
      <c r="D124" s="9" t="str">
        <f>VLOOKUP(B124,기업리스트!$B:$G,2,FALSE)</f>
        <v>GOLDCREST Co.,Ltd.</v>
      </c>
      <c r="E124" s="2" t="s">
        <v>360</v>
      </c>
      <c r="F124" s="4">
        <v>-11.5</v>
      </c>
      <c r="G124" s="3">
        <v>20943</v>
      </c>
      <c r="H124" s="3">
        <v>4153</v>
      </c>
      <c r="I124" s="3">
        <v>15029</v>
      </c>
      <c r="J124" s="3">
        <v>4969</v>
      </c>
      <c r="K124" s="3">
        <v>3449</v>
      </c>
      <c r="L124" s="3">
        <v>4006</v>
      </c>
      <c r="M124" s="3">
        <v>2533</v>
      </c>
      <c r="N124" s="3">
        <v>3754</v>
      </c>
      <c r="O124" s="5">
        <v>6496</v>
      </c>
      <c r="P124" s="5">
        <v>12062</v>
      </c>
      <c r="Q124" s="5">
        <v>6741</v>
      </c>
      <c r="R124" s="5">
        <v>6967</v>
      </c>
      <c r="S124" s="5">
        <v>10544</v>
      </c>
      <c r="T124" s="3">
        <v>5042</v>
      </c>
      <c r="U124" s="5">
        <v>10758</v>
      </c>
      <c r="V124" s="3">
        <v>5238</v>
      </c>
      <c r="W124" s="10">
        <v>6917</v>
      </c>
      <c r="X124" s="6">
        <v>-0.1933138734372418</v>
      </c>
      <c r="Y124" s="7">
        <v>0.1371270567351677</v>
      </c>
      <c r="Z124" s="6">
        <v>-5.190477620005407E-2</v>
      </c>
      <c r="AA124" s="6">
        <v>-0.1148438984231525</v>
      </c>
    </row>
    <row r="125" spans="2:27">
      <c r="B125" s="30">
        <v>6104</v>
      </c>
      <c r="C125" s="2" t="s">
        <v>374</v>
      </c>
      <c r="D125" s="9" t="str">
        <f>VLOOKUP(B125,기업리스트!$B:$G,2,FALSE)</f>
        <v>Shibaura Machine Co.,Ltd.</v>
      </c>
      <c r="E125" s="2" t="s">
        <v>360</v>
      </c>
      <c r="F125" s="4">
        <v>-14.2</v>
      </c>
      <c r="G125" s="3">
        <v>24500</v>
      </c>
      <c r="H125" s="3">
        <v>29580</v>
      </c>
      <c r="I125" s="3">
        <v>26484</v>
      </c>
      <c r="J125" s="3">
        <v>32468</v>
      </c>
      <c r="K125" s="3">
        <v>29614</v>
      </c>
      <c r="L125" s="3">
        <v>34631</v>
      </c>
      <c r="M125" s="3">
        <v>34754</v>
      </c>
      <c r="N125" s="5">
        <v>47161</v>
      </c>
      <c r="O125" s="3">
        <v>27633</v>
      </c>
      <c r="P125" s="5">
        <v>51105</v>
      </c>
      <c r="Q125" s="3">
        <v>42374</v>
      </c>
      <c r="R125" s="3">
        <v>44449</v>
      </c>
      <c r="S125" s="5">
        <v>46255</v>
      </c>
      <c r="T125" s="3">
        <v>35113</v>
      </c>
      <c r="U125" s="3">
        <v>30977</v>
      </c>
      <c r="V125" s="3">
        <v>36663</v>
      </c>
      <c r="W125" s="10">
        <v>25079</v>
      </c>
      <c r="X125" s="6">
        <v>-8.682668867376464E-2</v>
      </c>
      <c r="Y125" s="6">
        <v>-6.7762246493569767E-2</v>
      </c>
      <c r="Z125" s="6">
        <v>-4.9657512404811421E-2</v>
      </c>
      <c r="AA125" s="6">
        <v>-0.14211317513153651</v>
      </c>
    </row>
    <row r="126" spans="2:27">
      <c r="B126" s="30">
        <v>3189</v>
      </c>
      <c r="C126" s="2" t="s">
        <v>374</v>
      </c>
      <c r="D126" s="9" t="str">
        <f>VLOOKUP(B126,기업리스트!$B:$G,2,FALSE)</f>
        <v>Kinsus Interconnect Technology Corp.</v>
      </c>
      <c r="E126" s="2" t="s">
        <v>363</v>
      </c>
      <c r="F126" s="4">
        <v>-16.8</v>
      </c>
      <c r="G126" s="3">
        <v>1561</v>
      </c>
      <c r="H126" s="3">
        <v>1439</v>
      </c>
      <c r="I126" s="3">
        <v>1193</v>
      </c>
      <c r="J126" s="3">
        <v>1210</v>
      </c>
      <c r="K126" s="3">
        <v>1236</v>
      </c>
      <c r="L126" s="3">
        <v>1283</v>
      </c>
      <c r="M126" s="3">
        <v>1152</v>
      </c>
      <c r="N126" s="3">
        <v>1393</v>
      </c>
      <c r="O126" s="3">
        <v>1231</v>
      </c>
      <c r="P126" s="3">
        <v>1022</v>
      </c>
      <c r="Q126" s="3">
        <v>1152</v>
      </c>
      <c r="R126" s="3">
        <v>991</v>
      </c>
      <c r="S126" s="3">
        <v>1051</v>
      </c>
      <c r="T126" s="3">
        <v>852</v>
      </c>
      <c r="U126" s="3">
        <v>435</v>
      </c>
      <c r="V126" s="3">
        <v>757</v>
      </c>
      <c r="W126" s="10">
        <v>531</v>
      </c>
      <c r="X126" s="6">
        <v>-4.0322580645161248E-2</v>
      </c>
      <c r="Y126" s="6">
        <v>-0.17721206129510619</v>
      </c>
      <c r="Z126" s="6">
        <v>-7.0291378792430192E-2</v>
      </c>
      <c r="AA126" s="6">
        <v>-0.1680129240710824</v>
      </c>
    </row>
    <row r="127" spans="2:27">
      <c r="B127" s="30">
        <v>8892</v>
      </c>
      <c r="C127" s="2" t="s">
        <v>374</v>
      </c>
      <c r="D127" s="9" t="str">
        <f>VLOOKUP(B127,기업리스트!$B:$G,2,FALSE)</f>
        <v>ES-CON JAPAN Ltd.</v>
      </c>
      <c r="E127" s="2" t="s">
        <v>360</v>
      </c>
      <c r="F127" s="4">
        <v>-18.399999999999999</v>
      </c>
      <c r="G127" s="3">
        <v>18640</v>
      </c>
      <c r="H127" s="3">
        <v>35397</v>
      </c>
      <c r="I127" s="3">
        <v>12706</v>
      </c>
      <c r="J127" s="3">
        <v>28170</v>
      </c>
      <c r="K127" s="3">
        <v>9706</v>
      </c>
      <c r="L127" s="5">
        <v>48849</v>
      </c>
      <c r="M127" s="5">
        <v>28541</v>
      </c>
      <c r="N127" s="3">
        <v>19398</v>
      </c>
      <c r="O127" s="3">
        <v>14023</v>
      </c>
      <c r="P127" s="3">
        <v>41284</v>
      </c>
      <c r="Q127" s="3">
        <v>19098</v>
      </c>
      <c r="R127" s="3">
        <v>11938</v>
      </c>
      <c r="S127" s="5">
        <v>49410</v>
      </c>
      <c r="T127" s="3">
        <v>33157</v>
      </c>
      <c r="U127" s="3">
        <v>17581</v>
      </c>
      <c r="V127" s="3">
        <v>17600</v>
      </c>
      <c r="W127" s="10">
        <v>27743</v>
      </c>
      <c r="X127" s="6">
        <v>-6.6762507188039111E-2</v>
      </c>
      <c r="Y127" s="6">
        <v>-1.3353520593646249E-2</v>
      </c>
      <c r="Z127" s="6">
        <v>5.0514783291401237E-2</v>
      </c>
      <c r="AA127" s="6">
        <v>-0.1840116180317288</v>
      </c>
    </row>
    <row r="128" spans="2:27">
      <c r="B128" s="30">
        <v>2782</v>
      </c>
      <c r="C128" s="2" t="s">
        <v>374</v>
      </c>
      <c r="D128" s="9" t="str">
        <f>VLOOKUP(B128,기업리스트!$B:$G,2,FALSE)</f>
        <v>Seria Co., Ltd.</v>
      </c>
      <c r="E128" s="2" t="s">
        <v>360</v>
      </c>
      <c r="F128" s="4">
        <v>-30.4</v>
      </c>
      <c r="G128" s="3">
        <v>52506</v>
      </c>
      <c r="H128" s="3">
        <v>51951</v>
      </c>
      <c r="I128" s="3">
        <v>56241</v>
      </c>
      <c r="J128" s="3">
        <v>51661</v>
      </c>
      <c r="K128" s="3">
        <v>53848</v>
      </c>
      <c r="L128" s="3">
        <v>53280</v>
      </c>
      <c r="M128" s="5">
        <v>166469</v>
      </c>
      <c r="N128" s="5">
        <v>166469</v>
      </c>
      <c r="O128" s="3">
        <v>56733</v>
      </c>
      <c r="P128" s="3">
        <v>58115</v>
      </c>
      <c r="Q128" s="3">
        <v>57784</v>
      </c>
      <c r="R128" s="3">
        <v>178047</v>
      </c>
      <c r="S128" s="5">
        <v>178047</v>
      </c>
      <c r="T128" s="3">
        <v>60214</v>
      </c>
      <c r="U128" s="3">
        <v>60498</v>
      </c>
      <c r="V128" s="3">
        <v>60884</v>
      </c>
      <c r="W128" s="10">
        <v>68716</v>
      </c>
      <c r="X128" s="6">
        <v>4.4470998510570681E-3</v>
      </c>
      <c r="Y128" s="6">
        <v>5.7246272875306481E-3</v>
      </c>
      <c r="Z128" s="6">
        <v>-0.24572467628343611</v>
      </c>
      <c r="AA128" s="6">
        <v>-0.30399868758741311</v>
      </c>
    </row>
    <row r="129" spans="2:27">
      <c r="B129" s="31" t="s">
        <v>400</v>
      </c>
      <c r="C129" s="12" t="s">
        <v>376</v>
      </c>
      <c r="D129" s="13" t="str">
        <f>VLOOKUP(B129,기업리스트!$B:$G,2,FALSE)</f>
        <v>R R Kabel Limited</v>
      </c>
      <c r="E129" s="2" t="s">
        <v>360</v>
      </c>
      <c r="F129" s="14">
        <v>9.1999999999999993</v>
      </c>
      <c r="G129" s="2"/>
      <c r="H129" s="3">
        <v>13974</v>
      </c>
      <c r="I129" s="3">
        <v>12359</v>
      </c>
      <c r="J129" s="3">
        <v>13672</v>
      </c>
      <c r="K129" s="3">
        <v>14795</v>
      </c>
      <c r="L129" s="15">
        <v>15165</v>
      </c>
      <c r="M129" s="15">
        <v>15973</v>
      </c>
      <c r="N129" s="15">
        <v>16097</v>
      </c>
      <c r="O129" s="15">
        <v>16335</v>
      </c>
      <c r="P129" s="15">
        <v>17541</v>
      </c>
      <c r="Q129" s="15">
        <v>18081</v>
      </c>
      <c r="R129" s="15">
        <v>18101</v>
      </c>
      <c r="S129" s="15">
        <v>17822</v>
      </c>
      <c r="T129" s="15">
        <v>22178</v>
      </c>
      <c r="U129" s="15">
        <v>20586</v>
      </c>
      <c r="V129" s="15">
        <v>21638</v>
      </c>
      <c r="W129" s="40">
        <v>25359</v>
      </c>
      <c r="X129" s="18">
        <v>6.4812355859948267E-2</v>
      </c>
      <c r="Y129" s="18">
        <v>3.2881783098369637E-2</v>
      </c>
      <c r="Z129" s="18">
        <v>4.4950245911014493E-2</v>
      </c>
      <c r="AA129" s="18">
        <v>9.166423428682613E-2</v>
      </c>
    </row>
    <row r="130" spans="2:27">
      <c r="B130" s="30" t="s">
        <v>161</v>
      </c>
      <c r="C130" s="2" t="s">
        <v>376</v>
      </c>
      <c r="D130" s="9" t="str">
        <f>VLOOKUP(B130,기업리스트!$B:$G,2,FALSE)</f>
        <v>Motherson Sumi Wiring India Limited</v>
      </c>
      <c r="E130" s="2" t="s">
        <v>360</v>
      </c>
      <c r="F130" s="4">
        <v>5.8</v>
      </c>
      <c r="G130" s="3">
        <v>14449</v>
      </c>
      <c r="H130" s="3">
        <v>16563</v>
      </c>
      <c r="I130" s="3">
        <v>16617</v>
      </c>
      <c r="J130" s="3">
        <v>18270</v>
      </c>
      <c r="K130" s="3">
        <v>16766</v>
      </c>
      <c r="L130" s="3">
        <v>18573</v>
      </c>
      <c r="M130" s="3">
        <v>18530</v>
      </c>
      <c r="N130" s="3">
        <v>20970</v>
      </c>
      <c r="O130" s="3">
        <v>21111</v>
      </c>
      <c r="P130" s="3">
        <v>22129</v>
      </c>
      <c r="Q130" s="3">
        <v>21660</v>
      </c>
      <c r="R130" s="3">
        <v>23230</v>
      </c>
      <c r="S130" s="3">
        <v>22823</v>
      </c>
      <c r="T130" s="3">
        <v>25003</v>
      </c>
      <c r="U130" s="3">
        <v>24808</v>
      </c>
      <c r="V130" s="3">
        <v>27539</v>
      </c>
      <c r="W130" s="10">
        <v>28658</v>
      </c>
      <c r="X130" s="6">
        <v>3.1989492664900698E-2</v>
      </c>
      <c r="Y130" s="6">
        <v>3.3953147245351367E-2</v>
      </c>
      <c r="Z130" s="6">
        <v>4.4949094550613473E-2</v>
      </c>
      <c r="AA130" s="6">
        <v>5.8249228834116977E-2</v>
      </c>
    </row>
    <row r="131" spans="2:27">
      <c r="B131" s="30" t="s">
        <v>149</v>
      </c>
      <c r="C131" s="2" t="s">
        <v>376</v>
      </c>
      <c r="D131" s="9" t="str">
        <f>VLOOKUP(B131,기업리스트!$B:$G,2,FALSE)</f>
        <v>Ajanta Pharma Limited</v>
      </c>
      <c r="E131" s="2" t="s">
        <v>360</v>
      </c>
      <c r="F131" s="4">
        <v>4.5999999999999996</v>
      </c>
      <c r="G131" s="3">
        <v>8379</v>
      </c>
      <c r="H131" s="3">
        <v>8703</v>
      </c>
      <c r="I131" s="3">
        <v>9509</v>
      </c>
      <c r="J131" s="3">
        <v>9381</v>
      </c>
      <c r="K131" s="3">
        <v>9718</v>
      </c>
      <c r="L131" s="3">
        <v>8818</v>
      </c>
      <c r="M131" s="3">
        <v>10210</v>
      </c>
      <c r="N131" s="3">
        <v>10284</v>
      </c>
      <c r="O131" s="3">
        <v>11052</v>
      </c>
      <c r="P131" s="3">
        <v>10541</v>
      </c>
      <c r="Q131" s="3">
        <v>11449</v>
      </c>
      <c r="R131" s="3">
        <v>11866</v>
      </c>
      <c r="S131" s="3">
        <v>11461</v>
      </c>
      <c r="T131" s="3">
        <v>11704</v>
      </c>
      <c r="U131" s="3">
        <v>13027</v>
      </c>
      <c r="V131" s="3">
        <v>13537</v>
      </c>
      <c r="W131" s="10">
        <v>13748</v>
      </c>
      <c r="X131" s="6">
        <v>2.5663658229803321E-2</v>
      </c>
      <c r="Y131" s="6">
        <v>3.3950086058519791E-2</v>
      </c>
      <c r="Z131" s="6">
        <v>3.4770485663156991E-2</v>
      </c>
      <c r="AA131" s="6">
        <v>4.5989261798950347E-2</v>
      </c>
    </row>
    <row r="132" spans="2:27">
      <c r="B132" s="30" t="s">
        <v>220</v>
      </c>
      <c r="C132" s="2" t="s">
        <v>376</v>
      </c>
      <c r="D132" s="9" t="str">
        <f>VLOOKUP(B132,기업리스트!$B:$G,2,FALSE)</f>
        <v>Intellect Design Arena Limited</v>
      </c>
      <c r="E132" s="2" t="s">
        <v>360</v>
      </c>
      <c r="F132" s="4">
        <v>4.4000000000000004</v>
      </c>
      <c r="G132" s="3">
        <v>5083</v>
      </c>
      <c r="H132" s="3">
        <v>5094</v>
      </c>
      <c r="I132" s="3">
        <v>5413</v>
      </c>
      <c r="J132" s="3">
        <v>5275</v>
      </c>
      <c r="K132" s="3">
        <v>5469</v>
      </c>
      <c r="L132" s="3">
        <v>6155</v>
      </c>
      <c r="M132" s="3">
        <v>6394</v>
      </c>
      <c r="N132" s="3">
        <v>6190</v>
      </c>
      <c r="O132" s="3">
        <v>6343</v>
      </c>
      <c r="P132" s="3">
        <v>6137</v>
      </c>
      <c r="Q132" s="3">
        <v>6063</v>
      </c>
      <c r="R132" s="3">
        <v>5581</v>
      </c>
      <c r="S132" s="3">
        <v>6096</v>
      </c>
      <c r="T132" s="3">
        <v>7259</v>
      </c>
      <c r="U132" s="3">
        <v>7017</v>
      </c>
      <c r="V132" s="3">
        <v>7581</v>
      </c>
      <c r="W132" s="10">
        <v>7314</v>
      </c>
      <c r="X132" s="6">
        <v>4.6990827993466537E-2</v>
      </c>
      <c r="Y132" s="6">
        <v>3.8161526461058408E-2</v>
      </c>
      <c r="Z132" s="6">
        <v>7.7062381998227458E-2</v>
      </c>
      <c r="AA132" s="6">
        <v>4.3573140628912821E-2</v>
      </c>
    </row>
    <row r="133" spans="2:27">
      <c r="B133" s="30" t="s">
        <v>242</v>
      </c>
      <c r="C133" s="2" t="s">
        <v>376</v>
      </c>
      <c r="D133" s="9" t="str">
        <f>VLOOKUP(B133,기업리스트!$B:$G,2,FALSE)</f>
        <v>Jaiprakash Power Ventures Limited</v>
      </c>
      <c r="E133" s="2" t="s">
        <v>356</v>
      </c>
      <c r="F133" s="4">
        <v>4</v>
      </c>
      <c r="G133" s="3">
        <v>9019</v>
      </c>
      <c r="H133" s="3">
        <v>14014</v>
      </c>
      <c r="I133" s="3">
        <v>14062</v>
      </c>
      <c r="J133" s="3">
        <v>18204</v>
      </c>
      <c r="K133" s="3">
        <v>13854</v>
      </c>
      <c r="L133" s="3">
        <v>12011</v>
      </c>
      <c r="M133" s="3">
        <v>13799</v>
      </c>
      <c r="N133" s="3">
        <v>17078</v>
      </c>
      <c r="O133" s="3">
        <v>13498</v>
      </c>
      <c r="P133" s="5">
        <v>21903</v>
      </c>
      <c r="Q133" s="3">
        <v>15148</v>
      </c>
      <c r="R133" s="3">
        <v>17547</v>
      </c>
      <c r="S133" s="3">
        <v>12264</v>
      </c>
      <c r="T133" s="3">
        <v>11402</v>
      </c>
      <c r="U133" s="3">
        <v>13409</v>
      </c>
      <c r="V133" s="3">
        <v>15832</v>
      </c>
      <c r="W133" s="10">
        <v>14383</v>
      </c>
      <c r="X133" s="6">
        <v>-0.1570548293500045</v>
      </c>
      <c r="Y133" s="6">
        <v>-3.0854669008711699E-2</v>
      </c>
      <c r="Z133" s="6">
        <v>-3.1397605360477421E-2</v>
      </c>
      <c r="AA133" s="6">
        <v>4.0051410966412737E-2</v>
      </c>
    </row>
    <row r="134" spans="2:27">
      <c r="B134" s="30" t="s">
        <v>193</v>
      </c>
      <c r="C134" s="2" t="s">
        <v>376</v>
      </c>
      <c r="D134" s="9" t="str">
        <f>VLOOKUP(B134,기업리스트!$B:$G,2,FALSE)</f>
        <v>Aadhar Housing Finance Limited</v>
      </c>
      <c r="E134" s="2" t="s">
        <v>356</v>
      </c>
      <c r="F134" s="4">
        <v>4</v>
      </c>
      <c r="G134" s="3">
        <v>1642</v>
      </c>
      <c r="H134" s="3">
        <v>2111</v>
      </c>
      <c r="I134" s="3">
        <v>2613</v>
      </c>
      <c r="J134" s="3">
        <v>2658</v>
      </c>
      <c r="K134" s="5">
        <v>2658</v>
      </c>
      <c r="L134" s="5">
        <v>3395</v>
      </c>
      <c r="M134" s="3">
        <v>3395</v>
      </c>
      <c r="N134" s="3">
        <v>3263</v>
      </c>
      <c r="O134" s="3">
        <v>3739</v>
      </c>
      <c r="P134" s="3">
        <v>4102</v>
      </c>
      <c r="Q134" s="3">
        <v>4493</v>
      </c>
      <c r="R134" s="3">
        <v>4175</v>
      </c>
      <c r="S134" s="3">
        <v>4658</v>
      </c>
      <c r="T134" s="3">
        <v>4821</v>
      </c>
      <c r="U134" s="3">
        <v>5284</v>
      </c>
      <c r="V134" s="3">
        <v>4927</v>
      </c>
      <c r="W134" s="10">
        <v>5445</v>
      </c>
      <c r="X134" s="6">
        <v>4.1255450998393339E-2</v>
      </c>
      <c r="Y134" s="6">
        <v>4.3588471923734051E-2</v>
      </c>
      <c r="Z134" s="6">
        <v>3.9708522547259539E-2</v>
      </c>
      <c r="AA134" s="6">
        <v>3.9969527679024841E-2</v>
      </c>
    </row>
    <row r="135" spans="2:27">
      <c r="B135" s="30" t="s">
        <v>254</v>
      </c>
      <c r="C135" s="2" t="s">
        <v>376</v>
      </c>
      <c r="D135" s="9" t="str">
        <f>VLOOKUP(B135,기업리스트!$B:$G,2,FALSE)</f>
        <v>MedPlus Health Services Limited</v>
      </c>
      <c r="E135" s="2" t="s">
        <v>360</v>
      </c>
      <c r="F135" s="4">
        <v>3.9</v>
      </c>
      <c r="G135" s="3">
        <v>9335</v>
      </c>
      <c r="H135" s="3">
        <v>9659</v>
      </c>
      <c r="I135" s="3">
        <v>9937</v>
      </c>
      <c r="J135" s="3">
        <v>11206</v>
      </c>
      <c r="K135" s="3">
        <v>11903</v>
      </c>
      <c r="L135" s="3">
        <v>12530</v>
      </c>
      <c r="M135" s="3">
        <v>12843</v>
      </c>
      <c r="N135" s="3">
        <v>14086</v>
      </c>
      <c r="O135" s="3">
        <v>14415</v>
      </c>
      <c r="P135" s="3">
        <v>14905</v>
      </c>
      <c r="Q135" s="3">
        <v>14888</v>
      </c>
      <c r="R135" s="3">
        <v>15762</v>
      </c>
      <c r="S135" s="3">
        <v>15614</v>
      </c>
      <c r="T135" s="3">
        <v>15096</v>
      </c>
      <c r="U135" s="3">
        <v>15426</v>
      </c>
      <c r="V135" s="3">
        <v>16793</v>
      </c>
      <c r="W135" s="10">
        <v>18061</v>
      </c>
      <c r="X135" s="6">
        <v>3.1224966894995991E-3</v>
      </c>
      <c r="Y135" s="6">
        <v>8.767926988265895E-3</v>
      </c>
      <c r="Z135" s="6">
        <v>1.665643477979906E-2</v>
      </c>
      <c r="AA135" s="6">
        <v>3.8885092723545567E-2</v>
      </c>
    </row>
    <row r="136" spans="2:27">
      <c r="B136" s="30" t="s">
        <v>33</v>
      </c>
      <c r="C136" s="2" t="s">
        <v>376</v>
      </c>
      <c r="D136" s="9" t="str">
        <f>VLOOKUP(B136,기업리스트!$B:$G,2,FALSE)</f>
        <v>Sun Pharmaceutical Industries Limited</v>
      </c>
      <c r="E136" s="2" t="s">
        <v>360</v>
      </c>
      <c r="F136" s="4">
        <v>3.4</v>
      </c>
      <c r="G136" s="3">
        <v>98631</v>
      </c>
      <c r="H136" s="3">
        <v>94468</v>
      </c>
      <c r="I136" s="3">
        <v>107618</v>
      </c>
      <c r="J136" s="3">
        <v>109523</v>
      </c>
      <c r="K136" s="3">
        <v>112410</v>
      </c>
      <c r="L136" s="3">
        <v>109307</v>
      </c>
      <c r="M136" s="3">
        <v>119408</v>
      </c>
      <c r="N136" s="3">
        <v>121924</v>
      </c>
      <c r="O136" s="3">
        <v>123807</v>
      </c>
      <c r="P136" s="3">
        <v>119829</v>
      </c>
      <c r="Q136" s="3">
        <v>126528</v>
      </c>
      <c r="R136" s="3">
        <v>132914</v>
      </c>
      <c r="S136" s="3">
        <v>136755</v>
      </c>
      <c r="T136" s="3">
        <v>129588</v>
      </c>
      <c r="U136" s="3">
        <v>138514</v>
      </c>
      <c r="V136" s="3">
        <v>144783</v>
      </c>
      <c r="W136" s="10">
        <v>155205</v>
      </c>
      <c r="X136" s="6">
        <v>1.8911837775615888E-2</v>
      </c>
      <c r="Y136" s="6">
        <v>2.279639015947588E-2</v>
      </c>
      <c r="Z136" s="6">
        <v>2.2070732709647881E-2</v>
      </c>
      <c r="AA136" s="6">
        <v>3.3567425951531948E-2</v>
      </c>
    </row>
    <row r="137" spans="2:27">
      <c r="B137" s="30" t="s">
        <v>151</v>
      </c>
      <c r="C137" s="2" t="s">
        <v>376</v>
      </c>
      <c r="D137" s="9" t="str">
        <f>VLOOKUP(B137,기업리스트!$B:$G,2,FALSE)</f>
        <v>Aster DM Healthcare Limited</v>
      </c>
      <c r="E137" s="2" t="s">
        <v>360</v>
      </c>
      <c r="F137" s="4">
        <v>3.1</v>
      </c>
      <c r="G137" s="3">
        <v>26496</v>
      </c>
      <c r="H137" s="3">
        <v>27278</v>
      </c>
      <c r="I137" s="3">
        <v>26621</v>
      </c>
      <c r="J137" s="3">
        <v>28163</v>
      </c>
      <c r="K137" s="3">
        <v>31921</v>
      </c>
      <c r="L137" s="3">
        <v>0</v>
      </c>
      <c r="M137" s="3">
        <v>32154</v>
      </c>
      <c r="N137" s="3">
        <v>33166</v>
      </c>
      <c r="O137" s="3">
        <v>37106</v>
      </c>
      <c r="P137" s="3">
        <v>0</v>
      </c>
      <c r="Q137" s="3">
        <v>10019</v>
      </c>
      <c r="R137" s="3">
        <v>10864</v>
      </c>
      <c r="S137" s="3">
        <v>10498</v>
      </c>
      <c r="T137" s="5">
        <v>10003</v>
      </c>
      <c r="U137" s="3">
        <v>10779</v>
      </c>
      <c r="V137" s="3">
        <v>11972</v>
      </c>
      <c r="W137" s="10">
        <v>11858</v>
      </c>
      <c r="X137" s="7">
        <v>0.31875975908989518</v>
      </c>
      <c r="Y137" s="6">
        <v>1.836458534699403E-2</v>
      </c>
      <c r="Z137" s="6">
        <v>2.629081245254361E-2</v>
      </c>
      <c r="AA137" s="6">
        <v>3.1443632664385428E-2</v>
      </c>
    </row>
    <row r="138" spans="2:27">
      <c r="B138" s="30" t="s">
        <v>172</v>
      </c>
      <c r="C138" s="2" t="s">
        <v>376</v>
      </c>
      <c r="D138" s="9" t="str">
        <f>VLOOKUP(B138,기업리스트!$B:$G,2,FALSE)</f>
        <v>The New India Assurance Company Limited</v>
      </c>
      <c r="E138" s="2" t="s">
        <v>360</v>
      </c>
      <c r="F138" s="4">
        <v>2.9</v>
      </c>
      <c r="G138" s="3">
        <v>94626</v>
      </c>
      <c r="H138" s="3">
        <v>85666</v>
      </c>
      <c r="I138" s="3">
        <v>85774</v>
      </c>
      <c r="J138" s="3">
        <v>115793</v>
      </c>
      <c r="K138" s="3">
        <v>105488</v>
      </c>
      <c r="L138" s="3">
        <v>102627</v>
      </c>
      <c r="M138" s="3">
        <v>98889</v>
      </c>
      <c r="N138" s="3">
        <v>105568</v>
      </c>
      <c r="O138" s="3">
        <v>113564</v>
      </c>
      <c r="P138" s="3">
        <v>113262</v>
      </c>
      <c r="Q138" s="3">
        <v>104179</v>
      </c>
      <c r="R138" s="3">
        <v>107770</v>
      </c>
      <c r="S138" s="3">
        <v>107058</v>
      </c>
      <c r="T138" s="3">
        <v>110260</v>
      </c>
      <c r="U138" s="3">
        <v>117190</v>
      </c>
      <c r="V138" s="3">
        <v>134433</v>
      </c>
      <c r="W138" s="10">
        <v>120629</v>
      </c>
      <c r="X138" s="6">
        <v>-6.9447496813327403E-3</v>
      </c>
      <c r="Y138" s="6">
        <v>3.030980718294218E-2</v>
      </c>
      <c r="Z138" s="6">
        <v>6.028561221675055E-2</v>
      </c>
      <c r="AA138" s="6">
        <v>2.8939674713876599E-2</v>
      </c>
    </row>
    <row r="139" spans="2:27">
      <c r="B139" s="30" t="s">
        <v>78</v>
      </c>
      <c r="C139" s="2" t="s">
        <v>376</v>
      </c>
      <c r="D139" s="9" t="str">
        <f>VLOOKUP(B139,기업리스트!$B:$G,2,FALSE)</f>
        <v>Jindal Steel Limited</v>
      </c>
      <c r="E139" s="2" t="s">
        <v>360</v>
      </c>
      <c r="F139" s="4">
        <v>2.6</v>
      </c>
      <c r="G139" s="3">
        <v>125249</v>
      </c>
      <c r="H139" s="3">
        <v>143395</v>
      </c>
      <c r="I139" s="3">
        <v>130454</v>
      </c>
      <c r="J139" s="3">
        <v>135214</v>
      </c>
      <c r="K139" s="3">
        <v>124524</v>
      </c>
      <c r="L139" s="3">
        <v>136919</v>
      </c>
      <c r="M139" s="3">
        <v>125883</v>
      </c>
      <c r="N139" s="3">
        <v>122502</v>
      </c>
      <c r="O139" s="3">
        <v>117013</v>
      </c>
      <c r="P139" s="3">
        <v>134870</v>
      </c>
      <c r="Q139" s="3">
        <v>136178</v>
      </c>
      <c r="R139" s="3">
        <v>112133</v>
      </c>
      <c r="S139" s="3">
        <v>117507</v>
      </c>
      <c r="T139" s="3">
        <v>131832</v>
      </c>
      <c r="U139" s="3">
        <v>122945</v>
      </c>
      <c r="V139" s="3">
        <v>116859</v>
      </c>
      <c r="W139" s="10">
        <v>130266</v>
      </c>
      <c r="X139" s="6">
        <v>-6.0676509123446243E-3</v>
      </c>
      <c r="Y139" s="6">
        <v>-2.659097759469509E-2</v>
      </c>
      <c r="Z139" s="6">
        <v>9.7560572812267488E-3</v>
      </c>
      <c r="AA139" s="6">
        <v>2.6084396587501061E-2</v>
      </c>
    </row>
    <row r="140" spans="2:27">
      <c r="B140" s="30" t="s">
        <v>46</v>
      </c>
      <c r="C140" s="2" t="s">
        <v>376</v>
      </c>
      <c r="D140" s="9" t="str">
        <f>VLOOKUP(B140,기업리스트!$B:$G,2,FALSE)</f>
        <v>Power Grid Corporation of India Limited</v>
      </c>
      <c r="E140" s="2" t="s">
        <v>360</v>
      </c>
      <c r="F140" s="4">
        <v>2.5</v>
      </c>
      <c r="G140" s="3">
        <v>104469</v>
      </c>
      <c r="H140" s="3">
        <v>106913</v>
      </c>
      <c r="I140" s="3">
        <v>109052</v>
      </c>
      <c r="J140" s="3">
        <v>111506</v>
      </c>
      <c r="K140" s="3">
        <v>112618</v>
      </c>
      <c r="L140" s="3">
        <v>122856</v>
      </c>
      <c r="M140" s="3">
        <v>110481</v>
      </c>
      <c r="N140" s="3">
        <v>112671</v>
      </c>
      <c r="O140" s="3">
        <v>115498</v>
      </c>
      <c r="P140" s="3">
        <v>119781</v>
      </c>
      <c r="Q140" s="3">
        <v>110062</v>
      </c>
      <c r="R140" s="3">
        <v>112778</v>
      </c>
      <c r="S140" s="3">
        <v>112330</v>
      </c>
      <c r="T140" s="3">
        <v>122754</v>
      </c>
      <c r="U140" s="3">
        <v>111962</v>
      </c>
      <c r="V140" s="3">
        <v>114760</v>
      </c>
      <c r="W140" s="10">
        <v>123951</v>
      </c>
      <c r="X140" s="6">
        <v>6.5347696784927578E-3</v>
      </c>
      <c r="Y140" s="6">
        <v>4.1491601226404384E-3</v>
      </c>
      <c r="Z140" s="6">
        <v>4.3103448275862988E-3</v>
      </c>
      <c r="AA140" s="6">
        <v>2.51642464584696E-2</v>
      </c>
    </row>
    <row r="141" spans="2:27">
      <c r="B141" s="30" t="s">
        <v>185</v>
      </c>
      <c r="C141" s="2" t="s">
        <v>376</v>
      </c>
      <c r="D141" s="9" t="str">
        <f>VLOOKUP(B141,기업리스트!$B:$G,2,FALSE)</f>
        <v>Dr. Lal PathLabs Limited</v>
      </c>
      <c r="E141" s="2" t="s">
        <v>360</v>
      </c>
      <c r="F141" s="4">
        <v>2.4</v>
      </c>
      <c r="G141" s="3">
        <v>4969</v>
      </c>
      <c r="H141" s="3">
        <v>4855</v>
      </c>
      <c r="I141" s="3">
        <v>5027</v>
      </c>
      <c r="J141" s="3">
        <v>5338</v>
      </c>
      <c r="K141" s="3">
        <v>4894</v>
      </c>
      <c r="L141" s="3">
        <v>4910</v>
      </c>
      <c r="M141" s="3">
        <v>5410</v>
      </c>
      <c r="N141" s="3">
        <v>6013</v>
      </c>
      <c r="O141" s="3">
        <v>5389</v>
      </c>
      <c r="P141" s="3">
        <v>5454</v>
      </c>
      <c r="Q141" s="3">
        <v>6019</v>
      </c>
      <c r="R141" s="3">
        <v>6602</v>
      </c>
      <c r="S141" s="3">
        <v>5967</v>
      </c>
      <c r="T141" s="3">
        <v>6026</v>
      </c>
      <c r="U141" s="3">
        <v>6698</v>
      </c>
      <c r="V141" s="3">
        <v>7306</v>
      </c>
      <c r="W141" s="10">
        <v>6598</v>
      </c>
      <c r="X141" s="6">
        <v>2.379169786207469E-2</v>
      </c>
      <c r="Y141" s="6">
        <v>2.758592670837734E-2</v>
      </c>
      <c r="Z141" s="6">
        <v>2.783378800458625E-2</v>
      </c>
      <c r="AA141" s="6">
        <v>2.4272031388237188E-2</v>
      </c>
    </row>
    <row r="142" spans="2:27">
      <c r="B142" s="30" t="s">
        <v>64</v>
      </c>
      <c r="C142" s="2" t="s">
        <v>376</v>
      </c>
      <c r="D142" s="9" t="str">
        <f>VLOOKUP(B142,기업리스트!$B:$G,2,FALSE)</f>
        <v>Bank of Baroda Limited</v>
      </c>
      <c r="E142" s="2" t="s">
        <v>360</v>
      </c>
      <c r="F142" s="4">
        <v>1.1000000000000001</v>
      </c>
      <c r="G142" s="3">
        <v>95847</v>
      </c>
      <c r="H142" s="3">
        <v>81998</v>
      </c>
      <c r="I142" s="3">
        <v>96699</v>
      </c>
      <c r="J142" s="3">
        <v>123088</v>
      </c>
      <c r="K142" s="5">
        <v>136511</v>
      </c>
      <c r="L142" s="5">
        <v>155792</v>
      </c>
      <c r="M142" s="3">
        <v>139794</v>
      </c>
      <c r="N142" s="3">
        <v>144532</v>
      </c>
      <c r="O142" s="3">
        <v>151794</v>
      </c>
      <c r="P142" s="3">
        <v>165242</v>
      </c>
      <c r="Q142" s="3">
        <v>147767</v>
      </c>
      <c r="R142" s="3">
        <v>164162</v>
      </c>
      <c r="S142" s="3">
        <v>160924</v>
      </c>
      <c r="T142" s="3">
        <v>170545</v>
      </c>
      <c r="U142" s="3">
        <v>146817</v>
      </c>
      <c r="V142" s="3">
        <v>164449</v>
      </c>
      <c r="W142" s="10">
        <v>167851</v>
      </c>
      <c r="X142" s="6">
        <v>8.3106747427890149E-3</v>
      </c>
      <c r="Y142" s="6">
        <v>-1.4765355192275511E-3</v>
      </c>
      <c r="Z142" s="6">
        <v>4.4672876248341709E-4</v>
      </c>
      <c r="AA142" s="6">
        <v>1.0777381035730119E-2</v>
      </c>
    </row>
    <row r="143" spans="2:27">
      <c r="B143" s="30" t="s">
        <v>140</v>
      </c>
      <c r="C143" s="2" t="s">
        <v>376</v>
      </c>
      <c r="D143" s="9" t="str">
        <f>VLOOKUP(B143,기업리스트!$B:$G,2,FALSE)</f>
        <v>National Aluminium Company Limited</v>
      </c>
      <c r="E143" s="2" t="s">
        <v>360</v>
      </c>
      <c r="F143" s="4">
        <v>0.4</v>
      </c>
      <c r="G143" s="3">
        <v>37733</v>
      </c>
      <c r="H143" s="3">
        <v>43746</v>
      </c>
      <c r="I143" s="3">
        <v>37833</v>
      </c>
      <c r="J143" s="3">
        <v>34896</v>
      </c>
      <c r="K143" s="3">
        <v>32900</v>
      </c>
      <c r="L143" s="3">
        <v>36940</v>
      </c>
      <c r="M143" s="3">
        <v>31784</v>
      </c>
      <c r="N143" s="3">
        <v>30434</v>
      </c>
      <c r="O143" s="3">
        <v>33469</v>
      </c>
      <c r="P143" s="3">
        <v>35805</v>
      </c>
      <c r="Q143" s="3">
        <v>28561</v>
      </c>
      <c r="R143" s="3">
        <v>40015</v>
      </c>
      <c r="S143" s="3">
        <v>46622</v>
      </c>
      <c r="T143" s="5">
        <v>52678</v>
      </c>
      <c r="U143" s="3">
        <v>38069</v>
      </c>
      <c r="V143" s="3">
        <v>42923</v>
      </c>
      <c r="W143" s="10">
        <v>47310</v>
      </c>
      <c r="X143" s="7">
        <v>0.1117395018642013</v>
      </c>
      <c r="Y143" s="6">
        <v>5.6637041625962059E-2</v>
      </c>
      <c r="Z143" s="6">
        <v>1.6393812294231761E-2</v>
      </c>
      <c r="AA143" s="6">
        <v>3.8160317706830149E-3</v>
      </c>
    </row>
    <row r="144" spans="2:27">
      <c r="B144" s="30" t="s">
        <v>165</v>
      </c>
      <c r="C144" s="2" t="s">
        <v>376</v>
      </c>
      <c r="D144" s="9" t="str">
        <f>VLOOKUP(B144,기업리스트!$B:$G,2,FALSE)</f>
        <v>Aegis Logistics Limited</v>
      </c>
      <c r="E144" s="2" t="s">
        <v>360</v>
      </c>
      <c r="F144" s="4">
        <v>0.2</v>
      </c>
      <c r="G144" s="3">
        <v>12141</v>
      </c>
      <c r="H144" s="3">
        <v>21036</v>
      </c>
      <c r="I144" s="3">
        <v>22355</v>
      </c>
      <c r="J144" s="3">
        <v>21505</v>
      </c>
      <c r="K144" s="5">
        <v>20867</v>
      </c>
      <c r="L144" s="3">
        <v>21545</v>
      </c>
      <c r="M144" s="3">
        <v>21005</v>
      </c>
      <c r="N144" s="3">
        <v>12349</v>
      </c>
      <c r="O144" s="3">
        <v>18734</v>
      </c>
      <c r="P144" s="3">
        <v>18372</v>
      </c>
      <c r="Q144" s="3">
        <v>16013</v>
      </c>
      <c r="R144" s="3">
        <v>17504</v>
      </c>
      <c r="S144" s="3">
        <v>17070</v>
      </c>
      <c r="T144" s="3">
        <v>17050</v>
      </c>
      <c r="U144" s="3">
        <v>17194</v>
      </c>
      <c r="V144" s="3">
        <v>22940</v>
      </c>
      <c r="W144" s="10">
        <v>17254</v>
      </c>
      <c r="X144" s="6">
        <v>-1.9170811641700088E-2</v>
      </c>
      <c r="Y144" s="6">
        <v>1.7460857223117628E-2</v>
      </c>
      <c r="Z144" s="6">
        <v>7.8990961667005699E-2</v>
      </c>
      <c r="AA144" s="6">
        <v>2.477980984189498E-3</v>
      </c>
    </row>
    <row r="145" spans="2:27">
      <c r="B145" s="30" t="s">
        <v>147</v>
      </c>
      <c r="C145" s="2" t="s">
        <v>376</v>
      </c>
      <c r="D145" s="9" t="str">
        <f>VLOOKUP(B145,기업리스트!$B:$G,2,FALSE)</f>
        <v>AIA Engineering Limited</v>
      </c>
      <c r="E145" s="2" t="s">
        <v>360</v>
      </c>
      <c r="F145" s="4">
        <v>0</v>
      </c>
      <c r="G145" s="3">
        <v>8481</v>
      </c>
      <c r="H145" s="3">
        <v>10933</v>
      </c>
      <c r="I145" s="3">
        <v>10797</v>
      </c>
      <c r="J145" s="3">
        <v>13287</v>
      </c>
      <c r="K145" s="3">
        <v>12269</v>
      </c>
      <c r="L145" s="3">
        <v>12736</v>
      </c>
      <c r="M145" s="3">
        <v>12396</v>
      </c>
      <c r="N145" s="3">
        <v>12948</v>
      </c>
      <c r="O145" s="3">
        <v>11692</v>
      </c>
      <c r="P145" s="3">
        <v>11502</v>
      </c>
      <c r="Q145" s="3">
        <v>10200</v>
      </c>
      <c r="R145" s="3">
        <v>10442</v>
      </c>
      <c r="S145" s="3">
        <v>10662</v>
      </c>
      <c r="T145" s="3">
        <v>11570</v>
      </c>
      <c r="U145" s="3">
        <v>10389</v>
      </c>
      <c r="V145" s="3">
        <v>10478</v>
      </c>
      <c r="W145" s="10">
        <v>10669</v>
      </c>
      <c r="X145" s="6">
        <v>1.5885623510722979E-3</v>
      </c>
      <c r="Y145" s="6">
        <v>4.408266082007728E-3</v>
      </c>
      <c r="Z145" s="6">
        <v>8.3598448784338864E-4</v>
      </c>
      <c r="AA145" s="6">
        <v>1.6241676140982259E-4</v>
      </c>
    </row>
    <row r="146" spans="2:27">
      <c r="B146" s="30" t="s">
        <v>163</v>
      </c>
      <c r="C146" s="2" t="s">
        <v>376</v>
      </c>
      <c r="D146" s="9" t="str">
        <f>VLOOKUP(B146,기업리스트!$B:$G,2,FALSE)</f>
        <v>LIC Housing Finance Limited</v>
      </c>
      <c r="E146" s="2" t="s">
        <v>360</v>
      </c>
      <c r="F146" s="4">
        <v>-0.5</v>
      </c>
      <c r="G146" s="3">
        <v>15186</v>
      </c>
      <c r="H146" s="3">
        <v>-1824</v>
      </c>
      <c r="I146" s="3">
        <v>16569</v>
      </c>
      <c r="J146" s="3">
        <v>12105</v>
      </c>
      <c r="K146" s="3">
        <v>16581</v>
      </c>
      <c r="L146" s="3">
        <v>1207</v>
      </c>
      <c r="M146" s="3">
        <v>19052</v>
      </c>
      <c r="N146" s="5">
        <v>17463</v>
      </c>
      <c r="O146" s="3">
        <v>17224</v>
      </c>
      <c r="P146" s="5">
        <v>18927</v>
      </c>
      <c r="Q146" s="3">
        <v>19044</v>
      </c>
      <c r="R146" s="3">
        <v>19824</v>
      </c>
      <c r="S146" s="3">
        <v>21636</v>
      </c>
      <c r="T146" s="3">
        <v>22714</v>
      </c>
      <c r="U146" s="3">
        <v>20113</v>
      </c>
      <c r="V146" s="3">
        <v>20175</v>
      </c>
      <c r="W146" s="10">
        <v>21198</v>
      </c>
      <c r="X146" s="6">
        <v>4.7676599816192773E-2</v>
      </c>
      <c r="Y146" s="6">
        <v>1.2845778557523561E-2</v>
      </c>
      <c r="Z146" s="6">
        <v>4.1643432557807447E-3</v>
      </c>
      <c r="AA146" s="6">
        <v>-5.1749805052104803E-3</v>
      </c>
    </row>
    <row r="147" spans="2:27">
      <c r="B147" s="30" t="s">
        <v>257</v>
      </c>
      <c r="C147" s="2" t="s">
        <v>376</v>
      </c>
      <c r="D147" s="9" t="str">
        <f>VLOOKUP(B147,기업리스트!$B:$G,2,FALSE)</f>
        <v>Clean Science and Technology Limited</v>
      </c>
      <c r="E147" s="2" t="s">
        <v>360</v>
      </c>
      <c r="F147" s="4">
        <v>-1.1000000000000001</v>
      </c>
      <c r="G147" s="3">
        <v>1808</v>
      </c>
      <c r="H147" s="3">
        <v>2046</v>
      </c>
      <c r="I147" s="3">
        <v>2341</v>
      </c>
      <c r="J147" s="3">
        <v>2475</v>
      </c>
      <c r="K147" s="3">
        <v>2374</v>
      </c>
      <c r="L147" s="3">
        <v>2169</v>
      </c>
      <c r="M147" s="3">
        <v>1881</v>
      </c>
      <c r="N147" s="3">
        <v>1811</v>
      </c>
      <c r="O147" s="3">
        <v>1947</v>
      </c>
      <c r="P147" s="3">
        <v>2275</v>
      </c>
      <c r="Q147" s="3">
        <v>2240</v>
      </c>
      <c r="R147" s="3">
        <v>2381</v>
      </c>
      <c r="S147" s="3">
        <v>2408</v>
      </c>
      <c r="T147" s="3">
        <v>2637</v>
      </c>
      <c r="U147" s="3">
        <v>2429</v>
      </c>
      <c r="V147" s="3">
        <v>2446</v>
      </c>
      <c r="W147" s="10">
        <v>2295</v>
      </c>
      <c r="X147" s="6">
        <v>3.8907996560619162E-2</v>
      </c>
      <c r="Y147" s="6">
        <v>1.9553072625698279E-2</v>
      </c>
      <c r="Z147" s="6">
        <v>6.5956367326229781E-3</v>
      </c>
      <c r="AA147" s="6">
        <v>-1.1391129032258029E-2</v>
      </c>
    </row>
    <row r="148" spans="2:27">
      <c r="B148" s="30" t="s">
        <v>251</v>
      </c>
      <c r="C148" s="2" t="s">
        <v>376</v>
      </c>
      <c r="D148" s="9" t="str">
        <f>VLOOKUP(B148,기업리스트!$B:$G,2,FALSE)</f>
        <v>Finolex Industries Limited</v>
      </c>
      <c r="E148" s="2" t="s">
        <v>360</v>
      </c>
      <c r="F148" s="4">
        <v>-2.5</v>
      </c>
      <c r="G148" s="3">
        <v>10053</v>
      </c>
      <c r="H148" s="3">
        <v>15934</v>
      </c>
      <c r="I148" s="3">
        <v>11898</v>
      </c>
      <c r="J148" s="3">
        <v>9411</v>
      </c>
      <c r="K148" s="3">
        <v>11248</v>
      </c>
      <c r="L148" s="3">
        <v>11411</v>
      </c>
      <c r="M148" s="3">
        <v>11792</v>
      </c>
      <c r="N148" s="3">
        <v>8832</v>
      </c>
      <c r="O148" s="3">
        <v>10197</v>
      </c>
      <c r="P148" s="3">
        <v>12354</v>
      </c>
      <c r="Q148" s="3">
        <v>11405</v>
      </c>
      <c r="R148" s="3">
        <v>8284</v>
      </c>
      <c r="S148" s="3">
        <v>10012</v>
      </c>
      <c r="T148" s="3">
        <v>11718</v>
      </c>
      <c r="U148" s="3">
        <v>10432</v>
      </c>
      <c r="V148" s="3">
        <v>8587</v>
      </c>
      <c r="W148" s="10">
        <v>8977</v>
      </c>
      <c r="X148" s="6">
        <v>-1.5123053144691419E-2</v>
      </c>
      <c r="Y148" s="6">
        <v>-2.3491634274125369E-2</v>
      </c>
      <c r="Z148" s="6">
        <v>7.4914701082924307E-3</v>
      </c>
      <c r="AA148" s="6">
        <v>-2.539939630420374E-2</v>
      </c>
    </row>
    <row r="149" spans="2:27" hidden="1">
      <c r="B149" s="2" t="s">
        <v>29</v>
      </c>
      <c r="C149" s="2" t="s">
        <v>351</v>
      </c>
      <c r="D149" s="2" t="s">
        <v>377</v>
      </c>
      <c r="E149" s="2" t="s">
        <v>378</v>
      </c>
      <c r="F149" s="4">
        <v>13.9</v>
      </c>
      <c r="G149" s="3">
        <v>295.56</v>
      </c>
      <c r="H149" s="3">
        <v>340.19</v>
      </c>
      <c r="I149" s="3">
        <v>539.5</v>
      </c>
      <c r="J149" s="3">
        <v>611.61</v>
      </c>
      <c r="K149" s="5">
        <v>533.61</v>
      </c>
      <c r="L149" s="5">
        <v>612.15</v>
      </c>
      <c r="M149" s="3">
        <v>680.88</v>
      </c>
      <c r="N149" s="3">
        <v>657.96</v>
      </c>
      <c r="O149" s="3">
        <v>564.52</v>
      </c>
      <c r="P149" s="3">
        <v>624.46</v>
      </c>
      <c r="Q149" s="3">
        <v>546.69000000000005</v>
      </c>
      <c r="R149" s="3">
        <v>490.72</v>
      </c>
      <c r="S149" s="3">
        <v>553.42999999999995</v>
      </c>
      <c r="T149" s="3">
        <v>573.16999999999996</v>
      </c>
      <c r="U149" s="5">
        <v>1017</v>
      </c>
      <c r="V149" s="5">
        <v>1102</v>
      </c>
      <c r="W149" s="5">
        <v>1003</v>
      </c>
      <c r="X149" s="6">
        <v>-2.3152620412585149E-2</v>
      </c>
      <c r="Y149" s="7">
        <v>0.2173326370950224</v>
      </c>
      <c r="Z149" s="7">
        <v>0.23204470223814891</v>
      </c>
      <c r="AA149" s="7">
        <v>0.13851676115356179</v>
      </c>
    </row>
    <row r="150" spans="2:27" hidden="1">
      <c r="B150" s="2" t="s">
        <v>74</v>
      </c>
      <c r="C150" s="2" t="s">
        <v>351</v>
      </c>
      <c r="D150" s="2" t="s">
        <v>379</v>
      </c>
      <c r="E150" s="2" t="s">
        <v>378</v>
      </c>
      <c r="F150" s="4">
        <v>4.2</v>
      </c>
      <c r="G150" s="3">
        <v>1276</v>
      </c>
      <c r="H150" s="3">
        <v>1940</v>
      </c>
      <c r="I150" s="3">
        <v>1917</v>
      </c>
      <c r="J150" s="3">
        <v>2176</v>
      </c>
      <c r="K150" s="5">
        <v>2558</v>
      </c>
      <c r="L150" s="3">
        <v>2712</v>
      </c>
      <c r="M150" s="3">
        <v>2772</v>
      </c>
      <c r="N150" s="3">
        <v>2633</v>
      </c>
      <c r="O150" s="3">
        <v>3025</v>
      </c>
      <c r="P150" s="3">
        <v>3212</v>
      </c>
      <c r="Q150" s="3">
        <v>3267</v>
      </c>
      <c r="R150" s="3">
        <v>2983</v>
      </c>
      <c r="S150" s="3">
        <v>3245</v>
      </c>
      <c r="T150" s="3">
        <v>3337</v>
      </c>
      <c r="U150" s="3">
        <v>3348</v>
      </c>
      <c r="V150" s="3">
        <v>3243</v>
      </c>
      <c r="W150" s="3">
        <v>3799</v>
      </c>
      <c r="X150" s="6">
        <v>9.837097662705574E-3</v>
      </c>
      <c r="Y150" s="6">
        <v>6.3123441396508717E-3</v>
      </c>
      <c r="Z150" s="6">
        <v>2.013474792844416E-2</v>
      </c>
      <c r="AA150" s="6">
        <v>4.2055720033401738E-2</v>
      </c>
    </row>
    <row r="151" spans="2:27" hidden="1">
      <c r="B151" s="2" t="s">
        <v>176</v>
      </c>
      <c r="C151" s="2" t="s">
        <v>351</v>
      </c>
      <c r="D151" s="2" t="s">
        <v>380</v>
      </c>
      <c r="E151" s="2" t="s">
        <v>378</v>
      </c>
      <c r="F151" s="4">
        <v>1.6</v>
      </c>
      <c r="G151" s="3">
        <v>329.6</v>
      </c>
      <c r="H151" s="3">
        <v>331.4</v>
      </c>
      <c r="I151" s="3">
        <v>346.7</v>
      </c>
      <c r="J151" s="3">
        <v>345.9</v>
      </c>
      <c r="K151" s="3">
        <v>342.6</v>
      </c>
      <c r="L151" s="3">
        <v>346.4</v>
      </c>
      <c r="M151" s="3">
        <v>353.9</v>
      </c>
      <c r="N151" s="3">
        <v>356.4</v>
      </c>
      <c r="O151" s="3">
        <v>378.7</v>
      </c>
      <c r="P151" s="3">
        <v>402.9</v>
      </c>
      <c r="Q151" s="3">
        <v>386</v>
      </c>
      <c r="R151" s="3">
        <v>388.1</v>
      </c>
      <c r="S151" s="3">
        <v>412.1</v>
      </c>
      <c r="T151" s="3">
        <v>409</v>
      </c>
      <c r="U151" s="3">
        <v>416.4</v>
      </c>
      <c r="V151" s="3">
        <v>411.7</v>
      </c>
      <c r="W151" s="3">
        <v>438.5</v>
      </c>
      <c r="X151" s="6">
        <v>3.8386508086338811E-3</v>
      </c>
      <c r="Y151" s="6">
        <v>1.9057171514543558E-2</v>
      </c>
      <c r="Z151" s="6">
        <v>1.4517716535433101E-2</v>
      </c>
      <c r="AA151" s="6">
        <v>1.6007761338830969E-2</v>
      </c>
    </row>
    <row r="152" spans="2:27" hidden="1">
      <c r="B152" s="2" t="s">
        <v>61</v>
      </c>
      <c r="C152" s="2" t="s">
        <v>351</v>
      </c>
      <c r="D152" s="2" t="s">
        <v>365</v>
      </c>
      <c r="E152" s="2" t="s">
        <v>378</v>
      </c>
      <c r="F152" s="4">
        <v>-2.6</v>
      </c>
      <c r="G152" s="3">
        <v>12700</v>
      </c>
      <c r="H152" s="3">
        <v>12830</v>
      </c>
      <c r="I152" s="3">
        <v>13157</v>
      </c>
      <c r="J152" s="3">
        <v>14838</v>
      </c>
      <c r="K152" s="3">
        <v>12250</v>
      </c>
      <c r="L152" s="3">
        <v>10206</v>
      </c>
      <c r="M152" s="3">
        <v>10247</v>
      </c>
      <c r="N152" s="3">
        <v>10306</v>
      </c>
      <c r="O152" s="3">
        <v>10625</v>
      </c>
      <c r="P152" s="3">
        <v>9929</v>
      </c>
      <c r="Q152" s="3">
        <v>8304</v>
      </c>
      <c r="R152" s="3">
        <v>8678</v>
      </c>
      <c r="S152" s="3">
        <v>8604</v>
      </c>
      <c r="T152" s="3">
        <v>9497</v>
      </c>
      <c r="U152" s="3">
        <v>7677</v>
      </c>
      <c r="V152" s="3">
        <v>7658</v>
      </c>
      <c r="W152" s="3">
        <v>7727</v>
      </c>
      <c r="X152" s="6">
        <v>-1.2163874419259479E-2</v>
      </c>
      <c r="Y152" s="6">
        <v>-1.7871903771057181E-2</v>
      </c>
      <c r="Z152" s="6">
        <v>-2.9602971906199201E-2</v>
      </c>
      <c r="AA152" s="6">
        <v>-2.6229214020815909E-2</v>
      </c>
    </row>
    <row r="153" spans="2:27" hidden="1">
      <c r="B153" s="2" t="s">
        <v>230</v>
      </c>
      <c r="C153" s="2" t="s">
        <v>374</v>
      </c>
      <c r="D153" s="2" t="s">
        <v>375</v>
      </c>
      <c r="E153" s="2" t="s">
        <v>378</v>
      </c>
      <c r="F153" s="4">
        <v>1.6</v>
      </c>
      <c r="G153" s="3">
        <v>98585</v>
      </c>
      <c r="H153" s="3">
        <v>113172</v>
      </c>
      <c r="I153" s="3">
        <v>124442</v>
      </c>
      <c r="J153" s="3">
        <v>117255</v>
      </c>
      <c r="K153" s="3">
        <v>138354</v>
      </c>
      <c r="L153" s="3">
        <v>139497</v>
      </c>
      <c r="M153" s="3">
        <v>145904</v>
      </c>
      <c r="N153" s="3">
        <v>145637</v>
      </c>
      <c r="O153" s="3">
        <v>152241</v>
      </c>
      <c r="P153" s="3">
        <v>159243</v>
      </c>
      <c r="Q153" s="3">
        <v>158328</v>
      </c>
      <c r="R153" s="3">
        <v>157615</v>
      </c>
      <c r="S153" s="3">
        <v>151554</v>
      </c>
      <c r="T153" s="3">
        <v>162102</v>
      </c>
      <c r="U153" s="3">
        <v>162060</v>
      </c>
      <c r="V153" s="3">
        <v>154783</v>
      </c>
      <c r="W153" s="3">
        <v>161550</v>
      </c>
      <c r="X153" s="6">
        <v>4.5617002265692097E-3</v>
      </c>
      <c r="Y153" s="6">
        <v>5.9275824771005681E-3</v>
      </c>
      <c r="Z153" s="6">
        <v>-4.4715954216673071E-3</v>
      </c>
      <c r="AA153" s="6">
        <v>1.585410920556574E-2</v>
      </c>
    </row>
    <row r="154" spans="2:27" hidden="1">
      <c r="B154" s="2" t="s">
        <v>268</v>
      </c>
      <c r="C154" s="2" t="s">
        <v>381</v>
      </c>
      <c r="D154" s="2" t="s">
        <v>382</v>
      </c>
      <c r="E154" s="2" t="s">
        <v>383</v>
      </c>
      <c r="F154" s="4">
        <v>22.2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3">
        <v>37.25</v>
      </c>
      <c r="T154" s="3">
        <v>81.84</v>
      </c>
      <c r="U154" s="3">
        <v>92.85</v>
      </c>
      <c r="V154" s="3">
        <v>80.8</v>
      </c>
      <c r="W154" s="5">
        <v>102.18</v>
      </c>
      <c r="X154" s="2"/>
      <c r="Y154" s="2"/>
      <c r="Z154" s="2"/>
      <c r="AA154" s="7">
        <v>0.2218009154881464</v>
      </c>
    </row>
    <row r="155" spans="2:27">
      <c r="B155" s="31" t="s">
        <v>169</v>
      </c>
      <c r="C155" s="12" t="s">
        <v>384</v>
      </c>
      <c r="D155" s="13" t="str">
        <f>VLOOKUP(B155,기업리스트!$B:$G,2,FALSE)</f>
        <v>Société Anonyme des Bains de Mer et du Cercle des Étrangers à Monaco</v>
      </c>
      <c r="E155" s="2" t="s">
        <v>385</v>
      </c>
      <c r="F155" s="14">
        <v>6.6</v>
      </c>
      <c r="G155" s="2"/>
      <c r="H155" s="2"/>
      <c r="I155" s="2"/>
      <c r="J155" s="2"/>
      <c r="K155" s="2"/>
      <c r="L155" s="12"/>
      <c r="M155" s="12"/>
      <c r="N155" s="15">
        <v>168.13</v>
      </c>
      <c r="O155" s="15">
        <v>311.41000000000003</v>
      </c>
      <c r="P155" s="15">
        <v>219.1</v>
      </c>
      <c r="Q155" s="15">
        <v>432.35</v>
      </c>
      <c r="R155" s="15">
        <v>234.64</v>
      </c>
      <c r="S155" s="16">
        <v>445.57</v>
      </c>
      <c r="T155" s="15">
        <v>258.43</v>
      </c>
      <c r="U155" s="15">
        <v>495.14</v>
      </c>
      <c r="V155" s="15">
        <v>272.88</v>
      </c>
      <c r="W155" s="40">
        <v>542.46</v>
      </c>
      <c r="X155" s="18">
        <v>2.953456588017955E-2</v>
      </c>
      <c r="Y155" s="18">
        <v>4.5799021145303653E-2</v>
      </c>
      <c r="Z155" s="18">
        <v>2.6670758414819581E-2</v>
      </c>
      <c r="AA155" s="18">
        <v>6.5821116560916382E-2</v>
      </c>
    </row>
  </sheetData>
  <autoFilter ref="B2:AA155" xr:uid="{00000000-0009-0000-0000-000001000000}">
    <filterColumn colId="3">
      <filters>
        <filter val="Dec'25"/>
        <filter val="H1 2026"/>
        <filter val="Jun'26"/>
        <filter val="Mar'26"/>
        <filter val="Sep'26"/>
      </filters>
    </filterColumn>
    <sortState xmlns:xlrd2="http://schemas.microsoft.com/office/spreadsheetml/2017/richdata2" ref="B3:AA155">
      <sortCondition descending="1" ref="C2:C155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55"/>
  <sheetViews>
    <sheetView zoomScaleNormal="100" workbookViewId="0">
      <selection activeCell="D9" sqref="D9"/>
    </sheetView>
  </sheetViews>
  <sheetFormatPr defaultRowHeight="16.5"/>
  <cols>
    <col min="1" max="1" width="9.375" customWidth="1"/>
    <col min="2" max="2" width="12" style="29" customWidth="1"/>
    <col min="3" max="3" width="14" customWidth="1"/>
    <col min="4" max="4" width="58.375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>
      <c r="B2" s="41" t="s">
        <v>1</v>
      </c>
      <c r="C2" s="41" t="s">
        <v>330</v>
      </c>
      <c r="D2" s="41" t="s">
        <v>331</v>
      </c>
      <c r="E2" s="1" t="s">
        <v>332</v>
      </c>
      <c r="F2" s="41" t="s">
        <v>333</v>
      </c>
      <c r="G2" s="1" t="s">
        <v>334</v>
      </c>
      <c r="H2" s="1" t="s">
        <v>335</v>
      </c>
      <c r="I2" s="1" t="s">
        <v>336</v>
      </c>
      <c r="J2" s="1" t="s">
        <v>337</v>
      </c>
      <c r="K2" s="1" t="s">
        <v>338</v>
      </c>
      <c r="L2" s="41" t="s">
        <v>339</v>
      </c>
      <c r="M2" s="41" t="s">
        <v>340</v>
      </c>
      <c r="N2" s="41" t="s">
        <v>341</v>
      </c>
      <c r="O2" s="41" t="s">
        <v>342</v>
      </c>
      <c r="P2" s="41" t="s">
        <v>343</v>
      </c>
      <c r="Q2" s="41" t="s">
        <v>344</v>
      </c>
      <c r="R2" s="41" t="s">
        <v>345</v>
      </c>
      <c r="S2" s="41" t="s">
        <v>346</v>
      </c>
      <c r="T2" s="41" t="s">
        <v>347</v>
      </c>
      <c r="U2" s="41" t="s">
        <v>348</v>
      </c>
      <c r="V2" s="41" t="s">
        <v>349</v>
      </c>
      <c r="W2" s="41" t="s">
        <v>350</v>
      </c>
      <c r="X2" s="41" t="s">
        <v>347</v>
      </c>
      <c r="Y2" s="41" t="s">
        <v>348</v>
      </c>
      <c r="Z2" s="41" t="s">
        <v>349</v>
      </c>
      <c r="AA2" s="41" t="s">
        <v>350</v>
      </c>
    </row>
    <row r="3" spans="2:27">
      <c r="B3" s="30" t="s">
        <v>262</v>
      </c>
      <c r="C3" s="2" t="s">
        <v>351</v>
      </c>
      <c r="D3" s="2" t="s">
        <v>352</v>
      </c>
      <c r="E3" s="2" t="s">
        <v>353</v>
      </c>
      <c r="F3" s="20">
        <v>102.8</v>
      </c>
      <c r="G3" s="22">
        <v>24.9</v>
      </c>
      <c r="H3" s="22">
        <v>30.28</v>
      </c>
      <c r="I3" s="22">
        <v>27.23</v>
      </c>
      <c r="J3" s="22">
        <v>28.15</v>
      </c>
      <c r="K3" s="22">
        <v>24.06</v>
      </c>
      <c r="L3" s="22">
        <v>25.31</v>
      </c>
      <c r="M3" s="22">
        <v>10.29</v>
      </c>
      <c r="N3" s="22">
        <v>-41.63</v>
      </c>
      <c r="O3" s="22">
        <v>18.149999999999999</v>
      </c>
      <c r="P3" s="22">
        <v>22.1</v>
      </c>
      <c r="Q3" s="23">
        <v>20.62</v>
      </c>
      <c r="R3" s="23">
        <v>24.53</v>
      </c>
      <c r="S3" s="22">
        <v>25.73</v>
      </c>
      <c r="T3" s="22">
        <v>25.8</v>
      </c>
      <c r="U3" s="22">
        <v>28.24</v>
      </c>
      <c r="V3" s="22">
        <v>31.11</v>
      </c>
      <c r="W3" s="24">
        <v>139.71</v>
      </c>
      <c r="X3" s="6">
        <v>3.9793503979350442E-2</v>
      </c>
      <c r="Y3" s="6">
        <v>7.8816714935870724E-2</v>
      </c>
      <c r="Z3" s="6">
        <v>6.3087248322147627E-2</v>
      </c>
      <c r="AA3" s="7">
        <v>1.027958152958153</v>
      </c>
    </row>
    <row r="4" spans="2:27">
      <c r="B4" s="30" t="s">
        <v>265</v>
      </c>
      <c r="C4" s="2" t="s">
        <v>351</v>
      </c>
      <c r="D4" s="2" t="s">
        <v>355</v>
      </c>
      <c r="E4" s="2" t="s">
        <v>356</v>
      </c>
      <c r="F4" s="20">
        <v>55.3</v>
      </c>
      <c r="G4" s="22">
        <v>15.65</v>
      </c>
      <c r="H4" s="22">
        <v>22.55</v>
      </c>
      <c r="I4" s="22">
        <v>33.69</v>
      </c>
      <c r="J4" s="22">
        <v>28.95</v>
      </c>
      <c r="K4" s="23">
        <v>28.14</v>
      </c>
      <c r="L4" s="23">
        <v>57.49</v>
      </c>
      <c r="M4" s="23">
        <v>83.78</v>
      </c>
      <c r="N4" s="23">
        <v>55.62</v>
      </c>
      <c r="O4" s="23">
        <v>80.489999999999995</v>
      </c>
      <c r="P4" s="23">
        <v>110.34</v>
      </c>
      <c r="Q4" s="22">
        <v>82.38</v>
      </c>
      <c r="R4" s="22">
        <v>55.47</v>
      </c>
      <c r="S4" s="22">
        <v>19.100000000000001</v>
      </c>
      <c r="T4" s="22">
        <v>23.38</v>
      </c>
      <c r="U4" s="22">
        <v>14.69</v>
      </c>
      <c r="V4" s="22">
        <v>15.59</v>
      </c>
      <c r="W4" s="24">
        <v>59.34</v>
      </c>
      <c r="X4" s="6">
        <v>-0.32533951887463058</v>
      </c>
      <c r="Y4" s="6">
        <v>-0.37536738202184883</v>
      </c>
      <c r="Z4" s="6">
        <v>-0.35404829545454541</v>
      </c>
      <c r="AA4" s="7">
        <v>0.55305112699285308</v>
      </c>
    </row>
    <row r="5" spans="2:27">
      <c r="B5" s="30" t="s">
        <v>114</v>
      </c>
      <c r="C5" s="2" t="s">
        <v>351</v>
      </c>
      <c r="D5" s="2" t="s">
        <v>354</v>
      </c>
      <c r="E5" s="2" t="s">
        <v>353</v>
      </c>
      <c r="F5" s="20">
        <v>42.7</v>
      </c>
      <c r="G5" s="22">
        <v>235.1</v>
      </c>
      <c r="H5" s="22">
        <v>157.4</v>
      </c>
      <c r="I5" s="22">
        <v>143.9</v>
      </c>
      <c r="J5" s="22">
        <v>120.7</v>
      </c>
      <c r="K5" s="22">
        <v>103.6</v>
      </c>
      <c r="L5" s="22">
        <v>100.4</v>
      </c>
      <c r="M5" s="22">
        <v>117.9</v>
      </c>
      <c r="N5" s="22">
        <v>121.7</v>
      </c>
      <c r="O5" s="22">
        <v>143.69999999999999</v>
      </c>
      <c r="P5" s="22">
        <v>119.2</v>
      </c>
      <c r="Q5" s="22">
        <v>164.3</v>
      </c>
      <c r="R5" s="22">
        <v>164.7</v>
      </c>
      <c r="S5" s="22">
        <v>192.8</v>
      </c>
      <c r="T5" s="22">
        <v>153.6</v>
      </c>
      <c r="U5" s="22">
        <v>163.80000000000001</v>
      </c>
      <c r="V5" s="22">
        <v>180.1</v>
      </c>
      <c r="W5" s="24">
        <v>487.4</v>
      </c>
      <c r="X5" s="6">
        <v>5.3666146645865893E-2</v>
      </c>
      <c r="Y5" s="6">
        <v>-7.4030204323360937E-4</v>
      </c>
      <c r="Z5" s="6">
        <v>2.2818195288190731E-2</v>
      </c>
      <c r="AA5" s="7">
        <v>0.4267709691438506</v>
      </c>
    </row>
    <row r="6" spans="2:27">
      <c r="B6" s="30" t="s">
        <v>174</v>
      </c>
      <c r="C6" s="2" t="s">
        <v>351</v>
      </c>
      <c r="D6" s="2" t="s">
        <v>352</v>
      </c>
      <c r="E6" s="2" t="s">
        <v>353</v>
      </c>
      <c r="F6" s="20">
        <v>37.299999999999997</v>
      </c>
      <c r="G6" s="22"/>
      <c r="H6" s="22"/>
      <c r="I6" s="22"/>
      <c r="J6" s="22"/>
      <c r="K6" s="22"/>
      <c r="L6" s="22"/>
      <c r="M6" s="22"/>
      <c r="N6" s="22"/>
      <c r="O6" s="22"/>
      <c r="P6" s="22">
        <v>-157.4</v>
      </c>
      <c r="Q6" s="22">
        <v>70.42</v>
      </c>
      <c r="R6" s="22">
        <v>55.48</v>
      </c>
      <c r="S6" s="22">
        <v>67.19</v>
      </c>
      <c r="T6" s="23">
        <v>61.46</v>
      </c>
      <c r="U6" s="22">
        <v>59.04</v>
      </c>
      <c r="V6" s="22">
        <v>45.1</v>
      </c>
      <c r="W6" s="24">
        <v>153.94999999999999</v>
      </c>
      <c r="X6" s="7">
        <v>6.1322499299523701</v>
      </c>
      <c r="Y6" s="6">
        <v>-4.4706344529562007E-2</v>
      </c>
      <c r="Z6" s="6">
        <v>-4.2686186618415063E-2</v>
      </c>
      <c r="AA6" s="7">
        <v>0.37269642166759742</v>
      </c>
    </row>
    <row r="7" spans="2:27">
      <c r="B7" s="30" t="s">
        <v>38</v>
      </c>
      <c r="C7" s="2" t="s">
        <v>351</v>
      </c>
      <c r="D7" s="2" t="s">
        <v>357</v>
      </c>
      <c r="E7" s="2" t="s">
        <v>353</v>
      </c>
      <c r="F7" s="20">
        <v>31.3</v>
      </c>
      <c r="G7" s="22">
        <v>-107.35</v>
      </c>
      <c r="H7" s="22">
        <v>-93.07</v>
      </c>
      <c r="I7" s="22">
        <v>-94.91</v>
      </c>
      <c r="J7" s="22">
        <v>-74.349999999999994</v>
      </c>
      <c r="K7" s="22">
        <v>-37.08</v>
      </c>
      <c r="L7" s="22">
        <v>-36.06</v>
      </c>
      <c r="M7" s="22">
        <v>-49.15</v>
      </c>
      <c r="N7" s="22">
        <v>-19.75</v>
      </c>
      <c r="O7" s="22">
        <v>51.3</v>
      </c>
      <c r="P7" s="22">
        <v>94.23</v>
      </c>
      <c r="Q7" s="23">
        <v>15.34</v>
      </c>
      <c r="R7" s="23">
        <v>63.86</v>
      </c>
      <c r="S7" s="22">
        <v>59.92</v>
      </c>
      <c r="T7" s="22">
        <v>79.78</v>
      </c>
      <c r="U7" s="23">
        <v>112.19</v>
      </c>
      <c r="V7" s="23">
        <v>148.55000000000001</v>
      </c>
      <c r="W7" s="24">
        <v>185.33</v>
      </c>
      <c r="X7" s="6">
        <v>-6.1924148275123159E-2</v>
      </c>
      <c r="Y7" s="7">
        <v>0.44243947007766099</v>
      </c>
      <c r="Z7" s="7">
        <v>0.26821852731591461</v>
      </c>
      <c r="AA7" s="7">
        <v>0.31318050144840681</v>
      </c>
    </row>
    <row r="8" spans="2:27">
      <c r="B8" s="30" t="s">
        <v>289</v>
      </c>
      <c r="C8" s="2" t="s">
        <v>351</v>
      </c>
      <c r="D8" s="2" t="s">
        <v>358</v>
      </c>
      <c r="E8" s="2" t="s">
        <v>353</v>
      </c>
      <c r="F8" s="20">
        <v>29.3</v>
      </c>
      <c r="G8" s="22">
        <v>141.12</v>
      </c>
      <c r="H8" s="22">
        <v>35.229999999999997</v>
      </c>
      <c r="I8" s="22">
        <v>13.94</v>
      </c>
      <c r="J8" s="22">
        <v>64.3</v>
      </c>
      <c r="K8" s="22">
        <v>75.63</v>
      </c>
      <c r="L8" s="23">
        <v>57.64</v>
      </c>
      <c r="M8" s="23">
        <v>56.36</v>
      </c>
      <c r="N8" s="22">
        <v>51.32</v>
      </c>
      <c r="O8" s="22">
        <v>66.17</v>
      </c>
      <c r="P8" s="22">
        <v>64.61</v>
      </c>
      <c r="Q8" s="22">
        <v>40.93</v>
      </c>
      <c r="R8" s="22">
        <v>63.35</v>
      </c>
      <c r="S8" s="22">
        <v>66.09</v>
      </c>
      <c r="T8" s="22">
        <v>69.400000000000006</v>
      </c>
      <c r="U8" s="22">
        <v>62.75</v>
      </c>
      <c r="V8" s="22">
        <v>62.96</v>
      </c>
      <c r="W8" s="24">
        <v>142.59</v>
      </c>
      <c r="X8" s="6">
        <v>2.0384713592646039E-2</v>
      </c>
      <c r="Y8" s="6">
        <v>9.1003878717103914E-2</v>
      </c>
      <c r="Z8" s="6">
        <v>-1.4908826790016589E-3</v>
      </c>
      <c r="AA8" s="7">
        <v>0.29287901990811638</v>
      </c>
    </row>
    <row r="9" spans="2:27">
      <c r="B9" s="30" t="s">
        <v>199</v>
      </c>
      <c r="C9" s="2" t="s">
        <v>351</v>
      </c>
      <c r="D9" s="2" t="s">
        <v>354</v>
      </c>
      <c r="E9" s="2" t="s">
        <v>353</v>
      </c>
      <c r="F9" s="20">
        <v>16.3</v>
      </c>
      <c r="G9" s="22">
        <v>22.56</v>
      </c>
      <c r="H9" s="22">
        <v>17.690000000000001</v>
      </c>
      <c r="I9" s="22">
        <v>15.8</v>
      </c>
      <c r="J9" s="22">
        <v>14.87</v>
      </c>
      <c r="K9" s="22">
        <v>11.72</v>
      </c>
      <c r="L9" s="22">
        <v>16.57</v>
      </c>
      <c r="M9" s="22">
        <v>18.18</v>
      </c>
      <c r="N9" s="23">
        <v>26.71</v>
      </c>
      <c r="O9" s="23">
        <v>26.04</v>
      </c>
      <c r="P9" s="23">
        <v>27.95</v>
      </c>
      <c r="Q9" s="23">
        <v>33.51</v>
      </c>
      <c r="R9" s="23">
        <v>40.79</v>
      </c>
      <c r="S9" s="22">
        <v>35.04</v>
      </c>
      <c r="T9" s="22">
        <v>34.159999999999997</v>
      </c>
      <c r="U9" s="22">
        <v>36.6</v>
      </c>
      <c r="V9" s="22">
        <v>48.06</v>
      </c>
      <c r="W9" s="24">
        <v>60.06</v>
      </c>
      <c r="X9" s="6">
        <v>4.523271906184001E-2</v>
      </c>
      <c r="Y9" s="6">
        <v>2.1533101045296151E-2</v>
      </c>
      <c r="Z9" s="6">
        <v>4.9594106009959837E-2</v>
      </c>
      <c r="AA9" s="7">
        <v>0.1626153646171844</v>
      </c>
    </row>
    <row r="10" spans="2:27">
      <c r="B10" s="30" t="s">
        <v>123</v>
      </c>
      <c r="C10" s="2" t="s">
        <v>351</v>
      </c>
      <c r="D10" s="2" t="s">
        <v>364</v>
      </c>
      <c r="E10" s="2" t="s">
        <v>353</v>
      </c>
      <c r="F10" s="20">
        <v>13.6</v>
      </c>
      <c r="G10" s="22">
        <v>1.98</v>
      </c>
      <c r="H10" s="22">
        <v>0.77</v>
      </c>
      <c r="I10" s="22">
        <v>1.85</v>
      </c>
      <c r="J10" s="22">
        <v>2.08</v>
      </c>
      <c r="K10" s="22">
        <v>2.23</v>
      </c>
      <c r="L10" s="22">
        <v>1.2</v>
      </c>
      <c r="M10" s="23">
        <v>2.71</v>
      </c>
      <c r="N10" s="22">
        <v>2.7</v>
      </c>
      <c r="O10" s="22">
        <v>0.42</v>
      </c>
      <c r="P10" s="22">
        <v>0.79</v>
      </c>
      <c r="Q10" s="22">
        <v>2.69</v>
      </c>
      <c r="R10" s="22">
        <v>2.29</v>
      </c>
      <c r="S10" s="22">
        <v>0.63</v>
      </c>
      <c r="T10" s="22">
        <v>0.86</v>
      </c>
      <c r="U10" s="23">
        <v>3.64</v>
      </c>
      <c r="V10" s="22">
        <v>2.97</v>
      </c>
      <c r="W10" s="24">
        <v>1.73</v>
      </c>
      <c r="X10" s="6">
        <v>1.0937499999999821E-2</v>
      </c>
      <c r="Y10" s="7">
        <v>0.14683153013910369</v>
      </c>
      <c r="Z10" s="6">
        <v>9.1644204851752065E-2</v>
      </c>
      <c r="AA10" s="7">
        <v>0.1358024691358026</v>
      </c>
    </row>
    <row r="11" spans="2:27">
      <c r="B11" s="30" t="s">
        <v>83</v>
      </c>
      <c r="C11" s="2" t="s">
        <v>351</v>
      </c>
      <c r="D11" s="2" t="s">
        <v>367</v>
      </c>
      <c r="E11" s="2" t="s">
        <v>353</v>
      </c>
      <c r="F11" s="20">
        <v>11.5</v>
      </c>
      <c r="G11" s="22">
        <v>264</v>
      </c>
      <c r="H11" s="22">
        <v>354</v>
      </c>
      <c r="I11" s="22">
        <v>378</v>
      </c>
      <c r="J11" s="22">
        <v>287</v>
      </c>
      <c r="K11" s="22">
        <v>330</v>
      </c>
      <c r="L11" s="22">
        <v>433</v>
      </c>
      <c r="M11" s="22">
        <v>273</v>
      </c>
      <c r="N11" s="22">
        <v>295</v>
      </c>
      <c r="O11" s="22">
        <v>70</v>
      </c>
      <c r="P11" s="22">
        <v>299</v>
      </c>
      <c r="Q11" s="22">
        <v>212</v>
      </c>
      <c r="R11" s="22">
        <v>293</v>
      </c>
      <c r="S11" s="22">
        <v>107</v>
      </c>
      <c r="T11" s="22">
        <v>232</v>
      </c>
      <c r="U11" s="22">
        <v>231</v>
      </c>
      <c r="V11" s="22">
        <v>222</v>
      </c>
      <c r="W11" s="24">
        <v>198</v>
      </c>
      <c r="X11" s="6">
        <v>-7.3545554335894603E-2</v>
      </c>
      <c r="Y11" s="6">
        <v>2.2511848341232321E-2</v>
      </c>
      <c r="Z11" s="6">
        <v>-8.2271147161066094E-2</v>
      </c>
      <c r="AA11" s="7">
        <v>0.11489898989898981</v>
      </c>
    </row>
    <row r="12" spans="2:27">
      <c r="B12" s="30" t="s">
        <v>167</v>
      </c>
      <c r="C12" s="2" t="s">
        <v>351</v>
      </c>
      <c r="D12" s="2" t="s">
        <v>352</v>
      </c>
      <c r="E12" s="2" t="s">
        <v>353</v>
      </c>
      <c r="F12" s="4">
        <v>8.6999999999999993</v>
      </c>
      <c r="G12" s="22">
        <v>70.150000000000006</v>
      </c>
      <c r="H12" s="22">
        <v>76.959999999999994</v>
      </c>
      <c r="I12" s="22">
        <v>79.11</v>
      </c>
      <c r="J12" s="22">
        <v>92.08</v>
      </c>
      <c r="K12" s="23">
        <v>103.07</v>
      </c>
      <c r="L12" s="22">
        <v>88.9</v>
      </c>
      <c r="M12" s="22">
        <v>81.41</v>
      </c>
      <c r="N12" s="22">
        <v>76.36</v>
      </c>
      <c r="O12" s="22">
        <v>62.5</v>
      </c>
      <c r="P12" s="22">
        <v>70.69</v>
      </c>
      <c r="Q12" s="22">
        <v>80.73</v>
      </c>
      <c r="R12" s="22">
        <v>76.45</v>
      </c>
      <c r="S12" s="22">
        <v>64.739999999999995</v>
      </c>
      <c r="T12" s="22">
        <v>76.94</v>
      </c>
      <c r="U12" s="22">
        <v>88.1</v>
      </c>
      <c r="V12" s="22">
        <v>96.15</v>
      </c>
      <c r="W12" s="25">
        <v>93.05</v>
      </c>
      <c r="X12" s="6">
        <v>2.1359488739277621E-2</v>
      </c>
      <c r="Y12" s="6">
        <v>2.4660376095830831E-2</v>
      </c>
      <c r="Z12" s="6">
        <v>6.4330731802893171E-2</v>
      </c>
      <c r="AA12" s="6">
        <v>8.6859141533458084E-2</v>
      </c>
    </row>
    <row r="13" spans="2:27">
      <c r="B13" s="30" t="s">
        <v>116</v>
      </c>
      <c r="C13" s="2" t="s">
        <v>351</v>
      </c>
      <c r="D13" s="2" t="s">
        <v>359</v>
      </c>
      <c r="E13" s="2" t="s">
        <v>360</v>
      </c>
      <c r="F13" s="4">
        <v>6.1</v>
      </c>
      <c r="G13" s="22"/>
      <c r="H13" s="22"/>
      <c r="I13" s="22"/>
      <c r="J13" s="22"/>
      <c r="K13" s="22"/>
      <c r="L13" s="22"/>
      <c r="M13" s="22"/>
      <c r="N13" s="22"/>
      <c r="O13" s="22"/>
      <c r="P13" s="22">
        <v>-65.16</v>
      </c>
      <c r="Q13" s="22">
        <v>-68.19</v>
      </c>
      <c r="R13" s="22">
        <v>-65.83</v>
      </c>
      <c r="S13" s="22">
        <v>-24.5</v>
      </c>
      <c r="T13" s="22">
        <v>-30.21</v>
      </c>
      <c r="U13" s="23">
        <v>-184.97</v>
      </c>
      <c r="V13" s="22">
        <v>-39.19</v>
      </c>
      <c r="W13" s="25">
        <v>-41.62</v>
      </c>
      <c r="X13" s="6">
        <v>-0.15625000000000011</v>
      </c>
      <c r="Y13" s="7">
        <v>0.61876755152863883</v>
      </c>
      <c r="Z13" s="6">
        <v>-8.7198455042388101E-2</v>
      </c>
      <c r="AA13" s="6">
        <v>6.1390612113171088E-2</v>
      </c>
    </row>
    <row r="14" spans="2:27">
      <c r="B14" s="30" t="s">
        <v>112</v>
      </c>
      <c r="C14" s="2" t="s">
        <v>351</v>
      </c>
      <c r="D14" s="2" t="s">
        <v>362</v>
      </c>
      <c r="E14" s="2" t="s">
        <v>363</v>
      </c>
      <c r="F14" s="4">
        <v>6</v>
      </c>
      <c r="G14" s="22">
        <v>20.329999999999998</v>
      </c>
      <c r="H14" s="22">
        <v>-4.92</v>
      </c>
      <c r="I14" s="22">
        <v>15.71</v>
      </c>
      <c r="J14" s="22">
        <v>25.1</v>
      </c>
      <c r="K14" s="23">
        <v>27.67</v>
      </c>
      <c r="L14" s="23">
        <v>31.58</v>
      </c>
      <c r="M14" s="23">
        <v>33.31</v>
      </c>
      <c r="N14" s="23">
        <v>56.96</v>
      </c>
      <c r="O14" s="23">
        <v>57.95</v>
      </c>
      <c r="P14" s="23">
        <v>76.34</v>
      </c>
      <c r="Q14" s="23">
        <v>90.09</v>
      </c>
      <c r="R14" s="22">
        <v>75.52</v>
      </c>
      <c r="S14" s="22">
        <v>74.989999999999995</v>
      </c>
      <c r="T14" s="22">
        <v>92.83</v>
      </c>
      <c r="U14" s="22">
        <v>112.26</v>
      </c>
      <c r="V14" s="22">
        <v>104.44</v>
      </c>
      <c r="W14" s="25">
        <v>98.2</v>
      </c>
      <c r="X14" s="6">
        <v>5.202877516249127E-2</v>
      </c>
      <c r="Y14" s="6">
        <v>6.6490717691869428E-2</v>
      </c>
      <c r="Z14" s="6">
        <v>8.1327334083239444E-2</v>
      </c>
      <c r="AA14" s="6">
        <v>6.0360969520441232E-2</v>
      </c>
    </row>
    <row r="15" spans="2:27">
      <c r="B15" s="30" t="s">
        <v>325</v>
      </c>
      <c r="C15" s="2" t="s">
        <v>351</v>
      </c>
      <c r="D15" s="2" t="s">
        <v>352</v>
      </c>
      <c r="E15" s="2" t="s">
        <v>353</v>
      </c>
      <c r="F15" s="4">
        <v>5.3</v>
      </c>
      <c r="G15" s="22">
        <v>10.28</v>
      </c>
      <c r="H15" s="22">
        <v>8.92</v>
      </c>
      <c r="I15" s="22">
        <v>11.29</v>
      </c>
      <c r="J15" s="22">
        <v>12.31</v>
      </c>
      <c r="K15" s="22">
        <v>12.46</v>
      </c>
      <c r="L15" s="22">
        <v>11.76</v>
      </c>
      <c r="M15" s="22">
        <v>11.09</v>
      </c>
      <c r="N15" s="22">
        <v>9.89</v>
      </c>
      <c r="O15" s="22">
        <v>10.210000000000001</v>
      </c>
      <c r="P15" s="22">
        <v>10.119999999999999</v>
      </c>
      <c r="Q15" s="22">
        <v>9.9</v>
      </c>
      <c r="R15" s="22">
        <v>10.82</v>
      </c>
      <c r="S15" s="22">
        <v>11.54</v>
      </c>
      <c r="T15" s="22">
        <v>12.84</v>
      </c>
      <c r="U15" s="22">
        <v>12.72</v>
      </c>
      <c r="V15" s="22">
        <v>13.37</v>
      </c>
      <c r="W15" s="25">
        <v>14.19</v>
      </c>
      <c r="X15" s="6">
        <v>6.4181217555450809E-2</v>
      </c>
      <c r="Y15" s="6">
        <v>6.2527716186252746E-2</v>
      </c>
      <c r="Z15" s="6">
        <v>5.3213689482470627E-2</v>
      </c>
      <c r="AA15" s="6">
        <v>5.2506439468991362E-2</v>
      </c>
    </row>
    <row r="16" spans="2:27">
      <c r="B16" s="30" t="s">
        <v>132</v>
      </c>
      <c r="C16" s="2" t="s">
        <v>351</v>
      </c>
      <c r="D16" s="2" t="s">
        <v>361</v>
      </c>
      <c r="E16" s="2" t="s">
        <v>353</v>
      </c>
      <c r="F16" s="4">
        <v>4.5999999999999996</v>
      </c>
      <c r="G16" s="22">
        <v>87.96</v>
      </c>
      <c r="H16" s="22">
        <v>103.31</v>
      </c>
      <c r="I16" s="22">
        <v>85.79</v>
      </c>
      <c r="J16" s="22">
        <v>86.79</v>
      </c>
      <c r="K16" s="22">
        <v>94.12</v>
      </c>
      <c r="L16" s="22">
        <v>113.25</v>
      </c>
      <c r="M16" s="23">
        <v>127.29</v>
      </c>
      <c r="N16" s="22">
        <v>122.42</v>
      </c>
      <c r="O16" s="22">
        <v>132.77000000000001</v>
      </c>
      <c r="P16" s="22">
        <v>129.35</v>
      </c>
      <c r="Q16" s="22">
        <v>114.88</v>
      </c>
      <c r="R16" s="22">
        <v>125.73</v>
      </c>
      <c r="S16" s="22">
        <v>98.63</v>
      </c>
      <c r="T16" s="22">
        <v>115.88</v>
      </c>
      <c r="U16" s="22">
        <v>125.3</v>
      </c>
      <c r="V16" s="22">
        <v>122.85</v>
      </c>
      <c r="W16" s="25">
        <v>120.1</v>
      </c>
      <c r="X16" s="6">
        <v>-2.874581190379644E-2</v>
      </c>
      <c r="Y16" s="6">
        <v>2.289506064334668E-2</v>
      </c>
      <c r="Z16" s="6">
        <v>-6.1863642221935411E-3</v>
      </c>
      <c r="AA16" s="6">
        <v>4.6405567803570642E-2</v>
      </c>
    </row>
    <row r="17" spans="2:27">
      <c r="B17" s="30" t="s">
        <v>52</v>
      </c>
      <c r="C17" s="2" t="s">
        <v>351</v>
      </c>
      <c r="D17" s="2" t="s">
        <v>366</v>
      </c>
      <c r="E17" s="2" t="s">
        <v>353</v>
      </c>
      <c r="F17" s="4">
        <v>2.9</v>
      </c>
      <c r="G17" s="22">
        <v>187.7</v>
      </c>
      <c r="H17" s="22">
        <v>280.7</v>
      </c>
      <c r="I17" s="22">
        <v>261.60000000000002</v>
      </c>
      <c r="J17" s="22">
        <v>253.9</v>
      </c>
      <c r="K17" s="22">
        <v>212.6</v>
      </c>
      <c r="L17" s="22">
        <v>291.89999999999998</v>
      </c>
      <c r="M17" s="22">
        <v>293.60000000000002</v>
      </c>
      <c r="N17" s="22">
        <v>255.8</v>
      </c>
      <c r="O17" s="22">
        <v>216.1</v>
      </c>
      <c r="P17" s="22">
        <v>305</v>
      </c>
      <c r="Q17" s="22">
        <v>336.9</v>
      </c>
      <c r="R17" s="22">
        <v>265.60000000000002</v>
      </c>
      <c r="S17" s="22">
        <v>256.7</v>
      </c>
      <c r="T17" s="22">
        <v>295.3</v>
      </c>
      <c r="U17" s="22">
        <v>312.7</v>
      </c>
      <c r="V17" s="22">
        <v>254.6</v>
      </c>
      <c r="W17" s="25">
        <v>289.7</v>
      </c>
      <c r="X17" s="6">
        <v>-8.3319017350971247E-3</v>
      </c>
      <c r="Y17" s="6">
        <v>-2.0961455175400601E-2</v>
      </c>
      <c r="Z17" s="6">
        <v>-9.7319295762187119E-3</v>
      </c>
      <c r="AA17" s="6">
        <v>2.9482712409541589E-2</v>
      </c>
    </row>
    <row r="18" spans="2:27">
      <c r="B18" s="30" t="s">
        <v>190</v>
      </c>
      <c r="C18" s="2" t="s">
        <v>351</v>
      </c>
      <c r="D18" s="2" t="s">
        <v>352</v>
      </c>
      <c r="E18" s="2" t="s">
        <v>353</v>
      </c>
      <c r="F18" s="4">
        <v>2.6</v>
      </c>
      <c r="G18" s="22">
        <v>51.07</v>
      </c>
      <c r="H18" s="22">
        <v>57.48</v>
      </c>
      <c r="I18" s="22">
        <v>58.2</v>
      </c>
      <c r="J18" s="22">
        <v>63.28</v>
      </c>
      <c r="K18" s="22">
        <v>58.09</v>
      </c>
      <c r="L18" s="22">
        <v>48.08</v>
      </c>
      <c r="M18" s="22">
        <v>52.78</v>
      </c>
      <c r="N18" s="22">
        <v>54.16</v>
      </c>
      <c r="O18" s="22">
        <v>31.21</v>
      </c>
      <c r="P18" s="22">
        <v>42.39</v>
      </c>
      <c r="Q18" s="22">
        <v>51.16</v>
      </c>
      <c r="R18" s="22">
        <v>48.72</v>
      </c>
      <c r="S18" s="22">
        <v>48.11</v>
      </c>
      <c r="T18" s="22">
        <v>59.09</v>
      </c>
      <c r="U18" s="22">
        <v>50.37</v>
      </c>
      <c r="V18" s="22">
        <v>46.65</v>
      </c>
      <c r="W18" s="25">
        <v>53.49</v>
      </c>
      <c r="X18" s="6">
        <v>8.7719298245614086E-2</v>
      </c>
      <c r="Y18" s="6">
        <v>-3.8149507436738839E-3</v>
      </c>
      <c r="Z18" s="6">
        <v>-1.0034417567502009E-2</v>
      </c>
      <c r="AA18" s="6">
        <v>2.6344138673979112E-2</v>
      </c>
    </row>
    <row r="19" spans="2:27">
      <c r="B19" s="30" t="s">
        <v>120</v>
      </c>
      <c r="C19" s="2" t="s">
        <v>351</v>
      </c>
      <c r="D19" s="2" t="s">
        <v>373</v>
      </c>
      <c r="E19" s="2" t="s">
        <v>353</v>
      </c>
      <c r="F19" s="4">
        <v>2.1</v>
      </c>
      <c r="G19" s="22">
        <v>750</v>
      </c>
      <c r="H19" s="22">
        <v>538</v>
      </c>
      <c r="I19" s="22">
        <v>623</v>
      </c>
      <c r="J19" s="22">
        <v>801</v>
      </c>
      <c r="K19" s="22">
        <v>953</v>
      </c>
      <c r="L19" s="23">
        <v>891</v>
      </c>
      <c r="M19" s="22">
        <v>778</v>
      </c>
      <c r="N19" s="22">
        <v>980</v>
      </c>
      <c r="O19" s="22">
        <v>860</v>
      </c>
      <c r="P19" s="22">
        <v>820</v>
      </c>
      <c r="Q19" s="22">
        <v>711</v>
      </c>
      <c r="R19" s="23">
        <v>1844</v>
      </c>
      <c r="S19" s="22">
        <v>1095</v>
      </c>
      <c r="T19" s="22">
        <v>1036</v>
      </c>
      <c r="U19" s="22">
        <v>959</v>
      </c>
      <c r="V19" s="22">
        <v>978</v>
      </c>
      <c r="W19" s="25">
        <v>1182</v>
      </c>
      <c r="X19" s="6">
        <v>4.832214765100673E-2</v>
      </c>
      <c r="Y19" s="6">
        <v>5.2923602219376857E-2</v>
      </c>
      <c r="Z19" s="6">
        <v>-0.17551682205107419</v>
      </c>
      <c r="AA19" s="6">
        <v>2.1386430678466128E-2</v>
      </c>
    </row>
    <row r="20" spans="2:27">
      <c r="B20" s="30" t="s">
        <v>14</v>
      </c>
      <c r="C20" s="2" t="s">
        <v>351</v>
      </c>
      <c r="D20" s="2" t="s">
        <v>357</v>
      </c>
      <c r="E20" s="2" t="s">
        <v>353</v>
      </c>
      <c r="F20" s="4">
        <v>1.9</v>
      </c>
      <c r="G20" s="22">
        <v>2535</v>
      </c>
      <c r="H20" s="22">
        <v>2723</v>
      </c>
      <c r="I20" s="22">
        <v>2554</v>
      </c>
      <c r="J20" s="22">
        <v>2483</v>
      </c>
      <c r="K20" s="22">
        <v>2258</v>
      </c>
      <c r="L20" s="22">
        <v>2257</v>
      </c>
      <c r="M20" s="22">
        <v>2719</v>
      </c>
      <c r="N20" s="22">
        <v>3091</v>
      </c>
      <c r="O20" s="22">
        <v>2667</v>
      </c>
      <c r="P20" s="22">
        <v>3129</v>
      </c>
      <c r="Q20" s="22">
        <v>3176</v>
      </c>
      <c r="R20" s="22">
        <v>3199</v>
      </c>
      <c r="S20" s="22">
        <v>2833</v>
      </c>
      <c r="T20" s="22">
        <v>3354</v>
      </c>
      <c r="U20" s="22">
        <v>3455</v>
      </c>
      <c r="V20" s="22">
        <v>3780</v>
      </c>
      <c r="W20" s="25">
        <v>3090</v>
      </c>
      <c r="X20" s="6">
        <v>1.8237821188295419E-2</v>
      </c>
      <c r="Y20" s="6">
        <v>2.220983919758002E-2</v>
      </c>
      <c r="Z20" s="6">
        <v>4.5245697375593703E-2</v>
      </c>
      <c r="AA20" s="6">
        <v>1.9147668007748479E-2</v>
      </c>
    </row>
    <row r="21" spans="2:27">
      <c r="B21" s="30" t="s">
        <v>25</v>
      </c>
      <c r="C21" s="2" t="s">
        <v>351</v>
      </c>
      <c r="D21" s="2" t="s">
        <v>366</v>
      </c>
      <c r="E21" s="2" t="s">
        <v>353</v>
      </c>
      <c r="F21" s="4">
        <v>1.2</v>
      </c>
      <c r="G21" s="22">
        <v>906</v>
      </c>
      <c r="H21" s="22">
        <v>904</v>
      </c>
      <c r="I21" s="22">
        <v>880</v>
      </c>
      <c r="J21" s="22">
        <v>904</v>
      </c>
      <c r="K21" s="22">
        <v>894</v>
      </c>
      <c r="L21" s="22">
        <v>913</v>
      </c>
      <c r="M21" s="22">
        <v>966</v>
      </c>
      <c r="N21" s="22">
        <v>1016</v>
      </c>
      <c r="O21" s="22">
        <v>1047</v>
      </c>
      <c r="P21" s="22">
        <v>1061</v>
      </c>
      <c r="Q21" s="22">
        <v>1097</v>
      </c>
      <c r="R21" s="22">
        <v>1057</v>
      </c>
      <c r="S21" s="22">
        <v>1035</v>
      </c>
      <c r="T21" s="22">
        <v>1069</v>
      </c>
      <c r="U21" s="22">
        <v>1066</v>
      </c>
      <c r="V21" s="22">
        <v>1038</v>
      </c>
      <c r="W21" s="25">
        <v>1085</v>
      </c>
      <c r="X21" s="6">
        <v>1.8823529411764459E-3</v>
      </c>
      <c r="Y21" s="6">
        <v>-7.2804133395960591E-3</v>
      </c>
      <c r="Z21" s="6">
        <v>-4.4949136503430456E-3</v>
      </c>
      <c r="AA21" s="6">
        <v>1.18821292775666E-2</v>
      </c>
    </row>
    <row r="22" spans="2:27">
      <c r="B22" s="30" t="s">
        <v>49</v>
      </c>
      <c r="C22" s="2" t="s">
        <v>351</v>
      </c>
      <c r="D22" s="2" t="s">
        <v>370</v>
      </c>
      <c r="E22" s="2" t="s">
        <v>353</v>
      </c>
      <c r="F22" s="4">
        <v>-0.5</v>
      </c>
      <c r="G22" s="22">
        <v>3130</v>
      </c>
      <c r="H22" s="22">
        <v>2789</v>
      </c>
      <c r="I22" s="22">
        <v>3182</v>
      </c>
      <c r="J22" s="22">
        <v>3333</v>
      </c>
      <c r="K22" s="22">
        <v>3193</v>
      </c>
      <c r="L22" s="22">
        <v>2938</v>
      </c>
      <c r="M22" s="22">
        <v>3183</v>
      </c>
      <c r="N22" s="22">
        <v>3157</v>
      </c>
      <c r="O22" s="22">
        <v>3012</v>
      </c>
      <c r="P22" s="22">
        <v>3094</v>
      </c>
      <c r="Q22" s="22">
        <v>3343</v>
      </c>
      <c r="R22" s="22">
        <v>3358</v>
      </c>
      <c r="S22" s="22">
        <v>3427</v>
      </c>
      <c r="T22" s="22">
        <v>3360</v>
      </c>
      <c r="U22" s="22">
        <v>3360</v>
      </c>
      <c r="V22" s="22">
        <v>3262</v>
      </c>
      <c r="W22" s="25">
        <v>3365</v>
      </c>
      <c r="X22" s="6">
        <v>2.0117985176221431E-2</v>
      </c>
      <c r="Y22" s="6">
        <v>1.260379596678574E-3</v>
      </c>
      <c r="Z22" s="6">
        <v>-7.1084783413550836E-3</v>
      </c>
      <c r="AA22" s="6">
        <v>-4.6237601610857881E-3</v>
      </c>
    </row>
    <row r="23" spans="2:27">
      <c r="B23" s="30" t="s">
        <v>90</v>
      </c>
      <c r="C23" s="2" t="s">
        <v>351</v>
      </c>
      <c r="D23" s="2" t="s">
        <v>361</v>
      </c>
      <c r="E23" s="2" t="s">
        <v>353</v>
      </c>
      <c r="F23" s="4">
        <v>-1.5</v>
      </c>
      <c r="G23" s="22">
        <v>177</v>
      </c>
      <c r="H23" s="22">
        <v>56</v>
      </c>
      <c r="I23" s="22">
        <v>102</v>
      </c>
      <c r="J23" s="22">
        <v>172</v>
      </c>
      <c r="K23" s="22">
        <v>224</v>
      </c>
      <c r="L23" s="23">
        <v>128</v>
      </c>
      <c r="M23" s="23">
        <v>198</v>
      </c>
      <c r="N23" s="22">
        <v>235</v>
      </c>
      <c r="O23" s="23">
        <v>544</v>
      </c>
      <c r="P23" s="22">
        <v>195</v>
      </c>
      <c r="Q23" s="22">
        <v>220</v>
      </c>
      <c r="R23" s="22">
        <v>234</v>
      </c>
      <c r="S23" s="22">
        <v>353</v>
      </c>
      <c r="T23" s="22">
        <v>242</v>
      </c>
      <c r="U23" s="22">
        <v>249</v>
      </c>
      <c r="V23" s="22">
        <v>269</v>
      </c>
      <c r="W23" s="25">
        <v>336</v>
      </c>
      <c r="X23" s="6">
        <v>4.6906187624750517E-2</v>
      </c>
      <c r="Y23" s="6">
        <v>2.7645376549094269E-2</v>
      </c>
      <c r="Z23" s="6">
        <v>3.2467532467532527E-2</v>
      </c>
      <c r="AA23" s="6">
        <v>-1.5274034141958709E-2</v>
      </c>
    </row>
    <row r="24" spans="2:27">
      <c r="B24" s="30" t="s">
        <v>7</v>
      </c>
      <c r="C24" s="2" t="s">
        <v>351</v>
      </c>
      <c r="D24" s="2" t="s">
        <v>371</v>
      </c>
      <c r="E24" s="2" t="s">
        <v>353</v>
      </c>
      <c r="F24" s="4">
        <v>-1.6</v>
      </c>
      <c r="G24" s="22">
        <v>11128</v>
      </c>
      <c r="H24" s="22">
        <v>9181</v>
      </c>
      <c r="I24" s="22">
        <v>21439</v>
      </c>
      <c r="J24" s="22">
        <v>21696</v>
      </c>
      <c r="K24" s="22">
        <v>13738</v>
      </c>
      <c r="L24" s="22">
        <v>14581</v>
      </c>
      <c r="M24" s="22">
        <v>9247</v>
      </c>
      <c r="N24" s="22">
        <v>11678</v>
      </c>
      <c r="O24" s="22">
        <v>11541</v>
      </c>
      <c r="P24" s="22">
        <v>9918</v>
      </c>
      <c r="Q24" s="22">
        <v>10862</v>
      </c>
      <c r="R24" s="22">
        <v>11009</v>
      </c>
      <c r="S24" s="22">
        <v>8350</v>
      </c>
      <c r="T24" s="22">
        <v>9733</v>
      </c>
      <c r="U24" s="22">
        <v>8821</v>
      </c>
      <c r="V24" s="22">
        <v>9214</v>
      </c>
      <c r="W24" s="25">
        <v>7780</v>
      </c>
      <c r="X24" s="6">
        <v>-4.6089837813597656E-3</v>
      </c>
      <c r="Y24" s="6">
        <v>-5.1083746308254518E-2</v>
      </c>
      <c r="Z24" s="6">
        <v>-4.7345237781235998E-2</v>
      </c>
      <c r="AA24" s="6">
        <v>-1.578160474001877E-2</v>
      </c>
    </row>
    <row r="25" spans="2:27">
      <c r="B25" s="30" t="s">
        <v>27</v>
      </c>
      <c r="C25" s="2" t="s">
        <v>351</v>
      </c>
      <c r="D25" s="2" t="s">
        <v>365</v>
      </c>
      <c r="E25" s="2" t="s">
        <v>363</v>
      </c>
      <c r="F25" s="4">
        <v>-2.5</v>
      </c>
      <c r="G25" s="22">
        <v>535.29999999999995</v>
      </c>
      <c r="H25" s="22">
        <v>573.9</v>
      </c>
      <c r="I25" s="22">
        <v>634.79999999999995</v>
      </c>
      <c r="J25" s="22">
        <v>0</v>
      </c>
      <c r="K25" s="22">
        <v>632.79999999999995</v>
      </c>
      <c r="L25" s="22">
        <v>623</v>
      </c>
      <c r="M25" s="22">
        <v>681.5</v>
      </c>
      <c r="N25" s="22">
        <v>0</v>
      </c>
      <c r="O25" s="22">
        <v>645.1</v>
      </c>
      <c r="P25" s="22">
        <v>609.1</v>
      </c>
      <c r="Q25" s="22">
        <v>710.5</v>
      </c>
      <c r="R25" s="22">
        <v>0</v>
      </c>
      <c r="S25" s="22">
        <v>659</v>
      </c>
      <c r="T25" s="22">
        <v>-2310</v>
      </c>
      <c r="U25" s="22">
        <v>734.4</v>
      </c>
      <c r="V25" s="23">
        <v>-2824</v>
      </c>
      <c r="W25" s="25">
        <v>753.3</v>
      </c>
      <c r="X25" s="6">
        <v>-1.4753360962296569</v>
      </c>
      <c r="Y25" s="6">
        <v>-2.5412014885699111E-2</v>
      </c>
      <c r="Z25" s="7">
        <v>3.080951341915775</v>
      </c>
      <c r="AA25" s="6">
        <v>-2.5209859380847969E-2</v>
      </c>
    </row>
    <row r="26" spans="2:27">
      <c r="B26" s="30" t="s">
        <v>21</v>
      </c>
      <c r="C26" s="2" t="s">
        <v>351</v>
      </c>
      <c r="D26" s="2" t="s">
        <v>369</v>
      </c>
      <c r="E26" s="2" t="s">
        <v>353</v>
      </c>
      <c r="F26" s="4">
        <v>-3.2</v>
      </c>
      <c r="G26" s="22">
        <v>2688</v>
      </c>
      <c r="H26" s="22">
        <v>1287</v>
      </c>
      <c r="I26" s="22">
        <v>1307</v>
      </c>
      <c r="J26" s="22">
        <v>1224</v>
      </c>
      <c r="K26" s="22">
        <v>1177</v>
      </c>
      <c r="L26" s="22">
        <v>1003</v>
      </c>
      <c r="M26" s="22">
        <v>1017</v>
      </c>
      <c r="N26" s="22">
        <v>1211</v>
      </c>
      <c r="O26" s="22">
        <v>1003</v>
      </c>
      <c r="P26" s="22">
        <v>773.8</v>
      </c>
      <c r="Q26" s="22">
        <v>1108</v>
      </c>
      <c r="R26" s="22">
        <v>1244</v>
      </c>
      <c r="S26" s="22">
        <v>1020</v>
      </c>
      <c r="T26" s="22">
        <v>604</v>
      </c>
      <c r="U26" s="22">
        <v>1090</v>
      </c>
      <c r="V26" s="22">
        <v>1110</v>
      </c>
      <c r="W26" s="25">
        <v>898.6</v>
      </c>
      <c r="X26" s="6">
        <v>-4.095711322302098E-2</v>
      </c>
      <c r="Y26" s="6">
        <v>-4.5271629778671496E-3</v>
      </c>
      <c r="Z26" s="6">
        <v>-3.3855482566953032E-2</v>
      </c>
      <c r="AA26" s="6">
        <v>-3.1746861924686232E-2</v>
      </c>
    </row>
    <row r="27" spans="2:27">
      <c r="B27" s="30" t="s">
        <v>80</v>
      </c>
      <c r="C27" s="2" t="s">
        <v>351</v>
      </c>
      <c r="D27" s="2" t="s">
        <v>354</v>
      </c>
      <c r="E27" s="2" t="s">
        <v>363</v>
      </c>
      <c r="F27" s="4">
        <v>-3.7</v>
      </c>
      <c r="G27" s="22">
        <v>600.79999999999995</v>
      </c>
      <c r="H27" s="22">
        <v>501.6</v>
      </c>
      <c r="I27" s="22">
        <v>449.6</v>
      </c>
      <c r="J27" s="22">
        <v>436</v>
      </c>
      <c r="K27" s="22">
        <v>413</v>
      </c>
      <c r="L27" s="22">
        <v>318.10000000000002</v>
      </c>
      <c r="M27" s="22">
        <v>360</v>
      </c>
      <c r="N27" s="22">
        <v>409</v>
      </c>
      <c r="O27" s="22">
        <v>354.9</v>
      </c>
      <c r="P27" s="22">
        <v>288.60000000000002</v>
      </c>
      <c r="Q27" s="22">
        <v>280</v>
      </c>
      <c r="R27" s="22">
        <v>307.3</v>
      </c>
      <c r="S27" s="22">
        <v>324.3</v>
      </c>
      <c r="T27" s="22">
        <v>210.7</v>
      </c>
      <c r="U27" s="22">
        <v>213</v>
      </c>
      <c r="V27" s="22">
        <v>411.5</v>
      </c>
      <c r="W27" s="25">
        <v>281</v>
      </c>
      <c r="X27" s="6">
        <v>-6.4905849025162499E-2</v>
      </c>
      <c r="Y27" s="6">
        <v>-5.9698832754165543E-2</v>
      </c>
      <c r="Z27" s="6">
        <v>9.8739694873495765E-2</v>
      </c>
      <c r="AA27" s="6">
        <v>-3.7343682621819752E-2</v>
      </c>
    </row>
    <row r="28" spans="2:27">
      <c r="B28" s="30" t="s">
        <v>23</v>
      </c>
      <c r="C28" s="2" t="s">
        <v>351</v>
      </c>
      <c r="D28" s="2" t="s">
        <v>368</v>
      </c>
      <c r="E28" s="2" t="s">
        <v>353</v>
      </c>
      <c r="F28" s="4">
        <v>-5.9</v>
      </c>
      <c r="G28" s="22">
        <v>976</v>
      </c>
      <c r="H28" s="22">
        <v>1364</v>
      </c>
      <c r="I28" s="22">
        <v>755</v>
      </c>
      <c r="J28" s="22">
        <v>587</v>
      </c>
      <c r="K28" s="22">
        <v>842</v>
      </c>
      <c r="L28" s="22">
        <v>1456</v>
      </c>
      <c r="M28" s="22">
        <v>799</v>
      </c>
      <c r="N28" s="22">
        <v>679</v>
      </c>
      <c r="O28" s="22">
        <v>816</v>
      </c>
      <c r="P28" s="22">
        <v>1589</v>
      </c>
      <c r="Q28" s="22">
        <v>872</v>
      </c>
      <c r="R28" s="22">
        <v>713</v>
      </c>
      <c r="S28" s="23">
        <v>1618</v>
      </c>
      <c r="T28" s="22">
        <v>1594</v>
      </c>
      <c r="U28" s="22">
        <v>959</v>
      </c>
      <c r="V28" s="22">
        <v>814</v>
      </c>
      <c r="W28" s="25">
        <v>1326</v>
      </c>
      <c r="X28" s="6">
        <v>1.043405676126818E-3</v>
      </c>
      <c r="Y28" s="6">
        <v>1.8136335209505861E-2</v>
      </c>
      <c r="Z28" s="6">
        <v>2.0679770679770781E-2</v>
      </c>
      <c r="AA28" s="6">
        <v>-5.8575727181544579E-2</v>
      </c>
    </row>
    <row r="29" spans="2:27">
      <c r="B29" s="30" t="s">
        <v>12</v>
      </c>
      <c r="C29" s="2" t="s">
        <v>351</v>
      </c>
      <c r="D29" s="2" t="s">
        <v>371</v>
      </c>
      <c r="E29" s="2" t="s">
        <v>353</v>
      </c>
      <c r="F29" s="4">
        <v>-6.9</v>
      </c>
      <c r="G29" s="22">
        <v>5510</v>
      </c>
      <c r="H29" s="22">
        <v>6639</v>
      </c>
      <c r="I29" s="22">
        <v>13668</v>
      </c>
      <c r="J29" s="22">
        <v>12527</v>
      </c>
      <c r="K29" s="22">
        <v>9171</v>
      </c>
      <c r="L29" s="22">
        <v>8046</v>
      </c>
      <c r="M29" s="22">
        <v>6584</v>
      </c>
      <c r="N29" s="22">
        <v>7539</v>
      </c>
      <c r="O29" s="22">
        <v>4795</v>
      </c>
      <c r="P29" s="22">
        <v>6552</v>
      </c>
      <c r="Q29" s="22">
        <v>5754</v>
      </c>
      <c r="R29" s="22">
        <v>5392</v>
      </c>
      <c r="S29" s="22">
        <v>5601</v>
      </c>
      <c r="T29" s="22">
        <v>4444</v>
      </c>
      <c r="U29" s="22">
        <v>4114</v>
      </c>
      <c r="V29" s="22">
        <v>4803</v>
      </c>
      <c r="W29" s="25">
        <v>4297</v>
      </c>
      <c r="X29" s="6">
        <v>-9.047598609382379E-2</v>
      </c>
      <c r="Y29" s="6">
        <v>-7.739134538247372E-2</v>
      </c>
      <c r="Z29" s="6">
        <v>-3.0126336248785249E-2</v>
      </c>
      <c r="AA29" s="6">
        <v>-6.8769117181731843E-2</v>
      </c>
    </row>
    <row r="30" spans="2:27">
      <c r="B30" s="30" t="s">
        <v>16</v>
      </c>
      <c r="C30" s="2" t="s">
        <v>351</v>
      </c>
      <c r="D30" s="2" t="s">
        <v>370</v>
      </c>
      <c r="E30" s="2" t="s">
        <v>353</v>
      </c>
      <c r="F30" s="4">
        <v>-8</v>
      </c>
      <c r="G30" s="22">
        <v>8065</v>
      </c>
      <c r="H30" s="22">
        <v>8095</v>
      </c>
      <c r="I30" s="22">
        <v>7751</v>
      </c>
      <c r="J30" s="22">
        <v>8022</v>
      </c>
      <c r="K30" s="22">
        <v>7630</v>
      </c>
      <c r="L30" s="22">
        <v>7597</v>
      </c>
      <c r="M30" s="22">
        <v>7625</v>
      </c>
      <c r="N30" s="22">
        <v>7843</v>
      </c>
      <c r="O30" s="22">
        <v>7202</v>
      </c>
      <c r="P30" s="22">
        <v>7848</v>
      </c>
      <c r="Q30" s="22">
        <v>7449</v>
      </c>
      <c r="R30" s="22">
        <v>7977</v>
      </c>
      <c r="S30" s="22">
        <v>7574</v>
      </c>
      <c r="T30" s="22">
        <v>8262</v>
      </c>
      <c r="U30" s="22">
        <v>8034</v>
      </c>
      <c r="V30" s="22">
        <v>8094</v>
      </c>
      <c r="W30" s="25">
        <v>5004</v>
      </c>
      <c r="X30" s="6">
        <v>1.3420643153526869E-2</v>
      </c>
      <c r="Y30" s="6">
        <v>1.8712814279316699E-2</v>
      </c>
      <c r="Z30" s="6">
        <v>3.6738154300248742E-3</v>
      </c>
      <c r="AA30" s="6">
        <v>-8.0402953322487813E-2</v>
      </c>
    </row>
    <row r="31" spans="2:27">
      <c r="B31" s="30" t="s">
        <v>31</v>
      </c>
      <c r="C31" s="2" t="s">
        <v>351</v>
      </c>
      <c r="D31" s="2" t="s">
        <v>371</v>
      </c>
      <c r="E31" s="2" t="s">
        <v>353</v>
      </c>
      <c r="F31" s="4">
        <v>-17.600000000000001</v>
      </c>
      <c r="G31" s="22">
        <v>1116</v>
      </c>
      <c r="H31" s="22">
        <v>1512</v>
      </c>
      <c r="I31" s="22">
        <v>3155</v>
      </c>
      <c r="J31" s="22">
        <v>2368</v>
      </c>
      <c r="K31" s="23">
        <v>2252</v>
      </c>
      <c r="L31" s="22">
        <v>1597</v>
      </c>
      <c r="M31" s="22">
        <v>845</v>
      </c>
      <c r="N31" s="22">
        <v>2072</v>
      </c>
      <c r="O31" s="22">
        <v>1851</v>
      </c>
      <c r="P31" s="22">
        <v>1550</v>
      </c>
      <c r="Q31" s="22">
        <v>1468</v>
      </c>
      <c r="R31" s="22">
        <v>1570</v>
      </c>
      <c r="S31" s="22">
        <v>1674</v>
      </c>
      <c r="T31" s="22">
        <v>1635</v>
      </c>
      <c r="U31" s="22">
        <v>1222</v>
      </c>
      <c r="V31" s="22">
        <v>1390</v>
      </c>
      <c r="W31" s="25">
        <v>633</v>
      </c>
      <c r="X31" s="6">
        <v>1.3573938038965229E-2</v>
      </c>
      <c r="Y31" s="6">
        <v>-3.8758468567827283E-2</v>
      </c>
      <c r="Z31" s="6">
        <v>-2.9503360104900841E-2</v>
      </c>
      <c r="AA31" s="6">
        <v>-0.17581489613241011</v>
      </c>
    </row>
    <row r="32" spans="2:27">
      <c r="B32" s="30" t="s">
        <v>228</v>
      </c>
      <c r="C32" s="2" t="s">
        <v>351</v>
      </c>
      <c r="D32" s="2" t="s">
        <v>372</v>
      </c>
      <c r="E32" s="2" t="s">
        <v>353</v>
      </c>
      <c r="F32" s="4">
        <v>-29.7</v>
      </c>
      <c r="G32" s="22">
        <v>92.88</v>
      </c>
      <c r="H32" s="22">
        <v>91.25</v>
      </c>
      <c r="I32" s="22">
        <v>134.27000000000001</v>
      </c>
      <c r="J32" s="22">
        <v>109.43</v>
      </c>
      <c r="K32" s="22">
        <v>64.95</v>
      </c>
      <c r="L32" s="22">
        <v>36.479999999999997</v>
      </c>
      <c r="M32" s="22">
        <v>32.53</v>
      </c>
      <c r="N32" s="22">
        <v>58</v>
      </c>
      <c r="O32" s="22">
        <v>67.55</v>
      </c>
      <c r="P32" s="22">
        <v>29.9</v>
      </c>
      <c r="Q32" s="23">
        <v>52.6</v>
      </c>
      <c r="R32" s="22">
        <v>41.4</v>
      </c>
      <c r="S32" s="22">
        <v>31.8</v>
      </c>
      <c r="T32" s="22">
        <v>6.65</v>
      </c>
      <c r="U32" s="22">
        <v>34.5</v>
      </c>
      <c r="V32" s="22">
        <v>38.75</v>
      </c>
      <c r="W32" s="25">
        <v>-1.43</v>
      </c>
      <c r="X32" s="6">
        <v>-0.14932562620423889</v>
      </c>
      <c r="Y32" s="6">
        <v>-0.13665534163835399</v>
      </c>
      <c r="Z32" s="6">
        <v>-2.3174464363795329E-2</v>
      </c>
      <c r="AA32" s="6">
        <v>-0.2974932855863921</v>
      </c>
    </row>
    <row r="33" spans="2:27">
      <c r="B33" s="30" t="s">
        <v>138</v>
      </c>
      <c r="C33" s="2" t="s">
        <v>351</v>
      </c>
      <c r="D33" s="2" t="s">
        <v>352</v>
      </c>
      <c r="E33" s="2" t="s">
        <v>353</v>
      </c>
      <c r="F33" s="4">
        <v>-58.8</v>
      </c>
      <c r="G33" s="22">
        <v>199</v>
      </c>
      <c r="H33" s="22">
        <v>207</v>
      </c>
      <c r="I33" s="22">
        <v>230</v>
      </c>
      <c r="J33" s="22">
        <v>205</v>
      </c>
      <c r="K33" s="22">
        <v>184</v>
      </c>
      <c r="L33" s="23">
        <v>2007</v>
      </c>
      <c r="M33" s="22">
        <v>492</v>
      </c>
      <c r="N33" s="22">
        <v>268</v>
      </c>
      <c r="O33" s="22">
        <v>-2817</v>
      </c>
      <c r="P33" s="23">
        <v>-381</v>
      </c>
      <c r="Q33" s="23">
        <v>-424</v>
      </c>
      <c r="R33" s="23">
        <v>-335</v>
      </c>
      <c r="S33" s="22">
        <v>-238</v>
      </c>
      <c r="T33" s="22">
        <v>-121</v>
      </c>
      <c r="U33" s="22">
        <v>-81</v>
      </c>
      <c r="V33" s="22">
        <v>-41</v>
      </c>
      <c r="W33" s="25">
        <v>45</v>
      </c>
      <c r="X33" s="6">
        <v>-0.1886792452830188</v>
      </c>
      <c r="Y33" s="6">
        <v>-0.30679785330948123</v>
      </c>
      <c r="Z33" s="6">
        <v>-0.37935483870967751</v>
      </c>
      <c r="AA33" s="6">
        <v>-0.58835758835758833</v>
      </c>
    </row>
    <row r="34" spans="2:27">
      <c r="B34" s="31">
        <v>9708</v>
      </c>
      <c r="C34" s="12" t="s">
        <v>374</v>
      </c>
      <c r="D34" s="13" t="str">
        <f>VLOOKUP(B34,기업리스트!$B:$G,2,FALSE)</f>
        <v>Imperial Hotel, Ltd.</v>
      </c>
      <c r="E34" s="2" t="s">
        <v>360</v>
      </c>
      <c r="F34" s="21">
        <v>40.4</v>
      </c>
      <c r="G34" s="26">
        <v>-1347</v>
      </c>
      <c r="H34" s="26">
        <v>-4311</v>
      </c>
      <c r="I34" s="26">
        <v>-551</v>
      </c>
      <c r="J34" s="26">
        <v>-462</v>
      </c>
      <c r="K34" s="26">
        <v>1553</v>
      </c>
      <c r="L34" s="26">
        <v>-191</v>
      </c>
      <c r="M34" s="27">
        <v>748</v>
      </c>
      <c r="N34" s="27">
        <v>20</v>
      </c>
      <c r="O34" s="27">
        <v>2256</v>
      </c>
      <c r="P34" s="26">
        <v>-183</v>
      </c>
      <c r="Q34" s="26">
        <v>630</v>
      </c>
      <c r="R34" s="26">
        <v>-556</v>
      </c>
      <c r="S34" s="26">
        <v>1503</v>
      </c>
      <c r="T34" s="27">
        <v>14</v>
      </c>
      <c r="U34" s="26">
        <v>763</v>
      </c>
      <c r="V34" s="26">
        <v>-443</v>
      </c>
      <c r="W34" s="28">
        <v>2245</v>
      </c>
      <c r="X34" s="19">
        <v>0.14131994261119091</v>
      </c>
      <c r="Y34" s="18">
        <v>8.3595223130106922E-2</v>
      </c>
      <c r="Z34" s="18">
        <v>6.5545243619489657E-2</v>
      </c>
      <c r="AA34" s="19">
        <v>0.40391943385955348</v>
      </c>
    </row>
    <row r="35" spans="2:27">
      <c r="B35" s="30">
        <v>3189</v>
      </c>
      <c r="C35" s="2" t="s">
        <v>374</v>
      </c>
      <c r="D35" s="9" t="str">
        <f>VLOOKUP(B35,기업리스트!$B:$G,2,FALSE)</f>
        <v>Kinsus Interconnect Technology Corp.</v>
      </c>
      <c r="E35" s="2" t="s">
        <v>363</v>
      </c>
      <c r="F35" s="20">
        <v>29.6</v>
      </c>
      <c r="G35" s="22">
        <v>7</v>
      </c>
      <c r="H35" s="22">
        <v>-23</v>
      </c>
      <c r="I35" s="22">
        <v>-257</v>
      </c>
      <c r="J35" s="22">
        <v>-204</v>
      </c>
      <c r="K35" s="23">
        <v>-160</v>
      </c>
      <c r="L35" s="22">
        <v>-61</v>
      </c>
      <c r="M35" s="22">
        <v>-188</v>
      </c>
      <c r="N35" s="22">
        <v>-5</v>
      </c>
      <c r="O35" s="22">
        <v>-171</v>
      </c>
      <c r="P35" s="23">
        <v>-155</v>
      </c>
      <c r="Q35" s="22">
        <v>-216</v>
      </c>
      <c r="R35" s="23">
        <v>-169</v>
      </c>
      <c r="S35" s="22">
        <v>-200</v>
      </c>
      <c r="T35" s="22">
        <v>-200</v>
      </c>
      <c r="U35" s="23">
        <v>-303</v>
      </c>
      <c r="V35" s="23">
        <v>-620</v>
      </c>
      <c r="W35" s="24">
        <v>-592</v>
      </c>
      <c r="X35" s="6">
        <v>6.0810810810810738E-2</v>
      </c>
      <c r="Y35" s="7">
        <v>0.110828025477707</v>
      </c>
      <c r="Z35" s="7">
        <v>0.51720183486238525</v>
      </c>
      <c r="AA35" s="7">
        <v>0.29629629629629628</v>
      </c>
    </row>
    <row r="36" spans="2:27">
      <c r="B36" s="30">
        <v>6961</v>
      </c>
      <c r="C36" s="2" t="s">
        <v>374</v>
      </c>
      <c r="D36" s="9" t="str">
        <f>VLOOKUP(B36,기업리스트!$B:$G,2,FALSE)</f>
        <v>Enplas Corporation</v>
      </c>
      <c r="E36" s="2" t="s">
        <v>360</v>
      </c>
      <c r="F36" s="20">
        <v>28.5</v>
      </c>
      <c r="G36" s="22">
        <v>564</v>
      </c>
      <c r="H36" s="22">
        <v>1382</v>
      </c>
      <c r="I36" s="22">
        <v>1959</v>
      </c>
      <c r="J36" s="22">
        <v>2397</v>
      </c>
      <c r="K36" s="23">
        <v>2710</v>
      </c>
      <c r="L36" s="22">
        <v>1754</v>
      </c>
      <c r="M36" s="22">
        <v>1412</v>
      </c>
      <c r="N36" s="22">
        <v>1205</v>
      </c>
      <c r="O36" s="22">
        <v>939</v>
      </c>
      <c r="P36" s="22">
        <v>1090</v>
      </c>
      <c r="Q36" s="23">
        <v>2154</v>
      </c>
      <c r="R36" s="22">
        <v>1201</v>
      </c>
      <c r="S36" s="22">
        <v>729</v>
      </c>
      <c r="T36" s="22">
        <v>1204</v>
      </c>
      <c r="U36" s="22">
        <v>906</v>
      </c>
      <c r="V36" s="23">
        <v>2146</v>
      </c>
      <c r="W36" s="24">
        <v>2149</v>
      </c>
      <c r="X36" s="6">
        <v>2.203324313877086E-2</v>
      </c>
      <c r="Y36" s="6">
        <v>-0.23600605143721631</v>
      </c>
      <c r="Z36" s="7">
        <v>0.23391089108910901</v>
      </c>
      <c r="AA36" s="7">
        <v>0.28485456369107331</v>
      </c>
    </row>
    <row r="37" spans="2:27">
      <c r="B37" s="30">
        <v>6946</v>
      </c>
      <c r="C37" s="2" t="s">
        <v>374</v>
      </c>
      <c r="D37" s="9" t="str">
        <f>VLOOKUP(B37,기업리스트!$B:$G,2,FALSE)</f>
        <v>Nippon Avionics Co., Ltd.</v>
      </c>
      <c r="E37" s="2" t="s">
        <v>360</v>
      </c>
      <c r="F37" s="20">
        <v>24.2</v>
      </c>
      <c r="G37" s="22">
        <v>373</v>
      </c>
      <c r="H37" s="22">
        <v>527</v>
      </c>
      <c r="I37" s="22">
        <v>34</v>
      </c>
      <c r="J37" s="22">
        <v>545</v>
      </c>
      <c r="K37" s="23">
        <v>566</v>
      </c>
      <c r="L37" s="23">
        <v>807</v>
      </c>
      <c r="M37" s="23">
        <v>276</v>
      </c>
      <c r="N37" s="22">
        <v>635</v>
      </c>
      <c r="O37" s="22">
        <v>599</v>
      </c>
      <c r="P37" s="22">
        <v>669</v>
      </c>
      <c r="Q37" s="22">
        <v>325</v>
      </c>
      <c r="R37" s="22">
        <v>825</v>
      </c>
      <c r="S37" s="22">
        <v>516</v>
      </c>
      <c r="T37" s="23">
        <v>1131</v>
      </c>
      <c r="U37" s="22">
        <v>583</v>
      </c>
      <c r="V37" s="23">
        <v>1395</v>
      </c>
      <c r="W37" s="24">
        <v>1393</v>
      </c>
      <c r="X37" s="7">
        <v>0.1978586723768736</v>
      </c>
      <c r="Y37" s="6">
        <v>9.2241687522345295E-2</v>
      </c>
      <c r="Z37" s="7">
        <v>0.1865793780687397</v>
      </c>
      <c r="AA37" s="7">
        <v>0.24193103448275849</v>
      </c>
    </row>
    <row r="38" spans="2:27">
      <c r="B38" s="30">
        <v>1950</v>
      </c>
      <c r="C38" s="2" t="s">
        <v>374</v>
      </c>
      <c r="D38" s="9" t="str">
        <f>VLOOKUP(B38,기업리스트!$B:$G,2,FALSE)</f>
        <v>Nippon Densetsu Kogyo Co., Ltd.</v>
      </c>
      <c r="E38" s="2" t="s">
        <v>360</v>
      </c>
      <c r="F38" s="20">
        <v>18.600000000000001</v>
      </c>
      <c r="G38" s="22">
        <v>2334</v>
      </c>
      <c r="H38" s="22">
        <v>6659</v>
      </c>
      <c r="I38" s="22">
        <v>-1798</v>
      </c>
      <c r="J38" s="22">
        <v>578</v>
      </c>
      <c r="K38" s="22">
        <v>1284</v>
      </c>
      <c r="L38" s="23">
        <v>9596</v>
      </c>
      <c r="M38" s="22">
        <v>-1274</v>
      </c>
      <c r="N38" s="22">
        <v>1596</v>
      </c>
      <c r="O38" s="23">
        <v>2842</v>
      </c>
      <c r="P38" s="22">
        <v>10285</v>
      </c>
      <c r="Q38" s="22">
        <v>-773</v>
      </c>
      <c r="R38" s="22">
        <v>1113</v>
      </c>
      <c r="S38" s="22">
        <v>3369</v>
      </c>
      <c r="T38" s="23">
        <v>14226</v>
      </c>
      <c r="U38" s="22">
        <v>-858</v>
      </c>
      <c r="V38" s="23">
        <v>3581</v>
      </c>
      <c r="W38" s="24">
        <v>7143</v>
      </c>
      <c r="X38" s="7">
        <v>0.28162069458339278</v>
      </c>
      <c r="Y38" s="6">
        <v>-4.7393364928910442E-3</v>
      </c>
      <c r="Z38" s="7">
        <v>0.13826330532212891</v>
      </c>
      <c r="AA38" s="7">
        <v>0.18574662860517771</v>
      </c>
    </row>
    <row r="39" spans="2:27">
      <c r="B39" s="30">
        <v>6727</v>
      </c>
      <c r="C39" s="2" t="s">
        <v>374</v>
      </c>
      <c r="D39" s="9" t="str">
        <f>VLOOKUP(B39,기업리스트!$B:$G,2,FALSE)</f>
        <v>Wacom Co., Ltd.</v>
      </c>
      <c r="E39" s="2" t="s">
        <v>360</v>
      </c>
      <c r="F39" s="20">
        <v>18</v>
      </c>
      <c r="G39" s="22">
        <v>4781</v>
      </c>
      <c r="H39" s="22">
        <v>683</v>
      </c>
      <c r="I39" s="22">
        <v>1846</v>
      </c>
      <c r="J39" s="22">
        <v>437</v>
      </c>
      <c r="K39" s="22">
        <v>2014</v>
      </c>
      <c r="L39" s="22">
        <v>-2284</v>
      </c>
      <c r="M39" s="22">
        <v>847</v>
      </c>
      <c r="N39" s="23">
        <v>1610</v>
      </c>
      <c r="O39" s="23">
        <v>2812</v>
      </c>
      <c r="P39" s="23">
        <v>1789</v>
      </c>
      <c r="Q39" s="23">
        <v>2525</v>
      </c>
      <c r="R39" s="23">
        <v>2951</v>
      </c>
      <c r="S39" s="22">
        <v>2127</v>
      </c>
      <c r="T39" s="22">
        <v>2607</v>
      </c>
      <c r="U39" s="22">
        <v>2730</v>
      </c>
      <c r="V39" s="22">
        <v>3125</v>
      </c>
      <c r="W39" s="24">
        <v>4030</v>
      </c>
      <c r="X39" s="6">
        <v>8.7095400340715612E-2</v>
      </c>
      <c r="Y39" s="6">
        <v>2.007835455435858E-2</v>
      </c>
      <c r="Z39" s="6">
        <v>1.6706673067690799E-2</v>
      </c>
      <c r="AA39" s="7">
        <v>0.17971479837567281</v>
      </c>
    </row>
    <row r="40" spans="2:27">
      <c r="B40" s="30">
        <v>9997</v>
      </c>
      <c r="C40" s="2" t="s">
        <v>374</v>
      </c>
      <c r="D40" s="9" t="str">
        <f>VLOOKUP(B40,기업리스트!$B:$G,2,FALSE)</f>
        <v>Belluna Co., Ltd.</v>
      </c>
      <c r="E40" s="2" t="s">
        <v>360</v>
      </c>
      <c r="F40" s="20">
        <v>17</v>
      </c>
      <c r="G40" s="22">
        <v>5458</v>
      </c>
      <c r="H40" s="22">
        <v>3603</v>
      </c>
      <c r="I40" s="22">
        <v>1754</v>
      </c>
      <c r="J40" s="22">
        <v>1925</v>
      </c>
      <c r="K40" s="22">
        <v>4181</v>
      </c>
      <c r="L40" s="22">
        <v>3337</v>
      </c>
      <c r="M40" s="22">
        <v>1158</v>
      </c>
      <c r="N40" s="22">
        <v>1928</v>
      </c>
      <c r="O40" s="22">
        <v>2623</v>
      </c>
      <c r="P40" s="22">
        <v>4057</v>
      </c>
      <c r="Q40" s="22">
        <v>983</v>
      </c>
      <c r="R40" s="22">
        <v>2577</v>
      </c>
      <c r="S40" s="23">
        <v>3765</v>
      </c>
      <c r="T40" s="22">
        <v>4541</v>
      </c>
      <c r="U40" s="22">
        <v>1592</v>
      </c>
      <c r="V40" s="22">
        <v>3274</v>
      </c>
      <c r="W40" s="24">
        <v>6004</v>
      </c>
      <c r="X40" s="6">
        <v>4.2523282375680933E-2</v>
      </c>
      <c r="Y40" s="6">
        <v>5.1323108039777583E-2</v>
      </c>
      <c r="Z40" s="6">
        <v>5.587174348697399E-2</v>
      </c>
      <c r="AA40" s="7">
        <v>0.16998177953234131</v>
      </c>
    </row>
    <row r="41" spans="2:27">
      <c r="B41" s="30">
        <v>6777</v>
      </c>
      <c r="C41" s="2" t="s">
        <v>374</v>
      </c>
      <c r="D41" s="9" t="str">
        <f>VLOOKUP(B41,기업리스트!$B:$G,2,FALSE)</f>
        <v>santec Holdings Corporation</v>
      </c>
      <c r="E41" s="2" t="s">
        <v>360</v>
      </c>
      <c r="F41" s="20">
        <v>15.1</v>
      </c>
      <c r="G41" s="22">
        <v>378</v>
      </c>
      <c r="H41" s="22">
        <v>633</v>
      </c>
      <c r="I41" s="22">
        <v>867</v>
      </c>
      <c r="J41" s="22">
        <v>864</v>
      </c>
      <c r="K41" s="23">
        <v>916</v>
      </c>
      <c r="L41" s="23">
        <v>1336</v>
      </c>
      <c r="M41" s="22">
        <v>785</v>
      </c>
      <c r="N41" s="22">
        <v>968</v>
      </c>
      <c r="O41" s="22">
        <v>1292</v>
      </c>
      <c r="P41" s="23">
        <v>2519</v>
      </c>
      <c r="Q41" s="23">
        <v>2045</v>
      </c>
      <c r="R41" s="23">
        <v>1820</v>
      </c>
      <c r="S41" s="22">
        <v>1558</v>
      </c>
      <c r="T41" s="22">
        <v>2006</v>
      </c>
      <c r="U41" s="22">
        <v>2077</v>
      </c>
      <c r="V41" s="22">
        <v>2043</v>
      </c>
      <c r="W41" s="24">
        <v>2718</v>
      </c>
      <c r="X41" s="6">
        <v>-6.4593301435406647E-2</v>
      </c>
      <c r="Y41" s="6">
        <v>4.3074438013190894E-3</v>
      </c>
      <c r="Z41" s="6">
        <v>2.9888754858597991E-2</v>
      </c>
      <c r="AA41" s="7">
        <v>0.15096304008329001</v>
      </c>
    </row>
    <row r="42" spans="2:27">
      <c r="B42" s="30">
        <v>6331</v>
      </c>
      <c r="C42" s="2" t="s">
        <v>374</v>
      </c>
      <c r="D42" s="9" t="str">
        <f>VLOOKUP(B42,기업리스트!$B:$G,2,FALSE)</f>
        <v>Mitsubishi Kakoki Kaisha, Ltd.</v>
      </c>
      <c r="E42" s="2" t="s">
        <v>360</v>
      </c>
      <c r="F42" s="20">
        <v>14.9</v>
      </c>
      <c r="G42" s="22">
        <v>68</v>
      </c>
      <c r="H42" s="22">
        <v>1334</v>
      </c>
      <c r="I42" s="22">
        <v>344</v>
      </c>
      <c r="J42" s="22">
        <v>1560</v>
      </c>
      <c r="K42" s="22">
        <v>200</v>
      </c>
      <c r="L42" s="22">
        <v>418</v>
      </c>
      <c r="M42" s="22">
        <v>336</v>
      </c>
      <c r="N42" s="23">
        <v>1842</v>
      </c>
      <c r="O42" s="23">
        <v>1128</v>
      </c>
      <c r="P42" s="23">
        <v>1106</v>
      </c>
      <c r="Q42" s="23">
        <v>1101</v>
      </c>
      <c r="R42" s="22">
        <v>1165</v>
      </c>
      <c r="S42" s="22">
        <v>1363</v>
      </c>
      <c r="T42" s="23">
        <v>2067</v>
      </c>
      <c r="U42" s="22">
        <v>1442</v>
      </c>
      <c r="V42" s="23">
        <v>2240</v>
      </c>
      <c r="W42" s="24">
        <v>2424</v>
      </c>
      <c r="X42" s="7">
        <v>0.20295670538542779</v>
      </c>
      <c r="Y42" s="6">
        <v>5.9866573033707793E-2</v>
      </c>
      <c r="Z42" s="7">
        <v>0.178068577107835</v>
      </c>
      <c r="AA42" s="7">
        <v>0.1491844769403825</v>
      </c>
    </row>
    <row r="43" spans="2:27">
      <c r="B43" s="30">
        <v>2127</v>
      </c>
      <c r="C43" s="2" t="s">
        <v>374</v>
      </c>
      <c r="D43" s="9" t="str">
        <f>VLOOKUP(B43,기업리스트!$B:$G,2,FALSE)</f>
        <v>Nihon M&amp;A Center Holdings Inc.</v>
      </c>
      <c r="E43" s="2" t="s">
        <v>360</v>
      </c>
      <c r="F43" s="20">
        <v>13.6</v>
      </c>
      <c r="G43" s="22">
        <v>3993</v>
      </c>
      <c r="H43" s="22">
        <v>888</v>
      </c>
      <c r="I43" s="22">
        <v>3617</v>
      </c>
      <c r="J43" s="22">
        <v>4382</v>
      </c>
      <c r="K43" s="22">
        <v>3117</v>
      </c>
      <c r="L43" s="23">
        <v>4182</v>
      </c>
      <c r="M43" s="22">
        <v>1716</v>
      </c>
      <c r="N43" s="22">
        <v>4388</v>
      </c>
      <c r="O43" s="23">
        <v>5130</v>
      </c>
      <c r="P43" s="22">
        <v>4833</v>
      </c>
      <c r="Q43" s="22">
        <v>1603</v>
      </c>
      <c r="R43" s="22">
        <v>4322</v>
      </c>
      <c r="S43" s="22">
        <v>4628</v>
      </c>
      <c r="T43" s="22">
        <v>6162</v>
      </c>
      <c r="U43" s="22">
        <v>2510</v>
      </c>
      <c r="V43" s="22">
        <v>5889</v>
      </c>
      <c r="W43" s="24">
        <v>7243</v>
      </c>
      <c r="X43" s="6">
        <v>8.6377226049655587E-2</v>
      </c>
      <c r="Y43" s="6">
        <v>5.4262638348788528E-2</v>
      </c>
      <c r="Z43" s="6">
        <v>8.8922937237543964E-2</v>
      </c>
      <c r="AA43" s="7">
        <v>0.1362759914534368</v>
      </c>
    </row>
    <row r="44" spans="2:27">
      <c r="B44" s="30">
        <v>9202</v>
      </c>
      <c r="C44" s="2" t="s">
        <v>374</v>
      </c>
      <c r="D44" s="9" t="str">
        <f>VLOOKUP(B44,기업리스트!$B:$G,2,FALSE)</f>
        <v>ANA Holdings Inc.</v>
      </c>
      <c r="E44" s="2" t="s">
        <v>360</v>
      </c>
      <c r="F44" s="20">
        <v>12.8</v>
      </c>
      <c r="G44" s="22">
        <v>190</v>
      </c>
      <c r="H44" s="22">
        <v>-57310</v>
      </c>
      <c r="I44" s="22">
        <v>-1321</v>
      </c>
      <c r="J44" s="22">
        <v>32768</v>
      </c>
      <c r="K44" s="22">
        <v>67535</v>
      </c>
      <c r="L44" s="23">
        <v>21048</v>
      </c>
      <c r="M44" s="23">
        <v>43784</v>
      </c>
      <c r="N44" s="23">
        <v>85953</v>
      </c>
      <c r="O44" s="22">
        <v>80377</v>
      </c>
      <c r="P44" s="22">
        <v>-2203</v>
      </c>
      <c r="Q44" s="22">
        <v>30354</v>
      </c>
      <c r="R44" s="22">
        <v>78020</v>
      </c>
      <c r="S44" s="22">
        <v>59261</v>
      </c>
      <c r="T44" s="23">
        <v>29004</v>
      </c>
      <c r="U44" s="22">
        <v>36786</v>
      </c>
      <c r="V44" s="22">
        <v>60842</v>
      </c>
      <c r="W44" s="24">
        <v>83086</v>
      </c>
      <c r="X44" s="7">
        <v>0.18863944097877081</v>
      </c>
      <c r="Y44" s="6">
        <v>3.2709686277900163E-2</v>
      </c>
      <c r="Z44" s="6">
        <v>-8.4591103604158113E-2</v>
      </c>
      <c r="AA44" s="7">
        <v>0.1281651272506226</v>
      </c>
    </row>
    <row r="45" spans="2:27">
      <c r="B45" s="30">
        <v>7327</v>
      </c>
      <c r="C45" s="2" t="s">
        <v>374</v>
      </c>
      <c r="D45" s="9" t="str">
        <f>VLOOKUP(B45,기업리스트!$B:$G,2,FALSE)</f>
        <v>Daishi Hokuetsu Financial Group, Inc.</v>
      </c>
      <c r="E45" s="2" t="s">
        <v>360</v>
      </c>
      <c r="F45" s="20">
        <v>12.5</v>
      </c>
      <c r="G45" s="22">
        <v>5476</v>
      </c>
      <c r="H45" s="22">
        <v>6490</v>
      </c>
      <c r="I45" s="22">
        <v>11503</v>
      </c>
      <c r="J45" s="22">
        <v>6157</v>
      </c>
      <c r="K45" s="22">
        <v>3822</v>
      </c>
      <c r="L45" s="22">
        <v>3467</v>
      </c>
      <c r="M45" s="23">
        <v>14772</v>
      </c>
      <c r="N45" s="22">
        <v>4286</v>
      </c>
      <c r="O45" s="23">
        <v>6881</v>
      </c>
      <c r="P45" s="22">
        <v>3818</v>
      </c>
      <c r="Q45" s="22">
        <v>15101</v>
      </c>
      <c r="R45" s="22">
        <v>5519</v>
      </c>
      <c r="S45" s="22">
        <v>9208</v>
      </c>
      <c r="T45" s="23">
        <v>11346</v>
      </c>
      <c r="U45" s="22">
        <v>17701</v>
      </c>
      <c r="V45" s="23">
        <v>14472</v>
      </c>
      <c r="W45" s="24">
        <v>15779</v>
      </c>
      <c r="X45" s="7">
        <v>0.22374130654461141</v>
      </c>
      <c r="Y45" s="6">
        <v>6.3146645941613677E-2</v>
      </c>
      <c r="Z45" s="7">
        <v>0.20452780189153369</v>
      </c>
      <c r="AA45" s="7">
        <v>0.12462305839512949</v>
      </c>
    </row>
    <row r="46" spans="2:27">
      <c r="B46" s="30">
        <v>6135</v>
      </c>
      <c r="C46" s="2" t="s">
        <v>374</v>
      </c>
      <c r="D46" s="9" t="str">
        <f>VLOOKUP(B46,기업리스트!$B:$G,2,FALSE)</f>
        <v>Makino Milling Machine Co., Ltd.</v>
      </c>
      <c r="E46" s="2" t="s">
        <v>360</v>
      </c>
      <c r="F46" s="20">
        <v>12.3</v>
      </c>
      <c r="G46" s="22">
        <v>2356</v>
      </c>
      <c r="H46" s="22">
        <v>6106</v>
      </c>
      <c r="I46" s="22">
        <v>1643</v>
      </c>
      <c r="J46" s="22">
        <v>3761</v>
      </c>
      <c r="K46" s="23">
        <v>6207</v>
      </c>
      <c r="L46" s="22">
        <v>5883</v>
      </c>
      <c r="M46" s="23">
        <v>4267</v>
      </c>
      <c r="N46" s="22">
        <v>3510</v>
      </c>
      <c r="O46" s="22">
        <v>4380</v>
      </c>
      <c r="P46" s="22">
        <v>4216</v>
      </c>
      <c r="Q46" s="22">
        <v>2960</v>
      </c>
      <c r="R46" s="22">
        <v>4616</v>
      </c>
      <c r="S46" s="22">
        <v>5656</v>
      </c>
      <c r="T46" s="22">
        <v>5285</v>
      </c>
      <c r="U46" s="22">
        <v>3201</v>
      </c>
      <c r="V46" s="22">
        <v>6300</v>
      </c>
      <c r="W46" s="24">
        <v>8175</v>
      </c>
      <c r="X46" s="6">
        <v>6.1267767079321363E-2</v>
      </c>
      <c r="Y46" s="6">
        <v>1.301506723551338E-2</v>
      </c>
      <c r="Z46" s="6">
        <v>8.9775029320823041E-2</v>
      </c>
      <c r="AA46" s="7">
        <v>0.123226690147735</v>
      </c>
    </row>
    <row r="47" spans="2:27">
      <c r="B47" s="30">
        <v>6196</v>
      </c>
      <c r="C47" s="2" t="s">
        <v>374</v>
      </c>
      <c r="D47" s="9" t="str">
        <f>VLOOKUP(B47,기업리스트!$B:$G,2,FALSE)</f>
        <v>Strike Company,Limited</v>
      </c>
      <c r="E47" s="2" t="s">
        <v>363</v>
      </c>
      <c r="F47" s="20">
        <v>11.3</v>
      </c>
      <c r="G47" s="22">
        <v>893</v>
      </c>
      <c r="H47" s="22">
        <v>1101</v>
      </c>
      <c r="I47" s="22">
        <v>608</v>
      </c>
      <c r="J47" s="22">
        <v>1623</v>
      </c>
      <c r="K47" s="22">
        <v>559</v>
      </c>
      <c r="L47" s="22">
        <v>1467</v>
      </c>
      <c r="M47" s="22">
        <v>921</v>
      </c>
      <c r="N47" s="23">
        <v>2255</v>
      </c>
      <c r="O47" s="23">
        <v>1346</v>
      </c>
      <c r="P47" s="23">
        <v>2360</v>
      </c>
      <c r="Q47" s="22">
        <v>1281</v>
      </c>
      <c r="R47" s="22">
        <v>1785</v>
      </c>
      <c r="S47" s="22">
        <v>531.16999999999996</v>
      </c>
      <c r="T47" s="22">
        <v>1909</v>
      </c>
      <c r="U47" s="22">
        <v>1671</v>
      </c>
      <c r="V47" s="22">
        <v>2222</v>
      </c>
      <c r="W47" s="24">
        <v>1249</v>
      </c>
      <c r="X47" s="6">
        <v>-7.5707089104390168E-2</v>
      </c>
      <c r="Y47" s="6">
        <v>7.0829632939048315E-2</v>
      </c>
      <c r="Z47" s="6">
        <v>7.4115909141018621E-2</v>
      </c>
      <c r="AA47" s="7">
        <v>0.11334450204242109</v>
      </c>
    </row>
    <row r="48" spans="2:27">
      <c r="B48" s="30">
        <v>8308</v>
      </c>
      <c r="C48" s="2" t="s">
        <v>374</v>
      </c>
      <c r="D48" s="9" t="str">
        <f>VLOOKUP(B48,기업리스트!$B:$G,2,FALSE)</f>
        <v>Resona Holdings, Inc.</v>
      </c>
      <c r="E48" s="2" t="s">
        <v>360</v>
      </c>
      <c r="F48" s="20">
        <v>11</v>
      </c>
      <c r="G48" s="22">
        <v>62877</v>
      </c>
      <c r="H48" s="22">
        <v>-23608</v>
      </c>
      <c r="I48" s="22">
        <v>46457</v>
      </c>
      <c r="J48" s="22">
        <v>68790</v>
      </c>
      <c r="K48" s="22">
        <v>58300</v>
      </c>
      <c r="L48" s="23">
        <v>51499</v>
      </c>
      <c r="M48" s="22">
        <v>46941</v>
      </c>
      <c r="N48" s="22">
        <v>67038</v>
      </c>
      <c r="O48" s="22">
        <v>44692</v>
      </c>
      <c r="P48" s="22">
        <v>64333</v>
      </c>
      <c r="Q48" s="23">
        <v>76395</v>
      </c>
      <c r="R48" s="22">
        <v>82173</v>
      </c>
      <c r="S48" s="23">
        <v>76016</v>
      </c>
      <c r="T48" s="22">
        <v>59358</v>
      </c>
      <c r="U48" s="22">
        <v>97308</v>
      </c>
      <c r="V48" s="22">
        <v>101819</v>
      </c>
      <c r="W48" s="24">
        <v>112889</v>
      </c>
      <c r="X48" s="6">
        <v>-1.6643416065329149E-2</v>
      </c>
      <c r="Y48" s="6">
        <v>7.1146688802552926E-2</v>
      </c>
      <c r="Z48" s="6">
        <v>6.2396976385955538E-2</v>
      </c>
      <c r="AA48" s="7">
        <v>0.1102328543113473</v>
      </c>
    </row>
    <row r="49" spans="2:27">
      <c r="B49" s="30">
        <v>8388</v>
      </c>
      <c r="C49" s="2" t="s">
        <v>374</v>
      </c>
      <c r="D49" s="9" t="str">
        <f>VLOOKUP(B49,기업리스트!$B:$G,2,FALSE)</f>
        <v>The Awa Bank, Ltd.</v>
      </c>
      <c r="E49" s="2" t="s">
        <v>360</v>
      </c>
      <c r="F49" s="20">
        <v>11</v>
      </c>
      <c r="G49" s="22">
        <v>4797</v>
      </c>
      <c r="H49" s="22">
        <v>4168</v>
      </c>
      <c r="I49" s="22">
        <v>5793</v>
      </c>
      <c r="J49" s="22">
        <v>1660</v>
      </c>
      <c r="K49" s="22">
        <v>3219</v>
      </c>
      <c r="L49" s="22">
        <v>3970</v>
      </c>
      <c r="M49" s="22">
        <v>3951</v>
      </c>
      <c r="N49" s="23">
        <v>3760</v>
      </c>
      <c r="O49" s="23">
        <v>4775</v>
      </c>
      <c r="P49" s="22">
        <v>3487</v>
      </c>
      <c r="Q49" s="22">
        <v>5147</v>
      </c>
      <c r="R49" s="22">
        <v>4344</v>
      </c>
      <c r="S49" s="22">
        <v>3155</v>
      </c>
      <c r="T49" s="22">
        <v>4139</v>
      </c>
      <c r="U49" s="22">
        <v>5808</v>
      </c>
      <c r="V49" s="23">
        <v>6342</v>
      </c>
      <c r="W49" s="24">
        <v>5291</v>
      </c>
      <c r="X49" s="6">
        <v>4.0414058141697178E-2</v>
      </c>
      <c r="Y49" s="6">
        <v>3.9380399165922057E-2</v>
      </c>
      <c r="Z49" s="7">
        <v>0.1145248194428523</v>
      </c>
      <c r="AA49" s="7">
        <v>0.10985393951861749</v>
      </c>
    </row>
    <row r="50" spans="2:27">
      <c r="B50" s="30">
        <v>8341</v>
      </c>
      <c r="C50" s="2" t="s">
        <v>374</v>
      </c>
      <c r="D50" s="9" t="str">
        <f>VLOOKUP(B50,기업리스트!$B:$G,2,FALSE)</f>
        <v>The 77 Bank, Ltd.</v>
      </c>
      <c r="E50" s="2" t="s">
        <v>360</v>
      </c>
      <c r="F50" s="20">
        <v>10.3</v>
      </c>
      <c r="G50" s="22">
        <v>7952</v>
      </c>
      <c r="H50" s="22">
        <v>6495</v>
      </c>
      <c r="I50" s="22">
        <v>11640</v>
      </c>
      <c r="J50" s="22">
        <v>7840</v>
      </c>
      <c r="K50" s="22">
        <v>9468</v>
      </c>
      <c r="L50" s="22">
        <v>6463</v>
      </c>
      <c r="M50" s="22">
        <v>12564</v>
      </c>
      <c r="N50" s="23">
        <v>12810</v>
      </c>
      <c r="O50" s="22">
        <v>10642</v>
      </c>
      <c r="P50" s="22">
        <v>8190</v>
      </c>
      <c r="Q50" s="22">
        <v>16521</v>
      </c>
      <c r="R50" s="22">
        <v>12161</v>
      </c>
      <c r="S50" s="23">
        <v>16111</v>
      </c>
      <c r="T50" s="22">
        <v>11470</v>
      </c>
      <c r="U50" s="22">
        <v>17645</v>
      </c>
      <c r="V50" s="22">
        <v>17477</v>
      </c>
      <c r="W50" s="24">
        <v>22551</v>
      </c>
      <c r="X50" s="6">
        <v>6.1906649302606587E-2</v>
      </c>
      <c r="Y50" s="6">
        <v>1.99776051756928E-2</v>
      </c>
      <c r="Z50" s="6">
        <v>9.2634220293794867E-2</v>
      </c>
      <c r="AA50" s="7">
        <v>0.1027064095816788</v>
      </c>
    </row>
    <row r="51" spans="2:27">
      <c r="B51" s="30">
        <v>9715</v>
      </c>
      <c r="C51" s="2" t="s">
        <v>374</v>
      </c>
      <c r="D51" s="9" t="str">
        <f>VLOOKUP(B51,기업리스트!$B:$G,2,FALSE)</f>
        <v>transcosmos inc.</v>
      </c>
      <c r="E51" s="2" t="s">
        <v>360</v>
      </c>
      <c r="F51" s="4">
        <v>9.6999999999999993</v>
      </c>
      <c r="G51" s="22">
        <v>8390</v>
      </c>
      <c r="H51" s="22">
        <v>6690</v>
      </c>
      <c r="I51" s="22">
        <v>7925</v>
      </c>
      <c r="J51" s="22">
        <v>4771</v>
      </c>
      <c r="K51" s="22">
        <v>4540</v>
      </c>
      <c r="L51" s="22">
        <v>6055</v>
      </c>
      <c r="M51" s="22">
        <v>2223</v>
      </c>
      <c r="N51" s="22">
        <v>3619</v>
      </c>
      <c r="O51" s="22">
        <v>2915</v>
      </c>
      <c r="P51" s="22">
        <v>2665</v>
      </c>
      <c r="Q51" s="22">
        <v>3044</v>
      </c>
      <c r="R51" s="22">
        <v>3718</v>
      </c>
      <c r="S51" s="22">
        <v>3880</v>
      </c>
      <c r="T51" s="22">
        <v>3365</v>
      </c>
      <c r="U51" s="22">
        <v>3683</v>
      </c>
      <c r="V51" s="22">
        <v>4359</v>
      </c>
      <c r="W51" s="25">
        <v>5368</v>
      </c>
      <c r="X51" s="6">
        <v>5.2603892688058977E-2</v>
      </c>
      <c r="Y51" s="6">
        <v>4.5620047119297569E-2</v>
      </c>
      <c r="Z51" s="6">
        <v>4.376621603168096E-2</v>
      </c>
      <c r="AA51" s="6">
        <v>9.7337607117158331E-2</v>
      </c>
    </row>
    <row r="52" spans="2:27">
      <c r="B52" s="30">
        <v>7943</v>
      </c>
      <c r="C52" s="2" t="s">
        <v>374</v>
      </c>
      <c r="D52" s="9" t="str">
        <f>VLOOKUP(B52,기업리스트!$B:$G,2,FALSE)</f>
        <v>Nichiha Corporation</v>
      </c>
      <c r="E52" s="2" t="s">
        <v>360</v>
      </c>
      <c r="F52" s="4">
        <v>9</v>
      </c>
      <c r="G52" s="22">
        <v>3852</v>
      </c>
      <c r="H52" s="22">
        <v>2108</v>
      </c>
      <c r="I52" s="22">
        <v>2648</v>
      </c>
      <c r="J52" s="22">
        <v>2818</v>
      </c>
      <c r="K52" s="22">
        <v>2943</v>
      </c>
      <c r="L52" s="23">
        <v>3295</v>
      </c>
      <c r="M52" s="22">
        <v>1627</v>
      </c>
      <c r="N52" s="22">
        <v>2178</v>
      </c>
      <c r="O52" s="22">
        <v>3867</v>
      </c>
      <c r="P52" s="22">
        <v>2534</v>
      </c>
      <c r="Q52" s="22">
        <v>1706</v>
      </c>
      <c r="R52" s="22">
        <v>1730</v>
      </c>
      <c r="S52" s="22">
        <v>2151</v>
      </c>
      <c r="T52" s="22">
        <v>1365</v>
      </c>
      <c r="U52" s="22">
        <v>1165</v>
      </c>
      <c r="V52" s="22">
        <v>2330</v>
      </c>
      <c r="W52" s="25">
        <v>2780</v>
      </c>
      <c r="X52" s="6">
        <v>-0.1439477896810738</v>
      </c>
      <c r="Y52" s="6">
        <v>-7.781933256616802E-2</v>
      </c>
      <c r="Z52" s="6">
        <v>9.3589143659335461E-2</v>
      </c>
      <c r="AA52" s="6">
        <v>8.9716160319498028E-2</v>
      </c>
    </row>
    <row r="53" spans="2:27">
      <c r="B53" s="30">
        <v>1976</v>
      </c>
      <c r="C53" s="2" t="s">
        <v>374</v>
      </c>
      <c r="D53" s="9" t="str">
        <f>VLOOKUP(B53,기업리스트!$B:$G,2,FALSE)</f>
        <v>MEISEI INDUSTRIAL Co.,Ltd.</v>
      </c>
      <c r="E53" s="2" t="s">
        <v>360</v>
      </c>
      <c r="F53" s="4">
        <v>6.6</v>
      </c>
      <c r="G53" s="22">
        <v>1397</v>
      </c>
      <c r="H53" s="22">
        <v>1984</v>
      </c>
      <c r="I53" s="22">
        <v>1090</v>
      </c>
      <c r="J53" s="22">
        <v>1710</v>
      </c>
      <c r="K53" s="22">
        <v>1467</v>
      </c>
      <c r="L53" s="22">
        <v>2568</v>
      </c>
      <c r="M53" s="22">
        <v>813</v>
      </c>
      <c r="N53" s="22">
        <v>1910</v>
      </c>
      <c r="O53" s="22">
        <v>2045</v>
      </c>
      <c r="P53" s="22">
        <v>3294</v>
      </c>
      <c r="Q53" s="22">
        <v>1527</v>
      </c>
      <c r="R53" s="22">
        <v>2427</v>
      </c>
      <c r="S53" s="22">
        <v>2057</v>
      </c>
      <c r="T53" s="23">
        <v>4632</v>
      </c>
      <c r="U53" s="22">
        <v>1065</v>
      </c>
      <c r="V53" s="22">
        <v>1735</v>
      </c>
      <c r="W53" s="25">
        <v>2682</v>
      </c>
      <c r="X53" s="7">
        <v>0.14379365932294469</v>
      </c>
      <c r="Y53" s="6">
        <v>-4.34088133045194E-2</v>
      </c>
      <c r="Z53" s="6">
        <v>-6.7969747569001093E-2</v>
      </c>
      <c r="AA53" s="6">
        <v>6.5865739277057633E-2</v>
      </c>
    </row>
    <row r="54" spans="2:27">
      <c r="B54" s="30">
        <v>9719</v>
      </c>
      <c r="C54" s="2" t="s">
        <v>374</v>
      </c>
      <c r="D54" s="9" t="str">
        <f>VLOOKUP(B54,기업리스트!$B:$G,2,FALSE)</f>
        <v>SCSK Corporation</v>
      </c>
      <c r="E54" s="2" t="s">
        <v>360</v>
      </c>
      <c r="F54" s="4">
        <v>6.5</v>
      </c>
      <c r="G54" s="22">
        <v>12185</v>
      </c>
      <c r="H54" s="22">
        <v>12906</v>
      </c>
      <c r="I54" s="22">
        <v>9937</v>
      </c>
      <c r="J54" s="22">
        <v>12579</v>
      </c>
      <c r="K54" s="22">
        <v>12665</v>
      </c>
      <c r="L54" s="22">
        <v>16203</v>
      </c>
      <c r="M54" s="22">
        <v>12951</v>
      </c>
      <c r="N54" s="22">
        <v>13976</v>
      </c>
      <c r="O54" s="22">
        <v>14063</v>
      </c>
      <c r="P54" s="22">
        <v>16089</v>
      </c>
      <c r="Q54" s="22">
        <v>12914</v>
      </c>
      <c r="R54" s="22">
        <v>14045</v>
      </c>
      <c r="S54" s="22">
        <v>15936</v>
      </c>
      <c r="T54" s="23">
        <v>24920</v>
      </c>
      <c r="U54" s="23">
        <v>20112</v>
      </c>
      <c r="V54" s="22">
        <v>21495</v>
      </c>
      <c r="W54" s="25">
        <v>21306</v>
      </c>
      <c r="X54" s="7">
        <v>0.1497185677471857</v>
      </c>
      <c r="Y54" s="7">
        <v>0.10614170906141721</v>
      </c>
      <c r="Z54" s="6">
        <v>9.9316118539453102E-2</v>
      </c>
      <c r="AA54" s="6">
        <v>6.512011447558308E-2</v>
      </c>
    </row>
    <row r="55" spans="2:27">
      <c r="B55" s="30">
        <v>5334</v>
      </c>
      <c r="C55" s="2" t="s">
        <v>374</v>
      </c>
      <c r="D55" s="9" t="str">
        <f>VLOOKUP(B55,기업리스트!$B:$G,2,FALSE)</f>
        <v>Niterra Co., Ltd.</v>
      </c>
      <c r="E55" s="2" t="s">
        <v>360</v>
      </c>
      <c r="F55" s="4">
        <v>6.2</v>
      </c>
      <c r="G55" s="22">
        <v>20662</v>
      </c>
      <c r="H55" s="22">
        <v>12245</v>
      </c>
      <c r="I55" s="22">
        <v>27433</v>
      </c>
      <c r="J55" s="22">
        <v>25810</v>
      </c>
      <c r="K55" s="22">
        <v>27033</v>
      </c>
      <c r="L55" s="22">
        <v>7796</v>
      </c>
      <c r="M55" s="22">
        <v>28048</v>
      </c>
      <c r="N55" s="22">
        <v>28188</v>
      </c>
      <c r="O55" s="22">
        <v>30556</v>
      </c>
      <c r="P55" s="23">
        <v>18794</v>
      </c>
      <c r="Q55" s="23">
        <v>38670</v>
      </c>
      <c r="R55" s="22">
        <v>32989</v>
      </c>
      <c r="S55" s="22">
        <v>30852</v>
      </c>
      <c r="T55" s="22">
        <v>24304</v>
      </c>
      <c r="U55" s="22">
        <v>33510</v>
      </c>
      <c r="V55" s="22">
        <v>37858</v>
      </c>
      <c r="W55" s="25">
        <v>38650</v>
      </c>
      <c r="X55" s="6">
        <v>4.5422694860063562E-2</v>
      </c>
      <c r="Y55" s="6">
        <v>-4.0689192918818777E-2</v>
      </c>
      <c r="Z55" s="6">
        <v>4.0023015905634729E-2</v>
      </c>
      <c r="AA55" s="6">
        <v>6.1632575637823761E-2</v>
      </c>
    </row>
    <row r="56" spans="2:27">
      <c r="B56" s="30">
        <v>9759</v>
      </c>
      <c r="C56" s="2" t="s">
        <v>374</v>
      </c>
      <c r="D56" s="9" t="str">
        <f>VLOOKUP(B56,기업리스트!$B:$G,2,FALSE)</f>
        <v>NSD Co., Ltd.</v>
      </c>
      <c r="E56" s="2" t="s">
        <v>360</v>
      </c>
      <c r="F56" s="4">
        <v>5.7</v>
      </c>
      <c r="G56" s="22">
        <v>3062</v>
      </c>
      <c r="H56" s="22">
        <v>3129</v>
      </c>
      <c r="I56" s="22">
        <v>2889</v>
      </c>
      <c r="J56" s="22">
        <v>3081</v>
      </c>
      <c r="K56" s="22">
        <v>3262</v>
      </c>
      <c r="L56" s="22">
        <v>3293</v>
      </c>
      <c r="M56" s="22">
        <v>3377</v>
      </c>
      <c r="N56" s="22">
        <v>3988</v>
      </c>
      <c r="O56" s="22">
        <v>3763</v>
      </c>
      <c r="P56" s="22">
        <v>4052</v>
      </c>
      <c r="Q56" s="22">
        <v>3298</v>
      </c>
      <c r="R56" s="22">
        <v>4230</v>
      </c>
      <c r="S56" s="22">
        <v>4659</v>
      </c>
      <c r="T56" s="22">
        <v>4663</v>
      </c>
      <c r="U56" s="22">
        <v>3563</v>
      </c>
      <c r="V56" s="22">
        <v>4676</v>
      </c>
      <c r="W56" s="25">
        <v>5652</v>
      </c>
      <c r="X56" s="6">
        <v>3.7625469548617563E-2</v>
      </c>
      <c r="Y56" s="6">
        <v>1.5727002967359072E-2</v>
      </c>
      <c r="Z56" s="6">
        <v>2.6059012562080101E-2</v>
      </c>
      <c r="AA56" s="6">
        <v>5.6545754797562742E-2</v>
      </c>
    </row>
    <row r="57" spans="2:27">
      <c r="B57" s="30">
        <v>1959</v>
      </c>
      <c r="C57" s="2" t="s">
        <v>374</v>
      </c>
      <c r="D57" s="9" t="str">
        <f>VLOOKUP(B57,기업리스트!$B:$G,2,FALSE)</f>
        <v>Kraftia Corporation</v>
      </c>
      <c r="E57" s="2" t="s">
        <v>360</v>
      </c>
      <c r="F57" s="4">
        <v>5.3</v>
      </c>
      <c r="G57" s="22">
        <v>5083</v>
      </c>
      <c r="H57" s="22">
        <v>16361</v>
      </c>
      <c r="I57" s="22">
        <v>2901</v>
      </c>
      <c r="J57" s="22">
        <v>7398</v>
      </c>
      <c r="K57" s="22">
        <v>5296</v>
      </c>
      <c r="L57" s="22">
        <v>16471</v>
      </c>
      <c r="M57" s="22">
        <v>4809</v>
      </c>
      <c r="N57" s="22">
        <v>8884</v>
      </c>
      <c r="O57" s="23">
        <v>9532</v>
      </c>
      <c r="P57" s="22">
        <v>14676</v>
      </c>
      <c r="Q57" s="23">
        <v>10264</v>
      </c>
      <c r="R57" s="22">
        <v>7991</v>
      </c>
      <c r="S57" s="22">
        <v>11216</v>
      </c>
      <c r="T57" s="22">
        <v>11515</v>
      </c>
      <c r="U57" s="22">
        <v>11099</v>
      </c>
      <c r="V57" s="22">
        <v>11707</v>
      </c>
      <c r="W57" s="25">
        <v>13638</v>
      </c>
      <c r="X57" s="6">
        <v>-7.1601694339366251E-2</v>
      </c>
      <c r="Y57" s="6">
        <v>2.0372810227882621E-2</v>
      </c>
      <c r="Z57" s="6">
        <v>8.8854881518854123E-2</v>
      </c>
      <c r="AA57" s="6">
        <v>5.3187517842633543E-2</v>
      </c>
    </row>
    <row r="58" spans="2:27">
      <c r="B58" s="30">
        <v>2326</v>
      </c>
      <c r="C58" s="2" t="s">
        <v>374</v>
      </c>
      <c r="D58" s="9" t="str">
        <f>VLOOKUP(B58,기업리스트!$B:$G,2,FALSE)</f>
        <v>Digital Arts Inc.</v>
      </c>
      <c r="E58" s="2" t="s">
        <v>360</v>
      </c>
      <c r="F58" s="4">
        <v>5.0999999999999996</v>
      </c>
      <c r="G58" s="22">
        <v>945</v>
      </c>
      <c r="H58" s="22">
        <v>1102</v>
      </c>
      <c r="I58" s="22">
        <v>1011</v>
      </c>
      <c r="J58" s="22">
        <v>1237</v>
      </c>
      <c r="K58" s="22">
        <v>981</v>
      </c>
      <c r="L58" s="22">
        <v>1185</v>
      </c>
      <c r="M58" s="22">
        <v>874</v>
      </c>
      <c r="N58" s="22">
        <v>1315</v>
      </c>
      <c r="O58" s="22">
        <v>935</v>
      </c>
      <c r="P58" s="22">
        <v>1305</v>
      </c>
      <c r="Q58" s="22">
        <v>839</v>
      </c>
      <c r="R58" s="22">
        <v>1215</v>
      </c>
      <c r="S58" s="22">
        <v>1092</v>
      </c>
      <c r="T58" s="22">
        <v>1414</v>
      </c>
      <c r="U58" s="22">
        <v>796</v>
      </c>
      <c r="V58" s="22">
        <v>1226</v>
      </c>
      <c r="W58" s="25">
        <v>1321</v>
      </c>
      <c r="X58" s="6">
        <v>2.4488878903617058E-2</v>
      </c>
      <c r="Y58" s="6">
        <v>-9.4298245614035103E-3</v>
      </c>
      <c r="Z58" s="6">
        <v>2.435244631392441E-3</v>
      </c>
      <c r="AA58" s="6">
        <v>5.0574204946996382E-2</v>
      </c>
    </row>
    <row r="59" spans="2:27">
      <c r="B59" s="30">
        <v>5332</v>
      </c>
      <c r="C59" s="2" t="s">
        <v>374</v>
      </c>
      <c r="D59" s="9" t="str">
        <f>VLOOKUP(B59,기업리스트!$B:$G,2,FALSE)</f>
        <v>TOTO LTD.</v>
      </c>
      <c r="E59" s="2" t="s">
        <v>360</v>
      </c>
      <c r="F59" s="4">
        <v>5</v>
      </c>
      <c r="G59" s="22">
        <v>16414</v>
      </c>
      <c r="H59" s="22">
        <v>9154</v>
      </c>
      <c r="I59" s="22">
        <v>10207</v>
      </c>
      <c r="J59" s="22">
        <v>10443</v>
      </c>
      <c r="K59" s="23">
        <v>22945</v>
      </c>
      <c r="L59" s="22">
        <v>5527</v>
      </c>
      <c r="M59" s="22">
        <v>4002</v>
      </c>
      <c r="N59" s="22">
        <v>11268</v>
      </c>
      <c r="O59" s="22">
        <v>17640</v>
      </c>
      <c r="P59" s="23">
        <v>9857</v>
      </c>
      <c r="Q59" s="23">
        <v>9801</v>
      </c>
      <c r="R59" s="22">
        <v>14342</v>
      </c>
      <c r="S59" s="22">
        <v>17364</v>
      </c>
      <c r="T59" s="22">
        <v>6973</v>
      </c>
      <c r="U59" s="22">
        <v>8208</v>
      </c>
      <c r="V59" s="22">
        <v>12574</v>
      </c>
      <c r="W59" s="25">
        <v>19638</v>
      </c>
      <c r="X59" s="6">
        <v>-5.6148275056459807E-2</v>
      </c>
      <c r="Y59" s="6">
        <v>-3.2858910891089048E-2</v>
      </c>
      <c r="Z59" s="6">
        <v>-3.7707680167210489E-2</v>
      </c>
      <c r="AA59" s="6">
        <v>5.040005319266827E-2</v>
      </c>
    </row>
    <row r="60" spans="2:27">
      <c r="B60" s="30">
        <v>8803</v>
      </c>
      <c r="C60" s="2" t="s">
        <v>374</v>
      </c>
      <c r="D60" s="9" t="str">
        <f>VLOOKUP(B60,기업리스트!$B:$G,2,FALSE)</f>
        <v>Heiwa Real Estate Co., Ltd.</v>
      </c>
      <c r="E60" s="2" t="s">
        <v>360</v>
      </c>
      <c r="F60" s="4">
        <v>4.9000000000000004</v>
      </c>
      <c r="G60" s="22">
        <v>2018</v>
      </c>
      <c r="H60" s="22">
        <v>3298</v>
      </c>
      <c r="I60" s="22">
        <v>2991</v>
      </c>
      <c r="J60" s="22">
        <v>2077</v>
      </c>
      <c r="K60" s="22">
        <v>1772</v>
      </c>
      <c r="L60" s="22">
        <v>3945</v>
      </c>
      <c r="M60" s="23">
        <v>6447</v>
      </c>
      <c r="N60" s="22">
        <v>2808</v>
      </c>
      <c r="O60" s="22">
        <v>1697</v>
      </c>
      <c r="P60" s="22">
        <v>2071</v>
      </c>
      <c r="Q60" s="22">
        <v>2962</v>
      </c>
      <c r="R60" s="22">
        <v>2292</v>
      </c>
      <c r="S60" s="22">
        <v>2227</v>
      </c>
      <c r="T60" s="23">
        <v>5716</v>
      </c>
      <c r="U60" s="22">
        <v>3439</v>
      </c>
      <c r="V60" s="22">
        <v>2328</v>
      </c>
      <c r="W60" s="25">
        <v>2893</v>
      </c>
      <c r="X60" s="7">
        <v>0.38159547738693478</v>
      </c>
      <c r="Y60" s="6">
        <v>3.6144578313253017E-2</v>
      </c>
      <c r="Z60" s="6">
        <v>2.6327336551119629E-3</v>
      </c>
      <c r="AA60" s="6">
        <v>4.8577680525164091E-2</v>
      </c>
    </row>
    <row r="61" spans="2:27">
      <c r="B61" s="30">
        <v>8818</v>
      </c>
      <c r="C61" s="2" t="s">
        <v>374</v>
      </c>
      <c r="D61" s="9" t="str">
        <f>VLOOKUP(B61,기업리스트!$B:$G,2,FALSE)</f>
        <v>Keihanshin Building Co., Ltd.</v>
      </c>
      <c r="E61" s="2" t="s">
        <v>360</v>
      </c>
      <c r="F61" s="4">
        <v>4.8</v>
      </c>
      <c r="G61" s="22">
        <v>1415</v>
      </c>
      <c r="H61" s="22">
        <v>1348</v>
      </c>
      <c r="I61" s="22">
        <v>1461</v>
      </c>
      <c r="J61" s="22">
        <v>1612</v>
      </c>
      <c r="K61" s="22">
        <v>1275</v>
      </c>
      <c r="L61" s="22">
        <v>1028</v>
      </c>
      <c r="M61" s="22">
        <v>1399</v>
      </c>
      <c r="N61" s="22">
        <v>1436</v>
      </c>
      <c r="O61" s="22">
        <v>1351</v>
      </c>
      <c r="P61" s="22">
        <v>897</v>
      </c>
      <c r="Q61" s="22">
        <v>1425</v>
      </c>
      <c r="R61" s="22">
        <v>1337</v>
      </c>
      <c r="S61" s="22">
        <v>1256</v>
      </c>
      <c r="T61" s="22">
        <v>964.45</v>
      </c>
      <c r="U61" s="22">
        <v>1479</v>
      </c>
      <c r="V61" s="22">
        <v>1586</v>
      </c>
      <c r="W61" s="25">
        <v>1512</v>
      </c>
      <c r="X61" s="6">
        <v>1.3723296032553289E-2</v>
      </c>
      <c r="Y61" s="6">
        <v>1.0838041525755401E-2</v>
      </c>
      <c r="Z61" s="6">
        <v>4.9439585422271559E-2</v>
      </c>
      <c r="AA61" s="6">
        <v>4.8434854175141151E-2</v>
      </c>
    </row>
    <row r="62" spans="2:27">
      <c r="B62" s="30">
        <v>4205</v>
      </c>
      <c r="C62" s="2" t="s">
        <v>374</v>
      </c>
      <c r="D62" s="9" t="str">
        <f>VLOOKUP(B62,기업리스트!$B:$G,2,FALSE)</f>
        <v>Zeon Corporation</v>
      </c>
      <c r="E62" s="2" t="s">
        <v>360</v>
      </c>
      <c r="F62" s="4">
        <v>4.5999999999999996</v>
      </c>
      <c r="G62" s="22">
        <v>11423</v>
      </c>
      <c r="H62" s="22">
        <v>7992</v>
      </c>
      <c r="I62" s="22">
        <v>10656</v>
      </c>
      <c r="J62" s="22">
        <v>9392</v>
      </c>
      <c r="K62" s="22">
        <v>7614</v>
      </c>
      <c r="L62" s="22">
        <v>-715</v>
      </c>
      <c r="M62" s="22">
        <v>5979</v>
      </c>
      <c r="N62" s="22">
        <v>3101</v>
      </c>
      <c r="O62" s="22">
        <v>6347</v>
      </c>
      <c r="P62" s="23">
        <v>4413</v>
      </c>
      <c r="Q62" s="23">
        <v>8694</v>
      </c>
      <c r="R62" s="23">
        <v>7823</v>
      </c>
      <c r="S62" s="22">
        <v>6801</v>
      </c>
      <c r="T62" s="22">
        <v>5081</v>
      </c>
      <c r="U62" s="23">
        <v>11890</v>
      </c>
      <c r="V62" s="22">
        <v>7462</v>
      </c>
      <c r="W62" s="25">
        <v>8248</v>
      </c>
      <c r="X62" s="6">
        <v>2.4088565143701949E-2</v>
      </c>
      <c r="Y62" s="7">
        <v>0.11253917391457451</v>
      </c>
      <c r="Z62" s="6">
        <v>-1.142585852191802E-2</v>
      </c>
      <c r="AA62" s="6">
        <v>4.6327719792533813E-2</v>
      </c>
    </row>
    <row r="63" spans="2:27">
      <c r="B63" s="30">
        <v>8377</v>
      </c>
      <c r="C63" s="2" t="s">
        <v>374</v>
      </c>
      <c r="D63" s="9" t="str">
        <f>VLOOKUP(B63,기업리스트!$B:$G,2,FALSE)</f>
        <v>Hokuhoku Financial Group, Inc.</v>
      </c>
      <c r="E63" s="2" t="s">
        <v>360</v>
      </c>
      <c r="F63" s="4">
        <v>4.5999999999999996</v>
      </c>
      <c r="G63" s="22">
        <v>11258</v>
      </c>
      <c r="H63" s="22">
        <v>3119</v>
      </c>
      <c r="I63" s="22">
        <v>8991</v>
      </c>
      <c r="J63" s="22">
        <v>5297</v>
      </c>
      <c r="K63" s="22">
        <v>7000</v>
      </c>
      <c r="L63" s="22">
        <v>4442</v>
      </c>
      <c r="M63" s="22">
        <v>7320</v>
      </c>
      <c r="N63" s="23">
        <v>9867</v>
      </c>
      <c r="O63" s="22">
        <v>5871</v>
      </c>
      <c r="P63" s="22">
        <v>2740</v>
      </c>
      <c r="Q63" s="23">
        <v>10906</v>
      </c>
      <c r="R63" s="23">
        <v>14384</v>
      </c>
      <c r="S63" s="23">
        <v>16906</v>
      </c>
      <c r="T63" s="23">
        <v>11543</v>
      </c>
      <c r="U63" s="23">
        <v>20032</v>
      </c>
      <c r="V63" s="23">
        <v>21439</v>
      </c>
      <c r="W63" s="25">
        <v>20105</v>
      </c>
      <c r="X63" s="7">
        <v>0.19590083674559369</v>
      </c>
      <c r="Y63" s="7">
        <v>0.16982080053592361</v>
      </c>
      <c r="Z63" s="7">
        <v>0.11222460828760041</v>
      </c>
      <c r="AA63" s="6">
        <v>4.5752288329519393E-2</v>
      </c>
    </row>
    <row r="64" spans="2:27">
      <c r="B64" s="30">
        <v>9531</v>
      </c>
      <c r="C64" s="2" t="s">
        <v>374</v>
      </c>
      <c r="D64" s="9" t="str">
        <f>VLOOKUP(B64,기업리스트!$B:$G,2,FALSE)</f>
        <v>Tokyo Gas Co.,Ltd.</v>
      </c>
      <c r="E64" s="2" t="s">
        <v>360</v>
      </c>
      <c r="F64" s="4">
        <v>4.3</v>
      </c>
      <c r="G64" s="22">
        <v>-7813</v>
      </c>
      <c r="H64" s="22">
        <v>80248</v>
      </c>
      <c r="I64" s="22">
        <v>51207</v>
      </c>
      <c r="J64" s="22">
        <v>39292</v>
      </c>
      <c r="K64" s="23">
        <v>145193</v>
      </c>
      <c r="L64" s="23">
        <v>185785</v>
      </c>
      <c r="M64" s="22">
        <v>92979</v>
      </c>
      <c r="N64" s="22">
        <v>36762</v>
      </c>
      <c r="O64" s="22">
        <v>33127</v>
      </c>
      <c r="P64" s="22">
        <v>57441</v>
      </c>
      <c r="Q64" s="22">
        <v>24915</v>
      </c>
      <c r="R64" s="22">
        <v>13317</v>
      </c>
      <c r="S64" s="22">
        <v>34722</v>
      </c>
      <c r="T64" s="22">
        <v>60138</v>
      </c>
      <c r="U64" s="23">
        <v>62524</v>
      </c>
      <c r="V64" s="23">
        <v>32771</v>
      </c>
      <c r="W64" s="25">
        <v>42963</v>
      </c>
      <c r="X64" s="6">
        <v>2.0683308409064741E-2</v>
      </c>
      <c r="Y64" s="7">
        <v>0.2825789679319568</v>
      </c>
      <c r="Z64" s="7">
        <v>0.1139653546259249</v>
      </c>
      <c r="AA64" s="6">
        <v>4.333832925771075E-2</v>
      </c>
    </row>
    <row r="65" spans="2:27">
      <c r="B65" s="30">
        <v>2805</v>
      </c>
      <c r="C65" s="2" t="s">
        <v>374</v>
      </c>
      <c r="D65" s="9" t="str">
        <f>VLOOKUP(B65,기업리스트!$B:$G,2,FALSE)</f>
        <v>S&amp;B Foods Inc.</v>
      </c>
      <c r="E65" s="2" t="s">
        <v>360</v>
      </c>
      <c r="F65" s="4">
        <v>4</v>
      </c>
      <c r="G65" s="22">
        <v>2880</v>
      </c>
      <c r="H65" s="22">
        <v>703</v>
      </c>
      <c r="I65" s="22">
        <v>2262</v>
      </c>
      <c r="J65" s="22">
        <v>1005</v>
      </c>
      <c r="K65" s="22">
        <v>2371</v>
      </c>
      <c r="L65" s="22">
        <v>-238</v>
      </c>
      <c r="M65" s="22">
        <v>1803</v>
      </c>
      <c r="N65" s="22">
        <v>1475</v>
      </c>
      <c r="O65" s="23">
        <v>3894</v>
      </c>
      <c r="P65" s="23">
        <v>607</v>
      </c>
      <c r="Q65" s="23">
        <v>3143</v>
      </c>
      <c r="R65" s="22">
        <v>1858</v>
      </c>
      <c r="S65" s="22">
        <v>4289</v>
      </c>
      <c r="T65" s="22">
        <v>152</v>
      </c>
      <c r="U65" s="22">
        <v>2638</v>
      </c>
      <c r="V65" s="22">
        <v>2063</v>
      </c>
      <c r="W65" s="25">
        <v>4656</v>
      </c>
      <c r="X65" s="6">
        <v>-4.5973527331514608E-2</v>
      </c>
      <c r="Y65" s="6">
        <v>-5.3484431264562593E-2</v>
      </c>
      <c r="Z65" s="6">
        <v>2.293834620118607E-2</v>
      </c>
      <c r="AA65" s="6">
        <v>4.0144388536425213E-2</v>
      </c>
    </row>
    <row r="66" spans="2:27">
      <c r="B66" s="30">
        <v>9506</v>
      </c>
      <c r="C66" s="2" t="s">
        <v>374</v>
      </c>
      <c r="D66" s="9" t="str">
        <f>VLOOKUP(B66,기업리스트!$B:$G,2,FALSE)</f>
        <v>Tohoku Electric Power Company, Incorporated</v>
      </c>
      <c r="E66" s="2" t="s">
        <v>360</v>
      </c>
      <c r="F66" s="4">
        <v>4</v>
      </c>
      <c r="G66" s="22">
        <v>-25719</v>
      </c>
      <c r="H66" s="22">
        <v>-52068</v>
      </c>
      <c r="I66" s="22">
        <v>-26452</v>
      </c>
      <c r="J66" s="22">
        <v>-99818</v>
      </c>
      <c r="K66" s="23">
        <v>-87224</v>
      </c>
      <c r="L66" s="22">
        <v>33439</v>
      </c>
      <c r="M66" s="22">
        <v>116802</v>
      </c>
      <c r="N66" s="22">
        <v>110739</v>
      </c>
      <c r="O66" s="23">
        <v>64877</v>
      </c>
      <c r="P66" s="22">
        <v>29845</v>
      </c>
      <c r="Q66" s="22">
        <v>93958</v>
      </c>
      <c r="R66" s="22">
        <v>74816</v>
      </c>
      <c r="S66" s="22">
        <v>31929</v>
      </c>
      <c r="T66" s="23">
        <v>79629</v>
      </c>
      <c r="U66" s="22">
        <v>64370</v>
      </c>
      <c r="V66" s="22">
        <v>76743</v>
      </c>
      <c r="W66" s="25">
        <v>42053</v>
      </c>
      <c r="X66" s="7">
        <v>0.21593767892152621</v>
      </c>
      <c r="Y66" s="6">
        <v>-0.1055462808384344</v>
      </c>
      <c r="Z66" s="6">
        <v>7.6851290559296634E-3</v>
      </c>
      <c r="AA66" s="6">
        <v>4.006791440252333E-2</v>
      </c>
    </row>
    <row r="67" spans="2:27">
      <c r="B67" s="30">
        <v>3092</v>
      </c>
      <c r="C67" s="2" t="s">
        <v>374</v>
      </c>
      <c r="D67" s="9" t="str">
        <f>VLOOKUP(B67,기업리스트!$B:$G,2,FALSE)</f>
        <v>ZOZO, Inc.</v>
      </c>
      <c r="E67" s="2" t="s">
        <v>360</v>
      </c>
      <c r="F67" s="4">
        <v>3.9</v>
      </c>
      <c r="G67" s="22">
        <v>14982</v>
      </c>
      <c r="H67" s="22">
        <v>10858</v>
      </c>
      <c r="I67" s="22">
        <v>14309</v>
      </c>
      <c r="J67" s="22">
        <v>13066</v>
      </c>
      <c r="K67" s="22">
        <v>17260</v>
      </c>
      <c r="L67" s="22">
        <v>11955</v>
      </c>
      <c r="M67" s="22">
        <v>15859</v>
      </c>
      <c r="N67" s="22">
        <v>13124</v>
      </c>
      <c r="O67" s="22">
        <v>16716</v>
      </c>
      <c r="P67" s="22">
        <v>14432</v>
      </c>
      <c r="Q67" s="22">
        <v>15896</v>
      </c>
      <c r="R67" s="22">
        <v>14580</v>
      </c>
      <c r="S67" s="22">
        <v>21284</v>
      </c>
      <c r="T67" s="22">
        <v>12997</v>
      </c>
      <c r="U67" s="22">
        <v>16921</v>
      </c>
      <c r="V67" s="22">
        <v>14154</v>
      </c>
      <c r="W67" s="25">
        <v>23845</v>
      </c>
      <c r="X67" s="6">
        <v>-2.167935702199664E-2</v>
      </c>
      <c r="Y67" s="6">
        <v>1.5828404651234699E-2</v>
      </c>
      <c r="Z67" s="6">
        <v>-6.4759356662916767E-3</v>
      </c>
      <c r="AA67" s="6">
        <v>3.9185384662464129E-2</v>
      </c>
    </row>
    <row r="68" spans="2:27">
      <c r="B68" s="30">
        <v>7276</v>
      </c>
      <c r="C68" s="2" t="s">
        <v>374</v>
      </c>
      <c r="D68" s="9" t="str">
        <f>VLOOKUP(B68,기업리스트!$B:$G,2,FALSE)</f>
        <v>Koito Manufacturing Co., Ltd.</v>
      </c>
      <c r="E68" s="2" t="s">
        <v>360</v>
      </c>
      <c r="F68" s="4">
        <v>3.8</v>
      </c>
      <c r="G68" s="22">
        <v>14174</v>
      </c>
      <c r="H68" s="22">
        <v>15108</v>
      </c>
      <c r="I68" s="22">
        <v>6379</v>
      </c>
      <c r="J68" s="22">
        <v>13412</v>
      </c>
      <c r="K68" s="22">
        <v>12367</v>
      </c>
      <c r="L68" s="22">
        <v>14690</v>
      </c>
      <c r="M68" s="23">
        <v>14742</v>
      </c>
      <c r="N68" s="22">
        <v>17772</v>
      </c>
      <c r="O68" s="22">
        <v>16029</v>
      </c>
      <c r="P68" s="22">
        <v>7453</v>
      </c>
      <c r="Q68" s="22">
        <v>9045</v>
      </c>
      <c r="R68" s="22">
        <v>9023</v>
      </c>
      <c r="S68" s="22">
        <v>12065</v>
      </c>
      <c r="T68" s="23">
        <v>14741</v>
      </c>
      <c r="U68" s="22">
        <v>11907</v>
      </c>
      <c r="V68" s="22">
        <v>7945</v>
      </c>
      <c r="W68" s="25">
        <v>13852</v>
      </c>
      <c r="X68" s="7">
        <v>0.1939019847815675</v>
      </c>
      <c r="Y68" s="6">
        <v>6.3778580024067333E-2</v>
      </c>
      <c r="Z68" s="6">
        <v>-2.2582537288419639E-2</v>
      </c>
      <c r="AA68" s="6">
        <v>3.829996999442753E-2</v>
      </c>
    </row>
    <row r="69" spans="2:27">
      <c r="B69" s="30">
        <v>9110</v>
      </c>
      <c r="C69" s="2" t="s">
        <v>374</v>
      </c>
      <c r="D69" s="9" t="str">
        <f>VLOOKUP(B69,기업리스트!$B:$G,2,FALSE)</f>
        <v>NS United Kaiun Kaisha, Ltd.</v>
      </c>
      <c r="E69" s="2" t="s">
        <v>360</v>
      </c>
      <c r="F69" s="4">
        <v>3.8</v>
      </c>
      <c r="G69" s="22">
        <v>8788</v>
      </c>
      <c r="H69" s="22">
        <v>6623</v>
      </c>
      <c r="I69" s="22">
        <v>11195</v>
      </c>
      <c r="J69" s="22">
        <v>9479</v>
      </c>
      <c r="K69" s="22">
        <v>9283</v>
      </c>
      <c r="L69" s="22">
        <v>2529</v>
      </c>
      <c r="M69" s="22">
        <v>5831</v>
      </c>
      <c r="N69" s="22">
        <v>6363</v>
      </c>
      <c r="O69" s="22">
        <v>5034</v>
      </c>
      <c r="P69" s="22">
        <v>4373</v>
      </c>
      <c r="Q69" s="22">
        <v>5848</v>
      </c>
      <c r="R69" s="22">
        <v>5858</v>
      </c>
      <c r="S69" s="22">
        <v>5156</v>
      </c>
      <c r="T69" s="22">
        <v>3361</v>
      </c>
      <c r="U69" s="22">
        <v>3724</v>
      </c>
      <c r="V69" s="22">
        <v>5517</v>
      </c>
      <c r="W69" s="25">
        <v>5832</v>
      </c>
      <c r="X69" s="6">
        <v>-4.765716976689427E-2</v>
      </c>
      <c r="Y69" s="6">
        <v>-0.10502892745883401</v>
      </c>
      <c r="Z69" s="6">
        <v>-1.8840819934803021E-2</v>
      </c>
      <c r="AA69" s="6">
        <v>3.8067349926793607E-2</v>
      </c>
    </row>
    <row r="70" spans="2:27">
      <c r="B70" s="30">
        <v>8316</v>
      </c>
      <c r="C70" s="2" t="s">
        <v>374</v>
      </c>
      <c r="D70" s="9" t="str">
        <f>VLOOKUP(B70,기업리스트!$B:$G,2,FALSE)</f>
        <v>Sumitomo Mitsui Financial Group, Inc.</v>
      </c>
      <c r="E70" s="2" t="s">
        <v>360</v>
      </c>
      <c r="F70" s="4">
        <v>3.7</v>
      </c>
      <c r="G70" s="22">
        <v>235394</v>
      </c>
      <c r="H70" s="22">
        <v>-185688</v>
      </c>
      <c r="I70" s="22">
        <v>348685</v>
      </c>
      <c r="J70" s="22">
        <v>675867</v>
      </c>
      <c r="K70" s="22">
        <v>5578</v>
      </c>
      <c r="L70" s="23">
        <v>231746</v>
      </c>
      <c r="M70" s="22">
        <v>348010</v>
      </c>
      <c r="N70" s="22">
        <v>358374</v>
      </c>
      <c r="O70" s="23">
        <v>378157</v>
      </c>
      <c r="P70" s="22">
        <v>123248</v>
      </c>
      <c r="Q70" s="23">
        <v>518177</v>
      </c>
      <c r="R70" s="23">
        <v>509222</v>
      </c>
      <c r="S70" s="23">
        <v>585047</v>
      </c>
      <c r="T70" s="22">
        <v>-958200</v>
      </c>
      <c r="U70" s="22">
        <v>481573</v>
      </c>
      <c r="V70" s="23">
        <v>793900</v>
      </c>
      <c r="W70" s="25">
        <v>618746</v>
      </c>
      <c r="X70" s="6">
        <v>-0.6230637428025908</v>
      </c>
      <c r="Y70" s="6">
        <v>-5.5948374158955483E-2</v>
      </c>
      <c r="Z70" s="7">
        <v>0.46091101317591748</v>
      </c>
      <c r="AA70" s="6">
        <v>3.7347060909655123E-2</v>
      </c>
    </row>
    <row r="71" spans="2:27">
      <c r="B71" s="30">
        <v>2002</v>
      </c>
      <c r="C71" s="2" t="s">
        <v>374</v>
      </c>
      <c r="D71" s="9" t="str">
        <f>VLOOKUP(B71,기업리스트!$B:$G,2,FALSE)</f>
        <v>Nisshin Seifun Group Inc.</v>
      </c>
      <c r="E71" s="2" t="s">
        <v>360</v>
      </c>
      <c r="F71" s="4">
        <v>3.3</v>
      </c>
      <c r="G71" s="22">
        <v>10583</v>
      </c>
      <c r="H71" s="22">
        <v>3280</v>
      </c>
      <c r="I71" s="22">
        <v>8861</v>
      </c>
      <c r="J71" s="22">
        <v>7060</v>
      </c>
      <c r="K71" s="22">
        <v>9542</v>
      </c>
      <c r="L71" s="23">
        <v>7370</v>
      </c>
      <c r="M71" s="22">
        <v>11862</v>
      </c>
      <c r="N71" s="23">
        <v>13650</v>
      </c>
      <c r="O71" s="23">
        <v>16383</v>
      </c>
      <c r="P71" s="22">
        <v>5897</v>
      </c>
      <c r="Q71" s="22">
        <v>13221</v>
      </c>
      <c r="R71" s="22">
        <v>12789</v>
      </c>
      <c r="S71" s="22">
        <v>13460</v>
      </c>
      <c r="T71" s="22">
        <v>6911</v>
      </c>
      <c r="U71" s="22">
        <v>11297</v>
      </c>
      <c r="V71" s="22">
        <v>11336</v>
      </c>
      <c r="W71" s="25">
        <v>14866</v>
      </c>
      <c r="X71" s="6">
        <v>2.2351048118676609E-2</v>
      </c>
      <c r="Y71" s="6">
        <v>-4.1482503611392607E-2</v>
      </c>
      <c r="Z71" s="6">
        <v>-3.2683266977079017E-2</v>
      </c>
      <c r="AA71" s="6">
        <v>3.2694633057390073E-2</v>
      </c>
    </row>
    <row r="72" spans="2:27">
      <c r="B72" s="30">
        <v>9509</v>
      </c>
      <c r="C72" s="2" t="s">
        <v>374</v>
      </c>
      <c r="D72" s="9" t="str">
        <f>VLOOKUP(B72,기업리스트!$B:$G,2,FALSE)</f>
        <v>Hokkaido Electric Power Company, Incorporated</v>
      </c>
      <c r="E72" s="2" t="s">
        <v>360</v>
      </c>
      <c r="F72" s="4">
        <v>3.3</v>
      </c>
      <c r="G72" s="22">
        <v>-7706</v>
      </c>
      <c r="H72" s="22">
        <v>3850</v>
      </c>
      <c r="I72" s="22">
        <v>13067</v>
      </c>
      <c r="J72" s="22">
        <v>-12664</v>
      </c>
      <c r="K72" s="23">
        <v>-25817</v>
      </c>
      <c r="L72" s="22">
        <v>3373</v>
      </c>
      <c r="M72" s="22">
        <v>49426</v>
      </c>
      <c r="N72" s="23">
        <v>25540</v>
      </c>
      <c r="O72" s="23">
        <v>6065</v>
      </c>
      <c r="P72" s="23">
        <v>20125</v>
      </c>
      <c r="Q72" s="22">
        <v>34676</v>
      </c>
      <c r="R72" s="22">
        <v>21492</v>
      </c>
      <c r="S72" s="22">
        <v>8328</v>
      </c>
      <c r="T72" s="22">
        <v>11343</v>
      </c>
      <c r="U72" s="23">
        <v>43899</v>
      </c>
      <c r="V72" s="22">
        <v>24068</v>
      </c>
      <c r="W72" s="25">
        <v>11192</v>
      </c>
      <c r="X72" s="6">
        <v>-0.1037803854835089</v>
      </c>
      <c r="Y72" s="7">
        <v>0.121612890465328</v>
      </c>
      <c r="Z72" s="6">
        <v>3.0283792998048401E-2</v>
      </c>
      <c r="AA72" s="6">
        <v>3.2679887719938787E-2</v>
      </c>
    </row>
    <row r="73" spans="2:27">
      <c r="B73" s="30">
        <v>2327</v>
      </c>
      <c r="C73" s="2" t="s">
        <v>374</v>
      </c>
      <c r="D73" s="9" t="str">
        <f>VLOOKUP(B73,기업리스트!$B:$G,2,FALSE)</f>
        <v>NS Solutions Corporation</v>
      </c>
      <c r="E73" s="2" t="s">
        <v>360</v>
      </c>
      <c r="F73" s="4">
        <v>3.1</v>
      </c>
      <c r="G73" s="22">
        <v>7854</v>
      </c>
      <c r="H73" s="22">
        <v>8061</v>
      </c>
      <c r="I73" s="22">
        <v>6495</v>
      </c>
      <c r="J73" s="22">
        <v>7498</v>
      </c>
      <c r="K73" s="22">
        <v>8335</v>
      </c>
      <c r="L73" s="22">
        <v>10810</v>
      </c>
      <c r="M73" s="22">
        <v>6590</v>
      </c>
      <c r="N73" s="22">
        <v>8038</v>
      </c>
      <c r="O73" s="22">
        <v>8661</v>
      </c>
      <c r="P73" s="22">
        <v>12024</v>
      </c>
      <c r="Q73" s="22">
        <v>8825</v>
      </c>
      <c r="R73" s="22">
        <v>9311</v>
      </c>
      <c r="S73" s="22">
        <v>11469</v>
      </c>
      <c r="T73" s="22">
        <v>11087</v>
      </c>
      <c r="U73" s="22">
        <v>8495</v>
      </c>
      <c r="V73" s="22">
        <v>9762</v>
      </c>
      <c r="W73" s="25">
        <v>12726</v>
      </c>
      <c r="X73" s="6">
        <v>-2.2508347546181699E-2</v>
      </c>
      <c r="Y73" s="6">
        <v>-8.1097021527573032E-3</v>
      </c>
      <c r="Z73" s="6">
        <v>1.1173876418413281E-2</v>
      </c>
      <c r="AA73" s="6">
        <v>3.0799010119324729E-2</v>
      </c>
    </row>
    <row r="74" spans="2:27">
      <c r="B74" s="30">
        <v>6455</v>
      </c>
      <c r="C74" s="2" t="s">
        <v>374</v>
      </c>
      <c r="D74" s="9" t="str">
        <f>VLOOKUP(B74,기업리스트!$B:$G,2,FALSE)</f>
        <v>Morita Holdings Corporation</v>
      </c>
      <c r="E74" s="2" t="s">
        <v>360</v>
      </c>
      <c r="F74" s="4">
        <v>2.8</v>
      </c>
      <c r="G74" s="22">
        <v>2307</v>
      </c>
      <c r="H74" s="22">
        <v>5497</v>
      </c>
      <c r="I74" s="22">
        <v>-28</v>
      </c>
      <c r="J74" s="22">
        <v>731</v>
      </c>
      <c r="K74" s="22">
        <v>231</v>
      </c>
      <c r="L74" s="22">
        <v>4074</v>
      </c>
      <c r="M74" s="22">
        <v>145</v>
      </c>
      <c r="N74" s="23">
        <v>1712</v>
      </c>
      <c r="O74" s="23">
        <v>1440</v>
      </c>
      <c r="P74" s="23">
        <v>6090</v>
      </c>
      <c r="Q74" s="23">
        <v>1433</v>
      </c>
      <c r="R74" s="22">
        <v>2741</v>
      </c>
      <c r="S74" s="22">
        <v>2433</v>
      </c>
      <c r="T74" s="22">
        <v>7126</v>
      </c>
      <c r="U74" s="22">
        <v>1381</v>
      </c>
      <c r="V74" s="22">
        <v>3756</v>
      </c>
      <c r="W74" s="25">
        <v>2840</v>
      </c>
      <c r="X74" s="6">
        <v>8.1594077341104132E-2</v>
      </c>
      <c r="Y74" s="6">
        <v>-3.7864996723221411E-3</v>
      </c>
      <c r="Z74" s="6">
        <v>7.4190483151816311E-2</v>
      </c>
      <c r="AA74" s="6">
        <v>2.7694610778443041E-2</v>
      </c>
    </row>
    <row r="75" spans="2:27">
      <c r="B75" s="30">
        <v>7476</v>
      </c>
      <c r="C75" s="2" t="s">
        <v>374</v>
      </c>
      <c r="D75" s="9" t="str">
        <f>VLOOKUP(B75,기업리스트!$B:$G,2,FALSE)</f>
        <v>AS ONE Corporation</v>
      </c>
      <c r="E75" s="2" t="s">
        <v>360</v>
      </c>
      <c r="F75" s="4">
        <v>2.7</v>
      </c>
      <c r="G75" s="22">
        <v>2363</v>
      </c>
      <c r="H75" s="22">
        <v>3096</v>
      </c>
      <c r="I75" s="22">
        <v>2523</v>
      </c>
      <c r="J75" s="22">
        <v>2806</v>
      </c>
      <c r="K75" s="22">
        <v>2910</v>
      </c>
      <c r="L75" s="22">
        <v>3157</v>
      </c>
      <c r="M75" s="22">
        <v>2462</v>
      </c>
      <c r="N75" s="22">
        <v>2513</v>
      </c>
      <c r="O75" s="22">
        <v>2558</v>
      </c>
      <c r="P75" s="22">
        <v>2903</v>
      </c>
      <c r="Q75" s="22">
        <v>2698</v>
      </c>
      <c r="R75" s="22">
        <v>2570</v>
      </c>
      <c r="S75" s="22">
        <v>3084</v>
      </c>
      <c r="T75" s="22">
        <v>3331</v>
      </c>
      <c r="U75" s="22">
        <v>3085</v>
      </c>
      <c r="V75" s="22">
        <v>2932</v>
      </c>
      <c r="W75" s="25">
        <v>3419</v>
      </c>
      <c r="X75" s="6">
        <v>3.8027543314082653E-2</v>
      </c>
      <c r="Y75" s="6">
        <v>3.3125053496533503E-2</v>
      </c>
      <c r="Z75" s="6">
        <v>2.999171499585751E-2</v>
      </c>
      <c r="AA75" s="6">
        <v>2.6946589446589449E-2</v>
      </c>
    </row>
    <row r="76" spans="2:27">
      <c r="B76" s="30">
        <v>8345</v>
      </c>
      <c r="C76" s="2" t="s">
        <v>374</v>
      </c>
      <c r="D76" s="9" t="str">
        <f>VLOOKUP(B76,기업리스트!$B:$G,2,FALSE)</f>
        <v>The Bank of Iwate, Ltd.</v>
      </c>
      <c r="E76" s="2" t="s">
        <v>360</v>
      </c>
      <c r="F76" s="4">
        <v>2.7</v>
      </c>
      <c r="G76" s="22">
        <v>1904</v>
      </c>
      <c r="H76" s="22">
        <v>289</v>
      </c>
      <c r="I76" s="22">
        <v>1760</v>
      </c>
      <c r="J76" s="22">
        <v>2594</v>
      </c>
      <c r="K76" s="22">
        <v>1995</v>
      </c>
      <c r="L76" s="22">
        <v>226</v>
      </c>
      <c r="M76" s="22">
        <v>1713</v>
      </c>
      <c r="N76" s="22">
        <v>2214</v>
      </c>
      <c r="O76" s="22">
        <v>1207</v>
      </c>
      <c r="P76" s="23">
        <v>1611</v>
      </c>
      <c r="Q76" s="23">
        <v>2456</v>
      </c>
      <c r="R76" s="22">
        <v>1949</v>
      </c>
      <c r="S76" s="23">
        <v>2831</v>
      </c>
      <c r="T76" s="23">
        <v>2510</v>
      </c>
      <c r="U76" s="22">
        <v>3124</v>
      </c>
      <c r="V76" s="23">
        <v>3277</v>
      </c>
      <c r="W76" s="25">
        <v>3146</v>
      </c>
      <c r="X76" s="7">
        <v>0.10161636713010069</v>
      </c>
      <c r="Y76" s="6">
        <v>6.8540939872768325E-2</v>
      </c>
      <c r="Z76" s="7">
        <v>0.12752064528519291</v>
      </c>
      <c r="AA76" s="6">
        <v>2.6826775677056821E-2</v>
      </c>
    </row>
    <row r="77" spans="2:27">
      <c r="B77" s="30">
        <v>5844</v>
      </c>
      <c r="C77" s="2" t="s">
        <v>374</v>
      </c>
      <c r="D77" s="9" t="str">
        <f>VLOOKUP(B77,기업리스트!$B:$G,2,FALSE)</f>
        <v>Kyoto Financial Group,Inc.</v>
      </c>
      <c r="E77" s="2" t="s">
        <v>360</v>
      </c>
      <c r="F77" s="4">
        <v>2.5</v>
      </c>
      <c r="G77" s="22">
        <v>13772</v>
      </c>
      <c r="H77" s="22">
        <v>-4311</v>
      </c>
      <c r="I77" s="22">
        <v>18978</v>
      </c>
      <c r="J77" s="22">
        <v>3129</v>
      </c>
      <c r="K77" s="22">
        <v>13641</v>
      </c>
      <c r="L77" s="23">
        <v>2027</v>
      </c>
      <c r="M77" s="22">
        <v>20101</v>
      </c>
      <c r="N77" s="22">
        <v>6513</v>
      </c>
      <c r="O77" s="22">
        <v>17181</v>
      </c>
      <c r="P77" s="22">
        <v>180</v>
      </c>
      <c r="Q77" s="22">
        <v>14741</v>
      </c>
      <c r="R77" s="22">
        <v>6354</v>
      </c>
      <c r="S77" s="22">
        <v>15516</v>
      </c>
      <c r="T77" s="23">
        <v>5488</v>
      </c>
      <c r="U77" s="22">
        <v>18749</v>
      </c>
      <c r="V77" s="23">
        <v>19839</v>
      </c>
      <c r="W77" s="25">
        <v>17027</v>
      </c>
      <c r="X77" s="7">
        <v>0.1442744149384361</v>
      </c>
      <c r="Y77" s="6">
        <v>9.5204161619040883E-2</v>
      </c>
      <c r="Z77" s="7">
        <v>0.29247185893682093</v>
      </c>
      <c r="AA77" s="6">
        <v>2.5355752449993219E-2</v>
      </c>
    </row>
    <row r="78" spans="2:27">
      <c r="B78" s="30">
        <v>9508</v>
      </c>
      <c r="C78" s="2" t="s">
        <v>374</v>
      </c>
      <c r="D78" s="9" t="str">
        <f>VLOOKUP(B78,기업리스트!$B:$G,2,FALSE)</f>
        <v>Kyushu Electric Power Company, Incorporated</v>
      </c>
      <c r="E78" s="2" t="s">
        <v>360</v>
      </c>
      <c r="F78" s="4">
        <v>2.4</v>
      </c>
      <c r="G78" s="22">
        <v>-2013</v>
      </c>
      <c r="H78" s="22">
        <v>-25858</v>
      </c>
      <c r="I78" s="22">
        <v>-46639</v>
      </c>
      <c r="J78" s="22">
        <v>-29060</v>
      </c>
      <c r="K78" s="23">
        <v>-44890</v>
      </c>
      <c r="L78" s="22">
        <v>47590</v>
      </c>
      <c r="M78" s="22">
        <v>100219</v>
      </c>
      <c r="N78" s="23">
        <v>107379</v>
      </c>
      <c r="O78" s="23">
        <v>52444</v>
      </c>
      <c r="P78" s="22">
        <v>-5122</v>
      </c>
      <c r="Q78" s="22">
        <v>49845</v>
      </c>
      <c r="R78" s="22">
        <v>58782</v>
      </c>
      <c r="S78" s="22">
        <v>40333</v>
      </c>
      <c r="T78" s="23">
        <v>50605</v>
      </c>
      <c r="U78" s="22">
        <v>61854</v>
      </c>
      <c r="V78" s="23">
        <v>107841</v>
      </c>
      <c r="W78" s="25">
        <v>46612</v>
      </c>
      <c r="X78" s="7">
        <v>0.38742891308277372</v>
      </c>
      <c r="Y78" s="6">
        <v>6.0175882544534431E-2</v>
      </c>
      <c r="Z78" s="7">
        <v>0.23187631750593171</v>
      </c>
      <c r="AA78" s="6">
        <v>2.4091346836356161E-2</v>
      </c>
    </row>
    <row r="79" spans="2:27">
      <c r="B79" s="30">
        <v>3762</v>
      </c>
      <c r="C79" s="2" t="s">
        <v>374</v>
      </c>
      <c r="D79" s="9" t="str">
        <f>VLOOKUP(B79,기업리스트!$B:$G,2,FALSE)</f>
        <v>TechMatrix Corporation</v>
      </c>
      <c r="E79" s="2" t="s">
        <v>360</v>
      </c>
      <c r="F79" s="4">
        <v>2.1</v>
      </c>
      <c r="G79" s="22">
        <v>815</v>
      </c>
      <c r="H79" s="22">
        <v>1769</v>
      </c>
      <c r="I79" s="22">
        <v>897</v>
      </c>
      <c r="J79" s="22">
        <v>1019</v>
      </c>
      <c r="K79" s="22">
        <v>913</v>
      </c>
      <c r="L79" s="23">
        <v>2327</v>
      </c>
      <c r="M79" s="22">
        <v>898</v>
      </c>
      <c r="N79" s="22">
        <v>1383</v>
      </c>
      <c r="O79" s="23">
        <v>1542</v>
      </c>
      <c r="P79" s="22">
        <v>2082</v>
      </c>
      <c r="Q79" s="22">
        <v>1113</v>
      </c>
      <c r="R79" s="22">
        <v>1910</v>
      </c>
      <c r="S79" s="22">
        <v>1772</v>
      </c>
      <c r="T79" s="22">
        <v>2218</v>
      </c>
      <c r="U79" s="22">
        <v>1274</v>
      </c>
      <c r="V79" s="22">
        <v>1901</v>
      </c>
      <c r="W79" s="25">
        <v>1922</v>
      </c>
      <c r="X79" s="6">
        <v>1.9776065144685221E-2</v>
      </c>
      <c r="Y79" s="6">
        <v>2.295736489376865E-2</v>
      </c>
      <c r="Z79" s="6">
        <v>-1.254530248118169E-3</v>
      </c>
      <c r="AA79" s="6">
        <v>2.0935101186322361E-2</v>
      </c>
    </row>
    <row r="80" spans="2:27">
      <c r="B80" s="30">
        <v>7173</v>
      </c>
      <c r="C80" s="2" t="s">
        <v>374</v>
      </c>
      <c r="D80" s="9" t="str">
        <f>VLOOKUP(B80,기업리스트!$B:$G,2,FALSE)</f>
        <v>Tokyo Kiraboshi Financial Group, Inc.</v>
      </c>
      <c r="E80" s="2" t="s">
        <v>360</v>
      </c>
      <c r="F80" s="4">
        <v>1.5</v>
      </c>
      <c r="G80" s="22">
        <v>5942</v>
      </c>
      <c r="H80" s="22">
        <v>11483</v>
      </c>
      <c r="I80" s="22">
        <v>4599</v>
      </c>
      <c r="J80" s="22">
        <v>9581</v>
      </c>
      <c r="K80" s="22">
        <v>7078</v>
      </c>
      <c r="L80" s="22">
        <v>10610</v>
      </c>
      <c r="M80" s="23">
        <v>8663</v>
      </c>
      <c r="N80" s="22">
        <v>9581</v>
      </c>
      <c r="O80" s="22">
        <v>8731</v>
      </c>
      <c r="P80" s="22">
        <v>5774</v>
      </c>
      <c r="Q80" s="22">
        <v>9700</v>
      </c>
      <c r="R80" s="22">
        <v>9298</v>
      </c>
      <c r="S80" s="22">
        <v>11519</v>
      </c>
      <c r="T80" s="23">
        <v>15229</v>
      </c>
      <c r="U80" s="22">
        <v>8441</v>
      </c>
      <c r="V80" s="23">
        <v>19397</v>
      </c>
      <c r="W80" s="25">
        <v>12362</v>
      </c>
      <c r="X80" s="7">
        <v>0.26053291449670718</v>
      </c>
      <c r="Y80" s="6">
        <v>-2.752153193721851E-2</v>
      </c>
      <c r="Z80" s="7">
        <v>0.22701013779306309</v>
      </c>
      <c r="AA80" s="6">
        <v>1.54435203165646E-2</v>
      </c>
    </row>
    <row r="81" spans="2:27">
      <c r="B81" s="30">
        <v>1941</v>
      </c>
      <c r="C81" s="2" t="s">
        <v>374</v>
      </c>
      <c r="D81" s="9" t="str">
        <f>VLOOKUP(B81,기업리스트!$B:$G,2,FALSE)</f>
        <v>Chudenko Corporation</v>
      </c>
      <c r="E81" s="2" t="s">
        <v>360</v>
      </c>
      <c r="F81" s="4">
        <v>1.5</v>
      </c>
      <c r="G81" s="22">
        <v>2164</v>
      </c>
      <c r="H81" s="22">
        <v>5276</v>
      </c>
      <c r="I81" s="22">
        <v>120</v>
      </c>
      <c r="J81" s="22">
        <v>965</v>
      </c>
      <c r="K81" s="22">
        <v>1702</v>
      </c>
      <c r="L81" s="22">
        <v>5576</v>
      </c>
      <c r="M81" s="22">
        <v>-591</v>
      </c>
      <c r="N81" s="23">
        <v>2072</v>
      </c>
      <c r="O81" s="23">
        <v>3202</v>
      </c>
      <c r="P81" s="23">
        <v>7265</v>
      </c>
      <c r="Q81" s="23">
        <v>2855</v>
      </c>
      <c r="R81" s="23">
        <v>5322</v>
      </c>
      <c r="S81" s="23">
        <v>6620</v>
      </c>
      <c r="T81" s="22">
        <v>6902</v>
      </c>
      <c r="U81" s="22">
        <v>4261</v>
      </c>
      <c r="V81" s="22">
        <v>6322</v>
      </c>
      <c r="W81" s="25">
        <v>6980</v>
      </c>
      <c r="X81" s="6">
        <v>-1.6453630677182529E-2</v>
      </c>
      <c r="Y81" s="6">
        <v>6.4795612701046057E-2</v>
      </c>
      <c r="Z81" s="6">
        <v>4.3280675178532853E-2</v>
      </c>
      <c r="AA81" s="6">
        <v>1.493466085874307E-2</v>
      </c>
    </row>
    <row r="82" spans="2:27">
      <c r="B82" s="30">
        <v>6454</v>
      </c>
      <c r="C82" s="2" t="s">
        <v>374</v>
      </c>
      <c r="D82" s="9" t="str">
        <f>VLOOKUP(B82,기업리스트!$B:$G,2,FALSE)</f>
        <v>Max Co., Ltd.</v>
      </c>
      <c r="E82" s="2" t="s">
        <v>360</v>
      </c>
      <c r="F82" s="4">
        <v>1.4</v>
      </c>
      <c r="G82" s="22">
        <v>1873</v>
      </c>
      <c r="H82" s="22">
        <v>1816</v>
      </c>
      <c r="I82" s="22">
        <v>2192</v>
      </c>
      <c r="J82" s="22">
        <v>2245</v>
      </c>
      <c r="K82" s="23">
        <v>3158</v>
      </c>
      <c r="L82" s="22">
        <v>2331</v>
      </c>
      <c r="M82" s="23">
        <v>3510</v>
      </c>
      <c r="N82" s="22">
        <v>3141</v>
      </c>
      <c r="O82" s="22">
        <v>3229</v>
      </c>
      <c r="P82" s="22">
        <v>2721</v>
      </c>
      <c r="Q82" s="22">
        <v>3990</v>
      </c>
      <c r="R82" s="22">
        <v>3427</v>
      </c>
      <c r="S82" s="22">
        <v>4067</v>
      </c>
      <c r="T82" s="22">
        <v>2985</v>
      </c>
      <c r="U82" s="22">
        <v>4898</v>
      </c>
      <c r="V82" s="22">
        <v>4570</v>
      </c>
      <c r="W82" s="25">
        <v>4304</v>
      </c>
      <c r="X82" s="6">
        <v>1.8585005279831091E-2</v>
      </c>
      <c r="Y82" s="6">
        <v>6.2754855207685312E-2</v>
      </c>
      <c r="Z82" s="6">
        <v>7.4331794238147841E-2</v>
      </c>
      <c r="AA82" s="6">
        <v>1.434624697336573E-2</v>
      </c>
    </row>
    <row r="83" spans="2:27">
      <c r="B83" s="30">
        <v>8014</v>
      </c>
      <c r="C83" s="2" t="s">
        <v>374</v>
      </c>
      <c r="D83" s="9" t="str">
        <f>VLOOKUP(B83,기업리스트!$B:$G,2,FALSE)</f>
        <v>Chori Co., Ltd.</v>
      </c>
      <c r="E83" s="2" t="s">
        <v>360</v>
      </c>
      <c r="F83" s="4">
        <v>1.4</v>
      </c>
      <c r="G83" s="22">
        <v>2563</v>
      </c>
      <c r="H83" s="22">
        <v>1951</v>
      </c>
      <c r="I83" s="22">
        <v>3214</v>
      </c>
      <c r="J83" s="22">
        <v>3552</v>
      </c>
      <c r="K83" s="23">
        <v>4162</v>
      </c>
      <c r="L83" s="22">
        <v>1730</v>
      </c>
      <c r="M83" s="22">
        <v>3939</v>
      </c>
      <c r="N83" s="22">
        <v>3858</v>
      </c>
      <c r="O83" s="22">
        <v>4132</v>
      </c>
      <c r="P83" s="23">
        <v>3112</v>
      </c>
      <c r="Q83" s="22">
        <v>4398</v>
      </c>
      <c r="R83" s="22">
        <v>3793</v>
      </c>
      <c r="S83" s="22">
        <v>3134</v>
      </c>
      <c r="T83" s="22">
        <v>4042</v>
      </c>
      <c r="U83" s="22">
        <v>3351</v>
      </c>
      <c r="V83" s="22">
        <v>3320</v>
      </c>
      <c r="W83" s="25">
        <v>3323</v>
      </c>
      <c r="X83" s="6">
        <v>6.4417815335596096E-2</v>
      </c>
      <c r="Y83" s="6">
        <v>-6.8133012299082418E-2</v>
      </c>
      <c r="Z83" s="6">
        <v>-3.3030726256983223E-2</v>
      </c>
      <c r="AA83" s="6">
        <v>1.364916588430698E-2</v>
      </c>
    </row>
    <row r="84" spans="2:27">
      <c r="B84" s="30">
        <v>4043</v>
      </c>
      <c r="C84" s="2" t="s">
        <v>374</v>
      </c>
      <c r="D84" s="9" t="str">
        <f>VLOOKUP(B84,기업리스트!$B:$G,2,FALSE)</f>
        <v>Tokuyama Corporation</v>
      </c>
      <c r="E84" s="2" t="s">
        <v>360</v>
      </c>
      <c r="F84" s="4">
        <v>1.3</v>
      </c>
      <c r="G84" s="22">
        <v>5454</v>
      </c>
      <c r="H84" s="22">
        <v>7422</v>
      </c>
      <c r="I84" s="22">
        <v>5109</v>
      </c>
      <c r="J84" s="22">
        <v>3188</v>
      </c>
      <c r="K84" s="22">
        <v>4866</v>
      </c>
      <c r="L84" s="22">
        <v>1174</v>
      </c>
      <c r="M84" s="22">
        <v>5143</v>
      </c>
      <c r="N84" s="22">
        <v>3434</v>
      </c>
      <c r="O84" s="23">
        <v>8361</v>
      </c>
      <c r="P84" s="23">
        <v>8700</v>
      </c>
      <c r="Q84" s="22">
        <v>7503</v>
      </c>
      <c r="R84" s="23">
        <v>6456</v>
      </c>
      <c r="S84" s="22">
        <v>7113</v>
      </c>
      <c r="T84" s="22">
        <v>8897</v>
      </c>
      <c r="U84" s="22">
        <v>7885</v>
      </c>
      <c r="V84" s="23">
        <v>11268</v>
      </c>
      <c r="W84" s="25">
        <v>7579</v>
      </c>
      <c r="X84" s="6">
        <v>6.616955528684576E-3</v>
      </c>
      <c r="Y84" s="6">
        <v>1.2746504721545589E-2</v>
      </c>
      <c r="Z84" s="7">
        <v>0.15854502322822969</v>
      </c>
      <c r="AA84" s="6">
        <v>1.325256661832031E-2</v>
      </c>
    </row>
    <row r="85" spans="2:27">
      <c r="B85" s="30">
        <v>5352</v>
      </c>
      <c r="C85" s="2" t="s">
        <v>374</v>
      </c>
      <c r="D85" s="9" t="str">
        <f>VLOOKUP(B85,기업리스트!$B:$G,2,FALSE)</f>
        <v>Krosaki Harima Corporation</v>
      </c>
      <c r="E85" s="2" t="s">
        <v>360</v>
      </c>
      <c r="F85" s="4">
        <v>1.2</v>
      </c>
      <c r="G85" s="22">
        <v>2063</v>
      </c>
      <c r="H85" s="22">
        <v>1294</v>
      </c>
      <c r="I85" s="22">
        <v>2942</v>
      </c>
      <c r="J85" s="22">
        <v>1973</v>
      </c>
      <c r="K85" s="22">
        <v>2398</v>
      </c>
      <c r="L85" s="23">
        <v>3861</v>
      </c>
      <c r="M85" s="23">
        <v>4134</v>
      </c>
      <c r="N85" s="23">
        <v>3463</v>
      </c>
      <c r="O85" s="23">
        <v>4348</v>
      </c>
      <c r="P85" s="22">
        <v>2748</v>
      </c>
      <c r="Q85" s="22">
        <v>3122</v>
      </c>
      <c r="R85" s="22">
        <v>3161</v>
      </c>
      <c r="S85" s="22">
        <v>4116</v>
      </c>
      <c r="T85" s="22">
        <v>3683</v>
      </c>
      <c r="U85" s="22">
        <v>3540</v>
      </c>
      <c r="V85" s="22">
        <v>3883</v>
      </c>
      <c r="W85" s="25">
        <v>4293</v>
      </c>
      <c r="X85" s="6">
        <v>7.1118886437970597E-2</v>
      </c>
      <c r="Y85" s="6">
        <v>2.9683283624485138E-2</v>
      </c>
      <c r="Z85" s="6">
        <v>4.9793103448275922E-2</v>
      </c>
      <c r="AA85" s="6">
        <v>1.162790697674421E-2</v>
      </c>
    </row>
    <row r="86" spans="2:27">
      <c r="B86" s="30">
        <v>9042</v>
      </c>
      <c r="C86" s="2" t="s">
        <v>374</v>
      </c>
      <c r="D86" s="9" t="str">
        <f>VLOOKUP(B86,기업리스트!$B:$G,2,FALSE)</f>
        <v>Hankyu Hanshin Holdings, Inc.</v>
      </c>
      <c r="E86" s="2" t="s">
        <v>360</v>
      </c>
      <c r="F86" s="4">
        <v>1</v>
      </c>
      <c r="G86" s="22">
        <v>17174</v>
      </c>
      <c r="H86" s="22">
        <v>11934</v>
      </c>
      <c r="I86" s="22">
        <v>24425</v>
      </c>
      <c r="J86" s="22">
        <v>24330</v>
      </c>
      <c r="K86" s="23">
        <v>25756</v>
      </c>
      <c r="L86" s="22">
        <v>14840</v>
      </c>
      <c r="M86" s="23">
        <v>33751</v>
      </c>
      <c r="N86" s="22">
        <v>30570</v>
      </c>
      <c r="O86" s="22">
        <v>26212</v>
      </c>
      <c r="P86" s="22">
        <v>15157</v>
      </c>
      <c r="Q86" s="22">
        <v>34059</v>
      </c>
      <c r="R86" s="22">
        <v>32739</v>
      </c>
      <c r="S86" s="22">
        <v>25864</v>
      </c>
      <c r="T86" s="22">
        <v>18218</v>
      </c>
      <c r="U86" s="23">
        <v>48105</v>
      </c>
      <c r="V86" s="22">
        <v>35972</v>
      </c>
      <c r="W86" s="25">
        <v>27166</v>
      </c>
      <c r="X86" s="6">
        <v>2.8390172418590431E-2</v>
      </c>
      <c r="Y86" s="7">
        <v>0.12667748917748911</v>
      </c>
      <c r="Z86" s="6">
        <v>2.5879320557770091E-2</v>
      </c>
      <c r="AA86" s="6">
        <v>1.01592553000569E-2</v>
      </c>
    </row>
    <row r="87" spans="2:27">
      <c r="B87" s="30">
        <v>6508</v>
      </c>
      <c r="C87" s="2" t="s">
        <v>374</v>
      </c>
      <c r="D87" s="9" t="str">
        <f>VLOOKUP(B87,기업리스트!$B:$G,2,FALSE)</f>
        <v>Meidensha Corporation</v>
      </c>
      <c r="E87" s="2" t="s">
        <v>360</v>
      </c>
      <c r="F87" s="4">
        <v>0.9</v>
      </c>
      <c r="G87" s="22">
        <v>1630</v>
      </c>
      <c r="H87" s="22">
        <v>10590</v>
      </c>
      <c r="I87" s="22">
        <v>-4477</v>
      </c>
      <c r="J87" s="22">
        <v>-416</v>
      </c>
      <c r="K87" s="22">
        <v>201</v>
      </c>
      <c r="L87" s="23">
        <v>13232</v>
      </c>
      <c r="M87" s="23">
        <v>-3373</v>
      </c>
      <c r="N87" s="23">
        <v>1007</v>
      </c>
      <c r="O87" s="23">
        <v>2286</v>
      </c>
      <c r="P87" s="22">
        <v>12811</v>
      </c>
      <c r="Q87" s="23">
        <v>-896</v>
      </c>
      <c r="R87" s="23">
        <v>2805</v>
      </c>
      <c r="S87" s="23">
        <v>4082</v>
      </c>
      <c r="T87" s="23">
        <v>15521</v>
      </c>
      <c r="U87" s="22">
        <v>349</v>
      </c>
      <c r="V87" s="22">
        <v>2444</v>
      </c>
      <c r="W87" s="25">
        <v>4289</v>
      </c>
      <c r="X87" s="7">
        <v>0.14413360280821191</v>
      </c>
      <c r="Y87" s="6">
        <v>5.7874674600223219E-2</v>
      </c>
      <c r="Z87" s="6">
        <v>-1.586325086786489E-2</v>
      </c>
      <c r="AA87" s="6">
        <v>9.2427219146276052E-3</v>
      </c>
    </row>
    <row r="88" spans="2:27">
      <c r="B88" s="30">
        <v>4816</v>
      </c>
      <c r="C88" s="2" t="s">
        <v>374</v>
      </c>
      <c r="D88" s="9" t="str">
        <f>VLOOKUP(B88,기업리스트!$B:$G,2,FALSE)</f>
        <v>Toei Animation Co.,Ltd.</v>
      </c>
      <c r="E88" s="2" t="s">
        <v>360</v>
      </c>
      <c r="F88" s="4">
        <v>0.9</v>
      </c>
      <c r="G88" s="22">
        <v>3193</v>
      </c>
      <c r="H88" s="22">
        <v>3776</v>
      </c>
      <c r="I88" s="22">
        <v>4110</v>
      </c>
      <c r="J88" s="22">
        <v>10085</v>
      </c>
      <c r="K88" s="23">
        <v>7610</v>
      </c>
      <c r="L88" s="23">
        <v>6866</v>
      </c>
      <c r="M88" s="22">
        <v>2097</v>
      </c>
      <c r="N88" s="22">
        <v>9269</v>
      </c>
      <c r="O88" s="22">
        <v>6407</v>
      </c>
      <c r="P88" s="22">
        <v>5591</v>
      </c>
      <c r="Q88" s="23">
        <v>6685</v>
      </c>
      <c r="R88" s="22">
        <v>10309</v>
      </c>
      <c r="S88" s="22">
        <v>6384</v>
      </c>
      <c r="T88" s="23">
        <v>9056</v>
      </c>
      <c r="U88" s="22">
        <v>6579</v>
      </c>
      <c r="V88" s="22">
        <v>10060</v>
      </c>
      <c r="W88" s="25">
        <v>6679</v>
      </c>
      <c r="X88" s="7">
        <v>0.1196106182470917</v>
      </c>
      <c r="Y88" s="6">
        <v>-3.268175371523685E-3</v>
      </c>
      <c r="Z88" s="6">
        <v>-7.7023014105419563E-3</v>
      </c>
      <c r="AA88" s="6">
        <v>9.1960472583310082E-3</v>
      </c>
    </row>
    <row r="89" spans="2:27">
      <c r="B89" s="30">
        <v>8309</v>
      </c>
      <c r="C89" s="2" t="s">
        <v>374</v>
      </c>
      <c r="D89" s="9" t="str">
        <f>VLOOKUP(B89,기업리스트!$B:$G,2,FALSE)</f>
        <v>Sumitomo Mitsui Trust Group, Inc.</v>
      </c>
      <c r="E89" s="2" t="s">
        <v>360</v>
      </c>
      <c r="F89" s="4">
        <v>0.6</v>
      </c>
      <c r="G89" s="22">
        <v>41421</v>
      </c>
      <c r="H89" s="22">
        <v>35132</v>
      </c>
      <c r="I89" s="22">
        <v>88461</v>
      </c>
      <c r="J89" s="22">
        <v>56022</v>
      </c>
      <c r="K89" s="22">
        <v>57359</v>
      </c>
      <c r="L89" s="23">
        <v>69544</v>
      </c>
      <c r="M89" s="22">
        <v>47258</v>
      </c>
      <c r="N89" s="22">
        <v>7378</v>
      </c>
      <c r="O89" s="22">
        <v>3870</v>
      </c>
      <c r="P89" s="22">
        <v>39470</v>
      </c>
      <c r="Q89" s="23">
        <v>91153</v>
      </c>
      <c r="R89" s="23">
        <v>91078</v>
      </c>
      <c r="S89" s="23">
        <v>129189</v>
      </c>
      <c r="T89" s="22">
        <v>42938</v>
      </c>
      <c r="U89" s="22">
        <v>117580</v>
      </c>
      <c r="V89" s="22">
        <v>111445</v>
      </c>
      <c r="W89" s="25">
        <v>131773</v>
      </c>
      <c r="X89" s="6">
        <v>9.8834392544671079E-3</v>
      </c>
      <c r="Y89" s="6">
        <v>7.4577122570959276E-2</v>
      </c>
      <c r="Z89" s="6">
        <v>5.3486875796052942E-2</v>
      </c>
      <c r="AA89" s="6">
        <v>6.4414486279515959E-3</v>
      </c>
    </row>
    <row r="90" spans="2:27">
      <c r="B90" s="30">
        <v>6436</v>
      </c>
      <c r="C90" s="2" t="s">
        <v>374</v>
      </c>
      <c r="D90" s="9" t="str">
        <f>VLOOKUP(B90,기업리스트!$B:$G,2,FALSE)</f>
        <v>Amano Corporation</v>
      </c>
      <c r="E90" s="2" t="s">
        <v>360</v>
      </c>
      <c r="F90" s="4">
        <v>0.5</v>
      </c>
      <c r="G90" s="22">
        <v>2745</v>
      </c>
      <c r="H90" s="22">
        <v>5638</v>
      </c>
      <c r="I90" s="22">
        <v>1694</v>
      </c>
      <c r="J90" s="22">
        <v>3911</v>
      </c>
      <c r="K90" s="22">
        <v>3365</v>
      </c>
      <c r="L90" s="22">
        <v>6818</v>
      </c>
      <c r="M90" s="22">
        <v>2845</v>
      </c>
      <c r="N90" s="22">
        <v>5168</v>
      </c>
      <c r="O90" s="22">
        <v>4569</v>
      </c>
      <c r="P90" s="22">
        <v>6986</v>
      </c>
      <c r="Q90" s="22">
        <v>3233</v>
      </c>
      <c r="R90" s="22">
        <v>6666</v>
      </c>
      <c r="S90" s="22">
        <v>5312</v>
      </c>
      <c r="T90" s="22">
        <v>7829</v>
      </c>
      <c r="U90" s="22">
        <v>2743</v>
      </c>
      <c r="V90" s="22">
        <v>6944</v>
      </c>
      <c r="W90" s="25">
        <v>5431</v>
      </c>
      <c r="X90" s="6">
        <v>3.797810514934441E-2</v>
      </c>
      <c r="Y90" s="6">
        <v>-2.126736111111116E-2</v>
      </c>
      <c r="Z90" s="6">
        <v>1.2328159645232709E-2</v>
      </c>
      <c r="AA90" s="6">
        <v>5.2128964429647429E-3</v>
      </c>
    </row>
    <row r="91" spans="2:27">
      <c r="B91" s="30">
        <v>9936</v>
      </c>
      <c r="C91" s="2" t="s">
        <v>374</v>
      </c>
      <c r="D91" s="9" t="str">
        <f>VLOOKUP(B91,기업리스트!$B:$G,2,FALSE)</f>
        <v>Ohsho Food Service Corp.</v>
      </c>
      <c r="E91" s="2" t="s">
        <v>360</v>
      </c>
      <c r="F91" s="4">
        <v>0.3</v>
      </c>
      <c r="G91" s="22">
        <v>1827</v>
      </c>
      <c r="H91" s="22">
        <v>1938</v>
      </c>
      <c r="I91" s="22">
        <v>2186</v>
      </c>
      <c r="J91" s="22">
        <v>1636</v>
      </c>
      <c r="K91" s="22">
        <v>2113</v>
      </c>
      <c r="L91" s="22">
        <v>2047</v>
      </c>
      <c r="M91" s="22">
        <v>2417</v>
      </c>
      <c r="N91" s="23">
        <v>2572</v>
      </c>
      <c r="O91" s="22">
        <v>2533</v>
      </c>
      <c r="P91" s="22">
        <v>2765</v>
      </c>
      <c r="Q91" s="22">
        <v>2441</v>
      </c>
      <c r="R91" s="22">
        <v>2807</v>
      </c>
      <c r="S91" s="22">
        <v>2279</v>
      </c>
      <c r="T91" s="22">
        <v>3378</v>
      </c>
      <c r="U91" s="22">
        <v>2999</v>
      </c>
      <c r="V91" s="22">
        <v>2316</v>
      </c>
      <c r="W91" s="25">
        <v>2312</v>
      </c>
      <c r="X91" s="6">
        <v>5.9560823940925101E-2</v>
      </c>
      <c r="Y91" s="6">
        <v>5.1169188445667091E-2</v>
      </c>
      <c r="Z91" s="6">
        <v>-4.2833464189130248E-2</v>
      </c>
      <c r="AA91" s="6">
        <v>3.0076558512577289E-3</v>
      </c>
    </row>
    <row r="92" spans="2:27">
      <c r="B92" s="30">
        <v>5703</v>
      </c>
      <c r="C92" s="2" t="s">
        <v>374</v>
      </c>
      <c r="D92" s="9" t="str">
        <f>VLOOKUP(B92,기업리스트!$B:$G,2,FALSE)</f>
        <v>Nippon Light Metal Holdings Company, Ltd.</v>
      </c>
      <c r="E92" s="2" t="s">
        <v>360</v>
      </c>
      <c r="F92" s="4">
        <v>0</v>
      </c>
      <c r="G92" s="22">
        <v>5167</v>
      </c>
      <c r="H92" s="22">
        <v>2990</v>
      </c>
      <c r="I92" s="22">
        <v>3437</v>
      </c>
      <c r="J92" s="22">
        <v>220</v>
      </c>
      <c r="K92" s="22">
        <v>1418</v>
      </c>
      <c r="L92" s="22">
        <v>2464</v>
      </c>
      <c r="M92" s="22">
        <v>1971</v>
      </c>
      <c r="N92" s="23">
        <v>3710</v>
      </c>
      <c r="O92" s="23">
        <v>6985</v>
      </c>
      <c r="P92" s="23">
        <v>5523</v>
      </c>
      <c r="Q92" s="23">
        <v>4267</v>
      </c>
      <c r="R92" s="22">
        <v>4357</v>
      </c>
      <c r="S92" s="22">
        <v>6939</v>
      </c>
      <c r="T92" s="22">
        <v>6271</v>
      </c>
      <c r="U92" s="22">
        <v>5825</v>
      </c>
      <c r="V92" s="22">
        <v>6436</v>
      </c>
      <c r="W92" s="25">
        <v>6951</v>
      </c>
      <c r="X92" s="6">
        <v>3.5473774068102149E-2</v>
      </c>
      <c r="Y92" s="6">
        <v>7.1356599798479525E-2</v>
      </c>
      <c r="Z92" s="6">
        <v>8.8876538987687992E-2</v>
      </c>
      <c r="AA92" s="6">
        <v>4.7112402339921639E-4</v>
      </c>
    </row>
    <row r="93" spans="2:27">
      <c r="B93" s="30">
        <v>9009</v>
      </c>
      <c r="C93" s="2" t="s">
        <v>374</v>
      </c>
      <c r="D93" s="9" t="str">
        <f>VLOOKUP(B93,기업리스트!$B:$G,2,FALSE)</f>
        <v>Keisei Electric Railway Co., Ltd.</v>
      </c>
      <c r="E93" s="2" t="s">
        <v>360</v>
      </c>
      <c r="F93" s="4">
        <v>-0.2</v>
      </c>
      <c r="G93" s="22">
        <v>1534</v>
      </c>
      <c r="H93" s="22">
        <v>-3008</v>
      </c>
      <c r="I93" s="22">
        <v>3204</v>
      </c>
      <c r="J93" s="22">
        <v>1198</v>
      </c>
      <c r="K93" s="23">
        <v>4079</v>
      </c>
      <c r="L93" s="23">
        <v>1749</v>
      </c>
      <c r="M93" s="23">
        <v>7654</v>
      </c>
      <c r="N93" s="23">
        <v>7597</v>
      </c>
      <c r="O93" s="23">
        <v>8616</v>
      </c>
      <c r="P93" s="22">
        <v>1375</v>
      </c>
      <c r="Q93" s="23">
        <v>12585</v>
      </c>
      <c r="R93" s="22">
        <v>9495</v>
      </c>
      <c r="S93" s="22">
        <v>10803</v>
      </c>
      <c r="T93" s="22">
        <v>3126</v>
      </c>
      <c r="U93" s="22">
        <v>10102</v>
      </c>
      <c r="V93" s="22">
        <v>10701</v>
      </c>
      <c r="W93" s="25">
        <v>10733</v>
      </c>
      <c r="X93" s="6">
        <v>5.1112148987097823E-2</v>
      </c>
      <c r="Y93" s="6">
        <v>-6.8954983476353093E-2</v>
      </c>
      <c r="Z93" s="6">
        <v>3.5972081369683329E-2</v>
      </c>
      <c r="AA93" s="6">
        <v>-2.0154324542208668E-3</v>
      </c>
    </row>
    <row r="94" spans="2:27">
      <c r="B94" s="30">
        <v>9962</v>
      </c>
      <c r="C94" s="2" t="s">
        <v>374</v>
      </c>
      <c r="D94" s="9" t="str">
        <f>VLOOKUP(B94,기업리스트!$B:$G,2,FALSE)</f>
        <v>MISUMI Group Inc.</v>
      </c>
      <c r="E94" s="2" t="s">
        <v>360</v>
      </c>
      <c r="F94" s="4">
        <v>-0.3</v>
      </c>
      <c r="G94" s="22">
        <v>13404</v>
      </c>
      <c r="H94" s="22">
        <v>10313</v>
      </c>
      <c r="I94" s="22">
        <v>14136</v>
      </c>
      <c r="J94" s="22">
        <v>12763</v>
      </c>
      <c r="K94" s="22">
        <v>11407</v>
      </c>
      <c r="L94" s="22">
        <v>8309</v>
      </c>
      <c r="M94" s="22">
        <v>8999</v>
      </c>
      <c r="N94" s="22">
        <v>9517</v>
      </c>
      <c r="O94" s="22">
        <v>10389</v>
      </c>
      <c r="P94" s="22">
        <v>9461</v>
      </c>
      <c r="Q94" s="22">
        <v>11829</v>
      </c>
      <c r="R94" s="22">
        <v>11562</v>
      </c>
      <c r="S94" s="22">
        <v>12763</v>
      </c>
      <c r="T94" s="22">
        <v>9310</v>
      </c>
      <c r="U94" s="22">
        <v>9629</v>
      </c>
      <c r="V94" s="22">
        <v>9990</v>
      </c>
      <c r="W94" s="25">
        <v>12646</v>
      </c>
      <c r="X94" s="6">
        <v>-3.310314589499042E-3</v>
      </c>
      <c r="Y94" s="6">
        <v>-4.8389934893542152E-2</v>
      </c>
      <c r="Z94" s="6">
        <v>-3.6335059171597628E-2</v>
      </c>
      <c r="AA94" s="6">
        <v>-2.8062937733858151E-3</v>
      </c>
    </row>
    <row r="95" spans="2:27">
      <c r="B95" s="30">
        <v>9832</v>
      </c>
      <c r="C95" s="2" t="s">
        <v>374</v>
      </c>
      <c r="D95" s="9" t="str">
        <f>VLOOKUP(B95,기업리스트!$B:$G,2,FALSE)</f>
        <v>Autobacs Seven Co., Ltd.</v>
      </c>
      <c r="E95" s="2" t="s">
        <v>360</v>
      </c>
      <c r="F95" s="4">
        <v>-0.5</v>
      </c>
      <c r="G95" s="22">
        <v>5889</v>
      </c>
      <c r="H95" s="22">
        <v>2748</v>
      </c>
      <c r="I95" s="22">
        <v>1566</v>
      </c>
      <c r="J95" s="22">
        <v>1939</v>
      </c>
      <c r="K95" s="22">
        <v>6307</v>
      </c>
      <c r="L95" s="22">
        <v>1911</v>
      </c>
      <c r="M95" s="22">
        <v>2032</v>
      </c>
      <c r="N95" s="22">
        <v>1421</v>
      </c>
      <c r="O95" s="22">
        <v>5539</v>
      </c>
      <c r="P95" s="22">
        <v>-982</v>
      </c>
      <c r="Q95" s="22">
        <v>1058</v>
      </c>
      <c r="R95" s="22">
        <v>1452</v>
      </c>
      <c r="S95" s="23">
        <v>7436</v>
      </c>
      <c r="T95" s="23">
        <v>2180</v>
      </c>
      <c r="U95" s="23">
        <v>2687</v>
      </c>
      <c r="V95" s="22">
        <v>2397</v>
      </c>
      <c r="W95" s="25">
        <v>7366</v>
      </c>
      <c r="X95" s="7">
        <v>0.35274431057563582</v>
      </c>
      <c r="Y95" s="7">
        <v>0.1343394359228105</v>
      </c>
      <c r="Z95" s="6">
        <v>6.8702290076335881E-2</v>
      </c>
      <c r="AA95" s="6">
        <v>-4.761904761904745E-3</v>
      </c>
    </row>
    <row r="96" spans="2:27">
      <c r="B96" s="30">
        <v>4549</v>
      </c>
      <c r="C96" s="2" t="s">
        <v>374</v>
      </c>
      <c r="D96" s="9" t="str">
        <f>VLOOKUP(B96,기업리스트!$B:$G,2,FALSE)</f>
        <v>Eiken Chemical Co., Ltd.</v>
      </c>
      <c r="E96" s="2" t="s">
        <v>360</v>
      </c>
      <c r="F96" s="4">
        <v>-0.6</v>
      </c>
      <c r="G96" s="22">
        <v>1812</v>
      </c>
      <c r="H96" s="22">
        <v>1745</v>
      </c>
      <c r="I96" s="22">
        <v>2801</v>
      </c>
      <c r="J96" s="22">
        <v>2857</v>
      </c>
      <c r="K96" s="22">
        <v>1342</v>
      </c>
      <c r="L96" s="22">
        <v>457</v>
      </c>
      <c r="M96" s="22">
        <v>1053</v>
      </c>
      <c r="N96" s="22">
        <v>1096</v>
      </c>
      <c r="O96" s="22">
        <v>1269</v>
      </c>
      <c r="P96" s="22">
        <v>-39</v>
      </c>
      <c r="Q96" s="22">
        <v>584</v>
      </c>
      <c r="R96" s="22">
        <v>983</v>
      </c>
      <c r="S96" s="22">
        <v>1069</v>
      </c>
      <c r="T96" s="23">
        <v>364</v>
      </c>
      <c r="U96" s="22">
        <v>801</v>
      </c>
      <c r="V96" s="22">
        <v>928</v>
      </c>
      <c r="W96" s="25">
        <v>1051</v>
      </c>
      <c r="X96" s="7">
        <v>0.1551790527531767</v>
      </c>
      <c r="Y96" s="6">
        <v>7.2333333333333361E-2</v>
      </c>
      <c r="Z96" s="6">
        <v>-1.7096673919801079E-2</v>
      </c>
      <c r="AA96" s="6">
        <v>-5.6925996204933993E-3</v>
      </c>
    </row>
    <row r="97" spans="2:27">
      <c r="B97" s="30">
        <v>8604</v>
      </c>
      <c r="C97" s="2" t="s">
        <v>374</v>
      </c>
      <c r="D97" s="9" t="str">
        <f>VLOOKUP(B97,기업리스트!$B:$G,2,FALSE)</f>
        <v>Nomura Holdings, Inc.</v>
      </c>
      <c r="E97" s="2" t="s">
        <v>360</v>
      </c>
      <c r="F97" s="4">
        <v>-0.6</v>
      </c>
      <c r="G97" s="22">
        <v>80100</v>
      </c>
      <c r="H97" s="22">
        <v>105861</v>
      </c>
      <c r="I97" s="22">
        <v>11733</v>
      </c>
      <c r="J97" s="22">
        <v>31484</v>
      </c>
      <c r="K97" s="22">
        <v>83566</v>
      </c>
      <c r="L97" s="22">
        <v>22691</v>
      </c>
      <c r="M97" s="23">
        <v>46310</v>
      </c>
      <c r="N97" s="23">
        <v>56735</v>
      </c>
      <c r="O97" s="22">
        <v>78711</v>
      </c>
      <c r="P97" s="23">
        <v>92094</v>
      </c>
      <c r="Q97" s="23">
        <v>102931</v>
      </c>
      <c r="R97" s="23">
        <v>133010</v>
      </c>
      <c r="S97" s="23">
        <v>138279</v>
      </c>
      <c r="T97" s="22">
        <v>97744</v>
      </c>
      <c r="U97" s="23">
        <v>160282</v>
      </c>
      <c r="V97" s="22">
        <v>136645</v>
      </c>
      <c r="W97" s="25">
        <v>135221</v>
      </c>
      <c r="X97" s="6">
        <v>1.211629931762714E-2</v>
      </c>
      <c r="Y97" s="7">
        <v>0.1215156240730224</v>
      </c>
      <c r="Z97" s="6">
        <v>6.8673663130649487E-3</v>
      </c>
      <c r="AA97" s="6">
        <v>-5.7378740970072117E-3</v>
      </c>
    </row>
    <row r="98" spans="2:27">
      <c r="B98" s="30">
        <v>6770</v>
      </c>
      <c r="C98" s="2" t="s">
        <v>374</v>
      </c>
      <c r="D98" s="9" t="str">
        <f>VLOOKUP(B98,기업리스트!$B:$G,2,FALSE)</f>
        <v>Alps Alpine Co., Ltd.</v>
      </c>
      <c r="E98" s="2" t="s">
        <v>360</v>
      </c>
      <c r="F98" s="4">
        <v>-1.7</v>
      </c>
      <c r="G98" s="22">
        <v>17200</v>
      </c>
      <c r="H98" s="22">
        <v>7208</v>
      </c>
      <c r="I98" s="22">
        <v>1602</v>
      </c>
      <c r="J98" s="22">
        <v>18052</v>
      </c>
      <c r="K98" s="22">
        <v>14371</v>
      </c>
      <c r="L98" s="22">
        <v>-937</v>
      </c>
      <c r="M98" s="22">
        <v>-2539</v>
      </c>
      <c r="N98" s="22">
        <v>13180</v>
      </c>
      <c r="O98" s="22">
        <v>9944</v>
      </c>
      <c r="P98" s="22">
        <v>-1300</v>
      </c>
      <c r="Q98" s="23">
        <v>1225</v>
      </c>
      <c r="R98" s="22">
        <v>9990</v>
      </c>
      <c r="S98" s="23">
        <v>12734</v>
      </c>
      <c r="T98" s="23">
        <v>9739</v>
      </c>
      <c r="U98" s="22">
        <v>3728</v>
      </c>
      <c r="V98" s="23">
        <v>17495</v>
      </c>
      <c r="W98" s="25">
        <v>11980</v>
      </c>
      <c r="X98" s="7">
        <v>0.48739458695748161</v>
      </c>
      <c r="Y98" s="6">
        <v>7.4299453811446314E-2</v>
      </c>
      <c r="Z98" s="7">
        <v>0.20737199856317881</v>
      </c>
      <c r="AA98" s="6">
        <v>-1.7255584035151931E-2</v>
      </c>
    </row>
    <row r="99" spans="2:27">
      <c r="B99" s="30">
        <v>8550</v>
      </c>
      <c r="C99" s="2" t="s">
        <v>374</v>
      </c>
      <c r="D99" s="9" t="str">
        <f>VLOOKUP(B99,기업리스트!$B:$G,2,FALSE)</f>
        <v>The Tochigi Bank, Ltd.</v>
      </c>
      <c r="E99" s="2" t="s">
        <v>360</v>
      </c>
      <c r="F99" s="4">
        <v>-1.8</v>
      </c>
      <c r="G99" s="22">
        <v>700</v>
      </c>
      <c r="H99" s="22">
        <v>349</v>
      </c>
      <c r="I99" s="22">
        <v>621</v>
      </c>
      <c r="J99" s="22">
        <v>1819</v>
      </c>
      <c r="K99" s="23">
        <v>2514</v>
      </c>
      <c r="L99" s="22">
        <v>-780</v>
      </c>
      <c r="M99" s="23">
        <v>1195</v>
      </c>
      <c r="N99" s="22">
        <v>1864</v>
      </c>
      <c r="O99" s="22">
        <v>-203</v>
      </c>
      <c r="P99" s="23">
        <v>500</v>
      </c>
      <c r="Q99" s="23">
        <v>1725</v>
      </c>
      <c r="R99" s="22">
        <v>361</v>
      </c>
      <c r="S99" s="23">
        <v>3168</v>
      </c>
      <c r="T99" s="22">
        <v>-28846</v>
      </c>
      <c r="U99" s="22">
        <v>2538</v>
      </c>
      <c r="V99" s="22">
        <v>2425</v>
      </c>
      <c r="W99" s="25">
        <v>3541</v>
      </c>
      <c r="X99" s="6">
        <v>-5.1001042752867569</v>
      </c>
      <c r="Y99" s="6">
        <v>-3.446083418107837E-2</v>
      </c>
      <c r="Z99" s="6">
        <v>-9.0609772158567137E-2</v>
      </c>
      <c r="AA99" s="6">
        <v>-1.8006275645667369E-2</v>
      </c>
    </row>
    <row r="100" spans="2:27">
      <c r="B100" s="30">
        <v>6810</v>
      </c>
      <c r="C100" s="2" t="s">
        <v>374</v>
      </c>
      <c r="D100" s="9" t="str">
        <f>VLOOKUP(B100,기업리스트!$B:$G,2,FALSE)</f>
        <v>Maxell, Ltd.</v>
      </c>
      <c r="E100" s="2" t="s">
        <v>360</v>
      </c>
      <c r="F100" s="4">
        <v>-2.7</v>
      </c>
      <c r="G100" s="22">
        <v>2425</v>
      </c>
      <c r="H100" s="22">
        <v>761</v>
      </c>
      <c r="I100" s="22">
        <v>1286</v>
      </c>
      <c r="J100" s="22">
        <v>1175</v>
      </c>
      <c r="K100" s="22">
        <v>2103</v>
      </c>
      <c r="L100" s="22">
        <v>1074</v>
      </c>
      <c r="M100" s="23">
        <v>2024</v>
      </c>
      <c r="N100" s="23">
        <v>2542</v>
      </c>
      <c r="O100" s="22">
        <v>1905</v>
      </c>
      <c r="P100" s="22">
        <v>1612</v>
      </c>
      <c r="Q100" s="22">
        <v>2311</v>
      </c>
      <c r="R100" s="22">
        <v>1866</v>
      </c>
      <c r="S100" s="22">
        <v>2401</v>
      </c>
      <c r="T100" s="23">
        <v>2740</v>
      </c>
      <c r="U100" s="22">
        <v>1984</v>
      </c>
      <c r="V100" s="23">
        <v>3071</v>
      </c>
      <c r="W100" s="25">
        <v>2123</v>
      </c>
      <c r="X100" s="7">
        <v>0.13772893772893771</v>
      </c>
      <c r="Y100" s="6">
        <v>-3.5093367675466891E-2</v>
      </c>
      <c r="Z100" s="7">
        <v>0.13402291180068951</v>
      </c>
      <c r="AA100" s="6">
        <v>-2.726559435072573E-2</v>
      </c>
    </row>
    <row r="101" spans="2:27">
      <c r="B101" s="30">
        <v>9065</v>
      </c>
      <c r="C101" s="2" t="s">
        <v>374</v>
      </c>
      <c r="D101" s="9" t="str">
        <f>VLOOKUP(B101,기업리스트!$B:$G,2,FALSE)</f>
        <v>Sankyu Inc.</v>
      </c>
      <c r="E101" s="2" t="s">
        <v>360</v>
      </c>
      <c r="F101" s="4">
        <v>-3</v>
      </c>
      <c r="G101" s="22">
        <v>8423</v>
      </c>
      <c r="H101" s="22">
        <v>8177</v>
      </c>
      <c r="I101" s="22">
        <v>8878</v>
      </c>
      <c r="J101" s="22">
        <v>10254</v>
      </c>
      <c r="K101" s="22">
        <v>10626</v>
      </c>
      <c r="L101" s="22">
        <v>8412</v>
      </c>
      <c r="M101" s="22">
        <v>8788</v>
      </c>
      <c r="N101" s="22">
        <v>8119</v>
      </c>
      <c r="O101" s="22">
        <v>10119</v>
      </c>
      <c r="P101" s="22">
        <v>8191</v>
      </c>
      <c r="Q101" s="22">
        <v>8755</v>
      </c>
      <c r="R101" s="22">
        <v>11284</v>
      </c>
      <c r="S101" s="22">
        <v>12832</v>
      </c>
      <c r="T101" s="22">
        <v>11075</v>
      </c>
      <c r="U101" s="22">
        <v>9624</v>
      </c>
      <c r="V101" s="22">
        <v>10937</v>
      </c>
      <c r="W101" s="25">
        <v>11492</v>
      </c>
      <c r="X101" s="6">
        <v>7.023525400613706E-2</v>
      </c>
      <c r="Y101" s="6">
        <v>1.977426842033414E-2</v>
      </c>
      <c r="Z101" s="6">
        <v>-7.7429432109784591E-3</v>
      </c>
      <c r="AA101" s="6">
        <v>-3.0134028964648781E-2</v>
      </c>
    </row>
    <row r="102" spans="2:27">
      <c r="B102" s="30">
        <v>6301</v>
      </c>
      <c r="C102" s="2" t="s">
        <v>374</v>
      </c>
      <c r="D102" s="9" t="str">
        <f>VLOOKUP(B102,기업리스트!$B:$G,2,FALSE)</f>
        <v>Komatsu Ltd.</v>
      </c>
      <c r="E102" s="2" t="s">
        <v>360</v>
      </c>
      <c r="F102" s="4">
        <v>-3.3</v>
      </c>
      <c r="G102" s="22">
        <v>88502</v>
      </c>
      <c r="H102" s="22">
        <v>94544</v>
      </c>
      <c r="I102" s="22">
        <v>94070</v>
      </c>
      <c r="J102" s="22">
        <v>116633</v>
      </c>
      <c r="K102" s="23">
        <v>135509</v>
      </c>
      <c r="L102" s="23">
        <v>153700</v>
      </c>
      <c r="M102" s="23">
        <v>147184</v>
      </c>
      <c r="N102" s="22">
        <v>149721</v>
      </c>
      <c r="O102" s="22">
        <v>156561</v>
      </c>
      <c r="P102" s="22">
        <v>159027</v>
      </c>
      <c r="Q102" s="22">
        <v>156993</v>
      </c>
      <c r="R102" s="22">
        <v>146434</v>
      </c>
      <c r="S102" s="22">
        <v>162635</v>
      </c>
      <c r="T102" s="22">
        <v>191063</v>
      </c>
      <c r="U102" s="22">
        <v>140391</v>
      </c>
      <c r="V102" s="22">
        <v>136670</v>
      </c>
      <c r="W102" s="25">
        <v>141954</v>
      </c>
      <c r="X102" s="6">
        <v>5.1250301957001421E-2</v>
      </c>
      <c r="Y102" s="6">
        <v>-2.5264599581510391E-2</v>
      </c>
      <c r="Z102" s="6">
        <v>-1.52437929629381E-2</v>
      </c>
      <c r="AA102" s="6">
        <v>-3.2787483016492813E-2</v>
      </c>
    </row>
    <row r="103" spans="2:27">
      <c r="B103" s="30">
        <v>7575</v>
      </c>
      <c r="C103" s="2" t="s">
        <v>374</v>
      </c>
      <c r="D103" s="9" t="str">
        <f>VLOOKUP(B103,기업리스트!$B:$G,2,FALSE)</f>
        <v>Japan Lifeline Co., Ltd.</v>
      </c>
      <c r="E103" s="2" t="s">
        <v>360</v>
      </c>
      <c r="F103" s="4">
        <v>-3.3</v>
      </c>
      <c r="G103" s="22">
        <v>2818</v>
      </c>
      <c r="H103" s="22">
        <v>2463</v>
      </c>
      <c r="I103" s="22">
        <v>2668</v>
      </c>
      <c r="J103" s="22">
        <v>2373</v>
      </c>
      <c r="K103" s="22">
        <v>2821</v>
      </c>
      <c r="L103" s="22">
        <v>2905</v>
      </c>
      <c r="M103" s="22">
        <v>3161</v>
      </c>
      <c r="N103" s="22">
        <v>2288</v>
      </c>
      <c r="O103" s="22">
        <v>2982</v>
      </c>
      <c r="P103" s="22">
        <v>2450</v>
      </c>
      <c r="Q103" s="22">
        <v>3182</v>
      </c>
      <c r="R103" s="22">
        <v>3083</v>
      </c>
      <c r="S103" s="22">
        <v>3627</v>
      </c>
      <c r="T103" s="22">
        <v>2428</v>
      </c>
      <c r="U103" s="22">
        <v>3270</v>
      </c>
      <c r="V103" s="22">
        <v>3348</v>
      </c>
      <c r="W103" s="25">
        <v>3208</v>
      </c>
      <c r="X103" s="6">
        <v>-1.7825311942959441E-3</v>
      </c>
      <c r="Y103" s="6">
        <v>7.1428571428571166E-3</v>
      </c>
      <c r="Z103" s="6">
        <v>2.1357188910380302E-2</v>
      </c>
      <c r="AA103" s="6">
        <v>-3.3062416160340891E-2</v>
      </c>
    </row>
    <row r="104" spans="2:27">
      <c r="B104" s="30">
        <v>9882</v>
      </c>
      <c r="C104" s="2" t="s">
        <v>374</v>
      </c>
      <c r="D104" s="9" t="str">
        <f>VLOOKUP(B104,기업리스트!$B:$G,2,FALSE)</f>
        <v>Yellow Hat Ltd.</v>
      </c>
      <c r="E104" s="2" t="s">
        <v>360</v>
      </c>
      <c r="F104" s="4">
        <v>-3.6</v>
      </c>
      <c r="G104" s="22">
        <v>6741</v>
      </c>
      <c r="H104" s="22">
        <v>3030</v>
      </c>
      <c r="I104" s="22">
        <v>3429</v>
      </c>
      <c r="J104" s="22">
        <v>2420</v>
      </c>
      <c r="K104" s="22">
        <v>7053</v>
      </c>
      <c r="L104" s="22">
        <v>2349</v>
      </c>
      <c r="M104" s="22">
        <v>3268</v>
      </c>
      <c r="N104" s="22">
        <v>1968</v>
      </c>
      <c r="O104" s="22">
        <v>6731</v>
      </c>
      <c r="P104" s="22">
        <v>2509</v>
      </c>
      <c r="Q104" s="22">
        <v>3119</v>
      </c>
      <c r="R104" s="22">
        <v>2235</v>
      </c>
      <c r="S104" s="22">
        <v>7766</v>
      </c>
      <c r="T104" s="22">
        <v>2331</v>
      </c>
      <c r="U104" s="22">
        <v>3504</v>
      </c>
      <c r="V104" s="22">
        <v>2007</v>
      </c>
      <c r="W104" s="25">
        <v>7205</v>
      </c>
      <c r="X104" s="6">
        <v>-1.138908439439501E-2</v>
      </c>
      <c r="Y104" s="6">
        <v>2.4917481069186561E-2</v>
      </c>
      <c r="Z104" s="6">
        <v>-1.439757514523865E-2</v>
      </c>
      <c r="AA104" s="6">
        <v>-3.5943106099436177E-2</v>
      </c>
    </row>
    <row r="105" spans="2:27">
      <c r="B105" s="30">
        <v>7839</v>
      </c>
      <c r="C105" s="2" t="s">
        <v>374</v>
      </c>
      <c r="D105" s="9" t="str">
        <f>VLOOKUP(B105,기업리스트!$B:$G,2,FALSE)</f>
        <v>Shoei Co., Ltd.</v>
      </c>
      <c r="E105" s="2" t="s">
        <v>363</v>
      </c>
      <c r="F105" s="4">
        <v>-4.9000000000000004</v>
      </c>
      <c r="G105" s="22">
        <v>2205</v>
      </c>
      <c r="H105" s="22">
        <v>1740</v>
      </c>
      <c r="I105" s="22">
        <v>2456</v>
      </c>
      <c r="J105" s="22">
        <v>1981</v>
      </c>
      <c r="K105" s="22">
        <v>2581</v>
      </c>
      <c r="L105" s="22">
        <v>2343</v>
      </c>
      <c r="M105" s="22">
        <v>3113</v>
      </c>
      <c r="N105" s="22">
        <v>1789</v>
      </c>
      <c r="O105" s="22">
        <v>2836</v>
      </c>
      <c r="P105" s="22">
        <v>2439</v>
      </c>
      <c r="Q105" s="22">
        <v>2565</v>
      </c>
      <c r="R105" s="22">
        <v>2490</v>
      </c>
      <c r="S105" s="22">
        <v>2489</v>
      </c>
      <c r="T105" s="22">
        <v>1885</v>
      </c>
      <c r="U105" s="22">
        <v>2330</v>
      </c>
      <c r="V105" s="22">
        <v>2195</v>
      </c>
      <c r="W105" s="25">
        <v>2051</v>
      </c>
      <c r="X105" s="6">
        <v>-5.5494340378643647E-2</v>
      </c>
      <c r="Y105" s="6">
        <v>-2.492310955562627E-2</v>
      </c>
      <c r="Z105" s="6">
        <v>-3.2086143136828338E-2</v>
      </c>
      <c r="AA105" s="6">
        <v>-4.9219013372289067E-2</v>
      </c>
    </row>
    <row r="106" spans="2:27">
      <c r="B106" s="30">
        <v>8572</v>
      </c>
      <c r="C106" s="2" t="s">
        <v>374</v>
      </c>
      <c r="D106" s="9" t="str">
        <f>VLOOKUP(B106,기업리스트!$B:$G,2,FALSE)</f>
        <v>Acom Co., Ltd.</v>
      </c>
      <c r="E106" s="2" t="s">
        <v>360</v>
      </c>
      <c r="F106" s="4">
        <v>-5.0999999999999996</v>
      </c>
      <c r="G106" s="22">
        <v>11592</v>
      </c>
      <c r="H106" s="22">
        <v>-25184</v>
      </c>
      <c r="I106" s="22">
        <v>25394</v>
      </c>
      <c r="J106" s="22">
        <v>23405</v>
      </c>
      <c r="K106" s="23">
        <v>21847</v>
      </c>
      <c r="L106" s="23">
        <v>17642</v>
      </c>
      <c r="M106" s="22">
        <v>21928</v>
      </c>
      <c r="N106" s="22">
        <v>22290</v>
      </c>
      <c r="O106" s="22">
        <v>22650</v>
      </c>
      <c r="P106" s="22">
        <v>20930</v>
      </c>
      <c r="Q106" s="22">
        <v>23295</v>
      </c>
      <c r="R106" s="22">
        <v>27465</v>
      </c>
      <c r="S106" s="22">
        <v>28172</v>
      </c>
      <c r="T106" s="22">
        <v>-14618</v>
      </c>
      <c r="U106" s="23">
        <v>29828</v>
      </c>
      <c r="V106" s="22">
        <v>27609</v>
      </c>
      <c r="W106" s="25">
        <v>24550</v>
      </c>
      <c r="X106" s="6">
        <v>-0.35597124031163008</v>
      </c>
      <c r="Y106" s="7">
        <v>0.1015797493547284</v>
      </c>
      <c r="Z106" s="6">
        <v>2.0325490140726821E-3</v>
      </c>
      <c r="AA106" s="6">
        <v>-5.1020551900945232E-2</v>
      </c>
    </row>
    <row r="107" spans="2:27">
      <c r="B107" s="30">
        <v>8084</v>
      </c>
      <c r="C107" s="2" t="s">
        <v>374</v>
      </c>
      <c r="D107" s="9" t="str">
        <f>VLOOKUP(B107,기업리스트!$B:$G,2,FALSE)</f>
        <v>Ryoden Corporation</v>
      </c>
      <c r="E107" s="2" t="s">
        <v>360</v>
      </c>
      <c r="F107" s="4">
        <v>-6.1</v>
      </c>
      <c r="G107" s="22">
        <v>1839</v>
      </c>
      <c r="H107" s="22">
        <v>2525</v>
      </c>
      <c r="I107" s="22">
        <v>1884</v>
      </c>
      <c r="J107" s="22">
        <v>2882</v>
      </c>
      <c r="K107" s="22">
        <v>2226</v>
      </c>
      <c r="L107" s="22">
        <v>2388</v>
      </c>
      <c r="M107" s="22">
        <v>1765</v>
      </c>
      <c r="N107" s="22">
        <v>2472</v>
      </c>
      <c r="O107" s="22">
        <v>2038</v>
      </c>
      <c r="P107" s="22">
        <v>2051</v>
      </c>
      <c r="Q107" s="22">
        <v>1013</v>
      </c>
      <c r="R107" s="22">
        <v>1423</v>
      </c>
      <c r="S107" s="22">
        <v>1053</v>
      </c>
      <c r="T107" s="22">
        <v>1995</v>
      </c>
      <c r="U107" s="22">
        <v>878</v>
      </c>
      <c r="V107" s="22">
        <v>1555</v>
      </c>
      <c r="W107" s="25">
        <v>719</v>
      </c>
      <c r="X107" s="6">
        <v>-1.0108303249097511E-2</v>
      </c>
      <c r="Y107" s="6">
        <v>-2.4617067833697989E-2</v>
      </c>
      <c r="Z107" s="6">
        <v>2.4677509814918789E-2</v>
      </c>
      <c r="AA107" s="6">
        <v>-6.0937785075716122E-2</v>
      </c>
    </row>
    <row r="108" spans="2:27">
      <c r="B108" s="30">
        <v>7595</v>
      </c>
      <c r="C108" s="2" t="s">
        <v>374</v>
      </c>
      <c r="D108" s="9" t="str">
        <f>VLOOKUP(B108,기업리스트!$B:$G,2,FALSE)</f>
        <v>ARGO GRAPHICS Inc.</v>
      </c>
      <c r="E108" s="2" t="s">
        <v>360</v>
      </c>
      <c r="F108" s="4">
        <v>-6.2</v>
      </c>
      <c r="G108" s="22">
        <v>1352</v>
      </c>
      <c r="H108" s="22">
        <v>2030</v>
      </c>
      <c r="I108" s="22">
        <v>2065</v>
      </c>
      <c r="J108" s="22">
        <v>1674</v>
      </c>
      <c r="K108" s="22">
        <v>1551</v>
      </c>
      <c r="L108" s="22">
        <v>2482</v>
      </c>
      <c r="M108" s="22">
        <v>2227</v>
      </c>
      <c r="N108" s="22">
        <v>2262</v>
      </c>
      <c r="O108" s="22">
        <v>2231</v>
      </c>
      <c r="P108" s="22">
        <v>2453</v>
      </c>
      <c r="Q108" s="22">
        <v>2847</v>
      </c>
      <c r="R108" s="22">
        <v>2078</v>
      </c>
      <c r="S108" s="22">
        <v>2573</v>
      </c>
      <c r="T108" s="22">
        <v>2701</v>
      </c>
      <c r="U108" s="22">
        <v>2443</v>
      </c>
      <c r="V108" s="22">
        <v>2596</v>
      </c>
      <c r="W108" s="25">
        <v>1929</v>
      </c>
      <c r="X108" s="6">
        <v>2.4922118380062312E-2</v>
      </c>
      <c r="Y108" s="6">
        <v>-3.9611726639866673E-2</v>
      </c>
      <c r="Z108" s="6">
        <v>5.288412455334357E-2</v>
      </c>
      <c r="AA108" s="6">
        <v>-6.2445457189954423E-2</v>
      </c>
    </row>
    <row r="109" spans="2:27">
      <c r="B109" s="30">
        <v>2109</v>
      </c>
      <c r="C109" s="2" t="s">
        <v>374</v>
      </c>
      <c r="D109" s="9" t="str">
        <f>VLOOKUP(B109,기업리스트!$B:$G,2,FALSE)</f>
        <v>Mitsui DM Sugar Co.,Ltd.</v>
      </c>
      <c r="E109" s="2" t="s">
        <v>360</v>
      </c>
      <c r="F109" s="4">
        <v>-6.7</v>
      </c>
      <c r="G109" s="22">
        <v>1379</v>
      </c>
      <c r="H109" s="22">
        <v>-142</v>
      </c>
      <c r="I109" s="22">
        <v>660</v>
      </c>
      <c r="J109" s="22">
        <v>479</v>
      </c>
      <c r="K109" s="22">
        <v>105</v>
      </c>
      <c r="L109" s="22">
        <v>-143</v>
      </c>
      <c r="M109" s="22">
        <v>502</v>
      </c>
      <c r="N109" s="23">
        <v>744</v>
      </c>
      <c r="O109" s="23">
        <v>1185</v>
      </c>
      <c r="P109" s="23">
        <v>1820</v>
      </c>
      <c r="Q109" s="23">
        <v>3280</v>
      </c>
      <c r="R109" s="23">
        <v>3217</v>
      </c>
      <c r="S109" s="23">
        <v>5071</v>
      </c>
      <c r="T109" s="22">
        <v>2274</v>
      </c>
      <c r="U109" s="22">
        <v>3570</v>
      </c>
      <c r="V109" s="22">
        <v>2755</v>
      </c>
      <c r="W109" s="25">
        <v>4158</v>
      </c>
      <c r="X109" s="6">
        <v>3.3910965043322472E-2</v>
      </c>
      <c r="Y109" s="6">
        <v>2.0950729663343551E-2</v>
      </c>
      <c r="Z109" s="6">
        <v>-3.2691763373903233E-2</v>
      </c>
      <c r="AA109" s="6">
        <v>-6.6788588149231942E-2</v>
      </c>
    </row>
    <row r="110" spans="2:27">
      <c r="B110" s="30">
        <v>2175</v>
      </c>
      <c r="C110" s="2" t="s">
        <v>374</v>
      </c>
      <c r="D110" s="9" t="str">
        <f>VLOOKUP(B110,기업리스트!$B:$G,2,FALSE)</f>
        <v>SMS Co., Ltd.</v>
      </c>
      <c r="E110" s="2" t="s">
        <v>360</v>
      </c>
      <c r="F110" s="4">
        <v>-7</v>
      </c>
      <c r="G110" s="22">
        <v>213</v>
      </c>
      <c r="H110" s="22">
        <v>2423</v>
      </c>
      <c r="I110" s="22">
        <v>3087</v>
      </c>
      <c r="J110" s="22">
        <v>1522</v>
      </c>
      <c r="K110" s="22">
        <v>434</v>
      </c>
      <c r="L110" s="22">
        <v>2238</v>
      </c>
      <c r="M110" s="22">
        <v>3729</v>
      </c>
      <c r="N110" s="22">
        <v>973</v>
      </c>
      <c r="O110" s="22">
        <v>245</v>
      </c>
      <c r="P110" s="23">
        <v>3323</v>
      </c>
      <c r="Q110" s="22">
        <v>3001</v>
      </c>
      <c r="R110" s="22">
        <v>575</v>
      </c>
      <c r="S110" s="22">
        <v>17</v>
      </c>
      <c r="T110" s="22">
        <v>2743</v>
      </c>
      <c r="U110" s="22">
        <v>3617</v>
      </c>
      <c r="V110" s="22">
        <v>776</v>
      </c>
      <c r="W110" s="25">
        <v>-486</v>
      </c>
      <c r="X110" s="6">
        <v>-8.3863504916136478E-2</v>
      </c>
      <c r="Y110" s="6">
        <v>9.7222222222222321E-2</v>
      </c>
      <c r="Z110" s="6">
        <v>2.8912543153049471E-2</v>
      </c>
      <c r="AA110" s="6">
        <v>-7.0320145393541145E-2</v>
      </c>
    </row>
    <row r="111" spans="2:27">
      <c r="B111" s="30">
        <v>4506</v>
      </c>
      <c r="C111" s="2" t="s">
        <v>374</v>
      </c>
      <c r="D111" s="9" t="str">
        <f>VLOOKUP(B111,기업리스트!$B:$G,2,FALSE)</f>
        <v>Sumitomo Pharma Co., Ltd.</v>
      </c>
      <c r="E111" s="2" t="s">
        <v>360</v>
      </c>
      <c r="F111" s="4">
        <v>-7.2</v>
      </c>
      <c r="G111" s="22">
        <v>10656</v>
      </c>
      <c r="H111" s="22">
        <v>1739</v>
      </c>
      <c r="I111" s="22">
        <v>14614</v>
      </c>
      <c r="J111" s="22">
        <v>10904</v>
      </c>
      <c r="K111" s="22">
        <v>11138</v>
      </c>
      <c r="L111" s="22">
        <v>-108572</v>
      </c>
      <c r="M111" s="23">
        <v>-51567</v>
      </c>
      <c r="N111" s="23">
        <v>-34931</v>
      </c>
      <c r="O111" s="23">
        <v>-31247</v>
      </c>
      <c r="P111" s="23">
        <v>-237391</v>
      </c>
      <c r="Q111" s="22">
        <v>-3105</v>
      </c>
      <c r="R111" s="22">
        <v>-5074</v>
      </c>
      <c r="S111" s="22">
        <v>21405</v>
      </c>
      <c r="T111" s="22">
        <v>-203</v>
      </c>
      <c r="U111" s="23">
        <v>21038</v>
      </c>
      <c r="V111" s="23">
        <v>74574</v>
      </c>
      <c r="W111" s="25">
        <v>12997</v>
      </c>
      <c r="X111" s="6">
        <v>-1.0580955992237859</v>
      </c>
      <c r="Y111" s="7">
        <v>1.8538739153804811</v>
      </c>
      <c r="Z111" s="7">
        <v>2.1430339557660232</v>
      </c>
      <c r="AA111" s="6">
        <v>-7.1977673908949269E-2</v>
      </c>
    </row>
    <row r="112" spans="2:27">
      <c r="B112" s="30">
        <v>9513</v>
      </c>
      <c r="C112" s="2" t="s">
        <v>374</v>
      </c>
      <c r="D112" s="9" t="str">
        <f>VLOOKUP(B112,기업리스트!$B:$G,2,FALSE)</f>
        <v>Electric Power Development Co., Ltd.</v>
      </c>
      <c r="E112" s="2" t="s">
        <v>360</v>
      </c>
      <c r="F112" s="4">
        <v>-7.2</v>
      </c>
      <c r="G112" s="22">
        <v>29093</v>
      </c>
      <c r="H112" s="22">
        <v>23046</v>
      </c>
      <c r="I112" s="22">
        <v>19508</v>
      </c>
      <c r="J112" s="22">
        <v>66811</v>
      </c>
      <c r="K112" s="23">
        <v>75192</v>
      </c>
      <c r="L112" s="22">
        <v>22356</v>
      </c>
      <c r="M112" s="22">
        <v>26559</v>
      </c>
      <c r="N112" s="22">
        <v>18441</v>
      </c>
      <c r="O112" s="22">
        <v>38726</v>
      </c>
      <c r="P112" s="22">
        <v>21980</v>
      </c>
      <c r="Q112" s="22">
        <v>32677</v>
      </c>
      <c r="R112" s="23">
        <v>38114</v>
      </c>
      <c r="S112" s="22">
        <v>43402</v>
      </c>
      <c r="T112" s="22">
        <v>24118</v>
      </c>
      <c r="U112" s="22">
        <v>32476</v>
      </c>
      <c r="V112" s="22">
        <v>21130</v>
      </c>
      <c r="W112" s="25">
        <v>34661</v>
      </c>
      <c r="X112" s="6">
        <v>1.5700616128013541E-2</v>
      </c>
      <c r="Y112" s="6">
        <v>-1.45324666873925E-3</v>
      </c>
      <c r="Z112" s="6">
        <v>-0.1229744406632395</v>
      </c>
      <c r="AA112" s="6">
        <v>-7.2164522893515826E-2</v>
      </c>
    </row>
    <row r="113" spans="2:27">
      <c r="B113" s="30">
        <v>9504</v>
      </c>
      <c r="C113" s="2" t="s">
        <v>374</v>
      </c>
      <c r="D113" s="9" t="str">
        <f>VLOOKUP(B113,기업리스트!$B:$G,2,FALSE)</f>
        <v>The Chugoku Electric Power Co., Inc.</v>
      </c>
      <c r="E113" s="2" t="s">
        <v>360</v>
      </c>
      <c r="F113" s="4">
        <v>-7.8</v>
      </c>
      <c r="G113" s="22">
        <v>-28867</v>
      </c>
      <c r="H113" s="22">
        <v>-33686</v>
      </c>
      <c r="I113" s="22">
        <v>-29193</v>
      </c>
      <c r="J113" s="22">
        <v>-43977</v>
      </c>
      <c r="K113" s="22">
        <v>-33767</v>
      </c>
      <c r="L113" s="22">
        <v>38045</v>
      </c>
      <c r="M113" s="22">
        <v>88246</v>
      </c>
      <c r="N113" s="23">
        <v>76819</v>
      </c>
      <c r="O113" s="23">
        <v>10800</v>
      </c>
      <c r="P113" s="22">
        <v>30913</v>
      </c>
      <c r="Q113" s="22">
        <v>34866</v>
      </c>
      <c r="R113" s="22">
        <v>35024</v>
      </c>
      <c r="S113" s="22">
        <v>20064</v>
      </c>
      <c r="T113" s="22">
        <v>39195</v>
      </c>
      <c r="U113" s="22">
        <v>39587</v>
      </c>
      <c r="V113" s="23">
        <v>51343</v>
      </c>
      <c r="W113" s="25">
        <v>8414</v>
      </c>
      <c r="X113" s="6">
        <v>6.8521598120247829E-2</v>
      </c>
      <c r="Y113" s="6">
        <v>3.6554677155843152E-2</v>
      </c>
      <c r="Z113" s="7">
        <v>0.1219018450735789</v>
      </c>
      <c r="AA113" s="6">
        <v>-7.7568929815099663E-2</v>
      </c>
    </row>
    <row r="114" spans="2:27">
      <c r="B114" s="30">
        <v>6920</v>
      </c>
      <c r="C114" s="2" t="s">
        <v>374</v>
      </c>
      <c r="D114" s="9" t="str">
        <f>VLOOKUP(B114,기업리스트!$B:$G,2,FALSE)</f>
        <v>Lasertec Corporation</v>
      </c>
      <c r="E114" s="2" t="s">
        <v>356</v>
      </c>
      <c r="F114" s="4">
        <v>-8.6</v>
      </c>
      <c r="G114" s="22">
        <v>10784</v>
      </c>
      <c r="H114" s="22">
        <v>3740</v>
      </c>
      <c r="I114" s="22">
        <v>15949</v>
      </c>
      <c r="J114" s="22">
        <v>8508</v>
      </c>
      <c r="K114" s="22">
        <v>9617</v>
      </c>
      <c r="L114" s="23">
        <v>9348</v>
      </c>
      <c r="M114" s="23">
        <v>34816</v>
      </c>
      <c r="N114" s="22">
        <v>10281</v>
      </c>
      <c r="O114" s="23">
        <v>21472</v>
      </c>
      <c r="P114" s="23">
        <v>26357</v>
      </c>
      <c r="Q114" s="22">
        <v>23267</v>
      </c>
      <c r="R114" s="22">
        <v>15923</v>
      </c>
      <c r="S114" s="23">
        <v>47740</v>
      </c>
      <c r="T114" s="22">
        <v>15629</v>
      </c>
      <c r="U114" s="23">
        <v>43552</v>
      </c>
      <c r="V114" s="22">
        <v>26729</v>
      </c>
      <c r="W114" s="25">
        <v>36263</v>
      </c>
      <c r="X114" s="6">
        <v>-9.4697538111168988E-2</v>
      </c>
      <c r="Y114" s="7">
        <v>0.19778858998235169</v>
      </c>
      <c r="Z114" s="6">
        <v>8.7965224186773439E-2</v>
      </c>
      <c r="AA114" s="6">
        <v>-8.5873550317994818E-2</v>
      </c>
    </row>
    <row r="115" spans="2:27">
      <c r="B115" s="30">
        <v>7735</v>
      </c>
      <c r="C115" s="2" t="s">
        <v>374</v>
      </c>
      <c r="D115" s="9" t="str">
        <f>VLOOKUP(B115,기업리스트!$B:$G,2,FALSE)</f>
        <v>SCREEN Holdings Co., Ltd.</v>
      </c>
      <c r="E115" s="2" t="s">
        <v>360</v>
      </c>
      <c r="F115" s="4">
        <v>-9.1999999999999993</v>
      </c>
      <c r="G115" s="22">
        <v>16086</v>
      </c>
      <c r="H115" s="22">
        <v>21110</v>
      </c>
      <c r="I115" s="22">
        <v>17850</v>
      </c>
      <c r="J115" s="22">
        <v>20323</v>
      </c>
      <c r="K115" s="22">
        <v>18483</v>
      </c>
      <c r="L115" s="22">
        <v>19797</v>
      </c>
      <c r="M115" s="22">
        <v>13419</v>
      </c>
      <c r="N115" s="22">
        <v>25132</v>
      </c>
      <c r="O115" s="22">
        <v>25141</v>
      </c>
      <c r="P115" s="23">
        <v>30472</v>
      </c>
      <c r="Q115" s="23">
        <v>27770</v>
      </c>
      <c r="R115" s="22">
        <v>30462</v>
      </c>
      <c r="S115" s="23">
        <v>42389</v>
      </c>
      <c r="T115" s="22">
        <v>35063</v>
      </c>
      <c r="U115" s="22">
        <v>24387</v>
      </c>
      <c r="V115" s="22">
        <v>22068</v>
      </c>
      <c r="W115" s="25">
        <v>30986</v>
      </c>
      <c r="X115" s="6">
        <v>3.5020939333145103E-2</v>
      </c>
      <c r="Y115" s="6">
        <v>-2.493293240175698E-2</v>
      </c>
      <c r="Z115" s="6">
        <v>-6.3446232454781093E-2</v>
      </c>
      <c r="AA115" s="6">
        <v>-9.202869894356247E-2</v>
      </c>
    </row>
    <row r="116" spans="2:27">
      <c r="B116" s="30">
        <v>2121</v>
      </c>
      <c r="C116" s="2" t="s">
        <v>374</v>
      </c>
      <c r="D116" s="9" t="str">
        <f>VLOOKUP(B116,기업리스트!$B:$G,2,FALSE)</f>
        <v>MIXI, Inc.</v>
      </c>
      <c r="E116" s="2" t="s">
        <v>360</v>
      </c>
      <c r="F116" s="4">
        <v>-10</v>
      </c>
      <c r="G116" s="22">
        <v>1861</v>
      </c>
      <c r="H116" s="22">
        <v>6826</v>
      </c>
      <c r="I116" s="22">
        <v>5558</v>
      </c>
      <c r="J116" s="22">
        <v>5691</v>
      </c>
      <c r="K116" s="23">
        <v>7825</v>
      </c>
      <c r="L116" s="22">
        <v>5746</v>
      </c>
      <c r="M116" s="22">
        <v>2245</v>
      </c>
      <c r="N116" s="22">
        <v>1567</v>
      </c>
      <c r="O116" s="22">
        <v>6664</v>
      </c>
      <c r="P116" s="23">
        <v>8702</v>
      </c>
      <c r="Q116" s="22">
        <v>2788</v>
      </c>
      <c r="R116" s="23">
        <v>6036</v>
      </c>
      <c r="S116" s="22">
        <v>8282</v>
      </c>
      <c r="T116" s="22">
        <v>9570</v>
      </c>
      <c r="U116" s="22">
        <v>2678</v>
      </c>
      <c r="V116" s="22">
        <v>4747</v>
      </c>
      <c r="W116" s="25">
        <v>5745</v>
      </c>
      <c r="X116" s="6">
        <v>3.3632982021078783E-2</v>
      </c>
      <c r="Y116" s="6">
        <v>-4.1235567551356489E-3</v>
      </c>
      <c r="Z116" s="6">
        <v>-4.8520665512308943E-2</v>
      </c>
      <c r="AA116" s="6">
        <v>-0.10036792340863231</v>
      </c>
    </row>
    <row r="117" spans="2:27">
      <c r="B117" s="30">
        <v>9507</v>
      </c>
      <c r="C117" s="2" t="s">
        <v>374</v>
      </c>
      <c r="D117" s="9" t="str">
        <f>VLOOKUP(B117,기업리스트!$B:$G,2,FALSE)</f>
        <v>Shikoku Electric Power Company, Incorporated</v>
      </c>
      <c r="E117" s="2" t="s">
        <v>360</v>
      </c>
      <c r="F117" s="4">
        <v>-11.3</v>
      </c>
      <c r="G117" s="22">
        <v>-15795</v>
      </c>
      <c r="H117" s="22">
        <v>1079</v>
      </c>
      <c r="I117" s="22">
        <v>2839</v>
      </c>
      <c r="J117" s="22">
        <v>7721</v>
      </c>
      <c r="K117" s="22">
        <v>-11363</v>
      </c>
      <c r="L117" s="22">
        <v>-11483</v>
      </c>
      <c r="M117" s="22">
        <v>16660</v>
      </c>
      <c r="N117" s="23">
        <v>48791</v>
      </c>
      <c r="O117" s="23">
        <v>13125</v>
      </c>
      <c r="P117" s="23">
        <v>-49</v>
      </c>
      <c r="Q117" s="23">
        <v>30764</v>
      </c>
      <c r="R117" s="22">
        <v>22818</v>
      </c>
      <c r="S117" s="22">
        <v>11754</v>
      </c>
      <c r="T117" s="23">
        <v>23737</v>
      </c>
      <c r="U117" s="22">
        <v>33153</v>
      </c>
      <c r="V117" s="23">
        <v>43662</v>
      </c>
      <c r="W117" s="25">
        <v>-967</v>
      </c>
      <c r="X117" s="7">
        <v>0.36432980532112058</v>
      </c>
      <c r="Y117" s="6">
        <v>2.6820697630033811E-2</v>
      </c>
      <c r="Z117" s="7">
        <v>0.22789792482123719</v>
      </c>
      <c r="AA117" s="6">
        <v>-0.11327088490374521</v>
      </c>
    </row>
    <row r="118" spans="2:27">
      <c r="B118" s="30">
        <v>6526</v>
      </c>
      <c r="C118" s="2" t="s">
        <v>374</v>
      </c>
      <c r="D118" s="9" t="str">
        <f>VLOOKUP(B118,기업리스트!$B:$G,2,FALSE)</f>
        <v>Socionext Inc.</v>
      </c>
      <c r="E118" s="2" t="s">
        <v>360</v>
      </c>
      <c r="F118" s="4">
        <v>-12.6</v>
      </c>
      <c r="G118" s="22"/>
      <c r="H118" s="22"/>
      <c r="I118" s="22">
        <v>5594</v>
      </c>
      <c r="J118" s="22">
        <v>4862</v>
      </c>
      <c r="K118" s="22">
        <v>6292</v>
      </c>
      <c r="L118" s="22">
        <v>4963</v>
      </c>
      <c r="M118" s="23">
        <v>10109</v>
      </c>
      <c r="N118" s="23">
        <v>8567</v>
      </c>
      <c r="O118" s="22">
        <v>9268</v>
      </c>
      <c r="P118" s="22">
        <v>7566</v>
      </c>
      <c r="Q118" s="22">
        <v>10265</v>
      </c>
      <c r="R118" s="22">
        <v>5291</v>
      </c>
      <c r="S118" s="22">
        <v>5104</v>
      </c>
      <c r="T118" s="22">
        <v>4340</v>
      </c>
      <c r="U118" s="22">
        <v>1440</v>
      </c>
      <c r="V118" s="22">
        <v>2327</v>
      </c>
      <c r="W118" s="25">
        <v>3437</v>
      </c>
      <c r="X118" s="6">
        <v>-0.1142917877134557</v>
      </c>
      <c r="Y118" s="6">
        <v>-0.35299999999999998</v>
      </c>
      <c r="Z118" s="6">
        <v>-0.18324574961360121</v>
      </c>
      <c r="AA118" s="6">
        <v>-0.1261827265157823</v>
      </c>
    </row>
    <row r="119" spans="2:27">
      <c r="B119" s="30">
        <v>4216</v>
      </c>
      <c r="C119" s="2" t="s">
        <v>374</v>
      </c>
      <c r="D119" s="9" t="str">
        <f>VLOOKUP(B119,기업리스트!$B:$G,2,FALSE)</f>
        <v>Asahi Yukizai Corporation</v>
      </c>
      <c r="E119" s="2" t="s">
        <v>360</v>
      </c>
      <c r="F119" s="4">
        <v>-13.6</v>
      </c>
      <c r="G119" s="22">
        <v>2317</v>
      </c>
      <c r="H119" s="22">
        <v>1766</v>
      </c>
      <c r="I119" s="22">
        <v>2069</v>
      </c>
      <c r="J119" s="22">
        <v>3271</v>
      </c>
      <c r="K119" s="22">
        <v>3132</v>
      </c>
      <c r="L119" s="23">
        <v>3476</v>
      </c>
      <c r="M119" s="23">
        <v>4074</v>
      </c>
      <c r="N119" s="22">
        <v>4216</v>
      </c>
      <c r="O119" s="22">
        <v>4165</v>
      </c>
      <c r="P119" s="22">
        <v>3120</v>
      </c>
      <c r="Q119" s="22">
        <v>2803</v>
      </c>
      <c r="R119" s="22">
        <v>3084</v>
      </c>
      <c r="S119" s="22">
        <v>2846</v>
      </c>
      <c r="T119" s="22">
        <v>2388</v>
      </c>
      <c r="U119" s="22">
        <v>2152</v>
      </c>
      <c r="V119" s="22">
        <v>2200</v>
      </c>
      <c r="W119" s="25">
        <v>1538</v>
      </c>
      <c r="X119" s="6">
        <v>-6.1756517337382973E-2</v>
      </c>
      <c r="Y119" s="6">
        <v>-5.8537901267871617E-2</v>
      </c>
      <c r="Z119" s="6">
        <v>-8.4431709646609399E-2</v>
      </c>
      <c r="AA119" s="6">
        <v>-0.13644898810765699</v>
      </c>
    </row>
    <row r="120" spans="2:27">
      <c r="B120" s="30">
        <v>9301</v>
      </c>
      <c r="C120" s="2" t="s">
        <v>374</v>
      </c>
      <c r="D120" s="9" t="str">
        <f>VLOOKUP(B120,기업리스트!$B:$G,2,FALSE)</f>
        <v>Mitsubishi Logistics Corporation</v>
      </c>
      <c r="E120" s="2" t="s">
        <v>360</v>
      </c>
      <c r="F120" s="4">
        <v>-13.8</v>
      </c>
      <c r="G120" s="22">
        <v>5237</v>
      </c>
      <c r="H120" s="22">
        <v>5129</v>
      </c>
      <c r="I120" s="22">
        <v>6119</v>
      </c>
      <c r="J120" s="22">
        <v>5611</v>
      </c>
      <c r="K120" s="22">
        <v>6386</v>
      </c>
      <c r="L120" s="22">
        <v>4913</v>
      </c>
      <c r="M120" s="22">
        <v>4899</v>
      </c>
      <c r="N120" s="22">
        <v>5023</v>
      </c>
      <c r="O120" s="22">
        <v>5859</v>
      </c>
      <c r="P120" s="22">
        <v>3161</v>
      </c>
      <c r="Q120" s="22">
        <v>4069</v>
      </c>
      <c r="R120" s="22">
        <v>4928</v>
      </c>
      <c r="S120" s="22">
        <v>7164</v>
      </c>
      <c r="T120" s="22">
        <v>4151</v>
      </c>
      <c r="U120" s="22">
        <v>3964</v>
      </c>
      <c r="V120" s="22">
        <v>3578</v>
      </c>
      <c r="W120" s="25">
        <v>4554</v>
      </c>
      <c r="X120" s="6">
        <v>5.1236931994617541E-2</v>
      </c>
      <c r="Y120" s="6">
        <v>-5.1693580149665408E-3</v>
      </c>
      <c r="Z120" s="6">
        <v>-6.6808531696936679E-2</v>
      </c>
      <c r="AA120" s="6">
        <v>-0.13841013947075351</v>
      </c>
    </row>
    <row r="121" spans="2:27">
      <c r="B121" s="30">
        <v>6080</v>
      </c>
      <c r="C121" s="2" t="s">
        <v>374</v>
      </c>
      <c r="D121" s="9" t="str">
        <f>VLOOKUP(B121,기업리스트!$B:$G,2,FALSE)</f>
        <v>M&amp;A Capital Partners Co.,Ltd.</v>
      </c>
      <c r="E121" s="2" t="s">
        <v>363</v>
      </c>
      <c r="F121" s="4">
        <v>-14.2</v>
      </c>
      <c r="G121" s="22">
        <v>2572</v>
      </c>
      <c r="H121" s="22">
        <v>1694</v>
      </c>
      <c r="I121" s="22">
        <v>2481</v>
      </c>
      <c r="J121" s="22">
        <v>2966</v>
      </c>
      <c r="K121" s="22">
        <v>330</v>
      </c>
      <c r="L121" s="23">
        <v>5142</v>
      </c>
      <c r="M121" s="22">
        <v>342</v>
      </c>
      <c r="N121" s="22">
        <v>1636</v>
      </c>
      <c r="O121" s="22">
        <v>592</v>
      </c>
      <c r="P121" s="22">
        <v>1073</v>
      </c>
      <c r="Q121" s="23">
        <v>1223</v>
      </c>
      <c r="R121" s="23">
        <v>3486</v>
      </c>
      <c r="S121" s="23">
        <v>3345</v>
      </c>
      <c r="T121" s="22">
        <v>888.8</v>
      </c>
      <c r="U121" s="22">
        <v>1403</v>
      </c>
      <c r="V121" s="22">
        <v>2311</v>
      </c>
      <c r="W121" s="25">
        <v>2216</v>
      </c>
      <c r="X121" s="6">
        <v>-2.0181877944560171E-2</v>
      </c>
      <c r="Y121" s="6">
        <v>2.0127924140090458E-2</v>
      </c>
      <c r="Z121" s="6">
        <v>-0.12879817599859689</v>
      </c>
      <c r="AA121" s="6">
        <v>-0.14205188857293841</v>
      </c>
    </row>
    <row r="122" spans="2:27">
      <c r="B122" s="30">
        <v>8871</v>
      </c>
      <c r="C122" s="2" t="s">
        <v>374</v>
      </c>
      <c r="D122" s="9" t="str">
        <f>VLOOKUP(B122,기업리스트!$B:$G,2,FALSE)</f>
        <v>GOLDCREST Co.,Ltd.</v>
      </c>
      <c r="E122" s="2" t="s">
        <v>360</v>
      </c>
      <c r="F122" s="4">
        <v>-14.2</v>
      </c>
      <c r="G122" s="22">
        <v>8296</v>
      </c>
      <c r="H122" s="22">
        <v>859</v>
      </c>
      <c r="I122" s="22">
        <v>8766</v>
      </c>
      <c r="J122" s="22">
        <v>1205</v>
      </c>
      <c r="K122" s="22">
        <v>261</v>
      </c>
      <c r="L122" s="22">
        <v>323</v>
      </c>
      <c r="M122" s="22">
        <v>-211</v>
      </c>
      <c r="N122" s="22">
        <v>594</v>
      </c>
      <c r="O122" s="23">
        <v>1040</v>
      </c>
      <c r="P122" s="23">
        <v>4313</v>
      </c>
      <c r="Q122" s="23">
        <v>1770</v>
      </c>
      <c r="R122" s="23">
        <v>1878</v>
      </c>
      <c r="S122" s="23">
        <v>3200</v>
      </c>
      <c r="T122" s="22">
        <v>671</v>
      </c>
      <c r="U122" s="23">
        <v>3820</v>
      </c>
      <c r="V122" s="22">
        <v>1411</v>
      </c>
      <c r="W122" s="25">
        <v>1903</v>
      </c>
      <c r="X122" s="6">
        <v>-0.32631484633993368</v>
      </c>
      <c r="Y122" s="7">
        <v>0.27264263864875637</v>
      </c>
      <c r="Z122" s="6">
        <v>-4.8803427735395588E-2</v>
      </c>
      <c r="AA122" s="6">
        <v>-0.14249615469127661</v>
      </c>
    </row>
    <row r="123" spans="2:27">
      <c r="B123" s="30">
        <v>8892</v>
      </c>
      <c r="C123" s="2" t="s">
        <v>374</v>
      </c>
      <c r="D123" s="9" t="str">
        <f>VLOOKUP(B123,기업리스트!$B:$G,2,FALSE)</f>
        <v>ES-CON JAPAN Ltd.</v>
      </c>
      <c r="E123" s="2" t="s">
        <v>360</v>
      </c>
      <c r="F123" s="4">
        <v>-17.3</v>
      </c>
      <c r="G123" s="22">
        <v>2286</v>
      </c>
      <c r="H123" s="22">
        <v>5533</v>
      </c>
      <c r="I123" s="22">
        <v>864</v>
      </c>
      <c r="J123" s="22">
        <v>4778</v>
      </c>
      <c r="K123" s="22">
        <v>571</v>
      </c>
      <c r="L123" s="23">
        <v>9280</v>
      </c>
      <c r="M123" s="23">
        <v>4880</v>
      </c>
      <c r="N123" s="22">
        <v>1964</v>
      </c>
      <c r="O123" s="22">
        <v>1246</v>
      </c>
      <c r="P123" s="22">
        <v>8754</v>
      </c>
      <c r="Q123" s="22">
        <v>3290</v>
      </c>
      <c r="R123" s="22">
        <v>1026</v>
      </c>
      <c r="S123" s="23">
        <v>9437</v>
      </c>
      <c r="T123" s="22">
        <v>7559</v>
      </c>
      <c r="U123" s="22">
        <v>2184</v>
      </c>
      <c r="V123" s="22">
        <v>2722</v>
      </c>
      <c r="W123" s="25">
        <v>5641</v>
      </c>
      <c r="X123" s="6">
        <v>-5.3094592793353157E-2</v>
      </c>
      <c r="Y123" s="6">
        <v>-5.1895645645645638E-2</v>
      </c>
      <c r="Z123" s="6">
        <v>8.3935464713451369E-2</v>
      </c>
      <c r="AA123" s="6">
        <v>-0.173317505250662</v>
      </c>
    </row>
    <row r="124" spans="2:27">
      <c r="B124" s="30">
        <v>6737</v>
      </c>
      <c r="C124" s="2" t="s">
        <v>374</v>
      </c>
      <c r="D124" s="9" t="str">
        <f>VLOOKUP(B124,기업리스트!$B:$G,2,FALSE)</f>
        <v>EIZO Corporation</v>
      </c>
      <c r="E124" s="2" t="s">
        <v>360</v>
      </c>
      <c r="F124" s="4">
        <v>-19.2</v>
      </c>
      <c r="G124" s="22">
        <v>1800</v>
      </c>
      <c r="H124" s="22">
        <v>2890</v>
      </c>
      <c r="I124" s="22">
        <v>878</v>
      </c>
      <c r="J124" s="22">
        <v>1335</v>
      </c>
      <c r="K124" s="22">
        <v>490</v>
      </c>
      <c r="L124" s="22">
        <v>2300</v>
      </c>
      <c r="M124" s="22">
        <v>1059</v>
      </c>
      <c r="N124" s="22">
        <v>578</v>
      </c>
      <c r="O124" s="22">
        <v>923</v>
      </c>
      <c r="P124" s="22">
        <v>1349</v>
      </c>
      <c r="Q124" s="22">
        <v>39</v>
      </c>
      <c r="R124" s="22">
        <v>792</v>
      </c>
      <c r="S124" s="23">
        <v>1338</v>
      </c>
      <c r="T124" s="22">
        <v>1538</v>
      </c>
      <c r="U124" s="22">
        <v>-115</v>
      </c>
      <c r="V124" s="22">
        <v>776</v>
      </c>
      <c r="W124" s="25">
        <v>659</v>
      </c>
      <c r="X124" s="6">
        <v>5.3723706651506609E-2</v>
      </c>
      <c r="Y124" s="6">
        <v>-4.1543026706231452E-2</v>
      </c>
      <c r="Z124" s="6">
        <v>-4.5032367013790866E-3</v>
      </c>
      <c r="AA124" s="6">
        <v>-0.19197059655074919</v>
      </c>
    </row>
    <row r="125" spans="2:27">
      <c r="B125" s="30">
        <v>2782</v>
      </c>
      <c r="C125" s="2" t="s">
        <v>374</v>
      </c>
      <c r="D125" s="9" t="str">
        <f>VLOOKUP(B125,기업리스트!$B:$G,2,FALSE)</f>
        <v>Seria Co., Ltd.</v>
      </c>
      <c r="E125" s="2" t="s">
        <v>360</v>
      </c>
      <c r="F125" s="4">
        <v>-22.9</v>
      </c>
      <c r="G125" s="22">
        <v>4374</v>
      </c>
      <c r="H125" s="22">
        <v>3679</v>
      </c>
      <c r="I125" s="22">
        <v>4822</v>
      </c>
      <c r="J125" s="22">
        <v>2571</v>
      </c>
      <c r="K125" s="22">
        <v>3146</v>
      </c>
      <c r="L125" s="22">
        <v>3035</v>
      </c>
      <c r="M125" s="23">
        <v>11258</v>
      </c>
      <c r="N125" s="23">
        <v>11258</v>
      </c>
      <c r="O125" s="22">
        <v>3863</v>
      </c>
      <c r="P125" s="22">
        <v>3968</v>
      </c>
      <c r="Q125" s="22">
        <v>3680</v>
      </c>
      <c r="R125" s="22">
        <v>13166</v>
      </c>
      <c r="S125" s="23">
        <v>13166</v>
      </c>
      <c r="T125" s="22">
        <v>4595</v>
      </c>
      <c r="U125" s="22">
        <v>4146</v>
      </c>
      <c r="V125" s="22">
        <v>4206</v>
      </c>
      <c r="W125" s="25">
        <v>7195</v>
      </c>
      <c r="X125" s="6">
        <v>1.8452030606239012E-2</v>
      </c>
      <c r="Y125" s="6">
        <v>1.3465483861646589E-2</v>
      </c>
      <c r="Z125" s="6">
        <v>-0.25546716847717621</v>
      </c>
      <c r="AA125" s="6">
        <v>-0.22866005437904491</v>
      </c>
    </row>
    <row r="126" spans="2:27">
      <c r="B126" s="30">
        <v>4547</v>
      </c>
      <c r="C126" s="2" t="s">
        <v>374</v>
      </c>
      <c r="D126" s="9" t="str">
        <f>VLOOKUP(B126,기업리스트!$B:$G,2,FALSE)</f>
        <v>Kissei Pharmaceutical Co., Ltd.</v>
      </c>
      <c r="E126" s="2" t="s">
        <v>360</v>
      </c>
      <c r="F126" s="4">
        <v>-24.6</v>
      </c>
      <c r="G126" s="22">
        <v>-564</v>
      </c>
      <c r="H126" s="22">
        <v>-1109</v>
      </c>
      <c r="I126" s="22">
        <v>131</v>
      </c>
      <c r="J126" s="22">
        <v>-772</v>
      </c>
      <c r="K126" s="22">
        <v>1120</v>
      </c>
      <c r="L126" s="23">
        <v>-1622</v>
      </c>
      <c r="M126" s="22">
        <v>1634</v>
      </c>
      <c r="N126" s="23">
        <v>383</v>
      </c>
      <c r="O126" s="23">
        <v>2148</v>
      </c>
      <c r="P126" s="23">
        <v>-148</v>
      </c>
      <c r="Q126" s="23">
        <v>2158</v>
      </c>
      <c r="R126" s="22">
        <v>-376</v>
      </c>
      <c r="S126" s="22">
        <v>2456</v>
      </c>
      <c r="T126" s="23">
        <v>1536</v>
      </c>
      <c r="U126" s="22">
        <v>2109</v>
      </c>
      <c r="V126" s="22">
        <v>-8946</v>
      </c>
      <c r="W126" s="25">
        <v>3155</v>
      </c>
      <c r="X126" s="7">
        <v>0.41173594132029351</v>
      </c>
      <c r="Y126" s="6">
        <v>-8.4863179771389463E-3</v>
      </c>
      <c r="Z126" s="6">
        <v>-1.496943231441048</v>
      </c>
      <c r="AA126" s="6">
        <v>-0.24569420035149381</v>
      </c>
    </row>
    <row r="127" spans="2:27">
      <c r="B127" s="30">
        <v>6104</v>
      </c>
      <c r="C127" s="2" t="s">
        <v>374</v>
      </c>
      <c r="D127" s="9" t="str">
        <f>VLOOKUP(B127,기업리스트!$B:$G,2,FALSE)</f>
        <v>Shibaura Machine Co.,Ltd.</v>
      </c>
      <c r="E127" s="2" t="s">
        <v>360</v>
      </c>
      <c r="F127" s="4">
        <v>-62.9</v>
      </c>
      <c r="G127" s="22">
        <v>683</v>
      </c>
      <c r="H127" s="22">
        <v>1176</v>
      </c>
      <c r="I127" s="22">
        <v>423</v>
      </c>
      <c r="J127" s="22">
        <v>1249</v>
      </c>
      <c r="K127" s="23">
        <v>1670</v>
      </c>
      <c r="L127" s="23">
        <v>2425</v>
      </c>
      <c r="M127" s="23">
        <v>2626</v>
      </c>
      <c r="N127" s="23">
        <v>5539</v>
      </c>
      <c r="O127" s="22">
        <v>1491</v>
      </c>
      <c r="P127" s="23">
        <v>3959</v>
      </c>
      <c r="Q127" s="22">
        <v>3956</v>
      </c>
      <c r="R127" s="22">
        <v>4479</v>
      </c>
      <c r="S127" s="23">
        <v>4682</v>
      </c>
      <c r="T127" s="22">
        <v>979</v>
      </c>
      <c r="U127" s="22">
        <v>923</v>
      </c>
      <c r="V127" s="22">
        <v>1115</v>
      </c>
      <c r="W127" s="25">
        <v>-162</v>
      </c>
      <c r="X127" s="6">
        <v>-0.17451393769032561</v>
      </c>
      <c r="Y127" s="6">
        <v>-0.21516742338251979</v>
      </c>
      <c r="Z127" s="6">
        <v>-0.30407665190273891</v>
      </c>
      <c r="AA127" s="6">
        <v>-0.6291726198207559</v>
      </c>
    </row>
    <row r="128" spans="2:27">
      <c r="B128" s="30">
        <v>8585</v>
      </c>
      <c r="C128" s="2" t="s">
        <v>374</v>
      </c>
      <c r="D128" s="9" t="str">
        <f>VLOOKUP(B128,기업리스트!$B:$G,2,FALSE)</f>
        <v>Orient Corporation</v>
      </c>
      <c r="E128" s="2" t="s">
        <v>360</v>
      </c>
      <c r="F128" s="4">
        <v>-115.8</v>
      </c>
      <c r="G128" s="22">
        <v>6509</v>
      </c>
      <c r="H128" s="22">
        <v>8878</v>
      </c>
      <c r="I128" s="22">
        <v>5325</v>
      </c>
      <c r="J128" s="22">
        <v>9856</v>
      </c>
      <c r="K128" s="22">
        <v>1170</v>
      </c>
      <c r="L128" s="22">
        <v>6719</v>
      </c>
      <c r="M128" s="22">
        <v>3501</v>
      </c>
      <c r="N128" s="22">
        <v>2404</v>
      </c>
      <c r="O128" s="23">
        <v>4143</v>
      </c>
      <c r="P128" s="22">
        <v>6071</v>
      </c>
      <c r="Q128" s="23">
        <v>9960</v>
      </c>
      <c r="R128" s="22">
        <v>-2785</v>
      </c>
      <c r="S128" s="23">
        <v>6648</v>
      </c>
      <c r="T128" s="22">
        <v>-11649</v>
      </c>
      <c r="U128" s="22">
        <v>9314</v>
      </c>
      <c r="V128" s="23">
        <v>-2110</v>
      </c>
      <c r="W128" s="25">
        <v>4098</v>
      </c>
      <c r="X128" s="6">
        <v>-0.89072082034784361</v>
      </c>
      <c r="Y128" s="6">
        <v>-0.29714811407543701</v>
      </c>
      <c r="Z128" s="7">
        <v>0.44175392670157071</v>
      </c>
      <c r="AA128" s="6">
        <v>-1.1575124829777581</v>
      </c>
    </row>
    <row r="129" spans="2:27">
      <c r="B129" s="31" t="s">
        <v>399</v>
      </c>
      <c r="C129" s="12" t="s">
        <v>376</v>
      </c>
      <c r="D129" s="13" t="str">
        <f>VLOOKUP(B129,기업리스트!$B:$G,2,FALSE)</f>
        <v>The New India Assurance Company Limited</v>
      </c>
      <c r="E129" s="2" t="s">
        <v>360</v>
      </c>
      <c r="F129" s="21">
        <v>33.6</v>
      </c>
      <c r="G129" s="26">
        <v>6982</v>
      </c>
      <c r="H129" s="26">
        <v>-9658</v>
      </c>
      <c r="I129" s="26">
        <v>2623</v>
      </c>
      <c r="J129" s="26">
        <v>27295</v>
      </c>
      <c r="K129" s="27">
        <v>15257</v>
      </c>
      <c r="L129" s="27">
        <v>2016</v>
      </c>
      <c r="M129" s="26">
        <v>4434</v>
      </c>
      <c r="N129" s="26">
        <v>-1341</v>
      </c>
      <c r="O129" s="26">
        <v>9832</v>
      </c>
      <c r="P129" s="26">
        <v>1327</v>
      </c>
      <c r="Q129" s="26">
        <v>2912</v>
      </c>
      <c r="R129" s="27">
        <v>1401</v>
      </c>
      <c r="S129" s="26">
        <v>1764</v>
      </c>
      <c r="T129" s="27">
        <v>4520</v>
      </c>
      <c r="U129" s="26">
        <v>3545</v>
      </c>
      <c r="V129" s="26">
        <v>1311</v>
      </c>
      <c r="W129" s="28">
        <v>5512</v>
      </c>
      <c r="X129" s="19">
        <v>0.4312533765532145</v>
      </c>
      <c r="Y129" s="18">
        <v>5.9733886949136623E-2</v>
      </c>
      <c r="Z129" s="18">
        <v>-8.0142475512021694E-3</v>
      </c>
      <c r="AA129" s="19">
        <v>0.33644524236983853</v>
      </c>
    </row>
    <row r="130" spans="2:27">
      <c r="B130" s="30" t="s">
        <v>400</v>
      </c>
      <c r="C130" s="2" t="s">
        <v>376</v>
      </c>
      <c r="D130" s="9" t="str">
        <f>VLOOKUP(B130,기업리스트!$B:$G,2,FALSE)</f>
        <v>R R Kabel Limited</v>
      </c>
      <c r="E130" s="2" t="s">
        <v>360</v>
      </c>
      <c r="F130" s="20">
        <v>16.100000000000001</v>
      </c>
      <c r="G130" s="22"/>
      <c r="H130" s="22">
        <v>650.83000000000004</v>
      </c>
      <c r="I130" s="22">
        <v>254.93</v>
      </c>
      <c r="J130" s="22">
        <v>494.36</v>
      </c>
      <c r="K130" s="22">
        <v>1010</v>
      </c>
      <c r="L130" s="22">
        <v>866.53</v>
      </c>
      <c r="M130" s="23">
        <v>968.62</v>
      </c>
      <c r="N130" s="23">
        <v>1043</v>
      </c>
      <c r="O130" s="22">
        <v>960.73</v>
      </c>
      <c r="P130" s="22">
        <v>1003</v>
      </c>
      <c r="Q130" s="22">
        <v>787.48</v>
      </c>
      <c r="R130" s="22">
        <v>683.07</v>
      </c>
      <c r="S130" s="22">
        <v>927.43</v>
      </c>
      <c r="T130" s="23">
        <v>1759</v>
      </c>
      <c r="U130" s="23">
        <v>1218</v>
      </c>
      <c r="V130" s="23">
        <v>1539</v>
      </c>
      <c r="W130" s="24">
        <v>1804</v>
      </c>
      <c r="X130" s="7">
        <v>0.22228886967873951</v>
      </c>
      <c r="Y130" s="7">
        <v>0.10356556923535851</v>
      </c>
      <c r="Z130" s="7">
        <v>0.18657874659400539</v>
      </c>
      <c r="AA130" s="7">
        <v>0.16103265771765221</v>
      </c>
    </row>
    <row r="131" spans="2:27">
      <c r="B131" s="30" t="s">
        <v>251</v>
      </c>
      <c r="C131" s="2" t="s">
        <v>376</v>
      </c>
      <c r="D131" s="9" t="str">
        <f>VLOOKUP(B131,기업리스트!$B:$G,2,FALSE)</f>
        <v>Finolex Industries Limited</v>
      </c>
      <c r="E131" s="2" t="s">
        <v>360</v>
      </c>
      <c r="F131" s="20">
        <v>10.9</v>
      </c>
      <c r="G131" s="22">
        <v>2207</v>
      </c>
      <c r="H131" s="22">
        <v>2526</v>
      </c>
      <c r="I131" s="22">
        <v>1046</v>
      </c>
      <c r="J131" s="22">
        <v>-1642</v>
      </c>
      <c r="K131" s="22">
        <v>693.7</v>
      </c>
      <c r="L131" s="22">
        <v>2262</v>
      </c>
      <c r="M131" s="22">
        <v>1181</v>
      </c>
      <c r="N131" s="23">
        <v>756</v>
      </c>
      <c r="O131" s="22">
        <v>923.3</v>
      </c>
      <c r="P131" s="22">
        <v>1823</v>
      </c>
      <c r="Q131" s="23">
        <v>1806</v>
      </c>
      <c r="R131" s="22">
        <v>-158.6</v>
      </c>
      <c r="S131" s="22">
        <v>561.20000000000005</v>
      </c>
      <c r="T131" s="22">
        <v>1471</v>
      </c>
      <c r="U131" s="22">
        <v>669.8</v>
      </c>
      <c r="V131" s="23">
        <v>1027</v>
      </c>
      <c r="W131" s="24">
        <v>965.9</v>
      </c>
      <c r="X131" s="6">
        <v>-8.7310249032642173E-2</v>
      </c>
      <c r="Y131" s="6">
        <v>-0.30878356343080771</v>
      </c>
      <c r="Z131" s="7">
        <v>0.46614767633875909</v>
      </c>
      <c r="AA131" s="7">
        <v>0.10852775543041029</v>
      </c>
    </row>
    <row r="132" spans="2:27">
      <c r="B132" s="30" t="s">
        <v>242</v>
      </c>
      <c r="C132" s="2" t="s">
        <v>376</v>
      </c>
      <c r="D132" s="9" t="str">
        <f>VLOOKUP(B132,기업리스트!$B:$G,2,FALSE)</f>
        <v>Jaiprakash Power Ventures Limited</v>
      </c>
      <c r="E132" s="2" t="s">
        <v>356</v>
      </c>
      <c r="F132" s="4">
        <v>7</v>
      </c>
      <c r="G132" s="22">
        <v>962.2</v>
      </c>
      <c r="H132" s="22">
        <v>2432</v>
      </c>
      <c r="I132" s="22">
        <v>1626</v>
      </c>
      <c r="J132" s="22">
        <v>5127</v>
      </c>
      <c r="K132" s="22">
        <v>1390</v>
      </c>
      <c r="L132" s="22">
        <v>-1073</v>
      </c>
      <c r="M132" s="22">
        <v>1570</v>
      </c>
      <c r="N132" s="22">
        <v>4063</v>
      </c>
      <c r="O132" s="23">
        <v>2944</v>
      </c>
      <c r="P132" s="23">
        <v>4600</v>
      </c>
      <c r="Q132" s="23">
        <v>6111</v>
      </c>
      <c r="R132" s="23">
        <v>6724</v>
      </c>
      <c r="S132" s="22">
        <v>2660</v>
      </c>
      <c r="T132" s="22">
        <v>1735</v>
      </c>
      <c r="U132" s="22">
        <v>3070</v>
      </c>
      <c r="V132" s="22">
        <v>4840</v>
      </c>
      <c r="W132" s="25">
        <v>3516</v>
      </c>
      <c r="X132" s="6">
        <v>-0.1425727792983329</v>
      </c>
      <c r="Y132" s="6">
        <v>-0.17649448636099829</v>
      </c>
      <c r="Z132" s="6">
        <v>-0.13277891324265281</v>
      </c>
      <c r="AA132" s="6">
        <v>6.956521739130439E-2</v>
      </c>
    </row>
    <row r="133" spans="2:27">
      <c r="B133" s="30" t="s">
        <v>254</v>
      </c>
      <c r="C133" s="2" t="s">
        <v>376</v>
      </c>
      <c r="D133" s="9" t="str">
        <f>VLOOKUP(B133,기업리스트!$B:$G,2,FALSE)</f>
        <v>MedPlus Health Services Limited</v>
      </c>
      <c r="E133" s="2" t="s">
        <v>360</v>
      </c>
      <c r="F133" s="4">
        <v>5.3</v>
      </c>
      <c r="G133" s="22">
        <v>309.48</v>
      </c>
      <c r="H133" s="22">
        <v>278.63</v>
      </c>
      <c r="I133" s="22">
        <v>145.46</v>
      </c>
      <c r="J133" s="22">
        <v>177.96</v>
      </c>
      <c r="K133" s="22">
        <v>259.33999999999997</v>
      </c>
      <c r="L133" s="23">
        <v>378.09</v>
      </c>
      <c r="M133" s="22">
        <v>189.29</v>
      </c>
      <c r="N133" s="23">
        <v>296.18</v>
      </c>
      <c r="O133" s="22">
        <v>346.69</v>
      </c>
      <c r="P133" s="23">
        <v>590.53</v>
      </c>
      <c r="Q133" s="23">
        <v>337.33</v>
      </c>
      <c r="R133" s="23">
        <v>613.04</v>
      </c>
      <c r="S133" s="23">
        <v>700.55</v>
      </c>
      <c r="T133" s="23">
        <v>851.46</v>
      </c>
      <c r="U133" s="23">
        <v>651.12</v>
      </c>
      <c r="V133" s="22">
        <v>802.85</v>
      </c>
      <c r="W133" s="25">
        <v>858.75</v>
      </c>
      <c r="X133" s="7">
        <v>0.1164112516451405</v>
      </c>
      <c r="Y133" s="7">
        <v>0.1253966224154606</v>
      </c>
      <c r="Z133" s="6">
        <v>6.7400050423092273E-2</v>
      </c>
      <c r="AA133" s="6">
        <v>5.2628427334846073E-2</v>
      </c>
    </row>
    <row r="134" spans="2:27">
      <c r="B134" s="30" t="s">
        <v>165</v>
      </c>
      <c r="C134" s="2" t="s">
        <v>376</v>
      </c>
      <c r="D134" s="9" t="str">
        <f>VLOOKUP(B134,기업리스트!$B:$G,2,FALSE)</f>
        <v>Aegis Logistics Limited</v>
      </c>
      <c r="E134" s="2" t="s">
        <v>360</v>
      </c>
      <c r="F134" s="4">
        <v>4.8</v>
      </c>
      <c r="G134" s="22">
        <v>1284</v>
      </c>
      <c r="H134" s="22">
        <v>1241</v>
      </c>
      <c r="I134" s="22">
        <v>556</v>
      </c>
      <c r="J134" s="22">
        <v>1353</v>
      </c>
      <c r="K134" s="23">
        <v>1817</v>
      </c>
      <c r="L134" s="23">
        <v>1795</v>
      </c>
      <c r="M134" s="23">
        <v>1626</v>
      </c>
      <c r="N134" s="22">
        <v>1742</v>
      </c>
      <c r="O134" s="22">
        <v>1773</v>
      </c>
      <c r="P134" s="23">
        <v>2736</v>
      </c>
      <c r="Q134" s="22">
        <v>1955</v>
      </c>
      <c r="R134" s="22">
        <v>1866</v>
      </c>
      <c r="S134" s="22">
        <v>1956</v>
      </c>
      <c r="T134" s="23">
        <v>3753</v>
      </c>
      <c r="U134" s="22">
        <v>1982</v>
      </c>
      <c r="V134" s="22">
        <v>2385</v>
      </c>
      <c r="W134" s="25">
        <v>2444</v>
      </c>
      <c r="X134" s="7">
        <v>0.11946434864325139</v>
      </c>
      <c r="Y134" s="6">
        <v>2.8331584470093758E-3</v>
      </c>
      <c r="Z134" s="6">
        <v>5.4305744480485529E-2</v>
      </c>
      <c r="AA134" s="6">
        <v>4.8431917427550708E-2</v>
      </c>
    </row>
    <row r="135" spans="2:27">
      <c r="B135" s="30" t="s">
        <v>149</v>
      </c>
      <c r="C135" s="2" t="s">
        <v>376</v>
      </c>
      <c r="D135" s="9" t="str">
        <f>VLOOKUP(B135,기업리스트!$B:$G,2,FALSE)</f>
        <v>Ajanta Pharma Limited</v>
      </c>
      <c r="E135" s="2" t="s">
        <v>360</v>
      </c>
      <c r="F135" s="4">
        <v>4.5</v>
      </c>
      <c r="G135" s="22">
        <v>2079</v>
      </c>
      <c r="H135" s="22">
        <v>1794</v>
      </c>
      <c r="I135" s="22">
        <v>1900</v>
      </c>
      <c r="J135" s="22">
        <v>1636</v>
      </c>
      <c r="K135" s="22">
        <v>1732</v>
      </c>
      <c r="L135" s="22">
        <v>1466</v>
      </c>
      <c r="M135" s="22">
        <v>2481</v>
      </c>
      <c r="N135" s="23">
        <v>2570</v>
      </c>
      <c r="O135" s="23">
        <v>2874</v>
      </c>
      <c r="P135" s="23">
        <v>2532</v>
      </c>
      <c r="Q135" s="22">
        <v>2964</v>
      </c>
      <c r="R135" s="22">
        <v>3024</v>
      </c>
      <c r="S135" s="22">
        <v>2849</v>
      </c>
      <c r="T135" s="22">
        <v>2566</v>
      </c>
      <c r="U135" s="22">
        <v>3352</v>
      </c>
      <c r="V135" s="22">
        <v>3258</v>
      </c>
      <c r="W135" s="25">
        <v>3387</v>
      </c>
      <c r="X135" s="6">
        <v>2.9905884422551932E-3</v>
      </c>
      <c r="Y135" s="6">
        <v>3.4026133473647358E-2</v>
      </c>
      <c r="Z135" s="6">
        <v>1.984564498346186E-2</v>
      </c>
      <c r="AA135" s="6">
        <v>4.4740124740124683E-2</v>
      </c>
    </row>
    <row r="136" spans="2:27">
      <c r="B136" s="30" t="s">
        <v>193</v>
      </c>
      <c r="C136" s="2" t="s">
        <v>376</v>
      </c>
      <c r="D136" s="9" t="str">
        <f>VLOOKUP(B136,기업리스트!$B:$G,2,FALSE)</f>
        <v>Aadhar Housing Finance Limited</v>
      </c>
      <c r="E136" s="2" t="s">
        <v>356</v>
      </c>
      <c r="F136" s="4">
        <v>4.0999999999999996</v>
      </c>
      <c r="G136" s="22">
        <v>610.83000000000004</v>
      </c>
      <c r="H136" s="22">
        <v>1017</v>
      </c>
      <c r="I136" s="22">
        <v>1317</v>
      </c>
      <c r="J136" s="22">
        <v>1568</v>
      </c>
      <c r="K136" s="23">
        <v>1568</v>
      </c>
      <c r="L136" s="23">
        <v>2036</v>
      </c>
      <c r="M136" s="23">
        <v>2036</v>
      </c>
      <c r="N136" s="22">
        <v>1874</v>
      </c>
      <c r="O136" s="23">
        <v>2530</v>
      </c>
      <c r="P136" s="22">
        <v>2606</v>
      </c>
      <c r="Q136" s="22">
        <v>2590</v>
      </c>
      <c r="R136" s="22">
        <v>2572</v>
      </c>
      <c r="S136" s="22">
        <v>2924</v>
      </c>
      <c r="T136" s="22">
        <v>3077</v>
      </c>
      <c r="U136" s="22">
        <v>3162</v>
      </c>
      <c r="V136" s="22">
        <v>3052</v>
      </c>
      <c r="W136" s="25">
        <v>3427</v>
      </c>
      <c r="X136" s="6">
        <v>4.4051627384960712E-2</v>
      </c>
      <c r="Y136" s="6">
        <v>5.1240705903430987E-2</v>
      </c>
      <c r="Z136" s="6">
        <v>4.0903280783979527E-2</v>
      </c>
      <c r="AA136" s="6">
        <v>4.1178878428162147E-2</v>
      </c>
    </row>
    <row r="137" spans="2:27">
      <c r="B137" s="30" t="s">
        <v>33</v>
      </c>
      <c r="C137" s="2" t="s">
        <v>376</v>
      </c>
      <c r="D137" s="9" t="str">
        <f>VLOOKUP(B137,기업리스트!$B:$G,2,FALSE)</f>
        <v>Sun Pharmaceutical Industries Limited</v>
      </c>
      <c r="E137" s="2" t="s">
        <v>360</v>
      </c>
      <c r="F137" s="4">
        <v>3.8</v>
      </c>
      <c r="G137" s="22">
        <v>20632</v>
      </c>
      <c r="H137" s="22">
        <v>16789</v>
      </c>
      <c r="I137" s="22">
        <v>21507</v>
      </c>
      <c r="J137" s="22">
        <v>25881</v>
      </c>
      <c r="K137" s="22">
        <v>23469</v>
      </c>
      <c r="L137" s="22">
        <v>22201</v>
      </c>
      <c r="M137" s="22">
        <v>26784</v>
      </c>
      <c r="N137" s="22">
        <v>25807</v>
      </c>
      <c r="O137" s="22">
        <v>27301</v>
      </c>
      <c r="P137" s="22">
        <v>25310</v>
      </c>
      <c r="Q137" s="22">
        <v>30029</v>
      </c>
      <c r="R137" s="22">
        <v>31850</v>
      </c>
      <c r="S137" s="22">
        <v>35618</v>
      </c>
      <c r="T137" s="22">
        <v>28558</v>
      </c>
      <c r="U137" s="22">
        <v>33721</v>
      </c>
      <c r="V137" s="22">
        <v>33671</v>
      </c>
      <c r="W137" s="25">
        <v>40622</v>
      </c>
      <c r="X137" s="6">
        <v>2.6448003778286159E-2</v>
      </c>
      <c r="Y137" s="6">
        <v>2.928880250684229E-2</v>
      </c>
      <c r="Z137" s="6">
        <v>1.403500658974766E-2</v>
      </c>
      <c r="AA137" s="6">
        <v>3.8033564392557562E-2</v>
      </c>
    </row>
    <row r="138" spans="2:27">
      <c r="B138" s="30" t="s">
        <v>46</v>
      </c>
      <c r="C138" s="2" t="s">
        <v>376</v>
      </c>
      <c r="D138" s="9" t="str">
        <f>VLOOKUP(B138,기업리스트!$B:$G,2,FALSE)</f>
        <v>Power Grid Corporation of India Limited</v>
      </c>
      <c r="E138" s="2" t="s">
        <v>360</v>
      </c>
      <c r="F138" s="4">
        <v>3.7</v>
      </c>
      <c r="G138" s="22">
        <v>58318</v>
      </c>
      <c r="H138" s="22">
        <v>64903</v>
      </c>
      <c r="I138" s="22">
        <v>59540</v>
      </c>
      <c r="J138" s="22">
        <v>61085</v>
      </c>
      <c r="K138" s="22">
        <v>64866</v>
      </c>
      <c r="L138" s="22">
        <v>83157</v>
      </c>
      <c r="M138" s="22">
        <v>64169</v>
      </c>
      <c r="N138" s="22">
        <v>66313</v>
      </c>
      <c r="O138" s="22">
        <v>69194</v>
      </c>
      <c r="P138" s="22">
        <v>71784</v>
      </c>
      <c r="Q138" s="22">
        <v>64021</v>
      </c>
      <c r="R138" s="22">
        <v>64093</v>
      </c>
      <c r="S138" s="22">
        <v>63218</v>
      </c>
      <c r="T138" s="22">
        <v>75999</v>
      </c>
      <c r="U138" s="22">
        <v>60163</v>
      </c>
      <c r="V138" s="22">
        <v>58906</v>
      </c>
      <c r="W138" s="25">
        <v>72715</v>
      </c>
      <c r="X138" s="6">
        <v>1.6019550312409651E-2</v>
      </c>
      <c r="Y138" s="6">
        <v>-1.443154740752106E-2</v>
      </c>
      <c r="Z138" s="6">
        <v>-1.968702675416456E-2</v>
      </c>
      <c r="AA138" s="6">
        <v>3.6769317733055702E-2</v>
      </c>
    </row>
    <row r="139" spans="2:27">
      <c r="B139" s="30" t="s">
        <v>185</v>
      </c>
      <c r="C139" s="2" t="s">
        <v>376</v>
      </c>
      <c r="D139" s="9" t="str">
        <f>VLOOKUP(B139,기업리스트!$B:$G,2,FALSE)</f>
        <v>Dr. Lal PathLabs Limited</v>
      </c>
      <c r="E139" s="2" t="s">
        <v>360</v>
      </c>
      <c r="F139" s="4">
        <v>3.1</v>
      </c>
      <c r="G139" s="22">
        <v>785</v>
      </c>
      <c r="H139" s="22">
        <v>855.08</v>
      </c>
      <c r="I139" s="22">
        <v>816</v>
      </c>
      <c r="J139" s="22">
        <v>1050</v>
      </c>
      <c r="K139" s="22">
        <v>751</v>
      </c>
      <c r="L139" s="22">
        <v>784.53</v>
      </c>
      <c r="M139" s="22">
        <v>1111</v>
      </c>
      <c r="N139" s="22">
        <v>1419</v>
      </c>
      <c r="O139" s="22">
        <v>1046</v>
      </c>
      <c r="P139" s="22">
        <v>1105</v>
      </c>
      <c r="Q139" s="22">
        <v>1353</v>
      </c>
      <c r="R139" s="22">
        <v>1672</v>
      </c>
      <c r="S139" s="22">
        <v>1185</v>
      </c>
      <c r="T139" s="22">
        <v>1383</v>
      </c>
      <c r="U139" s="22">
        <v>1577</v>
      </c>
      <c r="V139" s="22">
        <v>1836</v>
      </c>
      <c r="W139" s="25">
        <v>1372</v>
      </c>
      <c r="X139" s="6">
        <v>5.230479774223884E-2</v>
      </c>
      <c r="Y139" s="6">
        <v>4.0050062578222738E-2</v>
      </c>
      <c r="Z139" s="6">
        <v>2.8193226749183339E-2</v>
      </c>
      <c r="AA139" s="6">
        <v>3.1265674636348439E-2</v>
      </c>
    </row>
    <row r="140" spans="2:27">
      <c r="B140" s="30" t="s">
        <v>151</v>
      </c>
      <c r="C140" s="2" t="s">
        <v>376</v>
      </c>
      <c r="D140" s="9" t="str">
        <f>VLOOKUP(B140,기업리스트!$B:$G,2,FALSE)</f>
        <v>Aster DM Healthcare Limited</v>
      </c>
      <c r="E140" s="2" t="s">
        <v>360</v>
      </c>
      <c r="F140" s="4">
        <v>2.8</v>
      </c>
      <c r="G140" s="22">
        <v>2362</v>
      </c>
      <c r="H140" s="22">
        <v>2934</v>
      </c>
      <c r="I140" s="22">
        <v>1171</v>
      </c>
      <c r="J140" s="22">
        <v>1295</v>
      </c>
      <c r="K140" s="22">
        <v>2512</v>
      </c>
      <c r="L140" s="22">
        <v>0</v>
      </c>
      <c r="M140" s="23">
        <v>1703</v>
      </c>
      <c r="N140" s="23">
        <v>2045</v>
      </c>
      <c r="O140" s="23">
        <v>3326</v>
      </c>
      <c r="P140" s="22">
        <v>0</v>
      </c>
      <c r="Q140" s="22">
        <v>1031</v>
      </c>
      <c r="R140" s="22">
        <v>1575</v>
      </c>
      <c r="S140" s="22">
        <v>1270</v>
      </c>
      <c r="T140" s="23">
        <v>1291</v>
      </c>
      <c r="U140" s="22">
        <v>1441</v>
      </c>
      <c r="V140" s="22">
        <v>1837</v>
      </c>
      <c r="W140" s="25">
        <v>1436</v>
      </c>
      <c r="X140" s="7">
        <v>0.33307533539731682</v>
      </c>
      <c r="Y140" s="6">
        <v>7.9349719372943772E-2</v>
      </c>
      <c r="Z140" s="6">
        <v>4.6978662363277753E-2</v>
      </c>
      <c r="AA140" s="6">
        <v>2.8429525603699268E-2</v>
      </c>
    </row>
    <row r="141" spans="2:27">
      <c r="B141" s="30" t="s">
        <v>161</v>
      </c>
      <c r="C141" s="2" t="s">
        <v>376</v>
      </c>
      <c r="D141" s="9" t="str">
        <f>VLOOKUP(B141,기업리스트!$B:$G,2,FALSE)</f>
        <v>Motherson Sumi Wiring India Limited</v>
      </c>
      <c r="E141" s="2" t="s">
        <v>360</v>
      </c>
      <c r="F141" s="4">
        <v>1.9</v>
      </c>
      <c r="G141" s="22">
        <v>1964</v>
      </c>
      <c r="H141" s="22">
        <v>1516</v>
      </c>
      <c r="I141" s="22">
        <v>1751</v>
      </c>
      <c r="J141" s="22">
        <v>1513</v>
      </c>
      <c r="K141" s="22">
        <v>1473</v>
      </c>
      <c r="L141" s="22">
        <v>1832</v>
      </c>
      <c r="M141" s="22">
        <v>1603</v>
      </c>
      <c r="N141" s="22">
        <v>2118</v>
      </c>
      <c r="O141" s="23">
        <v>2243</v>
      </c>
      <c r="P141" s="22">
        <v>2391</v>
      </c>
      <c r="Q141" s="22">
        <v>1989</v>
      </c>
      <c r="R141" s="22">
        <v>2052</v>
      </c>
      <c r="S141" s="22">
        <v>1906</v>
      </c>
      <c r="T141" s="22">
        <v>2048</v>
      </c>
      <c r="U141" s="22">
        <v>1951</v>
      </c>
      <c r="V141" s="22">
        <v>2266</v>
      </c>
      <c r="W141" s="25">
        <v>2058</v>
      </c>
      <c r="X141" s="6">
        <v>-4.1136963300551721E-2</v>
      </c>
      <c r="Y141" s="6">
        <v>-4.7529706066291588E-3</v>
      </c>
      <c r="Z141" s="6">
        <v>2.6894558250597059E-2</v>
      </c>
      <c r="AA141" s="6">
        <v>1.8602374250397791E-2</v>
      </c>
    </row>
    <row r="142" spans="2:27">
      <c r="B142" s="30" t="s">
        <v>147</v>
      </c>
      <c r="C142" s="2" t="s">
        <v>376</v>
      </c>
      <c r="D142" s="9" t="str">
        <f>VLOOKUP(B142,기업리스트!$B:$G,2,FALSE)</f>
        <v>AIA Engineering Limited</v>
      </c>
      <c r="E142" s="2" t="s">
        <v>360</v>
      </c>
      <c r="F142" s="4">
        <v>0.5</v>
      </c>
      <c r="G142" s="22">
        <v>1363</v>
      </c>
      <c r="H142" s="22">
        <v>2048</v>
      </c>
      <c r="I142" s="22">
        <v>2264</v>
      </c>
      <c r="J142" s="22">
        <v>2874</v>
      </c>
      <c r="K142" s="23">
        <v>3413</v>
      </c>
      <c r="L142" s="22">
        <v>2925</v>
      </c>
      <c r="M142" s="22">
        <v>3188</v>
      </c>
      <c r="N142" s="22">
        <v>3576</v>
      </c>
      <c r="O142" s="22">
        <v>2842</v>
      </c>
      <c r="P142" s="22">
        <v>2749</v>
      </c>
      <c r="Q142" s="22">
        <v>2635</v>
      </c>
      <c r="R142" s="22">
        <v>2521</v>
      </c>
      <c r="S142" s="22">
        <v>2569</v>
      </c>
      <c r="T142" s="22">
        <v>2737</v>
      </c>
      <c r="U142" s="22">
        <v>2787</v>
      </c>
      <c r="V142" s="22">
        <v>2689</v>
      </c>
      <c r="W142" s="25">
        <v>2622</v>
      </c>
      <c r="X142" s="6">
        <v>-1.145694099675354E-3</v>
      </c>
      <c r="Y142" s="6">
        <v>1.452877078952408E-2</v>
      </c>
      <c r="Z142" s="6">
        <v>1.5828151498021411E-2</v>
      </c>
      <c r="AA142" s="6">
        <v>4.915600074197668E-3</v>
      </c>
    </row>
    <row r="143" spans="2:27">
      <c r="B143" s="30" t="s">
        <v>64</v>
      </c>
      <c r="C143" s="2" t="s">
        <v>376</v>
      </c>
      <c r="D143" s="9" t="str">
        <f>VLOOKUP(B143,기업리스트!$B:$G,2,FALSE)</f>
        <v>Bank of Baroda Limited</v>
      </c>
      <c r="E143" s="2" t="s">
        <v>360</v>
      </c>
      <c r="F143" s="4">
        <v>0.2</v>
      </c>
      <c r="G143" s="22">
        <v>33326</v>
      </c>
      <c r="H143" s="22">
        <v>21745</v>
      </c>
      <c r="I143" s="22">
        <v>26738</v>
      </c>
      <c r="J143" s="22">
        <v>45381</v>
      </c>
      <c r="K143" s="23">
        <v>63691</v>
      </c>
      <c r="L143" s="23">
        <v>73009</v>
      </c>
      <c r="M143" s="23">
        <v>63829</v>
      </c>
      <c r="N143" s="22">
        <v>61060</v>
      </c>
      <c r="O143" s="22">
        <v>65925</v>
      </c>
      <c r="P143" s="22">
        <v>71772</v>
      </c>
      <c r="Q143" s="22">
        <v>65231</v>
      </c>
      <c r="R143" s="22">
        <v>73837</v>
      </c>
      <c r="S143" s="22">
        <v>70678</v>
      </c>
      <c r="T143" s="22">
        <v>70504</v>
      </c>
      <c r="U143" s="22">
        <v>53350</v>
      </c>
      <c r="V143" s="22">
        <v>68053</v>
      </c>
      <c r="W143" s="25">
        <v>71172</v>
      </c>
      <c r="X143" s="6">
        <v>-4.5041524875851779E-3</v>
      </c>
      <c r="Y143" s="6">
        <v>-4.2394290811775148E-2</v>
      </c>
      <c r="Z143" s="6">
        <v>-2.155241477219794E-2</v>
      </c>
      <c r="AA143" s="6">
        <v>1.881295580478781E-3</v>
      </c>
    </row>
    <row r="144" spans="2:27">
      <c r="B144" s="30" t="s">
        <v>163</v>
      </c>
      <c r="C144" s="2" t="s">
        <v>376</v>
      </c>
      <c r="D144" s="9" t="str">
        <f>VLOOKUP(B144,기업리스트!$B:$G,2,FALSE)</f>
        <v>LIC Housing Finance Limited</v>
      </c>
      <c r="E144" s="2" t="s">
        <v>360</v>
      </c>
      <c r="F144" s="4">
        <v>-0.5</v>
      </c>
      <c r="G144" s="22">
        <v>9532</v>
      </c>
      <c r="H144" s="22">
        <v>13089</v>
      </c>
      <c r="I144" s="22">
        <v>11365</v>
      </c>
      <c r="J144" s="22">
        <v>3831</v>
      </c>
      <c r="K144" s="22">
        <v>5714</v>
      </c>
      <c r="L144" s="22">
        <v>14584</v>
      </c>
      <c r="M144" s="23">
        <v>16448</v>
      </c>
      <c r="N144" s="23">
        <v>14826</v>
      </c>
      <c r="O144" s="23">
        <v>14543</v>
      </c>
      <c r="P144" s="22">
        <v>14822</v>
      </c>
      <c r="Q144" s="22">
        <v>16332</v>
      </c>
      <c r="R144" s="22">
        <v>16637</v>
      </c>
      <c r="S144" s="22">
        <v>17978</v>
      </c>
      <c r="T144" s="22">
        <v>17817</v>
      </c>
      <c r="U144" s="22">
        <v>17043</v>
      </c>
      <c r="V144" s="22">
        <v>17030</v>
      </c>
      <c r="W144" s="25">
        <v>17616</v>
      </c>
      <c r="X144" s="6">
        <v>4.5538171478964218E-2</v>
      </c>
      <c r="Y144" s="6">
        <v>1.033971264033506E-2</v>
      </c>
      <c r="Z144" s="6">
        <v>5.6567110471392734E-3</v>
      </c>
      <c r="AA144" s="6">
        <v>-5.1811988320833446E-3</v>
      </c>
    </row>
    <row r="145" spans="2:27">
      <c r="B145" s="30" t="s">
        <v>140</v>
      </c>
      <c r="C145" s="2" t="s">
        <v>376</v>
      </c>
      <c r="D145" s="9" t="str">
        <f>VLOOKUP(B145,기업리스트!$B:$G,2,FALSE)</f>
        <v>National Aluminium Company Limited</v>
      </c>
      <c r="E145" s="2" t="s">
        <v>360</v>
      </c>
      <c r="F145" s="4">
        <v>-0.6</v>
      </c>
      <c r="G145" s="22">
        <v>10391</v>
      </c>
      <c r="H145" s="22">
        <v>15136</v>
      </c>
      <c r="I145" s="22">
        <v>7190</v>
      </c>
      <c r="J145" s="22">
        <v>1807</v>
      </c>
      <c r="K145" s="22">
        <v>3027</v>
      </c>
      <c r="L145" s="22">
        <v>6437</v>
      </c>
      <c r="M145" s="22">
        <v>4247</v>
      </c>
      <c r="N145" s="22">
        <v>2104</v>
      </c>
      <c r="O145" s="23">
        <v>6193</v>
      </c>
      <c r="P145" s="23">
        <v>8748</v>
      </c>
      <c r="Q145" s="23">
        <v>7599</v>
      </c>
      <c r="R145" s="23">
        <v>13692</v>
      </c>
      <c r="S145" s="23">
        <v>20419</v>
      </c>
      <c r="T145" s="23">
        <v>27022</v>
      </c>
      <c r="U145" s="22">
        <v>13132</v>
      </c>
      <c r="V145" s="22">
        <v>17450</v>
      </c>
      <c r="W145" s="25">
        <v>19942</v>
      </c>
      <c r="X145" s="7">
        <v>0.36216259066946771</v>
      </c>
      <c r="Y145" s="6">
        <v>8.0501076645521641E-2</v>
      </c>
      <c r="Z145" s="6">
        <v>5.0602571871002588E-2</v>
      </c>
      <c r="AA145" s="6">
        <v>-6.1135818925188712E-3</v>
      </c>
    </row>
    <row r="146" spans="2:27">
      <c r="B146" s="30" t="s">
        <v>257</v>
      </c>
      <c r="C146" s="2" t="s">
        <v>376</v>
      </c>
      <c r="D146" s="9" t="str">
        <f>VLOOKUP(B146,기업리스트!$B:$G,2,FALSE)</f>
        <v>Clean Science and Technology Limited</v>
      </c>
      <c r="E146" s="2" t="s">
        <v>360</v>
      </c>
      <c r="F146" s="4">
        <v>-5.5</v>
      </c>
      <c r="G146" s="22">
        <v>701.26</v>
      </c>
      <c r="H146" s="22">
        <v>766.81</v>
      </c>
      <c r="I146" s="22">
        <v>828.67</v>
      </c>
      <c r="J146" s="22">
        <v>887.99</v>
      </c>
      <c r="K146" s="22">
        <v>993.18</v>
      </c>
      <c r="L146" s="22">
        <v>951.03</v>
      </c>
      <c r="M146" s="22">
        <v>653.29999999999995</v>
      </c>
      <c r="N146" s="22">
        <v>637.04</v>
      </c>
      <c r="O146" s="22">
        <v>752.99</v>
      </c>
      <c r="P146" s="22">
        <v>818.06</v>
      </c>
      <c r="Q146" s="22">
        <v>788.79</v>
      </c>
      <c r="R146" s="22">
        <v>721.78</v>
      </c>
      <c r="S146" s="22">
        <v>801.66</v>
      </c>
      <c r="T146" s="22">
        <v>873.64</v>
      </c>
      <c r="U146" s="22">
        <v>811.93</v>
      </c>
      <c r="V146" s="22">
        <v>682.61</v>
      </c>
      <c r="W146" s="25">
        <v>627.37</v>
      </c>
      <c r="X146" s="6">
        <v>1.7755543416105191E-2</v>
      </c>
      <c r="Y146" s="6">
        <v>7.2633221066773501E-3</v>
      </c>
      <c r="Z146" s="6">
        <v>-1.2206256758314771E-2</v>
      </c>
      <c r="AA146" s="6">
        <v>-5.4983847765186833E-2</v>
      </c>
    </row>
    <row r="147" spans="2:27">
      <c r="B147" s="30" t="s">
        <v>220</v>
      </c>
      <c r="C147" s="2" t="s">
        <v>376</v>
      </c>
      <c r="D147" s="9" t="str">
        <f>VLOOKUP(B147,기업리스트!$B:$G,2,FALSE)</f>
        <v>Intellect Design Arena Limited</v>
      </c>
      <c r="E147" s="2" t="s">
        <v>360</v>
      </c>
      <c r="F147" s="4">
        <v>-7.3</v>
      </c>
      <c r="G147" s="22">
        <v>1083</v>
      </c>
      <c r="H147" s="22">
        <v>941.22</v>
      </c>
      <c r="I147" s="22">
        <v>889.21</v>
      </c>
      <c r="J147" s="22">
        <v>545.16</v>
      </c>
      <c r="K147" s="22">
        <v>656.29</v>
      </c>
      <c r="L147" s="22">
        <v>1048</v>
      </c>
      <c r="M147" s="22">
        <v>1137</v>
      </c>
      <c r="N147" s="22">
        <v>881.29</v>
      </c>
      <c r="O147" s="22">
        <v>966.76</v>
      </c>
      <c r="P147" s="22">
        <v>1037</v>
      </c>
      <c r="Q147" s="22">
        <v>841.79</v>
      </c>
      <c r="R147" s="22">
        <v>421.85</v>
      </c>
      <c r="S147" s="22">
        <v>791.16</v>
      </c>
      <c r="T147" s="23">
        <v>1628</v>
      </c>
      <c r="U147" s="22">
        <v>952.05</v>
      </c>
      <c r="V147" s="23">
        <v>1047</v>
      </c>
      <c r="W147" s="25">
        <v>470.39</v>
      </c>
      <c r="X147" s="7">
        <v>0.19115078594993201</v>
      </c>
      <c r="Y147" s="6">
        <v>2.99391767133701E-2</v>
      </c>
      <c r="Z147" s="7">
        <v>0.16481416059856691</v>
      </c>
      <c r="AA147" s="6">
        <v>-7.2601800276582695E-2</v>
      </c>
    </row>
    <row r="148" spans="2:27">
      <c r="B148" s="30" t="s">
        <v>78</v>
      </c>
      <c r="C148" s="2" t="s">
        <v>376</v>
      </c>
      <c r="D148" s="9" t="str">
        <f>VLOOKUP(B148,기업리스트!$B:$G,2,FALSE)</f>
        <v>Jindal Steel Limited</v>
      </c>
      <c r="E148" s="2" t="s">
        <v>360</v>
      </c>
      <c r="F148" s="4">
        <v>-12.8</v>
      </c>
      <c r="G148" s="22">
        <v>26968</v>
      </c>
      <c r="H148" s="22">
        <v>26538</v>
      </c>
      <c r="I148" s="22">
        <v>28426</v>
      </c>
      <c r="J148" s="22">
        <v>13171</v>
      </c>
      <c r="K148" s="22">
        <v>17698</v>
      </c>
      <c r="L148" s="22">
        <v>11720</v>
      </c>
      <c r="M148" s="22">
        <v>20405</v>
      </c>
      <c r="N148" s="22">
        <v>16820</v>
      </c>
      <c r="O148" s="22">
        <v>22069</v>
      </c>
      <c r="P148" s="22">
        <v>14044</v>
      </c>
      <c r="Q148" s="22">
        <v>21564</v>
      </c>
      <c r="R148" s="22">
        <v>15043</v>
      </c>
      <c r="S148" s="22">
        <v>14858</v>
      </c>
      <c r="T148" s="22">
        <v>2987</v>
      </c>
      <c r="U148" s="22">
        <v>22841</v>
      </c>
      <c r="V148" s="22">
        <v>13316</v>
      </c>
      <c r="W148" s="25">
        <v>7951</v>
      </c>
      <c r="X148" s="6">
        <v>-0.1687859683402281</v>
      </c>
      <c r="Y148" s="6">
        <v>2.3451847498714429E-2</v>
      </c>
      <c r="Z148" s="6">
        <v>-3.0989251556640118E-2</v>
      </c>
      <c r="AA148" s="6">
        <v>-0.1279026702714714</v>
      </c>
    </row>
    <row r="149" spans="2:27" hidden="1">
      <c r="B149" s="2" t="s">
        <v>176</v>
      </c>
      <c r="C149" s="2" t="s">
        <v>351</v>
      </c>
      <c r="D149" s="2" t="s">
        <v>380</v>
      </c>
      <c r="E149" s="2" t="s">
        <v>378</v>
      </c>
      <c r="F149" s="4">
        <v>13.8</v>
      </c>
      <c r="G149" s="3">
        <v>22.4</v>
      </c>
      <c r="H149" s="3">
        <v>53.1</v>
      </c>
      <c r="I149" s="3">
        <v>28.9</v>
      </c>
      <c r="J149" s="3">
        <v>-1.7</v>
      </c>
      <c r="K149" s="3">
        <v>28.7</v>
      </c>
      <c r="L149" s="3">
        <v>-15.2</v>
      </c>
      <c r="M149" s="3">
        <v>14.8</v>
      </c>
      <c r="N149" s="3">
        <v>-8.6999999999999993</v>
      </c>
      <c r="O149" s="3">
        <v>21.1</v>
      </c>
      <c r="P149" s="5">
        <v>55.8</v>
      </c>
      <c r="Q149" s="5">
        <v>41.7</v>
      </c>
      <c r="R149" s="5">
        <v>13.3</v>
      </c>
      <c r="S149" s="5">
        <v>51.4</v>
      </c>
      <c r="T149" s="3">
        <v>56.8</v>
      </c>
      <c r="U149" s="3">
        <v>56.4</v>
      </c>
      <c r="V149" s="5">
        <v>45.1</v>
      </c>
      <c r="W149" s="5">
        <v>80.400000000000006</v>
      </c>
      <c r="X149" s="6">
        <v>6.1652281134401132E-3</v>
      </c>
      <c r="Y149" s="6">
        <v>9.0073529411764719E-2</v>
      </c>
      <c r="Z149" s="7">
        <v>0.17875210792580101</v>
      </c>
      <c r="AA149" s="7">
        <v>0.1382927992370053</v>
      </c>
    </row>
    <row r="150" spans="2:27" hidden="1">
      <c r="B150" s="2" t="s">
        <v>74</v>
      </c>
      <c r="C150" s="2" t="s">
        <v>351</v>
      </c>
      <c r="D150" s="2" t="s">
        <v>379</v>
      </c>
      <c r="E150" s="2" t="s">
        <v>378</v>
      </c>
      <c r="F150" s="4">
        <v>13.5</v>
      </c>
      <c r="G150" s="3">
        <v>-480.26</v>
      </c>
      <c r="H150" s="3">
        <v>64.599999999999994</v>
      </c>
      <c r="I150" s="3">
        <v>-135.85</v>
      </c>
      <c r="J150" s="3">
        <v>-203.71</v>
      </c>
      <c r="K150" s="3">
        <v>59.16</v>
      </c>
      <c r="L150" s="3">
        <v>157.44999999999999</v>
      </c>
      <c r="M150" s="3">
        <v>243.35</v>
      </c>
      <c r="N150" s="5">
        <v>227.07</v>
      </c>
      <c r="O150" s="5">
        <v>324.94</v>
      </c>
      <c r="P150" s="5">
        <v>282.81</v>
      </c>
      <c r="Q150" s="5">
        <v>394.33</v>
      </c>
      <c r="R150" s="3">
        <v>260.39999999999998</v>
      </c>
      <c r="S150" s="3">
        <v>435.82</v>
      </c>
      <c r="T150" s="5">
        <v>450.5</v>
      </c>
      <c r="U150" s="5">
        <v>558.29999999999995</v>
      </c>
      <c r="V150" s="5">
        <v>431.58</v>
      </c>
      <c r="W150" s="5">
        <v>689.15</v>
      </c>
      <c r="X150" s="7">
        <v>0.122101998019456</v>
      </c>
      <c r="Y150" s="7">
        <v>0.1064014795107233</v>
      </c>
      <c r="Z150" s="7">
        <v>0.1003976492944363</v>
      </c>
      <c r="AA150" s="7">
        <v>0.13502291866538749</v>
      </c>
    </row>
    <row r="151" spans="2:27" hidden="1">
      <c r="B151" s="2" t="s">
        <v>61</v>
      </c>
      <c r="C151" s="2" t="s">
        <v>351</v>
      </c>
      <c r="D151" s="2" t="s">
        <v>365</v>
      </c>
      <c r="E151" s="2" t="s">
        <v>378</v>
      </c>
      <c r="F151" s="4">
        <v>-23.6</v>
      </c>
      <c r="G151" s="3">
        <v>2233</v>
      </c>
      <c r="H151" s="3">
        <v>1544</v>
      </c>
      <c r="I151" s="3">
        <v>1653</v>
      </c>
      <c r="J151" s="3">
        <v>2109</v>
      </c>
      <c r="K151" s="3">
        <v>800</v>
      </c>
      <c r="L151" s="3">
        <v>596</v>
      </c>
      <c r="M151" s="3">
        <v>962</v>
      </c>
      <c r="N151" s="3">
        <v>1009</v>
      </c>
      <c r="O151" s="3">
        <v>1036</v>
      </c>
      <c r="P151" s="3">
        <v>555</v>
      </c>
      <c r="Q151" s="3">
        <v>647</v>
      </c>
      <c r="R151" s="3">
        <v>995</v>
      </c>
      <c r="S151" s="3">
        <v>865</v>
      </c>
      <c r="T151" s="3">
        <v>280</v>
      </c>
      <c r="U151" s="3">
        <v>227</v>
      </c>
      <c r="V151" s="3">
        <v>313</v>
      </c>
      <c r="W151" s="3">
        <v>467</v>
      </c>
      <c r="X151" s="6">
        <v>-8.9810581319399119E-2</v>
      </c>
      <c r="Y151" s="6">
        <v>-0.15069967707212051</v>
      </c>
      <c r="Z151" s="6">
        <v>-0.28812843261512472</v>
      </c>
      <c r="AA151" s="6">
        <v>-0.2362017804154303</v>
      </c>
    </row>
    <row r="152" spans="2:27" hidden="1">
      <c r="B152" s="2" t="s">
        <v>29</v>
      </c>
      <c r="C152" s="2" t="s">
        <v>351</v>
      </c>
      <c r="D152" s="2" t="s">
        <v>377</v>
      </c>
      <c r="E152" s="2" t="s">
        <v>378</v>
      </c>
      <c r="F152" s="4">
        <v>-79.5</v>
      </c>
      <c r="G152" s="3">
        <v>-138.63</v>
      </c>
      <c r="H152" s="3">
        <v>154.63999999999999</v>
      </c>
      <c r="I152" s="3">
        <v>1.32</v>
      </c>
      <c r="J152" s="3">
        <v>162.84</v>
      </c>
      <c r="K152" s="5">
        <v>176.08</v>
      </c>
      <c r="L152" s="5">
        <v>246.61</v>
      </c>
      <c r="M152" s="5">
        <v>275.89999999999998</v>
      </c>
      <c r="N152" s="3">
        <v>210.13</v>
      </c>
      <c r="O152" s="3">
        <v>123.72</v>
      </c>
      <c r="P152" s="3">
        <v>161.25</v>
      </c>
      <c r="Q152" s="3">
        <v>113.56</v>
      </c>
      <c r="R152" s="3">
        <v>67.45</v>
      </c>
      <c r="S152" s="3">
        <v>112.82</v>
      </c>
      <c r="T152" s="3">
        <v>94.81</v>
      </c>
      <c r="U152" s="3">
        <v>-16.75</v>
      </c>
      <c r="V152" s="3">
        <v>-25.79</v>
      </c>
      <c r="W152" s="3">
        <v>-18.37</v>
      </c>
      <c r="X152" s="6">
        <v>-0.14599630834139049</v>
      </c>
      <c r="Y152" s="6">
        <v>-0.33529744750926299</v>
      </c>
      <c r="Z152" s="6">
        <v>-0.36093368946696081</v>
      </c>
      <c r="AA152" s="6">
        <v>-0.79465745956750866</v>
      </c>
    </row>
    <row r="153" spans="2:27" hidden="1">
      <c r="B153" s="2" t="s">
        <v>230</v>
      </c>
      <c r="C153" s="2" t="s">
        <v>374</v>
      </c>
      <c r="D153" s="2" t="s">
        <v>375</v>
      </c>
      <c r="E153" s="2" t="s">
        <v>378</v>
      </c>
      <c r="F153" s="4">
        <v>2.6</v>
      </c>
      <c r="G153" s="3">
        <v>-3158</v>
      </c>
      <c r="H153" s="3">
        <v>1129</v>
      </c>
      <c r="I153" s="3">
        <v>98</v>
      </c>
      <c r="J153" s="3">
        <v>-2254</v>
      </c>
      <c r="K153" s="3">
        <v>633</v>
      </c>
      <c r="L153" s="3">
        <v>6456</v>
      </c>
      <c r="M153" s="5">
        <v>11725</v>
      </c>
      <c r="N153" s="5">
        <v>6586</v>
      </c>
      <c r="O153" s="5">
        <v>5602</v>
      </c>
      <c r="P153" s="5">
        <v>12268</v>
      </c>
      <c r="Q153" s="3">
        <v>9521</v>
      </c>
      <c r="R153" s="3">
        <v>8380</v>
      </c>
      <c r="S153" s="3">
        <v>8665</v>
      </c>
      <c r="T153" s="3">
        <v>15384</v>
      </c>
      <c r="U153" s="3">
        <v>10230</v>
      </c>
      <c r="V153" s="3">
        <v>9604</v>
      </c>
      <c r="W153" s="3">
        <v>9785</v>
      </c>
      <c r="X153" s="6">
        <v>8.0238965854663391E-2</v>
      </c>
      <c r="Y153" s="6">
        <v>1.690107270560182E-2</v>
      </c>
      <c r="Z153" s="6">
        <v>2.8692655711573201E-2</v>
      </c>
      <c r="AA153" s="6">
        <v>2.5522411867921591E-2</v>
      </c>
    </row>
    <row r="154" spans="2:27" hidden="1">
      <c r="B154" s="2" t="s">
        <v>268</v>
      </c>
      <c r="C154" s="2" t="s">
        <v>381</v>
      </c>
      <c r="D154" s="2" t="s">
        <v>382</v>
      </c>
      <c r="E154" s="2" t="s">
        <v>383</v>
      </c>
      <c r="F154" s="4">
        <v>31.6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3">
        <v>3.12</v>
      </c>
      <c r="T154" s="3">
        <v>10.11</v>
      </c>
      <c r="U154" s="3">
        <v>10.47</v>
      </c>
      <c r="V154" s="3">
        <v>9.5399999999999991</v>
      </c>
      <c r="W154" s="5">
        <v>13.61</v>
      </c>
      <c r="X154" s="2"/>
      <c r="Y154" s="2"/>
      <c r="Z154" s="2"/>
      <c r="AA154" s="7">
        <v>0.31558363417569169</v>
      </c>
    </row>
    <row r="155" spans="2:27">
      <c r="B155" s="31" t="s">
        <v>169</v>
      </c>
      <c r="C155" s="12" t="s">
        <v>384</v>
      </c>
      <c r="D155" s="13" t="str">
        <f>VLOOKUP(B155,기업리스트!$B:$G,2,FALSE)</f>
        <v>Société Anonyme des Bains de Mer et du Cercle des Étrangers à Monaco</v>
      </c>
      <c r="E155" s="2" t="s">
        <v>385</v>
      </c>
      <c r="F155" s="21">
        <v>10.8</v>
      </c>
      <c r="G155" s="26"/>
      <c r="H155" s="26"/>
      <c r="I155" s="26"/>
      <c r="J155" s="26"/>
      <c r="K155" s="26"/>
      <c r="L155" s="26"/>
      <c r="M155" s="26"/>
      <c r="N155" s="26">
        <v>-34.869999999999997</v>
      </c>
      <c r="O155" s="26">
        <v>50.23</v>
      </c>
      <c r="P155" s="26">
        <v>-13.48</v>
      </c>
      <c r="Q155" s="26">
        <v>92.12</v>
      </c>
      <c r="R155" s="27">
        <v>-19.850000000000001</v>
      </c>
      <c r="S155" s="27">
        <v>89.23</v>
      </c>
      <c r="T155" s="26">
        <v>-16.02</v>
      </c>
      <c r="U155" s="26">
        <v>93.98</v>
      </c>
      <c r="V155" s="26">
        <v>-18.84</v>
      </c>
      <c r="W155" s="28">
        <v>105.32</v>
      </c>
      <c r="X155" s="18">
        <v>-1.7159843264423661E-2</v>
      </c>
      <c r="Y155" s="18">
        <v>1.2785262579048551E-2</v>
      </c>
      <c r="Z155" s="18">
        <v>6.8548934437357989E-3</v>
      </c>
      <c r="AA155" s="19">
        <v>0.10845972362655849</v>
      </c>
    </row>
  </sheetData>
  <autoFilter ref="B2:AA155" xr:uid="{00000000-0009-0000-0000-000002000000}">
    <filterColumn colId="3">
      <filters>
        <filter val="Dec'25"/>
        <filter val="H1 2026"/>
        <filter val="Jun'26"/>
        <filter val="Mar'26"/>
        <filter val="Sep'26"/>
      </filters>
    </filterColumn>
    <sortState xmlns:xlrd2="http://schemas.microsoft.com/office/spreadsheetml/2017/richdata2" ref="B3:AA155">
      <sortCondition descending="1" ref="C2:C155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19"/>
  <sheetViews>
    <sheetView tabSelected="1" workbookViewId="0">
      <selection activeCell="Y15" sqref="Y15"/>
    </sheetView>
  </sheetViews>
  <sheetFormatPr defaultRowHeight="16.5"/>
  <cols>
    <col min="1" max="1" width="3" customWidth="1"/>
    <col min="2" max="2" width="18.5" customWidth="1"/>
    <col min="3" max="7" width="10.25" hidden="1" customWidth="1"/>
    <col min="8" max="19" width="10.25" customWidth="1"/>
  </cols>
  <sheetData>
    <row r="2" spans="2:25">
      <c r="B2" s="30" t="s">
        <v>386</v>
      </c>
    </row>
    <row r="3" spans="2:25">
      <c r="Y3" s="45"/>
    </row>
    <row r="4" spans="2:25">
      <c r="B4" s="32">
        <v>8341</v>
      </c>
      <c r="C4" s="33">
        <v>6</v>
      </c>
      <c r="D4" s="33">
        <v>7</v>
      </c>
      <c r="E4" s="33">
        <v>8</v>
      </c>
      <c r="F4" s="33">
        <v>9</v>
      </c>
      <c r="G4" s="33">
        <v>10</v>
      </c>
      <c r="H4" s="33">
        <v>11</v>
      </c>
      <c r="I4" s="33">
        <v>12</v>
      </c>
      <c r="J4" s="33">
        <v>13</v>
      </c>
      <c r="K4" s="33">
        <v>14</v>
      </c>
      <c r="L4" s="33">
        <v>15</v>
      </c>
      <c r="M4" s="33">
        <v>16</v>
      </c>
      <c r="N4" s="33">
        <v>17</v>
      </c>
      <c r="O4" s="33">
        <v>18</v>
      </c>
      <c r="P4" s="33">
        <v>19</v>
      </c>
      <c r="Q4" s="33">
        <v>20</v>
      </c>
      <c r="R4" s="33">
        <v>21</v>
      </c>
      <c r="S4" s="33">
        <v>22</v>
      </c>
      <c r="Y4" s="30"/>
    </row>
    <row r="5" spans="2:25">
      <c r="Y5" s="30"/>
    </row>
    <row r="6" spans="2:25">
      <c r="B6" s="35"/>
      <c r="C6" s="38" t="s">
        <v>334</v>
      </c>
      <c r="D6" s="38" t="s">
        <v>335</v>
      </c>
      <c r="E6" s="38" t="s">
        <v>336</v>
      </c>
      <c r="F6" s="38" t="s">
        <v>337</v>
      </c>
      <c r="G6" s="38" t="s">
        <v>338</v>
      </c>
      <c r="H6" s="38" t="s">
        <v>339</v>
      </c>
      <c r="I6" s="38" t="s">
        <v>340</v>
      </c>
      <c r="J6" s="38" t="s">
        <v>341</v>
      </c>
      <c r="K6" s="38" t="s">
        <v>342</v>
      </c>
      <c r="L6" s="38" t="s">
        <v>343</v>
      </c>
      <c r="M6" s="38" t="s">
        <v>344</v>
      </c>
      <c r="N6" s="38" t="s">
        <v>345</v>
      </c>
      <c r="O6" s="38" t="s">
        <v>346</v>
      </c>
      <c r="P6" s="38" t="s">
        <v>347</v>
      </c>
      <c r="Q6" s="38" t="s">
        <v>348</v>
      </c>
      <c r="R6" s="38" t="s">
        <v>349</v>
      </c>
      <c r="S6" s="39" t="s">
        <v>350</v>
      </c>
      <c r="T6" s="38" t="s">
        <v>395</v>
      </c>
      <c r="U6" s="38" t="s">
        <v>396</v>
      </c>
      <c r="V6" s="39" t="s">
        <v>397</v>
      </c>
      <c r="W6" s="38" t="s">
        <v>398</v>
      </c>
      <c r="Y6" s="30"/>
    </row>
    <row r="7" spans="2:25">
      <c r="B7" s="36" t="s">
        <v>387</v>
      </c>
      <c r="C7" s="34">
        <f>IFERROR(VLOOKUP($B$4,Revenue!$B$2:$X$500,C$4,FALSE),"-")</f>
        <v>27470</v>
      </c>
      <c r="D7" s="34">
        <f>IFERROR(VLOOKUP($B$4,Revenue!$B$2:$X$500,D$4,FALSE),"-")</f>
        <v>26921</v>
      </c>
      <c r="E7" s="34">
        <f>IFERROR(VLOOKUP($B$4,Revenue!$B$2:$X$500,E$4,FALSE),"-")</f>
        <v>30911</v>
      </c>
      <c r="F7" s="34">
        <f>IFERROR(VLOOKUP($B$4,Revenue!$B$2:$X$500,F$4,FALSE),"-")</f>
        <v>27118</v>
      </c>
      <c r="G7" s="34">
        <f>IFERROR(VLOOKUP($B$4,Revenue!$B$2:$X$500,G$4,FALSE),"-")</f>
        <v>30476</v>
      </c>
      <c r="H7" s="42">
        <f>IFERROR(VLOOKUP($B$4,Revenue!$B$2:$X$500,H$4,FALSE),"-")</f>
        <v>31502</v>
      </c>
      <c r="I7" s="42">
        <f>IFERROR(VLOOKUP($B$4,Revenue!$B$2:$X$500,I$4,FALSE),"-")</f>
        <v>36678</v>
      </c>
      <c r="J7" s="42">
        <f>IFERROR(VLOOKUP($B$4,Revenue!$B$2:$X$500,J$4,FALSE),"-")</f>
        <v>35841</v>
      </c>
      <c r="K7" s="42">
        <f>IFERROR(VLOOKUP($B$4,Revenue!$B$2:$X$500,K$4,FALSE),"-")</f>
        <v>32103</v>
      </c>
      <c r="L7" s="42">
        <f>IFERROR(VLOOKUP($B$4,Revenue!$B$2:$X$500,L$4,FALSE),"-")</f>
        <v>40464</v>
      </c>
      <c r="M7" s="42">
        <f>IFERROR(VLOOKUP($B$4,Revenue!$B$2:$X$500,M$4,FALSE),"-")</f>
        <v>43379</v>
      </c>
      <c r="N7" s="42">
        <f>IFERROR(VLOOKUP($B$4,Revenue!$B$2:$X$500,N$4,FALSE),"-")</f>
        <v>38316</v>
      </c>
      <c r="O7" s="42">
        <f>IFERROR(VLOOKUP($B$4,Revenue!$B$2:$X$500,O$4,FALSE),"-")</f>
        <v>40171</v>
      </c>
      <c r="P7" s="42">
        <f>IFERROR(VLOOKUP($B$4,Revenue!$B$2:$X$500,P$4,FALSE),"-")</f>
        <v>42126</v>
      </c>
      <c r="Q7" s="42">
        <f>IFERROR(VLOOKUP($B$4,Revenue!$B$2:$X$500,Q$4,FALSE),"-")</f>
        <v>40982</v>
      </c>
      <c r="R7" s="42">
        <f>IFERROR(VLOOKUP($B$4,Revenue!$B$2:$X$500,R$4,FALSE),"-")</f>
        <v>44774</v>
      </c>
      <c r="S7" s="43">
        <f>IFERROR(VLOOKUP($B$4,Revenue!$B$2:$X$500,S$4,FALSE),"-")</f>
        <v>49467</v>
      </c>
      <c r="Y7" s="30"/>
    </row>
    <row r="8" spans="2:25">
      <c r="B8" s="36" t="s">
        <v>388</v>
      </c>
      <c r="C8" s="34">
        <f>IFERROR(VLOOKUP($B$4,'Operating Income'!$B$2:$X$500,C$4,FALSE),"-")</f>
        <v>7952</v>
      </c>
      <c r="D8" s="34">
        <f>IFERROR(VLOOKUP($B$4,'Operating Income'!$B$2:$X$500,D$4,FALSE),"-")</f>
        <v>6495</v>
      </c>
      <c r="E8" s="34">
        <f>IFERROR(VLOOKUP($B$4,'Operating Income'!$B$2:$X$500,E$4,FALSE),"-")</f>
        <v>11640</v>
      </c>
      <c r="F8" s="34">
        <f>IFERROR(VLOOKUP($B$4,'Operating Income'!$B$2:$X$500,F$4,FALSE),"-")</f>
        <v>7840</v>
      </c>
      <c r="G8" s="34">
        <f>IFERROR(VLOOKUP($B$4,'Operating Income'!$B$2:$X$500,G$4,FALSE),"-")</f>
        <v>9468</v>
      </c>
      <c r="H8" s="42">
        <f>IFERROR(VLOOKUP($B$4,'Operating Income'!$B$2:$X$500,H$4,FALSE),"-")</f>
        <v>6463</v>
      </c>
      <c r="I8" s="42">
        <f>IFERROR(VLOOKUP($B$4,'Operating Income'!$B$2:$X$500,I$4,FALSE),"-")</f>
        <v>12564</v>
      </c>
      <c r="J8" s="42">
        <f>IFERROR(VLOOKUP($B$4,'Operating Income'!$B$2:$X$500,J$4,FALSE),"-")</f>
        <v>12810</v>
      </c>
      <c r="K8" s="42">
        <f>IFERROR(VLOOKUP($B$4,'Operating Income'!$B$2:$X$500,K$4,FALSE),"-")</f>
        <v>10642</v>
      </c>
      <c r="L8" s="42">
        <f>IFERROR(VLOOKUP($B$4,'Operating Income'!$B$2:$X$500,L$4,FALSE),"-")</f>
        <v>8190</v>
      </c>
      <c r="M8" s="42">
        <f>IFERROR(VLOOKUP($B$4,'Operating Income'!$B$2:$X$500,M$4,FALSE),"-")</f>
        <v>16521</v>
      </c>
      <c r="N8" s="42">
        <f>IFERROR(VLOOKUP($B$4,'Operating Income'!$B$2:$X$500,N$4,FALSE),"-")</f>
        <v>12161</v>
      </c>
      <c r="O8" s="42">
        <f>IFERROR(VLOOKUP($B$4,'Operating Income'!$B$2:$X$500,O$4,FALSE),"-")</f>
        <v>16111</v>
      </c>
      <c r="P8" s="42">
        <f>IFERROR(VLOOKUP($B$4,'Operating Income'!$B$2:$X$500,P$4,FALSE),"-")</f>
        <v>11470</v>
      </c>
      <c r="Q8" s="42">
        <f>IFERROR(VLOOKUP($B$4,'Operating Income'!$B$2:$X$500,Q$4,FALSE),"-")</f>
        <v>17645</v>
      </c>
      <c r="R8" s="42">
        <f>IFERROR(VLOOKUP($B$4,'Operating Income'!$B$2:$X$500,R$4,FALSE),"-")</f>
        <v>17477</v>
      </c>
      <c r="S8" s="43">
        <f>IFERROR(VLOOKUP($B$4,'Operating Income'!$B$2:$X$500,S$4,FALSE),"-")</f>
        <v>22551</v>
      </c>
      <c r="Y8" s="30"/>
    </row>
    <row r="9" spans="2:25">
      <c r="B9" s="36" t="s">
        <v>389</v>
      </c>
      <c r="C9" s="34">
        <f>IFERROR(AVERAGE(C8:C8),"-")</f>
        <v>7952</v>
      </c>
      <c r="D9" s="34">
        <f>IFERROR(AVERAGE(C8:D8),"-")</f>
        <v>7223.5</v>
      </c>
      <c r="E9" s="34">
        <f>IFERROR(AVERAGE(C8:E8),"-")</f>
        <v>8695.6666666666661</v>
      </c>
      <c r="F9" s="34">
        <f t="shared" ref="F9:S9" si="0">IFERROR(AVERAGE(C8:F8),"-")</f>
        <v>8481.75</v>
      </c>
      <c r="G9" s="34">
        <f t="shared" si="0"/>
        <v>8860.75</v>
      </c>
      <c r="H9" s="42">
        <f t="shared" si="0"/>
        <v>8852.75</v>
      </c>
      <c r="I9" s="42">
        <f t="shared" si="0"/>
        <v>9083.75</v>
      </c>
      <c r="J9" s="42">
        <f t="shared" si="0"/>
        <v>10326.25</v>
      </c>
      <c r="K9" s="42">
        <f t="shared" si="0"/>
        <v>10619.75</v>
      </c>
      <c r="L9" s="42">
        <f t="shared" si="0"/>
        <v>11051.5</v>
      </c>
      <c r="M9" s="42">
        <f t="shared" si="0"/>
        <v>12040.75</v>
      </c>
      <c r="N9" s="42">
        <f t="shared" si="0"/>
        <v>11878.5</v>
      </c>
      <c r="O9" s="42">
        <f t="shared" si="0"/>
        <v>13245.75</v>
      </c>
      <c r="P9" s="42">
        <f t="shared" si="0"/>
        <v>14065.75</v>
      </c>
      <c r="Q9" s="42">
        <f t="shared" si="0"/>
        <v>14346.75</v>
      </c>
      <c r="R9" s="42">
        <f t="shared" si="0"/>
        <v>15675.75</v>
      </c>
      <c r="S9" s="43">
        <f t="shared" si="0"/>
        <v>17285.75</v>
      </c>
      <c r="Y9" s="30"/>
    </row>
    <row r="10" spans="2:25">
      <c r="B10" s="36" t="s">
        <v>390</v>
      </c>
      <c r="C10" s="34">
        <f>IFERROR(SUM(C8:C8),"-")</f>
        <v>7952</v>
      </c>
      <c r="D10" s="34">
        <f>IFERROR(SUM(C8:D8),"-")</f>
        <v>14447</v>
      </c>
      <c r="E10" s="34">
        <f>IFERROR(SUM(C8:E8),"-")</f>
        <v>26087</v>
      </c>
      <c r="F10" s="34">
        <f t="shared" ref="F10:S10" si="1">IFERROR(SUM(C8:F8),"-")</f>
        <v>33927</v>
      </c>
      <c r="G10" s="34">
        <f t="shared" si="1"/>
        <v>35443</v>
      </c>
      <c r="H10" s="42">
        <f t="shared" si="1"/>
        <v>35411</v>
      </c>
      <c r="I10" s="42">
        <f t="shared" si="1"/>
        <v>36335</v>
      </c>
      <c r="J10" s="42">
        <f t="shared" si="1"/>
        <v>41305</v>
      </c>
      <c r="K10" s="42">
        <f t="shared" si="1"/>
        <v>42479</v>
      </c>
      <c r="L10" s="42">
        <f t="shared" si="1"/>
        <v>44206</v>
      </c>
      <c r="M10" s="42">
        <f t="shared" si="1"/>
        <v>48163</v>
      </c>
      <c r="N10" s="42">
        <f t="shared" si="1"/>
        <v>47514</v>
      </c>
      <c r="O10" s="42">
        <f t="shared" si="1"/>
        <v>52983</v>
      </c>
      <c r="P10" s="42">
        <f t="shared" si="1"/>
        <v>56263</v>
      </c>
      <c r="Q10" s="42">
        <f t="shared" si="1"/>
        <v>57387</v>
      </c>
      <c r="R10" s="42">
        <f t="shared" si="1"/>
        <v>62703</v>
      </c>
      <c r="S10" s="43">
        <f t="shared" si="1"/>
        <v>69143</v>
      </c>
      <c r="Y10" s="30"/>
    </row>
    <row r="11" spans="2:25">
      <c r="B11" s="36" t="s">
        <v>391</v>
      </c>
      <c r="D11" s="8">
        <f t="shared" ref="D11:S11" si="2">IFERROR(D9/C9-1,"-")</f>
        <v>-9.1612173038229328E-2</v>
      </c>
      <c r="E11" s="8">
        <f t="shared" si="2"/>
        <v>0.20380240419002793</v>
      </c>
      <c r="F11" s="8">
        <f t="shared" si="2"/>
        <v>-2.4600375666040453E-2</v>
      </c>
      <c r="G11" s="8">
        <f t="shared" si="2"/>
        <v>4.4684174845992963E-2</v>
      </c>
      <c r="H11" s="8">
        <f t="shared" si="2"/>
        <v>-9.0285811020507367E-4</v>
      </c>
      <c r="I11" s="8">
        <f t="shared" si="2"/>
        <v>2.6093586738584085E-2</v>
      </c>
      <c r="J11" s="8">
        <f t="shared" si="2"/>
        <v>0.1367827163891564</v>
      </c>
      <c r="K11" s="8">
        <f t="shared" si="2"/>
        <v>2.8422709115119238E-2</v>
      </c>
      <c r="L11" s="8">
        <f t="shared" si="2"/>
        <v>4.0655382659667172E-2</v>
      </c>
      <c r="M11" s="8">
        <f t="shared" si="2"/>
        <v>8.9512735827715684E-2</v>
      </c>
      <c r="N11" s="8">
        <f t="shared" si="2"/>
        <v>-1.3475074227103812E-2</v>
      </c>
      <c r="O11" s="8">
        <f t="shared" si="2"/>
        <v>0.1151029170349791</v>
      </c>
      <c r="P11" s="8">
        <f t="shared" si="2"/>
        <v>6.1906649302606587E-2</v>
      </c>
      <c r="Q11" s="8">
        <f t="shared" si="2"/>
        <v>1.9977605175692803E-2</v>
      </c>
      <c r="R11" s="8">
        <f t="shared" si="2"/>
        <v>9.2634220293794867E-2</v>
      </c>
      <c r="S11" s="37">
        <f t="shared" si="2"/>
        <v>0.10270640958167876</v>
      </c>
      <c r="Y11" s="30"/>
    </row>
    <row r="12" spans="2:25">
      <c r="B12" s="36" t="s">
        <v>392</v>
      </c>
      <c r="C12" s="8">
        <f t="shared" ref="C12:S12" si="3">IFERROR(C8/C7,"-")</f>
        <v>0.2894794321077539</v>
      </c>
      <c r="D12" s="8">
        <f t="shared" si="3"/>
        <v>0.24126146874187437</v>
      </c>
      <c r="E12" s="8">
        <f t="shared" si="3"/>
        <v>0.37656497686907575</v>
      </c>
      <c r="F12" s="8">
        <f t="shared" si="3"/>
        <v>0.28910686628807436</v>
      </c>
      <c r="G12" s="8">
        <f t="shared" si="3"/>
        <v>0.3106706916918231</v>
      </c>
      <c r="H12" s="8">
        <f t="shared" si="3"/>
        <v>0.20516157704272744</v>
      </c>
      <c r="I12" s="8">
        <f t="shared" si="3"/>
        <v>0.34254866677572388</v>
      </c>
      <c r="J12" s="8">
        <f t="shared" si="3"/>
        <v>0.35741190256968275</v>
      </c>
      <c r="K12" s="8">
        <f t="shared" si="3"/>
        <v>0.33149549886303459</v>
      </c>
      <c r="L12" s="8">
        <f t="shared" si="3"/>
        <v>0.20240213523131673</v>
      </c>
      <c r="M12" s="8">
        <f t="shared" si="3"/>
        <v>0.38085248622605405</v>
      </c>
      <c r="N12" s="8">
        <f t="shared" si="3"/>
        <v>0.31738699237916274</v>
      </c>
      <c r="O12" s="8">
        <f t="shared" si="3"/>
        <v>0.40106046650568816</v>
      </c>
      <c r="P12" s="8">
        <f t="shared" si="3"/>
        <v>0.27227840288657834</v>
      </c>
      <c r="Q12" s="8">
        <f t="shared" si="3"/>
        <v>0.43055487775120782</v>
      </c>
      <c r="R12" s="8">
        <f t="shared" si="3"/>
        <v>0.3903381426720865</v>
      </c>
      <c r="S12" s="37">
        <f t="shared" si="3"/>
        <v>0.4558796773606647</v>
      </c>
      <c r="Y12" s="30"/>
    </row>
    <row r="13" spans="2:25">
      <c r="B13" s="36" t="s">
        <v>393</v>
      </c>
      <c r="G13" s="8">
        <f t="shared" ref="G13:S13" si="4">IFERROR(G8/C8-1,"-")</f>
        <v>0.19064386317907456</v>
      </c>
      <c r="H13" s="8">
        <f t="shared" si="4"/>
        <v>-4.9268668206312594E-3</v>
      </c>
      <c r="I13" s="8">
        <f t="shared" si="4"/>
        <v>7.9381443298969012E-2</v>
      </c>
      <c r="J13" s="8">
        <f t="shared" si="4"/>
        <v>0.6339285714285714</v>
      </c>
      <c r="K13" s="8">
        <f t="shared" si="4"/>
        <v>0.12399662019433877</v>
      </c>
      <c r="L13" s="8">
        <f t="shared" si="4"/>
        <v>0.26721336840476551</v>
      </c>
      <c r="M13" s="8">
        <f t="shared" si="4"/>
        <v>0.31494746895893022</v>
      </c>
      <c r="N13" s="8">
        <f t="shared" si="4"/>
        <v>-5.0663544106167024E-2</v>
      </c>
      <c r="O13" s="8">
        <f t="shared" si="4"/>
        <v>0.51390716030821282</v>
      </c>
      <c r="P13" s="8">
        <f t="shared" si="4"/>
        <v>0.4004884004884004</v>
      </c>
      <c r="Q13" s="8">
        <f t="shared" si="4"/>
        <v>6.8034622601537365E-2</v>
      </c>
      <c r="R13" s="8">
        <f t="shared" si="4"/>
        <v>0.43713510402105094</v>
      </c>
      <c r="S13" s="37">
        <f t="shared" si="4"/>
        <v>0.39972689466823907</v>
      </c>
      <c r="Y13" s="30"/>
    </row>
    <row r="14" spans="2:25">
      <c r="B14" s="36" t="s">
        <v>394</v>
      </c>
      <c r="G14" s="8">
        <f t="shared" ref="G14:S14" si="5">IFERROR(G7/C7-1,"-")</f>
        <v>0.10942846741900247</v>
      </c>
      <c r="H14" s="8">
        <f t="shared" si="5"/>
        <v>0.17016455555142818</v>
      </c>
      <c r="I14" s="8">
        <f t="shared" si="5"/>
        <v>0.18656788845394834</v>
      </c>
      <c r="J14" s="8">
        <f t="shared" si="5"/>
        <v>0.32166826462128473</v>
      </c>
      <c r="K14" s="8">
        <f t="shared" si="5"/>
        <v>5.338627116419481E-2</v>
      </c>
      <c r="L14" s="8">
        <f t="shared" si="5"/>
        <v>0.28448987365881528</v>
      </c>
      <c r="M14" s="8">
        <f t="shared" si="5"/>
        <v>0.18269807514041125</v>
      </c>
      <c r="N14" s="8">
        <f t="shared" si="5"/>
        <v>6.9054992885243083E-2</v>
      </c>
      <c r="O14" s="8">
        <f t="shared" si="5"/>
        <v>0.25131607637915465</v>
      </c>
      <c r="P14" s="8">
        <f t="shared" si="5"/>
        <v>4.1073546856464915E-2</v>
      </c>
      <c r="Q14" s="8">
        <f t="shared" si="5"/>
        <v>-5.5257152078194482E-2</v>
      </c>
      <c r="R14" s="8">
        <f t="shared" si="5"/>
        <v>0.16854577722100439</v>
      </c>
      <c r="S14" s="37">
        <f t="shared" si="5"/>
        <v>0.23141071917552458</v>
      </c>
      <c r="Y14" s="30"/>
    </row>
    <row r="15" spans="2:25">
      <c r="Y15" s="30"/>
    </row>
    <row r="16" spans="2:25">
      <c r="Y16" s="30"/>
    </row>
    <row r="17" spans="25:25">
      <c r="Y17" s="30"/>
    </row>
    <row r="18" spans="25:25">
      <c r="Y18" s="30"/>
    </row>
    <row r="19" spans="25:25">
      <c r="Y19" s="30"/>
    </row>
  </sheetData>
  <phoneticPr fontId="6" type="noConversion"/>
  <conditionalFormatting sqref="C12:S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1:S11">
    <cfRule type="cellIs" dxfId="3" priority="5" operator="greaterThanOrEqual">
      <formula>0.1</formula>
    </cfRule>
  </conditionalFormatting>
  <conditionalFormatting sqref="H7:S7">
    <cfRule type="top10" dxfId="2" priority="2" percent="1" rank="10"/>
  </conditionalFormatting>
  <conditionalFormatting sqref="H8:S8">
    <cfRule type="top10" dxfId="1" priority="3" percent="1" rank="10"/>
  </conditionalFormatting>
  <conditionalFormatting sqref="H11:S11">
    <cfRule type="cellIs" dxfId="0" priority="1" operator="greaterThan">
      <formula>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2026-02-02T01:20:11Z</dcterms:created>
  <dcterms:modified xsi:type="dcterms:W3CDTF">2026-02-02T11:01:57Z</dcterms:modified>
</cp:coreProperties>
</file>